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ntents" sheetId="1" state="visible" r:id="rId1"/>
    <sheet name="Cover" sheetId="2" state="visible" r:id="rId2"/>
    <sheet name="What's New" sheetId="3" state="visible" r:id="rId3"/>
    <sheet name="Most Asymmetric" sheetId="4" state="visible" r:id="rId4"/>
    <sheet name="Tear Sheets" sheetId="5" state="visible" r:id="rId5"/>
    <sheet name="Name Financials" sheetId="6" state="visible" r:id="rId6"/>
    <sheet name="PSU Plans" sheetId="7" state="visible" r:id="rId7"/>
    <sheet name="Governance Discount" sheetId="8" state="visible" r:id="rId8"/>
    <sheet name="Mechanism Gates" sheetId="9" state="visible" r:id="rId9"/>
    <sheet name="Payoff Geometry" sheetId="10" state="visible" r:id="rId10"/>
    <sheet name="Re-Rate Catalysts" sheetId="11" state="visible" r:id="rId11"/>
    <sheet name="Event Detail" sheetId="12" state="visible" r:id="rId12"/>
    <sheet name="Structured Distressed" sheetId="13" state="visible" r:id="rId13"/>
    <sheet name="Distressed Stub Progress" sheetId="14" state="visible" r:id="rId14"/>
    <sheet name="Hidden Asset Realisation" sheetId="15" state="visible" r:id="rId15"/>
    <sheet name="Asymmetry Assembly" sheetId="16" state="visible" r:id="rId16"/>
    <sheet name="Turnaround Signal" sheetId="17" state="visible" r:id="rId17"/>
    <sheet name="Call Intent" sheetId="18" state="visible" r:id="rId18"/>
    <sheet name="Foreign Markets" sheetId="19" state="visible" r:id="rId19"/>
    <sheet name="UK Capital Events" sheetId="20" state="visible" r:id="rId20"/>
    <sheet name="By Archetype" sheetId="21" state="visible" r:id="rId21"/>
    <sheet name="Reserve Baskets" sheetId="22" state="visible" r:id="rId22"/>
    <sheet name="Caution List" sheetId="23" state="visible" r:id="rId23"/>
    <sheet name="Insider Conviction" sheetId="24" state="visible" r:id="rId24"/>
    <sheet name="Insider Filing-Time" sheetId="25" state="visible" r:id="rId25"/>
    <sheet name="MD&amp;A Intent" sheetId="26" state="visible" r:id="rId26"/>
    <sheet name="Incentive Improvers" sheetId="27" state="visible" r:id="rId27"/>
    <sheet name="Recent 30d" sheetId="28" state="visible" r:id="rId28"/>
    <sheet name="Political Trades" sheetId="29" state="visible" r:id="rId29"/>
    <sheet name="Single-Measure Best" sheetId="30" state="visible" r:id="rId30"/>
    <sheet name="Without Valuation" sheetId="31" state="visible" r:id="rId31"/>
    <sheet name="Re-Rate Backtest" sheetId="32" state="visible" r:id="rId32"/>
    <sheet name="Tail Odds" sheetId="33" state="visible" r:id="rId33"/>
    <sheet name="Winners Study" sheetId="34" state="visible" r:id="rId34"/>
    <sheet name="Layer Correlation" sheetId="35" state="visible" r:id="rId35"/>
    <sheet name="Coverage &amp; Tiers" sheetId="36" state="visible" r:id="rId36"/>
    <sheet name="Methodology" sheetId="37" state="visible" r:id="rId37"/>
  </sheets>
  <definedNames>
    <definedName name="_xlnm.Print_Titles" localSheetId="0">'Contents'!$1:$4</definedName>
    <definedName name="_xlnm.Print_Titles" localSheetId="1">'Cover'!$1:$4</definedName>
    <definedName name="_xlnm.Print_Titles" localSheetId="3">'Most Asymmetric'!$1:$4</definedName>
    <definedName name="_xlnm.Print_Titles" localSheetId="7">'Governance Discount'!$1:$4</definedName>
    <definedName name="_xlnm.Print_Titles" localSheetId="8">'Mechanism Gates'!$1:$4</definedName>
    <definedName name="_xlnm.Print_Titles" localSheetId="9">'Payoff Geometry'!$1:$4</definedName>
    <definedName name="_xlnm.Print_Titles" localSheetId="10">'Re-Rate Catalysts'!$1:$4</definedName>
    <definedName name="_xlnm.Print_Titles" localSheetId="12">'Structured Distressed'!$1:$4</definedName>
    <definedName name="_xlnm.Print_Titles" localSheetId="13">'Distressed Stub Progress'!$1:$4</definedName>
    <definedName name="_xlnm.Print_Titles" localSheetId="14">'Hidden Asset Realisation'!$1:$4</definedName>
    <definedName name="_xlnm.Print_Titles" localSheetId="15">'Asymmetry Assembly'!$1:$4</definedName>
    <definedName name="_xlnm.Print_Titles" localSheetId="16">'Turnaround Signal'!$1:$4</definedName>
    <definedName name="_xlnm.Print_Titles" localSheetId="17">'Call Intent'!$1:$4</definedName>
    <definedName name="_xlnm.Print_Titles" localSheetId="18">'Foreign Markets'!$1:$4</definedName>
    <definedName name="_xlnm.Print_Titles" localSheetId="19">'UK Capital Events'!$1:$4</definedName>
    <definedName name="_xlnm.Print_Titles" localSheetId="20">'By Archetype'!$1:$4</definedName>
    <definedName name="_xlnm.Print_Titles" localSheetId="21">'Reserve Baskets'!$1:$4</definedName>
    <definedName name="_xlnm.Print_Titles" localSheetId="22">'Caution List'!$1:$4</definedName>
    <definedName name="_xlnm.Print_Titles" localSheetId="23">'Insider Conviction'!$1:$4</definedName>
    <definedName name="_xlnm.Print_Titles" localSheetId="24">'Insider Filing-Time'!$1:$4</definedName>
    <definedName name="_xlnm.Print_Titles" localSheetId="25">'MD&amp;A Intent'!$1:$4</definedName>
    <definedName name="_xlnm.Print_Titles" localSheetId="26">'Incentive Improvers'!$1:$4</definedName>
    <definedName name="_xlnm.Print_Titles" localSheetId="27">'Recent 30d'!$1:$4</definedName>
    <definedName name="_xlnm.Print_Titles" localSheetId="28">'Political Trades'!$1:$4</definedName>
    <definedName name="_xlnm.Print_Titles" localSheetId="29">'Single-Measure Best'!$1:$4</definedName>
    <definedName name="_xlnm.Print_Titles" localSheetId="30">'Without Valuation'!$1:$4</definedName>
    <definedName name="_xlnm.Print_Titles" localSheetId="31">'Re-Rate Backtest'!$1:$4</definedName>
    <definedName name="_xlnm.Print_Titles" localSheetId="32">'Tail Odds'!$1:$4</definedName>
    <definedName name="_xlnm.Print_Titles" localSheetId="33">'Winners Study'!$1:$4</definedName>
    <definedName name="_xlnm.Print_Titles" localSheetId="34">'Layer Correlation'!$1:$4</definedName>
    <definedName name="_xlnm.Print_Titles" localSheetId="35">'Coverage &amp; Tiers'!$1:$4</definedName>
    <definedName name="_xlnm.Print_Titles" localSheetId="36">'Methodology'!$1:$4</definedName>
  </definedNames>
  <calcPr calcId="124519" fullCalcOnLoad="1"/>
</workbook>
</file>

<file path=xl/styles.xml><?xml version="1.0" encoding="utf-8"?>
<styleSheet xmlns="http://schemas.openxmlformats.org/spreadsheetml/2006/main">
  <numFmts count="3">
    <numFmt numFmtId="164" formatCode="#,##0;(#,##0);&quot;–&quot;"/>
    <numFmt numFmtId="165" formatCode="#,##0.00;(#,##0.00);&quot;–&quot;"/>
    <numFmt numFmtId="166" formatCode="#,##0.0;(#,##0.0);&quot;–&quot;"/>
  </numFmts>
  <fonts count="10">
    <font>
      <name val="Calibri"/>
      <family val="2"/>
      <color theme="1"/>
      <sz val="11"/>
      <scheme val="minor"/>
    </font>
    <font>
      <name val="Times New Roman"/>
      <b val="1"/>
      <condense val="1"/>
      <color rgb="00000000"/>
      <sz val="10"/>
    </font>
    <font>
      <name val="Times New Roman"/>
      <i val="1"/>
      <condense val="1"/>
      <color rgb="002A2A2A"/>
      <sz val="10"/>
    </font>
    <font>
      <name val="Times New Roman"/>
      <condense val="1"/>
      <color rgb="00000000"/>
      <sz val="10"/>
    </font>
    <font>
      <name val="Times New Roman"/>
      <i val="1"/>
      <color rgb="00666666"/>
      <sz val="8"/>
    </font>
    <font>
      <name val="Calibri"/>
      <i val="1"/>
      <color rgb="00666666"/>
      <sz val="9"/>
    </font>
    <font>
      <name val="Times New Roman"/>
      <condense val="1"/>
      <color rgb="001F5F8B"/>
      <sz val="10"/>
      <u val="single"/>
    </font>
    <font>
      <name val="Times New Roman"/>
      <b val="1"/>
      <condense val="1"/>
      <color rgb="007F7F7F"/>
      <sz val="10"/>
    </font>
    <font>
      <name val="Times New Roman"/>
      <b val="1"/>
      <condense val="1"/>
      <color rgb="001F5F8B"/>
      <sz val="10"/>
    </font>
    <font>
      <name val="Times New Roman"/>
      <b val="1"/>
      <condense val="1"/>
      <color rgb="00B7791F"/>
      <sz val="10"/>
    </font>
  </fonts>
  <fills count="5">
    <fill>
      <patternFill/>
    </fill>
    <fill>
      <patternFill patternType="gray125"/>
    </fill>
    <fill>
      <patternFill patternType="solid">
        <fgColor rgb="00F5F2EC"/>
      </patternFill>
    </fill>
    <fill>
      <patternFill patternType="solid">
        <fgColor rgb="00D9EAD3"/>
      </patternFill>
    </fill>
    <fill>
      <patternFill patternType="solid">
        <fgColor rgb="00EAF3E3"/>
      </patternFill>
    </fill>
  </fills>
  <borders count="7">
    <border>
      <left/>
      <right/>
      <top/>
      <bottom/>
      <diagonal/>
    </border>
    <border>
      <bottom style="thin">
        <color rgb="00000000"/>
      </bottom>
    </border>
    <border>
      <top style="thin">
        <color rgb="00000000"/>
      </top>
      <bottom style="thin">
        <color rgb="00A0A0A0"/>
      </bottom>
    </border>
    <border>
      <left/>
      <right/>
      <top style="thin">
        <color rgb="00000000"/>
      </top>
      <bottom/>
      <diagonal/>
    </border>
    <border>
      <left/>
      <right/>
      <top style="thin">
        <color rgb="00000000"/>
      </top>
      <bottom style="thin">
        <color rgb="00A0A0A0"/>
      </bottom>
      <diagonal/>
    </border>
    <border>
      <left/>
      <right/>
      <top/>
      <bottom style="thin">
        <color rgb="00000000"/>
      </bottom>
      <diagonal/>
    </border>
    <border>
      <right/>
      <bottom style="thin">
        <color rgb="00000000"/>
      </bottom>
    </border>
  </borders>
  <cellStyleXfs count="1">
    <xf numFmtId="0" fontId="0" fillId="0" borderId="0"/>
  </cellStyleXfs>
  <cellXfs count="48">
    <xf numFmtId="0" fontId="0" fillId="0" borderId="0" pivotButton="0" quotePrefix="0" xfId="0"/>
    <xf numFmtId="0" fontId="1" fillId="0" borderId="0" applyAlignment="1" pivotButton="0" quotePrefix="0" xfId="0">
      <alignment horizontal="left" vertical="center"/>
    </xf>
    <xf numFmtId="0" fontId="2" fillId="0" borderId="1" applyAlignment="1" pivotButton="0" quotePrefix="0" xfId="0">
      <alignment horizontal="left" vertical="center"/>
    </xf>
    <xf numFmtId="0" fontId="0" fillId="0" borderId="1" pivotButton="0" quotePrefix="0" xfId="0"/>
    <xf numFmtId="0" fontId="1" fillId="0" borderId="2" applyAlignment="1" pivotButton="0" quotePrefix="0" xfId="0">
      <alignment horizontal="right" vertical="center"/>
    </xf>
    <xf numFmtId="164" fontId="3" fillId="0" borderId="0" applyAlignment="1" pivotButton="0" quotePrefix="0" xfId="0">
      <alignment horizontal="right" vertical="center"/>
    </xf>
    <xf numFmtId="0" fontId="1" fillId="0" borderId="0" applyAlignment="1" pivotButton="0" quotePrefix="0" xfId="0">
      <alignment horizontal="left" vertical="center" wrapText="1" indent="1"/>
    </xf>
    <xf numFmtId="164" fontId="3" fillId="2" borderId="0" applyAlignment="1" pivotButton="0" quotePrefix="0" xfId="0">
      <alignment horizontal="right" vertical="center"/>
    </xf>
    <xf numFmtId="0" fontId="1" fillId="2" borderId="0" applyAlignment="1" pivotButton="0" quotePrefix="0" xfId="0">
      <alignment horizontal="left" vertical="center" wrapText="1" indent="1"/>
    </xf>
    <xf numFmtId="0" fontId="1" fillId="0" borderId="0" pivotButton="0" quotePrefix="0" xfId="0"/>
    <xf numFmtId="0" fontId="1" fillId="0" borderId="0" applyAlignment="1" pivotButton="0" quotePrefix="0" xfId="0">
      <alignment vertical="center"/>
    </xf>
    <xf numFmtId="0" fontId="3" fillId="0" borderId="0" applyAlignment="1" pivotButton="0" quotePrefix="0" xfId="0">
      <alignment vertical="center" wrapText="1"/>
    </xf>
    <xf numFmtId="0" fontId="1" fillId="0" borderId="2" applyAlignment="1" pivotButton="0" quotePrefix="0" xfId="0">
      <alignment horizontal="left" vertical="center"/>
    </xf>
    <xf numFmtId="164" fontId="3" fillId="0" borderId="0" applyAlignment="1" pivotButton="0" quotePrefix="0" xfId="0">
      <alignment horizontal="right" vertical="center"/>
    </xf>
    <xf numFmtId="0" fontId="3" fillId="0" borderId="0" applyAlignment="1" pivotButton="0" quotePrefix="0" xfId="0">
      <alignment horizontal="left" vertical="center" wrapText="1" indent="1"/>
    </xf>
    <xf numFmtId="164" fontId="3" fillId="2" borderId="0" applyAlignment="1" pivotButton="0" quotePrefix="0" xfId="0">
      <alignment horizontal="right" vertical="center"/>
    </xf>
    <xf numFmtId="0" fontId="3" fillId="2" borderId="0" applyAlignment="1" pivotButton="0" quotePrefix="0" xfId="0">
      <alignment horizontal="left" vertical="center" wrapText="1" indent="1"/>
    </xf>
    <xf numFmtId="0" fontId="2" fillId="0" borderId="0" applyAlignment="1" pivotButton="0" quotePrefix="0" xfId="0">
      <alignment vertical="top" wrapText="1" indent="1"/>
    </xf>
    <xf numFmtId="0" fontId="2" fillId="0" borderId="6" applyAlignment="1" pivotButton="0" quotePrefix="0" xfId="0">
      <alignment horizontal="left" vertical="top" wrapText="1"/>
    </xf>
    <xf numFmtId="0" fontId="0" fillId="0" borderId="5" pivotButton="0" quotePrefix="0" xfId="0"/>
    <xf numFmtId="0" fontId="2" fillId="0" borderId="6" applyAlignment="1" pivotButton="0" quotePrefix="0" xfId="0">
      <alignment horizontal="left" vertical="center"/>
    </xf>
    <xf numFmtId="0" fontId="7" fillId="0" borderId="0" applyAlignment="1" pivotButton="0" quotePrefix="0" xfId="0">
      <alignment horizontal="left" vertical="center" wrapText="1" indent="1"/>
    </xf>
    <xf numFmtId="0" fontId="3" fillId="0" borderId="0" applyAlignment="1" pivotButton="0" quotePrefix="0" xfId="0">
      <alignment horizontal="left" vertical="top" wrapText="1" indent="1"/>
    </xf>
    <xf numFmtId="0" fontId="8" fillId="2" borderId="0" applyAlignment="1" pivotButton="0" quotePrefix="0" xfId="0">
      <alignment horizontal="left" vertical="center" wrapText="1" indent="1"/>
    </xf>
    <xf numFmtId="0" fontId="3" fillId="2" borderId="0" applyAlignment="1" pivotButton="0" quotePrefix="0" xfId="0">
      <alignment horizontal="left" vertical="top" wrapText="1" indent="1"/>
    </xf>
    <xf numFmtId="0" fontId="8" fillId="0" borderId="0" applyAlignment="1" pivotButton="0" quotePrefix="0" xfId="0">
      <alignment horizontal="left" vertical="center" wrapText="1" indent="1"/>
    </xf>
    <xf numFmtId="0" fontId="9" fillId="2" borderId="0" applyAlignment="1" pivotButton="0" quotePrefix="0" xfId="0">
      <alignment horizontal="left" vertical="center" wrapText="1" indent="1"/>
    </xf>
    <xf numFmtId="165" fontId="3" fillId="0" borderId="0" applyAlignment="1" pivotButton="0" quotePrefix="0" xfId="0">
      <alignment horizontal="right" vertical="center"/>
    </xf>
    <xf numFmtId="165" fontId="3" fillId="2" borderId="0" applyAlignment="1" pivotButton="0" quotePrefix="0" xfId="0">
      <alignment horizontal="right" vertical="center"/>
    </xf>
    <xf numFmtId="0" fontId="2" fillId="0" borderId="1" applyAlignment="1" pivotButton="0" quotePrefix="0" xfId="0">
      <alignment horizontal="left" vertical="top" wrapText="1"/>
    </xf>
    <xf numFmtId="0" fontId="1" fillId="3" borderId="0" applyAlignment="1" pivotButton="0" quotePrefix="0" xfId="0">
      <alignment horizontal="left" vertical="center" wrapText="1" indent="1"/>
    </xf>
    <xf numFmtId="0" fontId="6" fillId="0" borderId="0" applyAlignment="1" pivotButton="0" quotePrefix="0" xfId="0">
      <alignment horizontal="left" vertical="center" wrapText="1" indent="1"/>
    </xf>
    <xf numFmtId="0" fontId="6" fillId="2" borderId="0" applyAlignment="1" pivotButton="0" quotePrefix="0" xfId="0">
      <alignment horizontal="left" vertical="center" wrapText="1" indent="1"/>
    </xf>
    <xf numFmtId="0" fontId="1" fillId="4" borderId="0" applyAlignment="1" pivotButton="0" quotePrefix="0" xfId="0">
      <alignment horizontal="left" vertical="center" wrapText="1" indent="1"/>
    </xf>
    <xf numFmtId="0" fontId="4" fillId="0" borderId="0" pivotButton="0" quotePrefix="0" xfId="0"/>
    <xf numFmtId="166" fontId="3" fillId="0" borderId="0" applyAlignment="1" pivotButton="0" quotePrefix="0" xfId="0">
      <alignment horizontal="right" vertical="center"/>
    </xf>
    <xf numFmtId="166" fontId="3" fillId="2" borderId="0" applyAlignment="1" pivotButton="0" quotePrefix="0" xfId="0">
      <alignment horizontal="right" vertical="center"/>
    </xf>
    <xf numFmtId="0" fontId="7" fillId="2" borderId="0" applyAlignment="1" pivotButton="0" quotePrefix="0" xfId="0">
      <alignment horizontal="left" vertical="center" wrapText="1" indent="1"/>
    </xf>
    <xf numFmtId="0" fontId="9" fillId="0" borderId="0" applyAlignment="1" pivotButton="0" quotePrefix="0" xfId="0">
      <alignment horizontal="left" vertical="center" wrapText="1" indent="1"/>
    </xf>
    <xf numFmtId="0" fontId="0" fillId="0" borderId="4" pivotButton="0" quotePrefix="0" xfId="0"/>
    <xf numFmtId="0" fontId="5" fillId="0" borderId="0" pivotButton="0" quotePrefix="0" xfId="0"/>
    <xf numFmtId="165" fontId="1" fillId="0" borderId="0" applyAlignment="1" pivotButton="0" quotePrefix="0" xfId="0">
      <alignment horizontal="right" vertical="center"/>
    </xf>
    <xf numFmtId="0" fontId="1" fillId="0" borderId="0" applyAlignment="1" pivotButton="0" quotePrefix="0" xfId="0">
      <alignment vertical="center" indent="1"/>
    </xf>
    <xf numFmtId="0" fontId="2" fillId="0" borderId="0" applyAlignment="1" pivotButton="0" quotePrefix="0" xfId="0">
      <alignment vertical="center" indent="1"/>
    </xf>
    <xf numFmtId="164" fontId="1" fillId="0" borderId="0" applyAlignment="1" pivotButton="0" quotePrefix="0" xfId="0">
      <alignment horizontal="right" vertical="center"/>
    </xf>
    <xf numFmtId="0" fontId="3" fillId="0" borderId="0" pivotButton="0" quotePrefix="0" xfId="0"/>
    <xf numFmtId="165" fontId="3" fillId="0" borderId="0" applyAlignment="1" pivotButton="0" quotePrefix="0" xfId="0">
      <alignment horizontal="right" vertical="center"/>
    </xf>
    <xf numFmtId="165" fontId="3" fillId="2" borderId="0"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styles" Target="styles.xml" Id="rId38" /><Relationship Type="http://schemas.openxmlformats.org/officeDocument/2006/relationships/theme" Target="theme/theme1.xml" Id="rId3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Tear Sheets'!A824" TargetMode="External" Id="rId1" /><Relationship Type="http://schemas.openxmlformats.org/officeDocument/2006/relationships/hyperlink" Target="https://www.sec.gov/Archives/edgar/data/1800227/000162828026061531/" TargetMode="External" Id="rId2" /><Relationship Type="http://schemas.openxmlformats.org/officeDocument/2006/relationships/hyperlink" Target="#'Tear Sheets'!A824" TargetMode="External" Id="rId3" /><Relationship Type="http://schemas.openxmlformats.org/officeDocument/2006/relationships/hyperlink" Target="https://www.sec.gov/Archives/edgar/data/1800227/000162828026061531/" TargetMode="External" Id="rId4" /><Relationship Type="http://schemas.openxmlformats.org/officeDocument/2006/relationships/hyperlink" Target="https://www.sec.gov/Archives/edgar/data/40987/000119312526385959/" TargetMode="External" Id="rId5" /><Relationship Type="http://schemas.openxmlformats.org/officeDocument/2006/relationships/hyperlink" Target="https://www.sec.gov/Archives/edgar/data/1839285/000121390026097953/" TargetMode="External" Id="rId6" /><Relationship Type="http://schemas.openxmlformats.org/officeDocument/2006/relationships/hyperlink" Target="https://www.sec.gov/Archives/edgar/data/1839285/000121390026097953/" TargetMode="External" Id="rId7" /><Relationship Type="http://schemas.openxmlformats.org/officeDocument/2006/relationships/hyperlink" Target="https://www.sec.gov/Archives/edgar/data/1839285/000121390026097953/" TargetMode="External" Id="rId8" /><Relationship Type="http://schemas.openxmlformats.org/officeDocument/2006/relationships/hyperlink" Target="https://www.sec.gov/Archives/edgar/data/1755672/000119312526377055/" TargetMode="External" Id="rId9" /><Relationship Type="http://schemas.openxmlformats.org/officeDocument/2006/relationships/hyperlink" Target="https://www.sec.gov/Archives/edgar/data/1755672/000119312526377055/" TargetMode="External" Id="rId10" /><Relationship Type="http://schemas.openxmlformats.org/officeDocument/2006/relationships/hyperlink" Target="#'Tear Sheets'!A794" TargetMode="External" Id="rId11" /><Relationship Type="http://schemas.openxmlformats.org/officeDocument/2006/relationships/hyperlink" Target="#'Tear Sheets'!A706" TargetMode="External" Id="rId12" /><Relationship Type="http://schemas.openxmlformats.org/officeDocument/2006/relationships/hyperlink" Target="#'Tear Sheets'!A414" TargetMode="External" Id="rId13" /><Relationship Type="http://schemas.openxmlformats.org/officeDocument/2006/relationships/hyperlink" Target="#'Tear Sheets'!A824" TargetMode="External" Id="rId14" /><Relationship Type="http://schemas.openxmlformats.org/officeDocument/2006/relationships/hyperlink" Target="#'Tear Sheets'!A381" TargetMode="External" Id="rId15" /><Relationship Type="http://schemas.openxmlformats.org/officeDocument/2006/relationships/hyperlink" Target="#'Tear Sheets'!A364" TargetMode="External" Id="rId16" /><Relationship Type="http://schemas.openxmlformats.org/officeDocument/2006/relationships/hyperlink" Target="#'Tear Sheets'!A750" TargetMode="External" Id="rId17" /><Relationship Type="http://schemas.openxmlformats.org/officeDocument/2006/relationships/hyperlink" Target="#'Tear Sheets'!A464" TargetMode="External" Id="rId18" /><Relationship Type="http://schemas.openxmlformats.org/officeDocument/2006/relationships/hyperlink" Target="#'Tear Sheets'!A35" TargetMode="External" Id="rId19" /></Relationships>
</file>

<file path=xl/worksheets/_rels/sheet4.xml.rels><Relationships xmlns="http://schemas.openxmlformats.org/package/2006/relationships"><Relationship Type="http://schemas.openxmlformats.org/officeDocument/2006/relationships/hyperlink" Target="#'Tear Sheets'!A4" TargetMode="External" Id="rId1" /><Relationship Type="http://schemas.openxmlformats.org/officeDocument/2006/relationships/hyperlink" Target="#'Tear Sheets'!A22" TargetMode="External" Id="rId2" /><Relationship Type="http://schemas.openxmlformats.org/officeDocument/2006/relationships/hyperlink" Target="#'Tear Sheets'!A35" TargetMode="External" Id="rId3" /><Relationship Type="http://schemas.openxmlformats.org/officeDocument/2006/relationships/hyperlink" Target="#'Tear Sheets'!A51" TargetMode="External" Id="rId4" /><Relationship Type="http://schemas.openxmlformats.org/officeDocument/2006/relationships/hyperlink" Target="#'Tear Sheets'!A66" TargetMode="External" Id="rId5" /><Relationship Type="http://schemas.openxmlformats.org/officeDocument/2006/relationships/hyperlink" Target="#'Tear Sheets'!A80" TargetMode="External" Id="rId6" /><Relationship Type="http://schemas.openxmlformats.org/officeDocument/2006/relationships/hyperlink" Target="#'Tear Sheets'!A96" TargetMode="External" Id="rId7" /><Relationship Type="http://schemas.openxmlformats.org/officeDocument/2006/relationships/hyperlink" Target="#'Tear Sheets'!A112" TargetMode="External" Id="rId8" /><Relationship Type="http://schemas.openxmlformats.org/officeDocument/2006/relationships/hyperlink" Target="#'Tear Sheets'!A126" TargetMode="External" Id="rId9" /><Relationship Type="http://schemas.openxmlformats.org/officeDocument/2006/relationships/hyperlink" Target="#'Tear Sheets'!A139" TargetMode="External" Id="rId10" /><Relationship Type="http://schemas.openxmlformats.org/officeDocument/2006/relationships/hyperlink" Target="#'Tear Sheets'!A158" TargetMode="External" Id="rId11" /><Relationship Type="http://schemas.openxmlformats.org/officeDocument/2006/relationships/hyperlink" Target="#'Tear Sheets'!A172" TargetMode="External" Id="rId12" /><Relationship Type="http://schemas.openxmlformats.org/officeDocument/2006/relationships/hyperlink" Target="#'Tear Sheets'!A187" TargetMode="External" Id="rId13" /><Relationship Type="http://schemas.openxmlformats.org/officeDocument/2006/relationships/hyperlink" Target="#'Tear Sheets'!A201" TargetMode="External" Id="rId14" /><Relationship Type="http://schemas.openxmlformats.org/officeDocument/2006/relationships/hyperlink" Target="#'Tear Sheets'!A216" TargetMode="External" Id="rId15" /><Relationship Type="http://schemas.openxmlformats.org/officeDocument/2006/relationships/hyperlink" Target="#'Tear Sheets'!A230" TargetMode="External" Id="rId16" /><Relationship Type="http://schemas.openxmlformats.org/officeDocument/2006/relationships/hyperlink" Target="#'Tear Sheets'!A249" TargetMode="External" Id="rId17" /><Relationship Type="http://schemas.openxmlformats.org/officeDocument/2006/relationships/hyperlink" Target="#'Tear Sheets'!A263" TargetMode="External" Id="rId18" /><Relationship Type="http://schemas.openxmlformats.org/officeDocument/2006/relationships/hyperlink" Target="#'Tear Sheets'!A278" TargetMode="External" Id="rId19" /><Relationship Type="http://schemas.openxmlformats.org/officeDocument/2006/relationships/hyperlink" Target="#'Tear Sheets'!A293" TargetMode="External" Id="rId20" /></Relationships>
</file>

<file path=xl/worksheets/_rels/sheet6.xml.rels><Relationships xmlns="http://schemas.openxmlformats.org/package/2006/relationships"><Relationship Type="http://schemas.openxmlformats.org/officeDocument/2006/relationships/hyperlink" Target="#'Tear Sheets'!A308" TargetMode="External" Id="rId1" /><Relationship Type="http://schemas.openxmlformats.org/officeDocument/2006/relationships/hyperlink" Target="#'Tear Sheets'!A139" TargetMode="External" Id="rId2" /><Relationship Type="http://schemas.openxmlformats.org/officeDocument/2006/relationships/hyperlink" Target="#'Tear Sheets'!A327" TargetMode="External" Id="rId3" /><Relationship Type="http://schemas.openxmlformats.org/officeDocument/2006/relationships/hyperlink" Target="#'Tear Sheets'!A346" TargetMode="External" Id="rId4" /><Relationship Type="http://schemas.openxmlformats.org/officeDocument/2006/relationships/hyperlink" Target="#'Tear Sheets'!A4" TargetMode="External" Id="rId5" /><Relationship Type="http://schemas.openxmlformats.org/officeDocument/2006/relationships/hyperlink" Target="#'Tear Sheets'!A35" TargetMode="External" Id="rId6" /><Relationship Type="http://schemas.openxmlformats.org/officeDocument/2006/relationships/hyperlink" Target="#'Tear Sheets'!A364" TargetMode="External" Id="rId7" /><Relationship Type="http://schemas.openxmlformats.org/officeDocument/2006/relationships/hyperlink" Target="#'Tear Sheets'!A381" TargetMode="External" Id="rId8" /><Relationship Type="http://schemas.openxmlformats.org/officeDocument/2006/relationships/hyperlink" Target="#'Tear Sheets'!A80" TargetMode="External" Id="rId9" /><Relationship Type="http://schemas.openxmlformats.org/officeDocument/2006/relationships/hyperlink" Target="#'Tear Sheets'!A96" TargetMode="External" Id="rId10" /><Relationship Type="http://schemas.openxmlformats.org/officeDocument/2006/relationships/hyperlink" Target="#'Tear Sheets'!A230" TargetMode="External" Id="rId11" /><Relationship Type="http://schemas.openxmlformats.org/officeDocument/2006/relationships/hyperlink" Target="#'Tear Sheets'!A397" TargetMode="External" Id="rId12" /><Relationship Type="http://schemas.openxmlformats.org/officeDocument/2006/relationships/hyperlink" Target="#'Tear Sheets'!A414" TargetMode="External" Id="rId13" /><Relationship Type="http://schemas.openxmlformats.org/officeDocument/2006/relationships/hyperlink" Target="#'Tear Sheets'!A429" TargetMode="External" Id="rId14" /><Relationship Type="http://schemas.openxmlformats.org/officeDocument/2006/relationships/hyperlink" Target="#'Tear Sheets'!A448" TargetMode="External" Id="rId15" /><Relationship Type="http://schemas.openxmlformats.org/officeDocument/2006/relationships/hyperlink" Target="#'Tear Sheets'!A464" TargetMode="External" Id="rId16" /><Relationship Type="http://schemas.openxmlformats.org/officeDocument/2006/relationships/hyperlink" Target="#'Tear Sheets'!A479" TargetMode="External" Id="rId17" /><Relationship Type="http://schemas.openxmlformats.org/officeDocument/2006/relationships/hyperlink" Target="#'Tear Sheets'!A494" TargetMode="External" Id="rId18" /><Relationship Type="http://schemas.openxmlformats.org/officeDocument/2006/relationships/hyperlink" Target="#'Tear Sheets'!A51" TargetMode="External" Id="rId19" /><Relationship Type="http://schemas.openxmlformats.org/officeDocument/2006/relationships/hyperlink" Target="#'Tear Sheets'!A172" TargetMode="External" Id="rId20" /><Relationship Type="http://schemas.openxmlformats.org/officeDocument/2006/relationships/hyperlink" Target="#'Tear Sheets'!A187" TargetMode="External" Id="rId21" /><Relationship Type="http://schemas.openxmlformats.org/officeDocument/2006/relationships/hyperlink" Target="#'Tear Sheets'!A201" TargetMode="External" Id="rId22" /><Relationship Type="http://schemas.openxmlformats.org/officeDocument/2006/relationships/hyperlink" Target="#'Tear Sheets'!A216" TargetMode="External" Id="rId23" /><Relationship Type="http://schemas.openxmlformats.org/officeDocument/2006/relationships/hyperlink" Target="#'Tear Sheets'!A249" TargetMode="External" Id="rId24" /><Relationship Type="http://schemas.openxmlformats.org/officeDocument/2006/relationships/hyperlink" Target="#'Tear Sheets'!A263" TargetMode="External" Id="rId25" /><Relationship Type="http://schemas.openxmlformats.org/officeDocument/2006/relationships/hyperlink" Target="#'Tear Sheets'!A278" TargetMode="External" Id="rId26" /><Relationship Type="http://schemas.openxmlformats.org/officeDocument/2006/relationships/hyperlink" Target="#'Tear Sheets'!A293" TargetMode="External" Id="rId27" /><Relationship Type="http://schemas.openxmlformats.org/officeDocument/2006/relationships/hyperlink" Target="#'Tear Sheets'!A515" TargetMode="External" Id="rId28" /><Relationship Type="http://schemas.openxmlformats.org/officeDocument/2006/relationships/hyperlink" Target="#'Tear Sheets'!A531" TargetMode="External" Id="rId29" /><Relationship Type="http://schemas.openxmlformats.org/officeDocument/2006/relationships/hyperlink" Target="#'Tear Sheets'!A547" TargetMode="External" Id="rId30" /><Relationship Type="http://schemas.openxmlformats.org/officeDocument/2006/relationships/hyperlink" Target="#'Tear Sheets'!A561" TargetMode="External" Id="rId31" /><Relationship Type="http://schemas.openxmlformats.org/officeDocument/2006/relationships/hyperlink" Target="#'Tear Sheets'!A576" TargetMode="External" Id="rId32" /><Relationship Type="http://schemas.openxmlformats.org/officeDocument/2006/relationships/hyperlink" Target="#'Tear Sheets'!A591" TargetMode="External" Id="rId33" /><Relationship Type="http://schemas.openxmlformats.org/officeDocument/2006/relationships/hyperlink" Target="#'Tear Sheets'!A605" TargetMode="External" Id="rId34" /><Relationship Type="http://schemas.openxmlformats.org/officeDocument/2006/relationships/hyperlink" Target="#'Tear Sheets'!A619" TargetMode="External" Id="rId35" /><Relationship Type="http://schemas.openxmlformats.org/officeDocument/2006/relationships/hyperlink" Target="#'Tear Sheets'!A634" TargetMode="External" Id="rId36" /><Relationship Type="http://schemas.openxmlformats.org/officeDocument/2006/relationships/hyperlink" Target="#'Tear Sheets'!A649" TargetMode="External" Id="rId37" /><Relationship Type="http://schemas.openxmlformats.org/officeDocument/2006/relationships/hyperlink" Target="#'Tear Sheets'!A663" TargetMode="External" Id="rId38" /><Relationship Type="http://schemas.openxmlformats.org/officeDocument/2006/relationships/hyperlink" Target="#'Tear Sheets'!A678" TargetMode="External" Id="rId39" /><Relationship Type="http://schemas.openxmlformats.org/officeDocument/2006/relationships/hyperlink" Target="#'Tear Sheets'!A691" TargetMode="External" Id="rId40" /><Relationship Type="http://schemas.openxmlformats.org/officeDocument/2006/relationships/hyperlink" Target="#'Tear Sheets'!A706" TargetMode="External" Id="rId41" /><Relationship Type="http://schemas.openxmlformats.org/officeDocument/2006/relationships/hyperlink" Target="#'Tear Sheets'!A720" TargetMode="External" Id="rId42" /><Relationship Type="http://schemas.openxmlformats.org/officeDocument/2006/relationships/hyperlink" Target="#'Tear Sheets'!A735" TargetMode="External" Id="rId43" /><Relationship Type="http://schemas.openxmlformats.org/officeDocument/2006/relationships/hyperlink" Target="#'Tear Sheets'!A750" TargetMode="External" Id="rId44" /><Relationship Type="http://schemas.openxmlformats.org/officeDocument/2006/relationships/hyperlink" Target="#'Tear Sheets'!A765" TargetMode="External" Id="rId45" /><Relationship Type="http://schemas.openxmlformats.org/officeDocument/2006/relationships/hyperlink" Target="#'Tear Sheets'!A780" TargetMode="External" Id="rId46" /><Relationship Type="http://schemas.openxmlformats.org/officeDocument/2006/relationships/hyperlink" Target="#'Tear Sheets'!A794" TargetMode="External" Id="rId47" /><Relationship Type="http://schemas.openxmlformats.org/officeDocument/2006/relationships/hyperlink" Target="#'Tear Sheets'!A809" TargetMode="External" Id="rId48" /><Relationship Type="http://schemas.openxmlformats.org/officeDocument/2006/relationships/hyperlink" Target="#'Tear Sheets'!A824" TargetMode="External" Id="rId49" /><Relationship Type="http://schemas.openxmlformats.org/officeDocument/2006/relationships/hyperlink" Target="#'Tear Sheets'!A842" TargetMode="External" Id="rId50" /><Relationship Type="http://schemas.openxmlformats.org/officeDocument/2006/relationships/hyperlink" Target="#'Tear Sheets'!A860" TargetMode="External" Id="rId51" /><Relationship Type="http://schemas.openxmlformats.org/officeDocument/2006/relationships/hyperlink" Target="#'Tear Sheets'!A874" TargetMode="External" Id="rId52" /><Relationship Type="http://schemas.openxmlformats.org/officeDocument/2006/relationships/hyperlink" Target="#'Tear Sheets'!A892" TargetMode="External" Id="rId53" /><Relationship Type="http://schemas.openxmlformats.org/officeDocument/2006/relationships/hyperlink" Target="#'Tear Sheets'!A911" TargetMode="External" Id="rId54" /><Relationship Type="http://schemas.openxmlformats.org/officeDocument/2006/relationships/hyperlink" Target="#'Tear Sheets'!A929" TargetMode="External" Id="rId55" /><Relationship Type="http://schemas.openxmlformats.org/officeDocument/2006/relationships/hyperlink" Target="#'Tear Sheets'!A22" TargetMode="External" Id="rId56" /><Relationship Type="http://schemas.openxmlformats.org/officeDocument/2006/relationships/hyperlink" Target="#'Tear Sheets'!A66" TargetMode="External" Id="rId57" /><Relationship Type="http://schemas.openxmlformats.org/officeDocument/2006/relationships/hyperlink" Target="#'Tear Sheets'!A112" TargetMode="External" Id="rId58" /><Relationship Type="http://schemas.openxmlformats.org/officeDocument/2006/relationships/hyperlink" Target="#'Tear Sheets'!A126" TargetMode="External" Id="rId59" /><Relationship Type="http://schemas.openxmlformats.org/officeDocument/2006/relationships/hyperlink" Target="#'Tear Sheets'!A158" TargetMode="External" Id="rId60" /></Relationships>
</file>

<file path=xl/worksheets/_rels/sheet7.xml.rels><Relationships xmlns="http://schemas.openxmlformats.org/package/2006/relationships"><Relationship Type="http://schemas.openxmlformats.org/officeDocument/2006/relationships/hyperlink" Target="#'Tear Sheets'!A139" TargetMode="External" Id="rId1" /><Relationship Type="http://schemas.openxmlformats.org/officeDocument/2006/relationships/hyperlink" Target="https://www.sec.gov/Archives/edgar/data/1771515/000177151526000045/" TargetMode="External" Id="rId2" /><Relationship Type="http://schemas.openxmlformats.org/officeDocument/2006/relationships/hyperlink" Target="#'Tear Sheets'!A327" TargetMode="External" Id="rId3" /><Relationship Type="http://schemas.openxmlformats.org/officeDocument/2006/relationships/hyperlink" Target="https://www.sec.gov/Archives/edgar/data/1679273/000167927326000036/" TargetMode="External" Id="rId4" /><Relationship Type="http://schemas.openxmlformats.org/officeDocument/2006/relationships/hyperlink" Target="https://www.sec.gov/Archives/edgar/data/1659166/000119312526189078/" TargetMode="External" Id="rId5" /><Relationship Type="http://schemas.openxmlformats.org/officeDocument/2006/relationships/hyperlink" Target="#'Tear Sheets'!A515" TargetMode="External" Id="rId6" /><Relationship Type="http://schemas.openxmlformats.org/officeDocument/2006/relationships/hyperlink" Target="https://www.sec.gov/Archives/edgar/data/1530804/000114036126010422/" TargetMode="External" Id="rId7" /><Relationship Type="http://schemas.openxmlformats.org/officeDocument/2006/relationships/hyperlink" Target="#'Tear Sheets'!A4" TargetMode="External" Id="rId8" /><Relationship Type="http://schemas.openxmlformats.org/officeDocument/2006/relationships/hyperlink" Target="https://www.sec.gov/Archives/edgar/data/1108524/000110852426000085/" TargetMode="External" Id="rId9" /><Relationship Type="http://schemas.openxmlformats.org/officeDocument/2006/relationships/hyperlink" Target="#'Tear Sheets'!A397" TargetMode="External" Id="rId10" /><Relationship Type="http://schemas.openxmlformats.org/officeDocument/2006/relationships/hyperlink" Target="https://www.sec.gov/Archives/edgar/data/945841/000094584126000077/" TargetMode="External" Id="rId11" /><Relationship Type="http://schemas.openxmlformats.org/officeDocument/2006/relationships/hyperlink" Target="https://www.sec.gov/Archives/edgar/data/885639/000110465926041769/" TargetMode="External" Id="rId12" /></Relationships>
</file>

<file path=xl/worksheets/_rels/sheet8.xml.rels><Relationships xmlns="http://schemas.openxmlformats.org/package/2006/relationships"><Relationship Type="http://schemas.openxmlformats.org/officeDocument/2006/relationships/hyperlink" Target="#'Tear Sheets'!A308" TargetMode="External" Id="rId1" /><Relationship Type="http://schemas.openxmlformats.org/officeDocument/2006/relationships/hyperlink" Target="#'Tear Sheets'!A414" TargetMode="External" Id="rId2" /><Relationship Type="http://schemas.openxmlformats.org/officeDocument/2006/relationships/hyperlink" Target="#'Tear Sheets'!A464" TargetMode="External" Id="rId3" /><Relationship Type="http://schemas.openxmlformats.org/officeDocument/2006/relationships/hyperlink" Target="#'Tear Sheets'!A809" TargetMode="External" Id="rId4" /><Relationship Type="http://schemas.openxmlformats.org/officeDocument/2006/relationships/hyperlink" Target="#'Tear Sheets'!A750" TargetMode="External" Id="rId5" /><Relationship Type="http://schemas.openxmlformats.org/officeDocument/2006/relationships/hyperlink" Target="#'Tear Sheets'!A364" TargetMode="External" Id="rId6" /><Relationship Type="http://schemas.openxmlformats.org/officeDocument/2006/relationships/hyperlink" Target="#'Tear Sheets'!A706" TargetMode="External" Id="rId7" /><Relationship Type="http://schemas.openxmlformats.org/officeDocument/2006/relationships/hyperlink" Target="#'Tear Sheets'!A381" TargetMode="External" Id="rId8" /><Relationship Type="http://schemas.openxmlformats.org/officeDocument/2006/relationships/hyperlink" Target="#'Tear Sheets'!A824" TargetMode="External" Id="rId9" /><Relationship Type="http://schemas.openxmlformats.org/officeDocument/2006/relationships/hyperlink" Target="#'Tear Sheets'!A35" TargetMode="External" Id="rId10" /><Relationship Type="http://schemas.openxmlformats.org/officeDocument/2006/relationships/hyperlink" Target="#'Tear Sheets'!A547" TargetMode="External" Id="rId11" /><Relationship Type="http://schemas.openxmlformats.org/officeDocument/2006/relationships/hyperlink" Target="#'Tear Sheets'!A278" TargetMode="External" Id="rId12" /><Relationship Type="http://schemas.openxmlformats.org/officeDocument/2006/relationships/hyperlink" Target="#'Tear Sheets'!A735" TargetMode="External" Id="rId13" /><Relationship Type="http://schemas.openxmlformats.org/officeDocument/2006/relationships/hyperlink" Target="#'Tear Sheets'!A691" TargetMode="External" Id="rId14" /><Relationship Type="http://schemas.openxmlformats.org/officeDocument/2006/relationships/hyperlink" Target="#'Tear Sheets'!A842" TargetMode="External" Id="rId15" /><Relationship Type="http://schemas.openxmlformats.org/officeDocument/2006/relationships/hyperlink" Target="#'Tear Sheets'!A576" TargetMode="External" Id="rId16" /><Relationship Type="http://schemas.openxmlformats.org/officeDocument/2006/relationships/hyperlink" Target="#'Tear Sheets'!A346" TargetMode="External" Id="rId17" /><Relationship Type="http://schemas.openxmlformats.org/officeDocument/2006/relationships/hyperlink" Target="#'Tear Sheets'!A448" TargetMode="External" Id="rId18" /><Relationship Type="http://schemas.openxmlformats.org/officeDocument/2006/relationships/hyperlink" Target="#'Tear Sheets'!A720" TargetMode="External" Id="rId19" /></Relationships>
</file>

<file path=xl/worksheets/_rels/sheet9.xml.rels><Relationships xmlns="http://schemas.openxmlformats.org/package/2006/relationships"><Relationship Type="http://schemas.openxmlformats.org/officeDocument/2006/relationships/hyperlink" Target="#'Tear Sheets'!A691" TargetMode="External" Id="rId1" /><Relationship Type="http://schemas.openxmlformats.org/officeDocument/2006/relationships/hyperlink" Target="#'Tear Sheets'!A576" TargetMode="External" Id="rId2" /><Relationship Type="http://schemas.openxmlformats.org/officeDocument/2006/relationships/hyperlink" Target="#'Tear Sheets'!A720" TargetMode="External" Id="rId3" /><Relationship Type="http://schemas.openxmlformats.org/officeDocument/2006/relationships/hyperlink" Target="#'Tear Sheets'!A346" TargetMode="External" Id="rId4" /><Relationship Type="http://schemas.openxmlformats.org/officeDocument/2006/relationships/hyperlink" Target="#'Tear Sheets'!A706" TargetMode="External" Id="rId5" /><Relationship Type="http://schemas.openxmlformats.org/officeDocument/2006/relationships/hyperlink" Target="#'Tear Sheets'!A448" TargetMode="External" Id="rId6" /><Relationship Type="http://schemas.openxmlformats.org/officeDocument/2006/relationships/hyperlink" Target="#'Tear Sheets'!A735" TargetMode="External" Id="rId7" /><Relationship Type="http://schemas.openxmlformats.org/officeDocument/2006/relationships/hyperlink" Target="#'Tear Sheets'!A464" TargetMode="External" Id="rId8" /><Relationship Type="http://schemas.openxmlformats.org/officeDocument/2006/relationships/hyperlink" Target="#'Tear Sheets'!A414" TargetMode="External" Id="rId9" /><Relationship Type="http://schemas.openxmlformats.org/officeDocument/2006/relationships/hyperlink" Target="#'Tear Sheets'!A750" TargetMode="External" Id="rId10" /><Relationship Type="http://schemas.openxmlformats.org/officeDocument/2006/relationships/hyperlink" Target="#'Tear Sheets'!A308" TargetMode="External" Id="rId11" /><Relationship Type="http://schemas.openxmlformats.org/officeDocument/2006/relationships/hyperlink" Target="#'Tear Sheets'!A479" TargetMode="External" Id="rId12" /><Relationship Type="http://schemas.openxmlformats.org/officeDocument/2006/relationships/hyperlink" Target="#'Tear Sheets'!A765" TargetMode="External" Id="rId13" /><Relationship Type="http://schemas.openxmlformats.org/officeDocument/2006/relationships/hyperlink" Target="#'Tear Sheets'!A364" TargetMode="External" Id="rId14" /><Relationship Type="http://schemas.openxmlformats.org/officeDocument/2006/relationships/hyperlink" Target="#'Tear Sheets'!A381" TargetMode="External" Id="rId15" /><Relationship Type="http://schemas.openxmlformats.org/officeDocument/2006/relationships/hyperlink" Target="#'Tear Sheets'!A780" TargetMode="External" Id="rId16" /><Relationship Type="http://schemas.openxmlformats.org/officeDocument/2006/relationships/hyperlink" Target="#'Tear Sheets'!A663" TargetMode="External" Id="rId17" /><Relationship Type="http://schemas.openxmlformats.org/officeDocument/2006/relationships/hyperlink" Target="#'Tear Sheets'!A112" TargetMode="External" Id="rId18" /><Relationship Type="http://schemas.openxmlformats.org/officeDocument/2006/relationships/hyperlink" Target="#'Tear Sheets'!A794" TargetMode="External" Id="rId19" /></Relationships>
</file>

<file path=xl/worksheets/_rels/sheet10.xml.rels><Relationships xmlns="http://schemas.openxmlformats.org/package/2006/relationships"><Relationship Type="http://schemas.openxmlformats.org/officeDocument/2006/relationships/hyperlink" Target="#'Tear Sheets'!A691" TargetMode="External" Id="rId1" /><Relationship Type="http://schemas.openxmlformats.org/officeDocument/2006/relationships/hyperlink" Target="#'Tear Sheets'!A706" TargetMode="External" Id="rId2" /><Relationship Type="http://schemas.openxmlformats.org/officeDocument/2006/relationships/hyperlink" Target="#'Tear Sheets'!A346" TargetMode="External" Id="rId3" /></Relationships>
</file>

<file path=xl/worksheets/_rels/sheet11.xml.rels><Relationships xmlns="http://schemas.openxmlformats.org/package/2006/relationships"><Relationship Type="http://schemas.openxmlformats.org/officeDocument/2006/relationships/hyperlink" Target="#'Tear Sheets'!A892" TargetMode="External" Id="rId1" /><Relationship Type="http://schemas.openxmlformats.org/officeDocument/2006/relationships/hyperlink" Target="#'Tear Sheets'!A381" TargetMode="External" Id="rId2" /><Relationship Type="http://schemas.openxmlformats.org/officeDocument/2006/relationships/hyperlink" Target="#'Tear Sheets'!A911" TargetMode="External" Id="rId3" /><Relationship Type="http://schemas.openxmlformats.org/officeDocument/2006/relationships/hyperlink" Target="#'Tear Sheets'!A929" TargetMode="External" Id="rId4" /><Relationship Type="http://schemas.openxmlformats.org/officeDocument/2006/relationships/hyperlink" Target="#'Tear Sheets'!A780" TargetMode="External" Id="rId5" /><Relationship Type="http://schemas.openxmlformats.org/officeDocument/2006/relationships/hyperlink" Target="#'Tear Sheets'!A842" TargetMode="External" Id="rId6" /><Relationship Type="http://schemas.openxmlformats.org/officeDocument/2006/relationships/hyperlink" Target="#'Tear Sheets'!A429" TargetMode="External" Id="rId7" /><Relationship Type="http://schemas.openxmlformats.org/officeDocument/2006/relationships/hyperlink" Target="#'Tear Sheets'!A448" TargetMode="External" Id="rId8" /><Relationship Type="http://schemas.openxmlformats.org/officeDocument/2006/relationships/hyperlink" Target="#'Tear Sheets'!A364" TargetMode="External" Id="rId9" /><Relationship Type="http://schemas.openxmlformats.org/officeDocument/2006/relationships/hyperlink" Target="#'Tear Sheets'!A494" TargetMode="External" Id="rId10" /><Relationship Type="http://schemas.openxmlformats.org/officeDocument/2006/relationships/hyperlink" Target="#'Tear Sheets'!A531" TargetMode="External" Id="rId11" /><Relationship Type="http://schemas.openxmlformats.org/officeDocument/2006/relationships/hyperlink" Target="#'Tear Sheets'!A824" TargetMode="External" Id="rId12" /><Relationship Type="http://schemas.openxmlformats.org/officeDocument/2006/relationships/hyperlink" Target="#'Tear Sheets'!A414" TargetMode="External" Id="rId13" /><Relationship Type="http://schemas.openxmlformats.org/officeDocument/2006/relationships/hyperlink" Target="#'Tear Sheets'!A308" TargetMode="External" Id="rId14" /><Relationship Type="http://schemas.openxmlformats.org/officeDocument/2006/relationships/hyperlink" Target="#'Tear Sheets'!A874" TargetMode="External" Id="rId15" /><Relationship Type="http://schemas.openxmlformats.org/officeDocument/2006/relationships/hyperlink" Target="#'Tear Sheets'!A230" TargetMode="External" Id="rId16" /><Relationship Type="http://schemas.openxmlformats.org/officeDocument/2006/relationships/hyperlink" Target="#'Tear Sheets'!A735" TargetMode="External" Id="rId17" /><Relationship Type="http://schemas.openxmlformats.org/officeDocument/2006/relationships/hyperlink" Target="#'Tear Sheets'!A809" TargetMode="External" Id="rId18" /><Relationship Type="http://schemas.openxmlformats.org/officeDocument/2006/relationships/hyperlink" Target="#'Tear Sheets'!A346" TargetMode="External" Id="rId19" /></Relationships>
</file>

<file path=xl/worksheets/_rels/sheet12.xml.rels><Relationships xmlns="http://schemas.openxmlformats.org/package/2006/relationships"><Relationship Type="http://schemas.openxmlformats.org/officeDocument/2006/relationships/hyperlink" Target="#'Tear Sheets'!A824" TargetMode="External" Id="rId1" /><Relationship Type="http://schemas.openxmlformats.org/officeDocument/2006/relationships/hyperlink" Target="https://www.sec.gov/Archives/edgar/data/1800227/000162828026061531/" TargetMode="External" Id="rId2" /><Relationship Type="http://schemas.openxmlformats.org/officeDocument/2006/relationships/hyperlink" Target="#'Tear Sheets'!A824" TargetMode="External" Id="rId3" /><Relationship Type="http://schemas.openxmlformats.org/officeDocument/2006/relationships/hyperlink" Target="https://www.sec.gov/Archives/edgar/data/1800227/000162828026061531/" TargetMode="External" Id="rId4" /><Relationship Type="http://schemas.openxmlformats.org/officeDocument/2006/relationships/hyperlink" Target="https://www.sec.gov/Archives/edgar/data/40987/000119312526385959/" TargetMode="External" Id="rId5" /><Relationship Type="http://schemas.openxmlformats.org/officeDocument/2006/relationships/hyperlink" Target="https://www.sec.gov/Archives/edgar/data/1839285/000121390026097953/" TargetMode="External" Id="rId6" /><Relationship Type="http://schemas.openxmlformats.org/officeDocument/2006/relationships/hyperlink" Target="https://www.sec.gov/Archives/edgar/data/1839285/000121390026097953/" TargetMode="External" Id="rId7" /><Relationship Type="http://schemas.openxmlformats.org/officeDocument/2006/relationships/hyperlink" Target="https://www.sec.gov/Archives/edgar/data/1839285/000121390026097953/" TargetMode="External" Id="rId8" /><Relationship Type="http://schemas.openxmlformats.org/officeDocument/2006/relationships/hyperlink" Target="https://www.sec.gov/Archives/edgar/data/1755672/000119312526377055/" TargetMode="External" Id="rId9" /><Relationship Type="http://schemas.openxmlformats.org/officeDocument/2006/relationships/hyperlink" Target="https://www.sec.gov/Archives/edgar/data/1755672/000119312526377055/" TargetMode="External" Id="rId10" /><Relationship Type="http://schemas.openxmlformats.org/officeDocument/2006/relationships/hyperlink" Target="https://www.sec.gov/Archives/edgar/data/1740332/000174033226000022/" TargetMode="External" Id="rId11" /><Relationship Type="http://schemas.openxmlformats.org/officeDocument/2006/relationships/hyperlink" Target="https://www.sec.gov/Archives/edgar/data/10795/000162828026053790/" TargetMode="External" Id="rId12" /><Relationship Type="http://schemas.openxmlformats.org/officeDocument/2006/relationships/hyperlink" Target="https://www.sec.gov/Archives/edgar/data/2023554/000162828026053346/" TargetMode="External" Id="rId13" /><Relationship Type="http://schemas.openxmlformats.org/officeDocument/2006/relationships/hyperlink" Target="https://www.sec.gov/Archives/edgar/data/2105139/000121390026084882/" TargetMode="External" Id="rId14" /><Relationship Type="http://schemas.openxmlformats.org/officeDocument/2006/relationships/hyperlink" Target="https://www.sec.gov/Archives/edgar/data/2105139/000121390026084882/" TargetMode="External" Id="rId15" /><Relationship Type="http://schemas.openxmlformats.org/officeDocument/2006/relationships/hyperlink" Target="#'Tear Sheets'!A230" TargetMode="External" Id="rId16" /><Relationship Type="http://schemas.openxmlformats.org/officeDocument/2006/relationships/hyperlink" Target="https://www.sec.gov/Archives/edgar/data/1521332/000152133226000057/" TargetMode="External" Id="rId17" /><Relationship Type="http://schemas.openxmlformats.org/officeDocument/2006/relationships/hyperlink" Target="#'Tear Sheets'!A429" TargetMode="External" Id="rId18" /><Relationship Type="http://schemas.openxmlformats.org/officeDocument/2006/relationships/hyperlink" Target="https://www.sec.gov/Archives/edgar/data/1551182/000155118226000027/" TargetMode="External" Id="rId19" /><Relationship Type="http://schemas.openxmlformats.org/officeDocument/2006/relationships/hyperlink" Target="#'Tear Sheets'!A429" TargetMode="External" Id="rId20" /><Relationship Type="http://schemas.openxmlformats.org/officeDocument/2006/relationships/hyperlink" Target="https://www.sec.gov/Archives/edgar/data/1551182/000155118226000027/" TargetMode="External" Id="rId21" /><Relationship Type="http://schemas.openxmlformats.org/officeDocument/2006/relationships/hyperlink" Target="https://www.sec.gov/Archives/edgar/data/1478320/000119312526323753/" TargetMode="External" Id="rId22" /><Relationship Type="http://schemas.openxmlformats.org/officeDocument/2006/relationships/hyperlink" Target="https://www.sec.gov/Archives/edgar/data/1860742/000186074226000086/" TargetMode="External" Id="rId23" /><Relationship Type="http://schemas.openxmlformats.org/officeDocument/2006/relationships/hyperlink" Target="#'Tear Sheets'!A892" TargetMode="External" Id="rId24" /><Relationship Type="http://schemas.openxmlformats.org/officeDocument/2006/relationships/hyperlink" Target="https://www.sec.gov/Archives/edgar/data/885590/000088559026000105/" TargetMode="External" Id="rId25" /><Relationship Type="http://schemas.openxmlformats.org/officeDocument/2006/relationships/hyperlink" Target="#'Tear Sheets'!A892" TargetMode="External" Id="rId26" /><Relationship Type="http://schemas.openxmlformats.org/officeDocument/2006/relationships/hyperlink" Target="https://www.sec.gov/Archives/edgar/data/885590/000088559026000105/" TargetMode="External" Id="rId27" /><Relationship Type="http://schemas.openxmlformats.org/officeDocument/2006/relationships/hyperlink" Target="#'Tear Sheets'!A494" TargetMode="External" Id="rId28" /><Relationship Type="http://schemas.openxmlformats.org/officeDocument/2006/relationships/hyperlink" Target="https://www.sec.gov/Archives/edgar/data/64040/000006404026000040/" TargetMode="External" Id="rId29" /><Relationship Type="http://schemas.openxmlformats.org/officeDocument/2006/relationships/hyperlink" Target="https://www.sec.gov/Archives/edgar/data/1144879/000114487926000044/" TargetMode="External" Id="rId30" /><Relationship Type="http://schemas.openxmlformats.org/officeDocument/2006/relationships/hyperlink" Target="#'Tear Sheets'!A874" TargetMode="External" Id="rId31" /><Relationship Type="http://schemas.openxmlformats.org/officeDocument/2006/relationships/hyperlink" Target="https://www.sec.gov/Archives/edgar/data/773840/000077384026000120/" TargetMode="External" Id="rId32" /><Relationship Type="http://schemas.openxmlformats.org/officeDocument/2006/relationships/hyperlink" Target="#'Tear Sheets'!A842" TargetMode="External" Id="rId33" /><Relationship Type="http://schemas.openxmlformats.org/officeDocument/2006/relationships/hyperlink" Target="https://www.sec.gov/Archives/edgar/data/894315/000119312526292524/" TargetMode="External" Id="rId34" /><Relationship Type="http://schemas.openxmlformats.org/officeDocument/2006/relationships/hyperlink" Target="https://www.sec.gov/Archives/edgar/data/1048911/000104891126000050/" TargetMode="External" Id="rId35" /><Relationship Type="http://schemas.openxmlformats.org/officeDocument/2006/relationships/hyperlink" Target="#'Tear Sheets'!A929" TargetMode="External" Id="rId36" /><Relationship Type="http://schemas.openxmlformats.org/officeDocument/2006/relationships/hyperlink" Target="https://www.sec.gov/Archives/edgar/data/1418135/000095014226001848/" TargetMode="External" Id="rId37" /><Relationship Type="http://schemas.openxmlformats.org/officeDocument/2006/relationships/hyperlink" Target="https://www.sec.gov/Archives/edgar/data/2088281/000119312526276742/" TargetMode="External" Id="rId38" /><Relationship Type="http://schemas.openxmlformats.org/officeDocument/2006/relationships/hyperlink" Target="https://www.sec.gov/Archives/edgar/data/1478320/000119312526271117/" TargetMode="External" Id="rId39" /><Relationship Type="http://schemas.openxmlformats.org/officeDocument/2006/relationships/hyperlink" Target="https://www.sec.gov/Archives/edgar/data/1478320/000119312526271117/" TargetMode="External" Id="rId40" /><Relationship Type="http://schemas.openxmlformats.org/officeDocument/2006/relationships/hyperlink" Target="https://www.sec.gov/Archives/edgar/data/2089271/000162828026043193/" TargetMode="External" Id="rId41" /><Relationship Type="http://schemas.openxmlformats.org/officeDocument/2006/relationships/hyperlink" Target="https://www.sec.gov/Archives/edgar/data/2089271/000162828026043193/" TargetMode="External" Id="rId42" /><Relationship Type="http://schemas.openxmlformats.org/officeDocument/2006/relationships/hyperlink" Target="#'Tear Sheets'!A929" TargetMode="External" Id="rId43" /><Relationship Type="http://schemas.openxmlformats.org/officeDocument/2006/relationships/hyperlink" Target="https://www.sec.gov/Archives/edgar/data/1418135/000141813526000036/" TargetMode="External" Id="rId44" /><Relationship Type="http://schemas.openxmlformats.org/officeDocument/2006/relationships/hyperlink" Target="https://www.sec.gov/Archives/edgar/data/26780/000119312526266654/" TargetMode="External" Id="rId45" /><Relationship Type="http://schemas.openxmlformats.org/officeDocument/2006/relationships/hyperlink" Target="https://www.sec.gov/Archives/edgar/data/2082247/000110465926068521/" TargetMode="External" Id="rId46" /><Relationship Type="http://schemas.openxmlformats.org/officeDocument/2006/relationships/hyperlink" Target="https://www.sec.gov/Archives/edgar/data/2083632/000162828026037912/" TargetMode="External" Id="rId47" /><Relationship Type="http://schemas.openxmlformats.org/officeDocument/2006/relationships/hyperlink" Target="#'Tear Sheets'!A494" TargetMode="External" Id="rId48" /><Relationship Type="http://schemas.openxmlformats.org/officeDocument/2006/relationships/hyperlink" Target="https://www.sec.gov/Archives/edgar/data/64040/000110465926064848/" TargetMode="External" Id="rId49" /><Relationship Type="http://schemas.openxmlformats.org/officeDocument/2006/relationships/hyperlink" Target="https://www.sec.gov/Archives/edgar/data/2082247/000110465926063207/" TargetMode="External" Id="rId50" /><Relationship Type="http://schemas.openxmlformats.org/officeDocument/2006/relationships/hyperlink" Target="https://www.sec.gov/Archives/edgar/data/1763950/000149315226023758/" TargetMode="External" Id="rId51" /><Relationship Type="http://schemas.openxmlformats.org/officeDocument/2006/relationships/hyperlink" Target="https://www.sec.gov/Archives/edgar/data/1763950/000149315226023758/" TargetMode="External" Id="rId52" /><Relationship Type="http://schemas.openxmlformats.org/officeDocument/2006/relationships/hyperlink" Target="https://www.sec.gov/Archives/edgar/data/1048911/000110465926060233/" TargetMode="External" Id="rId53" /><Relationship Type="http://schemas.openxmlformats.org/officeDocument/2006/relationships/hyperlink" Target="#'Tear Sheets'!A494" TargetMode="External" Id="rId54" /><Relationship Type="http://schemas.openxmlformats.org/officeDocument/2006/relationships/hyperlink" Target="https://www.sec.gov/Archives/edgar/data/64040/000006404026000019/" TargetMode="External" Id="rId55" /><Relationship Type="http://schemas.openxmlformats.org/officeDocument/2006/relationships/hyperlink" Target="#'Tear Sheets'!A874" TargetMode="External" Id="rId56" /><Relationship Type="http://schemas.openxmlformats.org/officeDocument/2006/relationships/hyperlink" Target="https://www.sec.gov/Archives/edgar/data/773840/000077384026000055/" TargetMode="External" Id="rId57" /><Relationship Type="http://schemas.openxmlformats.org/officeDocument/2006/relationships/hyperlink" Target="https://www.sec.gov/Archives/edgar/data/2078008/000119312526138219/" TargetMode="External" Id="rId58" /><Relationship Type="http://schemas.openxmlformats.org/officeDocument/2006/relationships/hyperlink" Target="#'Tear Sheets'!A230" TargetMode="External" Id="rId59" /><Relationship Type="http://schemas.openxmlformats.org/officeDocument/2006/relationships/hyperlink" Target="https://www.sec.gov/Archives/edgar/data/1521332/000095010326004474/" TargetMode="External" Id="rId60" /><Relationship Type="http://schemas.openxmlformats.org/officeDocument/2006/relationships/hyperlink" Target="#'Tear Sheets'!A929" TargetMode="External" Id="rId61" /><Relationship Type="http://schemas.openxmlformats.org/officeDocument/2006/relationships/hyperlink" Target="https://www.sec.gov/Archives/edgar/data/1418135/000119312526099459/" TargetMode="External" Id="rId62" /><Relationship Type="http://schemas.openxmlformats.org/officeDocument/2006/relationships/hyperlink" Target="#'Tear Sheets'!A911" TargetMode="External" Id="rId63" /><Relationship Type="http://schemas.openxmlformats.org/officeDocument/2006/relationships/hyperlink" Target="https://www.sec.gov/Archives/edgar/data/1437107/000143710726000018/" TargetMode="External" Id="rId64" /><Relationship Type="http://schemas.openxmlformats.org/officeDocument/2006/relationships/hyperlink" Target="#'Tear Sheets'!A911" TargetMode="External" Id="rId65" /><Relationship Type="http://schemas.openxmlformats.org/officeDocument/2006/relationships/hyperlink" Target="https://www.sec.gov/Archives/edgar/data/1437107/000143710726000011/" TargetMode="External" Id="rId66" /><Relationship Type="http://schemas.openxmlformats.org/officeDocument/2006/relationships/hyperlink" Target="#'Tear Sheets'!A842" TargetMode="External" Id="rId67" /><Relationship Type="http://schemas.openxmlformats.org/officeDocument/2006/relationships/hyperlink" Target="https://www.sec.gov/Archives/edgar/data/894315/000119312526076738/" TargetMode="External" Id="rId68" /><Relationship Type="http://schemas.openxmlformats.org/officeDocument/2006/relationships/hyperlink" Target="#'Tear Sheets'!A531" TargetMode="External" Id="rId69" /><Relationship Type="http://schemas.openxmlformats.org/officeDocument/2006/relationships/hyperlink" Target="https://www.sec.gov/Archives/edgar/data/1136893/000113689326000009/" TargetMode="External" Id="rId70" /><Relationship Type="http://schemas.openxmlformats.org/officeDocument/2006/relationships/hyperlink" Target="https://www.sec.gov/Archives/edgar/data/2035989/000203598926000020/" TargetMode="External" Id="rId71" /><Relationship Type="http://schemas.openxmlformats.org/officeDocument/2006/relationships/hyperlink" Target="#'Tear Sheets'!A892" TargetMode="External" Id="rId72" /><Relationship Type="http://schemas.openxmlformats.org/officeDocument/2006/relationships/hyperlink" Target="https://www.sec.gov/Archives/edgar/data/885590/000088559026000020/" TargetMode="External" Id="rId73" /><Relationship Type="http://schemas.openxmlformats.org/officeDocument/2006/relationships/hyperlink" Target="https://www.sec.gov/Archives/edgar/data/40987/000119312526053013/" TargetMode="External" Id="rId74" /><Relationship Type="http://schemas.openxmlformats.org/officeDocument/2006/relationships/hyperlink" Target="https://www.sec.gov/Archives/edgar/data/1000697/000119312526041897/" TargetMode="External" Id="rId75" /><Relationship Type="http://schemas.openxmlformats.org/officeDocument/2006/relationships/hyperlink" Target="https://www.sec.gov/Archives/edgar/data/67347/000110465926008087/" TargetMode="External" Id="rId76" /><Relationship Type="http://schemas.openxmlformats.org/officeDocument/2006/relationships/hyperlink" Target="https://www.sec.gov/Archives/edgar/data/903129/000119312526028170/" TargetMode="External" Id="rId77" /><Relationship Type="http://schemas.openxmlformats.org/officeDocument/2006/relationships/hyperlink" Target="https://www.sec.gov/Archives/edgar/data/1065280/000106528026000033/" TargetMode="External" Id="rId78" /><Relationship Type="http://schemas.openxmlformats.org/officeDocument/2006/relationships/hyperlink" Target="https://www.sec.gov/Archives/edgar/data/1065280/000106528026000033/" TargetMode="External" Id="rId79" /></Relationships>
</file>

<file path=xl/worksheets/_rels/sheet13.xml.rels><Relationships xmlns="http://schemas.openxmlformats.org/package/2006/relationships"><Relationship Type="http://schemas.openxmlformats.org/officeDocument/2006/relationships/hyperlink" Target="#'Tear Sheets'!A794" TargetMode="External" Id="rId1" /><Relationship Type="http://schemas.openxmlformats.org/officeDocument/2006/relationships/hyperlink" Target="#'Tear Sheets'!A765" TargetMode="External" Id="rId2" /><Relationship Type="http://schemas.openxmlformats.org/officeDocument/2006/relationships/hyperlink" Target="#'Tear Sheets'!A479" TargetMode="External" Id="rId3" /></Relationships>
</file>

<file path=xl/worksheets/_rels/sheet14.xml.rels><Relationships xmlns="http://schemas.openxmlformats.org/package/2006/relationships"><Relationship Type="http://schemas.openxmlformats.org/officeDocument/2006/relationships/hyperlink" Target="#'Tear Sheets'!A308" TargetMode="External" Id="rId1" /><Relationship Type="http://schemas.openxmlformats.org/officeDocument/2006/relationships/hyperlink" Target="#'Tear Sheets'!A547" TargetMode="External" Id="rId2" /><Relationship Type="http://schemas.openxmlformats.org/officeDocument/2006/relationships/hyperlink" Target="#'Tear Sheets'!A780" TargetMode="External" Id="rId3" /><Relationship Type="http://schemas.openxmlformats.org/officeDocument/2006/relationships/hyperlink" Target="#'Tear Sheets'!A591" TargetMode="External" Id="rId4" /><Relationship Type="http://schemas.openxmlformats.org/officeDocument/2006/relationships/hyperlink" Target="#'Tear Sheets'!A278" TargetMode="External" Id="rId5" /><Relationship Type="http://schemas.openxmlformats.org/officeDocument/2006/relationships/hyperlink" Target="#'Tear Sheets'!A860" TargetMode="External" Id="rId6" /></Relationships>
</file>

<file path=xl/worksheets/_rels/sheet15.xml.rels><Relationships xmlns="http://schemas.openxmlformats.org/package/2006/relationships"><Relationship Type="http://schemas.openxmlformats.org/officeDocument/2006/relationships/hyperlink" Target="#'Tear Sheets'!A663" TargetMode="External" Id="rId1" /><Relationship Type="http://schemas.openxmlformats.org/officeDocument/2006/relationships/hyperlink" Target="#'Tear Sheets'!A911" TargetMode="External" Id="rId2" /><Relationship Type="http://schemas.openxmlformats.org/officeDocument/2006/relationships/hyperlink" Target="#'Tear Sheets'!A327" TargetMode="External" Id="rId3" /></Relationships>
</file>

<file path=xl/worksheets/_rels/sheet16.xml.rels><Relationships xmlns="http://schemas.openxmlformats.org/package/2006/relationships"><Relationship Type="http://schemas.openxmlformats.org/officeDocument/2006/relationships/hyperlink" Target="#'Tear Sheets'!A80" TargetMode="External" Id="rId1" /><Relationship Type="http://schemas.openxmlformats.org/officeDocument/2006/relationships/hyperlink" Target="#'Tear Sheets'!A66" TargetMode="External" Id="rId2" /><Relationship Type="http://schemas.openxmlformats.org/officeDocument/2006/relationships/hyperlink" Target="#'Tear Sheets'!A51" TargetMode="External" Id="rId3" /><Relationship Type="http://schemas.openxmlformats.org/officeDocument/2006/relationships/hyperlink" Target="#'Tear Sheets'!A464" TargetMode="External" Id="rId4" /><Relationship Type="http://schemas.openxmlformats.org/officeDocument/2006/relationships/hyperlink" Target="#'Tear Sheets'!A35" TargetMode="External" Id="rId5" /><Relationship Type="http://schemas.openxmlformats.org/officeDocument/2006/relationships/hyperlink" Target="#'Tear Sheets'!A720" TargetMode="External" Id="rId6" /><Relationship Type="http://schemas.openxmlformats.org/officeDocument/2006/relationships/hyperlink" Target="#'Tear Sheets'!A591" TargetMode="External" Id="rId7" /></Relationships>
</file>

<file path=xl/worksheets/_rels/sheet17.xml.rels><Relationships xmlns="http://schemas.openxmlformats.org/package/2006/relationships"><Relationship Type="http://schemas.openxmlformats.org/officeDocument/2006/relationships/hyperlink" Target="#'Tear Sheets'!A293" TargetMode="External" Id="rId1" /><Relationship Type="http://schemas.openxmlformats.org/officeDocument/2006/relationships/hyperlink" Target="#'Tear Sheets'!A794" TargetMode="External" Id="rId2" /><Relationship Type="http://schemas.openxmlformats.org/officeDocument/2006/relationships/hyperlink" Target="#'Tear Sheets'!A308" TargetMode="External" Id="rId3" /><Relationship Type="http://schemas.openxmlformats.org/officeDocument/2006/relationships/hyperlink" Target="#'Tear Sheets'!A750" TargetMode="External" Id="rId4" /><Relationship Type="http://schemas.openxmlformats.org/officeDocument/2006/relationships/hyperlink" Target="#'Tear Sheets'!A678" TargetMode="External" Id="rId5" /><Relationship Type="http://schemas.openxmlformats.org/officeDocument/2006/relationships/hyperlink" Target="#'Tear Sheets'!A479" TargetMode="External" Id="rId6" /></Relationships>
</file>

<file path=xl/worksheets/_rels/sheet18.xml.rels><Relationships xmlns="http://schemas.openxmlformats.org/package/2006/relationships"><Relationship Type="http://schemas.openxmlformats.org/officeDocument/2006/relationships/hyperlink" Target="#'Tear Sheets'!A51" TargetMode="External" Id="rId1" /><Relationship Type="http://schemas.openxmlformats.org/officeDocument/2006/relationships/hyperlink" Target="#'Tear Sheets'!A860" TargetMode="External" Id="rId2" /><Relationship Type="http://schemas.openxmlformats.org/officeDocument/2006/relationships/hyperlink" Target="#'Tear Sheets'!A35" TargetMode="External" Id="rId3" /><Relationship Type="http://schemas.openxmlformats.org/officeDocument/2006/relationships/hyperlink" Target="#'Tear Sheets'!A263" TargetMode="External" Id="rId4" /><Relationship Type="http://schemas.openxmlformats.org/officeDocument/2006/relationships/hyperlink" Target="#'Tear Sheets'!A494" TargetMode="External" Id="rId5" /><Relationship Type="http://schemas.openxmlformats.org/officeDocument/2006/relationships/hyperlink" Target="#'Tear Sheets'!A809" TargetMode="External" Id="rId6" /></Relationships>
</file>

<file path=xl/worksheets/_rels/sheet23.xml.rels><Relationships xmlns="http://schemas.openxmlformats.org/package/2006/relationships"><Relationship Type="http://schemas.openxmlformats.org/officeDocument/2006/relationships/hyperlink" Target="#'Tear Sheets'!A139" TargetMode="External" Id="rId1" /><Relationship Type="http://schemas.openxmlformats.org/officeDocument/2006/relationships/hyperlink" Target="#'Tear Sheets'!A327" TargetMode="External" Id="rId2" /><Relationship Type="http://schemas.openxmlformats.org/officeDocument/2006/relationships/hyperlink" Target="#'Tear Sheets'!A515" TargetMode="External" Id="rId3" /><Relationship Type="http://schemas.openxmlformats.org/officeDocument/2006/relationships/hyperlink" Target="#'Tear Sheets'!A531" TargetMode="External" Id="rId4" /><Relationship Type="http://schemas.openxmlformats.org/officeDocument/2006/relationships/hyperlink" Target="#'Tear Sheets'!A364" TargetMode="External" Id="rId5" /><Relationship Type="http://schemas.openxmlformats.org/officeDocument/2006/relationships/hyperlink" Target="#'Tear Sheets'!A293" TargetMode="External" Id="rId6" /><Relationship Type="http://schemas.openxmlformats.org/officeDocument/2006/relationships/hyperlink" Target="#'Tear Sheets'!A381" TargetMode="External" Id="rId7" /><Relationship Type="http://schemas.openxmlformats.org/officeDocument/2006/relationships/hyperlink" Target="#'Tear Sheets'!A547" TargetMode="External" Id="rId8" /><Relationship Type="http://schemas.openxmlformats.org/officeDocument/2006/relationships/hyperlink" Target="#'Tear Sheets'!A561" TargetMode="External" Id="rId9" /><Relationship Type="http://schemas.openxmlformats.org/officeDocument/2006/relationships/hyperlink" Target="#'Tear Sheets'!A397" TargetMode="External" Id="rId10" /><Relationship Type="http://schemas.openxmlformats.org/officeDocument/2006/relationships/hyperlink" Target="#'Tear Sheets'!A96" TargetMode="External" Id="rId11" /></Relationships>
</file>

<file path=xl/worksheets/_rels/sheet24.xml.rels><Relationships xmlns="http://schemas.openxmlformats.org/package/2006/relationships"><Relationship Type="http://schemas.openxmlformats.org/officeDocument/2006/relationships/hyperlink" Target="#'Tear Sheets'!A397" TargetMode="External" Id="rId1" /><Relationship Type="http://schemas.openxmlformats.org/officeDocument/2006/relationships/hyperlink" Target="#'Tear Sheets'!A139" TargetMode="External" Id="rId2" /><Relationship Type="http://schemas.openxmlformats.org/officeDocument/2006/relationships/hyperlink" Target="#'Tear Sheets'!A591" TargetMode="External" Id="rId3" /><Relationship Type="http://schemas.openxmlformats.org/officeDocument/2006/relationships/hyperlink" Target="#'Tear Sheets'!A172" TargetMode="External" Id="rId4" /><Relationship Type="http://schemas.openxmlformats.org/officeDocument/2006/relationships/hyperlink" Target="#'Tear Sheets'!A35" TargetMode="External" Id="rId5" /><Relationship Type="http://schemas.openxmlformats.org/officeDocument/2006/relationships/hyperlink" Target="#'Tear Sheets'!A327" TargetMode="External" Id="rId6" /><Relationship Type="http://schemas.openxmlformats.org/officeDocument/2006/relationships/hyperlink" Target="#'Tear Sheets'!A605" TargetMode="External" Id="rId7" /><Relationship Type="http://schemas.openxmlformats.org/officeDocument/2006/relationships/hyperlink" Target="#'Tear Sheets'!A619" TargetMode="External" Id="rId8" /><Relationship Type="http://schemas.openxmlformats.org/officeDocument/2006/relationships/hyperlink" Target="#'Tear Sheets'!A634" TargetMode="External" Id="rId9" /><Relationship Type="http://schemas.openxmlformats.org/officeDocument/2006/relationships/hyperlink" Target="#'Tear Sheets'!A649" TargetMode="External" Id="rId10" /><Relationship Type="http://schemas.openxmlformats.org/officeDocument/2006/relationships/hyperlink" Target="#'Tear Sheets'!A96" TargetMode="External" Id="rId11" /></Relationships>
</file>

<file path=xl/worksheets/_rels/sheet25.xml.rels><Relationships xmlns="http://schemas.openxmlformats.org/package/2006/relationships"><Relationship Type="http://schemas.openxmlformats.org/officeDocument/2006/relationships/hyperlink" Target="#'Tear Sheets'!A663" TargetMode="External" Id="rId1" /><Relationship Type="http://schemas.openxmlformats.org/officeDocument/2006/relationships/hyperlink" Target="#'Tear Sheets'!A605" TargetMode="External" Id="rId2" /><Relationship Type="http://schemas.openxmlformats.org/officeDocument/2006/relationships/hyperlink" Target="#'Tear Sheets'!A216" TargetMode="External" Id="rId3" /><Relationship Type="http://schemas.openxmlformats.org/officeDocument/2006/relationships/hyperlink" Target="#'Tear Sheets'!A649" TargetMode="External" Id="rId4" /><Relationship Type="http://schemas.openxmlformats.org/officeDocument/2006/relationships/hyperlink" Target="#'Tear Sheets'!A201" TargetMode="External" Id="rId5" /></Relationships>
</file>

<file path=xl/worksheets/_rels/sheet26.xml.rels><Relationships xmlns="http://schemas.openxmlformats.org/package/2006/relationships"><Relationship Type="http://schemas.openxmlformats.org/officeDocument/2006/relationships/hyperlink" Target="#'Tear Sheets'!A327" TargetMode="External" Id="rId1" /><Relationship Type="http://schemas.openxmlformats.org/officeDocument/2006/relationships/hyperlink" Target="#'Tear Sheets'!A364" TargetMode="External" Id="rId2" /><Relationship Type="http://schemas.openxmlformats.org/officeDocument/2006/relationships/hyperlink" Target="#'Tear Sheets'!A308" TargetMode="External" Id="rId3" /><Relationship Type="http://schemas.openxmlformats.org/officeDocument/2006/relationships/hyperlink" Target="#'Tear Sheets'!A414" TargetMode="External" Id="rId4" /><Relationship Type="http://schemas.openxmlformats.org/officeDocument/2006/relationships/hyperlink" Target="#'Tear Sheets'!A429" TargetMode="External" Id="rId5" /><Relationship Type="http://schemas.openxmlformats.org/officeDocument/2006/relationships/hyperlink" Target="#'Tear Sheets'!A678" TargetMode="External" Id="rId6" /></Relationships>
</file>

<file path=xl/worksheets/_rels/sheet27.xml.rels><Relationships xmlns="http://schemas.openxmlformats.org/package/2006/relationships"><Relationship Type="http://schemas.openxmlformats.org/officeDocument/2006/relationships/hyperlink" Target="#'Tear Sheets'!A576" TargetMode="External" Id="rId1" /></Relationships>
</file>

<file path=xl/worksheets/_rels/sheet28.xml.rels><Relationships xmlns="http://schemas.openxmlformats.org/package/2006/relationships"><Relationship Type="http://schemas.openxmlformats.org/officeDocument/2006/relationships/hyperlink" Target="#'Tear Sheets'!A605" TargetMode="External" Id="rId1" /><Relationship Type="http://schemas.openxmlformats.org/officeDocument/2006/relationships/hyperlink" Target="#'Tear Sheets'!A308" TargetMode="External" Id="rId2" /><Relationship Type="http://schemas.openxmlformats.org/officeDocument/2006/relationships/hyperlink" Target="#'Tear Sheets'!A80" TargetMode="External" Id="rId3" /><Relationship Type="http://schemas.openxmlformats.org/officeDocument/2006/relationships/hyperlink" Target="#'Tear Sheets'!A346" TargetMode="External" Id="rId4" /><Relationship Type="http://schemas.openxmlformats.org/officeDocument/2006/relationships/hyperlink" Target="#'Tear Sheets'!A649" TargetMode="External" Id="rId5" /><Relationship Type="http://schemas.openxmlformats.org/officeDocument/2006/relationships/hyperlink" Target="#'Tear Sheets'!A4" TargetMode="External" Id="rId6" /><Relationship Type="http://schemas.openxmlformats.org/officeDocument/2006/relationships/hyperlink" Target="#'Tear Sheets'!A249" TargetMode="External" Id="rId7" /></Relationships>
</file>

<file path=xl/worksheets/_rels/sheet29.xml.rels><Relationships xmlns="http://schemas.openxmlformats.org/package/2006/relationships"><Relationship Type="http://schemas.openxmlformats.org/officeDocument/2006/relationships/hyperlink" Target="#'Tear Sheets'!A4" TargetMode="External" Id="rId1" /><Relationship Type="http://schemas.openxmlformats.org/officeDocument/2006/relationships/hyperlink" Target="#'Tear Sheets'!A429" TargetMode="External" Id="rId2" /><Relationship Type="http://schemas.openxmlformats.org/officeDocument/2006/relationships/hyperlink" Target="#'Tear Sheets'!A874" TargetMode="External" Id="rId3" /><Relationship Type="http://schemas.openxmlformats.org/officeDocument/2006/relationships/hyperlink" Target="#'Tear Sheets'!A187" TargetMode="External" Id="rId4" /><Relationship Type="http://schemas.openxmlformats.org/officeDocument/2006/relationships/hyperlink" Target="#'Tear Sheets'!A494" TargetMode="External" Id="rId5" /><Relationship Type="http://schemas.openxmlformats.org/officeDocument/2006/relationships/hyperlink" Target="#'Tear Sheets'!A561" TargetMode="External" Id="rId6" /></Relationships>
</file>

<file path=xl/worksheets/_rels/sheet30.xml.rels><Relationships xmlns="http://schemas.openxmlformats.org/package/2006/relationships"><Relationship Type="http://schemas.openxmlformats.org/officeDocument/2006/relationships/hyperlink" Target="#'Tear Sheets'!A139" TargetMode="External" Id="rId1" /><Relationship Type="http://schemas.openxmlformats.org/officeDocument/2006/relationships/hyperlink" Target="#'Tear Sheets'!A515" TargetMode="External" Id="rId2" /><Relationship Type="http://schemas.openxmlformats.org/officeDocument/2006/relationships/hyperlink" Target="#'Tear Sheets'!A327" TargetMode="External" Id="rId3" /><Relationship Type="http://schemas.openxmlformats.org/officeDocument/2006/relationships/hyperlink" Target="#'Tear Sheets'!A929" TargetMode="External" Id="rId4" /><Relationship Type="http://schemas.openxmlformats.org/officeDocument/2006/relationships/hyperlink" Target="#'Tear Sheets'!A765" TargetMode="External" Id="rId5" /><Relationship Type="http://schemas.openxmlformats.org/officeDocument/2006/relationships/hyperlink" Target="#'Tear Sheets'!A619" TargetMode="External" Id="rId6" /><Relationship Type="http://schemas.openxmlformats.org/officeDocument/2006/relationships/hyperlink" Target="#'Tear Sheets'!A634" TargetMode="External" Id="rId7" /><Relationship Type="http://schemas.openxmlformats.org/officeDocument/2006/relationships/hyperlink" Target="#'Tear Sheets'!A464" TargetMode="External" Id="rId8" /><Relationship Type="http://schemas.openxmlformats.org/officeDocument/2006/relationships/hyperlink" Target="#'Tear Sheets'!A892" TargetMode="External" Id="rId9" /></Relationships>
</file>

<file path=xl/worksheets/_rels/sheet31.xml.rels><Relationships xmlns="http://schemas.openxmlformats.org/package/2006/relationships"><Relationship Type="http://schemas.openxmlformats.org/officeDocument/2006/relationships/hyperlink" Target="#'Tear Sheets'!A4" TargetMode="External" Id="rId1" /><Relationship Type="http://schemas.openxmlformats.org/officeDocument/2006/relationships/hyperlink" Target="#'Tear Sheets'!A158" TargetMode="External" Id="rId2" /><Relationship Type="http://schemas.openxmlformats.org/officeDocument/2006/relationships/hyperlink" Target="#'Tear Sheets'!A172" TargetMode="External" Id="rId3" /><Relationship Type="http://schemas.openxmlformats.org/officeDocument/2006/relationships/hyperlink" Target="#'Tear Sheets'!A22" TargetMode="External" Id="rId4" /><Relationship Type="http://schemas.openxmlformats.org/officeDocument/2006/relationships/hyperlink" Target="#'Tear Sheets'!A249" TargetMode="External" Id="rId5" /><Relationship Type="http://schemas.openxmlformats.org/officeDocument/2006/relationships/hyperlink" Target="#'Tear Sheets'!A96" TargetMode="External" Id="rId6" /><Relationship Type="http://schemas.openxmlformats.org/officeDocument/2006/relationships/hyperlink" Target="#'Tear Sheets'!A126" TargetMode="External" Id="rId7" /><Relationship Type="http://schemas.openxmlformats.org/officeDocument/2006/relationships/hyperlink" Target="#'Tear Sheets'!A397" TargetMode="External" Id="rId8" /><Relationship Type="http://schemas.openxmlformats.org/officeDocument/2006/relationships/hyperlink" Target="#'Tear Sheets'!A263" TargetMode="External" Id="rId9" /><Relationship Type="http://schemas.openxmlformats.org/officeDocument/2006/relationships/hyperlink" Target="#'Tear Sheets'!A139" TargetMode="External" Id="rId10" /><Relationship Type="http://schemas.openxmlformats.org/officeDocument/2006/relationships/hyperlink" Target="#'Tear Sheets'!A201" TargetMode="External" Id="rId11" /><Relationship Type="http://schemas.openxmlformats.org/officeDocument/2006/relationships/hyperlink" Target="#'Tear Sheets'!A216" TargetMode="External" Id="rId12" /><Relationship Type="http://schemas.openxmlformats.org/officeDocument/2006/relationships/hyperlink" Target="#'Tear Sheets'!A187" TargetMode="External" Id="rId13" /><Relationship Type="http://schemas.openxmlformats.org/officeDocument/2006/relationships/hyperlink" Target="#'Tear Sheets'!A634" TargetMode="External" Id="rId14" /><Relationship Type="http://schemas.openxmlformats.org/officeDocument/2006/relationships/hyperlink" Target="#'Tear Sheets'!A80" TargetMode="External" Id="rId15" /><Relationship Type="http://schemas.openxmlformats.org/officeDocument/2006/relationships/hyperlink" Target="#'Tear Sheets'!A860" TargetMode="External" Id="rId16" /><Relationship Type="http://schemas.openxmlformats.org/officeDocument/2006/relationships/hyperlink" Target="#'Tear Sheets'!A619" TargetMode="External" Id="rId17" /><Relationship Type="http://schemas.openxmlformats.org/officeDocument/2006/relationships/hyperlink" Target="#'Tear Sheets'!A230" TargetMode="External" Id="rId18" /><Relationship Type="http://schemas.openxmlformats.org/officeDocument/2006/relationships/hyperlink" Target="#'Tear Sheets'!A561" TargetMode="External" Id="rId19" /></Relationships>
</file>

<file path=xl/worksheets/_rels/sheet33.xml.rels><Relationships xmlns="http://schemas.openxmlformats.org/package/2006/relationships"><Relationship Type="http://schemas.openxmlformats.org/officeDocument/2006/relationships/hyperlink" Target="#'Tear Sheets'!A448" TargetMode="External" Id="rId1" /><Relationship Type="http://schemas.openxmlformats.org/officeDocument/2006/relationships/hyperlink" Target="#'Tear Sheets'!A448" TargetMode="External" Id="rId2" /><Relationship Type="http://schemas.openxmlformats.org/officeDocument/2006/relationships/hyperlink" Target="#'Tear Sheets'!A678" TargetMode="External" Id="rId3" /><Relationship Type="http://schemas.openxmlformats.org/officeDocument/2006/relationships/hyperlink" Target="#'Tear Sheets'!A381" TargetMode="External" Id="rId4" /><Relationship Type="http://schemas.openxmlformats.org/officeDocument/2006/relationships/hyperlink" Target="#'Tear Sheets'!A479" TargetMode="External" Id="rId5" /><Relationship Type="http://schemas.openxmlformats.org/officeDocument/2006/relationships/hyperlink" Target="#'Tear Sheets'!A346" TargetMode="External" Id="rId6" /></Relationships>
</file>

<file path=xl/worksheets/sheet1.xml><?xml version="1.0" encoding="utf-8"?>
<worksheet xmlns="http://schemas.openxmlformats.org/spreadsheetml/2006/main">
  <sheetPr>
    <tabColor rgb="001F3864"/>
    <outlinePr summaryBelow="1" summaryRight="1"/>
    <pageSetUpPr fitToPage="1"/>
  </sheetPr>
  <dimension ref="A1:D40"/>
  <sheetViews>
    <sheetView showGridLines="0" workbookViewId="0">
      <selection activeCell="A1" sqref="A1"/>
    </sheetView>
  </sheetViews>
  <sheetFormatPr baseColWidth="8" defaultRowHeight="15"/>
  <cols>
    <col width="11" customWidth="1" min="1" max="1"/>
    <col width="26" customWidth="1" min="2" max="2"/>
    <col width="90" customWidth="1" min="3" max="3"/>
  </cols>
  <sheetData>
    <row r="1" ht="26" customHeight="1">
      <c r="A1" s="1" t="inlineStr">
        <is>
          <t>The Asymmetric Equities Workbook</t>
        </is>
      </c>
    </row>
    <row r="2" ht="18" customHeight="1">
      <c r="A2" s="2" t="inlineStr">
        <is>
          <t>Contents — a structural map of the 45-layer universe analysis</t>
        </is>
      </c>
      <c r="B2" s="3" t="n"/>
      <c r="C2" s="3" t="n"/>
    </row>
    <row r="3" ht="8" customHeight="1"/>
    <row r="4" ht="18" customHeight="1">
      <c r="A4" s="4" t="inlineStr">
        <is>
          <t>Group</t>
        </is>
      </c>
      <c r="B4" s="4" t="inlineStr">
        <is>
          <t>Tab</t>
        </is>
      </c>
      <c r="C4" s="4" t="inlineStr">
        <is>
          <t>What it contains</t>
        </is>
      </c>
    </row>
    <row r="5" ht="16" customHeight="1">
      <c r="A5" s="5" t="inlineStr">
        <is>
          <t>Decide</t>
        </is>
      </c>
      <c r="B5" s="6" t="inlineStr">
        <is>
          <t>Cover</t>
        </is>
      </c>
      <c r="C5" s="6" t="inlineStr">
        <is>
          <t>Executive summary and the convergent shortlist.</t>
        </is>
      </c>
    </row>
    <row r="6" ht="16" customHeight="1">
      <c r="A6" s="7" t="inlineStr">
        <is>
          <t>Decide</t>
        </is>
      </c>
      <c r="B6" s="8" t="inlineStr">
        <is>
          <t>What's New</t>
        </is>
      </c>
      <c r="C6" s="8" t="inlineStr">
        <is>
          <t>Recent events, appointments, call commitments and governance actions, with the move since.</t>
        </is>
      </c>
    </row>
    <row r="7" ht="16" customHeight="1">
      <c r="A7" s="5" t="inlineStr">
        <is>
          <t>Decide</t>
        </is>
      </c>
      <c r="B7" s="6" t="inlineStr">
        <is>
          <t>Most Asymmetric</t>
        </is>
      </c>
      <c r="C7" s="6" t="inlineStr">
        <is>
          <t>Per-name detail for the highest layer-count names.</t>
        </is>
      </c>
    </row>
    <row r="8" ht="16" customHeight="1">
      <c r="A8" s="7" t="inlineStr">
        <is>
          <t>Decide</t>
        </is>
      </c>
      <c r="B8" s="8" t="inlineStr">
        <is>
          <t>Tear Sheets</t>
        </is>
      </c>
      <c r="C8" s="8" t="inlineStr">
        <is>
          <t>One block per name: financial panel + every tab it appears on, with strength percentiles.</t>
        </is>
      </c>
    </row>
    <row r="9" ht="16" customHeight="1">
      <c r="A9" s="5" t="inlineStr">
        <is>
          <t>Decide</t>
        </is>
      </c>
      <c r="B9" s="6" t="inlineStr">
        <is>
          <t>Name Financials</t>
        </is>
      </c>
      <c r="C9" s="6" t="inlineStr">
        <is>
          <t>FMP financial panel for every name in the book + the tabs each appears on.</t>
        </is>
      </c>
    </row>
    <row r="10" ht="16" customHeight="1">
      <c r="A10" s="7" t="inlineStr">
        <is>
          <t>Theses</t>
        </is>
      </c>
      <c r="B10" s="8" t="inlineStr">
        <is>
          <t>PSU Plans</t>
        </is>
      </c>
      <c r="C10" s="8" t="inlineStr">
        <is>
          <t>What each PSU plan is (metrics, weights, period, payout, TSR, hurdles, past payouts) and its grade.</t>
        </is>
      </c>
    </row>
    <row r="11" ht="16" customHeight="1">
      <c r="A11" s="5" t="inlineStr">
        <is>
          <t>Theses</t>
        </is>
      </c>
      <c r="B11" s="6" t="inlineStr">
        <is>
          <t>Governance Discount</t>
        </is>
      </c>
      <c r="C11" s="6" t="inlineStr">
        <is>
          <t>Well below book + a recent governance change implying action to re-rate or return capital.</t>
        </is>
      </c>
    </row>
    <row r="12" ht="16" customHeight="1">
      <c r="A12" s="7" t="inlineStr">
        <is>
          <t>Theses</t>
        </is>
      </c>
      <c r="B12" s="8" t="inlineStr">
        <is>
          <t>Mechanism Gates</t>
        </is>
      </c>
      <c r="C12" s="8" t="inlineStr">
        <is>
          <t>Exceptional-return archetypes as hard causal conjunctions; 2+ machines = highest conviction.</t>
        </is>
      </c>
    </row>
    <row r="13" ht="16" customHeight="1">
      <c r="A13" s="5" t="inlineStr">
        <is>
          <t>Theses</t>
        </is>
      </c>
      <c r="B13" s="6" t="inlineStr">
        <is>
          <t>Payoff Geometry</t>
        </is>
      </c>
      <c r="C13" s="6" t="inlineStr">
        <is>
          <t>Capped asset-backed downside vs sector re-rate upside — the asymmetry ratio per name.</t>
        </is>
      </c>
    </row>
    <row r="14" ht="16" customHeight="1">
      <c r="A14" s="7" t="inlineStr">
        <is>
          <t>Theses</t>
        </is>
      </c>
      <c r="B14" s="8" t="inlineStr">
        <is>
          <t>Re-Rate Catalysts</t>
        </is>
      </c>
      <c r="C14" s="8" t="inlineStr">
        <is>
          <t>Spin-offs / separations / asset sales / sale-of-company / strategic reviews x geometry room.</t>
        </is>
      </c>
    </row>
    <row r="15" ht="16" customHeight="1">
      <c r="A15" s="5" t="inlineStr">
        <is>
          <t>Theses</t>
        </is>
      </c>
      <c r="B15" s="6" t="inlineStr">
        <is>
          <t>Event Detail</t>
        </is>
      </c>
      <c r="C15" s="6" t="inlineStr">
        <is>
          <t>Every 8-K event: what is sold/spun/tendered, to whom, for how much, status, verbatim excerpt.</t>
        </is>
      </c>
    </row>
    <row r="16" ht="16" customHeight="1">
      <c r="A16" s="7" t="inlineStr">
        <is>
          <t>Theses</t>
        </is>
      </c>
      <c r="B16" s="8" t="inlineStr">
        <is>
          <t>Structured Distressed</t>
        </is>
      </c>
      <c r="C16" s="8" t="inlineStr">
        <is>
          <t>Cundill/Sibir: asset-backed washouts raising via senior/convertible instruments (own the instrument).</t>
        </is>
      </c>
    </row>
    <row r="17" ht="16" customHeight="1">
      <c r="A17" s="5" t="inlineStr">
        <is>
          <t>Theses</t>
        </is>
      </c>
      <c r="B17" s="6" t="inlineStr">
        <is>
          <t>Distressed Stub Progress</t>
        </is>
      </c>
      <c r="C17" s="6" t="inlineStr">
        <is>
          <t>Finality-gated capital-structure value-unlock events, waterfall-scored.</t>
        </is>
      </c>
    </row>
    <row r="18" ht="16" customHeight="1">
      <c r="A18" s="7" t="inlineStr">
        <is>
          <t>Theses</t>
        </is>
      </c>
      <c r="B18" s="8" t="inlineStr">
        <is>
          <t>Hidden Asset Realisation</t>
        </is>
      </c>
      <c r="C18" s="8" t="inlineStr">
        <is>
          <t>Spectrum/rights/RE inside levered stubs with mandatory-prepay debt sweeps (SSP-type).</t>
        </is>
      </c>
    </row>
    <row r="19" ht="16" customHeight="1">
      <c r="A19" s="5" t="inlineStr">
        <is>
          <t>Theses</t>
        </is>
      </c>
      <c r="B19" s="6" t="inlineStr">
        <is>
          <t>Asymmetry Assembly</t>
        </is>
      </c>
      <c r="C19" s="6" t="inlineStr">
        <is>
          <t>PSIX-recipe conjunction: cheap + inflection + leverage + insider co-occurring.</t>
        </is>
      </c>
    </row>
    <row r="20" ht="16" customHeight="1">
      <c r="A20" s="7" t="inlineStr">
        <is>
          <t>Theses</t>
        </is>
      </c>
      <c r="B20" s="8" t="inlineStr">
        <is>
          <t>Turnaround Signal</t>
        </is>
      </c>
      <c r="C20" s="8" t="inlineStr">
        <is>
          <t>Bollenbach pattern: turnaround talent into distress.</t>
        </is>
      </c>
    </row>
    <row r="21" ht="16" customHeight="1">
      <c r="A21" s="5" t="inlineStr">
        <is>
          <t>Theses</t>
        </is>
      </c>
      <c r="B21" s="6" t="inlineStr">
        <is>
          <t>Call Intent</t>
        </is>
      </c>
      <c r="C21" s="6" t="inlineStr">
        <is>
          <t>Earnings-call language signalling management will act (NLP, validated against what companies did next).</t>
        </is>
      </c>
    </row>
    <row r="22" ht="16" customHeight="1">
      <c r="A22" s="7" t="inlineStr">
        <is>
          <t>Theses</t>
        </is>
      </c>
      <c r="B22" s="8" t="inlineStr">
        <is>
          <t>Foreign Markets</t>
        </is>
      </c>
      <c r="C22" s="8" t="inlineStr">
        <is>
          <t>Japan TSE PBR&lt;1, Korea Value-Up, UK schemes.</t>
        </is>
      </c>
    </row>
    <row r="23" ht="16" customHeight="1">
      <c r="A23" s="5" t="inlineStr">
        <is>
          <t>Theses</t>
        </is>
      </c>
      <c r="B23" s="6" t="inlineStr">
        <is>
          <t>UK Capital Events</t>
        </is>
      </c>
      <c r="C23" s="6" t="inlineStr">
        <is>
          <t>UK RNS revealed-preference &amp; distressed monitor (separate universe; funds filtered).</t>
        </is>
      </c>
    </row>
    <row r="24" ht="16" customHeight="1">
      <c r="A24" s="7" t="inlineStr">
        <is>
          <t>Theses</t>
        </is>
      </c>
      <c r="B24" s="8" t="inlineStr">
        <is>
          <t>By Archetype</t>
        </is>
      </c>
      <c r="C24" s="8" t="inlineStr">
        <is>
          <t>Single best representative of each of 57 archetypes.</t>
        </is>
      </c>
    </row>
    <row r="25" ht="16" customHeight="1">
      <c r="A25" s="5" t="inlineStr">
        <is>
          <t>Theses</t>
        </is>
      </c>
      <c r="B25" s="6" t="inlineStr">
        <is>
          <t>Reserve Baskets</t>
        </is>
      </c>
      <c r="C25" s="6" t="inlineStr">
        <is>
          <t>Sub-archetype baskets and full portfolio math.</t>
        </is>
      </c>
    </row>
    <row r="26" ht="16" customHeight="1">
      <c r="A26" s="7" t="inlineStr">
        <is>
          <t>Theses</t>
        </is>
      </c>
      <c r="B26" s="8" t="inlineStr">
        <is>
          <t>Caution List</t>
        </is>
      </c>
      <c r="C26" s="8" t="inlineStr">
        <is>
          <t>Convergent names carrying governance red flags.</t>
        </is>
      </c>
    </row>
    <row r="27" ht="16" customHeight="1">
      <c r="A27" s="5" t="inlineStr">
        <is>
          <t>Signals</t>
        </is>
      </c>
      <c r="B27" s="6" t="inlineStr">
        <is>
          <t>Insider Conviction</t>
        </is>
      </c>
      <c r="C27" s="6" t="inlineStr">
        <is>
          <t>Discretionary open-market buying clusters (code P only, role-weighted).</t>
        </is>
      </c>
    </row>
    <row r="28" ht="16" customHeight="1">
      <c r="A28" s="7" t="inlineStr">
        <is>
          <t>Signals</t>
        </is>
      </c>
      <c r="B28" s="8" t="inlineStr">
        <is>
          <t>Insider Filing-Time</t>
        </is>
      </c>
      <c r="C28" s="8" t="inlineStr">
        <is>
          <t>Off-hours quiet accumulators (follow) vs market-hours price support (fade) — tested.</t>
        </is>
      </c>
    </row>
    <row r="29" ht="16" customHeight="1">
      <c r="A29" s="5" t="inlineStr">
        <is>
          <t>Signals</t>
        </is>
      </c>
      <c r="B29" s="6" t="inlineStr">
        <is>
          <t>MD&amp;A Intent</t>
        </is>
      </c>
      <c r="C29" s="6" t="inlineStr">
        <is>
          <t>Management's stated agenda from 10-K/10-Q narrative — value-unlock/transformative/capital/governance/strategic.</t>
        </is>
      </c>
    </row>
    <row r="30" ht="16" customHeight="1">
      <c r="A30" s="7" t="inlineStr">
        <is>
          <t>Signals</t>
        </is>
      </c>
      <c r="B30" s="8" t="inlineStr">
        <is>
          <t>Incentive Improvers</t>
        </is>
      </c>
      <c r="C30" s="8" t="inlineStr">
        <is>
          <t>Latest proxy tightened the incentive architecture (rarity-weighted).</t>
        </is>
      </c>
    </row>
    <row r="31" ht="16" customHeight="1">
      <c r="A31" s="5" t="inlineStr">
        <is>
          <t>Signals</t>
        </is>
      </c>
      <c r="B31" s="6" t="inlineStr">
        <is>
          <t>Recent 30d</t>
        </is>
      </c>
      <c r="C31" s="6" t="inlineStr">
        <is>
          <t>Material incentive events disclosed in the last 30 days.</t>
        </is>
      </c>
    </row>
    <row r="32" ht="16" customHeight="1">
      <c r="A32" s="7" t="inlineStr">
        <is>
          <t>Signals</t>
        </is>
      </c>
      <c r="B32" s="8" t="inlineStr">
        <is>
          <t>Political Trades</t>
        </is>
      </c>
      <c r="C32" s="8" t="inlineStr">
        <is>
          <t>Senate + House trade disclosures, weighted by an event study of post-disclosure returns.</t>
        </is>
      </c>
    </row>
    <row r="33" ht="16" customHeight="1">
      <c r="A33" s="5" t="inlineStr">
        <is>
          <t>Signals</t>
        </is>
      </c>
      <c r="B33" s="6" t="inlineStr">
        <is>
          <t>Single-Measure Best</t>
        </is>
      </c>
      <c r="C33" s="6" t="inlineStr">
        <is>
          <t>Best in class on each individual signal.</t>
        </is>
      </c>
    </row>
    <row r="34" ht="16" customHeight="1">
      <c r="A34" s="7" t="inlineStr">
        <is>
          <t>Signals</t>
        </is>
      </c>
      <c r="B34" s="8" t="inlineStr">
        <is>
          <t>Without Valuation</t>
        </is>
      </c>
      <c r="C34" s="8" t="inlineStr">
        <is>
          <t>Parallel ranking excluding the valuation leg.</t>
        </is>
      </c>
    </row>
    <row r="35" ht="16" customHeight="1">
      <c r="A35" s="5" t="inlineStr">
        <is>
          <t>Evidence</t>
        </is>
      </c>
      <c r="B35" s="6" t="inlineStr">
        <is>
          <t>Re-Rate Backtest</t>
        </is>
      </c>
      <c r="C35" s="6" t="inlineStr">
        <is>
          <t>What those catalysts actually returned historically — the evidence behind the weights.</t>
        </is>
      </c>
    </row>
    <row r="36" ht="16" customHeight="1">
      <c r="A36" s="7" t="inlineStr">
        <is>
          <t>Evidence</t>
        </is>
      </c>
      <c r="B36" s="8" t="inlineStr">
        <is>
          <t>Tail Odds</t>
        </is>
      </c>
      <c r="C36" s="8" t="inlineStr">
        <is>
          <t>Candidates ranked by measured probability of a right-tail outcome; the features that raise the odds.</t>
        </is>
      </c>
    </row>
    <row r="37">
      <c r="A37" s="5" t="inlineStr">
        <is>
          <t>Evidence</t>
        </is>
      </c>
      <c r="B37" s="6" t="inlineStr">
        <is>
          <t>Winners Study</t>
        </is>
      </c>
      <c r="C37" s="6" t="inlineStr">
        <is>
          <t>What realized 1-year re-raters had in common — feature/sector lifts, with the pre-move-data caveat.</t>
        </is>
      </c>
    </row>
    <row r="38" ht="28" customHeight="1">
      <c r="A38" s="7" t="inlineStr">
        <is>
          <t>Plumbing</t>
        </is>
      </c>
      <c r="B38" s="8" t="inlineStr">
        <is>
          <t>Layer Correlation</t>
        </is>
      </c>
      <c r="C38" s="8" t="inlineStr">
        <is>
          <t>Pairwise layer correlation and effective independence.</t>
        </is>
      </c>
    </row>
    <row r="39">
      <c r="A39" s="5" t="inlineStr">
        <is>
          <t>Plumbing</t>
        </is>
      </c>
      <c r="B39" s="6" t="inlineStr">
        <is>
          <t>Coverage &amp; Tiers</t>
        </is>
      </c>
      <c r="C39" s="6" t="inlineStr">
        <is>
          <t>Live per-layer coverage, data age, firing distribution.</t>
        </is>
      </c>
    </row>
    <row r="40">
      <c r="A40" s="7" t="inlineStr">
        <is>
          <t>Plumbing</t>
        </is>
      </c>
      <c r="B40" s="8" t="inlineStr">
        <is>
          <t>Methodology</t>
        </is>
      </c>
      <c r="C40" s="8" t="inlineStr">
        <is>
          <t>How the composite is built, step by step.</t>
        </is>
      </c>
    </row>
  </sheetData>
  <mergeCells count="2">
    <mergeCell ref="A1:C1"/>
    <mergeCell ref="A2:C2"/>
  </mergeCells>
  <printOptions horizontalCentered="0"/>
  <pageMargins left="0.5" right="0.5" top="0.6" bottom="0.6" header="0.5" footer="0.5"/>
  <pageSetup orientation="landscape" fitToHeight="0" fitToWidth="1"/>
</worksheet>
</file>

<file path=xl/worksheets/sheet2.xml><?xml version="1.0" encoding="utf-8"?>
<worksheet xmlns="http://schemas.openxmlformats.org/spreadsheetml/2006/main">
  <sheetPr>
    <tabColor rgb="001F3864"/>
    <outlinePr summaryBelow="1" summaryRight="1"/>
    <pageSetUpPr fitToPage="1"/>
  </sheetPr>
  <dimension ref="A1:F35"/>
  <sheetViews>
    <sheetView showGridLines="0" workbookViewId="0">
      <selection activeCell="A1" sqref="A1"/>
    </sheetView>
  </sheetViews>
  <sheetFormatPr baseColWidth="8" defaultRowHeight="15"/>
  <cols>
    <col width="8" customWidth="1" min="1" max="1"/>
    <col width="30" customWidth="1" min="2" max="2"/>
    <col width="18" customWidth="1" min="3" max="3"/>
    <col width="18" customWidth="1" min="4" max="4"/>
    <col width="18" customWidth="1" min="5" max="5"/>
    <col width="18" customWidth="1" min="6" max="6"/>
  </cols>
  <sheetData>
    <row r="1" ht="26" customHeight="1">
      <c r="A1" s="1" t="inlineStr">
        <is>
          <t>Most Asymmetric Situations</t>
        </is>
      </c>
    </row>
    <row r="2" ht="18" customHeight="1">
      <c r="A2" s="2" t="inlineStr">
        <is>
          <t>Universe analysis · US-listed common stocks · additive scoring layers + 57 archetypes</t>
        </is>
      </c>
      <c r="B2" s="3" t="n"/>
      <c r="C2" s="3" t="n"/>
      <c r="D2" s="3" t="n"/>
      <c r="E2" s="3" t="n"/>
      <c r="F2" s="3" t="n"/>
    </row>
    <row r="3" ht="18" customHeight="1"/>
    <row r="4">
      <c r="B4" s="9" t="inlineStr">
        <is>
          <t>Executive summary</t>
        </is>
      </c>
    </row>
    <row r="5" ht="22" customHeight="1">
      <c r="B5" s="10" t="inlineStr">
        <is>
          <t>Universe scope</t>
        </is>
      </c>
      <c r="C5" s="11" t="inlineStr">
        <is>
          <t>6,381 US-listed common stocks (NYSE / Nasdaq / AMEX / CBOE)</t>
        </is>
      </c>
    </row>
    <row r="6" ht="22" customHeight="1">
      <c r="B6" s="10" t="inlineStr">
        <is>
          <t>Governance / PSU coverage</t>
        </is>
      </c>
      <c r="C6" s="11" t="inlineStr">
        <is>
          <t>4,425 DEF 14As parsed (69% of universe)</t>
        </is>
      </c>
    </row>
    <row r="7" ht="22" customHeight="1">
      <c r="B7" s="10" t="inlineStr">
        <is>
          <t>Scoring layers</t>
        </is>
      </c>
      <c r="C7" s="11" t="inlineStr">
        <is>
          <t>45 raw layers; ~38 effectively independent (correlated layers clustered — see Layer Correlation)</t>
        </is>
      </c>
    </row>
    <row r="8" ht="22" customHeight="1">
      <c r="B8" s="10" t="inlineStr">
        <is>
          <t>Convergent set</t>
        </is>
      </c>
      <c r="C8" s="11" t="inlineStr">
        <is>
          <t>20 names (≥3 screens + archetype winner)</t>
        </is>
      </c>
    </row>
    <row r="9" ht="22" customHeight="1">
      <c r="B9" s="10" t="inlineStr">
        <is>
          <t>Most layers firing</t>
        </is>
      </c>
      <c r="C9" s="11" t="inlineStr">
        <is>
          <t>CRM — 13 layers</t>
        </is>
      </c>
    </row>
    <row r="10" ht="22" customHeight="1">
      <c r="B10" s="10" t="inlineStr">
        <is>
          <t>Return validation</t>
        </is>
      </c>
      <c r="C10" s="11" t="inlineStr">
        <is>
          <t>Layer convergence is NOT yet return-validated point-in-time; see Re-Rate Backtest / Winners Study and MAIN_BOOK_REVIEW.md</t>
        </is>
      </c>
    </row>
    <row r="11"/>
    <row r="12">
      <c r="B12" s="9" t="inlineStr">
        <is>
          <t>The convergent set</t>
        </is>
      </c>
    </row>
    <row r="13" ht="18" customHeight="1">
      <c r="A13" s="4" t="inlineStr">
        <is>
          <t>#</t>
        </is>
      </c>
      <c r="B13" s="12" t="inlineStr">
        <is>
          <t>Ticker</t>
        </is>
      </c>
      <c r="C13" s="12" t="inlineStr">
        <is>
          <t>Name</t>
        </is>
      </c>
      <c r="D13" s="4" t="inlineStr">
        <is>
          <t>Sizing</t>
        </is>
      </c>
      <c r="E13" s="12" t="inlineStr">
        <is>
          <t>Why</t>
        </is>
      </c>
    </row>
    <row r="14" ht="16" customHeight="1">
      <c r="A14" s="13" t="n">
        <v>1</v>
      </c>
      <c r="B14" s="6" t="inlineStr">
        <is>
          <t>CRM</t>
        </is>
      </c>
      <c r="C14" s="14" t="inlineStr">
        <is>
          <t>Salesforce</t>
        </is>
      </c>
      <c r="D14" s="14" t="inlineStr">
        <is>
          <t>Material 2-5%</t>
        </is>
      </c>
      <c r="E14" s="14" t="inlineStr">
        <is>
          <t>PSU + buyback + recent 10b5-1 termination + F4 cluster</t>
        </is>
      </c>
    </row>
    <row r="15" ht="16" customHeight="1">
      <c r="A15" s="15" t="n">
        <v>2</v>
      </c>
      <c r="B15" s="8" t="inlineStr">
        <is>
          <t>EPAM</t>
        </is>
      </c>
      <c r="C15" s="16" t="inlineStr">
        <is>
          <t>EPAM</t>
        </is>
      </c>
      <c r="D15" s="16" t="inlineStr">
        <is>
          <t>Material 2-5%</t>
        </is>
      </c>
      <c r="E15" s="16" t="inlineStr">
        <is>
          <t>12 layers firing | cons 9.552</t>
        </is>
      </c>
    </row>
    <row r="16" ht="16" customHeight="1">
      <c r="A16" s="13" t="n">
        <v>3</v>
      </c>
      <c r="B16" s="6" t="inlineStr">
        <is>
          <t>VSNT</t>
        </is>
      </c>
      <c r="C16" s="14" t="inlineStr">
        <is>
          <t>VSNT</t>
        </is>
      </c>
      <c r="D16" s="6" t="inlineStr">
        <is>
          <t>Concentrated 5%+</t>
        </is>
      </c>
      <c r="E16" s="14" t="inlineStr">
        <is>
          <t>11 layers firing | cons 10.244</t>
        </is>
      </c>
    </row>
    <row r="17" ht="16" customHeight="1">
      <c r="A17" s="15" t="n">
        <v>4</v>
      </c>
      <c r="B17" s="8" t="inlineStr">
        <is>
          <t>SCHL</t>
        </is>
      </c>
      <c r="C17" s="16" t="inlineStr">
        <is>
          <t>SCHL</t>
        </is>
      </c>
      <c r="D17" s="6" t="inlineStr">
        <is>
          <t>Participation 1-2%</t>
        </is>
      </c>
      <c r="E17" s="16" t="inlineStr">
        <is>
          <t>11 layers firing | cons 8.648</t>
        </is>
      </c>
    </row>
    <row r="18" ht="16" customHeight="1">
      <c r="A18" s="13" t="n">
        <v>5</v>
      </c>
      <c r="B18" s="6" t="inlineStr">
        <is>
          <t>GPK</t>
        </is>
      </c>
      <c r="C18" s="14" t="inlineStr">
        <is>
          <t>GPK</t>
        </is>
      </c>
      <c r="D18" s="6" t="inlineStr">
        <is>
          <t>Concentrated 5%+</t>
        </is>
      </c>
      <c r="E18" s="14" t="inlineStr">
        <is>
          <t>11 layers firing | cons 8.618</t>
        </is>
      </c>
    </row>
    <row r="19" ht="16" customHeight="1">
      <c r="A19" s="15" t="n">
        <v>6</v>
      </c>
      <c r="B19" s="8" t="inlineStr">
        <is>
          <t>DXC</t>
        </is>
      </c>
      <c r="C19" s="16" t="inlineStr">
        <is>
          <t>DXC Technology</t>
        </is>
      </c>
      <c r="D19" s="6" t="inlineStr">
        <is>
          <t>Participation 1-2%</t>
        </is>
      </c>
      <c r="E19" s="16" t="inlineStr">
        <is>
          <t>PSU core 40 + buyback + recent-incentive 57% drawdown</t>
        </is>
      </c>
    </row>
    <row r="20" ht="16" customHeight="1">
      <c r="A20" s="13" t="n">
        <v>7</v>
      </c>
      <c r="B20" s="6" t="inlineStr">
        <is>
          <t>ADT</t>
        </is>
      </c>
      <c r="C20" s="14" t="inlineStr">
        <is>
          <t>ADT Inc</t>
        </is>
      </c>
      <c r="D20" s="6" t="inlineStr">
        <is>
          <t>Concentrated 5%+</t>
        </is>
      </c>
      <c r="E20" s="14" t="inlineStr">
        <is>
          <t>Heaviest PSU%LTI in universe (90%) + verified -7.3% shrinkage</t>
        </is>
      </c>
    </row>
    <row r="21" ht="16" customHeight="1">
      <c r="A21" s="15" t="n">
        <v>8</v>
      </c>
      <c r="B21" s="8" t="inlineStr">
        <is>
          <t>TRS</t>
        </is>
      </c>
      <c r="C21" s="16" t="inlineStr">
        <is>
          <t>TRS</t>
        </is>
      </c>
      <c r="D21" s="16" t="inlineStr">
        <is>
          <t>Material 2-5%</t>
        </is>
      </c>
      <c r="E21" s="16" t="inlineStr">
        <is>
          <t>11 layers firing | cons 6.54</t>
        </is>
      </c>
    </row>
    <row r="22" ht="16" customHeight="1">
      <c r="A22" s="13" t="n">
        <v>9</v>
      </c>
      <c r="B22" s="6" t="inlineStr">
        <is>
          <t>LULU</t>
        </is>
      </c>
      <c r="C22" s="14" t="inlineStr">
        <is>
          <t>LULU</t>
        </is>
      </c>
      <c r="D22" s="6" t="inlineStr">
        <is>
          <t>Participation 1-2%</t>
        </is>
      </c>
      <c r="E22" s="14" t="inlineStr">
        <is>
          <t>11 layers firing | cons 6.462</t>
        </is>
      </c>
    </row>
    <row r="23" ht="16" customHeight="1">
      <c r="A23" s="15" t="n">
        <v>10</v>
      </c>
      <c r="B23" s="8" t="inlineStr">
        <is>
          <t>GO</t>
        </is>
      </c>
      <c r="C23" s="16" t="inlineStr">
        <is>
          <t>Grocery Outlet</t>
        </is>
      </c>
      <c r="D23" s="6" t="inlineStr">
        <is>
          <t>Concentrated 5%+</t>
        </is>
      </c>
      <c r="E23" s="16" t="inlineStr">
        <is>
          <t>Forward $ targets + Cohen-Malloy 6-buyer cluster</t>
        </is>
      </c>
    </row>
    <row r="24" ht="16" customHeight="1">
      <c r="A24" s="13" t="n">
        <v>11</v>
      </c>
      <c r="B24" s="6" t="inlineStr">
        <is>
          <t>FOUR</t>
        </is>
      </c>
      <c r="C24" s="14" t="inlineStr">
        <is>
          <t>FOUR</t>
        </is>
      </c>
      <c r="D24" s="6" t="inlineStr">
        <is>
          <t>Concentrated 5%+</t>
        </is>
      </c>
      <c r="E24" s="14" t="inlineStr">
        <is>
          <t>10 layers firing | cons 8.576</t>
        </is>
      </c>
    </row>
    <row r="25" ht="16" customHeight="1">
      <c r="A25" s="15" t="n">
        <v>12</v>
      </c>
      <c r="B25" s="8" t="inlineStr">
        <is>
          <t>HUBS</t>
        </is>
      </c>
      <c r="C25" s="16" t="inlineStr">
        <is>
          <t>HUBS</t>
        </is>
      </c>
      <c r="D25" s="6" t="inlineStr">
        <is>
          <t>Concentrated 5%+</t>
        </is>
      </c>
      <c r="E25" s="16" t="inlineStr">
        <is>
          <t>10 layers firing | cons 8.018</t>
        </is>
      </c>
    </row>
    <row r="26" ht="16" customHeight="1">
      <c r="A26" s="13" t="n">
        <v>13</v>
      </c>
      <c r="B26" s="6" t="inlineStr">
        <is>
          <t>VRSK</t>
        </is>
      </c>
      <c r="C26" s="14" t="inlineStr">
        <is>
          <t>VRSK</t>
        </is>
      </c>
      <c r="D26" s="6" t="inlineStr">
        <is>
          <t>Concentrated 5%+</t>
        </is>
      </c>
      <c r="E26" s="14" t="inlineStr">
        <is>
          <t>10 layers firing | cons 7.398</t>
        </is>
      </c>
    </row>
    <row r="27" ht="16" customHeight="1">
      <c r="A27" s="15" t="n">
        <v>14</v>
      </c>
      <c r="B27" s="8" t="inlineStr">
        <is>
          <t>HDSN</t>
        </is>
      </c>
      <c r="C27" s="16" t="inlineStr">
        <is>
          <t>Hudson Technologies</t>
        </is>
      </c>
      <c r="D27" s="6" t="inlineStr">
        <is>
          <t>Concentrated 5%+</t>
        </is>
      </c>
      <c r="E27" s="16" t="inlineStr">
        <is>
          <t>Recent F4 cluster + buyback + special-sits + recent-incentive</t>
        </is>
      </c>
    </row>
    <row r="28" ht="16" customHeight="1">
      <c r="A28" s="13" t="n">
        <v>15</v>
      </c>
      <c r="B28" s="6" t="inlineStr">
        <is>
          <t>GPGI</t>
        </is>
      </c>
      <c r="C28" s="14" t="inlineStr">
        <is>
          <t>GPGI</t>
        </is>
      </c>
      <c r="D28" s="6" t="inlineStr">
        <is>
          <t>Concentrated 5%+</t>
        </is>
      </c>
      <c r="E28" s="14" t="inlineStr">
        <is>
          <t>10 layers firing | cons 7.212</t>
        </is>
      </c>
    </row>
    <row r="29" ht="16" customHeight="1">
      <c r="A29" s="15" t="n">
        <v>16</v>
      </c>
      <c r="B29" s="8" t="inlineStr">
        <is>
          <t>APTV</t>
        </is>
      </c>
      <c r="C29" s="16" t="inlineStr">
        <is>
          <t>APTV</t>
        </is>
      </c>
      <c r="D29" s="6" t="inlineStr">
        <is>
          <t>Concentrated 5%+</t>
        </is>
      </c>
      <c r="E29" s="16" t="inlineStr">
        <is>
          <t>10 layers firing | cons 7.136</t>
        </is>
      </c>
    </row>
    <row r="30" ht="16" customHeight="1">
      <c r="A30" s="13" t="n">
        <v>17</v>
      </c>
      <c r="B30" s="6" t="inlineStr">
        <is>
          <t>BLND</t>
        </is>
      </c>
      <c r="C30" s="14" t="inlineStr">
        <is>
          <t>BLND</t>
        </is>
      </c>
      <c r="D30" s="6" t="inlineStr">
        <is>
          <t>Concentrated 5%+</t>
        </is>
      </c>
      <c r="E30" s="14" t="inlineStr">
        <is>
          <t>10 layers firing | cons 6.588</t>
        </is>
      </c>
    </row>
    <row r="31" ht="16" customHeight="1">
      <c r="A31" s="15" t="n">
        <v>18</v>
      </c>
      <c r="B31" s="8" t="inlineStr">
        <is>
          <t>CERT</t>
        </is>
      </c>
      <c r="C31" s="16" t="inlineStr">
        <is>
          <t>CERT</t>
        </is>
      </c>
      <c r="D31" s="6" t="inlineStr">
        <is>
          <t>Concentrated 5%+</t>
        </is>
      </c>
      <c r="E31" s="16" t="inlineStr">
        <is>
          <t>10 layers firing | cons 6.438</t>
        </is>
      </c>
    </row>
    <row r="32" ht="16" customHeight="1">
      <c r="A32" s="13" t="n">
        <v>19</v>
      </c>
      <c r="B32" s="6" t="inlineStr">
        <is>
          <t>GIII</t>
        </is>
      </c>
      <c r="C32" s="14" t="inlineStr">
        <is>
          <t>GIII</t>
        </is>
      </c>
      <c r="D32" s="14" t="inlineStr">
        <is>
          <t>Material 2-5%</t>
        </is>
      </c>
      <c r="E32" s="14" t="inlineStr">
        <is>
          <t>10 layers firing | cons 6.386</t>
        </is>
      </c>
    </row>
    <row r="33" ht="16" customHeight="1">
      <c r="A33" s="15" t="n">
        <v>20</v>
      </c>
      <c r="B33" s="8" t="inlineStr">
        <is>
          <t>FISV</t>
        </is>
      </c>
      <c r="C33" s="16" t="inlineStr">
        <is>
          <t>Fiserv</t>
        </is>
      </c>
      <c r="D33" s="16" t="inlineStr">
        <is>
          <t>Material 2-5%</t>
        </is>
      </c>
      <c r="E33" s="16" t="inlineStr">
        <is>
          <t>PSU + valuation + 10b5-1 + recent-incentive</t>
        </is>
      </c>
    </row>
    <row r="35" ht="28" customHeight="1">
      <c r="A35" s="17" t="inlineStr">
        <is>
          <t>Cyclepapa Research · Module Series 1 · The framework produces 12 names by demanding (a) presence in top-N of ≥3 of 8 independent rankers built from independent evidence and (b) winner of at least one PSU/governance archetype across 57 buckets. Robustness checks: list unchanged after expanding yfinance coverage and after a governance-scoring bugfix that nearly tripled Tier-B coverage.</t>
        </is>
      </c>
    </row>
  </sheetData>
  <mergeCells count="29">
    <mergeCell ref="C8:F8"/>
    <mergeCell ref="E24:F24"/>
    <mergeCell ref="E33:F33"/>
    <mergeCell ref="C7:F7"/>
    <mergeCell ref="E23:F23"/>
    <mergeCell ref="E14:F14"/>
    <mergeCell ref="E17:F17"/>
    <mergeCell ref="A2:F2"/>
    <mergeCell ref="E20:F20"/>
    <mergeCell ref="E29:F29"/>
    <mergeCell ref="E19:F19"/>
    <mergeCell ref="C6:F6"/>
    <mergeCell ref="E28:F28"/>
    <mergeCell ref="A35:F35"/>
    <mergeCell ref="C5:F5"/>
    <mergeCell ref="E31:F31"/>
    <mergeCell ref="E30:F30"/>
    <mergeCell ref="E15:F15"/>
    <mergeCell ref="E27:F27"/>
    <mergeCell ref="C10:F10"/>
    <mergeCell ref="E26:F26"/>
    <mergeCell ref="C9:F9"/>
    <mergeCell ref="E16:F16"/>
    <mergeCell ref="E32:F32"/>
    <mergeCell ref="E25:F25"/>
    <mergeCell ref="A1:F1"/>
    <mergeCell ref="E22:F22"/>
    <mergeCell ref="E18:F18"/>
    <mergeCell ref="E21:F21"/>
  </mergeCells>
  <printOptions horizontalCentered="0"/>
  <pageMargins left="0.5" right="0.5" top="0.6" bottom="0.6" header="0.5" footer="0.5"/>
  <pageSetup orientation="landscape" fitToHeight="0" fitToWidth="1"/>
</worksheet>
</file>

<file path=xl/worksheets/sheet3.xml><?xml version="1.0" encoding="utf-8"?>
<worksheet xmlns="http://schemas.openxmlformats.org/spreadsheetml/2006/main">
  <sheetPr>
    <tabColor rgb="001F3864"/>
    <outlinePr summaryBelow="1" summaryRight="1"/>
    <pageSetUpPr/>
  </sheetPr>
  <dimension ref="A1:H97"/>
  <sheetViews>
    <sheetView showGridLines="0" workbookViewId="0">
      <pane ySplit="3" topLeftCell="A4" activePane="bottomLeft" state="frozen"/>
      <selection pane="bottomLeft" activeCell="A1" sqref="A1"/>
    </sheetView>
  </sheetViews>
  <sheetFormatPr baseColWidth="8" defaultRowHeight="15"/>
  <cols>
    <col width="9" customWidth="1" min="1" max="1"/>
    <col width="22" customWidth="1" min="2" max="2"/>
    <col width="11" customWidth="1" min="3" max="3"/>
    <col width="14" customWidth="1" min="4" max="4"/>
    <col width="70" customWidth="1" min="5" max="5"/>
    <col width="10" customWidth="1" min="6" max="6"/>
    <col width="10" customWidth="1" min="7" max="7"/>
    <col width="14" customWidth="1" min="8" max="8"/>
  </cols>
  <sheetData>
    <row r="1">
      <c r="A1" s="1" t="inlineStr">
        <is>
          <t>What's New</t>
        </is>
      </c>
    </row>
    <row r="2" ht="32" customHeight="1">
      <c r="A2" s="18" t="inlineStr">
        <is>
          <t>As of 2026-09-24: corporate events in the last 30 days, senior appointments in the last 60, management commitments on calls in the last 45, and governance actions in the last 60 -- each with the stock's move since (excess vs SPY) so you can see what is and isn't priced.</t>
        </is>
      </c>
      <c r="B2" s="19" t="n"/>
      <c r="C2" s="19" t="n"/>
      <c r="D2" s="19" t="n"/>
      <c r="E2" s="19" t="n"/>
      <c r="F2" s="19" t="n"/>
      <c r="G2" s="19" t="n"/>
      <c r="H2" s="19" t="n"/>
    </row>
    <row r="3"/>
    <row r="4">
      <c r="A4" s="20" t="inlineStr">
        <is>
          <t>Corporate events, last 30 days  (8)</t>
        </is>
      </c>
    </row>
    <row r="5">
      <c r="A5" s="12" t="inlineStr">
        <is>
          <t>Ticker</t>
        </is>
      </c>
      <c r="B5" s="12" t="inlineStr">
        <is>
          <t>Name</t>
        </is>
      </c>
      <c r="C5" s="12" t="inlineStr">
        <is>
          <t>Date</t>
        </is>
      </c>
      <c r="D5" s="12" t="inlineStr">
        <is>
          <t>Status</t>
        </is>
      </c>
      <c r="E5" s="12" t="inlineStr">
        <is>
          <t>What is happening</t>
        </is>
      </c>
      <c r="F5" s="12" t="inlineStr">
        <is>
          <t>Since (vs SPY)</t>
        </is>
      </c>
      <c r="G5" s="12" t="inlineStr">
        <is>
          <t>% mcap</t>
        </is>
      </c>
      <c r="H5" s="12" t="inlineStr">
        <is>
          <t>Filing</t>
        </is>
      </c>
    </row>
    <row r="6" ht="30" customHeight="1">
      <c r="A6" s="6" t="inlineStr">
        <is>
          <t>PPLI</t>
        </is>
      </c>
      <c r="B6" s="14" t="inlineStr">
        <is>
          <t>People Incorporated</t>
        </is>
      </c>
      <c r="C6" s="14" t="inlineStr">
        <is>
          <t>2026-09-11</t>
        </is>
      </c>
      <c r="D6" s="21" t="inlineStr">
        <is>
          <t>COMPLETED</t>
        </is>
      </c>
      <c r="E6" s="22" t="inlineStr">
        <is>
          <t>Completed separation of Angi Inc</t>
        </is>
      </c>
      <c r="F6" s="14" t="inlineStr"/>
      <c r="G6" s="14" t="inlineStr"/>
      <c r="H6" s="14" t="inlineStr">
        <is>
          <t>open filing</t>
        </is>
      </c>
    </row>
    <row r="7" ht="30" customHeight="1">
      <c r="A7" s="8" t="inlineStr">
        <is>
          <t>PPLI</t>
        </is>
      </c>
      <c r="B7" s="16" t="inlineStr">
        <is>
          <t>People Incorporated</t>
        </is>
      </c>
      <c r="C7" s="16" t="inlineStr">
        <is>
          <t>2026-09-11</t>
        </is>
      </c>
      <c r="D7" s="23" t="inlineStr">
        <is>
          <t>ANNOUNCED</t>
        </is>
      </c>
      <c r="E7" s="24" t="inlineStr">
        <is>
          <t>[announced] Special dividend of $0.00/sh</t>
        </is>
      </c>
      <c r="F7" s="16" t="inlineStr"/>
      <c r="G7" s="16" t="inlineStr"/>
      <c r="H7" s="16" t="inlineStr">
        <is>
          <t>open filing</t>
        </is>
      </c>
    </row>
    <row r="8" ht="30" customHeight="1">
      <c r="A8" s="6" t="inlineStr">
        <is>
          <t>GPC</t>
        </is>
      </c>
      <c r="B8" s="14" t="inlineStr">
        <is>
          <t>Genuine Parts Company</t>
        </is>
      </c>
      <c r="C8" s="14" t="inlineStr">
        <is>
          <t>2026-09-09</t>
        </is>
      </c>
      <c r="D8" s="21" t="inlineStr">
        <is>
          <t>COMPLETED</t>
        </is>
      </c>
      <c r="E8" s="22" t="inlineStr">
        <is>
          <t>Completed separation of Global Automotive and Global Industrial businesses (into two companies)</t>
        </is>
      </c>
      <c r="F8" s="14" t="inlineStr"/>
      <c r="G8" s="14" t="inlineStr"/>
      <c r="H8" s="14" t="inlineStr">
        <is>
          <t>open filing</t>
        </is>
      </c>
    </row>
    <row r="9" ht="30" customHeight="1">
      <c r="A9" s="8" t="inlineStr">
        <is>
          <t>HCTI</t>
        </is>
      </c>
      <c r="B9" s="16" t="inlineStr">
        <is>
          <t>Healthcare Triangle, I</t>
        </is>
      </c>
      <c r="C9" s="16" t="inlineStr">
        <is>
          <t>2026-09-08</t>
        </is>
      </c>
      <c r="D9" s="23" t="inlineStr">
        <is>
          <t>ANNOUNCED</t>
        </is>
      </c>
      <c r="E9" s="24" t="inlineStr">
        <is>
          <t>Separating a business</t>
        </is>
      </c>
      <c r="F9" s="16" t="inlineStr"/>
      <c r="G9" s="16" t="inlineStr"/>
      <c r="H9" s="16" t="inlineStr">
        <is>
          <t>open filing</t>
        </is>
      </c>
    </row>
    <row r="10" ht="30" customHeight="1">
      <c r="A10" s="6" t="inlineStr">
        <is>
          <t>HCTI</t>
        </is>
      </c>
      <c r="B10" s="14" t="inlineStr">
        <is>
          <t>Healthcare Triangle, I</t>
        </is>
      </c>
      <c r="C10" s="14" t="inlineStr">
        <is>
          <t>2026-09-08</t>
        </is>
      </c>
      <c r="D10" s="25" t="inlineStr">
        <is>
          <t>ANNOUNCED</t>
        </is>
      </c>
      <c r="E10" s="22" t="inlineStr">
        <is>
          <t>Separating a business</t>
        </is>
      </c>
      <c r="F10" s="14" t="inlineStr"/>
      <c r="G10" s="14" t="inlineStr"/>
      <c r="H10" s="14" t="inlineStr">
        <is>
          <t>open filing</t>
        </is>
      </c>
    </row>
    <row r="11" ht="30" customHeight="1">
      <c r="A11" s="8" t="inlineStr">
        <is>
          <t>HCTI</t>
        </is>
      </c>
      <c r="B11" s="16" t="inlineStr">
        <is>
          <t>Healthcare Triangle, I</t>
        </is>
      </c>
      <c r="C11" s="16" t="inlineStr">
        <is>
          <t>2026-09-08</t>
        </is>
      </c>
      <c r="D11" s="26" t="inlineStr">
        <is>
          <t>PENDING</t>
        </is>
      </c>
      <c r="E11" s="24" t="inlineStr">
        <is>
          <t>[pending] Uplisting</t>
        </is>
      </c>
      <c r="F11" s="16" t="inlineStr"/>
      <c r="G11" s="16" t="inlineStr"/>
      <c r="H11" s="16" t="inlineStr">
        <is>
          <t>open filing</t>
        </is>
      </c>
    </row>
    <row r="12" ht="30" customHeight="1">
      <c r="A12" s="6" t="inlineStr">
        <is>
          <t>CTVA</t>
        </is>
      </c>
      <c r="B12" s="14" t="inlineStr">
        <is>
          <t>Corteva, Inc.</t>
        </is>
      </c>
      <c r="C12" s="14" t="inlineStr">
        <is>
          <t>2026-08-31</t>
        </is>
      </c>
      <c r="D12" s="25" t="inlineStr">
        <is>
          <t>ANNOUNCED</t>
        </is>
      </c>
      <c r="E12" s="22" t="inlineStr">
        <is>
          <t>Separating crop protection business / seed business</t>
        </is>
      </c>
      <c r="F12" s="14" t="inlineStr"/>
      <c r="G12" s="14" t="inlineStr">
        <is>
          <t>2%</t>
        </is>
      </c>
      <c r="H12" s="14" t="inlineStr">
        <is>
          <t>open filing</t>
        </is>
      </c>
    </row>
    <row r="13" ht="30" customHeight="1">
      <c r="A13" s="8" t="inlineStr">
        <is>
          <t>CTVA</t>
        </is>
      </c>
      <c r="B13" s="16" t="inlineStr">
        <is>
          <t>Corteva, Inc.</t>
        </is>
      </c>
      <c r="C13" s="16" t="inlineStr">
        <is>
          <t>2026-08-31</t>
        </is>
      </c>
      <c r="D13" s="23" t="inlineStr">
        <is>
          <t>ANNOUNCED</t>
        </is>
      </c>
      <c r="E13" s="24" t="inlineStr">
        <is>
          <t>Separating crop protection business / seed business</t>
        </is>
      </c>
      <c r="F13" s="16" t="inlineStr"/>
      <c r="G13" s="16" t="inlineStr">
        <is>
          <t>2%</t>
        </is>
      </c>
      <c r="H13" s="16" t="inlineStr">
        <is>
          <t>open filing</t>
        </is>
      </c>
    </row>
    <row r="14"/>
    <row r="15">
      <c r="A15" s="20" t="inlineStr">
        <is>
          <t>Senior appointments, last 60 days  (18)</t>
        </is>
      </c>
    </row>
    <row r="16">
      <c r="A16" s="12" t="inlineStr">
        <is>
          <t>Ticker</t>
        </is>
      </c>
      <c r="B16" s="12" t="inlineStr">
        <is>
          <t>Name</t>
        </is>
      </c>
      <c r="C16" s="12" t="inlineStr">
        <is>
          <t>Date</t>
        </is>
      </c>
      <c r="D16" s="12" t="inlineStr">
        <is>
          <t>Type</t>
        </is>
      </c>
      <c r="E16" s="12" t="inlineStr">
        <is>
          <t>Who / background</t>
        </is>
      </c>
      <c r="F16" s="12" t="inlineStr">
        <is>
          <t>Since (vs SPY)</t>
        </is>
      </c>
      <c r="G16" s="12" t="inlineStr"/>
      <c r="H16" s="12" t="inlineStr"/>
    </row>
    <row r="17" ht="30" customHeight="1">
      <c r="A17" s="6" t="inlineStr">
        <is>
          <t>CW</t>
        </is>
      </c>
      <c r="B17" s="14" t="inlineStr">
        <is>
          <t>Curtiss-Wright Corpora</t>
        </is>
      </c>
      <c r="C17" s="14" t="inlineStr">
        <is>
          <t>2026-09-22</t>
        </is>
      </c>
      <c r="D17" s="14" t="inlineStr">
        <is>
          <t>NEW HIRE</t>
        </is>
      </c>
      <c r="E17" s="22" t="inlineStr">
        <is>
          <t>Kevin M. Rayment — President and Chief Executive Officer. Rayment has served as the Company’s Executive Vice President since January 2026 and Chief Operating Officer since April 2021, during which time he has played an instrumental role in leading the Company through a period o</t>
        </is>
      </c>
      <c r="F17" s="14" t="inlineStr"/>
      <c r="G17" s="14" t="inlineStr"/>
      <c r="H17" s="14" t="inlineStr"/>
    </row>
    <row r="18" ht="30" customHeight="1">
      <c r="A18" s="8" t="inlineStr">
        <is>
          <t>ACH</t>
        </is>
      </c>
      <c r="B18" s="16" t="inlineStr">
        <is>
          <t>Accendra Health, Inc.</t>
        </is>
      </c>
      <c r="C18" s="16" t="inlineStr">
        <is>
          <t>2026-09-17</t>
        </is>
      </c>
      <c r="D18" s="16" t="inlineStr">
        <is>
          <t>NEW HIRE</t>
        </is>
      </c>
      <c r="E18" s="24" t="inlineStr">
        <is>
          <t>Scott Lloyd — Chief Commercial Officer. Lloyd most recently served as Chief Development and Strategy Officer at Evergreen Nephrology.</t>
        </is>
      </c>
      <c r="F18" s="16" t="inlineStr"/>
      <c r="G18" s="16" t="inlineStr"/>
      <c r="H18" s="16" t="inlineStr"/>
    </row>
    <row r="19" ht="30" customHeight="1">
      <c r="A19" s="6" t="inlineStr">
        <is>
          <t>CLS</t>
        </is>
      </c>
      <c r="B19" s="14" t="inlineStr">
        <is>
          <t>Celestica Inc.</t>
        </is>
      </c>
      <c r="C19" s="14" t="inlineStr">
        <is>
          <t>2026-09-11</t>
        </is>
      </c>
      <c r="D19" s="14" t="inlineStr">
        <is>
          <t>NEW HIRE</t>
        </is>
      </c>
      <c r="E19" s="22" t="inlineStr">
        <is>
          <t>Todd Ankenmann — Chief Financial Officer. Ankenmann, age 50, joined the Company in 2018 and most recently served as Senior Vice President, Finance since 2025.</t>
        </is>
      </c>
      <c r="F19" s="14" t="inlineStr"/>
      <c r="G19" s="14" t="inlineStr"/>
      <c r="H19" s="14" t="inlineStr"/>
    </row>
    <row r="20" ht="30" customHeight="1">
      <c r="A20" s="8" t="inlineStr">
        <is>
          <t>XPOF</t>
        </is>
      </c>
      <c r="B20" s="16" t="inlineStr">
        <is>
          <t>Xponential Fitness, In</t>
        </is>
      </c>
      <c r="C20" s="16" t="inlineStr">
        <is>
          <t>2026-09-08</t>
        </is>
      </c>
      <c r="D20" s="16" t="inlineStr">
        <is>
          <t>NEW HIRE</t>
        </is>
      </c>
      <c r="E20" s="24" t="inlineStr">
        <is>
          <t xml:space="preserve">Jennifer Ryu — Chief Financial Officer. Ryu succeeds Robert Julian, who has served as interim Chief Financial Officer of the Company since March 2026. Ryu served as the Chief Accounting Officer of Young’s Holdings, a holding company for wine and spirits sales </t>
        </is>
      </c>
      <c r="F20" s="16" t="inlineStr"/>
      <c r="G20" s="16" t="inlineStr"/>
      <c r="H20" s="16" t="inlineStr"/>
    </row>
    <row r="21" ht="30" customHeight="1">
      <c r="A21" s="6" t="inlineStr">
        <is>
          <t>DH</t>
        </is>
      </c>
      <c r="B21" s="14" t="inlineStr">
        <is>
          <t xml:space="preserve">Definitive Healthcare </t>
        </is>
      </c>
      <c r="C21" s="14" t="inlineStr">
        <is>
          <t>2026-09-02</t>
        </is>
      </c>
      <c r="D21" s="14" t="inlineStr">
        <is>
          <t>NEW HIRE</t>
        </is>
      </c>
      <c r="E21" s="22" t="inlineStr">
        <is>
          <t>Clay Ritchey — Chief Executive Officer. Ritchey, age 55, most recently served as Advisor to the Board of Verato since June 2026, following his tenure as Chief Executive Officer of Verato, a leading master data management company, from April 2021 to May 2026.</t>
        </is>
      </c>
      <c r="F21" s="14" t="inlineStr"/>
      <c r="G21" s="14" t="inlineStr"/>
      <c r="H21" s="14" t="inlineStr"/>
    </row>
    <row r="22" ht="30" customHeight="1">
      <c r="A22" s="8" t="inlineStr">
        <is>
          <t>DLB</t>
        </is>
      </c>
      <c r="B22" s="16" t="inlineStr">
        <is>
          <t>Dolby Laboratories, In</t>
        </is>
      </c>
      <c r="C22" s="16" t="inlineStr">
        <is>
          <t>2026-08-27</t>
        </is>
      </c>
      <c r="D22" s="16" t="inlineStr">
        <is>
          <t>NEW HIRE</t>
        </is>
      </c>
      <c r="E22" s="24" t="inlineStr">
        <is>
          <t>Marc Whitten — President and Chief Executive Officer. Whitten, 55, served as Vice President Robotics of Meta Platforms, Inc. Whitten served as the Vice President, Entertainment Devices and Services at Amazon.</t>
        </is>
      </c>
      <c r="F22" s="16" t="inlineStr"/>
      <c r="G22" s="16" t="inlineStr"/>
      <c r="H22" s="16" t="inlineStr"/>
    </row>
    <row r="23" ht="30" customHeight="1">
      <c r="A23" s="6" t="inlineStr">
        <is>
          <t>JACK</t>
        </is>
      </c>
      <c r="B23" s="14" t="inlineStr">
        <is>
          <t>Jack in the Box Inc.</t>
        </is>
      </c>
      <c r="C23" s="14" t="inlineStr">
        <is>
          <t>2026-08-20</t>
        </is>
      </c>
      <c r="D23" s="14" t="inlineStr">
        <is>
          <t>NEW HIRE</t>
        </is>
      </c>
      <c r="E23" s="22" t="inlineStr">
        <is>
          <t>Taylor Montgomery — President. Prior to joining the Company, Mr. Montgomery served as Global Chief Brand Officer of Taco Bell, a division of Yum! Brands, Inc.</t>
        </is>
      </c>
      <c r="F23" s="14" t="inlineStr"/>
      <c r="G23" s="14" t="inlineStr"/>
      <c r="H23" s="14" t="inlineStr"/>
    </row>
    <row r="24" ht="30" customHeight="1">
      <c r="A24" s="8" t="inlineStr">
        <is>
          <t>KLIC</t>
        </is>
      </c>
      <c r="B24" s="16" t="inlineStr">
        <is>
          <t>Kulicke and Soffa Indu</t>
        </is>
      </c>
      <c r="C24" s="16" t="inlineStr">
        <is>
          <t>2026-08-17</t>
        </is>
      </c>
      <c r="D24" s="16" t="inlineStr">
        <is>
          <t>NEW HIRE</t>
        </is>
      </c>
      <c r="E24" s="24" t="inlineStr">
        <is>
          <t>Raj Talluri — President and Chief Executive Officer. Talluri served as President, Chief Executive Officer and a member of the Board of Directors of Enovix Corporation, a Nasdaq-listed advanced battery technology company, since January 2023. Talluri served as Senior Vice Pr</t>
        </is>
      </c>
      <c r="F24" s="16" t="inlineStr"/>
      <c r="G24" s="16" t="inlineStr"/>
      <c r="H24" s="16" t="inlineStr"/>
    </row>
    <row r="25" ht="30" customHeight="1">
      <c r="A25" s="6" t="inlineStr">
        <is>
          <t>FNGR</t>
        </is>
      </c>
      <c r="B25" s="14" t="inlineStr">
        <is>
          <t>FingerMotion, Inc.</t>
        </is>
      </c>
      <c r="C25" s="14" t="inlineStr">
        <is>
          <t>2026-08-17</t>
        </is>
      </c>
      <c r="D25" s="14" t="inlineStr">
        <is>
          <t>NEW HIRE</t>
        </is>
      </c>
      <c r="E25" s="22" t="inlineStr">
        <is>
          <t>Chris Polimeni — Chief Financial Officer. Since 2020, he has also served as President and Chief Executive Officer of Polimeni &amp; Associates, Inc.</t>
        </is>
      </c>
      <c r="F25" s="14" t="inlineStr"/>
      <c r="G25" s="14" t="inlineStr"/>
      <c r="H25" s="14" t="inlineStr"/>
    </row>
    <row r="26" ht="30" customHeight="1">
      <c r="A26" s="8" t="inlineStr">
        <is>
          <t>AIOT</t>
        </is>
      </c>
      <c r="B26" s="16" t="inlineStr">
        <is>
          <t>PowerFleet, Inc.</t>
        </is>
      </c>
      <c r="C26" s="16" t="inlineStr">
        <is>
          <t>2026-08-11</t>
        </is>
      </c>
      <c r="D26" s="16" t="inlineStr">
        <is>
          <t>NEW HIRE</t>
        </is>
      </c>
      <c r="E26" s="24" t="inlineStr">
        <is>
          <t>Paul Lalljie — President and Chief Financial Officer. Lalljie, 53, previously served at 2U, Inc.</t>
        </is>
      </c>
      <c r="F26" s="16" t="inlineStr"/>
      <c r="G26" s="16" t="inlineStr"/>
      <c r="H26" s="16" t="inlineStr"/>
    </row>
    <row r="27" ht="30" customHeight="1">
      <c r="A27" s="6" t="inlineStr">
        <is>
          <t>CIK0001355096</t>
        </is>
      </c>
      <c r="B27" s="14" t="inlineStr">
        <is>
          <t xml:space="preserve">Old QVC Group, Inc. </t>
        </is>
      </c>
      <c r="C27" s="14" t="inlineStr">
        <is>
          <t>2026-08-07</t>
        </is>
      </c>
      <c r="D27" s="14" t="inlineStr">
        <is>
          <t>NEW HIRE</t>
        </is>
      </c>
      <c r="E27" s="22" t="inlineStr">
        <is>
          <t xml:space="preserve">Michael George — Interim Chief Executive Officer (interim). George, age 64, served as the President of Old QVC Group from November 2005 through March 2018 and as its Chief Executive Officer from April 2006 through March 2018. George previously served on the board of directors of </t>
        </is>
      </c>
      <c r="F27" s="14" t="inlineStr"/>
      <c r="G27" s="14" t="inlineStr"/>
      <c r="H27" s="14" t="inlineStr"/>
    </row>
    <row r="28" ht="30" customHeight="1">
      <c r="A28" s="8" t="inlineStr">
        <is>
          <t>QVCG</t>
        </is>
      </c>
      <c r="B28" s="16" t="inlineStr">
        <is>
          <t>QVC Group, Inc.</t>
        </is>
      </c>
      <c r="C28" s="16" t="inlineStr">
        <is>
          <t>2026-08-07</t>
        </is>
      </c>
      <c r="D28" s="16" t="inlineStr">
        <is>
          <t>NEW HIRE</t>
        </is>
      </c>
      <c r="E28" s="24" t="inlineStr">
        <is>
          <t xml:space="preserve">Michael George — Interim Chief Executive Officer (interim). George, age 64, served as the President of Old QVC Group from November 2005 through March 2018 and as its Chief Executive Officer from April 2006 through March 2018. George previously served on the board of directors of </t>
        </is>
      </c>
      <c r="F28" s="16" t="inlineStr"/>
      <c r="G28" s="16" t="inlineStr"/>
      <c r="H28" s="16" t="inlineStr"/>
    </row>
    <row r="29" ht="30" customHeight="1">
      <c r="A29" s="6" t="inlineStr">
        <is>
          <t>ENSC</t>
        </is>
      </c>
      <c r="B29" s="14" t="inlineStr">
        <is>
          <t>Ensysce Biosciences, I</t>
        </is>
      </c>
      <c r="C29" s="14" t="inlineStr">
        <is>
          <t>2026-08-06</t>
        </is>
      </c>
      <c r="D29" s="14" t="inlineStr">
        <is>
          <t>NEW HIRE</t>
        </is>
      </c>
      <c r="E29" s="22" t="inlineStr">
        <is>
          <t>James Morrison — President. James Morrison is the Founder of Cy and served as President of Cy from October 2019 until the closing of the Merger and as its Chief Executive Officer from 2021 until the closing of the Merger.</t>
        </is>
      </c>
      <c r="F29" s="14" t="inlineStr"/>
      <c r="G29" s="14" t="inlineStr"/>
      <c r="H29" s="14" t="inlineStr"/>
    </row>
    <row r="30" ht="30" customHeight="1">
      <c r="A30" s="8" t="inlineStr">
        <is>
          <t>STAA</t>
        </is>
      </c>
      <c r="B30" s="16" t="inlineStr">
        <is>
          <t>STAAR Surgical Company</t>
        </is>
      </c>
      <c r="C30" s="16" t="inlineStr">
        <is>
          <t>2026-08-06</t>
        </is>
      </c>
      <c r="D30" s="16" t="inlineStr">
        <is>
          <t>NEW HIRE</t>
        </is>
      </c>
      <c r="E30" s="24" t="inlineStr">
        <is>
          <t>Warren Foust — President and Chief Executive Officer. Foust, age 50, joined STAAR in April 2023 as Chief Operating Officer (“COO”) and has served as Interim Co-CEO, President &amp; COO since February 2026, and as President and COO since March 2025. Prior to joining STAAR, Mr.</t>
        </is>
      </c>
      <c r="F30" s="16" t="inlineStr"/>
      <c r="G30" s="16" t="inlineStr"/>
      <c r="H30" s="16" t="inlineStr"/>
    </row>
    <row r="31" ht="30" customHeight="1">
      <c r="A31" s="6" t="inlineStr">
        <is>
          <t>EVCM</t>
        </is>
      </c>
      <c r="B31" s="14" t="inlineStr">
        <is>
          <t>EverCommerce Inc.</t>
        </is>
      </c>
      <c r="C31" s="14" t="inlineStr">
        <is>
          <t>2026-08-05</t>
        </is>
      </c>
      <c r="D31" s="14" t="inlineStr">
        <is>
          <t>NEW HIRE</t>
        </is>
      </c>
      <c r="E31" s="22" t="inlineStr">
        <is>
          <t>Alex Goor — Chief Executive Officer. Goor, age 54, most recently served as Chief Information Officer of Interactive Data Corp. Goor has also served as a member of the Board of Directors of several private and public companies.</t>
        </is>
      </c>
      <c r="F31" s="14" t="inlineStr"/>
      <c r="G31" s="14" t="inlineStr"/>
      <c r="H31" s="14" t="inlineStr"/>
    </row>
    <row r="32" ht="30" customHeight="1">
      <c r="A32" s="8" t="inlineStr">
        <is>
          <t>CRTO</t>
        </is>
      </c>
      <c r="B32" s="16" t="inlineStr">
        <is>
          <t>Criteo S.A.</t>
        </is>
      </c>
      <c r="C32" s="16" t="inlineStr">
        <is>
          <t>2026-08-05</t>
        </is>
      </c>
      <c r="D32" s="16" t="inlineStr">
        <is>
          <t>NEW HIRE</t>
        </is>
      </c>
      <c r="E32" s="24" t="inlineStr">
        <is>
          <t>Connor McGogney — Chief Financial Officer. Prior to joining Criteo, Mr.</t>
        </is>
      </c>
      <c r="F32" s="16" t="inlineStr"/>
      <c r="G32" s="16" t="inlineStr"/>
      <c r="H32" s="16" t="inlineStr"/>
    </row>
    <row r="33" ht="30" customHeight="1">
      <c r="A33" s="6" t="inlineStr">
        <is>
          <t>PTLO</t>
        </is>
      </c>
      <c r="B33" s="14" t="inlineStr">
        <is>
          <t>Portillo's Inc.</t>
        </is>
      </c>
      <c r="C33" s="14" t="inlineStr">
        <is>
          <t>2026-08-04</t>
        </is>
      </c>
      <c r="D33" s="14" t="inlineStr">
        <is>
          <t>NEW HIRE</t>
        </is>
      </c>
      <c r="E33" s="22" t="inlineStr">
        <is>
          <t>Kevin Kalicak — Chief Financial Officer. (the “Company” or the “Registrant”) announced that Kevin Kalicak, 53, who most recently served as an Officer of Darden Restaurants, Inc. Kalicak served as Darden’s Senior Vice President, Finance and Investor Relations fr</t>
        </is>
      </c>
      <c r="F33" s="14" t="inlineStr"/>
      <c r="G33" s="14" t="inlineStr"/>
      <c r="H33" s="14" t="inlineStr"/>
    </row>
    <row r="34" ht="30" customHeight="1">
      <c r="A34" s="8" t="inlineStr">
        <is>
          <t>BBY</t>
        </is>
      </c>
      <c r="B34" s="16" t="inlineStr">
        <is>
          <t>Best Buy Co., Inc.</t>
        </is>
      </c>
      <c r="C34" s="16" t="inlineStr">
        <is>
          <t>2026-08-03</t>
        </is>
      </c>
      <c r="D34" s="16" t="inlineStr">
        <is>
          <t>NEW HIRE</t>
        </is>
      </c>
      <c r="E34" s="24" t="inlineStr">
        <is>
          <t>Corie S. Barry — Interim CFO (interim). Barry previously served as the Company’s CFO between 2016 and 2019.</t>
        </is>
      </c>
      <c r="F34" s="16" t="inlineStr"/>
      <c r="G34" s="16" t="inlineStr"/>
      <c r="H34" s="16" t="inlineStr"/>
    </row>
    <row r="35"/>
    <row r="36">
      <c r="A36" s="20" t="inlineStr">
        <is>
          <t>Management commitments on calls, last 45 days  (40)</t>
        </is>
      </c>
    </row>
    <row r="37">
      <c r="A37" s="12" t="inlineStr">
        <is>
          <t>Ticker</t>
        </is>
      </c>
      <c r="B37" s="12" t="inlineStr">
        <is>
          <t>Name</t>
        </is>
      </c>
      <c r="C37" s="12" t="inlineStr">
        <is>
          <t>Call</t>
        </is>
      </c>
      <c r="D37" s="12" t="inlineStr">
        <is>
          <t>Action</t>
        </is>
      </c>
      <c r="E37" s="12" t="inlineStr">
        <is>
          <t>What management said</t>
        </is>
      </c>
      <c r="F37" s="12" t="inlineStr"/>
      <c r="G37" s="12" t="inlineStr">
        <is>
          <t>Size</t>
        </is>
      </c>
      <c r="H37" s="12" t="inlineStr"/>
    </row>
    <row r="38" ht="30" customHeight="1">
      <c r="A38" s="6" t="inlineStr">
        <is>
          <t>EXXRF</t>
        </is>
      </c>
      <c r="B38" s="14" t="inlineStr">
        <is>
          <t>Exor N.V.</t>
        </is>
      </c>
      <c r="C38" s="14" t="inlineStr">
        <is>
          <t>2026-09-23</t>
        </is>
      </c>
      <c r="D38" s="14" t="inlineStr">
        <is>
          <t>buyback</t>
        </is>
      </c>
      <c r="E38" s="22" t="inlineStr">
        <is>
          <t>“Let me now turn to the capital allocation decision we took in the Board yesterday, doing a EUR 500 million on-market buyback, and we'll execute that in the next 6 months.”</t>
        </is>
      </c>
      <c r="F38" s="14" t="inlineStr"/>
      <c r="G38" s="14" t="inlineStr"/>
      <c r="H38" s="14" t="inlineStr"/>
    </row>
    <row r="39" ht="30" customHeight="1">
      <c r="A39" s="8" t="inlineStr">
        <is>
          <t>KBH</t>
        </is>
      </c>
      <c r="B39" s="16" t="inlineStr">
        <is>
          <t>KB Home</t>
        </is>
      </c>
      <c r="C39" s="16" t="inlineStr">
        <is>
          <t>2026-09-22</t>
        </is>
      </c>
      <c r="D39" s="16" t="inlineStr">
        <is>
          <t>buyback</t>
        </is>
      </c>
      <c r="E39" s="24" t="inlineStr">
        <is>
          <t>“We repurchased about 890,000 shares of our common stock, or roughly 1.5% of our shares outstanding, at an average price below our current book value per share.”</t>
        </is>
      </c>
      <c r="F39" s="16" t="inlineStr"/>
      <c r="G39" s="16" t="inlineStr">
        <is>
          <t>50%</t>
        </is>
      </c>
      <c r="H39" s="16" t="inlineStr"/>
    </row>
    <row r="40" ht="30" customHeight="1">
      <c r="A40" s="6" t="inlineStr">
        <is>
          <t>BTDPY</t>
        </is>
      </c>
      <c r="B40" s="14" t="inlineStr">
        <is>
          <t>Barratt Redrow PLC Uns</t>
        </is>
      </c>
      <c r="C40" s="14" t="inlineStr">
        <is>
          <t>2026-09-16</t>
        </is>
      </c>
      <c r="D40" s="14" t="inlineStr">
        <is>
          <t>NEW value_gap</t>
        </is>
      </c>
      <c r="E40" s="22" t="inlineStr">
        <is>
          <t>“As we set out in July, with our shares trading at a significant discount to tangible net asset value, we saw an opportunity to increase shareholder returns with a larger buyback.”</t>
        </is>
      </c>
      <c r="F40" s="14" t="inlineStr"/>
      <c r="G40" s="14" t="inlineStr"/>
      <c r="H40" s="14" t="inlineStr"/>
    </row>
    <row r="41" ht="30" customHeight="1">
      <c r="A41" s="8" t="inlineStr">
        <is>
          <t>YB</t>
        </is>
      </c>
      <c r="B41" s="16" t="inlineStr">
        <is>
          <t xml:space="preserve">Yuanbao Inc. American </t>
        </is>
      </c>
      <c r="C41" s="16" t="inlineStr">
        <is>
          <t>2026-09-10</t>
        </is>
      </c>
      <c r="D41" s="16" t="inlineStr">
        <is>
          <t>NEW dividend_return</t>
        </is>
      </c>
      <c r="E41" s="24" t="inlineStr">
        <is>
          <t>“As of August 31, 2026, we had repurchased approximately 114,000 ADSs for a total consideration of approximately USD 1.6 million, reflecting our ongoing commitment to delivering capital returns to our shareholders.”</t>
        </is>
      </c>
      <c r="F41" s="16" t="inlineStr"/>
      <c r="G41" s="16" t="inlineStr"/>
      <c r="H41" s="16" t="inlineStr"/>
    </row>
    <row r="42" ht="30" customHeight="1">
      <c r="A42" s="6" t="inlineStr">
        <is>
          <t>ZUMZ</t>
        </is>
      </c>
      <c r="B42" s="14" t="inlineStr">
        <is>
          <t>Zumiez Inc.</t>
        </is>
      </c>
      <c r="C42" s="14" t="inlineStr">
        <is>
          <t>2026-09-10</t>
        </is>
      </c>
      <c r="D42" s="14" t="inlineStr">
        <is>
          <t>buyback</t>
        </is>
      </c>
      <c r="E42" s="22" t="inlineStr">
        <is>
          <t>“During the second quarter, we repurchased 1.2 million shares at a total cost of $23.2 million under the authorization provided by the Board of Directors on March 11, 2026.”</t>
        </is>
      </c>
      <c r="F42" s="14" t="inlineStr"/>
      <c r="G42" s="14" t="inlineStr">
        <is>
          <t>14%</t>
        </is>
      </c>
      <c r="H42" s="14" t="inlineStr"/>
    </row>
    <row r="43" ht="30" customHeight="1">
      <c r="A43" s="8" t="inlineStr">
        <is>
          <t>ASO</t>
        </is>
      </c>
      <c r="B43" s="16" t="inlineStr">
        <is>
          <t>Academy Sports and Out</t>
        </is>
      </c>
      <c r="C43" s="16" t="inlineStr">
        <is>
          <t>2026-09-09</t>
        </is>
      </c>
      <c r="D43" s="16" t="inlineStr">
        <is>
          <t>buyback</t>
        </is>
      </c>
      <c r="E43" s="24" t="inlineStr">
        <is>
          <t>“In the first half of the year, we repurchased approximately $181 million of our shares, representing about 5% of our outstanding shares, paid approximately $19 million in dividends.”</t>
        </is>
      </c>
      <c r="F43" s="16" t="inlineStr"/>
      <c r="G43" s="16" t="inlineStr">
        <is>
          <t>50%</t>
        </is>
      </c>
      <c r="H43" s="16" t="inlineStr"/>
    </row>
    <row r="44" ht="30" customHeight="1">
      <c r="A44" s="6" t="inlineStr">
        <is>
          <t>COO</t>
        </is>
      </c>
      <c r="B44" s="14" t="inlineStr">
        <is>
          <t xml:space="preserve">The Cooper Companies, </t>
        </is>
      </c>
      <c r="C44" s="14" t="inlineStr">
        <is>
          <t>2026-09-09</t>
        </is>
      </c>
      <c r="D44" s="14" t="inlineStr">
        <is>
          <t>NEW dividend_return</t>
        </is>
      </c>
      <c r="E44" s="22" t="inlineStr">
        <is>
          <t>“We also achieved a favorable resolution of HMRC's examination of our 2021 U.K. tax planning initiative and returned significant capital to shareholders.”</t>
        </is>
      </c>
      <c r="F44" s="14" t="inlineStr"/>
      <c r="G44" s="14" t="inlineStr">
        <is>
          <t>12%</t>
        </is>
      </c>
      <c r="H44" s="14" t="inlineStr"/>
    </row>
    <row r="45" ht="30" customHeight="1">
      <c r="A45" s="8" t="inlineStr">
        <is>
          <t>CAN</t>
        </is>
      </c>
      <c r="B45" s="16" t="inlineStr">
        <is>
          <t>Canaan Inc.</t>
        </is>
      </c>
      <c r="C45" s="16" t="inlineStr">
        <is>
          <t>2026-09-08</t>
        </is>
      </c>
      <c r="D45" s="16" t="inlineStr">
        <is>
          <t>NEW monetize</t>
        </is>
      </c>
      <c r="E45" s="24" t="inlineStr">
        <is>
          <t>“James will provide more details on the execution of digital assets monetization and the buyback.”</t>
        </is>
      </c>
      <c r="F45" s="16" t="inlineStr"/>
      <c r="G45" s="16" t="inlineStr">
        <is>
          <t>5%</t>
        </is>
      </c>
      <c r="H45" s="16" t="inlineStr"/>
    </row>
    <row r="46" ht="30" customHeight="1">
      <c r="A46" s="6" t="inlineStr">
        <is>
          <t>FCH.L</t>
        </is>
      </c>
      <c r="B46" s="14" t="inlineStr">
        <is>
          <t>Funding Circle Holding</t>
        </is>
      </c>
      <c r="C46" s="14" t="inlineStr">
        <is>
          <t>2026-09-08</t>
        </is>
      </c>
      <c r="D46" s="14" t="inlineStr">
        <is>
          <t>buyback</t>
        </is>
      </c>
      <c r="E46" s="22" t="inlineStr">
        <is>
          <t>“Since March 2024, we've bought back around GBP 72 million or 18% of the issued share capital.”</t>
        </is>
      </c>
      <c r="F46" s="14" t="inlineStr"/>
      <c r="G46" s="14" t="inlineStr">
        <is>
          <t>18%</t>
        </is>
      </c>
      <c r="H46" s="14" t="inlineStr"/>
    </row>
    <row r="47" ht="30" customHeight="1">
      <c r="A47" s="8" t="inlineStr">
        <is>
          <t>UNFI</t>
        </is>
      </c>
      <c r="B47" s="16" t="inlineStr">
        <is>
          <t xml:space="preserve">United Natural Foods, </t>
        </is>
      </c>
      <c r="C47" s="16" t="inlineStr">
        <is>
          <t>2026-09-08</t>
        </is>
      </c>
      <c r="D47" s="16" t="inlineStr">
        <is>
          <t>buyback</t>
        </is>
      </c>
      <c r="E47" s="24" t="inlineStr">
        <is>
          <t>“Our 8 k this morning also stated that our board of directors has authorized a new $100 million share repurchase program that replaces the 1 that was set to expire this month.”</t>
        </is>
      </c>
      <c r="F47" s="16" t="inlineStr"/>
      <c r="G47" s="16" t="inlineStr">
        <is>
          <t>7%</t>
        </is>
      </c>
      <c r="H47" s="16" t="inlineStr"/>
    </row>
    <row r="48" ht="30" customHeight="1">
      <c r="A48" s="6" t="inlineStr">
        <is>
          <t>FINV</t>
        </is>
      </c>
      <c r="B48" s="14" t="inlineStr">
        <is>
          <t>FinVolution Group</t>
        </is>
      </c>
      <c r="C48" s="14" t="inlineStr">
        <is>
          <t>2026-08-27</t>
        </is>
      </c>
      <c r="D48" s="14" t="inlineStr">
        <is>
          <t>buyback</t>
        </is>
      </c>
      <c r="E48" s="22" t="inlineStr">
        <is>
          <t>“In the second quarter, we repurchased USD 27.4 million of shares, bringing first half 2026 repurchase to USD 66.8 million.”</t>
        </is>
      </c>
      <c r="F48" s="14" t="inlineStr"/>
      <c r="G48" s="14" t="inlineStr"/>
      <c r="H48" s="14" t="inlineStr"/>
    </row>
    <row r="49" ht="30" customHeight="1">
      <c r="A49" s="8" t="inlineStr">
        <is>
          <t>MBUU</t>
        </is>
      </c>
      <c r="B49" s="16" t="inlineStr">
        <is>
          <t>Malibu Boats, Inc.</t>
        </is>
      </c>
      <c r="C49" s="16" t="inlineStr">
        <is>
          <t>2026-08-27</t>
        </is>
      </c>
      <c r="D49" s="16" t="inlineStr">
        <is>
          <t>buyback</t>
        </is>
      </c>
      <c r="E49" s="24" t="inlineStr">
        <is>
          <t>“While we chose to pause our open market purchases during the lender negotiations, our Board authorized a new $70 million share repurchase program for fiscal 2027 in June, and we closed our refinancing in July.”</t>
        </is>
      </c>
      <c r="F49" s="16" t="inlineStr"/>
      <c r="G49" s="16" t="inlineStr">
        <is>
          <t>12%</t>
        </is>
      </c>
      <c r="H49" s="16" t="inlineStr"/>
    </row>
    <row r="50" ht="30" customHeight="1">
      <c r="A50" s="6" t="inlineStr">
        <is>
          <t>KRNGF</t>
        </is>
      </c>
      <c r="B50" s="14" t="inlineStr">
        <is>
          <t>Karoon Energy Ltd</t>
        </is>
      </c>
      <c r="C50" s="14" t="inlineStr">
        <is>
          <t>2026-08-26</t>
        </is>
      </c>
      <c r="D50" s="14" t="inlineStr">
        <is>
          <t>buyback</t>
        </is>
      </c>
      <c r="E50" s="22" t="inlineStr">
        <is>
          <t>“Since the 30th of June, we have completed a further USD 15 million buyback tranche, purchasing approximately 12.6 million shares between the 23rd of July and the 7th of August, which increases our 2026 year-to-date buyba”</t>
        </is>
      </c>
      <c r="F50" s="14" t="inlineStr"/>
      <c r="G50" s="14" t="inlineStr"/>
      <c r="H50" s="14" t="inlineStr"/>
    </row>
    <row r="51" ht="30" customHeight="1">
      <c r="A51" s="8" t="inlineStr">
        <is>
          <t>KSS</t>
        </is>
      </c>
      <c r="B51" s="16" t="inlineStr">
        <is>
          <t>Kohl's Corporation</t>
        </is>
      </c>
      <c r="C51" s="16" t="inlineStr">
        <is>
          <t>2026-08-26</t>
        </is>
      </c>
      <c r="D51" s="16" t="inlineStr">
        <is>
          <t>delever</t>
        </is>
      </c>
      <c r="E51" s="24" t="inlineStr">
        <is>
          <t>“In the second quarter, we retired an additional $63 million of our long-term debt at a discount of $6 million through open-market debt repurchases.”</t>
        </is>
      </c>
      <c r="F51" s="16" t="inlineStr"/>
      <c r="G51" s="16" t="inlineStr">
        <is>
          <t>5%</t>
        </is>
      </c>
      <c r="H51" s="16" t="inlineStr"/>
    </row>
    <row r="52" ht="30" customHeight="1">
      <c r="A52" s="6" t="inlineStr">
        <is>
          <t>STRT</t>
        </is>
      </c>
      <c r="B52" s="14" t="inlineStr">
        <is>
          <t>Strattec Security Corp</t>
        </is>
      </c>
      <c r="C52" s="14" t="inlineStr">
        <is>
          <t>2026-08-26</t>
        </is>
      </c>
      <c r="D52" s="14" t="inlineStr">
        <is>
          <t>NEW buyback</t>
        </is>
      </c>
      <c r="E52" s="22" t="inlineStr">
        <is>
          <t>“Our consistent cash generation also allowed us to return $7.4 million to shareholders in the form of share buybacks in the fourth quarter, and our Board of Directors has authorized a new $40 million stock repurchase prog”</t>
        </is>
      </c>
      <c r="F52" s="14" t="inlineStr"/>
      <c r="G52" s="14" t="inlineStr">
        <is>
          <t>13%</t>
        </is>
      </c>
      <c r="H52" s="14" t="inlineStr"/>
    </row>
    <row r="53" ht="30" customHeight="1">
      <c r="A53" s="8" t="inlineStr">
        <is>
          <t>ZH</t>
        </is>
      </c>
      <c r="B53" s="16" t="inlineStr">
        <is>
          <t>Zhihu Inc.</t>
        </is>
      </c>
      <c r="C53" s="16" t="inlineStr">
        <is>
          <t>2026-08-26</t>
        </is>
      </c>
      <c r="D53" s="16" t="inlineStr">
        <is>
          <t>buyback</t>
        </is>
      </c>
      <c r="E53" s="24" t="inlineStr">
        <is>
          <t>“As of June 30, 2026, we had RMB 4.4 billion in cash and cash equivalents, time deposits, restricted cash and short-term investments, maintaining a solid liquidity position to support our -- as of June 30, 2026, we had re”</t>
        </is>
      </c>
      <c r="F53" s="16" t="inlineStr"/>
      <c r="G53" s="16" t="inlineStr"/>
      <c r="H53" s="16" t="inlineStr"/>
    </row>
    <row r="54" ht="30" customHeight="1">
      <c r="A54" s="6" t="inlineStr">
        <is>
          <t>BZ</t>
        </is>
      </c>
      <c r="B54" s="14" t="inlineStr">
        <is>
          <t>Kanzhun Limited</t>
        </is>
      </c>
      <c r="C54" s="14" t="inlineStr">
        <is>
          <t>2026-08-25</t>
        </is>
      </c>
      <c r="D54" s="14" t="inlineStr">
        <is>
          <t>buyback</t>
        </is>
      </c>
      <c r="E54" s="22" t="inlineStr">
        <is>
          <t>“Since the beginning of this year, the company has repurchased approximately $300 million worth of shares, representing more than 4.7% of its total share capital.”</t>
        </is>
      </c>
      <c r="F54" s="14" t="inlineStr"/>
      <c r="G54" s="14" t="inlineStr">
        <is>
          <t>10%</t>
        </is>
      </c>
      <c r="H54" s="14" t="inlineStr"/>
    </row>
    <row r="55" ht="30" customHeight="1">
      <c r="A55" s="8" t="inlineStr">
        <is>
          <t>JOYY</t>
        </is>
      </c>
      <c r="B55" s="16" t="inlineStr">
        <is>
          <t>JOYY, Inc. Sponsored A</t>
        </is>
      </c>
      <c r="C55" s="16" t="inlineStr">
        <is>
          <t>2026-08-25</t>
        </is>
      </c>
      <c r="D55" s="16" t="inlineStr">
        <is>
          <t>buyback</t>
        </is>
      </c>
      <c r="E55" s="24" t="inlineStr">
        <is>
          <t>“We have repurchased a cumulative total of $216 million, maintaining an accelerated buyback pace.”</t>
        </is>
      </c>
      <c r="F55" s="16" t="inlineStr"/>
      <c r="G55" s="16" t="inlineStr">
        <is>
          <t>50%</t>
        </is>
      </c>
      <c r="H55" s="16" t="inlineStr"/>
    </row>
    <row r="56" ht="30" customHeight="1">
      <c r="A56" s="6" t="inlineStr">
        <is>
          <t>VIPS</t>
        </is>
      </c>
      <c r="B56" s="14" t="inlineStr">
        <is>
          <t>Vipshop Holdings Limit</t>
        </is>
      </c>
      <c r="C56" s="14" t="inlineStr">
        <is>
          <t>2026-08-25</t>
        </is>
      </c>
      <c r="D56" s="14" t="inlineStr">
        <is>
          <t>NEW monetize</t>
        </is>
      </c>
      <c r="E56" s="22" t="inlineStr">
        <is>
          <t>“In addition, to unlock the value of our high-quality assets and optimize capital efficiency, we successfully launched 2 public REITs backed by 3 mature Shan Shan outlet properties, a consumer infrastructure REIT and a co”</t>
        </is>
      </c>
      <c r="F56" s="14" t="inlineStr"/>
      <c r="G56" s="14" t="inlineStr"/>
      <c r="H56" s="14" t="inlineStr"/>
    </row>
    <row r="57" ht="30" customHeight="1">
      <c r="A57" s="8" t="inlineStr">
        <is>
          <t>BTRCF</t>
        </is>
      </c>
      <c r="B57" s="16" t="inlineStr">
        <is>
          <t>Better Collective A/S</t>
        </is>
      </c>
      <c r="C57" s="16" t="inlineStr">
        <is>
          <t>2026-08-21</t>
        </is>
      </c>
      <c r="D57" s="16" t="inlineStr">
        <is>
          <t>buyback</t>
        </is>
      </c>
      <c r="E57" s="24" t="inlineStr">
        <is>
          <t>“During the quarter, we repurchased shares worth EUR 8 million, bringing the total share buybacks during the first half of the year to EUR 14 million.”</t>
        </is>
      </c>
      <c r="F57" s="16" t="inlineStr"/>
      <c r="G57" s="16" t="inlineStr"/>
      <c r="H57" s="16" t="inlineStr"/>
    </row>
    <row r="58" ht="30" customHeight="1">
      <c r="A58" s="6" t="inlineStr">
        <is>
          <t>ATHM</t>
        </is>
      </c>
      <c r="B58" s="14" t="inlineStr">
        <is>
          <t>Autohome Inc.</t>
        </is>
      </c>
      <c r="C58" s="14" t="inlineStr">
        <is>
          <t>2026-08-20</t>
        </is>
      </c>
      <c r="D58" s="14" t="inlineStr">
        <is>
          <t>buyback</t>
        </is>
      </c>
      <c r="E58" s="22" t="inlineStr">
        <is>
          <t>“In addition, on July 28, 2026, our Board of Directors authorized a new share repurchase program under which we may repurchase up to USD 400 million of Autohome's ADS over the next 12 months.”</t>
        </is>
      </c>
      <c r="F58" s="14" t="inlineStr"/>
      <c r="G58" s="14" t="inlineStr"/>
      <c r="H58" s="14" t="inlineStr"/>
    </row>
    <row r="59" ht="30" customHeight="1">
      <c r="A59" s="8" t="inlineStr">
        <is>
          <t>ICG</t>
        </is>
      </c>
      <c r="B59" s="16" t="inlineStr">
        <is>
          <t>Intchains Group Limite</t>
        </is>
      </c>
      <c r="C59" s="16" t="inlineStr">
        <is>
          <t>2026-08-20</t>
        </is>
      </c>
      <c r="D59" s="16" t="inlineStr">
        <is>
          <t>NEW buyback</t>
        </is>
      </c>
      <c r="E59" s="24" t="inlineStr">
        <is>
          <t>“We also announced today that our Board of Directors had approved a share repurchase program, under which we may repurchase up to $15 million of our ADS over the next 2 years, funded from our existing cash balance.”</t>
        </is>
      </c>
      <c r="F59" s="16" t="inlineStr"/>
      <c r="G59" s="16" t="inlineStr">
        <is>
          <t>50%</t>
        </is>
      </c>
      <c r="H59" s="16" t="inlineStr"/>
    </row>
    <row r="60" ht="30" customHeight="1">
      <c r="A60" s="6" t="inlineStr">
        <is>
          <t>NMM</t>
        </is>
      </c>
      <c r="B60" s="14" t="inlineStr">
        <is>
          <t>Navios Maritime Partne</t>
        </is>
      </c>
      <c r="C60" s="14" t="inlineStr">
        <is>
          <t>2026-08-20</t>
        </is>
      </c>
      <c r="D60" s="14" t="inlineStr">
        <is>
          <t>NEW value_gap</t>
        </is>
      </c>
      <c r="E60" s="22" t="inlineStr">
        <is>
          <t>“We view this program as an important tool for creating value for our common unitholders, particularly when our units trade at a meaningful discount to underlying NAV.”</t>
        </is>
      </c>
      <c r="F60" s="14" t="inlineStr"/>
      <c r="G60" s="14" t="inlineStr">
        <is>
          <t>8%</t>
        </is>
      </c>
      <c r="H60" s="14" t="inlineStr"/>
    </row>
    <row r="61" ht="30" customHeight="1">
      <c r="A61" s="8" t="inlineStr">
        <is>
          <t>BILL</t>
        </is>
      </c>
      <c r="B61" s="16" t="inlineStr">
        <is>
          <t>Bill.com Holdings, Inc</t>
        </is>
      </c>
      <c r="C61" s="16" t="inlineStr">
        <is>
          <t>2026-08-19</t>
        </is>
      </c>
      <c r="D61" s="16" t="inlineStr">
        <is>
          <t>buyback</t>
        </is>
      </c>
      <c r="E61" s="24" t="inlineStr">
        <is>
          <t>“In the fourth quarter, we repurchased approximately $300 million of stock at an average price of $35.31 per share.”</t>
        </is>
      </c>
      <c r="F61" s="16" t="inlineStr"/>
      <c r="G61" s="16" t="inlineStr">
        <is>
          <t>21%</t>
        </is>
      </c>
      <c r="H61" s="16" t="inlineStr"/>
    </row>
    <row r="62" ht="30" customHeight="1">
      <c r="A62" s="6" t="inlineStr">
        <is>
          <t>LZB</t>
        </is>
      </c>
      <c r="B62" s="14" t="inlineStr">
        <is>
          <t>La-Z-Boy Incorporated</t>
        </is>
      </c>
      <c r="C62" s="14" t="inlineStr">
        <is>
          <t>2026-08-19</t>
        </is>
      </c>
      <c r="D62" s="14" t="inlineStr">
        <is>
          <t>buyback</t>
        </is>
      </c>
      <c r="E62" s="22" t="inlineStr">
        <is>
          <t>“We returned $35 million to shareholders through share repurchase and dividends, a 62% increase versus prior year.”</t>
        </is>
      </c>
      <c r="F62" s="14" t="inlineStr"/>
      <c r="G62" s="14" t="inlineStr">
        <is>
          <t>3%</t>
        </is>
      </c>
      <c r="H62" s="14" t="inlineStr"/>
    </row>
    <row r="63" ht="30" customHeight="1">
      <c r="A63" s="8" t="inlineStr">
        <is>
          <t>YALA</t>
        </is>
      </c>
      <c r="B63" s="16" t="inlineStr">
        <is>
          <t>Yalla Group Limited</t>
        </is>
      </c>
      <c r="C63" s="16" t="inlineStr">
        <is>
          <t>2026-08-17</t>
        </is>
      </c>
      <c r="D63" s="16" t="inlineStr">
        <is>
          <t>buyback</t>
        </is>
      </c>
      <c r="E63" s="24" t="inlineStr">
        <is>
          <t>“During the quarter, we continued to deliver on our shareholder return commitment under the company's 2 share repurchase programs launched in 2021 and 2026.”</t>
        </is>
      </c>
      <c r="F63" s="16" t="inlineStr"/>
      <c r="G63" s="16" t="inlineStr">
        <is>
          <t>3%</t>
        </is>
      </c>
      <c r="H63" s="16" t="inlineStr"/>
    </row>
    <row r="64" ht="30" customHeight="1">
      <c r="A64" s="6" t="inlineStr">
        <is>
          <t>HSDT</t>
        </is>
      </c>
      <c r="B64" s="14" t="inlineStr">
        <is>
          <t>Solana Company</t>
        </is>
      </c>
      <c r="C64" s="14" t="inlineStr">
        <is>
          <t>2026-08-14</t>
        </is>
      </c>
      <c r="D64" s="14" t="inlineStr">
        <is>
          <t>buyback</t>
        </is>
      </c>
      <c r="E64" s="22" t="inlineStr">
        <is>
          <t>“With our stock trading at a discount to net asset value during the quarter, we executed approximately $2.3 million of share repurchases, retiring 1.3 million shares and year-to-date repurchases now total approximately $5”</t>
        </is>
      </c>
      <c r="F64" s="14" t="inlineStr"/>
      <c r="G64" s="14" t="inlineStr">
        <is>
          <t>6%</t>
        </is>
      </c>
      <c r="H64" s="14" t="inlineStr"/>
    </row>
    <row r="65" ht="30" customHeight="1">
      <c r="A65" s="8" t="inlineStr">
        <is>
          <t>AFYA</t>
        </is>
      </c>
      <c r="B65" s="16" t="inlineStr">
        <is>
          <t>Afya Limited</t>
        </is>
      </c>
      <c r="C65" s="16" t="inlineStr">
        <is>
          <t>2026-08-13</t>
        </is>
      </c>
      <c r="D65" s="16" t="inlineStr">
        <is>
          <t>buyback</t>
        </is>
      </c>
      <c r="E65" s="24" t="inlineStr">
        <is>
          <t>“At the corporate level, supported by strong cash generation, we returned BRL 448 million to our shareholders through dividends and share repurchase in the first half of 2026, representing 106% of our free cash flow to eq”</t>
        </is>
      </c>
      <c r="F65" s="16" t="inlineStr"/>
      <c r="G65" s="16" t="inlineStr">
        <is>
          <t>4%</t>
        </is>
      </c>
      <c r="H65" s="16" t="inlineStr"/>
    </row>
    <row r="66" ht="30" customHeight="1">
      <c r="A66" s="6" t="inlineStr">
        <is>
          <t>API</t>
        </is>
      </c>
      <c r="B66" s="14" t="inlineStr">
        <is>
          <t>Agora, Inc.</t>
        </is>
      </c>
      <c r="C66" s="14" t="inlineStr">
        <is>
          <t>2026-08-13</t>
        </is>
      </c>
      <c r="D66" s="14" t="inlineStr">
        <is>
          <t>buyback</t>
        </is>
      </c>
      <c r="E66" s="22" t="inlineStr">
        <is>
          <t>“During Q2, we repurchased approximately 1 million ADS for approximately $3.7 million.”</t>
        </is>
      </c>
      <c r="F66" s="14" t="inlineStr"/>
      <c r="G66" s="14" t="inlineStr">
        <is>
          <t>37%</t>
        </is>
      </c>
      <c r="H66" s="14" t="inlineStr"/>
    </row>
    <row r="67" ht="30" customHeight="1">
      <c r="A67" s="8" t="inlineStr">
        <is>
          <t>CAE</t>
        </is>
      </c>
      <c r="B67" s="16" t="inlineStr">
        <is>
          <t>CAE Inc.</t>
        </is>
      </c>
      <c r="C67" s="16" t="inlineStr">
        <is>
          <t>2026-08-13</t>
        </is>
      </c>
      <c r="D67" s="16" t="inlineStr">
        <is>
          <t>cost</t>
        </is>
      </c>
      <c r="E67" s="24" t="inlineStr">
        <is>
          <t>“We are committed to deliver the $125 million to $150 million of structural cost reduction by fiscal 2030.”</t>
        </is>
      </c>
      <c r="F67" s="16" t="inlineStr"/>
      <c r="G67" s="16" t="inlineStr">
        <is>
          <t>0%</t>
        </is>
      </c>
      <c r="H67" s="16" t="inlineStr"/>
    </row>
    <row r="68" ht="30" customHeight="1">
      <c r="A68" s="6" t="inlineStr">
        <is>
          <t>PLGO</t>
        </is>
      </c>
      <c r="B68" s="14" t="inlineStr">
        <is>
          <t>Pelagos Insurance Capi</t>
        </is>
      </c>
      <c r="C68" s="14" t="inlineStr">
        <is>
          <t>2026-08-13</t>
        </is>
      </c>
      <c r="D68" s="14" t="inlineStr">
        <is>
          <t>buyback</t>
        </is>
      </c>
      <c r="E68" s="22" t="inlineStr">
        <is>
          <t>“In the second quarter, we repurchased 2.8 million common shares for $60 million at an average price of $21.60 per share.”</t>
        </is>
      </c>
      <c r="F68" s="14" t="inlineStr"/>
      <c r="G68" s="14" t="inlineStr">
        <is>
          <t>14%</t>
        </is>
      </c>
      <c r="H68" s="14" t="inlineStr"/>
    </row>
    <row r="69" ht="30" customHeight="1">
      <c r="A69" s="8" t="inlineStr">
        <is>
          <t>KRNT</t>
        </is>
      </c>
      <c r="B69" s="16" t="inlineStr">
        <is>
          <t>Kornit Digital Ltd.</t>
        </is>
      </c>
      <c r="C69" s="16" t="inlineStr">
        <is>
          <t>2026-08-12</t>
        </is>
      </c>
      <c r="D69" s="16" t="inlineStr">
        <is>
          <t>buyback</t>
        </is>
      </c>
      <c r="E69" s="24" t="inlineStr">
        <is>
          <t>“Since the program began in 2023, we have repurchased approximately 9.5 million shares for about $205 million with approximately $60 million remaining under the current authorization.”</t>
        </is>
      </c>
      <c r="F69" s="16" t="inlineStr"/>
      <c r="G69" s="16" t="inlineStr">
        <is>
          <t>25%</t>
        </is>
      </c>
      <c r="H69" s="16" t="inlineStr"/>
    </row>
    <row r="70" ht="30" customHeight="1">
      <c r="A70" s="6" t="inlineStr">
        <is>
          <t>GRWG</t>
        </is>
      </c>
      <c r="B70" s="14" t="inlineStr">
        <is>
          <t>GrowGeneration Corp.</t>
        </is>
      </c>
      <c r="C70" s="14" t="inlineStr">
        <is>
          <t>2026-08-11</t>
        </is>
      </c>
      <c r="D70" s="14" t="inlineStr">
        <is>
          <t>buyback</t>
        </is>
      </c>
      <c r="E70" s="22" t="inlineStr">
        <is>
          <t>“During the second quarter, the company repurchased 700 thousand shares of common stock at an average price of $1.38 per share exclusive of incremental direct costs, As of 6/30/2026, approximately $9 million remained avai”</t>
        </is>
      </c>
      <c r="F70" s="14" t="inlineStr"/>
      <c r="G70" s="14" t="inlineStr">
        <is>
          <t>11%</t>
        </is>
      </c>
      <c r="H70" s="14" t="inlineStr"/>
    </row>
    <row r="71" ht="30" customHeight="1">
      <c r="A71" s="8" t="inlineStr">
        <is>
          <t>IZEA</t>
        </is>
      </c>
      <c r="B71" s="16" t="inlineStr">
        <is>
          <t>IZEA Worldwide, Inc.</t>
        </is>
      </c>
      <c r="C71" s="16" t="inlineStr">
        <is>
          <t>2026-08-11</t>
        </is>
      </c>
      <c r="D71" s="16" t="inlineStr">
        <is>
          <t>buyback</t>
        </is>
      </c>
      <c r="E71" s="24" t="inlineStr">
        <is>
          <t>“Turning to our share repurchase activity, the Board authorized a $10 million share repurchase program in the fall of 2024.”</t>
        </is>
      </c>
      <c r="F71" s="16" t="inlineStr"/>
      <c r="G71" s="16" t="inlineStr">
        <is>
          <t>16%</t>
        </is>
      </c>
      <c r="H71" s="16" t="inlineStr"/>
    </row>
    <row r="72" ht="30" customHeight="1">
      <c r="A72" s="6" t="inlineStr">
        <is>
          <t>SEER</t>
        </is>
      </c>
      <c r="B72" s="14" t="inlineStr">
        <is>
          <t>Seer, Inc.</t>
        </is>
      </c>
      <c r="C72" s="14" t="inlineStr">
        <is>
          <t>2026-08-11</t>
        </is>
      </c>
      <c r="D72" s="14" t="inlineStr">
        <is>
          <t>buyback</t>
        </is>
      </c>
      <c r="E72" s="22" t="inlineStr">
        <is>
          <t>“As of June 30, 2026, we have repurchased approximately 13.4 million Class A common shares over the life of our share repurchase program, reducing our net total common share outstanding by approximately 15%.”</t>
        </is>
      </c>
      <c r="F72" s="14" t="inlineStr"/>
      <c r="G72" s="14" t="inlineStr">
        <is>
          <t>21%</t>
        </is>
      </c>
      <c r="H72" s="14" t="inlineStr"/>
    </row>
    <row r="73" ht="30" customHeight="1">
      <c r="A73" s="8" t="inlineStr">
        <is>
          <t>WHF</t>
        </is>
      </c>
      <c r="B73" s="16" t="inlineStr">
        <is>
          <t>WhiteHorse Finance, In</t>
        </is>
      </c>
      <c r="C73" s="16" t="inlineStr">
        <is>
          <t>2026-08-11</t>
        </is>
      </c>
      <c r="D73" s="16" t="inlineStr">
        <is>
          <t>buyback</t>
        </is>
      </c>
      <c r="E73" s="24" t="inlineStr">
        <is>
          <t>“In regards to our share repurchase program, the company repurchased approximately 345,000 shares during the second quarter at a weighted average price of approximately $7.42 per share, inclusive of commissions, for a tot”</t>
        </is>
      </c>
      <c r="F73" s="16" t="inlineStr"/>
      <c r="G73" s="16" t="inlineStr">
        <is>
          <t>8%</t>
        </is>
      </c>
      <c r="H73" s="16" t="inlineStr"/>
    </row>
    <row r="74" ht="30" customHeight="1">
      <c r="A74" s="6" t="inlineStr">
        <is>
          <t>CNNE</t>
        </is>
      </c>
      <c r="B74" s="14" t="inlineStr">
        <is>
          <t>Cannae Holdings, Inc.</t>
        </is>
      </c>
      <c r="C74" s="14" t="inlineStr">
        <is>
          <t>2026-08-10</t>
        </is>
      </c>
      <c r="D74" s="14" t="inlineStr">
        <is>
          <t>monetize</t>
        </is>
      </c>
      <c r="E74" s="22" t="inlineStr">
        <is>
          <t>“On the call today, I plan to cover four topics: how we allocated capital during the quarter and our expectations going forward, the sale of non-core assets, the execution of our multi-club sports strategy at Black Knight”</t>
        </is>
      </c>
      <c r="F74" s="14" t="inlineStr"/>
      <c r="G74" s="14" t="inlineStr"/>
      <c r="H74" s="14" t="inlineStr"/>
    </row>
    <row r="75" ht="30" customHeight="1">
      <c r="A75" s="8" t="inlineStr">
        <is>
          <t>GAME</t>
        </is>
      </c>
      <c r="B75" s="16" t="inlineStr">
        <is>
          <t>GameSquare Holdings In</t>
        </is>
      </c>
      <c r="C75" s="16" t="inlineStr">
        <is>
          <t>2026-08-10</t>
        </is>
      </c>
      <c r="D75" s="16" t="inlineStr">
        <is>
          <t>buyback</t>
        </is>
      </c>
      <c r="E75" s="24" t="inlineStr">
        <is>
          <t>“Since the beginning of our repurchase program, we have repurchased more than 8.8 million shares for approximately $4.1 million, including 2.8 million shares during the second quarter and an additional 1 million shares in”</t>
        </is>
      </c>
      <c r="F75" s="16" t="inlineStr"/>
      <c r="G75" s="16" t="inlineStr">
        <is>
          <t>50%</t>
        </is>
      </c>
      <c r="H75" s="16" t="inlineStr"/>
    </row>
    <row r="76" ht="30" customHeight="1">
      <c r="A76" s="6" t="inlineStr">
        <is>
          <t>MPAA</t>
        </is>
      </c>
      <c r="B76" s="14" t="inlineStr">
        <is>
          <t>Motorcar Parts of Amer</t>
        </is>
      </c>
      <c r="C76" s="14" t="inlineStr">
        <is>
          <t>2026-08-10</t>
        </is>
      </c>
      <c r="D76" s="14" t="inlineStr">
        <is>
          <t>buyback</t>
        </is>
      </c>
      <c r="E76" s="22" t="inlineStr">
        <is>
          <t>“For the fiscal first quarter, the company repurchased 130 thousand shares for $1.9 million at an average share price of $14.98.”</t>
        </is>
      </c>
      <c r="F76" s="14" t="inlineStr"/>
      <c r="G76" s="14" t="inlineStr">
        <is>
          <t>42%</t>
        </is>
      </c>
      <c r="H76" s="14" t="inlineStr"/>
    </row>
    <row r="77" ht="30" customHeight="1">
      <c r="A77" s="8" t="inlineStr">
        <is>
          <t>PERI</t>
        </is>
      </c>
      <c r="B77" s="16" t="inlineStr">
        <is>
          <t>Perion Network Ltd.</t>
        </is>
      </c>
      <c r="C77" s="16" t="inlineStr">
        <is>
          <t>2026-08-10</t>
        </is>
      </c>
      <c r="D77" s="16" t="inlineStr">
        <is>
          <t>buyback</t>
        </is>
      </c>
      <c r="E77" s="24" t="inlineStr">
        <is>
          <t>“Since the initiation of this buyback program, 9 quarters ago, we have repurchased a cumulative total of 18.0 million shares for $166.8 million.”</t>
        </is>
      </c>
      <c r="F77" s="16" t="inlineStr"/>
      <c r="G77" s="16" t="inlineStr">
        <is>
          <t>44%</t>
        </is>
      </c>
      <c r="H77" s="16" t="inlineStr"/>
    </row>
    <row r="78"/>
    <row r="79">
      <c r="A79" s="20" t="inlineStr">
        <is>
          <t>Governance actions at deep-discount names, last 60 days  (17)</t>
        </is>
      </c>
    </row>
    <row r="80">
      <c r="A80" s="12" t="inlineStr">
        <is>
          <t>Ticker</t>
        </is>
      </c>
      <c r="B80" s="12" t="inlineStr">
        <is>
          <t>Name</t>
        </is>
      </c>
      <c r="C80" s="12" t="inlineStr">
        <is>
          <t>Date</t>
        </is>
      </c>
      <c r="D80" s="12" t="inlineStr">
        <is>
          <t>Latest</t>
        </is>
      </c>
      <c r="E80" s="12" t="inlineStr">
        <is>
          <t>Set-up</t>
        </is>
      </c>
      <c r="F80" s="12" t="inlineStr"/>
      <c r="G80" s="12" t="inlineStr"/>
      <c r="H80" s="12" t="inlineStr"/>
    </row>
    <row r="81" ht="30" customHeight="1">
      <c r="A81" s="6" t="inlineStr">
        <is>
          <t>INVE</t>
        </is>
      </c>
      <c r="B81" s="14" t="inlineStr">
        <is>
          <t>Identiv, Inc.</t>
        </is>
      </c>
      <c r="C81" s="14" t="inlineStr">
        <is>
          <t>2026-09-18</t>
        </is>
      </c>
      <c r="D81" s="14" t="inlineStr">
        <is>
          <t>ceo change</t>
        </is>
      </c>
      <c r="E81" s="22" t="inlineStr">
        <is>
          <t>P/B 0.44; 3 signals: ceo change, asset sale, pay on value</t>
        </is>
      </c>
      <c r="F81" s="14" t="inlineStr"/>
      <c r="G81" s="14" t="inlineStr"/>
      <c r="H81" s="14" t="inlineStr"/>
    </row>
    <row r="82" ht="30" customHeight="1">
      <c r="A82" s="8" t="inlineStr">
        <is>
          <t>HAIN</t>
        </is>
      </c>
      <c r="B82" s="16" t="inlineStr">
        <is>
          <t>The Hain Celestial Gro</t>
        </is>
      </c>
      <c r="C82" s="16" t="inlineStr">
        <is>
          <t>2026-09-14</t>
        </is>
      </c>
      <c r="D82" s="16" t="inlineStr">
        <is>
          <t>asset sale</t>
        </is>
      </c>
      <c r="E82" s="24" t="inlineStr">
        <is>
          <t>P/B 0.23; 5 signals: value committee, asset sale, mda unlock, pay on value, cic prep</t>
        </is>
      </c>
      <c r="F82" s="16" t="inlineStr"/>
      <c r="G82" s="16" t="inlineStr"/>
      <c r="H82" s="16" t="inlineStr"/>
    </row>
    <row r="83" ht="30" customHeight="1">
      <c r="A83" s="6" t="inlineStr">
        <is>
          <t>PPLI</t>
        </is>
      </c>
      <c r="B83" s="14" t="inlineStr">
        <is>
          <t>People Incorporated</t>
        </is>
      </c>
      <c r="C83" s="14" t="inlineStr">
        <is>
          <t>2026-09-11</t>
        </is>
      </c>
      <c r="D83" s="14" t="inlineStr">
        <is>
          <t>capital return policy</t>
        </is>
      </c>
      <c r="E83" s="22" t="inlineStr">
        <is>
          <t>P/B 0.53; 2 signals: capital return policy, call value gap</t>
        </is>
      </c>
      <c r="F83" s="14" t="inlineStr"/>
      <c r="G83" s="14" t="inlineStr"/>
      <c r="H83" s="14" t="inlineStr"/>
    </row>
    <row r="84" ht="30" customHeight="1">
      <c r="A84" s="8" t="inlineStr">
        <is>
          <t>DXLG</t>
        </is>
      </c>
      <c r="B84" s="16" t="inlineStr">
        <is>
          <t xml:space="preserve">Destination XL Group, </t>
        </is>
      </c>
      <c r="C84" s="16" t="inlineStr">
        <is>
          <t>2026-09-09</t>
        </is>
      </c>
      <c r="D84" s="16" t="inlineStr">
        <is>
          <t>mda capital</t>
        </is>
      </c>
      <c r="E84" s="24" t="inlineStr">
        <is>
          <t>P/B 0.32; 3 signals: tender offer, mda capital, pay on value</t>
        </is>
      </c>
      <c r="F84" s="16" t="inlineStr"/>
      <c r="G84" s="16" t="inlineStr"/>
      <c r="H84" s="16" t="inlineStr"/>
    </row>
    <row r="85" ht="30" customHeight="1">
      <c r="A85" s="6" t="inlineStr">
        <is>
          <t>LE</t>
        </is>
      </c>
      <c r="B85" s="14" t="inlineStr">
        <is>
          <t>Lands' End, Inc.</t>
        </is>
      </c>
      <c r="C85" s="14" t="inlineStr">
        <is>
          <t>2026-09-03</t>
        </is>
      </c>
      <c r="D85" s="14" t="inlineStr">
        <is>
          <t>call intent</t>
        </is>
      </c>
      <c r="E85" s="22" t="inlineStr">
        <is>
          <t>P/B 0.65; 5 signals: tender offer, mda unlock, pay on value, call intent, cic prep</t>
        </is>
      </c>
      <c r="F85" s="14" t="inlineStr"/>
      <c r="G85" s="14" t="inlineStr"/>
      <c r="H85" s="14" t="inlineStr"/>
    </row>
    <row r="86" ht="30" customHeight="1">
      <c r="A86" s="8" t="inlineStr">
        <is>
          <t>KSS</t>
        </is>
      </c>
      <c r="B86" s="16" t="inlineStr">
        <is>
          <t>Kohl's Corporation</t>
        </is>
      </c>
      <c r="C86" s="16" t="inlineStr">
        <is>
          <t>2026-08-26</t>
        </is>
      </c>
      <c r="D86" s="16" t="inlineStr">
        <is>
          <t>call commit</t>
        </is>
      </c>
      <c r="E86" s="24" t="inlineStr">
        <is>
          <t>P/B 0.49; 8 signals: chair ceo split, board refresh, proxy responsive, pay on value, sop dissent, call commit, turnaround exec, cic prep</t>
        </is>
      </c>
      <c r="F86" s="16" t="inlineStr"/>
      <c r="G86" s="16" t="inlineStr"/>
      <c r="H86" s="16" t="inlineStr"/>
    </row>
    <row r="87" ht="30" customHeight="1">
      <c r="A87" s="6" t="inlineStr">
        <is>
          <t>JOB</t>
        </is>
      </c>
      <c r="B87" s="14" t="inlineStr">
        <is>
          <t>GEE Group Inc.</t>
        </is>
      </c>
      <c r="C87" s="14" t="inlineStr">
        <is>
          <t>2026-08-21</t>
        </is>
      </c>
      <c r="D87" s="14" t="inlineStr">
        <is>
          <t>activist settlement</t>
        </is>
      </c>
      <c r="E87" s="22" t="inlineStr">
        <is>
          <t>P/B 0.51; 4 signals: activist settlement, declassify, mda unlock, call value gap</t>
        </is>
      </c>
      <c r="F87" s="14" t="inlineStr"/>
      <c r="G87" s="14" t="inlineStr"/>
      <c r="H87" s="14" t="inlineStr"/>
    </row>
    <row r="88" ht="30" customHeight="1">
      <c r="A88" s="8" t="inlineStr">
        <is>
          <t>OPTT</t>
        </is>
      </c>
      <c r="B88" s="16" t="inlineStr">
        <is>
          <t>Ocean Power Technologi</t>
        </is>
      </c>
      <c r="C88" s="16" t="inlineStr">
        <is>
          <t>2026-08-17</t>
        </is>
      </c>
      <c r="D88" s="16" t="inlineStr">
        <is>
          <t>strategic review</t>
        </is>
      </c>
      <c r="E88" s="24" t="inlineStr">
        <is>
          <t>P/B 0.66; 3 signals: pill removed, strategic review, pay on value</t>
        </is>
      </c>
      <c r="F88" s="16" t="inlineStr"/>
      <c r="G88" s="16" t="inlineStr"/>
      <c r="H88" s="16" t="inlineStr"/>
    </row>
    <row r="89" ht="30" customHeight="1">
      <c r="A89" s="6" t="inlineStr">
        <is>
          <t>TOON</t>
        </is>
      </c>
      <c r="B89" s="14" t="inlineStr">
        <is>
          <t>Kartoon Studios Inc.</t>
        </is>
      </c>
      <c r="C89" s="14" t="inlineStr">
        <is>
          <t>2026-08-14</t>
        </is>
      </c>
      <c r="D89" s="14" t="inlineStr">
        <is>
          <t>activist settlement</t>
        </is>
      </c>
      <c r="E89" s="22" t="inlineStr">
        <is>
          <t>P/B 0.66; 4 signals: activist settlement, pill removed, asset sale, mda unlock</t>
        </is>
      </c>
      <c r="F89" s="14" t="inlineStr"/>
      <c r="G89" s="14" t="inlineStr"/>
      <c r="H89" s="14" t="inlineStr"/>
    </row>
    <row r="90" ht="30" customHeight="1">
      <c r="A90" s="8" t="inlineStr">
        <is>
          <t>MLCI</t>
        </is>
      </c>
      <c r="B90" s="16" t="inlineStr">
        <is>
          <t>Mount Logan Capital In</t>
        </is>
      </c>
      <c r="C90" s="16" t="inlineStr">
        <is>
          <t>2026-08-12</t>
        </is>
      </c>
      <c r="D90" s="16" t="inlineStr">
        <is>
          <t>call value gap</t>
        </is>
      </c>
      <c r="E90" s="24" t="inlineStr">
        <is>
          <t>P/B 0.59; 2 signals: tender offer, call value gap</t>
        </is>
      </c>
      <c r="F90" s="16" t="inlineStr"/>
      <c r="G90" s="16" t="inlineStr"/>
      <c r="H90" s="16" t="inlineStr"/>
    </row>
    <row r="91" ht="30" customHeight="1">
      <c r="A91" s="6" t="inlineStr">
        <is>
          <t>BGS</t>
        </is>
      </c>
      <c r="B91" s="14" t="inlineStr">
        <is>
          <t>B&amp;G Foods, Inc.</t>
        </is>
      </c>
      <c r="C91" s="14" t="inlineStr">
        <is>
          <t>2026-08-11</t>
        </is>
      </c>
      <c r="D91" s="14" t="inlineStr">
        <is>
          <t>call value gap</t>
        </is>
      </c>
      <c r="E91" s="22" t="inlineStr">
        <is>
          <t>P/B 0.62; 5 signals: asset sale, pay on value, call value gap, turnaround exec, cic prep</t>
        </is>
      </c>
      <c r="F91" s="14" t="inlineStr"/>
      <c r="G91" s="14" t="inlineStr"/>
      <c r="H91" s="14" t="inlineStr"/>
    </row>
    <row r="92" ht="30" customHeight="1">
      <c r="A92" s="8" t="inlineStr">
        <is>
          <t>ONL</t>
        </is>
      </c>
      <c r="B92" s="16" t="inlineStr">
        <is>
          <t>Orion Properties Inc.</t>
        </is>
      </c>
      <c r="C92" s="16" t="inlineStr">
        <is>
          <t>2026-08-07</t>
        </is>
      </c>
      <c r="D92" s="16" t="inlineStr">
        <is>
          <t>call intent</t>
        </is>
      </c>
      <c r="E92" s="24" t="inlineStr">
        <is>
          <t>P/B 0.23; 5 signals: activist settlement, value committee, mda governance, pay on value, call intent</t>
        </is>
      </c>
      <c r="F92" s="16" t="inlineStr"/>
      <c r="G92" s="16" t="inlineStr"/>
      <c r="H92" s="16" t="inlineStr"/>
    </row>
    <row r="93" ht="30" customHeight="1">
      <c r="A93" s="6" t="inlineStr">
        <is>
          <t>BCIC</t>
        </is>
      </c>
      <c r="B93" s="14" t="inlineStr">
        <is>
          <t>BCP Investment Corpora</t>
        </is>
      </c>
      <c r="C93" s="14" t="inlineStr">
        <is>
          <t>2026-08-07</t>
        </is>
      </c>
      <c r="D93" s="14" t="inlineStr">
        <is>
          <t>call intent</t>
        </is>
      </c>
      <c r="E93" s="22" t="inlineStr">
        <is>
          <t>P/B 0.49; 4 signals: capital return policy, tender offer, call intent, call value gap</t>
        </is>
      </c>
      <c r="F93" s="14" t="inlineStr"/>
      <c r="G93" s="14" t="inlineStr"/>
      <c r="H93" s="14" t="inlineStr"/>
    </row>
    <row r="94" ht="30" customHeight="1">
      <c r="A94" s="8" t="inlineStr">
        <is>
          <t>CLAR</t>
        </is>
      </c>
      <c r="B94" s="16" t="inlineStr">
        <is>
          <t>Clarus Corporation</t>
        </is>
      </c>
      <c r="C94" s="16" t="inlineStr">
        <is>
          <t>2026-08-06</t>
        </is>
      </c>
      <c r="D94" s="16" t="inlineStr">
        <is>
          <t>strategic review</t>
        </is>
      </c>
      <c r="E94" s="24" t="inlineStr">
        <is>
          <t>P/B 0.68; 3 signals: strategic review, mda unlock, call intent</t>
        </is>
      </c>
      <c r="F94" s="16" t="inlineStr"/>
      <c r="G94" s="16" t="inlineStr"/>
      <c r="H94" s="16" t="inlineStr"/>
    </row>
    <row r="95" ht="30" customHeight="1">
      <c r="A95" s="6" t="inlineStr">
        <is>
          <t>UEIC</t>
        </is>
      </c>
      <c r="B95" s="14" t="inlineStr">
        <is>
          <t xml:space="preserve">Universal Electronics </t>
        </is>
      </c>
      <c r="C95" s="14" t="inlineStr">
        <is>
          <t>2026-08-06</t>
        </is>
      </c>
      <c r="D95" s="14" t="inlineStr">
        <is>
          <t>capital return policy</t>
        </is>
      </c>
      <c r="E95" s="22" t="inlineStr">
        <is>
          <t>P/B 0.47; 4 signals: capital return policy, mda unlock, pay on value, turnaround exec</t>
        </is>
      </c>
      <c r="F95" s="14" t="inlineStr"/>
      <c r="G95" s="14" t="inlineStr"/>
      <c r="H95" s="14" t="inlineStr"/>
    </row>
    <row r="96" ht="30" customHeight="1">
      <c r="A96" s="8" t="inlineStr">
        <is>
          <t>VSNT</t>
        </is>
      </c>
      <c r="B96" s="16" t="inlineStr">
        <is>
          <t>Versant Media Group, I</t>
        </is>
      </c>
      <c r="C96" s="16" t="inlineStr">
        <is>
          <t>2026-08-06</t>
        </is>
      </c>
      <c r="D96" s="16" t="inlineStr">
        <is>
          <t>call commit</t>
        </is>
      </c>
      <c r="E96" s="24" t="inlineStr">
        <is>
          <t>P/B 0.58; 3 signals: pay on value, call commit, turnaround exec</t>
        </is>
      </c>
      <c r="F96" s="16" t="inlineStr"/>
      <c r="G96" s="16" t="inlineStr"/>
      <c r="H96" s="16" t="inlineStr"/>
    </row>
    <row r="97" ht="30" customHeight="1">
      <c r="A97" s="6" t="inlineStr">
        <is>
          <t>RYN</t>
        </is>
      </c>
      <c r="B97" s="14" t="inlineStr">
        <is>
          <t>Rayonier Inc. REIT</t>
        </is>
      </c>
      <c r="C97" s="14" t="inlineStr">
        <is>
          <t>2026-08-06</t>
        </is>
      </c>
      <c r="D97" s="14" t="inlineStr">
        <is>
          <t>call commit</t>
        </is>
      </c>
      <c r="E97" s="22" t="inlineStr">
        <is>
          <t>P/B 0.60; 4 signals: pay on value, call commit, call value gap, turnaround exec</t>
        </is>
      </c>
      <c r="F97" s="14" t="inlineStr"/>
      <c r="G97" s="14" t="inlineStr"/>
      <c r="H97" s="14" t="inlineStr"/>
    </row>
  </sheetData>
  <mergeCells count="1">
    <mergeCell ref="A2:H2"/>
  </mergeCells>
  <hyperlinks>
    <hyperlink xmlns:r="http://schemas.openxmlformats.org/officeDocument/2006/relationships" ref="A6" r:id="rId1"/>
    <hyperlink xmlns:r="http://schemas.openxmlformats.org/officeDocument/2006/relationships" ref="H6" r:id="rId2"/>
    <hyperlink xmlns:r="http://schemas.openxmlformats.org/officeDocument/2006/relationships" ref="A7" r:id="rId3"/>
    <hyperlink xmlns:r="http://schemas.openxmlformats.org/officeDocument/2006/relationships" ref="H7" r:id="rId4"/>
    <hyperlink xmlns:r="http://schemas.openxmlformats.org/officeDocument/2006/relationships" ref="H8" r:id="rId5"/>
    <hyperlink xmlns:r="http://schemas.openxmlformats.org/officeDocument/2006/relationships" ref="H9" r:id="rId6"/>
    <hyperlink xmlns:r="http://schemas.openxmlformats.org/officeDocument/2006/relationships" ref="H10" r:id="rId7"/>
    <hyperlink xmlns:r="http://schemas.openxmlformats.org/officeDocument/2006/relationships" ref="H11" r:id="rId8"/>
    <hyperlink xmlns:r="http://schemas.openxmlformats.org/officeDocument/2006/relationships" ref="H12" r:id="rId9"/>
    <hyperlink xmlns:r="http://schemas.openxmlformats.org/officeDocument/2006/relationships" ref="H13" r:id="rId10"/>
    <hyperlink xmlns:r="http://schemas.openxmlformats.org/officeDocument/2006/relationships" ref="A25" r:id="rId11"/>
    <hyperlink xmlns:r="http://schemas.openxmlformats.org/officeDocument/2006/relationships" ref="A81" r:id="rId12"/>
    <hyperlink xmlns:r="http://schemas.openxmlformats.org/officeDocument/2006/relationships" ref="A82" r:id="rId13"/>
    <hyperlink xmlns:r="http://schemas.openxmlformats.org/officeDocument/2006/relationships" ref="A83" r:id="rId14"/>
    <hyperlink xmlns:r="http://schemas.openxmlformats.org/officeDocument/2006/relationships" ref="A84" r:id="rId15"/>
    <hyperlink xmlns:r="http://schemas.openxmlformats.org/officeDocument/2006/relationships" ref="A85" r:id="rId16"/>
    <hyperlink xmlns:r="http://schemas.openxmlformats.org/officeDocument/2006/relationships" ref="A91" r:id="rId17"/>
    <hyperlink xmlns:r="http://schemas.openxmlformats.org/officeDocument/2006/relationships" ref="A93" r:id="rId18"/>
    <hyperlink xmlns:r="http://schemas.openxmlformats.org/officeDocument/2006/relationships" ref="A96" r:id="rId19"/>
  </hyperlinks>
  <pageMargins left="0.75" right="0.75" top="1" bottom="1" header="0.5" footer="0.5"/>
</worksheet>
</file>

<file path=xl/worksheets/sheet4.xml><?xml version="1.0" encoding="utf-8"?>
<worksheet xmlns="http://schemas.openxmlformats.org/spreadsheetml/2006/main">
  <sheetPr>
    <tabColor rgb="001F3864"/>
    <outlinePr summaryBelow="1" summaryRight="1"/>
    <pageSetUpPr fitToPage="1"/>
  </sheetPr>
  <dimension ref="A1:N26"/>
  <sheetViews>
    <sheetView showGridLines="0" workbookViewId="0">
      <pane ySplit="4" topLeftCell="A5" activePane="bottomLeft" state="frozen"/>
      <selection pane="bottomLeft" activeCell="A1" sqref="A1"/>
    </sheetView>
  </sheetViews>
  <sheetFormatPr baseColWidth="8" defaultRowHeight="15"/>
  <cols>
    <col width="9" customWidth="1" min="1" max="1"/>
    <col width="22" customWidth="1" min="2" max="2"/>
    <col width="30" customWidth="1" min="3" max="3"/>
    <col width="48" customWidth="1" min="4" max="4"/>
    <col width="60" customWidth="1" min="5" max="5"/>
    <col width="11" customWidth="1" min="6" max="6"/>
    <col width="11" customWidth="1" min="7" max="7"/>
    <col width="11" customWidth="1" min="8" max="8"/>
    <col width="11" customWidth="1" min="9" max="9"/>
    <col width="22" customWidth="1" min="10" max="10"/>
    <col width="32" customWidth="1" min="11" max="11"/>
    <col width="28" customWidth="1" min="12" max="12"/>
    <col width="18" customWidth="1" min="13" max="13"/>
    <col width="62" customWidth="1" min="14" max="14"/>
  </cols>
  <sheetData>
    <row r="1" ht="26" customHeight="1">
      <c r="A1" s="1" t="inlineStr">
        <is>
          <t>The Convergent Twelve</t>
        </is>
      </c>
    </row>
    <row r="2" ht="18" customHeight="1">
      <c r="A2" s="20" t="inlineStr">
        <is>
          <t>Per-name structural detail · sourced from PSU forensics + valuation + buyback verification + tender mechanics + insider behaviour</t>
        </is>
      </c>
      <c r="B2" s="19" t="n"/>
      <c r="C2" s="19" t="n"/>
      <c r="D2" s="19" t="n"/>
      <c r="E2" s="19" t="n"/>
      <c r="F2" s="19" t="n"/>
      <c r="G2" s="19" t="n"/>
      <c r="H2" s="19" t="n"/>
      <c r="I2" s="19" t="n"/>
      <c r="J2" s="19" t="n"/>
      <c r="K2" s="19" t="n"/>
      <c r="L2" s="19" t="n"/>
      <c r="M2" s="19" t="n"/>
    </row>
    <row r="3" ht="8" customHeight="1"/>
    <row r="4" ht="18" customHeight="1">
      <c r="A4" s="12" t="inlineStr">
        <is>
          <t>Ticker</t>
        </is>
      </c>
      <c r="B4" s="12" t="inlineStr">
        <is>
          <t>Name</t>
        </is>
      </c>
      <c r="C4" s="12" t="inlineStr">
        <is>
          <t>Key numbers (FMP)</t>
        </is>
      </c>
      <c r="D4" s="12" t="inlineStr">
        <is>
          <t>PSU plan (grade)</t>
        </is>
      </c>
      <c r="E4" s="12" t="inlineStr">
        <is>
          <t>What's happening (8-K)</t>
        </is>
      </c>
      <c r="F4" s="4" t="inlineStr">
        <is>
          <t>mcap ($M)</t>
        </is>
      </c>
      <c r="G4" s="4" t="inlineStr">
        <is>
          <t>Spot ($)</t>
        </is>
      </c>
      <c r="H4" s="4" t="inlineStr">
        <is>
          <t>P/B</t>
        </is>
      </c>
      <c r="I4" s="4" t="inlineStr">
        <is>
          <t>PSU core</t>
        </is>
      </c>
      <c r="J4" s="4" t="inlineStr">
        <is>
          <t>Catalyst (cond_cat)</t>
        </is>
      </c>
      <c r="K4" s="4" t="inlineStr">
        <is>
          <t>Why convergent</t>
        </is>
      </c>
      <c r="L4" s="12" t="inlineStr">
        <is>
          <t>Floor</t>
        </is>
      </c>
      <c r="M4" s="4" t="inlineStr">
        <is>
          <t>Sizing</t>
        </is>
      </c>
      <c r="N4" s="4" t="inlineStr">
        <is>
          <t>FMP financial read</t>
        </is>
      </c>
    </row>
    <row r="5" ht="56" customHeight="1">
      <c r="A5" s="6" t="inlineStr">
        <is>
          <t>CRM</t>
        </is>
      </c>
      <c r="B5" s="14" t="inlineStr">
        <is>
          <t>Salesforce</t>
        </is>
      </c>
      <c r="C5" s="14" t="inlineStr">
        <is>
          <t>P/B 3.25 · 14.5× EBITDA · cash 0% · 52w 75%</t>
        </is>
      </c>
      <c r="D5" s="14" t="inlineStr">
        <is>
          <t>A · 3-yr · relative TSR, revenue, operating income / margin, absolute TSR · paid 112%</t>
        </is>
      </c>
      <c r="E5" s="14" t="n"/>
      <c r="F5" s="13" t="n">
        <v>195192</v>
      </c>
      <c r="G5" s="27" t="n">
        <v>238.33</v>
      </c>
      <c r="H5" s="27" t="n">
        <v>3.25</v>
      </c>
      <c r="I5" s="13" t="n">
        <v>28</v>
      </c>
      <c r="J5" s="14" t="inlineStr">
        <is>
          <t>–</t>
        </is>
      </c>
      <c r="K5" s="14" t="inlineStr">
        <is>
          <t>PSU + buyback + recent 10b5-1 termination + F4 cluster</t>
        </is>
      </c>
      <c r="L5" s="14" t="inlineStr">
        <is>
          <t>Mega-cap recurring revenue base</t>
        </is>
      </c>
      <c r="M5" s="14" t="inlineStr">
        <is>
          <t>Material 2-5%</t>
        </is>
      </c>
      <c r="N5" s="14" t="inlineStr">
        <is>
          <t>P/B 3.25 · EV/EBITDA 14.5× · FCF yld 8% · net cash 0% of mcap · rev +8% · op margin 21%</t>
        </is>
      </c>
    </row>
    <row r="6" ht="56" customHeight="1">
      <c r="A6" s="8" t="inlineStr">
        <is>
          <t>EPAM</t>
        </is>
      </c>
      <c r="B6" s="16" t="inlineStr">
        <is>
          <t>EPAM</t>
        </is>
      </c>
      <c r="C6" s="16" t="inlineStr">
        <is>
          <t>P/B 1.66 · 7.5× EBITDA · cash 11% · 52w 26%</t>
        </is>
      </c>
      <c r="D6" s="16" t="n"/>
      <c r="E6" s="16" t="n"/>
      <c r="F6" s="15" t="n">
        <v>5829</v>
      </c>
      <c r="G6" s="28" t="n">
        <v>111.58</v>
      </c>
      <c r="H6" s="28" t="n">
        <v>1.66</v>
      </c>
      <c r="I6" s="15" t="n">
        <v>22</v>
      </c>
      <c r="J6" s="16" t="inlineStr">
        <is>
          <t>–</t>
        </is>
      </c>
      <c r="K6" s="16" t="inlineStr">
        <is>
          <t>12 layers firing | cons 9.552</t>
        </is>
      </c>
      <c r="L6" s="16" t="inlineStr">
        <is>
          <t>see proxy_scan + buyback_verify</t>
        </is>
      </c>
      <c r="M6" s="16" t="inlineStr">
        <is>
          <t>Material 2-5%</t>
        </is>
      </c>
      <c r="N6" s="16" t="inlineStr">
        <is>
          <t>P/B 1.66 · EV/EBITDA 7.5× · FCF yld 8% · net cash 11% of mcap · rev +11% · op margin 10% · buying back 8%/yr</t>
        </is>
      </c>
    </row>
    <row r="7" ht="56" customHeight="1">
      <c r="A7" s="6" t="inlineStr">
        <is>
          <t>VSNT</t>
        </is>
      </c>
      <c r="B7" s="14" t="inlineStr">
        <is>
          <t>VSNT</t>
        </is>
      </c>
      <c r="C7" s="14" t="inlineStr">
        <is>
          <t>P/B 0.58 · 2.8× EBITDA · debt 31% · 52w 19%</t>
        </is>
      </c>
      <c r="D7" s="14" t="n"/>
      <c r="E7" s="14" t="n"/>
      <c r="F7" s="13" t="n">
        <v>4701</v>
      </c>
      <c r="G7" s="27" t="n">
        <v>33.22</v>
      </c>
      <c r="H7" s="27" t="n">
        <v>0.58</v>
      </c>
      <c r="I7" s="13" t="n">
        <v>2</v>
      </c>
      <c r="J7" s="14" t="inlineStr">
        <is>
          <t>spin_separation</t>
        </is>
      </c>
      <c r="K7" s="14" t="inlineStr">
        <is>
          <t>11 layers firing | cons 10.244</t>
        </is>
      </c>
      <c r="L7" s="14" t="inlineStr">
        <is>
          <t>see proxy_scan + buyback_verify</t>
        </is>
      </c>
      <c r="M7" s="6" t="inlineStr">
        <is>
          <t>Concentrated 5%+</t>
        </is>
      </c>
      <c r="N7" s="6" t="inlineStr">
        <is>
          <t>P/B 0.58 · EV/EBITDA 2.8× · FCF yld 49% · net debt 31% of mcap · op margin 19%</t>
        </is>
      </c>
    </row>
    <row r="8" ht="56" customHeight="1">
      <c r="A8" s="8" t="inlineStr">
        <is>
          <t>SCHL</t>
        </is>
      </c>
      <c r="B8" s="16" t="inlineStr">
        <is>
          <t>SCHL</t>
        </is>
      </c>
      <c r="C8" s="16" t="inlineStr">
        <is>
          <t>P/B 0.75 · 3.2× EBITDA · debt 27% · 52w 41%</t>
        </is>
      </c>
      <c r="D8" s="16" t="n"/>
      <c r="E8" s="16" t="n"/>
      <c r="F8" s="15" t="n">
        <v>658</v>
      </c>
      <c r="G8" s="28" t="n">
        <v>34.86</v>
      </c>
      <c r="H8" s="28" t="n">
        <v>0.75</v>
      </c>
      <c r="I8" s="16" t="inlineStr">
        <is>
          <t>–</t>
        </is>
      </c>
      <c r="J8" s="16" t="inlineStr">
        <is>
          <t>–</t>
        </is>
      </c>
      <c r="K8" s="16" t="inlineStr">
        <is>
          <t>11 layers firing | cons 8.648</t>
        </is>
      </c>
      <c r="L8" s="16" t="inlineStr">
        <is>
          <t>see proxy_scan + buyback_verify</t>
        </is>
      </c>
      <c r="M8" s="6" t="inlineStr">
        <is>
          <t>Participation 1-2%</t>
        </is>
      </c>
      <c r="N8" s="6" t="inlineStr">
        <is>
          <t>P/B 0.75 · EV/EBITDA 3.2× · FCF yld 0% · net debt 27% of mcap · rev +3% · op margin 2% · buying back 10%/yr</t>
        </is>
      </c>
    </row>
    <row r="9" ht="56" customHeight="1">
      <c r="A9" s="6" t="inlineStr">
        <is>
          <t>GPK</t>
        </is>
      </c>
      <c r="B9" s="14" t="inlineStr">
        <is>
          <t>GPK</t>
        </is>
      </c>
      <c r="C9" s="14" t="inlineStr">
        <is>
          <t>P/B 0.90 · 9.2× EBITDA · debt 192% · 52w 10%</t>
        </is>
      </c>
      <c r="D9" s="14" t="n"/>
      <c r="E9" s="14" t="n"/>
      <c r="F9" s="13" t="n">
        <v>2913</v>
      </c>
      <c r="G9" s="27" t="n">
        <v>9.85</v>
      </c>
      <c r="H9" s="27" t="n">
        <v>0.9</v>
      </c>
      <c r="I9" s="13" t="n">
        <v>22</v>
      </c>
      <c r="J9" s="14" t="inlineStr">
        <is>
          <t>–</t>
        </is>
      </c>
      <c r="K9" s="14" t="inlineStr">
        <is>
          <t>11 layers firing | cons 8.618</t>
        </is>
      </c>
      <c r="L9" s="14" t="inlineStr">
        <is>
          <t>see proxy_scan + buyback_verify</t>
        </is>
      </c>
      <c r="M9" s="6" t="inlineStr">
        <is>
          <t>Concentrated 5%+</t>
        </is>
      </c>
      <c r="N9" s="6" t="inlineStr">
        <is>
          <t>P/B 0.90 · EV/EBITDA 9.2× · FCF yld 7% · net debt 192% of mcap · rev +0% · op margin 7%</t>
        </is>
      </c>
    </row>
    <row r="10" ht="56" customHeight="1">
      <c r="A10" s="8" t="inlineStr">
        <is>
          <t>DXC</t>
        </is>
      </c>
      <c r="B10" s="16" t="inlineStr">
        <is>
          <t>DXC Technology</t>
        </is>
      </c>
      <c r="C10" s="16" t="inlineStr">
        <is>
          <t>P/B 0.57 · 2.6× EBITDA · debt 144% · 52w 41%</t>
        </is>
      </c>
      <c r="D10" s="16" t="n"/>
      <c r="E10" s="16" t="n"/>
      <c r="F10" s="15" t="n">
        <v>1797</v>
      </c>
      <c r="G10" s="28" t="n">
        <v>11.09</v>
      </c>
      <c r="H10" s="28" t="n">
        <v>0.57</v>
      </c>
      <c r="I10" s="15" t="n">
        <v>50</v>
      </c>
      <c r="J10" s="16" t="inlineStr">
        <is>
          <t>–</t>
        </is>
      </c>
      <c r="K10" s="16" t="inlineStr">
        <is>
          <t>PSU core 40 + buyback + recent-incentive 57% drawdown</t>
        </is>
      </c>
      <c r="L10" s="16" t="inlineStr">
        <is>
          <t>IT services franchise; transformation signal in PSU</t>
        </is>
      </c>
      <c r="M10" s="6" t="inlineStr">
        <is>
          <t>Participation 1-2%</t>
        </is>
      </c>
      <c r="N10" s="6" t="inlineStr">
        <is>
          <t>P/B 0.57 · EV/EBITDA 2.6× · FCF yld 71% · net debt 144% of mcap · rev -2% · op margin 3% · buying back 3%/yr</t>
        </is>
      </c>
    </row>
    <row r="11" ht="56" customHeight="1">
      <c r="A11" s="6" t="inlineStr">
        <is>
          <t>ADT</t>
        </is>
      </c>
      <c r="B11" s="14" t="inlineStr">
        <is>
          <t>ADT Inc</t>
        </is>
      </c>
      <c r="C11" s="14" t="inlineStr">
        <is>
          <t>P/B 1.47 · 4.6× EBITDA · debt 150% · 52w 5%</t>
        </is>
      </c>
      <c r="D11" s="14" t="n"/>
      <c r="E11" s="14" t="n"/>
      <c r="F11" s="13" t="n">
        <v>5108</v>
      </c>
      <c r="G11" s="27" t="n">
        <v>6.38</v>
      </c>
      <c r="H11" s="27" t="n">
        <v>1.47</v>
      </c>
      <c r="I11" s="13" t="n">
        <v>27</v>
      </c>
      <c r="J11" s="14" t="inlineStr">
        <is>
          <t>–</t>
        </is>
      </c>
      <c r="K11" s="14" t="inlineStr">
        <is>
          <t>Heaviest PSU%LTI in universe (90%) + verified -7.3% shrinkage</t>
        </is>
      </c>
      <c r="L11" s="14" t="inlineStr">
        <is>
          <t>Recurring monitoring revenue + verified supply-curve compression</t>
        </is>
      </c>
      <c r="M11" s="6" t="inlineStr">
        <is>
          <t>Concentrated 5%+</t>
        </is>
      </c>
      <c r="N11" s="6" t="inlineStr">
        <is>
          <t>P/B 1.47 · EV/EBITDA 4.6× · FCF yld 37% · net debt 150% of mcap · rev +2% · op margin 25% · buying back 11%/yr</t>
        </is>
      </c>
    </row>
    <row r="12" ht="56" customHeight="1">
      <c r="A12" s="8" t="inlineStr">
        <is>
          <t>TRS</t>
        </is>
      </c>
      <c r="B12" s="16" t="inlineStr">
        <is>
          <t>TRS</t>
        </is>
      </c>
      <c r="C12" s="16" t="inlineStr">
        <is>
          <t>P/B 0.98 · 4.0× EBITDA · cash 57% · 52w 59%</t>
        </is>
      </c>
      <c r="D12" s="16" t="n"/>
      <c r="E12" s="16" t="n"/>
      <c r="F12" s="15" t="n">
        <v>1409</v>
      </c>
      <c r="G12" s="28" t="n">
        <v>39.32</v>
      </c>
      <c r="H12" s="28" t="n">
        <v>0.98</v>
      </c>
      <c r="I12" s="15" t="n">
        <v>38</v>
      </c>
      <c r="J12" s="16" t="inlineStr">
        <is>
          <t>–</t>
        </is>
      </c>
      <c r="K12" s="16" t="inlineStr">
        <is>
          <t>11 layers firing | cons 6.54</t>
        </is>
      </c>
      <c r="L12" s="16" t="inlineStr">
        <is>
          <t>see proxy_scan + buyback_verify</t>
        </is>
      </c>
      <c r="M12" s="16" t="inlineStr">
        <is>
          <t>Material 2-5%</t>
        </is>
      </c>
      <c r="N12" s="16" t="inlineStr">
        <is>
          <t>P/B 0.98 · EV/EBITDA 4.0× · FCF yld 12% · net cash 57% of mcap · rev -5% · op margin 5% · buying back 12%/yr</t>
        </is>
      </c>
    </row>
    <row r="13" ht="56" customHeight="1">
      <c r="A13" s="6" t="inlineStr">
        <is>
          <t>LULU</t>
        </is>
      </c>
      <c r="B13" s="14" t="inlineStr">
        <is>
          <t>LULU</t>
        </is>
      </c>
      <c r="C13" s="14" t="inlineStr">
        <is>
          <t>P/B 2.43 · 4.8× EBITDA · debt 6% · 52w 6%</t>
        </is>
      </c>
      <c r="D13" s="14" t="n"/>
      <c r="E13" s="14" t="n"/>
      <c r="F13" s="13" t="n">
        <v>11657</v>
      </c>
      <c r="G13" s="27" t="n">
        <v>102.66</v>
      </c>
      <c r="H13" s="27" t="n">
        <v>2.43</v>
      </c>
      <c r="I13" s="14" t="inlineStr">
        <is>
          <t>–</t>
        </is>
      </c>
      <c r="J13" s="14" t="inlineStr">
        <is>
          <t>–</t>
        </is>
      </c>
      <c r="K13" s="14" t="inlineStr">
        <is>
          <t>11 layers firing | cons 6.462</t>
        </is>
      </c>
      <c r="L13" s="14" t="inlineStr">
        <is>
          <t>see proxy_scan + buyback_verify</t>
        </is>
      </c>
      <c r="M13" s="6" t="inlineStr">
        <is>
          <t>Participation 1-2%</t>
        </is>
      </c>
      <c r="N13" s="6" t="inlineStr">
        <is>
          <t>P/B 2.43 · EV/EBITDA 4.8× · FCF yld 12% · net debt 6% of mcap · rev +2% · op margin 18% · buying back 6%/yr</t>
        </is>
      </c>
    </row>
    <row r="14" ht="56" customHeight="1">
      <c r="A14" s="8" t="inlineStr">
        <is>
          <t>GO</t>
        </is>
      </c>
      <c r="B14" s="16" t="inlineStr">
        <is>
          <t>Grocery Outlet</t>
        </is>
      </c>
      <c r="C14" s="16" t="inlineStr">
        <is>
          <t>P/B 1.37 · debt 159% · 52w 50%</t>
        </is>
      </c>
      <c r="D14" s="16" t="inlineStr">
        <is>
          <t>A · 3-yr · revenue, EPS, EBITDA, stock-price hurdle · paid 55%</t>
        </is>
      </c>
      <c r="E14" s="16" t="n"/>
      <c r="F14" s="15" t="n">
        <v>1120</v>
      </c>
      <c r="G14" s="28" t="n">
        <v>11.33</v>
      </c>
      <c r="H14" s="28" t="n">
        <v>1.37</v>
      </c>
      <c r="I14" s="15" t="n">
        <v>69</v>
      </c>
      <c r="J14" s="16" t="inlineStr">
        <is>
          <t>–</t>
        </is>
      </c>
      <c r="K14" s="16" t="inlineStr">
        <is>
          <t>Forward $ targets + Cohen-Malloy 6-buyer cluster</t>
        </is>
      </c>
      <c r="L14" s="16" t="inlineStr">
        <is>
          <t>Discount-grocery defensive base</t>
        </is>
      </c>
      <c r="M14" s="6" t="inlineStr">
        <is>
          <t>Concentrated 5%+</t>
        </is>
      </c>
      <c r="N14" s="6" t="inlineStr">
        <is>
          <t>P/B 1.37 · P/S 0.2 · FCF yld -1% · net debt 159% of mcap · rev +5% · op margin 4%</t>
        </is>
      </c>
    </row>
    <row r="15" ht="56" customHeight="1">
      <c r="A15" s="6" t="inlineStr">
        <is>
          <t>FOUR</t>
        </is>
      </c>
      <c r="B15" s="14" t="inlineStr">
        <is>
          <t>FOUR</t>
        </is>
      </c>
      <c r="C15" s="14" t="inlineStr">
        <is>
          <t>P/B 2.17 · 8.4× EBITDA · debt 120% · 52w 8%</t>
        </is>
      </c>
      <c r="D15" s="14" t="n"/>
      <c r="E15" s="14" t="n"/>
      <c r="F15" s="13" t="n">
        <v>3516</v>
      </c>
      <c r="G15" s="27" t="n">
        <v>38.61</v>
      </c>
      <c r="H15" s="27" t="n">
        <v>2.17</v>
      </c>
      <c r="I15" s="13" t="n">
        <v>35</v>
      </c>
      <c r="J15" s="14" t="inlineStr">
        <is>
          <t>–</t>
        </is>
      </c>
      <c r="K15" s="14" t="inlineStr">
        <is>
          <t>10 layers firing | cons 8.576</t>
        </is>
      </c>
      <c r="L15" s="14" t="inlineStr">
        <is>
          <t>see proxy_scan + buyback_verify</t>
        </is>
      </c>
      <c r="M15" s="6" t="inlineStr">
        <is>
          <t>Concentrated 5%+</t>
        </is>
      </c>
      <c r="N15" s="6" t="inlineStr">
        <is>
          <t>P/B 2.17 · EV/EBITDA 8.4× · FCF yld 15% · net debt 120% of mcap · rev +32% · op margin 8% · buying back 11%/yr</t>
        </is>
      </c>
    </row>
    <row r="16" ht="56" customHeight="1">
      <c r="A16" s="8" t="inlineStr">
        <is>
          <t>HUBS</t>
        </is>
      </c>
      <c r="B16" s="16" t="inlineStr">
        <is>
          <t>HUBS</t>
        </is>
      </c>
      <c r="C16" s="16" t="inlineStr">
        <is>
          <t>P/B 7.00 · 38.5× EBITDA · cash 9% · 52w 16%</t>
        </is>
      </c>
      <c r="D16" s="16" t="n"/>
      <c r="E16" s="16" t="n"/>
      <c r="F16" s="15" t="n">
        <v>11602</v>
      </c>
      <c r="G16" s="28" t="n">
        <v>226.52</v>
      </c>
      <c r="H16" s="28" t="n">
        <v>7</v>
      </c>
      <c r="I16" s="15" t="n">
        <v>34</v>
      </c>
      <c r="J16" s="16" t="inlineStr">
        <is>
          <t>–</t>
        </is>
      </c>
      <c r="K16" s="16" t="inlineStr">
        <is>
          <t>10 layers firing | cons 8.018</t>
        </is>
      </c>
      <c r="L16" s="16" t="inlineStr">
        <is>
          <t>see proxy_scan + buyback_verify</t>
        </is>
      </c>
      <c r="M16" s="6" t="inlineStr">
        <is>
          <t>Concentrated 5%+</t>
        </is>
      </c>
      <c r="N16" s="6" t="inlineStr">
        <is>
          <t>P/B 7.00 · EV/EBITDA 38.5× · FCF yld 7% · net cash 9% of mcap · rev +21% · op margin 4% · buying back 4%/yr</t>
        </is>
      </c>
    </row>
    <row r="17" ht="56" customHeight="1">
      <c r="A17" s="6" t="inlineStr">
        <is>
          <t>VRSK</t>
        </is>
      </c>
      <c r="B17" s="14" t="inlineStr">
        <is>
          <t>VRSK</t>
        </is>
      </c>
      <c r="C17" s="14" t="inlineStr">
        <is>
          <t>15.9× EBITDA · 52w 17%</t>
        </is>
      </c>
      <c r="D17" s="14" t="n"/>
      <c r="E17" s="14" t="n"/>
      <c r="F17" s="13" t="n">
        <v>22408</v>
      </c>
      <c r="G17" s="27" t="n">
        <v>172.16</v>
      </c>
      <c r="H17" s="14" t="inlineStr">
        <is>
          <t>–</t>
        </is>
      </c>
      <c r="I17" s="13" t="n">
        <v>32</v>
      </c>
      <c r="J17" s="14" t="inlineStr">
        <is>
          <t>–</t>
        </is>
      </c>
      <c r="K17" s="14" t="inlineStr">
        <is>
          <t>10 layers firing | cons 7.398</t>
        </is>
      </c>
      <c r="L17" s="14" t="inlineStr">
        <is>
          <t>see proxy_scan + buyback_verify</t>
        </is>
      </c>
      <c r="M17" s="6" t="inlineStr">
        <is>
          <t>Concentrated 5%+</t>
        </is>
      </c>
      <c r="N17" s="6" t="inlineStr">
        <is>
          <t>EV/EBITDA 15.9× · FCF yld 6% · rev +5% · op margin 45% · buying back 7%/yr  [negative equity]</t>
        </is>
      </c>
    </row>
    <row r="18" ht="56" customHeight="1">
      <c r="A18" s="8" t="inlineStr">
        <is>
          <t>HDSN</t>
        </is>
      </c>
      <c r="B18" s="16" t="inlineStr">
        <is>
          <t>Hudson Technologies</t>
        </is>
      </c>
      <c r="C18" s="16" t="inlineStr">
        <is>
          <t>P/B 0.89 · 8.9× EBITDA · cash 10% · 52w 10%</t>
        </is>
      </c>
      <c r="D18" s="16" t="n"/>
      <c r="E18" s="16" t="n"/>
      <c r="F18" s="15" t="n">
        <v>217</v>
      </c>
      <c r="G18" s="28" t="n">
        <v>5.16</v>
      </c>
      <c r="H18" s="28" t="n">
        <v>0.89</v>
      </c>
      <c r="I18" s="16" t="inlineStr">
        <is>
          <t>–</t>
        </is>
      </c>
      <c r="J18" s="16" t="inlineStr">
        <is>
          <t>–</t>
        </is>
      </c>
      <c r="K18" s="16" t="inlineStr">
        <is>
          <t>Recent F4 cluster + buyback + special-sits + recent-incentive</t>
        </is>
      </c>
      <c r="L18" s="16" t="inlineStr">
        <is>
          <t>Refrigerant reclaim regulatory moat</t>
        </is>
      </c>
      <c r="M18" s="6" t="inlineStr">
        <is>
          <t>Concentrated 5%+</t>
        </is>
      </c>
      <c r="N18" s="6" t="inlineStr">
        <is>
          <t>P/B 0.89 · EV/EBITDA 8.9× · FCF yld -16% · net cash 10% of mcap · rev +14% · op margin 5% · buying back 7%/yr</t>
        </is>
      </c>
    </row>
    <row r="19" ht="56" customHeight="1">
      <c r="A19" s="6" t="inlineStr">
        <is>
          <t>GPGI</t>
        </is>
      </c>
      <c r="B19" s="14" t="inlineStr">
        <is>
          <t>GPGI</t>
        </is>
      </c>
      <c r="C19" s="14" t="inlineStr">
        <is>
          <t>P/B 1.11 · cash 0% · 52w 6%</t>
        </is>
      </c>
      <c r="D19" s="14" t="n"/>
      <c r="E19" s="14" t="n"/>
      <c r="F19" s="13" t="n">
        <v>3522</v>
      </c>
      <c r="G19" s="27" t="n">
        <v>12.15</v>
      </c>
      <c r="H19" s="27" t="n">
        <v>1.11</v>
      </c>
      <c r="I19" s="13" t="n">
        <v>4</v>
      </c>
      <c r="J19" s="14" t="inlineStr">
        <is>
          <t>spin_separation</t>
        </is>
      </c>
      <c r="K19" s="14" t="inlineStr">
        <is>
          <t>10 layers firing | cons 7.212</t>
        </is>
      </c>
      <c r="L19" s="14" t="inlineStr">
        <is>
          <t>see proxy_scan + buyback_verify</t>
        </is>
      </c>
      <c r="M19" s="6" t="inlineStr">
        <is>
          <t>Concentrated 5%+</t>
        </is>
      </c>
      <c r="N19" s="6" t="inlineStr">
        <is>
          <t>P/B 1.11 · P/S 0.0 · FCF yld 1% · net cash 0% of mcap · op margin 0%  [new entity / merger: history not comparable]</t>
        </is>
      </c>
    </row>
    <row r="20" ht="56" customHeight="1">
      <c r="A20" s="8" t="inlineStr">
        <is>
          <t>APTV</t>
        </is>
      </c>
      <c r="B20" s="16" t="inlineStr">
        <is>
          <t>APTV</t>
        </is>
      </c>
      <c r="C20" s="16" t="inlineStr">
        <is>
          <t>P/B 1.09 · 7.8× EBITDA · debt 52% · 52w 4%</t>
        </is>
      </c>
      <c r="D20" s="16" t="n"/>
      <c r="E20" s="16" t="inlineStr">
        <is>
          <t>[2026-08-04] Completed separation of a business | [2026-03-20] [pending] Tender offer (up to $1.70bn (18% of mcap))</t>
        </is>
      </c>
      <c r="F20" s="15" t="n">
        <v>9527</v>
      </c>
      <c r="G20" s="28" t="n">
        <v>45.02</v>
      </c>
      <c r="H20" s="28" t="n">
        <v>1.09</v>
      </c>
      <c r="I20" s="15" t="n">
        <v>38</v>
      </c>
      <c r="J20" s="16" t="inlineStr">
        <is>
          <t>–</t>
        </is>
      </c>
      <c r="K20" s="16" t="inlineStr">
        <is>
          <t>10 layers firing | cons 7.136</t>
        </is>
      </c>
      <c r="L20" s="16" t="inlineStr">
        <is>
          <t>see proxy_scan + buyback_verify</t>
        </is>
      </c>
      <c r="M20" s="6" t="inlineStr">
        <is>
          <t>Concentrated 5%+</t>
        </is>
      </c>
      <c r="N20" s="6" t="inlineStr">
        <is>
          <t>P/B 1.09 · EV/EBITDA 7.8× · FCF yld 8% · net debt 52% of mcap · rev -5% · op margin 5% · buying back 5%/yr</t>
        </is>
      </c>
    </row>
    <row r="21" ht="56" customHeight="1">
      <c r="A21" s="6" t="inlineStr">
        <is>
          <t>BLND</t>
        </is>
      </c>
      <c r="B21" s="14" t="inlineStr">
        <is>
          <t>BLND</t>
        </is>
      </c>
      <c r="C21" s="14" t="inlineStr">
        <is>
          <t>P/B 2.86 · 42.4× EBITDA · cash 16% · 52w 0%</t>
        </is>
      </c>
      <c r="D21" s="14" t="n"/>
      <c r="E21" s="14" t="n"/>
      <c r="F21" s="13" t="n">
        <v>271</v>
      </c>
      <c r="G21" s="27" t="n">
        <v>1.12</v>
      </c>
      <c r="H21" s="27" t="n">
        <v>2.86</v>
      </c>
      <c r="I21" s="13" t="n">
        <v>15</v>
      </c>
      <c r="J21" s="14" t="inlineStr">
        <is>
          <t>–</t>
        </is>
      </c>
      <c r="K21" s="14" t="inlineStr">
        <is>
          <t>10 layers firing | cons 6.588</t>
        </is>
      </c>
      <c r="L21" s="14" t="inlineStr">
        <is>
          <t>see proxy_scan + buyback_verify</t>
        </is>
      </c>
      <c r="M21" s="6" t="inlineStr">
        <is>
          <t>Concentrated 5%+</t>
        </is>
      </c>
      <c r="N21" s="6" t="inlineStr">
        <is>
          <t>P/B 2.86 · EV/EBITDA 42.4× · FCF yld 5% · net cash 16% of mcap · rev -10% · op margin -12% · buying back 7%/yr</t>
        </is>
      </c>
    </row>
    <row r="22" ht="56" customHeight="1">
      <c r="A22" s="8" t="inlineStr">
        <is>
          <t>CERT</t>
        </is>
      </c>
      <c r="B22" s="16" t="inlineStr">
        <is>
          <t>CERT</t>
        </is>
      </c>
      <c r="C22" s="16" t="inlineStr">
        <is>
          <t>P/B 1.42 · 17.5× EBITDA · debt 8% · 52w 46%</t>
        </is>
      </c>
      <c r="D22" s="16" t="n"/>
      <c r="E22" s="16" t="n"/>
      <c r="F22" s="15" t="n">
        <v>1368</v>
      </c>
      <c r="G22" s="28" t="n">
        <v>8.789999999999999</v>
      </c>
      <c r="H22" s="28" t="n">
        <v>1.42</v>
      </c>
      <c r="I22" s="15" t="n">
        <v>31</v>
      </c>
      <c r="J22" s="16" t="inlineStr">
        <is>
          <t>–</t>
        </is>
      </c>
      <c r="K22" s="16" t="inlineStr">
        <is>
          <t>10 layers firing | cons 6.438</t>
        </is>
      </c>
      <c r="L22" s="16" t="inlineStr">
        <is>
          <t>see proxy_scan + buyback_verify</t>
        </is>
      </c>
      <c r="M22" s="6" t="inlineStr">
        <is>
          <t>Concentrated 5%+</t>
        </is>
      </c>
      <c r="N22" s="6" t="inlineStr">
        <is>
          <t>P/B 1.42 · EV/EBITDA 17.5× · FCF yld 5% · net debt 8% of mcap · rev +1% · op margin 2% · buying back 4%/yr</t>
        </is>
      </c>
    </row>
    <row r="23" ht="56" customHeight="1">
      <c r="A23" s="6" t="inlineStr">
        <is>
          <t>GIII</t>
        </is>
      </c>
      <c r="B23" s="14" t="inlineStr">
        <is>
          <t>GIII</t>
        </is>
      </c>
      <c r="C23" s="14" t="inlineStr">
        <is>
          <t>P/B 0.65 · 4.4× EBITDA · debt 9% · 52w 24%</t>
        </is>
      </c>
      <c r="D23" s="14" t="n"/>
      <c r="E23" s="14" t="n"/>
      <c r="F23" s="13" t="n">
        <v>1171</v>
      </c>
      <c r="G23" s="27" t="n">
        <v>27.75</v>
      </c>
      <c r="H23" s="27" t="n">
        <v>0.65</v>
      </c>
      <c r="I23" s="13" t="n">
        <v>33</v>
      </c>
      <c r="J23" s="14" t="inlineStr">
        <is>
          <t>–</t>
        </is>
      </c>
      <c r="K23" s="14" t="inlineStr">
        <is>
          <t>10 layers firing | cons 6.386</t>
        </is>
      </c>
      <c r="L23" s="14" t="inlineStr">
        <is>
          <t>see proxy_scan + buyback_verify</t>
        </is>
      </c>
      <c r="M23" s="14" t="inlineStr">
        <is>
          <t>Material 2-5%</t>
        </is>
      </c>
      <c r="N23" s="14" t="inlineStr">
        <is>
          <t>P/B 0.65 · EV/EBITDA 4.4× · FCF yld 24% · net debt 9% of mcap · rev +1% · op margin 8% · buying back 3%/yr</t>
        </is>
      </c>
    </row>
    <row r="24" ht="56" customHeight="1">
      <c r="A24" s="8" t="inlineStr">
        <is>
          <t>FISV</t>
        </is>
      </c>
      <c r="B24" s="16" t="inlineStr">
        <is>
          <t>Fiserv</t>
        </is>
      </c>
      <c r="C24" s="16" t="inlineStr">
        <is>
          <t>P/B 0.91 · 7.5× EBITDA · debt 111% · 52w 0%</t>
        </is>
      </c>
      <c r="D24" s="16" t="n"/>
      <c r="E24" s="16" t="n"/>
      <c r="F24" s="15" t="n">
        <v>24506</v>
      </c>
      <c r="G24" s="28" t="n">
        <v>45.95</v>
      </c>
      <c r="H24" s="28" t="n">
        <v>0.91</v>
      </c>
      <c r="I24" s="15" t="n">
        <v>38</v>
      </c>
      <c r="J24" s="16" t="inlineStr">
        <is>
          <t>–</t>
        </is>
      </c>
      <c r="K24" s="16" t="inlineStr">
        <is>
          <t>PSU + valuation + 10b5-1 + recent-incentive</t>
        </is>
      </c>
      <c r="L24" s="16" t="inlineStr">
        <is>
          <t>FCF/share PSU metric anchor</t>
        </is>
      </c>
      <c r="M24" s="16" t="inlineStr">
        <is>
          <t>Material 2-5%</t>
        </is>
      </c>
      <c r="N24" s="16" t="inlineStr">
        <is>
          <t>P/B 0.91 · EV/EBITDA 7.5× · FCF yld 16% · net debt 111% of mcap · rev -1% · op margin 21% · buying back 3%/yr</t>
        </is>
      </c>
    </row>
    <row r="25"/>
    <row r="26" ht="28" customHeight="1">
      <c r="A26" s="17" t="inlineStr">
        <is>
          <t>Catalyst (cond_cat) = forward-conditional vesting category coded in the PSU plan text. Sizing band reflects the convergence strength (number of independent screens) combined with red-flag count from the plan-evolution score. Source CSVs: consensus_ranking.csv, grand_unified_ranked.csv, buyback_verify.json, tender_scan.json.</t>
        </is>
      </c>
    </row>
  </sheetData>
  <mergeCells count="3">
    <mergeCell ref="A26:M26"/>
    <mergeCell ref="A1:M1"/>
    <mergeCell ref="A2:M2"/>
  </mergeCells>
  <hyperlinks>
    <hyperlink xmlns:r="http://schemas.openxmlformats.org/officeDocument/2006/relationships" ref="A5" r:id="rId1"/>
    <hyperlink xmlns:r="http://schemas.openxmlformats.org/officeDocument/2006/relationships" ref="A6" r:id="rId2"/>
    <hyperlink xmlns:r="http://schemas.openxmlformats.org/officeDocument/2006/relationships" ref="A7" r:id="rId3"/>
    <hyperlink xmlns:r="http://schemas.openxmlformats.org/officeDocument/2006/relationships" ref="A8" r:id="rId4"/>
    <hyperlink xmlns:r="http://schemas.openxmlformats.org/officeDocument/2006/relationships" ref="A9" r:id="rId5"/>
    <hyperlink xmlns:r="http://schemas.openxmlformats.org/officeDocument/2006/relationships" ref="A10" r:id="rId6"/>
    <hyperlink xmlns:r="http://schemas.openxmlformats.org/officeDocument/2006/relationships" ref="A11" r:id="rId7"/>
    <hyperlink xmlns:r="http://schemas.openxmlformats.org/officeDocument/2006/relationships" ref="A12" r:id="rId8"/>
    <hyperlink xmlns:r="http://schemas.openxmlformats.org/officeDocument/2006/relationships" ref="A13" r:id="rId9"/>
    <hyperlink xmlns:r="http://schemas.openxmlformats.org/officeDocument/2006/relationships" ref="A14" r:id="rId10"/>
    <hyperlink xmlns:r="http://schemas.openxmlformats.org/officeDocument/2006/relationships" ref="A15" r:id="rId11"/>
    <hyperlink xmlns:r="http://schemas.openxmlformats.org/officeDocument/2006/relationships" ref="A16" r:id="rId12"/>
    <hyperlink xmlns:r="http://schemas.openxmlformats.org/officeDocument/2006/relationships" ref="A17" r:id="rId13"/>
    <hyperlink xmlns:r="http://schemas.openxmlformats.org/officeDocument/2006/relationships" ref="A18" r:id="rId14"/>
    <hyperlink xmlns:r="http://schemas.openxmlformats.org/officeDocument/2006/relationships" ref="A19" r:id="rId15"/>
    <hyperlink xmlns:r="http://schemas.openxmlformats.org/officeDocument/2006/relationships" ref="A20" r:id="rId16"/>
    <hyperlink xmlns:r="http://schemas.openxmlformats.org/officeDocument/2006/relationships" ref="A21" r:id="rId17"/>
    <hyperlink xmlns:r="http://schemas.openxmlformats.org/officeDocument/2006/relationships" ref="A22" r:id="rId18"/>
    <hyperlink xmlns:r="http://schemas.openxmlformats.org/officeDocument/2006/relationships" ref="A23" r:id="rId19"/>
    <hyperlink xmlns:r="http://schemas.openxmlformats.org/officeDocument/2006/relationships" ref="A24" r:id="rId20"/>
  </hyperlinks>
  <printOptions horizontalCentered="0"/>
  <pageMargins left="0.5" right="0.5" top="0.6" bottom="0.6" header="0.5" footer="0.5"/>
  <pageSetup orientation="landscape" fitToHeight="0" fitToWidth="1"/>
</worksheet>
</file>

<file path=xl/worksheets/sheet5.xml><?xml version="1.0" encoding="utf-8"?>
<worksheet xmlns="http://schemas.openxmlformats.org/spreadsheetml/2006/main">
  <sheetPr>
    <tabColor rgb="001F3864"/>
    <outlinePr summaryBelow="1" summaryRight="1"/>
    <pageSetUpPr/>
  </sheetPr>
  <dimension ref="A1:C947"/>
  <sheetViews>
    <sheetView showGridLines="0" workbookViewId="0">
      <pane ySplit="3" topLeftCell="A4" activePane="bottomLeft" state="frozen"/>
      <selection pane="bottomLeft" activeCell="A1" sqref="A1"/>
    </sheetView>
  </sheetViews>
  <sheetFormatPr baseColWidth="8" defaultRowHeight="15"/>
  <cols>
    <col width="24" customWidth="1" min="1" max="1"/>
    <col width="14" customWidth="1" min="2" max="2"/>
    <col width="110" customWidth="1" min="3" max="3"/>
  </cols>
  <sheetData>
    <row r="1">
      <c r="A1" s="1" t="inlineStr">
        <is>
          <t>Tear Sheets</t>
        </is>
      </c>
    </row>
    <row r="2" ht="30" customHeight="1">
      <c r="A2" s="18" t="inlineStr">
        <is>
          <t>One block per name: identity, the FMP financial panel, and every tab the name appears on -- with its strength percentile (100 = strongest in that layer's full population) and the facts that tab records. Names in priority order.</t>
        </is>
      </c>
      <c r="B2" s="19" t="n"/>
      <c r="C2" s="19" t="n"/>
    </row>
    <row r="3"/>
    <row r="4" ht="18" customHeight="1">
      <c r="A4" s="12" t="inlineStr">
        <is>
          <t>CRM  —  Salesforce, Inc.</t>
        </is>
      </c>
      <c r="B4" s="12" t="n"/>
      <c r="C4" s="12" t="n"/>
    </row>
    <row r="5">
      <c r="A5" s="20" t="inlineStr">
        <is>
          <t>Technology · US · mcap $195,192M · price 238.33</t>
        </is>
      </c>
    </row>
    <row r="6">
      <c r="A6" s="6" t="inlineStr">
        <is>
          <t>Financial read</t>
        </is>
      </c>
      <c r="B6" s="14" t="inlineStr">
        <is>
          <t>P/B 3.25 · EV/EBITDA 14.5× · FCF yld 8% · net cash 0% of mcap · rev +8% · op margin 21%</t>
        </is>
      </c>
    </row>
    <row r="7">
      <c r="A7" s="8" t="inlineStr">
        <is>
          <t>P/B</t>
        </is>
      </c>
      <c r="B7" s="16" t="inlineStr">
        <is>
          <t>3.25</t>
        </is>
      </c>
      <c r="C7" s="16" t="inlineStr">
        <is>
          <t>P/E: 21.7</t>
        </is>
      </c>
    </row>
    <row r="8">
      <c r="A8" s="6" t="inlineStr">
        <is>
          <t>EV/EBITDA</t>
        </is>
      </c>
      <c r="B8" s="14" t="inlineStr">
        <is>
          <t>14.5×</t>
        </is>
      </c>
      <c r="C8" s="14" t="inlineStr">
        <is>
          <t>FCF yield: 8%</t>
        </is>
      </c>
    </row>
    <row r="9">
      <c r="A9" s="8" t="inlineStr">
        <is>
          <t>Net cash / mcap</t>
        </is>
      </c>
      <c r="B9" s="16" t="inlineStr">
        <is>
          <t>+0%</t>
        </is>
      </c>
      <c r="C9" s="16" t="inlineStr">
        <is>
          <t>Net debt / EBITDA: 2.1×</t>
        </is>
      </c>
    </row>
    <row r="10">
      <c r="A10" s="6" t="inlineStr">
        <is>
          <t>Revenue growth</t>
        </is>
      </c>
      <c r="B10" s="14" t="inlineStr">
        <is>
          <t>+8%</t>
        </is>
      </c>
      <c r="C10" s="14" t="inlineStr">
        <is>
          <t>Operating margin: 21%</t>
        </is>
      </c>
    </row>
    <row r="11">
      <c r="A11" s="8" t="inlineStr">
        <is>
          <t>ROE</t>
        </is>
      </c>
      <c r="B11" s="16" t="inlineStr">
        <is>
          <t>20%</t>
        </is>
      </c>
      <c r="C11" s="16" t="inlineStr">
        <is>
          <t>Shares YoY: -1%</t>
        </is>
      </c>
    </row>
    <row r="12">
      <c r="A12" s="6" t="inlineStr">
        <is>
          <t>Interest cover</t>
        </is>
      </c>
      <c r="B12" s="14" t="inlineStr">
        <is>
          <t>11.0×</t>
        </is>
      </c>
      <c r="C12" s="14" t="inlineStr">
        <is>
          <t>52-week position: 75%</t>
        </is>
      </c>
    </row>
    <row r="13">
      <c r="A13" s="8" t="inlineStr">
        <is>
          <t>Avg $ volume</t>
        </is>
      </c>
      <c r="B13" s="16" t="inlineStr">
        <is>
          <t>$3,615,295,217</t>
        </is>
      </c>
      <c r="C13" s="16" t="n"/>
    </row>
    <row r="14" ht="45" customHeight="1">
      <c r="A14" s="6" t="inlineStr">
        <is>
          <t>PSU plan</t>
        </is>
      </c>
      <c r="B14" s="14" t="inlineStr">
        <is>
          <t>grade A</t>
        </is>
      </c>
      <c r="C14" s="22" t="inlineStr">
        <is>
          <t>PSUs 67% of LTI · 3-yr · relative TSR, revenue, operating income / margin, absolute TSR (weights not stated) · payout 0–200% · rTSR target 60th pct · paid 2024–2026: 112%  —  per-share / return / TSR metrics: absolute TSR, relative TSR; also revenue; 3-year performance period; payout capped at 200%; payout capped at target if TSR negative; target at 60th percentile (above median); PSUs 67% of LTI; history avg 112% of target; pay-for-performance: 2024–2026 paid 112% while TSR was -5% (-72pp vs SPY) — misaligned</t>
        </is>
      </c>
    </row>
    <row r="15">
      <c r="A15" s="12" t="inlineStr">
        <is>
          <t>Appears on</t>
        </is>
      </c>
      <c r="B15" s="12" t="inlineStr">
        <is>
          <t>Strength %ile</t>
        </is>
      </c>
      <c r="C15" s="12" t="inlineStr">
        <is>
          <t>What that tab says</t>
        </is>
      </c>
    </row>
    <row r="16" ht="30" customHeight="1">
      <c r="A16" s="6" t="inlineStr">
        <is>
          <t>Most Asymmetric</t>
        </is>
      </c>
      <c r="B16" s="14" t="n"/>
      <c r="C16" s="22" t="inlineStr">
        <is>
          <t>PSU plan (grade): A · 3-yr · relative TSR, revenue, operating income / margin, · mcap ($M): 195,192 · Spot ($): 238 · P/B: 3.25 · PSU core: 28 · Why convergent: PSU + buyback + recent 10b5-1 termination + F4 cluster · Floor: Mega-cap recurring revenue base · Sizing: Material 2-5%</t>
        </is>
      </c>
    </row>
    <row r="17" ht="30" customHeight="1">
      <c r="A17" s="8" t="inlineStr">
        <is>
          <t>Political Trades</t>
        </is>
      </c>
      <c r="B17" s="16" t="n"/>
      <c r="C17" s="24" t="inlineStr">
        <is>
          <t>Edge est.: -3.05 · Buys: 8 · Sells: 3 · Members: 4 · Last disclosed: 2026-09-07 · Recent trades: -50k; 2026-08-19 Tony Wied (H, Joint) sell 15-50k; 2026-08-2</t>
        </is>
      </c>
    </row>
    <row r="18" ht="30" customHeight="1">
      <c r="A18" s="6" t="inlineStr">
        <is>
          <t>Without Valuation</t>
        </is>
      </c>
      <c r="B18" s="14" t="n">
        <v>85</v>
      </c>
      <c r="C18" s="22" t="inlineStr">
        <is>
          <t>PSU plan (grade): A · 3-yr · relative TSR, revenue, operating income / margin, · Layers: 8 · Consensus: 5.66 · Sector: Technology · Detail: PSU:28 BB:8 C10:-5 F4:11 RI:61</t>
        </is>
      </c>
    </row>
    <row r="19" ht="30" customHeight="1">
      <c r="A19" s="8" t="inlineStr">
        <is>
          <t>Recent 30d</t>
        </is>
      </c>
      <c r="B19" s="16" t="n">
        <v>29</v>
      </c>
      <c r="C19" s="24" t="inlineStr">
        <is>
          <t>Score: 42 · Days: 24 · Event kind: 10b5-1_TERM · Inner: 1 · DD%: 45 · P/B: 3.63 · Reasons: event 24d ago; 10b5-1 termination; DD 45%; only 1% above 52w</t>
        </is>
      </c>
    </row>
    <row r="20" ht="30" customHeight="1">
      <c r="A20" s="6" t="inlineStr">
        <is>
          <t>PSU Plans</t>
        </is>
      </c>
      <c r="B20" s="14" t="n"/>
      <c r="C20" s="22" t="inlineStr">
        <is>
          <t>Grade: A · PSU % LTI: 67 · Period: 3-yr · Metrics (weight): relative TSR, revenue, operating income / margin, absolute T · Payout range: 0–200% · rTSR target: 60th · Modifier / caps: capped at target if TSR &lt; 0 · Price hurdles: up to 1.2× price · What past cycles paid: 2024–2026: 112% · Pay vs performance: 2024–2026: paid 112% vs TSR -5% (-72pp vs SPY) — misaligned · Red flags: double-trigger only; 4y vesting; SOP 77% (dissent) · Why this grade: per-share / return / TSR metrics: absolute TSR, relative TSR · Design (verbatim): • Relative TSR Rigor : Target payouts for relative TSR PRSUs · Proxy: https://www.sec.gov/Archives/edgar/data/1108524/000110852426</t>
        </is>
      </c>
    </row>
    <row r="22" ht="18" customHeight="1">
      <c r="A22" s="12" t="inlineStr">
        <is>
          <t>EPAM  —  EPAM Systems, Inc.</t>
        </is>
      </c>
      <c r="B22" s="12" t="n"/>
      <c r="C22" s="12" t="n"/>
    </row>
    <row r="23">
      <c r="A23" s="20" t="inlineStr">
        <is>
          <t>Technology · US · mcap $5,829M · price 111.58</t>
        </is>
      </c>
    </row>
    <row r="24">
      <c r="A24" s="6" t="inlineStr">
        <is>
          <t>Financial read</t>
        </is>
      </c>
      <c r="B24" s="14" t="inlineStr">
        <is>
          <t>P/B 1.66 · EV/EBITDA 7.5× · FCF yld 8% · net cash 11% of mcap · rev +11% · op margin 10% · buying back 8%/yr</t>
        </is>
      </c>
    </row>
    <row r="25">
      <c r="A25" s="8" t="inlineStr">
        <is>
          <t>P/B</t>
        </is>
      </c>
      <c r="B25" s="16" t="inlineStr">
        <is>
          <t>1.66</t>
        </is>
      </c>
      <c r="C25" s="16" t="inlineStr">
        <is>
          <t>P/E: 15.0</t>
        </is>
      </c>
    </row>
    <row r="26">
      <c r="A26" s="6" t="inlineStr">
        <is>
          <t>EV/EBITDA</t>
        </is>
      </c>
      <c r="B26" s="14" t="inlineStr">
        <is>
          <t>7.5×</t>
        </is>
      </c>
      <c r="C26" s="14" t="inlineStr">
        <is>
          <t>FCF yield: 8%</t>
        </is>
      </c>
    </row>
    <row r="27">
      <c r="A27" s="8" t="inlineStr">
        <is>
          <t>Net cash / mcap</t>
        </is>
      </c>
      <c r="B27" s="16" t="inlineStr">
        <is>
          <t>+11%</t>
        </is>
      </c>
      <c r="C27" s="16" t="inlineStr">
        <is>
          <t>Net debt / EBITDA: -0.9×</t>
        </is>
      </c>
    </row>
    <row r="28">
      <c r="A28" s="6" t="inlineStr">
        <is>
          <t>Revenue growth</t>
        </is>
      </c>
      <c r="B28" s="14" t="inlineStr">
        <is>
          <t>+11%</t>
        </is>
      </c>
      <c r="C28" s="14" t="inlineStr">
        <is>
          <t>Operating margin: 10%</t>
        </is>
      </c>
    </row>
    <row r="29">
      <c r="A29" s="8" t="inlineStr">
        <is>
          <t>ROE</t>
        </is>
      </c>
      <c r="B29" s="16" t="inlineStr">
        <is>
          <t>11%</t>
        </is>
      </c>
      <c r="C29" s="16" t="inlineStr">
        <is>
          <t>Shares YoY: -8%</t>
        </is>
      </c>
    </row>
    <row r="30">
      <c r="A30" s="6" t="inlineStr">
        <is>
          <t>52-week position</t>
        </is>
      </c>
      <c r="B30" s="14" t="inlineStr">
        <is>
          <t>26%</t>
        </is>
      </c>
      <c r="C30" s="14" t="inlineStr">
        <is>
          <t>Avg $ volume: $195,145,833</t>
        </is>
      </c>
    </row>
    <row r="31">
      <c r="A31" s="12" t="inlineStr">
        <is>
          <t>Appears on</t>
        </is>
      </c>
      <c r="B31" s="12" t="inlineStr">
        <is>
          <t>Strength %ile</t>
        </is>
      </c>
      <c r="C31" s="12" t="inlineStr">
        <is>
          <t>What that tab says</t>
        </is>
      </c>
    </row>
    <row r="32" ht="30" customHeight="1">
      <c r="A32" s="6" t="inlineStr">
        <is>
          <t>Most Asymmetric</t>
        </is>
      </c>
      <c r="B32" s="14" t="n"/>
      <c r="C32" s="22" t="inlineStr">
        <is>
          <t>mcap ($M): 5,829 · Spot ($): 112 · P/B: 1.66 · PSU core: 22 · Why convergent: 12 layers firing | cons 9.552 · Floor: see proxy_scan + buyback_verify · Sizing: Material 2-5%</t>
        </is>
      </c>
    </row>
    <row r="33" ht="30" customHeight="1">
      <c r="A33" s="8" t="inlineStr">
        <is>
          <t>Without Valuation</t>
        </is>
      </c>
      <c r="B33" s="16" t="n">
        <v>88</v>
      </c>
      <c r="C33" s="24" t="inlineStr">
        <is>
          <t>Layers: 7 · Consensus: 5.81 · Lift vs val: -3 · Sector: Technology · Detail: PSU:21 C10:-29 F4:18 RI:53</t>
        </is>
      </c>
    </row>
    <row r="35" ht="18" customHeight="1">
      <c r="A35" s="12" t="inlineStr">
        <is>
          <t>VSNT  —  Versant Media Group, Inc. Class A</t>
        </is>
      </c>
      <c r="B35" s="12" t="n"/>
      <c r="C35" s="12" t="n"/>
    </row>
    <row r="36">
      <c r="A36" s="20" t="inlineStr">
        <is>
          <t>Communication Services · US · mcap $4,701M · price 33.22</t>
        </is>
      </c>
    </row>
    <row r="37">
      <c r="A37" s="6" t="inlineStr">
        <is>
          <t>Financial read</t>
        </is>
      </c>
      <c r="B37" s="14" t="inlineStr">
        <is>
          <t>P/B 0.58 · EV/EBITDA 2.8× · FCF yld 49% · net debt 31% of mcap · op margin 19%</t>
        </is>
      </c>
    </row>
    <row r="38">
      <c r="A38" s="8" t="inlineStr">
        <is>
          <t>P/B</t>
        </is>
      </c>
      <c r="B38" s="16" t="inlineStr">
        <is>
          <t>0.58</t>
        </is>
      </c>
      <c r="C38" s="16" t="inlineStr">
        <is>
          <t>P/E: 6.2</t>
        </is>
      </c>
    </row>
    <row r="39">
      <c r="A39" s="6" t="inlineStr">
        <is>
          <t>EV/EBITDA</t>
        </is>
      </c>
      <c r="B39" s="14" t="inlineStr">
        <is>
          <t>2.8×</t>
        </is>
      </c>
      <c r="C39" s="14" t="inlineStr">
        <is>
          <t>FCF yield: 49%</t>
        </is>
      </c>
    </row>
    <row r="40">
      <c r="A40" s="8" t="inlineStr">
        <is>
          <t>Net cash / mcap</t>
        </is>
      </c>
      <c r="B40" s="16" t="inlineStr">
        <is>
          <t>-31%</t>
        </is>
      </c>
      <c r="C40" s="16" t="inlineStr">
        <is>
          <t>Net debt / EBITDA: 0.7×</t>
        </is>
      </c>
    </row>
    <row r="41">
      <c r="A41" s="6" t="inlineStr">
        <is>
          <t>Operating margin</t>
        </is>
      </c>
      <c r="B41" s="14" t="inlineStr">
        <is>
          <t>19%</t>
        </is>
      </c>
      <c r="C41" s="14" t="inlineStr">
        <is>
          <t>ROE: 8%</t>
        </is>
      </c>
    </row>
    <row r="42">
      <c r="A42" s="8" t="inlineStr">
        <is>
          <t>Shares YoY</t>
        </is>
      </c>
      <c r="B42" s="16" t="inlineStr">
        <is>
          <t>-2%</t>
        </is>
      </c>
      <c r="C42" s="16" t="inlineStr">
        <is>
          <t>Interest cover: 10.8×</t>
        </is>
      </c>
    </row>
    <row r="43">
      <c r="A43" s="6" t="inlineStr">
        <is>
          <t>52-week position</t>
        </is>
      </c>
      <c r="B43" s="14" t="inlineStr">
        <is>
          <t>19%</t>
        </is>
      </c>
      <c r="C43" s="14" t="inlineStr">
        <is>
          <t>Avg $ volume: $62,725,971</t>
        </is>
      </c>
    </row>
    <row r="44">
      <c r="A44" s="12" t="inlineStr">
        <is>
          <t>Appears on</t>
        </is>
      </c>
      <c r="B44" s="12" t="inlineStr">
        <is>
          <t>Strength %ile</t>
        </is>
      </c>
      <c r="C44" s="12" t="inlineStr">
        <is>
          <t>What that tab says</t>
        </is>
      </c>
    </row>
    <row r="45" ht="30" customHeight="1">
      <c r="A45" s="6" t="inlineStr">
        <is>
          <t>Most Asymmetric</t>
        </is>
      </c>
      <c r="B45" s="14" t="n"/>
      <c r="C45" s="22" t="inlineStr">
        <is>
          <t>mcap ($M): 4,701 · Spot ($): 33.2 · P/B: 0.58 · PSU core: 2 · Catalyst (cond_cat): spin_separation · Why convergent: 11 layers firing | cons 10.244 · Floor: see proxy_scan + buyback_verify · Sizing: Concentrated 5%+</t>
        </is>
      </c>
    </row>
    <row r="46" ht="30" customHeight="1">
      <c r="A46" s="8" t="inlineStr">
        <is>
          <t>Insider Conviction</t>
        </is>
      </c>
      <c r="B46" s="16" t="n">
        <v>85</v>
      </c>
      <c r="C46" s="24" t="inlineStr">
        <is>
          <t>Conviction: 37 · Insiders: 4 · Cluster: 4 · Same day: 2 · C-suite: 0 · Total $M: 6.19 · Top $M: 5.27 · Configuration: same-day cluster x2; 4 insiders in 7d; $5.3M top buyer</t>
        </is>
      </c>
    </row>
    <row r="47" ht="30" customHeight="1">
      <c r="A47" s="6" t="inlineStr">
        <is>
          <t>Governance Discount</t>
        </is>
      </c>
      <c r="B47" s="14" t="n">
        <v>56</v>
      </c>
      <c r="C47" s="22" t="inlineStr">
        <is>
          <t>Tier: ACTION LIKELY · Score: 19.8 · P/B: 0.58 · Mcap $M: 4,701 · Governance signals (most recent date): call commit (2026-08); turnaround exec (2026-01)</t>
        </is>
      </c>
    </row>
    <row r="48" ht="30" customHeight="1">
      <c r="A48" s="8" t="inlineStr">
        <is>
          <t>Call Intent</t>
        </is>
      </c>
      <c r="B48" s="16" t="n">
        <v>99</v>
      </c>
      <c r="C48" s="24" t="inlineStr">
        <is>
          <t>Tier: ACT SIGNALLED · Act prob: 0.67 · P/B: 0.58 · Novelty: 1.2 · Size: 6 · Call: 2026-08-06 · New / strongest families: buyback, dividend_return, cost · Evidence (management, verbatim): [buyback] “Demonstrating our commitment to returning capital</t>
        </is>
      </c>
    </row>
    <row r="49" ht="30" customHeight="1">
      <c r="A49" s="6" t="inlineStr">
        <is>
          <t>Asymmetry Assembly</t>
        </is>
      </c>
      <c r="B49" s="14" t="n">
        <v>57</v>
      </c>
      <c r="C49" s="22" t="inlineStr">
        <is>
          <t>Assembly: 37 · N/8: 4 · Cheap: ● · Lev: ● · Orph: ● · Insdr: ● · Reasons: 4/8 components</t>
        </is>
      </c>
    </row>
    <row r="51" ht="18" customHeight="1">
      <c r="A51" s="12" t="inlineStr">
        <is>
          <t>SCHL  —  Scholastic Corporation</t>
        </is>
      </c>
      <c r="B51" s="12" t="n"/>
      <c r="C51" s="12" t="n"/>
    </row>
    <row r="52">
      <c r="A52" s="20" t="inlineStr">
        <is>
          <t>Communication Services · US · mcap $658M · price 34.8636</t>
        </is>
      </c>
    </row>
    <row r="53">
      <c r="A53" s="6" t="inlineStr">
        <is>
          <t>Financial read</t>
        </is>
      </c>
      <c r="B53" s="14" t="inlineStr">
        <is>
          <t>P/B 0.75 · EV/EBITDA 3.2× · FCF yld 0% · net debt 27% of mcap · rev +3% · op margin 2% · buying back 10%/yr</t>
        </is>
      </c>
    </row>
    <row r="54">
      <c r="A54" s="8" t="inlineStr">
        <is>
          <t>P/B</t>
        </is>
      </c>
      <c r="B54" s="16" t="inlineStr">
        <is>
          <t>0.75</t>
        </is>
      </c>
      <c r="C54" s="16" t="inlineStr">
        <is>
          <t>P/E: 14.3</t>
        </is>
      </c>
    </row>
    <row r="55">
      <c r="A55" s="6" t="inlineStr">
        <is>
          <t>EV/EBITDA</t>
        </is>
      </c>
      <c r="B55" s="14" t="inlineStr">
        <is>
          <t>3.2×</t>
        </is>
      </c>
      <c r="C55" s="14" t="inlineStr">
        <is>
          <t>FCF yield: 0%</t>
        </is>
      </c>
    </row>
    <row r="56">
      <c r="A56" s="8" t="inlineStr">
        <is>
          <t>Net cash / mcap</t>
        </is>
      </c>
      <c r="B56" s="16" t="inlineStr">
        <is>
          <t>-27%</t>
        </is>
      </c>
      <c r="C56" s="16" t="inlineStr">
        <is>
          <t>Net debt / EBITDA: 0.9×</t>
        </is>
      </c>
    </row>
    <row r="57">
      <c r="A57" s="6" t="inlineStr">
        <is>
          <t>Revenue growth</t>
        </is>
      </c>
      <c r="B57" s="14" t="inlineStr">
        <is>
          <t>+3%</t>
        </is>
      </c>
      <c r="C57" s="14" t="inlineStr">
        <is>
          <t>Operating margin: 2%</t>
        </is>
      </c>
    </row>
    <row r="58">
      <c r="A58" s="8" t="inlineStr">
        <is>
          <t>ROE</t>
        </is>
      </c>
      <c r="B58" s="16" t="inlineStr">
        <is>
          <t>7%</t>
        </is>
      </c>
      <c r="C58" s="16" t="inlineStr">
        <is>
          <t>Shares YoY: -10%</t>
        </is>
      </c>
    </row>
    <row r="59">
      <c r="A59" s="6" t="inlineStr">
        <is>
          <t>Interest cover</t>
        </is>
      </c>
      <c r="B59" s="14" t="inlineStr">
        <is>
          <t>2.3×</t>
        </is>
      </c>
      <c r="C59" s="14" t="inlineStr">
        <is>
          <t>52-week position: 41%</t>
        </is>
      </c>
    </row>
    <row r="60">
      <c r="A60" s="8" t="inlineStr">
        <is>
          <t>Avg $ volume</t>
        </is>
      </c>
      <c r="B60" s="16" t="inlineStr">
        <is>
          <t>$12,018,703</t>
        </is>
      </c>
      <c r="C60" s="16" t="n"/>
    </row>
    <row r="61">
      <c r="A61" s="12" t="inlineStr">
        <is>
          <t>Appears on</t>
        </is>
      </c>
      <c r="B61" s="12" t="inlineStr">
        <is>
          <t>Strength %ile</t>
        </is>
      </c>
      <c r="C61" s="12" t="inlineStr">
        <is>
          <t>What that tab says</t>
        </is>
      </c>
    </row>
    <row r="62" ht="30" customHeight="1">
      <c r="A62" s="6" t="inlineStr">
        <is>
          <t>Most Asymmetric</t>
        </is>
      </c>
      <c r="B62" s="14" t="n"/>
      <c r="C62" s="22" t="inlineStr">
        <is>
          <t>mcap ($M): 658 · Spot ($): 34.9 · P/B: 0.75 · Why convergent: 11 layers firing | cons 8.648 · Floor: see proxy_scan + buyback_verify · Sizing: Participation 1-2%</t>
        </is>
      </c>
    </row>
    <row r="63" ht="30" customHeight="1">
      <c r="A63" s="8" t="inlineStr">
        <is>
          <t>Call Intent</t>
        </is>
      </c>
      <c r="B63" s="16" t="n">
        <v>100</v>
      </c>
      <c r="C63" s="24" t="inlineStr">
        <is>
          <t>Tier: ACT SIGNALLED · Act prob: 0.74 · P/B: 0.75 · Novelty: 0.4 · Size: 39 · CEO+CFO: ✓ · Call: 2026-07-23 · New / strongest families: monetize, buyback, dividend_return · Evidence (management, verbatim): [monetize] “During the year, we returned over $285 million t</t>
        </is>
      </c>
    </row>
    <row r="64" ht="30" customHeight="1">
      <c r="A64" s="6" t="inlineStr">
        <is>
          <t>Asymmetry Assembly</t>
        </is>
      </c>
      <c r="B64" s="14" t="n">
        <v>70</v>
      </c>
      <c r="C64" s="22" t="inlineStr">
        <is>
          <t>Assembly: 39 · N/8: 4 · Cheap: ● · Lev: ● · Insdr: ● · Catl: ● · Reasons: 4/8 components</t>
        </is>
      </c>
    </row>
    <row r="66" ht="18" customHeight="1">
      <c r="A66" s="12" t="inlineStr">
        <is>
          <t>GPK  —  Graphic Packaging Holding Company</t>
        </is>
      </c>
      <c r="B66" s="12" t="n"/>
      <c r="C66" s="12" t="n"/>
    </row>
    <row r="67">
      <c r="A67" s="20" t="inlineStr">
        <is>
          <t>Consumer Cyclical · US · mcap $2,913M · price 9.845</t>
        </is>
      </c>
    </row>
    <row r="68">
      <c r="A68" s="6" t="inlineStr">
        <is>
          <t>Financial read</t>
        </is>
      </c>
      <c r="B68" s="14" t="inlineStr">
        <is>
          <t>P/B 0.90 · EV/EBITDA 9.2× · FCF yld 7% · net debt 192% of mcap · rev +0% · op margin 7%</t>
        </is>
      </c>
    </row>
    <row r="69">
      <c r="A69" s="8" t="inlineStr">
        <is>
          <t>P/B</t>
        </is>
      </c>
      <c r="B69" s="16" t="inlineStr">
        <is>
          <t>0.90</t>
        </is>
      </c>
      <c r="C69" s="16" t="inlineStr">
        <is>
          <t>P/E: 14.7</t>
        </is>
      </c>
    </row>
    <row r="70">
      <c r="A70" s="6" t="inlineStr">
        <is>
          <t>EV/EBITDA</t>
        </is>
      </c>
      <c r="B70" s="14" t="inlineStr">
        <is>
          <t>9.2×</t>
        </is>
      </c>
      <c r="C70" s="14" t="inlineStr">
        <is>
          <t>FCF yield: 7%</t>
        </is>
      </c>
    </row>
    <row r="71">
      <c r="A71" s="8" t="inlineStr">
        <is>
          <t>Net cash / mcap</t>
        </is>
      </c>
      <c r="B71" s="16" t="inlineStr">
        <is>
          <t>-192%</t>
        </is>
      </c>
      <c r="C71" s="16" t="inlineStr">
        <is>
          <t>Net debt / EBITDA: 6.1×</t>
        </is>
      </c>
    </row>
    <row r="72">
      <c r="A72" s="6" t="inlineStr">
        <is>
          <t>Revenue growth</t>
        </is>
      </c>
      <c r="B72" s="14" t="inlineStr">
        <is>
          <t>+0%</t>
        </is>
      </c>
      <c r="C72" s="14" t="inlineStr">
        <is>
          <t>Operating margin: 7%</t>
        </is>
      </c>
    </row>
    <row r="73">
      <c r="A73" s="8" t="inlineStr">
        <is>
          <t>ROE</t>
        </is>
      </c>
      <c r="B73" s="16" t="inlineStr">
        <is>
          <t>6%</t>
        </is>
      </c>
      <c r="C73" s="16" t="inlineStr">
        <is>
          <t>Shares YoY: -2%</t>
        </is>
      </c>
    </row>
    <row r="74">
      <c r="A74" s="6" t="inlineStr">
        <is>
          <t>Interest cover</t>
        </is>
      </c>
      <c r="B74" s="14" t="inlineStr">
        <is>
          <t>2.4×</t>
        </is>
      </c>
      <c r="C74" s="14" t="inlineStr">
        <is>
          <t>52-week position: 10%</t>
        </is>
      </c>
    </row>
    <row r="75">
      <c r="A75" s="8" t="inlineStr">
        <is>
          <t>Avg $ volume</t>
        </is>
      </c>
      <c r="B75" s="16" t="inlineStr">
        <is>
          <t>$56,961,437</t>
        </is>
      </c>
      <c r="C75" s="16" t="n"/>
    </row>
    <row r="76">
      <c r="A76" s="12" t="inlineStr">
        <is>
          <t>Appears on</t>
        </is>
      </c>
      <c r="B76" s="12" t="inlineStr">
        <is>
          <t>Strength %ile</t>
        </is>
      </c>
      <c r="C76" s="12" t="inlineStr">
        <is>
          <t>What that tab says</t>
        </is>
      </c>
    </row>
    <row r="77" ht="30" customHeight="1">
      <c r="A77" s="6" t="inlineStr">
        <is>
          <t>Most Asymmetric</t>
        </is>
      </c>
      <c r="B77" s="14" t="n"/>
      <c r="C77" s="22" t="inlineStr">
        <is>
          <t>mcap ($M): 2,913 · Spot ($): 9.85 · P/B: 0.9 · PSU core: 22 · Why convergent: 11 layers firing | cons 8.618 · Floor: see proxy_scan + buyback_verify · Sizing: Concentrated 5%+</t>
        </is>
      </c>
    </row>
    <row r="78" ht="30" customHeight="1">
      <c r="A78" s="8" t="inlineStr">
        <is>
          <t>Asymmetry Assembly</t>
        </is>
      </c>
      <c r="B78" s="16" t="n">
        <v>82</v>
      </c>
      <c r="C78" s="24" t="inlineStr">
        <is>
          <t>Assembly: 53 · N/8: 5 · Cheap: ● · Lev: ● · Orph: ● · Insdr: ● · Delev: ● · Reasons: 5/8 components converge</t>
        </is>
      </c>
    </row>
    <row r="80" ht="18" customHeight="1">
      <c r="A80" s="12" t="inlineStr">
        <is>
          <t>DXC  —  DXC Technology Company</t>
        </is>
      </c>
      <c r="B80" s="12" t="n"/>
      <c r="C80" s="12" t="n"/>
    </row>
    <row r="81">
      <c r="A81" s="20" t="inlineStr">
        <is>
          <t>Technology · US · mcap $1,797M · price 11.085</t>
        </is>
      </c>
    </row>
    <row r="82">
      <c r="A82" s="6" t="inlineStr">
        <is>
          <t>Financial read</t>
        </is>
      </c>
      <c r="B82" s="14" t="inlineStr">
        <is>
          <t>P/B 0.57 · EV/EBITDA 2.6× · FCF yld 71% · net debt 144% of mcap · rev -2% · op margin 3% · buying back 3%/yr</t>
        </is>
      </c>
    </row>
    <row r="83">
      <c r="A83" s="8" t="inlineStr">
        <is>
          <t>P/B</t>
        </is>
      </c>
      <c r="B83" s="16" t="inlineStr">
        <is>
          <t>0.57</t>
        </is>
      </c>
      <c r="C83" s="16" t="inlineStr">
        <is>
          <t>P/E: 14.5</t>
        </is>
      </c>
    </row>
    <row r="84">
      <c r="A84" s="6" t="inlineStr">
        <is>
          <t>EV/EBITDA</t>
        </is>
      </c>
      <c r="B84" s="14" t="inlineStr">
        <is>
          <t>2.6×</t>
        </is>
      </c>
      <c r="C84" s="14" t="inlineStr">
        <is>
          <t>FCF yield: 71%</t>
        </is>
      </c>
    </row>
    <row r="85">
      <c r="A85" s="8" t="inlineStr">
        <is>
          <t>Net cash / mcap</t>
        </is>
      </c>
      <c r="B85" s="16" t="inlineStr">
        <is>
          <t>-144%</t>
        </is>
      </c>
      <c r="C85" s="16" t="inlineStr">
        <is>
          <t>Net debt / EBITDA: 1.4×</t>
        </is>
      </c>
    </row>
    <row r="86">
      <c r="A86" s="6" t="inlineStr">
        <is>
          <t>Revenue growth</t>
        </is>
      </c>
      <c r="B86" s="14" t="inlineStr">
        <is>
          <t>-2%</t>
        </is>
      </c>
      <c r="C86" s="14" t="inlineStr">
        <is>
          <t>Operating margin: 3%</t>
        </is>
      </c>
    </row>
    <row r="87">
      <c r="A87" s="8" t="inlineStr">
        <is>
          <t>ROE</t>
        </is>
      </c>
      <c r="B87" s="16" t="inlineStr">
        <is>
          <t>4%</t>
        </is>
      </c>
      <c r="C87" s="16" t="inlineStr">
        <is>
          <t>Shares YoY: -3%</t>
        </is>
      </c>
    </row>
    <row r="88">
      <c r="A88" s="6" t="inlineStr">
        <is>
          <t>Interest cover</t>
        </is>
      </c>
      <c r="B88" s="14" t="inlineStr">
        <is>
          <t>2.0×</t>
        </is>
      </c>
      <c r="C88" s="14" t="inlineStr">
        <is>
          <t>52-week position: 41%</t>
        </is>
      </c>
    </row>
    <row r="89">
      <c r="A89" s="8" t="inlineStr">
        <is>
          <t>Avg $ volume</t>
        </is>
      </c>
      <c r="B89" s="16" t="inlineStr">
        <is>
          <t>$47,796,935</t>
        </is>
      </c>
      <c r="C89" s="16" t="n"/>
    </row>
    <row r="90">
      <c r="A90" s="12" t="inlineStr">
        <is>
          <t>Appears on</t>
        </is>
      </c>
      <c r="B90" s="12" t="inlineStr">
        <is>
          <t>Strength %ile</t>
        </is>
      </c>
      <c r="C90" s="12" t="inlineStr">
        <is>
          <t>What that tab says</t>
        </is>
      </c>
    </row>
    <row r="91" ht="30" customHeight="1">
      <c r="A91" s="6" t="inlineStr">
        <is>
          <t>Most Asymmetric</t>
        </is>
      </c>
      <c r="B91" s="14" t="n"/>
      <c r="C91" s="22" t="inlineStr">
        <is>
          <t>mcap ($M): 1,797 · Spot ($): 11.1 · P/B: 0.57 · PSU core: 50 · Why convergent: PSU core 40 + buyback + recent-incentive 57% drawdown · Floor: IT services franchise; transformation signal in PSU · Sizing: Participation 1-2%</t>
        </is>
      </c>
    </row>
    <row r="92" ht="30" customHeight="1">
      <c r="A92" s="8" t="inlineStr">
        <is>
          <t>Asymmetry Assembly</t>
        </is>
      </c>
      <c r="B92" s="16" t="n">
        <v>91</v>
      </c>
      <c r="C92" s="24" t="inlineStr">
        <is>
          <t>Assembly: 61 · N/8: 5 · Cheap: ● · Lev: ● · Insdr: ● · Inflx: ● · Delev: ● · Reasons: 5/8 components converge</t>
        </is>
      </c>
    </row>
    <row r="93" ht="30" customHeight="1">
      <c r="A93" s="6" t="inlineStr">
        <is>
          <t>Without Valuation</t>
        </is>
      </c>
      <c r="B93" s="14" t="n">
        <v>38</v>
      </c>
      <c r="C93" s="22" t="inlineStr">
        <is>
          <t>Layers: 6 · Consensus: 4.45 · Lift vs val: -14 · Sector: Technology · Detail: PSU:43 BB:5 RI:57</t>
        </is>
      </c>
    </row>
    <row r="94" ht="30" customHeight="1">
      <c r="A94" s="8" t="inlineStr">
        <is>
          <t>Recent 30d</t>
        </is>
      </c>
      <c r="B94" s="16" t="n">
        <v>82</v>
      </c>
      <c r="C94" s="24" t="inlineStr">
        <is>
          <t>Score: 52 · Days: 17 · Event kind: DEF14A_PSU · Inner: 1 · DD%: 48 · P/B: 0.484 · Reasons: event 17d ago; PSU/gov in latest proxy; DD 48%; only 9% abov</t>
        </is>
      </c>
    </row>
    <row r="96" ht="18" customHeight="1">
      <c r="A96" s="12" t="inlineStr">
        <is>
          <t>ADT  —  ADT Inc.</t>
        </is>
      </c>
      <c r="B96" s="12" t="n"/>
      <c r="C96" s="12" t="n"/>
    </row>
    <row r="97">
      <c r="A97" s="20" t="inlineStr">
        <is>
          <t>Industrials · US · mcap $5,108M · price 6.385</t>
        </is>
      </c>
    </row>
    <row r="98">
      <c r="A98" s="6" t="inlineStr">
        <is>
          <t>Financial read</t>
        </is>
      </c>
      <c r="B98" s="14" t="inlineStr">
        <is>
          <t>P/B 1.47 · EV/EBITDA 4.6× · FCF yld 37% · net debt 150% of mcap · rev +2% · op margin 25% · buying back 11%/yr</t>
        </is>
      </c>
    </row>
    <row r="99">
      <c r="A99" s="8" t="inlineStr">
        <is>
          <t>P/B</t>
        </is>
      </c>
      <c r="B99" s="16" t="inlineStr">
        <is>
          <t>1.47</t>
        </is>
      </c>
      <c r="C99" s="16" t="inlineStr">
        <is>
          <t>P/E: 8.3</t>
        </is>
      </c>
    </row>
    <row r="100">
      <c r="A100" s="6" t="inlineStr">
        <is>
          <t>EV/EBITDA</t>
        </is>
      </c>
      <c r="B100" s="14" t="inlineStr">
        <is>
          <t>4.6×</t>
        </is>
      </c>
      <c r="C100" s="14" t="inlineStr">
        <is>
          <t>FCF yield: 37%</t>
        </is>
      </c>
    </row>
    <row r="101">
      <c r="A101" s="8" t="inlineStr">
        <is>
          <t>Net cash / mcap</t>
        </is>
      </c>
      <c r="B101" s="16" t="inlineStr">
        <is>
          <t>-150%</t>
        </is>
      </c>
      <c r="C101" s="16" t="inlineStr">
        <is>
          <t>Net debt / EBITDA: 2.8×</t>
        </is>
      </c>
    </row>
    <row r="102">
      <c r="A102" s="6" t="inlineStr">
        <is>
          <t>Revenue growth</t>
        </is>
      </c>
      <c r="B102" s="14" t="inlineStr">
        <is>
          <t>+2%</t>
        </is>
      </c>
      <c r="C102" s="14" t="inlineStr">
        <is>
          <t>Operating margin: 25%</t>
        </is>
      </c>
    </row>
    <row r="103">
      <c r="A103" s="8" t="inlineStr">
        <is>
          <t>ROE</t>
        </is>
      </c>
      <c r="B103" s="16" t="inlineStr">
        <is>
          <t>17%</t>
        </is>
      </c>
      <c r="C103" s="16" t="inlineStr">
        <is>
          <t>Shares YoY: -11%</t>
        </is>
      </c>
    </row>
    <row r="104">
      <c r="A104" s="6" t="inlineStr">
        <is>
          <t>Interest cover</t>
        </is>
      </c>
      <c r="B104" s="14" t="inlineStr">
        <is>
          <t>3.2×</t>
        </is>
      </c>
      <c r="C104" s="14" t="inlineStr">
        <is>
          <t>52-week position: 5%</t>
        </is>
      </c>
    </row>
    <row r="105">
      <c r="A105" s="8" t="inlineStr">
        <is>
          <t>Avg $ volume</t>
        </is>
      </c>
      <c r="B105" s="16" t="inlineStr">
        <is>
          <t>$53,722,892</t>
        </is>
      </c>
      <c r="C105" s="16" t="n"/>
    </row>
    <row r="106">
      <c r="A106" s="12" t="inlineStr">
        <is>
          <t>Appears on</t>
        </is>
      </c>
      <c r="B106" s="12" t="inlineStr">
        <is>
          <t>Strength %ile</t>
        </is>
      </c>
      <c r="C106" s="12" t="inlineStr">
        <is>
          <t>What that tab says</t>
        </is>
      </c>
    </row>
    <row r="107" ht="30" customHeight="1">
      <c r="A107" s="6" t="inlineStr">
        <is>
          <t>Most Asymmetric</t>
        </is>
      </c>
      <c r="B107" s="14" t="n"/>
      <c r="C107" s="22" t="inlineStr">
        <is>
          <t>mcap ($M): 5,108 · Spot ($): 6.38 · P/B: 1.47 · PSU core: 27 · Why convergent: Heaviest PSU%LTI in universe (90%) + verified -7.3% shrinkag · Floor: Recurring monitoring revenue + verified supply-curve compres · Sizing: Concentrated 5%+</t>
        </is>
      </c>
    </row>
    <row r="108" ht="30" customHeight="1">
      <c r="A108" s="8" t="inlineStr">
        <is>
          <t>Caution List</t>
        </is>
      </c>
      <c r="B108" s="16" t="n">
        <v>32</v>
      </c>
      <c r="C108" s="24" t="inlineStr">
        <is>
          <t>Screens fired: 3 · Red flags: retirement carveout · Action: Concentrate (1 flag tolerable)</t>
        </is>
      </c>
    </row>
    <row r="109" ht="30" customHeight="1">
      <c r="A109" s="6" t="inlineStr">
        <is>
          <t>Insider Conviction</t>
        </is>
      </c>
      <c r="B109" s="14" t="n">
        <v>68</v>
      </c>
      <c r="C109" s="22" t="inlineStr">
        <is>
          <t>Conviction: 25 · Insiders: 3 · Cluster: 3 · Same day: 3 · C-suite: 1 · Total $M: 0.35 · Top $M: 0.25 · Configuration: same-day cluster x3; C-suite buyer</t>
        </is>
      </c>
    </row>
    <row r="110" ht="30" customHeight="1">
      <c r="A110" s="8" t="inlineStr">
        <is>
          <t>Without Valuation</t>
        </is>
      </c>
      <c r="B110" s="16" t="n">
        <v>62</v>
      </c>
      <c r="C110" s="24" t="inlineStr">
        <is>
          <t>Layers: 7 · Consensus: 4.73 · Lift vs val: -1 · Sector: Industrials · Detail: PSU:31 BB:5 F4:12 RI:50 SS:10</t>
        </is>
      </c>
    </row>
    <row r="112" ht="18" customHeight="1">
      <c r="A112" s="12" t="inlineStr">
        <is>
          <t>TRS  —  TriMas Corporation</t>
        </is>
      </c>
      <c r="B112" s="12" t="n"/>
      <c r="C112" s="12" t="n"/>
    </row>
    <row r="113">
      <c r="A113" s="20" t="inlineStr">
        <is>
          <t>Consumer Cyclical · US · mcap $1,409M · price 39.32</t>
        </is>
      </c>
    </row>
    <row r="114">
      <c r="A114" s="6" t="inlineStr">
        <is>
          <t>Financial read</t>
        </is>
      </c>
      <c r="B114" s="14" t="inlineStr">
        <is>
          <t>P/B 0.98 · EV/EBITDA 4.0× · FCF yld 12% · net cash 57% of mcap · rev -5% · op margin 5% · buying back 12%/yr</t>
        </is>
      </c>
    </row>
    <row r="115">
      <c r="A115" s="8" t="inlineStr">
        <is>
          <t>P/B</t>
        </is>
      </c>
      <c r="B115" s="16" t="inlineStr">
        <is>
          <t>0.98</t>
        </is>
      </c>
      <c r="C115" s="16" t="inlineStr">
        <is>
          <t>P/E: 1.6</t>
        </is>
      </c>
    </row>
    <row r="116">
      <c r="A116" s="6" t="inlineStr">
        <is>
          <t>EV/EBITDA</t>
        </is>
      </c>
      <c r="B116" s="14" t="inlineStr">
        <is>
          <t>4.0×</t>
        </is>
      </c>
      <c r="C116" s="14" t="inlineStr">
        <is>
          <t>FCF yield: 12%</t>
        </is>
      </c>
    </row>
    <row r="117">
      <c r="A117" s="8" t="inlineStr">
        <is>
          <t>Net cash / mcap</t>
        </is>
      </c>
      <c r="B117" s="16" t="inlineStr">
        <is>
          <t>+57%</t>
        </is>
      </c>
      <c r="C117" s="16" t="inlineStr">
        <is>
          <t>Net debt / EBITDA: -5.4×</t>
        </is>
      </c>
    </row>
    <row r="118">
      <c r="A118" s="6" t="inlineStr">
        <is>
          <t>Revenue growth</t>
        </is>
      </c>
      <c r="B118" s="14" t="inlineStr">
        <is>
          <t>-5%</t>
        </is>
      </c>
      <c r="C118" s="14" t="inlineStr">
        <is>
          <t>Operating margin: 5%</t>
        </is>
      </c>
    </row>
    <row r="119">
      <c r="A119" s="8" t="inlineStr">
        <is>
          <t>ROE</t>
        </is>
      </c>
      <c r="B119" s="16" t="inlineStr">
        <is>
          <t>84%</t>
        </is>
      </c>
      <c r="C119" s="16" t="inlineStr">
        <is>
          <t>Shares YoY: -12%</t>
        </is>
      </c>
    </row>
    <row r="120">
      <c r="A120" s="6" t="inlineStr">
        <is>
          <t>Interest cover</t>
        </is>
      </c>
      <c r="B120" s="14" t="inlineStr">
        <is>
          <t>2.3×</t>
        </is>
      </c>
      <c r="C120" s="14" t="inlineStr">
        <is>
          <t>52-week position: 59%</t>
        </is>
      </c>
    </row>
    <row r="121">
      <c r="A121" s="8" t="inlineStr">
        <is>
          <t>Avg $ volume</t>
        </is>
      </c>
      <c r="B121" s="16" t="inlineStr">
        <is>
          <t>$16,924,232</t>
        </is>
      </c>
      <c r="C121" s="16" t="n"/>
    </row>
    <row r="122">
      <c r="A122" s="12" t="inlineStr">
        <is>
          <t>Appears on</t>
        </is>
      </c>
      <c r="B122" s="12" t="inlineStr">
        <is>
          <t>Strength %ile</t>
        </is>
      </c>
      <c r="C122" s="12" t="inlineStr">
        <is>
          <t>What that tab says</t>
        </is>
      </c>
    </row>
    <row r="123" ht="30" customHeight="1">
      <c r="A123" s="6" t="inlineStr">
        <is>
          <t>Most Asymmetric</t>
        </is>
      </c>
      <c r="B123" s="14" t="n"/>
      <c r="C123" s="22" t="inlineStr">
        <is>
          <t>mcap ($M): 1,409 · Spot ($): 39.3 · P/B: 0.98 · PSU core: 38 · Why convergent: 11 layers firing | cons 6.54 · Floor: see proxy_scan + buyback_verify · Sizing: Material 2-5%</t>
        </is>
      </c>
    </row>
    <row r="124" ht="30" customHeight="1">
      <c r="A124" s="8" t="inlineStr">
        <is>
          <t>Mechanism Gates</t>
        </is>
      </c>
      <c r="B124" s="16" t="n">
        <v>83</v>
      </c>
      <c r="C124" s="24" t="inlineStr">
        <is>
          <t>Score: 19.3 · Mech: 1 · Ratio: 2.2 · Archetypes: sub cash buyback</t>
        </is>
      </c>
    </row>
    <row r="126" ht="18" customHeight="1">
      <c r="A126" s="12" t="inlineStr">
        <is>
          <t>LULU  —  Lululemon Athletica Inc.</t>
        </is>
      </c>
      <c r="B126" s="12" t="n"/>
      <c r="C126" s="12" t="n"/>
    </row>
    <row r="127">
      <c r="A127" s="20" t="inlineStr">
        <is>
          <t>Consumer Cyclical · CA · mcap $11,657M · price 102.6554</t>
        </is>
      </c>
    </row>
    <row r="128">
      <c r="A128" s="6" t="inlineStr">
        <is>
          <t>Financial read</t>
        </is>
      </c>
      <c r="B128" s="14" t="inlineStr">
        <is>
          <t>P/B 2.43 · EV/EBITDA 4.8× · FCF yld 12% · net debt 6% of mcap · rev +2% · op margin 18% · buying back 6%/yr</t>
        </is>
      </c>
    </row>
    <row r="129">
      <c r="A129" s="8" t="inlineStr">
        <is>
          <t>P/B</t>
        </is>
      </c>
      <c r="B129" s="16" t="inlineStr">
        <is>
          <t>2.43</t>
        </is>
      </c>
      <c r="C129" s="16" t="inlineStr">
        <is>
          <t>P/E: 8.4</t>
        </is>
      </c>
    </row>
    <row r="130">
      <c r="A130" s="6" t="inlineStr">
        <is>
          <t>EV/EBITDA</t>
        </is>
      </c>
      <c r="B130" s="14" t="inlineStr">
        <is>
          <t>4.8×</t>
        </is>
      </c>
      <c r="C130" s="14" t="inlineStr">
        <is>
          <t>FCF yield: 12%</t>
        </is>
      </c>
    </row>
    <row r="131">
      <c r="A131" s="8" t="inlineStr">
        <is>
          <t>Net cash / mcap</t>
        </is>
      </c>
      <c r="B131" s="16" t="inlineStr">
        <is>
          <t>-6%</t>
        </is>
      </c>
      <c r="C131" s="16" t="inlineStr">
        <is>
          <t>Net debt / EBITDA: 0.3×</t>
        </is>
      </c>
    </row>
    <row r="132">
      <c r="A132" s="6" t="inlineStr">
        <is>
          <t>Revenue growth</t>
        </is>
      </c>
      <c r="B132" s="14" t="inlineStr">
        <is>
          <t>+2%</t>
        </is>
      </c>
      <c r="C132" s="14" t="inlineStr">
        <is>
          <t>Operating margin: 18%</t>
        </is>
      </c>
    </row>
    <row r="133">
      <c r="A133" s="8" t="inlineStr">
        <is>
          <t>ROE</t>
        </is>
      </c>
      <c r="B133" s="16" t="inlineStr">
        <is>
          <t>30%</t>
        </is>
      </c>
      <c r="C133" s="16" t="inlineStr">
        <is>
          <t>Shares YoY: -6%</t>
        </is>
      </c>
    </row>
    <row r="134">
      <c r="A134" s="6" t="inlineStr">
        <is>
          <t>52-week position</t>
        </is>
      </c>
      <c r="B134" s="14" t="inlineStr">
        <is>
          <t>6%</t>
        </is>
      </c>
      <c r="C134" s="14" t="inlineStr">
        <is>
          <t>Avg $ volume: $451,889,584</t>
        </is>
      </c>
    </row>
    <row r="135">
      <c r="A135" s="12" t="inlineStr">
        <is>
          <t>Appears on</t>
        </is>
      </c>
      <c r="B135" s="12" t="inlineStr">
        <is>
          <t>Strength %ile</t>
        </is>
      </c>
      <c r="C135" s="12" t="inlineStr">
        <is>
          <t>What that tab says</t>
        </is>
      </c>
    </row>
    <row r="136" ht="30" customHeight="1">
      <c r="A136" s="6" t="inlineStr">
        <is>
          <t>Most Asymmetric</t>
        </is>
      </c>
      <c r="B136" s="14" t="n"/>
      <c r="C136" s="22" t="inlineStr">
        <is>
          <t>mcap ($M): 11,657 · Spot ($): 103 · P/B: 2.43 · Why convergent: 11 layers firing | cons 6.462 · Floor: see proxy_scan + buyback_verify · Sizing: Participation 1-2%</t>
        </is>
      </c>
    </row>
    <row r="137" ht="30" customHeight="1">
      <c r="A137" s="8" t="inlineStr">
        <is>
          <t>Without Valuation</t>
        </is>
      </c>
      <c r="B137" s="16" t="n">
        <v>55</v>
      </c>
      <c r="C137" s="24" t="inlineStr">
        <is>
          <t>Layers: 7 · Consensus: 4.61 · Sector: Consumer Cyclical · Detail: PSU:1 BB:8 C10:-40 F4:11 RI:41 SS:10</t>
        </is>
      </c>
    </row>
    <row r="139" ht="18" customHeight="1">
      <c r="A139" s="12" t="inlineStr">
        <is>
          <t>GO  —  Grocery Outlet Holding Corp.</t>
        </is>
      </c>
      <c r="B139" s="12" t="n"/>
      <c r="C139" s="12" t="n"/>
    </row>
    <row r="140">
      <c r="A140" s="20" t="inlineStr">
        <is>
          <t>Consumer Defensive · US · mcap $1,120M · price 11.326</t>
        </is>
      </c>
    </row>
    <row r="141">
      <c r="A141" s="6" t="inlineStr">
        <is>
          <t>Financial read</t>
        </is>
      </c>
      <c r="B141" s="14" t="inlineStr">
        <is>
          <t>P/B 1.37 · P/S 0.2 · FCF yld -1% · net debt 159% of mcap · rev +5% · op margin 4%</t>
        </is>
      </c>
    </row>
    <row r="142">
      <c r="A142" s="8" t="inlineStr">
        <is>
          <t>P/B</t>
        </is>
      </c>
      <c r="B142" s="16" t="inlineStr">
        <is>
          <t>1.37</t>
        </is>
      </c>
      <c r="C142" s="16" t="inlineStr">
        <is>
          <t>P/E: -2.9</t>
        </is>
      </c>
    </row>
    <row r="143">
      <c r="A143" s="6" t="inlineStr">
        <is>
          <t>EV/EBITDA</t>
        </is>
      </c>
      <c r="B143" s="14" t="inlineStr">
        <is>
          <t>-12.1×</t>
        </is>
      </c>
      <c r="C143" s="14" t="inlineStr">
        <is>
          <t>FCF yield: -1%</t>
        </is>
      </c>
    </row>
    <row r="144">
      <c r="A144" s="8" t="inlineStr">
        <is>
          <t>Net cash / mcap</t>
        </is>
      </c>
      <c r="B144" s="16" t="inlineStr">
        <is>
          <t>-159%</t>
        </is>
      </c>
      <c r="C144" s="16" t="inlineStr">
        <is>
          <t>Net debt / EBITDA: -7.5×</t>
        </is>
      </c>
    </row>
    <row r="145">
      <c r="A145" s="6" t="inlineStr">
        <is>
          <t>Revenue growth</t>
        </is>
      </c>
      <c r="B145" s="14" t="inlineStr">
        <is>
          <t>+5%</t>
        </is>
      </c>
      <c r="C145" s="14" t="inlineStr">
        <is>
          <t>Operating margin: 4%</t>
        </is>
      </c>
    </row>
    <row r="146">
      <c r="A146" s="8" t="inlineStr">
        <is>
          <t>ROE</t>
        </is>
      </c>
      <c r="B146" s="16" t="inlineStr">
        <is>
          <t>-40%</t>
        </is>
      </c>
      <c r="C146" s="16" t="inlineStr">
        <is>
          <t>Shares YoY: +1%</t>
        </is>
      </c>
    </row>
    <row r="147">
      <c r="A147" s="6" t="inlineStr">
        <is>
          <t>Interest cover</t>
        </is>
      </c>
      <c r="B147" s="14" t="inlineStr">
        <is>
          <t>6.4×</t>
        </is>
      </c>
      <c r="C147" s="14" t="inlineStr">
        <is>
          <t>52-week position: 50%</t>
        </is>
      </c>
    </row>
    <row r="148">
      <c r="A148" s="8" t="inlineStr">
        <is>
          <t>Avg $ volume</t>
        </is>
      </c>
      <c r="B148" s="16" t="inlineStr">
        <is>
          <t>$31,166,366</t>
        </is>
      </c>
      <c r="C148" s="16" t="n"/>
    </row>
    <row r="149" ht="45" customHeight="1">
      <c r="A149" s="6" t="inlineStr">
        <is>
          <t>PSU plan</t>
        </is>
      </c>
      <c r="B149" s="14" t="inlineStr">
        <is>
          <t>grade A</t>
        </is>
      </c>
      <c r="C149" s="22" t="inlineStr">
        <is>
          <t>PSUs 84% of LTI · 3-yr (2023–2025) · revenue, EPS, EBITDA, stock-price hurdle (weights not stated) · payout 0–200% · paid 2023 grant: 55%  —  per-share / return / TSR metrics: EPS, stock-price hurdle; also EBITDA, revenue; 3-year performance period; payout capped at 200%; PSUs 84% of LTI; history pays below target (min 55%): rigorous goals; price hurdles up to 1.8× today's price; pay-for-performance: 2023 grant paid 55% while TSR was -65% (-151pp vs SPY) — aligned</t>
        </is>
      </c>
    </row>
    <row r="150">
      <c r="A150" s="12" t="inlineStr">
        <is>
          <t>Appears on</t>
        </is>
      </c>
      <c r="B150" s="12" t="inlineStr">
        <is>
          <t>Strength %ile</t>
        </is>
      </c>
      <c r="C150" s="12" t="inlineStr">
        <is>
          <t>What that tab says</t>
        </is>
      </c>
    </row>
    <row r="151" ht="30" customHeight="1">
      <c r="A151" s="6" t="inlineStr">
        <is>
          <t>Most Asymmetric</t>
        </is>
      </c>
      <c r="B151" s="14" t="n"/>
      <c r="C151" s="22" t="inlineStr">
        <is>
          <t>PSU plan (grade): A · 3-yr · revenue, EPS, EBITDA, stock-price hurdle · paid 5 · mcap ($M): 1,120 · Spot ($): 11.3 · P/B: 1.37 · PSU core: 69 · Why convergent: Forward $ targets + Cohen-Malloy 6-buyer cluster · Floor: Discount-grocery defensive base · Sizing: Concentrated 5%+</t>
        </is>
      </c>
    </row>
    <row r="152" ht="30" customHeight="1">
      <c r="A152" s="8" t="inlineStr">
        <is>
          <t>Caution List</t>
        </is>
      </c>
      <c r="B152" s="16" t="n">
        <v>98</v>
      </c>
      <c r="C152" s="24" t="inlineStr">
        <is>
          <t>PSU plan (grade): A · 3-yr · revenue, EPS, EBITDA, stock-price hurdle · paid 5 · Screens fired: 6 · Red flags: repricing language · Action: Concentrate (1 flag tolerable)</t>
        </is>
      </c>
    </row>
    <row r="153" ht="30" customHeight="1">
      <c r="A153" s="6" t="inlineStr">
        <is>
          <t>Insider Conviction</t>
        </is>
      </c>
      <c r="B153" s="14" t="n">
        <v>95</v>
      </c>
      <c r="C153" s="22" t="inlineStr">
        <is>
          <t>Conviction: 44 · Insiders: 6 · Cluster: 6 · Same day: 3 · C-suite: 1 · Total $M: 7.92 · Top $M: 2.82 · Configuration: same-day cluster x3; 6 insiders in 11d; C-suite buyer; $2.8M</t>
        </is>
      </c>
    </row>
    <row r="154" ht="30" customHeight="1">
      <c r="A154" s="8" t="inlineStr">
        <is>
          <t>Without Valuation</t>
        </is>
      </c>
      <c r="B154" s="16" t="n">
        <v>82</v>
      </c>
      <c r="C154" s="24" t="inlineStr">
        <is>
          <t>PSU plan (grade): A · 3-yr · revenue, EPS, EBITDA, stock-price hurdle · paid 5 · Layers: 6 · Consensus: 5.57 · Lift vs val: -2 · Sector: Consumer Defensive · Detail: PSU:50 F4:28 RI:38</t>
        </is>
      </c>
    </row>
    <row r="155" ht="30" customHeight="1">
      <c r="A155" s="6" t="inlineStr">
        <is>
          <t>Single-Measure Best</t>
        </is>
      </c>
      <c r="B155" s="14" t="n">
        <v>76</v>
      </c>
      <c r="C155" s="22" t="inlineStr">
        <is>
          <t>Detail: core 69 | cond_cats: · PSU plan (grade): A · 3-yr · revenue, EPS, EBITDA, stock-price hurdle · paid 5 · Score: 69.3 · Sector: Consumer Defensive</t>
        </is>
      </c>
    </row>
    <row r="156" ht="30" customHeight="1">
      <c r="A156" s="8" t="inlineStr">
        <is>
          <t>PSU Plans</t>
        </is>
      </c>
      <c r="B156" s="16" t="n"/>
      <c r="C156" s="24" t="inlineStr">
        <is>
          <t>Grade: A · PSU % LTI: 84 · Period: 3-yr (2023–2025) · Metrics (weight): revenue, EPS, EBITDA, stock-price hurdle (weights not stated · Payout range: 0–200% · Price hurdles: up to 1.8× price · What past cycles paid: 2023 grant: 55% · Pay vs performance: 2023 grant: paid 55% vs TSR -65% (-151pp vs SPY) — aligned · Red flags: double-trigger only; 3y vesting · Why this grade: per-share / return / TSR metrics: EPS, stock-price hurdle; a · Design (verbatim): and • Long-term equity incentives, which for Fiscal Year 202 · Proxy: https://www.sec.gov/Archives/edgar/data/1771515/000177151526</t>
        </is>
      </c>
    </row>
    <row r="158" ht="18" customHeight="1">
      <c r="A158" s="12" t="inlineStr">
        <is>
          <t>FOUR  —  Shift4 Payments, Inc.</t>
        </is>
      </c>
      <c r="B158" s="12" t="n"/>
      <c r="C158" s="12" t="n"/>
    </row>
    <row r="159">
      <c r="A159" s="20" t="inlineStr">
        <is>
          <t>Technology · US · mcap $3,516M · price 38.61</t>
        </is>
      </c>
    </row>
    <row r="160">
      <c r="A160" s="6" t="inlineStr">
        <is>
          <t>Financial read</t>
        </is>
      </c>
      <c r="B160" s="14" t="inlineStr">
        <is>
          <t>P/B 2.17 · EV/EBITDA 8.4× · FCF yld 15% · net debt 120% of mcap · rev +32% · op margin 8% · buying back 11%/yr</t>
        </is>
      </c>
    </row>
    <row r="161">
      <c r="A161" s="8" t="inlineStr">
        <is>
          <t>P/B</t>
        </is>
      </c>
      <c r="B161" s="16" t="inlineStr">
        <is>
          <t>2.17</t>
        </is>
      </c>
      <c r="C161" s="16" t="inlineStr">
        <is>
          <t>P/E: 60.9</t>
        </is>
      </c>
    </row>
    <row r="162">
      <c r="A162" s="6" t="inlineStr">
        <is>
          <t>EV/EBITDA</t>
        </is>
      </c>
      <c r="B162" s="14" t="inlineStr">
        <is>
          <t>8.4×</t>
        </is>
      </c>
      <c r="C162" s="14" t="inlineStr">
        <is>
          <t>FCF yield: 15%</t>
        </is>
      </c>
    </row>
    <row r="163">
      <c r="A163" s="8" t="inlineStr">
        <is>
          <t>Net cash / mcap</t>
        </is>
      </c>
      <c r="B163" s="16" t="inlineStr">
        <is>
          <t>-120%</t>
        </is>
      </c>
      <c r="C163" s="16" t="inlineStr">
        <is>
          <t>Net debt / EBITDA: 4.6×</t>
        </is>
      </c>
    </row>
    <row r="164">
      <c r="A164" s="6" t="inlineStr">
        <is>
          <t>Revenue growth</t>
        </is>
      </c>
      <c r="B164" s="14" t="inlineStr">
        <is>
          <t>+32%</t>
        </is>
      </c>
      <c r="C164" s="14" t="inlineStr">
        <is>
          <t>Operating margin: 8%</t>
        </is>
      </c>
    </row>
    <row r="165">
      <c r="A165" s="8" t="inlineStr">
        <is>
          <t>ROE</t>
        </is>
      </c>
      <c r="B165" s="16" t="inlineStr">
        <is>
          <t>6%</t>
        </is>
      </c>
      <c r="C165" s="16" t="inlineStr">
        <is>
          <t>Shares YoY: -11%</t>
        </is>
      </c>
    </row>
    <row r="166">
      <c r="A166" s="6" t="inlineStr">
        <is>
          <t>Interest cover</t>
        </is>
      </c>
      <c r="B166" s="14" t="inlineStr">
        <is>
          <t>1.5×</t>
        </is>
      </c>
      <c r="C166" s="14" t="inlineStr">
        <is>
          <t>52-week position: 8%</t>
        </is>
      </c>
    </row>
    <row r="167">
      <c r="A167" s="8" t="inlineStr">
        <is>
          <t>Avg $ volume</t>
        </is>
      </c>
      <c r="B167" s="16" t="inlineStr">
        <is>
          <t>$66,088,119</t>
        </is>
      </c>
      <c r="C167" s="16" t="n"/>
    </row>
    <row r="168">
      <c r="A168" s="12" t="inlineStr">
        <is>
          <t>Appears on</t>
        </is>
      </c>
      <c r="B168" s="12" t="inlineStr">
        <is>
          <t>Strength %ile</t>
        </is>
      </c>
      <c r="C168" s="12" t="inlineStr">
        <is>
          <t>What that tab says</t>
        </is>
      </c>
    </row>
    <row r="169" ht="30" customHeight="1">
      <c r="A169" s="6" t="inlineStr">
        <is>
          <t>Most Asymmetric</t>
        </is>
      </c>
      <c r="B169" s="14" t="n"/>
      <c r="C169" s="22" t="inlineStr">
        <is>
          <t>mcap ($M): 3,516 · Spot ($): 38.6 · P/B: 2.17 · PSU core: 35 · Why convergent: 10 layers firing | cons 8.576 · Floor: see proxy_scan + buyback_verify · Sizing: Concentrated 5%+</t>
        </is>
      </c>
    </row>
    <row r="170" ht="30" customHeight="1">
      <c r="A170" s="8" t="inlineStr">
        <is>
          <t>Without Valuation</t>
        </is>
      </c>
      <c r="B170" s="16" t="n">
        <v>98</v>
      </c>
      <c r="C170" s="24" t="inlineStr">
        <is>
          <t>Layers: 7 · Consensus: 6.14 · Lift vs val: 9 · Sector: Technology · Detail: PSU:28 BB:5 F4:10 RI:51</t>
        </is>
      </c>
    </row>
    <row r="172" ht="18" customHeight="1">
      <c r="A172" s="12" t="inlineStr">
        <is>
          <t>HUBS  —  HubSpot, Inc.</t>
        </is>
      </c>
      <c r="B172" s="12" t="n"/>
      <c r="C172" s="12" t="n"/>
    </row>
    <row r="173">
      <c r="A173" s="20" t="inlineStr">
        <is>
          <t>Technology · US · mcap $11,602M · price 226.52</t>
        </is>
      </c>
    </row>
    <row r="174">
      <c r="A174" s="6" t="inlineStr">
        <is>
          <t>Financial read</t>
        </is>
      </c>
      <c r="B174" s="14" t="inlineStr">
        <is>
          <t>P/B 7.00 · EV/EBITDA 38.5× · FCF yld 7% · net cash 9% of mcap · rev +21% · op margin 4% · buying back 4%/yr</t>
        </is>
      </c>
    </row>
    <row r="175">
      <c r="A175" s="8" t="inlineStr">
        <is>
          <t>P/B</t>
        </is>
      </c>
      <c r="B175" s="16" t="inlineStr">
        <is>
          <t>7.00</t>
        </is>
      </c>
      <c r="C175" s="16" t="inlineStr">
        <is>
          <t>P/E: 80.9</t>
        </is>
      </c>
    </row>
    <row r="176">
      <c r="A176" s="6" t="inlineStr">
        <is>
          <t>EV/EBITDA</t>
        </is>
      </c>
      <c r="B176" s="14" t="inlineStr">
        <is>
          <t>38.5×</t>
        </is>
      </c>
      <c r="C176" s="14" t="inlineStr">
        <is>
          <t>FCF yield: 7%</t>
        </is>
      </c>
    </row>
    <row r="177">
      <c r="A177" s="8" t="inlineStr">
        <is>
          <t>Net cash / mcap</t>
        </is>
      </c>
      <c r="B177" s="16" t="inlineStr">
        <is>
          <t>+9%</t>
        </is>
      </c>
      <c r="C177" s="16" t="inlineStr">
        <is>
          <t>Net debt / EBITDA: -2.5×</t>
        </is>
      </c>
    </row>
    <row r="178">
      <c r="A178" s="6" t="inlineStr">
        <is>
          <t>Revenue growth</t>
        </is>
      </c>
      <c r="B178" s="14" t="inlineStr">
        <is>
          <t>+21%</t>
        </is>
      </c>
      <c r="C178" s="14" t="inlineStr">
        <is>
          <t>Operating margin: 4%</t>
        </is>
      </c>
    </row>
    <row r="179">
      <c r="A179" s="8" t="inlineStr">
        <is>
          <t>ROE</t>
        </is>
      </c>
      <c r="B179" s="16" t="inlineStr">
        <is>
          <t>8%</t>
        </is>
      </c>
      <c r="C179" s="16" t="inlineStr">
        <is>
          <t>Shares YoY: -4%</t>
        </is>
      </c>
    </row>
    <row r="180">
      <c r="A180" s="6" t="inlineStr">
        <is>
          <t>Interest cover</t>
        </is>
      </c>
      <c r="B180" s="14" t="inlineStr">
        <is>
          <t>206.6×</t>
        </is>
      </c>
      <c r="C180" s="14" t="inlineStr">
        <is>
          <t>52-week position: 16%</t>
        </is>
      </c>
    </row>
    <row r="181">
      <c r="A181" s="8" t="inlineStr">
        <is>
          <t>Avg $ volume</t>
        </is>
      </c>
      <c r="B181" s="16" t="inlineStr">
        <is>
          <t>$427,096,891</t>
        </is>
      </c>
      <c r="C181" s="16" t="n"/>
    </row>
    <row r="182">
      <c r="A182" s="12" t="inlineStr">
        <is>
          <t>Appears on</t>
        </is>
      </c>
      <c r="B182" s="12" t="inlineStr">
        <is>
          <t>Strength %ile</t>
        </is>
      </c>
      <c r="C182" s="12" t="inlineStr">
        <is>
          <t>What that tab says</t>
        </is>
      </c>
    </row>
    <row r="183" ht="30" customHeight="1">
      <c r="A183" s="6" t="inlineStr">
        <is>
          <t>Most Asymmetric</t>
        </is>
      </c>
      <c r="B183" s="14" t="n"/>
      <c r="C183" s="22" t="inlineStr">
        <is>
          <t>mcap ($M): 11,602 · Spot ($): 227 · P/B: 7 · PSU core: 34 · Why convergent: 10 layers firing | cons 8.018 · Floor: see proxy_scan + buyback_verify · Sizing: Concentrated 5%+</t>
        </is>
      </c>
    </row>
    <row r="184" ht="30" customHeight="1">
      <c r="A184" s="8" t="inlineStr">
        <is>
          <t>Insider Conviction</t>
        </is>
      </c>
      <c r="B184" s="16" t="n">
        <v>89</v>
      </c>
      <c r="C184" s="24" t="inlineStr">
        <is>
          <t>Conviction: 39 · Insiders: 3 · Cluster: 3 · Same day: 3 · C-suite: 2 · Total $M: 2.59 · Top $M: 1.81 · Configuration: same-day cluster x3; 2 C-suite buyers; $1.8M top buyer</t>
        </is>
      </c>
    </row>
    <row r="185" ht="30" customHeight="1">
      <c r="A185" s="6" t="inlineStr">
        <is>
          <t>Without Valuation</t>
        </is>
      </c>
      <c r="B185" s="14" t="n">
        <v>95</v>
      </c>
      <c r="C185" s="22" t="inlineStr">
        <is>
          <t>Layers: 7 · Consensus: 6.07 · Lift vs val: 9 · Sector: Technology · Detail: PSU:25 BB:5 F4:17 RI:57</t>
        </is>
      </c>
    </row>
    <row r="187" ht="18" customHeight="1">
      <c r="A187" s="12" t="inlineStr">
        <is>
          <t>VRSK  —  Verisk Analytics, Inc.</t>
        </is>
      </c>
      <c r="B187" s="12" t="n"/>
      <c r="C187" s="12" t="n"/>
    </row>
    <row r="188">
      <c r="A188" s="20" t="inlineStr">
        <is>
          <t>Technology · US · mcap $22,408M · price 172.1613</t>
        </is>
      </c>
    </row>
    <row r="189">
      <c r="A189" s="6" t="inlineStr">
        <is>
          <t>Financial read</t>
        </is>
      </c>
      <c r="B189" s="14" t="inlineStr">
        <is>
          <t>EV/EBITDA 15.9× · FCF yld 6% · rev +5% · op margin 45% · buying back 7%/yr  [negative equity]</t>
        </is>
      </c>
    </row>
    <row r="190">
      <c r="A190" s="8" t="inlineStr">
        <is>
          <t>P/E</t>
        </is>
      </c>
      <c r="B190" s="16" t="inlineStr">
        <is>
          <t>26.3</t>
        </is>
      </c>
      <c r="C190" s="16" t="inlineStr">
        <is>
          <t>EV/EBITDA: 15.9×</t>
        </is>
      </c>
    </row>
    <row r="191">
      <c r="A191" s="6" t="inlineStr">
        <is>
          <t>FCF yield</t>
        </is>
      </c>
      <c r="B191" s="14" t="inlineStr">
        <is>
          <t>6%</t>
        </is>
      </c>
      <c r="C191" s="14" t="inlineStr">
        <is>
          <t>Net debt / EBITDA: 2.4×</t>
        </is>
      </c>
    </row>
    <row r="192">
      <c r="A192" s="8" t="inlineStr">
        <is>
          <t>Revenue growth</t>
        </is>
      </c>
      <c r="B192" s="16" t="inlineStr">
        <is>
          <t>+5%</t>
        </is>
      </c>
      <c r="C192" s="16" t="inlineStr">
        <is>
          <t>Operating margin: 45%</t>
        </is>
      </c>
    </row>
    <row r="193">
      <c r="A193" s="6" t="inlineStr">
        <is>
          <t>ROE</t>
        </is>
      </c>
      <c r="B193" s="14" t="inlineStr">
        <is>
          <t>-212%</t>
        </is>
      </c>
      <c r="C193" s="14" t="inlineStr">
        <is>
          <t>Shares YoY: -7%</t>
        </is>
      </c>
    </row>
    <row r="194">
      <c r="A194" s="8" t="inlineStr">
        <is>
          <t>Interest cover</t>
        </is>
      </c>
      <c r="B194" s="16" t="inlineStr">
        <is>
          <t>7.2×</t>
        </is>
      </c>
      <c r="C194" s="16" t="inlineStr">
        <is>
          <t>52-week position: 17%</t>
        </is>
      </c>
    </row>
    <row r="195">
      <c r="A195" s="6" t="inlineStr">
        <is>
          <t>Avg $ volume</t>
        </is>
      </c>
      <c r="B195" s="14" t="inlineStr">
        <is>
          <t>$339,128,494</t>
        </is>
      </c>
      <c r="C195" s="14" t="n"/>
    </row>
    <row r="196">
      <c r="A196" s="12" t="inlineStr">
        <is>
          <t>Appears on</t>
        </is>
      </c>
      <c r="B196" s="12" t="inlineStr">
        <is>
          <t>Strength %ile</t>
        </is>
      </c>
      <c r="C196" s="12" t="inlineStr">
        <is>
          <t>What that tab says</t>
        </is>
      </c>
    </row>
    <row r="197" ht="30" customHeight="1">
      <c r="A197" s="6" t="inlineStr">
        <is>
          <t>Most Asymmetric</t>
        </is>
      </c>
      <c r="B197" s="14" t="n"/>
      <c r="C197" s="22" t="inlineStr">
        <is>
          <t>mcap ($M): 22,408 · Spot ($): 172 · PSU core: 32 · Why convergent: 10 layers firing | cons 7.398 · Floor: see proxy_scan + buyback_verify · Sizing: Concentrated 5%+</t>
        </is>
      </c>
    </row>
    <row r="198" ht="30" customHeight="1">
      <c r="A198" s="8" t="inlineStr">
        <is>
          <t>Political Trades</t>
        </is>
      </c>
      <c r="B198" s="16" t="n"/>
      <c r="C198" s="24" t="inlineStr">
        <is>
          <t>Edge est.: -1.43 · Buys: 5 · Sells: 3 · Members: 4 · Last disclosed: 2026-09-11 · Recent trades: -21 Alan Armstrong (S, Joint) buy &lt;15k; 2026-08-06 Julie Joh</t>
        </is>
      </c>
    </row>
    <row r="199" ht="30" customHeight="1">
      <c r="A199" s="6" t="inlineStr">
        <is>
          <t>Without Valuation</t>
        </is>
      </c>
      <c r="B199" s="14" t="n">
        <v>48</v>
      </c>
      <c r="C199" s="22" t="inlineStr">
        <is>
          <t>Layers: 6 · Consensus: 4.54 · Lift vs val: -5 · Sector: Technology · Detail: PSU:32 BB:8 F4:12 RI:32</t>
        </is>
      </c>
    </row>
    <row r="201" ht="18" customHeight="1">
      <c r="A201" s="12" t="inlineStr">
        <is>
          <t>HDSN  —  Hudson Technologies, Inc.</t>
        </is>
      </c>
      <c r="B201" s="12" t="n"/>
      <c r="C201" s="12" t="n"/>
    </row>
    <row r="202">
      <c r="A202" s="20" t="inlineStr">
        <is>
          <t>Basic Materials · US · mcap $217M · price 5.159</t>
        </is>
      </c>
    </row>
    <row r="203">
      <c r="A203" s="6" t="inlineStr">
        <is>
          <t>Financial read</t>
        </is>
      </c>
      <c r="B203" s="14" t="inlineStr">
        <is>
          <t>P/B 0.89 · EV/EBITDA 8.9× · FCF yld -16% · net cash 10% of mcap · rev +14% · op margin 5% · buying back 7%/yr</t>
        </is>
      </c>
    </row>
    <row r="204">
      <c r="A204" s="8" t="inlineStr">
        <is>
          <t>P/B</t>
        </is>
      </c>
      <c r="B204" s="16" t="inlineStr">
        <is>
          <t>0.89</t>
        </is>
      </c>
      <c r="C204" s="16" t="inlineStr">
        <is>
          <t>P/E: 24.7</t>
        </is>
      </c>
    </row>
    <row r="205">
      <c r="A205" s="6" t="inlineStr">
        <is>
          <t>EV/EBITDA</t>
        </is>
      </c>
      <c r="B205" s="14" t="inlineStr">
        <is>
          <t>8.9×</t>
        </is>
      </c>
      <c r="C205" s="14" t="inlineStr">
        <is>
          <t>FCF yield: -16%</t>
        </is>
      </c>
    </row>
    <row r="206">
      <c r="A206" s="8" t="inlineStr">
        <is>
          <t>Net cash / mcap</t>
        </is>
      </c>
      <c r="B206" s="16" t="inlineStr">
        <is>
          <t>+10%</t>
        </is>
      </c>
      <c r="C206" s="16" t="inlineStr">
        <is>
          <t>Net debt / EBITDA: -1.0×</t>
        </is>
      </c>
    </row>
    <row r="207">
      <c r="A207" s="6" t="inlineStr">
        <is>
          <t>Revenue growth</t>
        </is>
      </c>
      <c r="B207" s="14" t="inlineStr">
        <is>
          <t>+14%</t>
        </is>
      </c>
      <c r="C207" s="14" t="inlineStr">
        <is>
          <t>Operating margin: 5%</t>
        </is>
      </c>
    </row>
    <row r="208">
      <c r="A208" s="8" t="inlineStr">
        <is>
          <t>ROE</t>
        </is>
      </c>
      <c r="B208" s="16" t="inlineStr">
        <is>
          <t>4%</t>
        </is>
      </c>
      <c r="C208" s="16" t="inlineStr">
        <is>
          <t>Shares YoY: -7%</t>
        </is>
      </c>
    </row>
    <row r="209">
      <c r="A209" s="6" t="inlineStr">
        <is>
          <t>Interest cover</t>
        </is>
      </c>
      <c r="B209" s="14" t="inlineStr">
        <is>
          <t>14.7×</t>
        </is>
      </c>
      <c r="C209" s="14" t="inlineStr">
        <is>
          <t>52-week position: 10%</t>
        </is>
      </c>
    </row>
    <row r="210">
      <c r="A210" s="8" t="inlineStr">
        <is>
          <t>Avg $ volume</t>
        </is>
      </c>
      <c r="B210" s="16" t="inlineStr">
        <is>
          <t>$2,902,216</t>
        </is>
      </c>
      <c r="C210" s="16" t="n"/>
    </row>
    <row r="211">
      <c r="A211" s="12" t="inlineStr">
        <is>
          <t>Appears on</t>
        </is>
      </c>
      <c r="B211" s="12" t="inlineStr">
        <is>
          <t>Strength %ile</t>
        </is>
      </c>
      <c r="C211" s="12" t="inlineStr">
        <is>
          <t>What that tab says</t>
        </is>
      </c>
    </row>
    <row r="212" ht="30" customHeight="1">
      <c r="A212" s="6" t="inlineStr">
        <is>
          <t>Most Asymmetric</t>
        </is>
      </c>
      <c r="B212" s="14" t="n"/>
      <c r="C212" s="22" t="inlineStr">
        <is>
          <t>mcap ($M): 217 · Spot ($): 5.16 · P/B: 0.89 · Why convergent: Recent F4 cluster + buyback + special-sits + recent-incentiv · Floor: Refrigerant reclaim regulatory moat · Sizing: Concentrated 5%+</t>
        </is>
      </c>
    </row>
    <row r="213" ht="30" customHeight="1">
      <c r="A213" s="8" t="inlineStr">
        <is>
          <t>Insider Filing-Time</t>
        </is>
      </c>
      <c r="B213" s="16" t="n"/>
      <c r="C213" s="24" t="inlineStr">
        <is>
          <t>Timing pts: -8 · Off-hrs $%: 0 · Mkt-hrs $%: 100 · Filings: 7 · Total $M: 0.15 · Read: price supporter (market-hours)</t>
        </is>
      </c>
    </row>
    <row r="214" ht="30" customHeight="1">
      <c r="A214" s="6" t="inlineStr">
        <is>
          <t>Without Valuation</t>
        </is>
      </c>
      <c r="B214" s="14" t="n">
        <v>75</v>
      </c>
      <c r="C214" s="22" t="inlineStr">
        <is>
          <t>Layers: 6 · Consensus: 5.02 · Lift vs val: 1 · Sector: Basic Materials · Detail: BB:5 F4:18 RI:58</t>
        </is>
      </c>
    </row>
    <row r="216" ht="18" customHeight="1">
      <c r="A216" s="12" t="inlineStr">
        <is>
          <t>GPGI  —  GPGI, Inc.</t>
        </is>
      </c>
      <c r="B216" s="12" t="n"/>
      <c r="C216" s="12" t="n"/>
    </row>
    <row r="217">
      <c r="A217" s="20" t="inlineStr">
        <is>
          <t>Industrials · US · mcap $3,522M · price 12.15</t>
        </is>
      </c>
    </row>
    <row r="218">
      <c r="A218" s="6" t="inlineStr">
        <is>
          <t>Financial read</t>
        </is>
      </c>
      <c r="B218" s="14" t="inlineStr">
        <is>
          <t>P/B 1.11 · P/S 0.0 · FCF yld 1% · net cash 0% of mcap · op margin 0%  [new entity / merger: history not comparable]</t>
        </is>
      </c>
    </row>
    <row r="219">
      <c r="A219" s="8" t="inlineStr">
        <is>
          <t>P/B</t>
        </is>
      </c>
      <c r="B219" s="16" t="inlineStr">
        <is>
          <t>1.11</t>
        </is>
      </c>
      <c r="C219" s="16" t="inlineStr">
        <is>
          <t>P/E: -6.1</t>
        </is>
      </c>
    </row>
    <row r="220">
      <c r="A220" s="6" t="inlineStr">
        <is>
          <t>EV/EBITDA</t>
        </is>
      </c>
      <c r="B220" s="14" t="inlineStr">
        <is>
          <t>-8.6×</t>
        </is>
      </c>
      <c r="C220" s="14" t="inlineStr">
        <is>
          <t>FCF yield: 1%</t>
        </is>
      </c>
    </row>
    <row r="221">
      <c r="A221" s="8" t="inlineStr">
        <is>
          <t>Net cash / mcap</t>
        </is>
      </c>
      <c r="B221" s="16" t="inlineStr">
        <is>
          <t>+0%</t>
        </is>
      </c>
      <c r="C221" s="16" t="inlineStr">
        <is>
          <t>Net debt / EBITDA: 0.0×</t>
        </is>
      </c>
    </row>
    <row r="222">
      <c r="A222" s="6" t="inlineStr">
        <is>
          <t>Operating margin</t>
        </is>
      </c>
      <c r="B222" s="14" t="inlineStr">
        <is>
          <t>0%</t>
        </is>
      </c>
      <c r="C222" s="14" t="inlineStr">
        <is>
          <t>ROE: -19%</t>
        </is>
      </c>
    </row>
    <row r="223">
      <c r="A223" s="8" t="inlineStr">
        <is>
          <t>Interest cover</t>
        </is>
      </c>
      <c r="B223" s="16" t="inlineStr">
        <is>
          <t>-48.6×</t>
        </is>
      </c>
      <c r="C223" s="16" t="inlineStr">
        <is>
          <t>52-week position: 6%</t>
        </is>
      </c>
    </row>
    <row r="224">
      <c r="A224" s="6" t="inlineStr">
        <is>
          <t>Avg $ volume</t>
        </is>
      </c>
      <c r="B224" s="14" t="inlineStr">
        <is>
          <t>$20,630,894</t>
        </is>
      </c>
      <c r="C224" s="14" t="n"/>
    </row>
    <row r="225">
      <c r="A225" s="12" t="inlineStr">
        <is>
          <t>Appears on</t>
        </is>
      </c>
      <c r="B225" s="12" t="inlineStr">
        <is>
          <t>Strength %ile</t>
        </is>
      </c>
      <c r="C225" s="12" t="inlineStr">
        <is>
          <t>What that tab says</t>
        </is>
      </c>
    </row>
    <row r="226" ht="30" customHeight="1">
      <c r="A226" s="6" t="inlineStr">
        <is>
          <t>Most Asymmetric</t>
        </is>
      </c>
      <c r="B226" s="14" t="n"/>
      <c r="C226" s="22" t="inlineStr">
        <is>
          <t>mcap ($M): 3,522 · Spot ($): 12.2 · P/B: 1.11 · PSU core: 4 · Catalyst (cond_cat): spin_separation · Why convergent: 10 layers firing | cons 7.212 · Floor: see proxy_scan + buyback_verify · Sizing: Concentrated 5%+</t>
        </is>
      </c>
    </row>
    <row r="227" ht="30" customHeight="1">
      <c r="A227" s="8" t="inlineStr">
        <is>
          <t>Insider Filing-Time</t>
        </is>
      </c>
      <c r="B227" s="16" t="n">
        <v>87</v>
      </c>
      <c r="C227" s="24" t="inlineStr">
        <is>
          <t>Timing pts: 15 · Off-hrs $%: 100 · Mkt-hrs $%: 0 · Friday: Fri-eve · Filings: 3 · Total $M: 0.2 · Read: quiet accumulator (off-hours)</t>
        </is>
      </c>
    </row>
    <row r="228" ht="30" customHeight="1">
      <c r="A228" s="6" t="inlineStr">
        <is>
          <t>Without Valuation</t>
        </is>
      </c>
      <c r="B228" s="14" t="n">
        <v>68</v>
      </c>
      <c r="C228" s="22" t="inlineStr">
        <is>
          <t>Layers: 6 · Consensus: 4.75 · Sector: Industrials · Detail: PSU:17 C10:-15 F4:12 RI:52 SS:23</t>
        </is>
      </c>
    </row>
    <row r="230" ht="18" customHeight="1">
      <c r="A230" s="12" t="inlineStr">
        <is>
          <t>APTV  —  Aptiv PLC</t>
        </is>
      </c>
      <c r="B230" s="12" t="n"/>
      <c r="C230" s="12" t="n"/>
    </row>
    <row r="231">
      <c r="A231" s="20" t="inlineStr">
        <is>
          <t>Consumer Cyclical · CH · mcap $9,527M · price 45.02</t>
        </is>
      </c>
    </row>
    <row r="232">
      <c r="A232" s="6" t="inlineStr">
        <is>
          <t>Financial read</t>
        </is>
      </c>
      <c r="B232" s="14" t="inlineStr">
        <is>
          <t>P/B 1.09 · EV/EBITDA 7.8× · FCF yld 8% · net debt 52% of mcap · rev -5% · op margin 5% · buying back 5%/yr</t>
        </is>
      </c>
    </row>
    <row r="233">
      <c r="A233" s="8" t="inlineStr">
        <is>
          <t>P/B</t>
        </is>
      </c>
      <c r="B233" s="16" t="inlineStr">
        <is>
          <t>1.09</t>
        </is>
      </c>
      <c r="C233" s="16" t="inlineStr">
        <is>
          <t>P/E: 43.1</t>
        </is>
      </c>
    </row>
    <row r="234">
      <c r="A234" s="6" t="inlineStr">
        <is>
          <t>EV/EBITDA</t>
        </is>
      </c>
      <c r="B234" s="14" t="inlineStr">
        <is>
          <t>7.8×</t>
        </is>
      </c>
      <c r="C234" s="14" t="inlineStr">
        <is>
          <t>FCF yield: 8%</t>
        </is>
      </c>
    </row>
    <row r="235">
      <c r="A235" s="8" t="inlineStr">
        <is>
          <t>Net cash / mcap</t>
        </is>
      </c>
      <c r="B235" s="16" t="inlineStr">
        <is>
          <t>-52%</t>
        </is>
      </c>
      <c r="C235" s="16" t="inlineStr">
        <is>
          <t>Net debt / EBITDA: 2.7×</t>
        </is>
      </c>
    </row>
    <row r="236">
      <c r="A236" s="6" t="inlineStr">
        <is>
          <t>Revenue growth</t>
        </is>
      </c>
      <c r="B236" s="14" t="inlineStr">
        <is>
          <t>-5%</t>
        </is>
      </c>
      <c r="C236" s="14" t="inlineStr">
        <is>
          <t>Operating margin: 5%</t>
        </is>
      </c>
    </row>
    <row r="237">
      <c r="A237" s="8" t="inlineStr">
        <is>
          <t>ROE</t>
        </is>
      </c>
      <c r="B237" s="16" t="inlineStr">
        <is>
          <t>2%</t>
        </is>
      </c>
      <c r="C237" s="16" t="inlineStr">
        <is>
          <t>Shares YoY: -5%</t>
        </is>
      </c>
    </row>
    <row r="238">
      <c r="A238" s="6" t="inlineStr">
        <is>
          <t>Interest cover</t>
        </is>
      </c>
      <c r="B238" s="14" t="inlineStr">
        <is>
          <t>3.1×</t>
        </is>
      </c>
      <c r="C238" s="14" t="inlineStr">
        <is>
          <t>52-week position: 4%</t>
        </is>
      </c>
    </row>
    <row r="239">
      <c r="A239" s="8" t="inlineStr">
        <is>
          <t>Avg $ volume</t>
        </is>
      </c>
      <c r="B239" s="16" t="inlineStr">
        <is>
          <t>$180,383,750</t>
        </is>
      </c>
      <c r="C239" s="16" t="n"/>
    </row>
    <row r="240" ht="45" customHeight="1">
      <c r="A240" s="8" t="inlineStr">
        <is>
          <t>Event 2026-08-04</t>
        </is>
      </c>
      <c r="B240" s="16" t="inlineStr">
        <is>
          <t>COMPLETED</t>
        </is>
      </c>
      <c r="C240" s="24" t="inlineStr">
        <is>
          <t>Completed separation of a business — “GAAP diluted earnings per share from continuing operations of $1.40 ◦ Adjusted net income per share of $1.63 • Completed the spin-off of Electrical Distribution Systems segment ◦ Electrical Distribution Systems segment classified as discontinued operations for all periods presented ◦ Received cash d”</t>
        </is>
      </c>
    </row>
    <row r="241" ht="45" customHeight="1">
      <c r="A241" s="8" t="inlineStr">
        <is>
          <t>Event 2026-03-20</t>
        </is>
      </c>
      <c r="B241" s="16" t="inlineStr">
        <is>
          <t>PENDING</t>
        </is>
      </c>
      <c r="C241" s="24" t="inlineStr">
        <is>
          <t>[pending] Tender offer (up to $1.70bn (18% of mcap)) — “Aptiv PLC (the “Company”) previously announced that Aptiv Swiss Holdings Limited, a Jersey incorporated private limited company (“ASH”) and a wholly-owned subsidiary of the Company, commenced a cash tender offer (the “Tender Offer”) to purchase its outstanding 3.250% Senior Notes due 2032, 5.150% Se”</t>
        </is>
      </c>
    </row>
    <row r="242">
      <c r="A242" s="12" t="inlineStr">
        <is>
          <t>Appears on</t>
        </is>
      </c>
      <c r="B242" s="12" t="inlineStr">
        <is>
          <t>Strength %ile</t>
        </is>
      </c>
      <c r="C242" s="12" t="inlineStr">
        <is>
          <t>What that tab says</t>
        </is>
      </c>
    </row>
    <row r="243" ht="30" customHeight="1">
      <c r="A243" s="6" t="inlineStr">
        <is>
          <t>Most Asymmetric</t>
        </is>
      </c>
      <c r="B243" s="14" t="n"/>
      <c r="C243" s="22" t="inlineStr">
        <is>
          <t>What's happening (8-K): [2026-08-04] Completed separation of a business | [2026-03-2 · mcap ($M): 9,527 · Spot ($): 45 · P/B: 1.09 · PSU core: 38 · Why convergent: 10 layers firing | cons 7.136 · Floor: see proxy_scan + buyback_verify · Sizing: Concentrated 5%+</t>
        </is>
      </c>
    </row>
    <row r="244" ht="30" customHeight="1">
      <c r="A244" s="8" t="inlineStr">
        <is>
          <t>Re-Rate Catalysts</t>
        </is>
      </c>
      <c r="B244" s="16" t="n">
        <v>96</v>
      </c>
      <c r="C244" s="24" t="inlineStr">
        <is>
          <t>What's happening (8-K): [2026-08-04] Completed separation of a business | [2026-03-2 · Score: 22.6 · Types: 2 · Ratio: 0.8 · Up%: 46 · Catalysts (source): Spinoff [event]; Tender Offer [event]</t>
        </is>
      </c>
    </row>
    <row r="245" ht="30" customHeight="1">
      <c r="A245" s="6" t="inlineStr">
        <is>
          <t>Without Valuation</t>
        </is>
      </c>
      <c r="B245" s="14" t="n">
        <v>15</v>
      </c>
      <c r="C245" s="22" t="inlineStr">
        <is>
          <t>Layers: 6 · Consensus: 4.09 · Lift vs val: -11 · Sector: Consumer Cyclical · Detail: PSU:36 BB:5 RI:35</t>
        </is>
      </c>
    </row>
    <row r="246" ht="30" customHeight="1">
      <c r="A246" s="8" t="inlineStr">
        <is>
          <t>Event Detail</t>
        </is>
      </c>
      <c r="B246" s="16" t="n"/>
      <c r="C246" s="24" t="inlineStr">
        <is>
          <t>Date: 2026-08-04 · Event: Spinoff · Status: COMPLETED · What is happening: Completed separation of a business · Amount: $6,300M · % mcap: 66% · Filing excerpt (verbatim): GAAP diluted earnings per share from continuing operations o · Filing: https://www.sec.gov/Archives/edgar/data/1521332/000152133226</t>
        </is>
      </c>
    </row>
    <row r="247" ht="30" customHeight="1">
      <c r="A247" s="6" t="inlineStr">
        <is>
          <t>Event Detail</t>
        </is>
      </c>
      <c r="B247" s="14" t="n"/>
      <c r="C247" s="22" t="inlineStr">
        <is>
          <t>Date: 2026-03-20 · Event: Tender Offer · Status: PENDING · What is happening: [pending] Tender offer (up to $1.70bn (18% of mcap)) · Amount: $1,700M · % mcap: 18% · Filing excerpt (verbatim): Aptiv PLC (the “Company”) previously announced that Aptiv Sw · Filing: https://www.sec.gov/Archives/edgar/data/1521332/000095010326</t>
        </is>
      </c>
    </row>
    <row r="249" ht="18" customHeight="1">
      <c r="A249" s="12" t="inlineStr">
        <is>
          <t>BLND  —  Blend Labs, Inc.</t>
        </is>
      </c>
      <c r="B249" s="12" t="n"/>
      <c r="C249" s="12" t="n"/>
    </row>
    <row r="250">
      <c r="A250" s="20" t="inlineStr">
        <is>
          <t>Technology · US · mcap $271M · price 1.12</t>
        </is>
      </c>
    </row>
    <row r="251">
      <c r="A251" s="6" t="inlineStr">
        <is>
          <t>Financial read</t>
        </is>
      </c>
      <c r="B251" s="14" t="inlineStr">
        <is>
          <t>P/B 2.86 · EV/EBITDA 42.4× · FCF yld 5% · net cash 16% of mcap · rev -10% · op margin -12% · buying back 7%/yr</t>
        </is>
      </c>
    </row>
    <row r="252">
      <c r="A252" s="8" t="inlineStr">
        <is>
          <t>P/B</t>
        </is>
      </c>
      <c r="B252" s="16" t="inlineStr">
        <is>
          <t>2.86</t>
        </is>
      </c>
      <c r="C252" s="16" t="inlineStr">
        <is>
          <t>P/E: -13.5</t>
        </is>
      </c>
    </row>
    <row r="253">
      <c r="A253" s="6" t="inlineStr">
        <is>
          <t>EV/EBITDA</t>
        </is>
      </c>
      <c r="B253" s="14" t="inlineStr">
        <is>
          <t>42.4×</t>
        </is>
      </c>
      <c r="C253" s="14" t="inlineStr">
        <is>
          <t>FCF yield: 5%</t>
        </is>
      </c>
    </row>
    <row r="254">
      <c r="A254" s="8" t="inlineStr">
        <is>
          <t>Net cash / mcap</t>
        </is>
      </c>
      <c r="B254" s="16" t="inlineStr">
        <is>
          <t>+16%</t>
        </is>
      </c>
      <c r="C254" s="16" t="inlineStr">
        <is>
          <t>Net debt / EBITDA: -3.6×</t>
        </is>
      </c>
    </row>
    <row r="255">
      <c r="A255" s="6" t="inlineStr">
        <is>
          <t>Revenue growth</t>
        </is>
      </c>
      <c r="B255" s="14" t="inlineStr">
        <is>
          <t>-10%</t>
        </is>
      </c>
      <c r="C255" s="14" t="inlineStr">
        <is>
          <t>Operating margin: -12%</t>
        </is>
      </c>
    </row>
    <row r="256">
      <c r="A256" s="8" t="inlineStr">
        <is>
          <t>ROE</t>
        </is>
      </c>
      <c r="B256" s="16" t="inlineStr">
        <is>
          <t>-1%</t>
        </is>
      </c>
      <c r="C256" s="16" t="inlineStr">
        <is>
          <t>Shares YoY: -7%</t>
        </is>
      </c>
    </row>
    <row r="257">
      <c r="A257" s="6" t="inlineStr">
        <is>
          <t>52-week position</t>
        </is>
      </c>
      <c r="B257" s="14" t="inlineStr">
        <is>
          <t>0%</t>
        </is>
      </c>
      <c r="C257" s="14" t="inlineStr">
        <is>
          <t>Avg $ volume: $3,268,908</t>
        </is>
      </c>
    </row>
    <row r="258">
      <c r="A258" s="12" t="inlineStr">
        <is>
          <t>Appears on</t>
        </is>
      </c>
      <c r="B258" s="12" t="inlineStr">
        <is>
          <t>Strength %ile</t>
        </is>
      </c>
      <c r="C258" s="12" t="inlineStr">
        <is>
          <t>What that tab says</t>
        </is>
      </c>
    </row>
    <row r="259" ht="30" customHeight="1">
      <c r="A259" s="6" t="inlineStr">
        <is>
          <t>Most Asymmetric</t>
        </is>
      </c>
      <c r="B259" s="14" t="n"/>
      <c r="C259" s="22" t="inlineStr">
        <is>
          <t>mcap ($M): 271 · Spot ($): 1.12 · P/B: 2.86 · PSU core: 15 · Why convergent: 10 layers firing | cons 6.588 · Floor: see proxy_scan + buyback_verify · Sizing: Concentrated 5%+</t>
        </is>
      </c>
    </row>
    <row r="260" ht="30" customHeight="1">
      <c r="A260" s="8" t="inlineStr">
        <is>
          <t>Without Valuation</t>
        </is>
      </c>
      <c r="B260" s="16" t="n">
        <v>65</v>
      </c>
      <c r="C260" s="24" t="inlineStr">
        <is>
          <t>Layers: 7 · Consensus: 4.74 · Lift vs val: 10 · Sector: Technology · Detail: PSU:8 BB:5 C10:-35 F4:5 RI:52 SS:20</t>
        </is>
      </c>
    </row>
    <row r="261" ht="30" customHeight="1">
      <c r="A261" s="6" t="inlineStr">
        <is>
          <t>Recent 30d</t>
        </is>
      </c>
      <c r="B261" s="14" t="n">
        <v>2</v>
      </c>
      <c r="C261" s="22" t="inlineStr">
        <is>
          <t>Score: 39 · Days: 9 · Event kind: ACTIVIST_13D · Inner: 2 · DD%: 63 · P/B: -7.3 · Reasons: event 9d ago; 2 events in 30d; DD 63% (unpriced)</t>
        </is>
      </c>
    </row>
    <row r="263" ht="18" customHeight="1">
      <c r="A263" s="12" t="inlineStr">
        <is>
          <t>CERT  —  Certara, Inc.</t>
        </is>
      </c>
      <c r="B263" s="12" t="n"/>
      <c r="C263" s="12" t="n"/>
    </row>
    <row r="264">
      <c r="A264" s="20" t="inlineStr">
        <is>
          <t>Healthcare · US · mcap $1,368M · price 8.795</t>
        </is>
      </c>
    </row>
    <row r="265">
      <c r="A265" s="6" t="inlineStr">
        <is>
          <t>Financial read</t>
        </is>
      </c>
      <c r="B265" s="14" t="inlineStr">
        <is>
          <t>P/B 1.42 · EV/EBITDA 17.5× · FCF yld 5% · net debt 8% of mcap · rev +1% · op margin 2% · buying back 4%/yr</t>
        </is>
      </c>
    </row>
    <row r="266">
      <c r="A266" s="8" t="inlineStr">
        <is>
          <t>P/B</t>
        </is>
      </c>
      <c r="B266" s="16" t="inlineStr">
        <is>
          <t>1.42</t>
        </is>
      </c>
      <c r="C266" s="16" t="inlineStr">
        <is>
          <t>P/E: -19.4</t>
        </is>
      </c>
    </row>
    <row r="267">
      <c r="A267" s="6" t="inlineStr">
        <is>
          <t>EV/EBITDA</t>
        </is>
      </c>
      <c r="B267" s="14" t="inlineStr">
        <is>
          <t>17.5×</t>
        </is>
      </c>
      <c r="C267" s="14" t="inlineStr">
        <is>
          <t>FCF yield: 5%</t>
        </is>
      </c>
    </row>
    <row r="268">
      <c r="A268" s="8" t="inlineStr">
        <is>
          <t>Net cash / mcap</t>
        </is>
      </c>
      <c r="B268" s="16" t="inlineStr">
        <is>
          <t>-8%</t>
        </is>
      </c>
      <c r="C268" s="16" t="inlineStr">
        <is>
          <t>Net debt / EBITDA: 1.3×</t>
        </is>
      </c>
    </row>
    <row r="269">
      <c r="A269" s="6" t="inlineStr">
        <is>
          <t>Revenue growth</t>
        </is>
      </c>
      <c r="B269" s="14" t="inlineStr">
        <is>
          <t>+1%</t>
        </is>
      </c>
      <c r="C269" s="14" t="inlineStr">
        <is>
          <t>Operating margin: 2%</t>
        </is>
      </c>
    </row>
    <row r="270">
      <c r="A270" s="8" t="inlineStr">
        <is>
          <t>ROE</t>
        </is>
      </c>
      <c r="B270" s="16" t="inlineStr">
        <is>
          <t>-7%</t>
        </is>
      </c>
      <c r="C270" s="16" t="inlineStr">
        <is>
          <t>Shares YoY: -4%</t>
        </is>
      </c>
    </row>
    <row r="271">
      <c r="A271" s="6" t="inlineStr">
        <is>
          <t>Interest cover</t>
        </is>
      </c>
      <c r="B271" s="14" t="inlineStr">
        <is>
          <t>0.2×</t>
        </is>
      </c>
      <c r="C271" s="14" t="inlineStr">
        <is>
          <t>52-week position: 46%</t>
        </is>
      </c>
    </row>
    <row r="272">
      <c r="A272" s="8" t="inlineStr">
        <is>
          <t>Avg $ volume</t>
        </is>
      </c>
      <c r="B272" s="16" t="inlineStr">
        <is>
          <t>$32,634,709</t>
        </is>
      </c>
      <c r="C272" s="16" t="n"/>
    </row>
    <row r="273">
      <c r="A273" s="12" t="inlineStr">
        <is>
          <t>Appears on</t>
        </is>
      </c>
      <c r="B273" s="12" t="inlineStr">
        <is>
          <t>Strength %ile</t>
        </is>
      </c>
      <c r="C273" s="12" t="inlineStr">
        <is>
          <t>What that tab says</t>
        </is>
      </c>
    </row>
    <row r="274" ht="30" customHeight="1">
      <c r="A274" s="6" t="inlineStr">
        <is>
          <t>Most Asymmetric</t>
        </is>
      </c>
      <c r="B274" s="14" t="n"/>
      <c r="C274" s="22" t="inlineStr">
        <is>
          <t>mcap ($M): 1,368 · Spot ($): 8.79 · P/B: 1.42 · PSU core: 31 · Why convergent: 10 layers firing | cons 6.438 · Floor: see proxy_scan + buyback_verify · Sizing: Concentrated 5%+</t>
        </is>
      </c>
    </row>
    <row r="275" ht="30" customHeight="1">
      <c r="A275" s="8" t="inlineStr">
        <is>
          <t>Call Intent</t>
        </is>
      </c>
      <c r="B275" s="16" t="n">
        <v>98</v>
      </c>
      <c r="C275" s="24" t="inlineStr">
        <is>
          <t>Tier: ACT SIGNALLED · Act prob: 0.65 · P/B: 1.42 · Novelty: 0.8 · Size: 8 · CEO+CFO: ✓ · Call: 2026-08-04 · New / strongest families: buyback, monetize, anticipation · Evidence (management, verbatim): [buyback] “In the third quarter, our Board approved a new $5</t>
        </is>
      </c>
    </row>
    <row r="276" ht="30" customHeight="1">
      <c r="A276" s="6" t="inlineStr">
        <is>
          <t>Without Valuation</t>
        </is>
      </c>
      <c r="B276" s="14" t="n">
        <v>2</v>
      </c>
      <c r="C276" s="22" t="inlineStr">
        <is>
          <t>Layers: 7 · Consensus: 3.77 · Lift vs val: 7 · Sector: Healthcare · Detail: PSU:29 BB:5 C10:-12 RI:43</t>
        </is>
      </c>
    </row>
    <row r="278" ht="18" customHeight="1">
      <c r="A278" s="12" t="inlineStr">
        <is>
          <t>GIII  —  G-III Apparel Group, Ltd.</t>
        </is>
      </c>
      <c r="B278" s="12" t="n"/>
      <c r="C278" s="12" t="n"/>
    </row>
    <row r="279">
      <c r="A279" s="20" t="inlineStr">
        <is>
          <t>Consumer Cyclical · US · mcap $1,171M · price 27.7511</t>
        </is>
      </c>
    </row>
    <row r="280">
      <c r="A280" s="6" t="inlineStr">
        <is>
          <t>Financial read</t>
        </is>
      </c>
      <c r="B280" s="14" t="inlineStr">
        <is>
          <t>P/B 0.65 · EV/EBITDA 4.4× · FCF yld 24% · net debt 9% of mcap · rev +1% · op margin 8% · buying back 3%/yr</t>
        </is>
      </c>
    </row>
    <row r="281">
      <c r="A281" s="8" t="inlineStr">
        <is>
          <t>P/B</t>
        </is>
      </c>
      <c r="B281" s="16" t="inlineStr">
        <is>
          <t>0.65</t>
        </is>
      </c>
      <c r="C281" s="16" t="inlineStr">
        <is>
          <t>P/E: 8.5</t>
        </is>
      </c>
    </row>
    <row r="282">
      <c r="A282" s="6" t="inlineStr">
        <is>
          <t>EV/EBITDA</t>
        </is>
      </c>
      <c r="B282" s="14" t="inlineStr">
        <is>
          <t>4.4×</t>
        </is>
      </c>
      <c r="C282" s="14" t="inlineStr">
        <is>
          <t>FCF yield: 24%</t>
        </is>
      </c>
    </row>
    <row r="283">
      <c r="A283" s="8" t="inlineStr">
        <is>
          <t>Net cash / mcap</t>
        </is>
      </c>
      <c r="B283" s="16" t="inlineStr">
        <is>
          <t>-9%</t>
        </is>
      </c>
      <c r="C283" s="16" t="inlineStr">
        <is>
          <t>Net debt / EBITDA: -0.9×</t>
        </is>
      </c>
    </row>
    <row r="284">
      <c r="A284" s="6" t="inlineStr">
        <is>
          <t>Revenue growth</t>
        </is>
      </c>
      <c r="B284" s="14" t="inlineStr">
        <is>
          <t>+1%</t>
        </is>
      </c>
      <c r="C284" s="14" t="inlineStr">
        <is>
          <t>Operating margin: 8%</t>
        </is>
      </c>
    </row>
    <row r="285">
      <c r="A285" s="8" t="inlineStr">
        <is>
          <t>ROE</t>
        </is>
      </c>
      <c r="B285" s="16" t="inlineStr">
        <is>
          <t>8%</t>
        </is>
      </c>
      <c r="C285" s="16" t="inlineStr">
        <is>
          <t>Shares YoY: -3%</t>
        </is>
      </c>
    </row>
    <row r="286">
      <c r="A286" s="6" t="inlineStr">
        <is>
          <t>Interest cover</t>
        </is>
      </c>
      <c r="B286" s="14" t="inlineStr">
        <is>
          <t>149.4×</t>
        </is>
      </c>
      <c r="C286" s="14" t="inlineStr">
        <is>
          <t>52-week position: 24%</t>
        </is>
      </c>
    </row>
    <row r="287">
      <c r="A287" s="8" t="inlineStr">
        <is>
          <t>Avg $ volume</t>
        </is>
      </c>
      <c r="B287" s="16" t="inlineStr">
        <is>
          <t>$17,590,923</t>
        </is>
      </c>
      <c r="C287" s="16" t="n"/>
    </row>
    <row r="288">
      <c r="A288" s="12" t="inlineStr">
        <is>
          <t>Appears on</t>
        </is>
      </c>
      <c r="B288" s="12" t="inlineStr">
        <is>
          <t>Strength %ile</t>
        </is>
      </c>
      <c r="C288" s="12" t="inlineStr">
        <is>
          <t>What that tab says</t>
        </is>
      </c>
    </row>
    <row r="289" ht="30" customHeight="1">
      <c r="A289" s="6" t="inlineStr">
        <is>
          <t>Most Asymmetric</t>
        </is>
      </c>
      <c r="B289" s="14" t="n"/>
      <c r="C289" s="22" t="inlineStr">
        <is>
          <t>mcap ($M): 1,171 · Spot ($): 27.8 · P/B: 0.65 · PSU core: 33 · Why convergent: 10 layers firing | cons 6.386 · Floor: see proxy_scan + buyback_verify · Sizing: Material 2-5%</t>
        </is>
      </c>
    </row>
    <row r="290" ht="30" customHeight="1">
      <c r="A290" s="8" t="inlineStr">
        <is>
          <t>Governance Discount</t>
        </is>
      </c>
      <c r="B290" s="16" t="n">
        <v>30</v>
      </c>
      <c r="C290" s="24" t="inlineStr">
        <is>
          <t>Tier: ACTION LIKELY · Score: 15.8 · P/B: 0.65 · Mcap $M: 1,171 · Net cash: 9 · Governance signals (most recent date): turnaround exec (2026-05); cic prep</t>
        </is>
      </c>
    </row>
    <row r="291" ht="30" customHeight="1">
      <c r="A291" s="6" t="inlineStr">
        <is>
          <t>Distressed Stub Progress</t>
        </is>
      </c>
      <c r="B291" s="14" t="n">
        <v>78</v>
      </c>
      <c r="C291" s="22" t="inlineStr">
        <is>
          <t>Score: 4 · Stage: 5 · Classification: real progress conditional · Event classes: stub_distribution</t>
        </is>
      </c>
    </row>
    <row r="293" ht="18" customHeight="1">
      <c r="A293" s="12" t="inlineStr">
        <is>
          <t>FISV  —  Fiserv, Inc.</t>
        </is>
      </c>
      <c r="B293" s="12" t="n"/>
      <c r="C293" s="12" t="n"/>
    </row>
    <row r="294">
      <c r="A294" s="20" t="inlineStr">
        <is>
          <t>Technology · US · mcap $24,506M · price 45.955</t>
        </is>
      </c>
    </row>
    <row r="295">
      <c r="A295" s="6" t="inlineStr">
        <is>
          <t>Financial read</t>
        </is>
      </c>
      <c r="B295" s="14" t="inlineStr">
        <is>
          <t>P/B 0.91 · EV/EBITDA 7.5× · FCF yld 16% · net debt 111% of mcap · rev -1% · op margin 21% · buying back 3%/yr</t>
        </is>
      </c>
    </row>
    <row r="296">
      <c r="A296" s="8" t="inlineStr">
        <is>
          <t>P/B</t>
        </is>
      </c>
      <c r="B296" s="16" t="inlineStr">
        <is>
          <t>0.91</t>
        </is>
      </c>
      <c r="C296" s="16" t="inlineStr">
        <is>
          <t>P/E: 8.8</t>
        </is>
      </c>
    </row>
    <row r="297">
      <c r="A297" s="6" t="inlineStr">
        <is>
          <t>EV/EBITDA</t>
        </is>
      </c>
      <c r="B297" s="14" t="inlineStr">
        <is>
          <t>7.5×</t>
        </is>
      </c>
      <c r="C297" s="14" t="inlineStr">
        <is>
          <t>FCF yield: 16%</t>
        </is>
      </c>
    </row>
    <row r="298">
      <c r="A298" s="8" t="inlineStr">
        <is>
          <t>Net cash / mcap</t>
        </is>
      </c>
      <c r="B298" s="16" t="inlineStr">
        <is>
          <t>-111%</t>
        </is>
      </c>
      <c r="C298" s="16" t="inlineStr">
        <is>
          <t>Net debt / EBITDA: 4.0×</t>
        </is>
      </c>
    </row>
    <row r="299">
      <c r="A299" s="6" t="inlineStr">
        <is>
          <t>Revenue growth</t>
        </is>
      </c>
      <c r="B299" s="14" t="inlineStr">
        <is>
          <t>-1%</t>
        </is>
      </c>
      <c r="C299" s="14" t="inlineStr">
        <is>
          <t>Operating margin: 21%</t>
        </is>
      </c>
    </row>
    <row r="300">
      <c r="A300" s="8" t="inlineStr">
        <is>
          <t>ROE</t>
        </is>
      </c>
      <c r="B300" s="16" t="inlineStr">
        <is>
          <t>11%</t>
        </is>
      </c>
      <c r="C300" s="16" t="inlineStr">
        <is>
          <t>Shares YoY: -3%</t>
        </is>
      </c>
    </row>
    <row r="301">
      <c r="A301" s="6" t="inlineStr">
        <is>
          <t>Interest cover</t>
        </is>
      </c>
      <c r="B301" s="14" t="inlineStr">
        <is>
          <t>2.9×</t>
        </is>
      </c>
      <c r="C301" s="14" t="inlineStr">
        <is>
          <t>52-week position: 0%</t>
        </is>
      </c>
    </row>
    <row r="302">
      <c r="A302" s="8" t="inlineStr">
        <is>
          <t>Avg $ volume</t>
        </is>
      </c>
      <c r="B302" s="16" t="inlineStr">
        <is>
          <t>$356,371,007</t>
        </is>
      </c>
      <c r="C302" s="16" t="n"/>
    </row>
    <row r="303">
      <c r="A303" s="12" t="inlineStr">
        <is>
          <t>Appears on</t>
        </is>
      </c>
      <c r="B303" s="12" t="inlineStr">
        <is>
          <t>Strength %ile</t>
        </is>
      </c>
      <c r="C303" s="12" t="inlineStr">
        <is>
          <t>What that tab says</t>
        </is>
      </c>
    </row>
    <row r="304" ht="30" customHeight="1">
      <c r="A304" s="6" t="inlineStr">
        <is>
          <t>Most Asymmetric</t>
        </is>
      </c>
      <c r="B304" s="14" t="n"/>
      <c r="C304" s="22" t="inlineStr">
        <is>
          <t>mcap ($M): 24,506 · Spot ($): 46 · P/B: 0.91 · PSU core: 38 · Why convergent: PSU + valuation + 10b5-1 + recent-incentive · Floor: FCF/share PSU metric anchor · Sizing: Material 2-5%</t>
        </is>
      </c>
    </row>
    <row r="305" ht="30" customHeight="1">
      <c r="A305" s="8" t="inlineStr">
        <is>
          <t>Caution List</t>
        </is>
      </c>
      <c r="B305" s="16" t="n">
        <v>32</v>
      </c>
      <c r="C305" s="24" t="inlineStr">
        <is>
          <t>Screens fired: 3 · Red flags: repricing language, retirement carveout · Action: Material — basket diversify</t>
        </is>
      </c>
    </row>
    <row r="306" ht="30" customHeight="1">
      <c r="A306" s="6" t="inlineStr">
        <is>
          <t>Turnaround Signal</t>
        </is>
      </c>
      <c r="B306" s="14" t="n">
        <v>92</v>
      </c>
      <c r="C306" s="22" t="inlineStr">
        <is>
          <t>Score: 47 · Event: NEW HIRE · Who: Takis Georgakopoulos · Role: Chief Executive Office · Date: 2026-06-15 · Salary $k: 1,300 · Grant $M: 6 · Distress: 35 · Talent: 0 · What the 8-K says (background / terms): Georgakopoulos, age 56, most recently served as Co-President</t>
        </is>
      </c>
    </row>
    <row r="308" ht="18" customHeight="1">
      <c r="A308" s="12" t="inlineStr">
        <is>
          <t>CMTL  —  Comtech Telecommunications Corp.</t>
        </is>
      </c>
      <c r="B308" s="12" t="n"/>
      <c r="C308" s="12" t="n"/>
    </row>
    <row r="309">
      <c r="A309" s="20" t="inlineStr">
        <is>
          <t>Technology · US · mcap $43M · price 1.445</t>
        </is>
      </c>
    </row>
    <row r="310">
      <c r="A310" s="6" t="inlineStr">
        <is>
          <t>Financial read</t>
        </is>
      </c>
      <c r="B310" s="14" t="inlineStr">
        <is>
          <t>P/B 0.16 · EV/EBITDA 5.7× · FCF yld 36% · net debt 515% of mcap · rev -4% · op margin 0% · interest cover 0.0× ⚠</t>
        </is>
      </c>
    </row>
    <row r="311">
      <c r="A311" s="8" t="inlineStr">
        <is>
          <t>P/B</t>
        </is>
      </c>
      <c r="B311" s="16" t="inlineStr">
        <is>
          <t>0.16</t>
        </is>
      </c>
      <c r="C311" s="16" t="inlineStr">
        <is>
          <t>P/E: -0.6</t>
        </is>
      </c>
    </row>
    <row r="312">
      <c r="A312" s="6" t="inlineStr">
        <is>
          <t>EV/EBITDA</t>
        </is>
      </c>
      <c r="B312" s="14" t="inlineStr">
        <is>
          <t>5.7×</t>
        </is>
      </c>
      <c r="C312" s="14" t="inlineStr">
        <is>
          <t>FCF yield: 36%</t>
        </is>
      </c>
    </row>
    <row r="313">
      <c r="A313" s="8" t="inlineStr">
        <is>
          <t>Net cash / mcap</t>
        </is>
      </c>
      <c r="B313" s="16" t="inlineStr">
        <is>
          <t>-515%</t>
        </is>
      </c>
      <c r="C313" s="16" t="inlineStr">
        <is>
          <t>Net debt / EBITDA: 4.8×</t>
        </is>
      </c>
    </row>
    <row r="314">
      <c r="A314" s="6" t="inlineStr">
        <is>
          <t>Revenue growth</t>
        </is>
      </c>
      <c r="B314" s="14" t="inlineStr">
        <is>
          <t>-4%</t>
        </is>
      </c>
      <c r="C314" s="14" t="inlineStr">
        <is>
          <t>Operating margin: 0%</t>
        </is>
      </c>
    </row>
    <row r="315">
      <c r="A315" s="8" t="inlineStr">
        <is>
          <t>ROE</t>
        </is>
      </c>
      <c r="B315" s="16" t="inlineStr">
        <is>
          <t>-9%</t>
        </is>
      </c>
      <c r="C315" s="16" t="inlineStr">
        <is>
          <t>Shares YoY: +2%</t>
        </is>
      </c>
    </row>
    <row r="316">
      <c r="A316" s="6" t="inlineStr">
        <is>
          <t>Interest cover</t>
        </is>
      </c>
      <c r="B316" s="14" t="inlineStr">
        <is>
          <t>0.0×</t>
        </is>
      </c>
      <c r="C316" s="14" t="inlineStr">
        <is>
          <t>52-week position: 1%</t>
        </is>
      </c>
    </row>
    <row r="317">
      <c r="A317" s="8" t="inlineStr">
        <is>
          <t>Avg $ volume</t>
        </is>
      </c>
      <c r="B317" s="16" t="inlineStr">
        <is>
          <t>$772,738</t>
        </is>
      </c>
      <c r="C317" s="16" t="n"/>
    </row>
    <row r="318">
      <c r="A318" s="12" t="inlineStr">
        <is>
          <t>Appears on</t>
        </is>
      </c>
      <c r="B318" s="12" t="inlineStr">
        <is>
          <t>Strength %ile</t>
        </is>
      </c>
      <c r="C318" s="12" t="inlineStr">
        <is>
          <t>What that tab says</t>
        </is>
      </c>
    </row>
    <row r="319" ht="30" customHeight="1">
      <c r="A319" s="6" t="inlineStr">
        <is>
          <t>MD&amp;A Intent</t>
        </is>
      </c>
      <c r="B319" s="14" t="n">
        <v>96</v>
      </c>
      <c r="C319" s="22" t="inlineStr">
        <is>
          <t>Score: 11 · Fam.: 1 · Families: value unlock · Cheap: ✓ · Small: ✓ · Key phrases: exploring strategic alternatives</t>
        </is>
      </c>
    </row>
    <row r="320" ht="30" customHeight="1">
      <c r="A320" s="8" t="inlineStr">
        <is>
          <t>Mechanism Gates</t>
        </is>
      </c>
      <c r="B320" s="16" t="n">
        <v>89</v>
      </c>
      <c r="C320" s="24" t="inlineStr">
        <is>
          <t>Score: 37.7 · Mech: 2 · Ratio: 3 · Archetypes: asset sale monetization, governance discount c</t>
        </is>
      </c>
    </row>
    <row r="321" ht="30" customHeight="1">
      <c r="A321" s="6" t="inlineStr">
        <is>
          <t>Governance Discount</t>
        </is>
      </c>
      <c r="B321" s="14" t="n">
        <v>98</v>
      </c>
      <c r="C321" s="22" t="inlineStr">
        <is>
          <t>Tier: ACTION LIKELY · Score: 38.8 · P/B: 0.16 · Mcap $M: 43.3 · Governance signals (most recent date): value committee (2025-12); turnaround exec (2026-0</t>
        </is>
      </c>
    </row>
    <row r="322" ht="30" customHeight="1">
      <c r="A322" s="8" t="inlineStr">
        <is>
          <t>Re-Rate Catalysts</t>
        </is>
      </c>
      <c r="B322" s="16" t="n">
        <v>97</v>
      </c>
      <c r="C322" s="24" t="inlineStr">
        <is>
          <t>Score: 25.5 · Types: 2 · Ratio: 60 · Up%: 300 · Catalysts (source): Asset Sale [event]; Strategic Review [narrat</t>
        </is>
      </c>
    </row>
    <row r="323" ht="30" customHeight="1">
      <c r="A323" s="6" t="inlineStr">
        <is>
          <t>Distressed Stub Progress</t>
        </is>
      </c>
      <c r="B323" s="14" t="n">
        <v>95</v>
      </c>
      <c r="C323" s="22" t="inlineStr">
        <is>
          <t>Score: 5 · Stage: 4 · Classification: real progress conditional · Event classes: asset_sale_completed, lien_release</t>
        </is>
      </c>
    </row>
    <row r="324" ht="30" customHeight="1">
      <c r="A324" s="8" t="inlineStr">
        <is>
          <t>Recent 30d</t>
        </is>
      </c>
      <c r="B324" s="16" t="n">
        <v>82</v>
      </c>
      <c r="C324" s="24" t="inlineStr">
        <is>
          <t>Score: 52 · Days: 4 · Event kind: ACTIVIST_13D · Inner: 2 · DD%: 61 · P/B: 0.676 · Reasons: event 4d ago; 2 events in 30d; DD 61% (unpriced)</t>
        </is>
      </c>
    </row>
    <row r="325" ht="30" customHeight="1">
      <c r="A325" s="6" t="inlineStr">
        <is>
          <t>Turnaround Signal</t>
        </is>
      </c>
      <c r="B325" s="14" t="n">
        <v>54</v>
      </c>
      <c r="C325" s="22" t="inlineStr">
        <is>
          <t>Score: 16 · Event: DEPARTURE · Date: 2026-06-15 · Distress: 53 · Talent: 0 · What the 8-K says (background / terms): UNITED STATES SECURITIES AND EXCHANGE COMMISSION WASHINGTON,</t>
        </is>
      </c>
    </row>
    <row r="327" ht="18" customHeight="1">
      <c r="A327" s="12" t="inlineStr">
        <is>
          <t>LW  —  Lamb Weston Holdings, Inc.</t>
        </is>
      </c>
      <c r="B327" s="12" t="n"/>
      <c r="C327" s="12" t="n"/>
    </row>
    <row r="328">
      <c r="A328" s="20" t="inlineStr">
        <is>
          <t>Consumer Defensive · US · mcap $6,225M · price 45.28</t>
        </is>
      </c>
    </row>
    <row r="329">
      <c r="A329" s="6" t="inlineStr">
        <is>
          <t>Financial read</t>
        </is>
      </c>
      <c r="B329" s="14" t="inlineStr">
        <is>
          <t>P/B 3.41 · EV/EBITDA 10.3× · FCF yld 10% · net debt 64% of mcap · rev +2% · op margin 9% · buying back 3%/yr</t>
        </is>
      </c>
    </row>
    <row r="330">
      <c r="A330" s="8" t="inlineStr">
        <is>
          <t>P/B</t>
        </is>
      </c>
      <c r="B330" s="16" t="inlineStr">
        <is>
          <t>3.41</t>
        </is>
      </c>
      <c r="C330" s="16" t="inlineStr">
        <is>
          <t>P/E: 21.6</t>
        </is>
      </c>
    </row>
    <row r="331">
      <c r="A331" s="6" t="inlineStr">
        <is>
          <t>EV/EBITDA</t>
        </is>
      </c>
      <c r="B331" s="14" t="inlineStr">
        <is>
          <t>10.3×</t>
        </is>
      </c>
      <c r="C331" s="14" t="inlineStr">
        <is>
          <t>FCF yield: 10%</t>
        </is>
      </c>
    </row>
    <row r="332">
      <c r="A332" s="8" t="inlineStr">
        <is>
          <t>Net cash / mcap</t>
        </is>
      </c>
      <c r="B332" s="16" t="inlineStr">
        <is>
          <t>-64%</t>
        </is>
      </c>
      <c r="C332" s="16" t="inlineStr">
        <is>
          <t>Net debt / EBITDA: 4.0×</t>
        </is>
      </c>
    </row>
    <row r="333">
      <c r="A333" s="6" t="inlineStr">
        <is>
          <t>Revenue growth</t>
        </is>
      </c>
      <c r="B333" s="14" t="inlineStr">
        <is>
          <t>+2%</t>
        </is>
      </c>
      <c r="C333" s="14" t="inlineStr">
        <is>
          <t>Operating margin: 9%</t>
        </is>
      </c>
    </row>
    <row r="334">
      <c r="A334" s="8" t="inlineStr">
        <is>
          <t>ROE</t>
        </is>
      </c>
      <c r="B334" s="16" t="inlineStr">
        <is>
          <t>16%</t>
        </is>
      </c>
      <c r="C334" s="16" t="inlineStr">
        <is>
          <t>Shares YoY: -3%</t>
        </is>
      </c>
    </row>
    <row r="335">
      <c r="A335" s="6" t="inlineStr">
        <is>
          <t>Interest cover</t>
        </is>
      </c>
      <c r="B335" s="14" t="inlineStr">
        <is>
          <t>3.3×</t>
        </is>
      </c>
      <c r="C335" s="14" t="inlineStr">
        <is>
          <t>52-week position: 26%</t>
        </is>
      </c>
    </row>
    <row r="336">
      <c r="A336" s="8" t="inlineStr">
        <is>
          <t>Avg $ volume</t>
        </is>
      </c>
      <c r="B336" s="16" t="inlineStr">
        <is>
          <t>$71,255,144</t>
        </is>
      </c>
      <c r="C336" s="16" t="n"/>
    </row>
    <row r="337" ht="45" customHeight="1">
      <c r="A337" s="6" t="inlineStr">
        <is>
          <t>PSU plan</t>
        </is>
      </c>
      <c r="B337" s="14" t="inlineStr">
        <is>
          <t>grade A</t>
        </is>
      </c>
      <c r="C337" s="22" t="inlineStr">
        <is>
          <t>3-yr (2026–2028) · ROIC, EBITDA, relative TSR, absolute TSR (weights not stated) · payout 0–200% · paid 2024–2026: 34%  —  per-share / return / TSR metrics: ROIC, absolute TSR, relative TSR; also EBITDA; 3-year performance period; payout capped at 200%; history pays below target (min 34%): rigorous goals; price hurdles up to 1.9× today's price; pay-for-performance: 2024–2026 paid 34% while TSR was -55% (-123pp vs SPY) — aligned</t>
        </is>
      </c>
    </row>
    <row r="338">
      <c r="A338" s="12" t="inlineStr">
        <is>
          <t>Appears on</t>
        </is>
      </c>
      <c r="B338" s="12" t="inlineStr">
        <is>
          <t>Strength %ile</t>
        </is>
      </c>
      <c r="C338" s="12" t="inlineStr">
        <is>
          <t>What that tab says</t>
        </is>
      </c>
    </row>
    <row r="339" ht="30" customHeight="1">
      <c r="A339" s="6" t="inlineStr">
        <is>
          <t>Caution List</t>
        </is>
      </c>
      <c r="B339" s="14" t="n">
        <v>76</v>
      </c>
      <c r="C339" s="22" t="inlineStr">
        <is>
          <t>PSU plan (grade): A · 3-yr · ROIC, EBITDA, relative TSR, absolute TSR · paid 3 · Screens fired: 4 · Red flags: front-loaded grant, retirement carveout · Action: Material — basket diversify</t>
        </is>
      </c>
    </row>
    <row r="340" ht="30" customHeight="1">
      <c r="A340" s="8" t="inlineStr">
        <is>
          <t>Insider Conviction</t>
        </is>
      </c>
      <c r="B340" s="16" t="n">
        <v>85</v>
      </c>
      <c r="C340" s="24" t="inlineStr">
        <is>
          <t>Conviction: 36 · Insiders: 4 · Cluster: 4 · Same day: 1 · C-suite: 1 · Total $M: 17 · Top $M: 16.1 · Configuration: 4 insiders in 21d; C-suite buyer; $16.1M top buyer</t>
        </is>
      </c>
    </row>
    <row r="341" ht="30" customHeight="1">
      <c r="A341" s="6" t="inlineStr">
        <is>
          <t>MD&amp;A Intent</t>
        </is>
      </c>
      <c r="B341" s="14" t="n">
        <v>92</v>
      </c>
      <c r="C341" s="22" t="inlineStr">
        <is>
          <t>Score: 9.5 · Fam.: 2 · Families: capital policy, strategic acti · Key phrases: return capital to shareholders; restructuring plan</t>
        </is>
      </c>
    </row>
    <row r="342" ht="30" customHeight="1">
      <c r="A342" s="8" t="inlineStr">
        <is>
          <t>Hidden Asset Realisation</t>
        </is>
      </c>
      <c r="B342" s="16" t="n">
        <v>22</v>
      </c>
      <c r="C342" s="24" t="inlineStr">
        <is>
          <t>Score: 15 · Industry: any, real_estat · Asset types: land_bank, equity_stake</t>
        </is>
      </c>
    </row>
    <row r="343" ht="30" customHeight="1">
      <c r="A343" s="6" t="inlineStr">
        <is>
          <t>Single-Measure Best</t>
        </is>
      </c>
      <c r="B343" s="14" t="n">
        <v>59</v>
      </c>
      <c r="C343" s="22" t="inlineStr">
        <is>
          <t>Detail: gov 23 | reasons: double-trigger only; post-vest holding req · PSU plan (grade): A · 3-yr · ROIC, EBITDA, relative TSR, absolute TSR · paid 3 · Score: 23 · Sector: Consumer Defensive</t>
        </is>
      </c>
    </row>
    <row r="344" ht="30" customHeight="1">
      <c r="A344" s="8" t="inlineStr">
        <is>
          <t>PSU Plans</t>
        </is>
      </c>
      <c r="B344" s="16" t="n"/>
      <c r="C344" s="24" t="inlineStr">
        <is>
          <t>Grade: A · Period: 3-yr (2026–2028) · Metrics (weight): ROIC, EBITDA, relative TSR, absolute TSR (weights not stated · Payout range: 0–200% · Price hurdles: up to 1.9× price · What past cycles paid: 2024–2026: 34% · Pay vs performance: 2024–2026: paid 34% vs TSR -55% (-123pp vs SPY) — aligned · Red flags: double-trigger only; post-vest holding requirement; 5y vesti · Why this grade: per-share / return / TSR metrics: ROIC, absolute TSR, relati · Design (verbatim): ◦ In response to shareholder feedback and to enhance focus o · Proxy: https://www.sec.gov/Archives/edgar/data/1679273/000167927326</t>
        </is>
      </c>
    </row>
    <row r="346" ht="18" customHeight="1">
      <c r="A346" s="12" t="inlineStr">
        <is>
          <t>LAB  —  Standard BioTools Inc.</t>
        </is>
      </c>
      <c r="B346" s="12" t="n"/>
      <c r="C346" s="12" t="n"/>
    </row>
    <row r="347">
      <c r="A347" s="20" t="inlineStr">
        <is>
          <t>Healthcare · US · mcap $286M · price 0.7313</t>
        </is>
      </c>
    </row>
    <row r="348">
      <c r="A348" s="6" t="inlineStr">
        <is>
          <t>Financial read</t>
        </is>
      </c>
      <c r="B348" s="14" t="inlineStr">
        <is>
          <t>P/B 0.53 · P/S 3.4 · FCF yld -29% · net cash 157% of mcap · rev -37% · op margin -95% · diluting 3%/yr</t>
        </is>
      </c>
    </row>
    <row r="349">
      <c r="A349" s="8" t="inlineStr">
        <is>
          <t>P/B</t>
        </is>
      </c>
      <c r="B349" s="16" t="inlineStr">
        <is>
          <t>0.53</t>
        </is>
      </c>
      <c r="C349" s="16" t="inlineStr">
        <is>
          <t>P/E: -3.2</t>
        </is>
      </c>
    </row>
    <row r="350">
      <c r="A350" s="6" t="inlineStr">
        <is>
          <t>EV/EBITDA</t>
        </is>
      </c>
      <c r="B350" s="14" t="inlineStr">
        <is>
          <t>-0.5×</t>
        </is>
      </c>
      <c r="C350" s="14" t="inlineStr">
        <is>
          <t>FCF yield: -29%</t>
        </is>
      </c>
    </row>
    <row r="351">
      <c r="A351" s="8" t="inlineStr">
        <is>
          <t>Net cash / mcap</t>
        </is>
      </c>
      <c r="B351" s="16" t="inlineStr">
        <is>
          <t>+157%</t>
        </is>
      </c>
      <c r="C351" s="16" t="inlineStr">
        <is>
          <t>Net debt / EBITDA: 2.6×</t>
        </is>
      </c>
    </row>
    <row r="352">
      <c r="A352" s="6" t="inlineStr">
        <is>
          <t>Revenue growth</t>
        </is>
      </c>
      <c r="B352" s="14" t="inlineStr">
        <is>
          <t>-37%</t>
        </is>
      </c>
      <c r="C352" s="14" t="inlineStr">
        <is>
          <t>Operating margin: -95%</t>
        </is>
      </c>
    </row>
    <row r="353">
      <c r="A353" s="8" t="inlineStr">
        <is>
          <t>ROE</t>
        </is>
      </c>
      <c r="B353" s="16" t="inlineStr">
        <is>
          <t>-18%</t>
        </is>
      </c>
      <c r="C353" s="16" t="inlineStr">
        <is>
          <t>Shares YoY: +3%</t>
        </is>
      </c>
    </row>
    <row r="354">
      <c r="A354" s="6" t="inlineStr">
        <is>
          <t>Interest cover</t>
        </is>
      </c>
      <c r="B354" s="14" t="inlineStr">
        <is>
          <t>-5346.3×</t>
        </is>
      </c>
      <c r="C354" s="14" t="inlineStr">
        <is>
          <t>52-week position: 9%</t>
        </is>
      </c>
    </row>
    <row r="355">
      <c r="A355" s="8" t="inlineStr">
        <is>
          <t>Avg $ volume</t>
        </is>
      </c>
      <c r="B355" s="16" t="inlineStr">
        <is>
          <t>$2,097,776</t>
        </is>
      </c>
      <c r="C355" s="16" t="n"/>
    </row>
    <row r="356">
      <c r="A356" s="12" t="inlineStr">
        <is>
          <t>Appears on</t>
        </is>
      </c>
      <c r="B356" s="12" t="inlineStr">
        <is>
          <t>Strength %ile</t>
        </is>
      </c>
      <c r="C356" s="12" t="inlineStr">
        <is>
          <t>What that tab says</t>
        </is>
      </c>
    </row>
    <row r="357" ht="30" customHeight="1">
      <c r="A357" s="6" t="inlineStr">
        <is>
          <t>Payoff Geometry</t>
        </is>
      </c>
      <c r="B357" s="14" t="n">
        <v>99</v>
      </c>
      <c r="C357" s="22" t="inlineStr">
        <is>
          <t>Score: 33.8 · Ratio: 38.7 · Upside%: 194 · Down%: 0 · Floor: NCAV · Runway y: 4.8 · Sector: Healthcare</t>
        </is>
      </c>
    </row>
    <row r="358" ht="30" customHeight="1">
      <c r="A358" s="8" t="inlineStr">
        <is>
          <t>Mechanism Gates</t>
        </is>
      </c>
      <c r="B358" s="16" t="n">
        <v>97</v>
      </c>
      <c r="C358" s="24" t="inlineStr">
        <is>
          <t>Score: 42 · Mech: 2 · Ratio: 38.7 · Archetypes: asset sale monetization, governance discount c</t>
        </is>
      </c>
    </row>
    <row r="359" ht="30" customHeight="1">
      <c r="A359" s="6" t="inlineStr">
        <is>
          <t>Governance Discount</t>
        </is>
      </c>
      <c r="B359" s="14" t="n">
        <v>70</v>
      </c>
      <c r="C359" s="22" t="inlineStr">
        <is>
          <t>Tier: BUILDING · Score: 23 · P/B: 0.53 · Mcap $M: 286 · Net cash: 83 · Governance signals (most recent date): asset sale (2026-08); mda unlock (2026-08)</t>
        </is>
      </c>
    </row>
    <row r="360" ht="30" customHeight="1">
      <c r="A360" s="8" t="inlineStr">
        <is>
          <t>Re-Rate Catalysts</t>
        </is>
      </c>
      <c r="B360" s="16" t="n">
        <v>95</v>
      </c>
      <c r="C360" s="24" t="inlineStr">
        <is>
          <t>Score: 19.6 · Types: 1 · Ratio: 37.1 · Up%: 186 · Catalysts (source): Asset Sale [event/narrative]</t>
        </is>
      </c>
    </row>
    <row r="361" ht="30" customHeight="1">
      <c r="A361" s="6" t="inlineStr">
        <is>
          <t>Tail Odds</t>
        </is>
      </c>
      <c r="B361" s="14" t="n">
        <v>97</v>
      </c>
      <c r="C361" s="22" t="inlineStr">
        <is>
          <t>Conf. tail p: 26 · Drift since: NEUTRAL · Months: 37.1 · Catalysts: catalyst=ASSET_SALE, sector=Healthcare</t>
        </is>
      </c>
    </row>
    <row r="362" ht="30" customHeight="1">
      <c r="A362" s="8" t="inlineStr">
        <is>
          <t>Recent 30d</t>
        </is>
      </c>
      <c r="B362" s="16" t="n">
        <v>65</v>
      </c>
      <c r="C362" s="24" t="inlineStr">
        <is>
          <t>Score: 48 · Days: 12 · Event kind: ACTIVIST_13D · Inner: 2 · DD%: 52 · P/B: 0.577 · Reasons: event 12d ago; 2 events in 30d; DD 52%; only 5% above 52w lo</t>
        </is>
      </c>
    </row>
    <row r="364" ht="18" customHeight="1">
      <c r="A364" s="12" t="inlineStr">
        <is>
          <t>LE  —  Lands' End, Inc.</t>
        </is>
      </c>
      <c r="B364" s="12" t="n"/>
      <c r="C364" s="12" t="n"/>
    </row>
    <row r="365">
      <c r="A365" s="20" t="inlineStr">
        <is>
          <t>Consumer Cyclical · US · mcap $318M · price 10.35</t>
        </is>
      </c>
    </row>
    <row r="366">
      <c r="A366" s="6" t="inlineStr">
        <is>
          <t>Financial read</t>
        </is>
      </c>
      <c r="B366" s="14" t="inlineStr">
        <is>
          <t>P/B 0.65 · EV/EBITDA 0.7× · FCF yld -23% · net debt 19% of mcap · rev +0% · op margin 2% · buying back 2%/yr · interest cover 0.8× ⚠</t>
        </is>
      </c>
    </row>
    <row r="367">
      <c r="A367" s="8" t="inlineStr">
        <is>
          <t>P/B</t>
        </is>
      </c>
      <c r="B367" s="16" t="inlineStr">
        <is>
          <t>0.65</t>
        </is>
      </c>
      <c r="C367" s="16" t="inlineStr">
        <is>
          <t>P/E: 0.9</t>
        </is>
      </c>
    </row>
    <row r="368">
      <c r="A368" s="6" t="inlineStr">
        <is>
          <t>EV/EBITDA</t>
        </is>
      </c>
      <c r="B368" s="14" t="inlineStr">
        <is>
          <t>0.7×</t>
        </is>
      </c>
      <c r="C368" s="14" t="inlineStr">
        <is>
          <t>FCF yield: -23%</t>
        </is>
      </c>
    </row>
    <row r="369">
      <c r="A369" s="8" t="inlineStr">
        <is>
          <t>Net cash / mcap</t>
        </is>
      </c>
      <c r="B369" s="16" t="inlineStr">
        <is>
          <t>-19%</t>
        </is>
      </c>
      <c r="C369" s="16" t="inlineStr">
        <is>
          <t>Net debt / EBITDA: 0.1×</t>
        </is>
      </c>
    </row>
    <row r="370">
      <c r="A370" s="6" t="inlineStr">
        <is>
          <t>Revenue growth</t>
        </is>
      </c>
      <c r="B370" s="14" t="inlineStr">
        <is>
          <t>+0%</t>
        </is>
      </c>
      <c r="C370" s="14" t="inlineStr">
        <is>
          <t>Operating margin: 2%</t>
        </is>
      </c>
    </row>
    <row r="371">
      <c r="A371" s="8" t="inlineStr">
        <is>
          <t>ROE</t>
        </is>
      </c>
      <c r="B371" s="16" t="inlineStr">
        <is>
          <t>96%</t>
        </is>
      </c>
      <c r="C371" s="16" t="inlineStr">
        <is>
          <t>Shares YoY: -2%</t>
        </is>
      </c>
    </row>
    <row r="372">
      <c r="A372" s="6" t="inlineStr">
        <is>
          <t>Interest cover</t>
        </is>
      </c>
      <c r="B372" s="14" t="inlineStr">
        <is>
          <t>0.8×</t>
        </is>
      </c>
      <c r="C372" s="14" t="inlineStr">
        <is>
          <t>52-week position: 8%</t>
        </is>
      </c>
    </row>
    <row r="373">
      <c r="A373" s="8" t="inlineStr">
        <is>
          <t>Avg $ volume</t>
        </is>
      </c>
      <c r="B373" s="16" t="inlineStr">
        <is>
          <t>$2,516,675</t>
        </is>
      </c>
      <c r="C373" s="16" t="n"/>
    </row>
    <row r="374">
      <c r="A374" s="12" t="inlineStr">
        <is>
          <t>Appears on</t>
        </is>
      </c>
      <c r="B374" s="12" t="inlineStr">
        <is>
          <t>Strength %ile</t>
        </is>
      </c>
      <c r="C374" s="12" t="inlineStr">
        <is>
          <t>What that tab says</t>
        </is>
      </c>
    </row>
    <row r="375" ht="30" customHeight="1">
      <c r="A375" s="6" t="inlineStr">
        <is>
          <t>Caution List</t>
        </is>
      </c>
      <c r="B375" s="14" t="n">
        <v>76</v>
      </c>
      <c r="C375" s="22" t="inlineStr">
        <is>
          <t>Screens fired: 4 · Red flags: retirement carveout · Action: Concentrate (1 flag tolerable)</t>
        </is>
      </c>
    </row>
    <row r="376" ht="30" customHeight="1">
      <c r="A376" s="8" t="inlineStr">
        <is>
          <t>MD&amp;A Intent</t>
        </is>
      </c>
      <c r="B376" s="16" t="n">
        <v>97</v>
      </c>
      <c r="C376" s="24" t="inlineStr">
        <is>
          <t>Score: 11.5 · Fam.: 1 · Families: value unlock · Cheap: ✓ · Small: ✓ · Key phrases: exploring strategic alternatives; maximize shareholder value</t>
        </is>
      </c>
    </row>
    <row r="377" ht="30" customHeight="1">
      <c r="A377" s="6" t="inlineStr">
        <is>
          <t>Mechanism Gates</t>
        </is>
      </c>
      <c r="B377" s="14" t="n">
        <v>87</v>
      </c>
      <c r="C377" s="22" t="inlineStr">
        <is>
          <t>Score: 36.3 · Mech: 2 · Ratio: 4.7 · Archetypes: tender offer squeeze, governance discount cata</t>
        </is>
      </c>
    </row>
    <row r="378" ht="30" customHeight="1">
      <c r="A378" s="8" t="inlineStr">
        <is>
          <t>Governance Discount</t>
        </is>
      </c>
      <c r="B378" s="16" t="n">
        <v>83</v>
      </c>
      <c r="C378" s="24" t="inlineStr">
        <is>
          <t>Tier: ACTION LIKELY · Score: 26.4 · P/B: 0.65 · Mcap $M: 318 · Governance signals (most recent date): tender offer (2026-03); mda unlock (2026-03); call</t>
        </is>
      </c>
    </row>
    <row r="379" ht="30" customHeight="1">
      <c r="A379" s="6" t="inlineStr">
        <is>
          <t>Re-Rate Catalysts</t>
        </is>
      </c>
      <c r="B379" s="14" t="n">
        <v>98</v>
      </c>
      <c r="C379" s="22" t="inlineStr">
        <is>
          <t>Score: 28.7 · Types: 3 · Ratio: 9.2 · Up%: 182 · Catalysts (source): Sale Of Company [tender]; Strategic Review [</t>
        </is>
      </c>
    </row>
    <row r="381" ht="18" customHeight="1">
      <c r="A381" s="12" t="inlineStr">
        <is>
          <t>DXLG  —  Destination XL Group, Inc.</t>
        </is>
      </c>
      <c r="B381" s="12" t="n"/>
      <c r="C381" s="12" t="n"/>
    </row>
    <row r="382">
      <c r="A382" s="20" t="inlineStr">
        <is>
          <t>Consumer Cyclical · US · mcap $33M · price 0.6005</t>
        </is>
      </c>
    </row>
    <row r="383">
      <c r="A383" s="6" t="inlineStr">
        <is>
          <t>Financial read</t>
        </is>
      </c>
      <c r="B383" s="14" t="inlineStr">
        <is>
          <t>P/B 0.32 · P/S 0.1 · FCF yld -39% · net debt 562% of mcap · rev -4% · op margin -3% · diluting 5%/yr</t>
        </is>
      </c>
    </row>
    <row r="384">
      <c r="A384" s="8" t="inlineStr">
        <is>
          <t>P/B</t>
        </is>
      </c>
      <c r="B384" s="16" t="inlineStr">
        <is>
          <t>0.32</t>
        </is>
      </c>
      <c r="C384" s="16" t="inlineStr">
        <is>
          <t>P/E: -0.9</t>
        </is>
      </c>
    </row>
    <row r="385">
      <c r="A385" s="6" t="inlineStr">
        <is>
          <t>EV/EBITDA</t>
        </is>
      </c>
      <c r="B385" s="14" t="inlineStr">
        <is>
          <t>-153.1×</t>
        </is>
      </c>
      <c r="C385" s="14" t="inlineStr">
        <is>
          <t>FCF yield: -39%</t>
        </is>
      </c>
    </row>
    <row r="386">
      <c r="A386" s="8" t="inlineStr">
        <is>
          <t>Net cash / mcap</t>
        </is>
      </c>
      <c r="B386" s="16" t="inlineStr">
        <is>
          <t>-562%</t>
        </is>
      </c>
      <c r="C386" s="16" t="inlineStr">
        <is>
          <t>Net debt / EBITDA: -130.8×</t>
        </is>
      </c>
    </row>
    <row r="387">
      <c r="A387" s="6" t="inlineStr">
        <is>
          <t>Revenue growth</t>
        </is>
      </c>
      <c r="B387" s="14" t="inlineStr">
        <is>
          <t>-4%</t>
        </is>
      </c>
      <c r="C387" s="14" t="inlineStr">
        <is>
          <t>Operating margin: -3%</t>
        </is>
      </c>
    </row>
    <row r="388">
      <c r="A388" s="8" t="inlineStr">
        <is>
          <t>ROE</t>
        </is>
      </c>
      <c r="B388" s="16" t="inlineStr">
        <is>
          <t>-33%</t>
        </is>
      </c>
      <c r="C388" s="16" t="inlineStr">
        <is>
          <t>Shares YoY: +5%</t>
        </is>
      </c>
    </row>
    <row r="389">
      <c r="A389" s="6" t="inlineStr">
        <is>
          <t>52-week position</t>
        </is>
      </c>
      <c r="B389" s="14" t="inlineStr">
        <is>
          <t>14%</t>
        </is>
      </c>
      <c r="C389" s="14" t="inlineStr">
        <is>
          <t>Avg $ volume: $56,930</t>
        </is>
      </c>
    </row>
    <row r="390">
      <c r="A390" s="12" t="inlineStr">
        <is>
          <t>Appears on</t>
        </is>
      </c>
      <c r="B390" s="12" t="inlineStr">
        <is>
          <t>Strength %ile</t>
        </is>
      </c>
      <c r="C390" s="12" t="inlineStr">
        <is>
          <t>What that tab says</t>
        </is>
      </c>
    </row>
    <row r="391" ht="30" customHeight="1">
      <c r="A391" s="6" t="inlineStr">
        <is>
          <t>Caution List</t>
        </is>
      </c>
      <c r="B391" s="14" t="n">
        <v>32</v>
      </c>
      <c r="C391" s="22" t="inlineStr">
        <is>
          <t>Screens fired: 3 · Red flags: retirement carveout · Action: Concentrate (1 flag tolerable)</t>
        </is>
      </c>
    </row>
    <row r="392" ht="30" customHeight="1">
      <c r="A392" s="8" t="inlineStr">
        <is>
          <t>Mechanism Gates</t>
        </is>
      </c>
      <c r="B392" s="16" t="n">
        <v>86</v>
      </c>
      <c r="C392" s="24" t="inlineStr">
        <is>
          <t>Score: 35.7 · Mech: 2 · Ratio: 3 · Archetypes: tender offer squeeze, governance discount cata</t>
        </is>
      </c>
    </row>
    <row r="393" ht="30" customHeight="1">
      <c r="A393" s="6" t="inlineStr">
        <is>
          <t>Governance Discount</t>
        </is>
      </c>
      <c r="B393" s="14" t="n">
        <v>70</v>
      </c>
      <c r="C393" s="22" t="inlineStr">
        <is>
          <t>Tier: ACTION LIKELY · Score: 23 · P/B: 0.32 · Mcap $M: 33.2 · Governance signals (most recent date): tender offer (2026-05); mda capital (2026-09)</t>
        </is>
      </c>
    </row>
    <row r="394" ht="30" customHeight="1">
      <c r="A394" s="8" t="inlineStr">
        <is>
          <t>Re-Rate Catalysts</t>
        </is>
      </c>
      <c r="B394" s="16" t="n">
        <v>100</v>
      </c>
      <c r="C394" s="24" t="inlineStr">
        <is>
          <t>Score: 36 · Types: 2 · Ratio: 60 · Up%: 300 · Catalysts (source): Sale Of Company [event/tender]; Tender Offer</t>
        </is>
      </c>
    </row>
    <row r="395" ht="30" customHeight="1">
      <c r="A395" s="6" t="inlineStr">
        <is>
          <t>Tail Odds</t>
        </is>
      </c>
      <c r="B395" s="14" t="n">
        <v>99</v>
      </c>
      <c r="C395" s="22" t="inlineStr">
        <is>
          <t>Conf. tail p: 29 · Drift since: NEUTRAL · Months: 60 · Catalysts: catalyst=SALE_OF_COMPANY, sector=Consu</t>
        </is>
      </c>
    </row>
    <row r="397" ht="18" customHeight="1">
      <c r="A397" s="12" t="inlineStr">
        <is>
          <t>POOL  —  Pool Corporation</t>
        </is>
      </c>
      <c r="B397" s="12" t="n"/>
      <c r="C397" s="12" t="n"/>
    </row>
    <row r="398">
      <c r="A398" s="20" t="inlineStr">
        <is>
          <t>Industrials · US · mcap $6,104M · price 167.5004</t>
        </is>
      </c>
    </row>
    <row r="399">
      <c r="A399" s="6" t="inlineStr">
        <is>
          <t>Financial read</t>
        </is>
      </c>
      <c r="B399" s="14" t="inlineStr">
        <is>
          <t>P/B 4.84 · EV/EBITDA 12.8× · FCF yld 10% · net debt 27% of mcap · rev +2% · op margin 11% · buying back 3%/yr</t>
        </is>
      </c>
    </row>
    <row r="400">
      <c r="A400" s="8" t="inlineStr">
        <is>
          <t>P/B</t>
        </is>
      </c>
      <c r="B400" s="16" t="inlineStr">
        <is>
          <t>4.84</t>
        </is>
      </c>
      <c r="C400" s="16" t="inlineStr">
        <is>
          <t>P/E: 15.3</t>
        </is>
      </c>
    </row>
    <row r="401">
      <c r="A401" s="6" t="inlineStr">
        <is>
          <t>EV/EBITDA</t>
        </is>
      </c>
      <c r="B401" s="14" t="inlineStr">
        <is>
          <t>12.8×</t>
        </is>
      </c>
      <c r="C401" s="14" t="inlineStr">
        <is>
          <t>FCF yield: 10%</t>
        </is>
      </c>
    </row>
    <row r="402">
      <c r="A402" s="8" t="inlineStr">
        <is>
          <t>Net cash / mcap</t>
        </is>
      </c>
      <c r="B402" s="16" t="inlineStr">
        <is>
          <t>-27%</t>
        </is>
      </c>
      <c r="C402" s="16" t="inlineStr">
        <is>
          <t>Net debt / EBITDA: 2.8×</t>
        </is>
      </c>
    </row>
    <row r="403">
      <c r="A403" s="6" t="inlineStr">
        <is>
          <t>Revenue growth</t>
        </is>
      </c>
      <c r="B403" s="14" t="inlineStr">
        <is>
          <t>+2%</t>
        </is>
      </c>
      <c r="C403" s="14" t="inlineStr">
        <is>
          <t>Operating margin: 11%</t>
        </is>
      </c>
    </row>
    <row r="404">
      <c r="A404" s="8" t="inlineStr">
        <is>
          <t>ROE</t>
        </is>
      </c>
      <c r="B404" s="16" t="inlineStr">
        <is>
          <t>32%</t>
        </is>
      </c>
      <c r="C404" s="16" t="inlineStr">
        <is>
          <t>Shares YoY: -3%</t>
        </is>
      </c>
    </row>
    <row r="405">
      <c r="A405" s="6" t="inlineStr">
        <is>
          <t>Interest cover</t>
        </is>
      </c>
      <c r="B405" s="14" t="inlineStr">
        <is>
          <t>11.6×</t>
        </is>
      </c>
      <c r="C405" s="14" t="inlineStr">
        <is>
          <t>52-week position: 2%</t>
        </is>
      </c>
    </row>
    <row r="406">
      <c r="A406" s="8" t="inlineStr">
        <is>
          <t>Avg $ volume</t>
        </is>
      </c>
      <c r="B406" s="16" t="inlineStr">
        <is>
          <t>$149,783,715</t>
        </is>
      </c>
      <c r="C406" s="16" t="n"/>
    </row>
    <row r="407" ht="45" customHeight="1">
      <c r="A407" s="6" t="inlineStr">
        <is>
          <t>PSU plan</t>
        </is>
      </c>
      <c r="B407" s="14" t="inlineStr">
        <is>
          <t>grade B</t>
        </is>
      </c>
      <c r="C407" s="22" t="inlineStr">
        <is>
          <t>3-yr · EPS, ROIC (weights not stated) · payout 0–200% · paid 2019–2022: 93%  —  per-share / return / TSR metrics: EPS, ROIC; 3-year performance period; payout capped at 200%; history avg 93% of target; pay-for-performance: 2019–2022 paid 93% while TSR was +115% (+52pp vs SPY) — mixed</t>
        </is>
      </c>
    </row>
    <row r="408">
      <c r="A408" s="12" t="inlineStr">
        <is>
          <t>Appears on</t>
        </is>
      </c>
      <c r="B408" s="12" t="inlineStr">
        <is>
          <t>Strength %ile</t>
        </is>
      </c>
      <c r="C408" s="12" t="inlineStr">
        <is>
          <t>What that tab says</t>
        </is>
      </c>
    </row>
    <row r="409" ht="30" customHeight="1">
      <c r="A409" s="6" t="inlineStr">
        <is>
          <t>Caution List</t>
        </is>
      </c>
      <c r="B409" s="14" t="n">
        <v>32</v>
      </c>
      <c r="C409" s="22" t="inlineStr">
        <is>
          <t>PSU plan (grade): B · 3-yr · EPS, ROIC · paid 93% · Screens fired: 3 · Red flags: retirement carveout · Action: Concentrate (1 flag tolerable)</t>
        </is>
      </c>
    </row>
    <row r="410" ht="30" customHeight="1">
      <c r="A410" s="8" t="inlineStr">
        <is>
          <t>Insider Conviction</t>
        </is>
      </c>
      <c r="B410" s="16" t="n">
        <v>95</v>
      </c>
      <c r="C410" s="24" t="inlineStr">
        <is>
          <t xml:space="preserve">Conviction: 44 · Insiders: 5 · Cluster: 4 · Same day: 3 · C-suite: 1 · Total $M: 7.67 · Top $M: 5.77 · Configuration: same-day cluster x3; 4 insiders in 4d; C-suite buyer; $5.8M </t>
        </is>
      </c>
    </row>
    <row r="411" ht="30" customHeight="1">
      <c r="A411" s="6" t="inlineStr">
        <is>
          <t>Without Valuation</t>
        </is>
      </c>
      <c r="B411" s="14" t="n">
        <v>45</v>
      </c>
      <c r="C411" s="22" t="inlineStr">
        <is>
          <t>PSU plan (grade): B · 3-yr · EPS, ROIC · paid 93% · Layers: 7 · Consensus: 4.52 · Lift vs val: 26 · Sector: Industrials · Detail: PSU:25 BB:5 F4:28 RI:60</t>
        </is>
      </c>
    </row>
    <row r="412" ht="30" customHeight="1">
      <c r="A412" s="8" t="inlineStr">
        <is>
          <t>PSU Plans</t>
        </is>
      </c>
      <c r="B412" s="16" t="n"/>
      <c r="C412" s="24" t="inlineStr">
        <is>
          <t>Grade: B · Period: 3-yr · Metrics (weight): EPS, ROIC (weights not stated) · Payout range: 0–200% · What past cycles paid: 2019–2022: 93% · Pay vs performance: 2019–2022: paid 93% vs TSR +115% (+52pp vs SPY) — mixed · Red flags: double-trigger only; 3y vesting · Why this grade: per-share / return / TSR metrics: EPS, ROIC; 3-year performa · Design (verbatim): • For the 2025 performance-based awards, the Committee estab · Proxy: https://www.sec.gov/Archives/edgar/data/945841/0000945841260</t>
        </is>
      </c>
    </row>
    <row r="414" ht="18" customHeight="1">
      <c r="A414" s="12" t="inlineStr">
        <is>
          <t>HAIN  —  The Hain Celestial Group, Inc.</t>
        </is>
      </c>
      <c r="B414" s="12" t="n"/>
      <c r="C414" s="12" t="n"/>
    </row>
    <row r="415">
      <c r="A415" s="20" t="inlineStr">
        <is>
          <t>Consumer Defensive · US · mcap $50M · price 0.5501</t>
        </is>
      </c>
    </row>
    <row r="416">
      <c r="A416" s="6" t="inlineStr">
        <is>
          <t>Financial read</t>
        </is>
      </c>
      <c r="B416" s="14" t="inlineStr">
        <is>
          <t>P/B 0.23 · P/S 0.0 · net debt 1111% of mcap · rev -9% · op margin 2% · interest cover 0.5× ⚠  [FCF yield &gt;100% (check)]</t>
        </is>
      </c>
    </row>
    <row r="417">
      <c r="A417" s="8" t="inlineStr">
        <is>
          <t>P/B</t>
        </is>
      </c>
      <c r="B417" s="16" t="inlineStr">
        <is>
          <t>0.23</t>
        </is>
      </c>
      <c r="C417" s="16" t="inlineStr">
        <is>
          <t>P/E: -0.2</t>
        </is>
      </c>
    </row>
    <row r="418">
      <c r="A418" s="6" t="inlineStr">
        <is>
          <t>EV/EBITDA</t>
        </is>
      </c>
      <c r="B418" s="14" t="inlineStr">
        <is>
          <t>-4.2×</t>
        </is>
      </c>
      <c r="C418" s="14" t="inlineStr">
        <is>
          <t>Net cash / mcap: -1111%</t>
        </is>
      </c>
    </row>
    <row r="419">
      <c r="A419" s="8" t="inlineStr">
        <is>
          <t>Net debt / EBITDA</t>
        </is>
      </c>
      <c r="B419" s="16" t="inlineStr">
        <is>
          <t>-3.8×</t>
        </is>
      </c>
      <c r="C419" s="16" t="inlineStr">
        <is>
          <t>Revenue growth: -9%</t>
        </is>
      </c>
    </row>
    <row r="420">
      <c r="A420" s="6" t="inlineStr">
        <is>
          <t>Operating margin</t>
        </is>
      </c>
      <c r="B420" s="14" t="inlineStr">
        <is>
          <t>2%</t>
        </is>
      </c>
      <c r="C420" s="14" t="inlineStr">
        <is>
          <t>ROE: -106%</t>
        </is>
      </c>
    </row>
    <row r="421">
      <c r="A421" s="8" t="inlineStr">
        <is>
          <t>Shares YoY</t>
        </is>
      </c>
      <c r="B421" s="16" t="inlineStr">
        <is>
          <t>+1%</t>
        </is>
      </c>
      <c r="C421" s="16" t="inlineStr">
        <is>
          <t>Interest cover: 0.5×</t>
        </is>
      </c>
    </row>
    <row r="422">
      <c r="A422" s="6" t="inlineStr">
        <is>
          <t>52-week position</t>
        </is>
      </c>
      <c r="B422" s="14" t="inlineStr">
        <is>
          <t>6%</t>
        </is>
      </c>
      <c r="C422" s="14" t="inlineStr">
        <is>
          <t>Avg $ volume: $796,589</t>
        </is>
      </c>
    </row>
    <row r="423">
      <c r="A423" s="12" t="inlineStr">
        <is>
          <t>Appears on</t>
        </is>
      </c>
      <c r="B423" s="12" t="inlineStr">
        <is>
          <t>Strength %ile</t>
        </is>
      </c>
      <c r="C423" s="12" t="inlineStr">
        <is>
          <t>What that tab says</t>
        </is>
      </c>
    </row>
    <row r="424" ht="30" customHeight="1">
      <c r="A424" s="6" t="inlineStr">
        <is>
          <t>MD&amp;A Intent</t>
        </is>
      </c>
      <c r="B424" s="14" t="n">
        <v>96</v>
      </c>
      <c r="C424" s="22" t="inlineStr">
        <is>
          <t>Score: 11 · Fam.: 1 · Families: value unlock · Cheap: ✓ · Small: ✓ · Key phrases: exploring strategic alternatives</t>
        </is>
      </c>
    </row>
    <row r="425" ht="30" customHeight="1">
      <c r="A425" s="8" t="inlineStr">
        <is>
          <t>Mechanism Gates</t>
        </is>
      </c>
      <c r="B425" s="16" t="n">
        <v>89</v>
      </c>
      <c r="C425" s="24" t="inlineStr">
        <is>
          <t>Score: 37.7 · Mech: 2 · Ratio: 3 · Archetypes: asset sale monetization, governance discount c</t>
        </is>
      </c>
    </row>
    <row r="426" ht="30" customHeight="1">
      <c r="A426" s="6" t="inlineStr">
        <is>
          <t>Governance Discount</t>
        </is>
      </c>
      <c r="B426" s="14" t="n">
        <v>94</v>
      </c>
      <c r="C426" s="22" t="inlineStr">
        <is>
          <t>Tier: ACTION LIKELY · Score: 35.8 · P/B: 0.23 · Mcap $M: 49.6 · Governance signals (most recent date): value committee (2026-04); asset sale (2026-09); m</t>
        </is>
      </c>
    </row>
    <row r="427" ht="30" customHeight="1">
      <c r="A427" s="8" t="inlineStr">
        <is>
          <t>Re-Rate Catalysts</t>
        </is>
      </c>
      <c r="B427" s="16" t="n">
        <v>97</v>
      </c>
      <c r="C427" s="24" t="inlineStr">
        <is>
          <t>Score: 25.5 · Types: 2 · Ratio: 60 · Up%: 300 · Catalysts (source): Asset Sale [event]; Strategic Review [narrat</t>
        </is>
      </c>
    </row>
    <row r="429" ht="18" customHeight="1">
      <c r="A429" s="12" t="inlineStr">
        <is>
          <t>ETN  —  Eaton Corporation plc</t>
        </is>
      </c>
      <c r="B429" s="12" t="n"/>
      <c r="C429" s="12" t="n"/>
    </row>
    <row r="430">
      <c r="A430" s="20" t="inlineStr">
        <is>
          <t>Industrials · IE · mcap $170,941M · price 440.23</t>
        </is>
      </c>
    </row>
    <row r="431">
      <c r="A431" s="6" t="inlineStr">
        <is>
          <t>Financial read</t>
        </is>
      </c>
      <c r="B431" s="14" t="inlineStr">
        <is>
          <t>P/B 8.44 · EV/EBITDA 29.5× · FCF yld 3% · net debt 12% of mcap · rev +16% · op margin 18%</t>
        </is>
      </c>
    </row>
    <row r="432">
      <c r="A432" s="8" t="inlineStr">
        <is>
          <t>P/B</t>
        </is>
      </c>
      <c r="B432" s="16" t="inlineStr">
        <is>
          <t>8.44</t>
        </is>
      </c>
      <c r="C432" s="16" t="inlineStr">
        <is>
          <t>P/E: 44.4</t>
        </is>
      </c>
    </row>
    <row r="433">
      <c r="A433" s="6" t="inlineStr">
        <is>
          <t>EV/EBITDA</t>
        </is>
      </c>
      <c r="B433" s="14" t="inlineStr">
        <is>
          <t>29.5×</t>
        </is>
      </c>
      <c r="C433" s="14" t="inlineStr">
        <is>
          <t>FCF yield: 3%</t>
        </is>
      </c>
    </row>
    <row r="434">
      <c r="A434" s="8" t="inlineStr">
        <is>
          <t>Net cash / mcap</t>
        </is>
      </c>
      <c r="B434" s="16" t="inlineStr">
        <is>
          <t>-12%</t>
        </is>
      </c>
      <c r="C434" s="16" t="inlineStr">
        <is>
          <t>Net debt / EBITDA: 3.2×</t>
        </is>
      </c>
    </row>
    <row r="435">
      <c r="A435" s="6" t="inlineStr">
        <is>
          <t>Revenue growth</t>
        </is>
      </c>
      <c r="B435" s="14" t="inlineStr">
        <is>
          <t>+16%</t>
        </is>
      </c>
      <c r="C435" s="14" t="inlineStr">
        <is>
          <t>Operating margin: 18%</t>
        </is>
      </c>
    </row>
    <row r="436">
      <c r="A436" s="8" t="inlineStr">
        <is>
          <t>ROE</t>
        </is>
      </c>
      <c r="B436" s="16" t="inlineStr">
        <is>
          <t>20%</t>
        </is>
      </c>
      <c r="C436" s="16" t="inlineStr">
        <is>
          <t>Shares YoY: -1%</t>
        </is>
      </c>
    </row>
    <row r="437">
      <c r="A437" s="6" t="inlineStr">
        <is>
          <t>Interest cover</t>
        </is>
      </c>
      <c r="B437" s="14" t="inlineStr">
        <is>
          <t>12.0×</t>
        </is>
      </c>
      <c r="C437" s="14" t="inlineStr">
        <is>
          <t>52-week position: 77%</t>
        </is>
      </c>
    </row>
    <row r="438">
      <c r="A438" s="8" t="inlineStr">
        <is>
          <t>Avg $ volume</t>
        </is>
      </c>
      <c r="B438" s="16" t="inlineStr">
        <is>
          <t>$1,014,145,084</t>
        </is>
      </c>
      <c r="C438" s="16" t="n"/>
    </row>
    <row r="439" ht="45" customHeight="1">
      <c r="A439" s="8" t="inlineStr">
        <is>
          <t>Event 2026-07-31</t>
        </is>
      </c>
      <c r="B439" s="16" t="inlineStr">
        <is>
          <t>COMPLETED</t>
        </is>
      </c>
      <c r="C439" s="24" t="inlineStr">
        <is>
          <t>Completed separation of Mobility business — “In the event the Transaction is not consummated, Eaton intends to separate its Mobility business segment in a spin-off. Note 4. ACQUISITION AND DIVESTITURE CHARGES Eaton incurs integration charges and transaction costs to acquire and integrate businesses, and transaction, separation and other costs ”</t>
        </is>
      </c>
    </row>
    <row r="440" ht="45" customHeight="1">
      <c r="A440" s="8" t="inlineStr">
        <is>
          <t>Event 2026-07-31</t>
        </is>
      </c>
      <c r="B440" s="16" t="inlineStr">
        <is>
          <t>ANNOUNCED</t>
        </is>
      </c>
      <c r="C440" s="24" t="inlineStr">
        <is>
          <t>Separating Mobility business — “Planned Separation of Mobility Business On January 26, 2026, Eaton announced its intention to separate its Mobility business segment from the rest of Eaton via a spin-off. On June 10, 2026, Eaton entered into definitive agreements with Dana Incorporated (Dana), whereby Eaton will separate the Mobili”</t>
        </is>
      </c>
    </row>
    <row r="441">
      <c r="A441" s="12" t="inlineStr">
        <is>
          <t>Appears on</t>
        </is>
      </c>
      <c r="B441" s="12" t="inlineStr">
        <is>
          <t>Strength %ile</t>
        </is>
      </c>
      <c r="C441" s="12" t="inlineStr">
        <is>
          <t>What that tab says</t>
        </is>
      </c>
    </row>
    <row r="442" ht="30" customHeight="1">
      <c r="A442" s="6" t="inlineStr">
        <is>
          <t>MD&amp;A Intent</t>
        </is>
      </c>
      <c r="B442" s="14" t="n">
        <v>96</v>
      </c>
      <c r="C442" s="22" t="inlineStr">
        <is>
          <t>Score: 11 · Fam.: 1 · Families: strategic action · Key phrases: pursue a spin-off; planned separation</t>
        </is>
      </c>
    </row>
    <row r="443" ht="30" customHeight="1">
      <c r="A443" s="8" t="inlineStr">
        <is>
          <t>Political Trades</t>
        </is>
      </c>
      <c r="B443" s="16" t="n"/>
      <c r="C443" s="24" t="inlineStr">
        <is>
          <t xml:space="preserve">Edge est.: -5.37 · Buys: 6 · Sells: 2 · Members: 4 · Last disclosed: 2026-09-11 · Recent trades: 15-50k; 2026-07-08 Ro Khanna (H, Self) buy &lt;15k; 2026-08-12 </t>
        </is>
      </c>
    </row>
    <row r="444" ht="30" customHeight="1">
      <c r="A444" s="6" t="inlineStr">
        <is>
          <t>Re-Rate Catalysts</t>
        </is>
      </c>
      <c r="B444" s="14" t="n">
        <v>99</v>
      </c>
      <c r="C444" s="22" t="inlineStr">
        <is>
          <t>What's happening (8-K): [2026-07-31] Completed separation of Mobility business | [20 · Score: 30 · Types: 2 · Catalysts (source): Separation [event/narrative]; Spinoff [event</t>
        </is>
      </c>
    </row>
    <row r="445" ht="30" customHeight="1">
      <c r="A445" s="8" t="inlineStr">
        <is>
          <t>Event Detail</t>
        </is>
      </c>
      <c r="B445" s="16" t="n"/>
      <c r="C445" s="24" t="inlineStr">
        <is>
          <t>Date: 2026-07-31 · Event: Spinoff · Status: COMPLETED · What is happening: Completed separation of Mobility business · Asset / business: Mobility business · Filing excerpt (verbatim): In the event the Transaction is not consummated, Eaton inten · Filing: https://www.sec.gov/Archives/edgar/data/1551182/000155118226</t>
        </is>
      </c>
    </row>
    <row r="446" ht="30" customHeight="1">
      <c r="A446" s="6" t="inlineStr">
        <is>
          <t>Event Detail</t>
        </is>
      </c>
      <c r="B446" s="14" t="n"/>
      <c r="C446" s="22" t="inlineStr">
        <is>
          <t>Date: 2026-07-31 · Event: Separation · Status: ANNOUNCED · What is happening: Separating Mobility business · Asset / business: Mobility business · Filing excerpt (verbatim): Planned Separation of Mobility Business On January 26, 2026, · Filing: https://www.sec.gov/Archives/edgar/data/1551182/000155118226</t>
        </is>
      </c>
    </row>
    <row r="448" ht="18" customHeight="1">
      <c r="A448" s="12" t="inlineStr">
        <is>
          <t>BIRD  —  Smartbird, Inc</t>
        </is>
      </c>
      <c r="B448" s="12" t="n"/>
      <c r="C448" s="12" t="n"/>
    </row>
    <row r="449">
      <c r="A449" s="20" t="inlineStr">
        <is>
          <t>Consumer Cyclical · US · mcap $15M · price 2.36</t>
        </is>
      </c>
    </row>
    <row r="450">
      <c r="A450" s="6" t="inlineStr">
        <is>
          <t>Financial read</t>
        </is>
      </c>
      <c r="B450" s="14" t="inlineStr">
        <is>
          <t>P/B 0.66 · EV/EBITDA 0.1× · net cash 155% of mcap · rev -38% · op margin -63% · diluting 13%/yr  [FCF yield &gt;100% (check)]</t>
        </is>
      </c>
    </row>
    <row r="451">
      <c r="A451" s="8" t="inlineStr">
        <is>
          <t>P/B</t>
        </is>
      </c>
      <c r="B451" s="16" t="inlineStr">
        <is>
          <t>0.66</t>
        </is>
      </c>
      <c r="C451" s="16" t="inlineStr">
        <is>
          <t>P/E: -0.3</t>
        </is>
      </c>
    </row>
    <row r="452">
      <c r="A452" s="6" t="inlineStr">
        <is>
          <t>EV/EBITDA</t>
        </is>
      </c>
      <c r="B452" s="14" t="inlineStr">
        <is>
          <t>0.1×</t>
        </is>
      </c>
      <c r="C452" s="14" t="inlineStr">
        <is>
          <t>Net cash / mcap: +155%</t>
        </is>
      </c>
    </row>
    <row r="453">
      <c r="A453" s="8" t="inlineStr">
        <is>
          <t>Net debt / EBITDA</t>
        </is>
      </c>
      <c r="B453" s="16" t="inlineStr">
        <is>
          <t>0.4×</t>
        </is>
      </c>
      <c r="C453" s="16" t="inlineStr">
        <is>
          <t>Revenue growth: -38%</t>
        </is>
      </c>
    </row>
    <row r="454">
      <c r="A454" s="6" t="inlineStr">
        <is>
          <t>Operating margin</t>
        </is>
      </c>
      <c r="B454" s="14" t="inlineStr">
        <is>
          <t>-63%</t>
        </is>
      </c>
      <c r="C454" s="14" t="inlineStr">
        <is>
          <t>ROE: -243%</t>
        </is>
      </c>
    </row>
    <row r="455">
      <c r="A455" s="8" t="inlineStr">
        <is>
          <t>Shares YoY</t>
        </is>
      </c>
      <c r="B455" s="16" t="inlineStr">
        <is>
          <t>+13%</t>
        </is>
      </c>
      <c r="C455" s="16" t="inlineStr">
        <is>
          <t>Interest cover: -17.9×</t>
        </is>
      </c>
    </row>
    <row r="456">
      <c r="A456" s="6" t="inlineStr">
        <is>
          <t>52-week position</t>
        </is>
      </c>
      <c r="B456" s="14" t="inlineStr">
        <is>
          <t>1%</t>
        </is>
      </c>
      <c r="C456" s="14" t="inlineStr">
        <is>
          <t>Avg $ volume: $3,038,325</t>
        </is>
      </c>
    </row>
    <row r="457">
      <c r="A457" s="12" t="inlineStr">
        <is>
          <t>Appears on</t>
        </is>
      </c>
      <c r="B457" s="12" t="inlineStr">
        <is>
          <t>Strength %ile</t>
        </is>
      </c>
      <c r="C457" s="12" t="inlineStr">
        <is>
          <t>What that tab says</t>
        </is>
      </c>
    </row>
    <row r="458" ht="30" customHeight="1">
      <c r="A458" s="6" t="inlineStr">
        <is>
          <t>Mechanism Gates</t>
        </is>
      </c>
      <c r="B458" s="14" t="n">
        <v>94</v>
      </c>
      <c r="C458" s="22" t="inlineStr">
        <is>
          <t>Score: 38.9 · Mech: 2 · Ratio: 7.2 · Archetypes: asset sale monetization, governance discount c</t>
        </is>
      </c>
    </row>
    <row r="459" ht="30" customHeight="1">
      <c r="A459" s="8" t="inlineStr">
        <is>
          <t>Governance Discount</t>
        </is>
      </c>
      <c r="B459" s="16" t="n">
        <v>42</v>
      </c>
      <c r="C459" s="24" t="inlineStr">
        <is>
          <t>Tier: BUILDING · Score: 17 · P/B: 0.66 · Mcap $M: 14.8 · Governance signals (most recent date): asset sale (2026-06); mda unlock (2026-05)</t>
        </is>
      </c>
    </row>
    <row r="460" ht="30" customHeight="1">
      <c r="A460" s="6" t="inlineStr">
        <is>
          <t>Re-Rate Catalysts</t>
        </is>
      </c>
      <c r="B460" s="14" t="n">
        <v>98</v>
      </c>
      <c r="C460" s="22" t="inlineStr">
        <is>
          <t>Score: 29.4 · Types: 2 · Ratio: 5 · Up%: 240 · Catalysts (source): Asset Sale [event/narrative]; Uplisting [eve</t>
        </is>
      </c>
    </row>
    <row r="461" ht="30" customHeight="1">
      <c r="A461" s="8" t="inlineStr">
        <is>
          <t>Tail Odds</t>
        </is>
      </c>
      <c r="B461" s="16" t="n">
        <v>94</v>
      </c>
      <c r="C461" s="24" t="inlineStr">
        <is>
          <t>Conf. tail p: 38 · Drift since: 22 · Months: 3.3m · Catalysts: ASSET_SALE, UPLISTING</t>
        </is>
      </c>
    </row>
    <row r="462" ht="30" customHeight="1">
      <c r="A462" s="6" t="inlineStr">
        <is>
          <t>Tail Odds</t>
        </is>
      </c>
      <c r="B462" s="14" t="n">
        <v>94</v>
      </c>
      <c r="C462" s="22" t="inlineStr">
        <is>
          <t>Conf. tail p: 10/10 · Drift since: 22 · Months: 38 · Catalysts: deep 24m washout (-84%); wild vol (0.46);</t>
        </is>
      </c>
    </row>
    <row r="464" ht="18" customHeight="1">
      <c r="A464" s="12" t="inlineStr">
        <is>
          <t>BCIC  —  BCP Investment Corporation</t>
        </is>
      </c>
      <c r="B464" s="12" t="n"/>
      <c r="C464" s="12" t="n"/>
    </row>
    <row r="465">
      <c r="A465" s="20" t="inlineStr">
        <is>
          <t>Financial Services · US · mcap $88M · price 7.11</t>
        </is>
      </c>
    </row>
    <row r="466">
      <c r="A466" s="6" t="inlineStr">
        <is>
          <t>Financial read</t>
        </is>
      </c>
      <c r="B466" s="14" t="inlineStr">
        <is>
          <t>P/B 0.49 · ROE -2% · div yld 12.6% · diluting 34%/yr (financial: book/earnings basis)  [revenue not comparable YoY (fair-value / one-off income?)]</t>
        </is>
      </c>
    </row>
    <row r="467">
      <c r="A467" s="8" t="inlineStr">
        <is>
          <t>P/B</t>
        </is>
      </c>
      <c r="B467" s="16" t="inlineStr">
        <is>
          <t>0.49</t>
        </is>
      </c>
      <c r="C467" s="16" t="inlineStr">
        <is>
          <t>P/E: -20.8</t>
        </is>
      </c>
    </row>
    <row r="468">
      <c r="A468" s="6" t="inlineStr">
        <is>
          <t>EV/EBITDA</t>
        </is>
      </c>
      <c r="B468" s="14" t="inlineStr">
        <is>
          <t>26.6×</t>
        </is>
      </c>
      <c r="C468" s="14" t="inlineStr">
        <is>
          <t>FCF yield: 72%</t>
        </is>
      </c>
    </row>
    <row r="469">
      <c r="A469" s="8" t="inlineStr">
        <is>
          <t>Net cash / mcap</t>
        </is>
      </c>
      <c r="B469" s="16" t="inlineStr">
        <is>
          <t>-316%</t>
        </is>
      </c>
      <c r="C469" s="16" t="inlineStr">
        <is>
          <t>Net debt / EBITDA: 20.2×</t>
        </is>
      </c>
    </row>
    <row r="470">
      <c r="A470" s="6" t="inlineStr">
        <is>
          <t>Operating margin</t>
        </is>
      </c>
      <c r="B470" s="14" t="inlineStr">
        <is>
          <t>21%</t>
        </is>
      </c>
      <c r="C470" s="14" t="inlineStr">
        <is>
          <t>ROE: -2%</t>
        </is>
      </c>
    </row>
    <row r="471">
      <c r="A471" s="8" t="inlineStr">
        <is>
          <t>Shares YoY</t>
        </is>
      </c>
      <c r="B471" s="16" t="inlineStr">
        <is>
          <t>+34%</t>
        </is>
      </c>
      <c r="C471" s="16" t="inlineStr">
        <is>
          <t>Interest cover: 0.6×</t>
        </is>
      </c>
    </row>
    <row r="472">
      <c r="A472" s="6" t="inlineStr">
        <is>
          <t>52-week position</t>
        </is>
      </c>
      <c r="B472" s="14" t="inlineStr">
        <is>
          <t>6%</t>
        </is>
      </c>
      <c r="C472" s="14" t="inlineStr">
        <is>
          <t>Avg $ volume: $427,972</t>
        </is>
      </c>
    </row>
    <row r="473">
      <c r="A473" s="12" t="inlineStr">
        <is>
          <t>Appears on</t>
        </is>
      </c>
      <c r="B473" s="12" t="inlineStr">
        <is>
          <t>Strength %ile</t>
        </is>
      </c>
      <c r="C473" s="12" t="inlineStr">
        <is>
          <t>What that tab says</t>
        </is>
      </c>
    </row>
    <row r="474" ht="30" customHeight="1">
      <c r="A474" s="6" t="inlineStr">
        <is>
          <t>Mechanism Gates</t>
        </is>
      </c>
      <c r="B474" s="14" t="n">
        <v>90</v>
      </c>
      <c r="C474" s="22" t="inlineStr">
        <is>
          <t>Score: 37.8 · Mech: 2 · Ratio: 0.6 · Archetypes: hidden asset realization, governance discount</t>
        </is>
      </c>
    </row>
    <row r="475" ht="30" customHeight="1">
      <c r="A475" s="8" t="inlineStr">
        <is>
          <t>Governance Discount</t>
        </is>
      </c>
      <c r="B475" s="16" t="n">
        <v>92</v>
      </c>
      <c r="C475" s="24" t="inlineStr">
        <is>
          <t>Tier: ACTION LIKELY · Score: 34 · P/B: 0.49 · Mcap $M: 88 · Governance signals (most recent date): capital return policy (2026-05); tender offer (202</t>
        </is>
      </c>
    </row>
    <row r="476" ht="30" customHeight="1">
      <c r="A476" s="6" t="inlineStr">
        <is>
          <t>Asymmetry Assembly</t>
        </is>
      </c>
      <c r="B476" s="14" t="n">
        <v>57</v>
      </c>
      <c r="C476" s="22" t="inlineStr">
        <is>
          <t>Assembly: 37 · N/8: 4 · Cheap: ● · Lev: ● · Orph: ● · Insdr: ● · Reasons: 4/8 components</t>
        </is>
      </c>
    </row>
    <row r="477" ht="30" customHeight="1">
      <c r="A477" s="8" t="inlineStr">
        <is>
          <t>Single-Measure Best</t>
        </is>
      </c>
      <c r="B477" s="16" t="n">
        <v>39</v>
      </c>
      <c r="C477" s="24" t="inlineStr">
        <is>
          <t>Detail: UNKNOWN | live event · Score: 1 · Sector: Financial Services</t>
        </is>
      </c>
    </row>
    <row r="479" ht="18" customHeight="1">
      <c r="A479" s="12" t="inlineStr">
        <is>
          <t>ASPI  —  ASP Isotopes Inc. Common Stock</t>
        </is>
      </c>
      <c r="B479" s="12" t="n"/>
      <c r="C479" s="12" t="n"/>
    </row>
    <row r="480">
      <c r="A480" s="20" t="inlineStr">
        <is>
          <t>Basic Materials · US · mcap $388M · price 3.085</t>
        </is>
      </c>
    </row>
    <row r="481">
      <c r="A481" s="6" t="inlineStr">
        <is>
          <t>Financial read</t>
        </is>
      </c>
      <c r="B481" s="14" t="inlineStr">
        <is>
          <t>P/B 1.47 · P/S 12.4 · FCF yld -22% · net debt 4% of mcap · op margin -312% · diluting 68%/yr  [revenue not comparable YoY (fair-value / one-off income?)]</t>
        </is>
      </c>
    </row>
    <row r="482">
      <c r="A482" s="8" t="inlineStr">
        <is>
          <t>P/B</t>
        </is>
      </c>
      <c r="B482" s="16" t="inlineStr">
        <is>
          <t>1.47</t>
        </is>
      </c>
      <c r="C482" s="16" t="inlineStr">
        <is>
          <t>P/E: -2.3</t>
        </is>
      </c>
    </row>
    <row r="483">
      <c r="A483" s="6" t="inlineStr">
        <is>
          <t>EV/EBITDA</t>
        </is>
      </c>
      <c r="B483" s="14" t="inlineStr">
        <is>
          <t>-3.3×</t>
        </is>
      </c>
      <c r="C483" s="14" t="inlineStr">
        <is>
          <t>FCF yield: -22%</t>
        </is>
      </c>
    </row>
    <row r="484">
      <c r="A484" s="8" t="inlineStr">
        <is>
          <t>Net cash / mcap</t>
        </is>
      </c>
      <c r="B484" s="16" t="inlineStr">
        <is>
          <t>-4%</t>
        </is>
      </c>
      <c r="C484" s="16" t="inlineStr">
        <is>
          <t>Net debt / EBITDA: -0.4×</t>
        </is>
      </c>
    </row>
    <row r="485">
      <c r="A485" s="6" t="inlineStr">
        <is>
          <t>Operating margin</t>
        </is>
      </c>
      <c r="B485" s="14" t="inlineStr">
        <is>
          <t>-312%</t>
        </is>
      </c>
      <c r="C485" s="14" t="inlineStr">
        <is>
          <t>ROE: -63%</t>
        </is>
      </c>
    </row>
    <row r="486">
      <c r="A486" s="8" t="inlineStr">
        <is>
          <t>Shares YoY</t>
        </is>
      </c>
      <c r="B486" s="16" t="inlineStr">
        <is>
          <t>+68%</t>
        </is>
      </c>
      <c r="C486" s="16" t="inlineStr">
        <is>
          <t>Interest cover: -24.6×</t>
        </is>
      </c>
    </row>
    <row r="487">
      <c r="A487" s="6" t="inlineStr">
        <is>
          <t>52-week position</t>
        </is>
      </c>
      <c r="B487" s="14" t="inlineStr">
        <is>
          <t>1%</t>
        </is>
      </c>
      <c r="C487" s="14" t="inlineStr">
        <is>
          <t>Avg $ volume: $14,010,330</t>
        </is>
      </c>
    </row>
    <row r="488">
      <c r="A488" s="12" t="inlineStr">
        <is>
          <t>Appears on</t>
        </is>
      </c>
      <c r="B488" s="12" t="inlineStr">
        <is>
          <t>Strength %ile</t>
        </is>
      </c>
      <c r="C488" s="12" t="inlineStr">
        <is>
          <t>What that tab says</t>
        </is>
      </c>
    </row>
    <row r="489" ht="30" customHeight="1">
      <c r="A489" s="6" t="inlineStr">
        <is>
          <t>Mechanism Gates</t>
        </is>
      </c>
      <c r="B489" s="14" t="n">
        <v>88</v>
      </c>
      <c r="C489" s="22" t="inlineStr">
        <is>
          <t>Score: 37.4 · Mech: 2 · Ratio: 0.9 · Archetypes: hidden asset realization, structured distresse</t>
        </is>
      </c>
    </row>
    <row r="490" ht="30" customHeight="1">
      <c r="A490" s="8" t="inlineStr">
        <is>
          <t>Structured Distressed</t>
        </is>
      </c>
      <c r="B490" s="16" t="n">
        <v>31</v>
      </c>
      <c r="C490" s="24" t="inlineStr">
        <is>
          <t>Score: 23 · Instrument: convertible pipe · Drawdown: -79 · Signals: asset floor, washout</t>
        </is>
      </c>
    </row>
    <row r="491" ht="30" customHeight="1">
      <c r="A491" s="6" t="inlineStr">
        <is>
          <t>Tail Odds</t>
        </is>
      </c>
      <c r="B491" s="14" t="n">
        <v>97</v>
      </c>
      <c r="C491" s="22" t="inlineStr">
        <is>
          <t>Conf. tail p: 27 · Drift since: FADING · Months: 1 · Catalysts: catalyst=SALE_OF_COMPANY, sector=Basic</t>
        </is>
      </c>
    </row>
    <row r="492" ht="30" customHeight="1">
      <c r="A492" s="8" t="inlineStr">
        <is>
          <t>Turnaround Signal</t>
        </is>
      </c>
      <c r="B492" s="16" t="n">
        <v>9</v>
      </c>
      <c r="C492" s="24" t="inlineStr">
        <is>
          <t>Score: 10 · Event: OTHER 5.02 · Date: 2026-06-25 · Distress: 35 · Talent: 0 · What the 8-K says (background / terms): UNITED STATES SECURITIES AND EXCHANGE COMMISSION WASHINGTON,</t>
        </is>
      </c>
    </row>
    <row r="494" ht="18" customHeight="1">
      <c r="A494" s="12" t="inlineStr">
        <is>
          <t>SPGI  —  S&amp;P Global Inc.</t>
        </is>
      </c>
      <c r="B494" s="12" t="n"/>
      <c r="C494" s="12" t="n"/>
    </row>
    <row r="495">
      <c r="A495" s="20" t="inlineStr">
        <is>
          <t>Financial Services · US · mcap $120,038M · price 407.185</t>
        </is>
      </c>
    </row>
    <row r="496">
      <c r="A496" s="6" t="inlineStr">
        <is>
          <t>Financial read</t>
        </is>
      </c>
      <c r="B496" s="14" t="inlineStr">
        <is>
          <t>P/B 3.80 · P/E 24.8 · ROE 15% · div yld 1.0% · buying back 3%/yr (financial: book/earnings basis)</t>
        </is>
      </c>
    </row>
    <row r="497">
      <c r="A497" s="8" t="inlineStr">
        <is>
          <t>P/B</t>
        </is>
      </c>
      <c r="B497" s="16" t="inlineStr">
        <is>
          <t>3.80</t>
        </is>
      </c>
      <c r="C497" s="16" t="inlineStr">
        <is>
          <t>P/E: 24.8</t>
        </is>
      </c>
    </row>
    <row r="498">
      <c r="A498" s="6" t="inlineStr">
        <is>
          <t>EV/EBITDA</t>
        </is>
      </c>
      <c r="B498" s="14" t="inlineStr">
        <is>
          <t>16.0×</t>
        </is>
      </c>
      <c r="C498" s="14" t="inlineStr">
        <is>
          <t>FCF yield: 5%</t>
        </is>
      </c>
    </row>
    <row r="499">
      <c r="A499" s="8" t="inlineStr">
        <is>
          <t>Net cash / mcap</t>
        </is>
      </c>
      <c r="B499" s="16" t="inlineStr">
        <is>
          <t>-10%</t>
        </is>
      </c>
      <c r="C499" s="16" t="inlineStr">
        <is>
          <t>Net debt / EBITDA: 1.4×</t>
        </is>
      </c>
    </row>
    <row r="500">
      <c r="A500" s="6" t="inlineStr">
        <is>
          <t>Revenue growth</t>
        </is>
      </c>
      <c r="B500" s="14" t="inlineStr">
        <is>
          <t>+10%</t>
        </is>
      </c>
      <c r="C500" s="14" t="inlineStr">
        <is>
          <t>Operating margin: 46%</t>
        </is>
      </c>
    </row>
    <row r="501">
      <c r="A501" s="8" t="inlineStr">
        <is>
          <t>ROE</t>
        </is>
      </c>
      <c r="B501" s="16" t="inlineStr">
        <is>
          <t>15%</t>
        </is>
      </c>
      <c r="C501" s="16" t="inlineStr">
        <is>
          <t>Shares YoY: -3%</t>
        </is>
      </c>
    </row>
    <row r="502">
      <c r="A502" s="6" t="inlineStr">
        <is>
          <t>Interest cover</t>
        </is>
      </c>
      <c r="B502" s="14" t="inlineStr">
        <is>
          <t>23.6×</t>
        </is>
      </c>
      <c r="C502" s="14" t="inlineStr">
        <is>
          <t>52-week position: 29%</t>
        </is>
      </c>
    </row>
    <row r="503">
      <c r="A503" s="8" t="inlineStr">
        <is>
          <t>Avg $ volume</t>
        </is>
      </c>
      <c r="B503" s="16" t="inlineStr">
        <is>
          <t>$878,507,338</t>
        </is>
      </c>
      <c r="C503" s="16" t="n"/>
    </row>
    <row r="504" ht="45" customHeight="1">
      <c r="A504" s="8" t="inlineStr">
        <is>
          <t>Event 2026-07-28</t>
        </is>
      </c>
      <c r="B504" s="16" t="inlineStr">
        <is>
          <t>COMPLETED</t>
        </is>
      </c>
      <c r="C504" s="24" t="inlineStr">
        <is>
          <t>Completed separation of Mobility division — “The Company completed the spin-off of its Mobility division, creating an independent public company, Mobility Global (NYSE: MBGL), on July 1, 2026. In a press release dated July 6, 2026, the Company provided pro forma and recast financial results for the four quarters of 2025, full-year 2025, and th”</t>
        </is>
      </c>
    </row>
    <row r="505" ht="45" customHeight="1">
      <c r="A505" s="8" t="inlineStr">
        <is>
          <t>Event 2026-05-21</t>
        </is>
      </c>
      <c r="B505" s="16" t="inlineStr">
        <is>
          <t>ANNOUNCED</t>
        </is>
      </c>
      <c r="C505" s="24" t="inlineStr">
        <is>
          <t>Separating a business — “Additional information about the planned separation is available at https://investor.spglobal.com. Contacts: S&amp;P Global Investor Relations: Mark Grant Senior Vice President, Investor Relations and Treasurer Tel: +1 (347) 640-1521 mark.grant@spglobal.co m Media: Christina Twomey Chief Communications ”</t>
        </is>
      </c>
    </row>
    <row r="506" ht="45" customHeight="1">
      <c r="A506" s="8" t="inlineStr">
        <is>
          <t>Event 2026-04-28</t>
        </is>
      </c>
      <c r="B506" s="16" t="inlineStr">
        <is>
          <t>PENDING</t>
        </is>
      </c>
      <c r="C506" s="24" t="inlineStr">
        <is>
          <t>[pending] Selling geoscience and petroleum engineering software portfolio for $4.17bn (3% of mcap); close second half of 2026 or early 2027 — “In a press release dated April 24, 2026, the Company also announced an agreement to divest the geoscience and petroleum engineering software portfolio in its Upstream software business within the Energy division. That transaction is expected to close in the second half of 2026 or early 2027. • The C”</t>
        </is>
      </c>
    </row>
    <row r="507">
      <c r="A507" s="12" t="inlineStr">
        <is>
          <t>Appears on</t>
        </is>
      </c>
      <c r="B507" s="12" t="inlineStr">
        <is>
          <t>Strength %ile</t>
        </is>
      </c>
      <c r="C507" s="12" t="inlineStr">
        <is>
          <t>What that tab says</t>
        </is>
      </c>
    </row>
    <row r="508" ht="30" customHeight="1">
      <c r="A508" s="6" t="inlineStr">
        <is>
          <t>Call Intent</t>
        </is>
      </c>
      <c r="B508" s="14" t="n">
        <v>98</v>
      </c>
      <c r="C508" s="22" t="inlineStr">
        <is>
          <t>Tier: ACT SIGNALLED · Act prob: 0.63 · P/B: 3.8 · Novelty: 0.2 · Size: 6 · CEO+CFO: ✓ · Call: 2026-07-28 · New / strongest families: buyback, cost, dividend_return · Evidence (management, verbatim): [buyback] “On capital return, we have decided to increase ou</t>
        </is>
      </c>
    </row>
    <row r="509" ht="30" customHeight="1">
      <c r="A509" s="8" t="inlineStr">
        <is>
          <t>Political Trades</t>
        </is>
      </c>
      <c r="B509" s="16" t="n"/>
      <c r="C509" s="24" t="inlineStr">
        <is>
          <t>Edge est.: -13.1 · Buys: 17 · Sells: 6 · Members: 3 · Last disclosed: 2026-07-27 · Recent trades: Thomas Kean (H, Self) sell &lt;15k; 2026-07-21 Alan Armstrong (</t>
        </is>
      </c>
    </row>
    <row r="510" ht="30" customHeight="1">
      <c r="A510" s="6" t="inlineStr">
        <is>
          <t>Re-Rate Catalysts</t>
        </is>
      </c>
      <c r="B510" s="14" t="n">
        <v>98</v>
      </c>
      <c r="C510" s="22" t="inlineStr">
        <is>
          <t>What's happening (8-K): [2026-07-28] Completed separation of Mobility division | [20 · Score: 28 · Types: 3 · Catalysts (source): Asset Sale [event]; Separation [event]; Spin</t>
        </is>
      </c>
    </row>
    <row r="511" ht="30" customHeight="1">
      <c r="A511" s="8" t="inlineStr">
        <is>
          <t>Event Detail</t>
        </is>
      </c>
      <c r="B511" s="16" t="n"/>
      <c r="C511" s="24" t="inlineStr">
        <is>
          <t>Date: 2026-07-28 · Event: Spinoff · Status: COMPLETED · What is happening: Completed separation of Mobility division · Asset / business: Mobility division · Filing excerpt (verbatim): The Company completed the spin-off of its Mobility division, · Filing: https://www.sec.gov/Archives/edgar/data/64040/00000640402600</t>
        </is>
      </c>
    </row>
    <row r="512" ht="30" customHeight="1">
      <c r="A512" s="6" t="inlineStr">
        <is>
          <t>Event Detail</t>
        </is>
      </c>
      <c r="B512" s="14" t="n"/>
      <c r="C512" s="22" t="inlineStr">
        <is>
          <t>Date: 2026-05-21 · Event: Separation · Status: ANNOUNCED · What is happening: Separating a business · Filing excerpt (verbatim): Additional information about the planned separation is avail · Filing: https://www.sec.gov/Archives/edgar/data/64040/00011046592606</t>
        </is>
      </c>
    </row>
    <row r="513" ht="30" customHeight="1">
      <c r="A513" s="8" t="inlineStr">
        <is>
          <t>Event Detail</t>
        </is>
      </c>
      <c r="B513" s="16" t="n"/>
      <c r="C513" s="24" t="inlineStr">
        <is>
          <t>Date: 2026-04-28 · Event: Asset Sale · Status: PENDING · What is happening: [pending] Selling geoscience and petroleum engineering softw · Amount: $4,171M · % mcap: 3% · Asset / business: geoscience and petroleum engineering software portfolio · Timing: second half of 2026 or early 2027 · Filing excerpt (verbatim): In a press release dated April 24, 2026, the Company also an · Filing: https://www.sec.gov/Archives/edgar/data/64040/00000640402600</t>
        </is>
      </c>
    </row>
    <row r="515" ht="18" customHeight="1">
      <c r="A515" s="12" t="inlineStr">
        <is>
          <t>TROX  —  Tronox Holdings plc</t>
        </is>
      </c>
      <c r="B515" s="12" t="n"/>
      <c r="C515" s="12" t="n"/>
    </row>
    <row r="516">
      <c r="A516" s="20" t="inlineStr">
        <is>
          <t>Basic Materials · US · mcap $695M · price 4.355</t>
        </is>
      </c>
    </row>
    <row r="517">
      <c r="A517" s="6" t="inlineStr">
        <is>
          <t>Financial read</t>
        </is>
      </c>
      <c r="B517" s="14" t="inlineStr">
        <is>
          <t>P/B 0.60 · EV/EBITDA 43.9× · FCF yld -23% · net debt 457% of mcap · rev +3% · op margin -4% · interest cover -0.5× ⚠</t>
        </is>
      </c>
    </row>
    <row r="518">
      <c r="A518" s="8" t="inlineStr">
        <is>
          <t>P/B</t>
        </is>
      </c>
      <c r="B518" s="16" t="inlineStr">
        <is>
          <t>0.60</t>
        </is>
      </c>
      <c r="C518" s="16" t="inlineStr">
        <is>
          <t>P/E: -1.2</t>
        </is>
      </c>
    </row>
    <row r="519">
      <c r="A519" s="6" t="inlineStr">
        <is>
          <t>EV/EBITDA</t>
        </is>
      </c>
      <c r="B519" s="14" t="inlineStr">
        <is>
          <t>43.9×</t>
        </is>
      </c>
      <c r="C519" s="14" t="inlineStr">
        <is>
          <t>FCF yield: -23%</t>
        </is>
      </c>
    </row>
    <row r="520">
      <c r="A520" s="8" t="inlineStr">
        <is>
          <t>Net cash / mcap</t>
        </is>
      </c>
      <c r="B520" s="16" t="inlineStr">
        <is>
          <t>-457%</t>
        </is>
      </c>
      <c r="C520" s="16" t="inlineStr">
        <is>
          <t>Net debt / EBITDA: 36.1×</t>
        </is>
      </c>
    </row>
    <row r="521">
      <c r="A521" s="6" t="inlineStr">
        <is>
          <t>Revenue growth</t>
        </is>
      </c>
      <c r="B521" s="14" t="inlineStr">
        <is>
          <t>+3%</t>
        </is>
      </c>
      <c r="C521" s="14" t="inlineStr">
        <is>
          <t>Operating margin: -4%</t>
        </is>
      </c>
    </row>
    <row r="522">
      <c r="A522" s="8" t="inlineStr">
        <is>
          <t>ROE</t>
        </is>
      </c>
      <c r="B522" s="16" t="inlineStr">
        <is>
          <t>-40%</t>
        </is>
      </c>
      <c r="C522" s="16" t="inlineStr">
        <is>
          <t>Shares YoY: +1%</t>
        </is>
      </c>
    </row>
    <row r="523">
      <c r="A523" s="6" t="inlineStr">
        <is>
          <t>Interest cover</t>
        </is>
      </c>
      <c r="B523" s="14" t="inlineStr">
        <is>
          <t>-0.5×</t>
        </is>
      </c>
      <c r="C523" s="14" t="inlineStr">
        <is>
          <t>52-week position: 19%</t>
        </is>
      </c>
    </row>
    <row r="524">
      <c r="A524" s="8" t="inlineStr">
        <is>
          <t>Avg $ volume</t>
        </is>
      </c>
      <c r="B524" s="16" t="inlineStr">
        <is>
          <t>$11,748,331</t>
        </is>
      </c>
      <c r="C524" s="16" t="n"/>
    </row>
    <row r="525" ht="45" customHeight="1">
      <c r="A525" s="6" t="inlineStr">
        <is>
          <t>PSU plan</t>
        </is>
      </c>
      <c r="B525" s="14" t="inlineStr">
        <is>
          <t>grade A</t>
        </is>
      </c>
      <c r="C525" s="22" t="inlineStr">
        <is>
          <t>PSUs 86% of LTI · 3-yr (2023–2025) · relative TSR 50%, ROIC 50% · payout 50–200% · rTSR target 35th pct  —  per-share / return / TSR metrics: ROIC, relative TSR; 3-year performance period; payout capped at 200%; target at 35th percentile (below median); PSUs 86% of LTI; price hurdles up to $16.24 = 3.7× today's $4.355</t>
        </is>
      </c>
    </row>
    <row r="526">
      <c r="A526" s="12" t="inlineStr">
        <is>
          <t>Appears on</t>
        </is>
      </c>
      <c r="B526" s="12" t="inlineStr">
        <is>
          <t>Strength %ile</t>
        </is>
      </c>
      <c r="C526" s="12" t="inlineStr">
        <is>
          <t>What that tab says</t>
        </is>
      </c>
    </row>
    <row r="527" ht="30" customHeight="1">
      <c r="A527" s="6" t="inlineStr">
        <is>
          <t>Caution List</t>
        </is>
      </c>
      <c r="B527" s="14" t="n">
        <v>76</v>
      </c>
      <c r="C527" s="22" t="inlineStr">
        <is>
          <t>PSU plan (grade): A · 3-yr · relative TSR 50%, ROIC 50% · Screens fired: 4 · Red flags: retirement carveout · Action: Concentrate (1 flag tolerable)</t>
        </is>
      </c>
    </row>
    <row r="528" ht="30" customHeight="1">
      <c r="A528" s="8" t="inlineStr">
        <is>
          <t>Single-Measure Best</t>
        </is>
      </c>
      <c r="B528" s="16" t="n">
        <v>75</v>
      </c>
      <c r="C528" s="24" t="inlineStr">
        <is>
          <t>Detail: core 64 | cond_cats: · PSU plan (grade): A · 3-yr · relative TSR 50%, ROIC 50% · Score: 63.9 · Sector: Basic Materials</t>
        </is>
      </c>
    </row>
    <row r="529" ht="30" customHeight="1">
      <c r="A529" s="6" t="inlineStr">
        <is>
          <t>PSU Plans</t>
        </is>
      </c>
      <c r="B529" s="14" t="n"/>
      <c r="C529" s="22" t="inlineStr">
        <is>
          <t>Grade: A · PSU % LTI: 86 · Period: 3-yr (2023–2025) · Metrics (weight): relative TSR 50%, ROIC 50% · Payout range: 50–200% · rTSR target: 35th · Price hurdles: up to 3.7× price · Red flags: double-trigger only; 3y vesting; responsive to shareholders · Why this grade: per-share / return / TSR metrics: ROIC, relative TSR; 3-year · Design (verbatim): – 50% of the annual long-term equity awards are performance- · Proxy: https://www.sec.gov/Archives/edgar/data/1530804/000114036126</t>
        </is>
      </c>
    </row>
    <row r="531" ht="18" customHeight="1">
      <c r="A531" s="12" t="inlineStr">
        <is>
          <t>FIS  —  Fidelity National Information Services, Inc.</t>
        </is>
      </c>
      <c r="B531" s="12" t="n"/>
      <c r="C531" s="12" t="n"/>
    </row>
    <row r="532">
      <c r="A532" s="20" t="inlineStr">
        <is>
          <t>Technology · US · mcap $18,094M · price 35.0057</t>
        </is>
      </c>
    </row>
    <row r="533">
      <c r="A533" s="6" t="inlineStr">
        <is>
          <t>Financial read</t>
        </is>
      </c>
      <c r="B533" s="14" t="inlineStr">
        <is>
          <t>P/B 1.13 · EV/EBITDA 6.2× · FCF yld 15% · net debt 113% of mcap · rev +20% · op margin 16%</t>
        </is>
      </c>
    </row>
    <row r="534">
      <c r="A534" s="8" t="inlineStr">
        <is>
          <t>P/B</t>
        </is>
      </c>
      <c r="B534" s="16" t="inlineStr">
        <is>
          <t>1.13</t>
        </is>
      </c>
      <c r="C534" s="16" t="inlineStr">
        <is>
          <t>P/E: 5.3</t>
        </is>
      </c>
    </row>
    <row r="535">
      <c r="A535" s="6" t="inlineStr">
        <is>
          <t>EV/EBITDA</t>
        </is>
      </c>
      <c r="B535" s="14" t="inlineStr">
        <is>
          <t>6.2×</t>
        </is>
      </c>
      <c r="C535" s="14" t="inlineStr">
        <is>
          <t>FCF yield: 15%</t>
        </is>
      </c>
    </row>
    <row r="536">
      <c r="A536" s="8" t="inlineStr">
        <is>
          <t>Net cash / mcap</t>
        </is>
      </c>
      <c r="B536" s="16" t="inlineStr">
        <is>
          <t>-113%</t>
        </is>
      </c>
      <c r="C536" s="16" t="inlineStr">
        <is>
          <t>Net debt / EBITDA: 3.3×</t>
        </is>
      </c>
    </row>
    <row r="537">
      <c r="A537" s="6" t="inlineStr">
        <is>
          <t>Revenue growth</t>
        </is>
      </c>
      <c r="B537" s="14" t="inlineStr">
        <is>
          <t>+20%</t>
        </is>
      </c>
      <c r="C537" s="14" t="inlineStr">
        <is>
          <t>Operating margin: 16%</t>
        </is>
      </c>
    </row>
    <row r="538">
      <c r="A538" s="8" t="inlineStr">
        <is>
          <t>ROE</t>
        </is>
      </c>
      <c r="B538" s="16" t="inlineStr">
        <is>
          <t>23%</t>
        </is>
      </c>
      <c r="C538" s="16" t="inlineStr">
        <is>
          <t>Shares YoY: -2%</t>
        </is>
      </c>
    </row>
    <row r="539">
      <c r="A539" s="6" t="inlineStr">
        <is>
          <t>Interest cover</t>
        </is>
      </c>
      <c r="B539" s="14" t="inlineStr">
        <is>
          <t>11.2×</t>
        </is>
      </c>
      <c r="C539" s="14" t="inlineStr">
        <is>
          <t>52-week position: 2%</t>
        </is>
      </c>
    </row>
    <row r="540">
      <c r="A540" s="8" t="inlineStr">
        <is>
          <t>Avg $ volume</t>
        </is>
      </c>
      <c r="B540" s="16" t="inlineStr">
        <is>
          <t>$221,007,332</t>
        </is>
      </c>
      <c r="C540" s="16" t="n"/>
    </row>
    <row r="541" ht="45" customHeight="1">
      <c r="A541" s="8" t="inlineStr">
        <is>
          <t>Event 2026-02-24</t>
        </is>
      </c>
      <c r="B541" s="16" t="inlineStr">
        <is>
          <t>COMPLETED</t>
        </is>
      </c>
      <c r="C541" s="24" t="inlineStr">
        <is>
          <t>Completed separation of a business — “(7) FIS completed the separation of Worldpay on January 31, 2024, retaining a non-controlling 45% ownership interest that is recorded under the equity method of accounting, net of investor-level tax. FIS' share of Worldpay's results under the equity method of accounting reflects activity beginning o”</t>
        </is>
      </c>
    </row>
    <row r="542">
      <c r="A542" s="12" t="inlineStr">
        <is>
          <t>Appears on</t>
        </is>
      </c>
      <c r="B542" s="12" t="inlineStr">
        <is>
          <t>Strength %ile</t>
        </is>
      </c>
      <c r="C542" s="12" t="inlineStr">
        <is>
          <t>What that tab says</t>
        </is>
      </c>
    </row>
    <row r="543" ht="30" customHeight="1">
      <c r="A543" s="6" t="inlineStr">
        <is>
          <t>Caution List</t>
        </is>
      </c>
      <c r="B543" s="14" t="n">
        <v>76</v>
      </c>
      <c r="C543" s="22" t="inlineStr">
        <is>
          <t>Screens fired: 4 · Red flags: repricing language · Action: Concentrate (1 flag tolerable)</t>
        </is>
      </c>
    </row>
    <row r="544" ht="30" customHeight="1">
      <c r="A544" s="8" t="inlineStr">
        <is>
          <t>Re-Rate Catalysts</t>
        </is>
      </c>
      <c r="B544" s="16" t="n">
        <v>98</v>
      </c>
      <c r="C544" s="24" t="inlineStr">
        <is>
          <t>What's happening (8-K): [2026-02-24] Completed separation of a business · Score: 28 · Types: 2 · Ratio: 2.4 · Up%: 130 · Catalysts (source): Asset Sale [event]; Spinoff [event]</t>
        </is>
      </c>
    </row>
    <row r="545" ht="30" customHeight="1">
      <c r="A545" s="6" t="inlineStr">
        <is>
          <t>Event Detail</t>
        </is>
      </c>
      <c r="B545" s="14" t="n"/>
      <c r="C545" s="22" t="inlineStr">
        <is>
          <t>Date: 2026-02-24 · Event: Spinoff · Status: COMPLETED · What is happening: Completed separation of a business · Amount: $206M · % mcap: 1% · Filing excerpt (verbatim): (7) FIS completed the separation of Worldpay on January 31,  · Filing: https://www.sec.gov/Archives/edgar/data/1136893/000113689326</t>
        </is>
      </c>
    </row>
    <row r="547" ht="18" customHeight="1">
      <c r="A547" s="12" t="inlineStr">
        <is>
          <t>WW  —  WW International, Inc.</t>
        </is>
      </c>
      <c r="B547" s="12" t="n"/>
      <c r="C547" s="12" t="n"/>
    </row>
    <row r="548">
      <c r="A548" s="20" t="inlineStr">
        <is>
          <t>Consumer Cyclical · US · mcap $154M · price 15.41</t>
        </is>
      </c>
    </row>
    <row r="549">
      <c r="A549" s="6" t="inlineStr">
        <is>
          <t>Financial read</t>
        </is>
      </c>
      <c r="B549" s="14" t="inlineStr">
        <is>
          <t>P/B 0.55 · EV/EBITDA 4.6× · FCF yld -18% · net debt 211% of mcap · rev -9% · op margin -3% · interest cover -0.5× ⚠</t>
        </is>
      </c>
    </row>
    <row r="550">
      <c r="A550" s="8" t="inlineStr">
        <is>
          <t>P/B</t>
        </is>
      </c>
      <c r="B550" s="16" t="inlineStr">
        <is>
          <t>0.55</t>
        </is>
      </c>
      <c r="C550" s="16" t="inlineStr">
        <is>
          <t>P/E: -1.5</t>
        </is>
      </c>
    </row>
    <row r="551">
      <c r="A551" s="6" t="inlineStr">
        <is>
          <t>EV/EBITDA</t>
        </is>
      </c>
      <c r="B551" s="14" t="inlineStr">
        <is>
          <t>4.6×</t>
        </is>
      </c>
      <c r="C551" s="14" t="inlineStr">
        <is>
          <t>FCF yield: -18%</t>
        </is>
      </c>
    </row>
    <row r="552">
      <c r="A552" s="8" t="inlineStr">
        <is>
          <t>Net cash / mcap</t>
        </is>
      </c>
      <c r="B552" s="16" t="inlineStr">
        <is>
          <t>-211%</t>
        </is>
      </c>
      <c r="C552" s="16" t="inlineStr">
        <is>
          <t>Net debt / EBITDA: 3.2×</t>
        </is>
      </c>
    </row>
    <row r="553">
      <c r="A553" s="6" t="inlineStr">
        <is>
          <t>Revenue growth</t>
        </is>
      </c>
      <c r="B553" s="14" t="inlineStr">
        <is>
          <t>-9%</t>
        </is>
      </c>
      <c r="C553" s="14" t="inlineStr">
        <is>
          <t>Operating margin: -3%</t>
        </is>
      </c>
    </row>
    <row r="554">
      <c r="A554" s="8" t="inlineStr">
        <is>
          <t>ROE</t>
        </is>
      </c>
      <c r="B554" s="16" t="inlineStr">
        <is>
          <t>-34%</t>
        </is>
      </c>
      <c r="C554" s="16" t="inlineStr">
        <is>
          <t>Interest cover: -0.5×</t>
        </is>
      </c>
    </row>
    <row r="555">
      <c r="A555" s="6" t="inlineStr">
        <is>
          <t>52-week position</t>
        </is>
      </c>
      <c r="B555" s="14" t="inlineStr">
        <is>
          <t>23%</t>
        </is>
      </c>
      <c r="C555" s="14" t="inlineStr">
        <is>
          <t>Avg $ volume: $3,383,050</t>
        </is>
      </c>
    </row>
    <row r="556">
      <c r="A556" s="12" t="inlineStr">
        <is>
          <t>Appears on</t>
        </is>
      </c>
      <c r="B556" s="12" t="inlineStr">
        <is>
          <t>Strength %ile</t>
        </is>
      </c>
      <c r="C556" s="12" t="inlineStr">
        <is>
          <t>What that tab says</t>
        </is>
      </c>
    </row>
    <row r="557" ht="30" customHeight="1">
      <c r="A557" s="6" t="inlineStr">
        <is>
          <t>Caution List</t>
        </is>
      </c>
      <c r="B557" s="14" t="n">
        <v>32</v>
      </c>
      <c r="C557" s="22" t="inlineStr">
        <is>
          <t>Screens fired: 3 · Red flags: retirement carveout · Action: Concentrate (1 flag tolerable)</t>
        </is>
      </c>
    </row>
    <row r="558" ht="30" customHeight="1">
      <c r="A558" s="8" t="inlineStr">
        <is>
          <t>Governance Discount</t>
        </is>
      </c>
      <c r="B558" s="16" t="n">
        <v>48</v>
      </c>
      <c r="C558" s="24" t="inlineStr">
        <is>
          <t>Tier: ACTION LIKELY · Score: 17.8 · P/B: 0.55 · Mcap $M: 154 · Governance signals (most recent date): board refresh (2026-04); turnaround exec (2025-12)</t>
        </is>
      </c>
    </row>
    <row r="559" ht="30" customHeight="1">
      <c r="A559" s="6" t="inlineStr">
        <is>
          <t>Distressed Stub Progress</t>
        </is>
      </c>
      <c r="B559" s="14" t="n">
        <v>78</v>
      </c>
      <c r="C559" s="22" t="inlineStr">
        <is>
          <t>Score: 4 · Stage: 4 · Classification: real progress conditional · Event classes: debt_retired_below_par</t>
        </is>
      </c>
    </row>
    <row r="561" ht="18" customHeight="1">
      <c r="A561" s="12" t="inlineStr">
        <is>
          <t>MA  —  Mastercard Incorporated</t>
        </is>
      </c>
      <c r="B561" s="12" t="n"/>
      <c r="C561" s="12" t="n"/>
    </row>
    <row r="562">
      <c r="A562" s="20" t="inlineStr">
        <is>
          <t>Financial Services · US · mcap $491,004M · price 559.845</t>
        </is>
      </c>
    </row>
    <row r="563">
      <c r="A563" s="6" t="inlineStr">
        <is>
          <t>Financial read</t>
        </is>
      </c>
      <c r="B563" s="14" t="inlineStr">
        <is>
          <t>P/B 87.51 · P/E 30.7 · ROE 232% · div yld 0.6% · buying back 3%/yr (financial: book/earnings basis)</t>
        </is>
      </c>
    </row>
    <row r="564">
      <c r="A564" s="8" t="inlineStr">
        <is>
          <t>P/B</t>
        </is>
      </c>
      <c r="B564" s="16" t="inlineStr">
        <is>
          <t>87.51</t>
        </is>
      </c>
      <c r="C564" s="16" t="inlineStr">
        <is>
          <t>P/E: 30.7</t>
        </is>
      </c>
    </row>
    <row r="565">
      <c r="A565" s="6" t="inlineStr">
        <is>
          <t>EV/EBITDA</t>
        </is>
      </c>
      <c r="B565" s="14" t="inlineStr">
        <is>
          <t>22.8×</t>
        </is>
      </c>
      <c r="C565" s="14" t="inlineStr">
        <is>
          <t>FCF yield: 3%</t>
        </is>
      </c>
    </row>
    <row r="566">
      <c r="A566" s="8" t="inlineStr">
        <is>
          <t>Net cash / mcap</t>
        </is>
      </c>
      <c r="B566" s="16" t="inlineStr">
        <is>
          <t>-3%</t>
        </is>
      </c>
      <c r="C566" s="16" t="inlineStr">
        <is>
          <t>Net debt / EBITDA: 0.6×</t>
        </is>
      </c>
    </row>
    <row r="567">
      <c r="A567" s="6" t="inlineStr">
        <is>
          <t>Revenue growth</t>
        </is>
      </c>
      <c r="B567" s="14" t="inlineStr">
        <is>
          <t>+16%</t>
        </is>
      </c>
      <c r="C567" s="14" t="inlineStr">
        <is>
          <t>Operating margin: 60%</t>
        </is>
      </c>
    </row>
    <row r="568">
      <c r="A568" s="8" t="inlineStr">
        <is>
          <t>ROE</t>
        </is>
      </c>
      <c r="B568" s="16" t="inlineStr">
        <is>
          <t>232%</t>
        </is>
      </c>
      <c r="C568" s="16" t="inlineStr">
        <is>
          <t>Shares YoY: -3%</t>
        </is>
      </c>
    </row>
    <row r="569">
      <c r="A569" s="6" t="inlineStr">
        <is>
          <t>Interest cover</t>
        </is>
      </c>
      <c r="B569" s="14" t="inlineStr">
        <is>
          <t>28.1×</t>
        </is>
      </c>
      <c r="C569" s="14" t="inlineStr">
        <is>
          <t>52-week position: 70%</t>
        </is>
      </c>
    </row>
    <row r="570">
      <c r="A570" s="8" t="inlineStr">
        <is>
          <t>Avg $ volume</t>
        </is>
      </c>
      <c r="B570" s="16" t="inlineStr">
        <is>
          <t>$1,846,326,262</t>
        </is>
      </c>
      <c r="C570" s="16" t="n"/>
    </row>
    <row r="571">
      <c r="A571" s="12" t="inlineStr">
        <is>
          <t>Appears on</t>
        </is>
      </c>
      <c r="B571" s="12" t="inlineStr">
        <is>
          <t>Strength %ile</t>
        </is>
      </c>
      <c r="C571" s="12" t="inlineStr">
        <is>
          <t>What that tab says</t>
        </is>
      </c>
    </row>
    <row r="572" ht="30" customHeight="1">
      <c r="A572" s="6" t="inlineStr">
        <is>
          <t>Caution List</t>
        </is>
      </c>
      <c r="B572" s="14" t="n">
        <v>32</v>
      </c>
      <c r="C572" s="22" t="inlineStr">
        <is>
          <t>Screens fired: 3 · Red flags: repricing language, retirement carveout · Action: Material — basket diversify</t>
        </is>
      </c>
    </row>
    <row r="573" ht="30" customHeight="1">
      <c r="A573" s="8" t="inlineStr">
        <is>
          <t>Political Trades</t>
        </is>
      </c>
      <c r="B573" s="16" t="n"/>
      <c r="C573" s="24" t="inlineStr">
        <is>
          <t>Edge est.: -4.54 · Buys: 11 · Sells: 4 · Members: 3 · Last disclosed: 2026-08-05 · Recent trades: buy &lt;15k; 2026-07-13 Michael T. McCaul (H, Spouse) buy &lt;15k;</t>
        </is>
      </c>
    </row>
    <row r="574" ht="30" customHeight="1">
      <c r="A574" s="6" t="inlineStr">
        <is>
          <t>Without Valuation</t>
        </is>
      </c>
      <c r="B574" s="14" t="n">
        <v>12</v>
      </c>
      <c r="C574" s="22" t="inlineStr">
        <is>
          <t>Layers: 6 · Consensus: 4.09 · Lift vs val: 41 · Sector: Financial Services · Detail: PSU:31 BB:5 C10:78 RI:50</t>
        </is>
      </c>
    </row>
    <row r="576" ht="18" customHeight="1">
      <c r="A576" s="12" t="inlineStr">
        <is>
          <t>THRY  —  Thryv Holdings, Inc.</t>
        </is>
      </c>
      <c r="B576" s="12" t="n"/>
      <c r="C576" s="12" t="n"/>
    </row>
    <row r="577">
      <c r="A577" s="20" t="inlineStr">
        <is>
          <t>Technology · US · mcap $84M · price 1.9</t>
        </is>
      </c>
    </row>
    <row r="578">
      <c r="A578" s="6" t="inlineStr">
        <is>
          <t>Financial read</t>
        </is>
      </c>
      <c r="B578" s="14" t="inlineStr">
        <is>
          <t>P/B 0.40 · EV/EBITDA 5.1× · FCF yld 65% · net debt 278% of mcap · rev -6% · op margin 4% · interest cover 1.0× ⚠</t>
        </is>
      </c>
    </row>
    <row r="579">
      <c r="A579" s="8" t="inlineStr">
        <is>
          <t>P/B</t>
        </is>
      </c>
      <c r="B579" s="16" t="inlineStr">
        <is>
          <t>0.40</t>
        </is>
      </c>
      <c r="C579" s="16" t="inlineStr">
        <is>
          <t>P/E: -5.1</t>
        </is>
      </c>
    </row>
    <row r="580">
      <c r="A580" s="6" t="inlineStr">
        <is>
          <t>EV/EBITDA</t>
        </is>
      </c>
      <c r="B580" s="14" t="inlineStr">
        <is>
          <t>5.1×</t>
        </is>
      </c>
      <c r="C580" s="14" t="inlineStr">
        <is>
          <t>FCF yield: 65%</t>
        </is>
      </c>
    </row>
    <row r="581">
      <c r="A581" s="8" t="inlineStr">
        <is>
          <t>Net cash / mcap</t>
        </is>
      </c>
      <c r="B581" s="16" t="inlineStr">
        <is>
          <t>-278%</t>
        </is>
      </c>
      <c r="C581" s="16" t="inlineStr">
        <is>
          <t>Net debt / EBITDA: 3.8×</t>
        </is>
      </c>
    </row>
    <row r="582">
      <c r="A582" s="6" t="inlineStr">
        <is>
          <t>Revenue growth</t>
        </is>
      </c>
      <c r="B582" s="14" t="inlineStr">
        <is>
          <t>-6%</t>
        </is>
      </c>
      <c r="C582" s="14" t="inlineStr">
        <is>
          <t>Operating margin: 4%</t>
        </is>
      </c>
    </row>
    <row r="583">
      <c r="A583" s="8" t="inlineStr">
        <is>
          <t>ROE</t>
        </is>
      </c>
      <c r="B583" s="16" t="inlineStr">
        <is>
          <t>-7%</t>
        </is>
      </c>
      <c r="C583" s="16" t="inlineStr">
        <is>
          <t>Shares YoY: +0%</t>
        </is>
      </c>
    </row>
    <row r="584">
      <c r="A584" s="6" t="inlineStr">
        <is>
          <t>Interest cover</t>
        </is>
      </c>
      <c r="B584" s="14" t="inlineStr">
        <is>
          <t>1.0×</t>
        </is>
      </c>
      <c r="C584" s="14" t="inlineStr">
        <is>
          <t>52-week position: 1%</t>
        </is>
      </c>
    </row>
    <row r="585">
      <c r="A585" s="8" t="inlineStr">
        <is>
          <t>Avg $ volume</t>
        </is>
      </c>
      <c r="B585" s="16" t="inlineStr">
        <is>
          <t>$1,466,483</t>
        </is>
      </c>
      <c r="C585" s="16" t="n"/>
    </row>
    <row r="586">
      <c r="A586" s="12" t="inlineStr">
        <is>
          <t>Appears on</t>
        </is>
      </c>
      <c r="B586" s="12" t="inlineStr">
        <is>
          <t>Strength %ile</t>
        </is>
      </c>
      <c r="C586" s="12" t="inlineStr">
        <is>
          <t>What that tab says</t>
        </is>
      </c>
    </row>
    <row r="587" ht="30" customHeight="1">
      <c r="A587" s="6" t="inlineStr">
        <is>
          <t>Incentive Improvers</t>
        </is>
      </c>
      <c r="B587" s="14" t="n">
        <v>29</v>
      </c>
      <c r="C587" s="22" t="inlineStr">
        <is>
          <t>Improve: 35 · PSU core: 11.7 · Gov: 10 · PSU %: 60 · P/B: 0.398 · What improved: ownership requirement added; clawback strengthened; anti-hed · Caveats / date: 2026-04-30</t>
        </is>
      </c>
    </row>
    <row r="588" ht="30" customHeight="1">
      <c r="A588" s="8" t="inlineStr">
        <is>
          <t>Mechanism Gates</t>
        </is>
      </c>
      <c r="B588" s="16" t="n">
        <v>98</v>
      </c>
      <c r="C588" s="24" t="inlineStr">
        <is>
          <t>Score: 50.4 · Mech: 3 · Ratio: 3 · Archetypes: coiled spring delever, asset sale monetization</t>
        </is>
      </c>
    </row>
    <row r="589" ht="30" customHeight="1">
      <c r="A589" s="6" t="inlineStr">
        <is>
          <t>Governance Discount</t>
        </is>
      </c>
      <c r="B589" s="14" t="n">
        <v>70</v>
      </c>
      <c r="C589" s="22" t="inlineStr">
        <is>
          <t>Tier: BUILDING · Score: 23 · P/B: 0.4 · Mcap $M: 84.3 · Governance signals (most recent date): asset sale (2026-09); proxy responsive (2026-04)</t>
        </is>
      </c>
    </row>
    <row r="591" ht="18" customHeight="1">
      <c r="A591" s="12" t="inlineStr">
        <is>
          <t>MRP  —  Millrose Properties, Inc.</t>
        </is>
      </c>
      <c r="B591" s="12" t="n"/>
      <c r="C591" s="12" t="n"/>
    </row>
    <row r="592">
      <c r="A592" s="20" t="inlineStr">
        <is>
          <t>Real Estate · US · mcap $4,272M · price 27.7</t>
        </is>
      </c>
    </row>
    <row r="593">
      <c r="A593" s="6" t="inlineStr">
        <is>
          <t>Financial read</t>
        </is>
      </c>
      <c r="B593" s="14" t="inlineStr">
        <is>
          <t>P/B 0.73 · EV/EBITDA 10.1× · net debt 57% of mcap · op margin 85%  [FCF yield &gt;100% (check); revenue not comparable YoY (fair-value / one-off income?)]</t>
        </is>
      </c>
    </row>
    <row r="594">
      <c r="A594" s="8" t="inlineStr">
        <is>
          <t>P/B</t>
        </is>
      </c>
      <c r="B594" s="16" t="inlineStr">
        <is>
          <t>0.73</t>
        </is>
      </c>
      <c r="C594" s="16" t="inlineStr">
        <is>
          <t>P/E: 9.4</t>
        </is>
      </c>
    </row>
    <row r="595">
      <c r="A595" s="6" t="inlineStr">
        <is>
          <t>EV/EBITDA</t>
        </is>
      </c>
      <c r="B595" s="14" t="inlineStr">
        <is>
          <t>10.1×</t>
        </is>
      </c>
      <c r="C595" s="14" t="inlineStr">
        <is>
          <t>Net cash / mcap: -57%</t>
        </is>
      </c>
    </row>
    <row r="596">
      <c r="A596" s="8" t="inlineStr">
        <is>
          <t>Net debt / EBITDA</t>
        </is>
      </c>
      <c r="B596" s="16" t="inlineStr">
        <is>
          <t>3.7×</t>
        </is>
      </c>
      <c r="C596" s="16" t="inlineStr">
        <is>
          <t>Operating margin: 85%</t>
        </is>
      </c>
    </row>
    <row r="597">
      <c r="A597" s="6" t="inlineStr">
        <is>
          <t>ROE</t>
        </is>
      </c>
      <c r="B597" s="14" t="inlineStr">
        <is>
          <t>8%</t>
        </is>
      </c>
      <c r="C597" s="14" t="inlineStr">
        <is>
          <t>Shares YoY: -0%</t>
        </is>
      </c>
    </row>
    <row r="598">
      <c r="A598" s="8" t="inlineStr">
        <is>
          <t>Interest cover</t>
        </is>
      </c>
      <c r="B598" s="16" t="inlineStr">
        <is>
          <t>4.1×</t>
        </is>
      </c>
      <c r="C598" s="16" t="inlineStr">
        <is>
          <t>52-week position: 17%</t>
        </is>
      </c>
    </row>
    <row r="599">
      <c r="A599" s="6" t="inlineStr">
        <is>
          <t>Avg $ volume</t>
        </is>
      </c>
      <c r="B599" s="14" t="inlineStr">
        <is>
          <t>$39,789,222</t>
        </is>
      </c>
      <c r="C599" s="14" t="n"/>
    </row>
    <row r="600">
      <c r="A600" s="12" t="inlineStr">
        <is>
          <t>Appears on</t>
        </is>
      </c>
      <c r="B600" s="12" t="inlineStr">
        <is>
          <t>Strength %ile</t>
        </is>
      </c>
      <c r="C600" s="12" t="inlineStr">
        <is>
          <t>What that tab says</t>
        </is>
      </c>
    </row>
    <row r="601" ht="30" customHeight="1">
      <c r="A601" s="6" t="inlineStr">
        <is>
          <t>Insider Conviction</t>
        </is>
      </c>
      <c r="B601" s="14" t="n">
        <v>89</v>
      </c>
      <c r="C601" s="22" t="inlineStr">
        <is>
          <t>Conviction: 39 · Insiders: 4 · Cluster: 3 · Same day: 3 · C-suite: 1 · Total $M: 6.53 · Top $M: 6.42 · Configuration: same-day cluster x3; C-suite buyer; $6.4M top buyer</t>
        </is>
      </c>
    </row>
    <row r="602" ht="30" customHeight="1">
      <c r="A602" s="8" t="inlineStr">
        <is>
          <t>Asymmetry Assembly</t>
        </is>
      </c>
      <c r="B602" s="16" t="n">
        <v>23</v>
      </c>
      <c r="C602" s="24" t="inlineStr">
        <is>
          <t>Assembly: 25 · N/8: 3 · Cheap: ● · Lev: ● · Insdr: ●</t>
        </is>
      </c>
    </row>
    <row r="603" ht="30" customHeight="1">
      <c r="A603" s="6" t="inlineStr">
        <is>
          <t>Distressed Stub Progress</t>
        </is>
      </c>
      <c r="B603" s="14" t="n">
        <v>78</v>
      </c>
      <c r="C603" s="22" t="inlineStr">
        <is>
          <t>Score: 4 · Stage: 4 · Classification: real progress conditional · Event classes: principal_haircut</t>
        </is>
      </c>
    </row>
    <row r="605" ht="18" customHeight="1">
      <c r="A605" s="12" t="inlineStr">
        <is>
          <t>GSHD  —  Goosehead Insurance, Inc</t>
        </is>
      </c>
      <c r="B605" s="12" t="n"/>
      <c r="C605" s="12" t="n"/>
    </row>
    <row r="606">
      <c r="A606" s="20" t="inlineStr">
        <is>
          <t>Financial Services · US · mcap $1,648M · price 44.085</t>
        </is>
      </c>
    </row>
    <row r="607">
      <c r="A607" s="6" t="inlineStr">
        <is>
          <t>Financial read</t>
        </is>
      </c>
      <c r="B607" s="14" t="inlineStr">
        <is>
          <t>P/E 30.7 · ROE -33% · buying back 6%/yr (financial: book/earnings basis)  [negative equity]</t>
        </is>
      </c>
    </row>
    <row r="608">
      <c r="A608" s="8" t="inlineStr">
        <is>
          <t>P/E</t>
        </is>
      </c>
      <c r="B608" s="16" t="inlineStr">
        <is>
          <t>30.7</t>
        </is>
      </c>
      <c r="C608" s="16" t="inlineStr">
        <is>
          <t>EV/EBITDA: 17.1×</t>
        </is>
      </c>
    </row>
    <row r="609">
      <c r="A609" s="6" t="inlineStr">
        <is>
          <t>FCF yield</t>
        </is>
      </c>
      <c r="B609" s="14" t="inlineStr">
        <is>
          <t>5%</t>
        </is>
      </c>
      <c r="C609" s="14" t="inlineStr">
        <is>
          <t>Net debt / EBITDA: 3.0×</t>
        </is>
      </c>
    </row>
    <row r="610">
      <c r="A610" s="8" t="inlineStr">
        <is>
          <t>Revenue growth</t>
        </is>
      </c>
      <c r="B610" s="16" t="inlineStr">
        <is>
          <t>+18%</t>
        </is>
      </c>
      <c r="C610" s="16" t="inlineStr">
        <is>
          <t>Operating margin: 26%</t>
        </is>
      </c>
    </row>
    <row r="611">
      <c r="A611" s="6" t="inlineStr">
        <is>
          <t>ROE</t>
        </is>
      </c>
      <c r="B611" s="14" t="inlineStr">
        <is>
          <t>-33%</t>
        </is>
      </c>
      <c r="C611" s="14" t="inlineStr">
        <is>
          <t>Shares YoY: -6%</t>
        </is>
      </c>
    </row>
    <row r="612">
      <c r="A612" s="8" t="inlineStr">
        <is>
          <t>Interest cover</t>
        </is>
      </c>
      <c r="B612" s="16" t="inlineStr">
        <is>
          <t>215.9×</t>
        </is>
      </c>
      <c r="C612" s="16" t="inlineStr">
        <is>
          <t>52-week position: 23%</t>
        </is>
      </c>
    </row>
    <row r="613">
      <c r="A613" s="6" t="inlineStr">
        <is>
          <t>Avg $ volume</t>
        </is>
      </c>
      <c r="B613" s="14" t="inlineStr">
        <is>
          <t>$22,844,098</t>
        </is>
      </c>
      <c r="C613" s="14" t="n"/>
    </row>
    <row r="614">
      <c r="A614" s="12" t="inlineStr">
        <is>
          <t>Appears on</t>
        </is>
      </c>
      <c r="B614" s="12" t="inlineStr">
        <is>
          <t>Strength %ile</t>
        </is>
      </c>
      <c r="C614" s="12" t="inlineStr">
        <is>
          <t>What that tab says</t>
        </is>
      </c>
    </row>
    <row r="615" ht="30" customHeight="1">
      <c r="A615" s="6" t="inlineStr">
        <is>
          <t>Insider Conviction</t>
        </is>
      </c>
      <c r="B615" s="14" t="n">
        <v>83</v>
      </c>
      <c r="C615" s="22" t="inlineStr">
        <is>
          <t>Conviction: 34 · Insiders: 4 · Cluster: 4 · Same day: 2 · C-suite: 3 · Total $M: 0.56 · Top $M: 0.18 · Configuration: same-day cluster x2; 4 insiders in 17d; 3 C-suite buyers</t>
        </is>
      </c>
    </row>
    <row r="616" ht="30" customHeight="1">
      <c r="A616" s="8" t="inlineStr">
        <is>
          <t>Insider Filing-Time</t>
        </is>
      </c>
      <c r="B616" s="16" t="n">
        <v>87</v>
      </c>
      <c r="C616" s="24" t="inlineStr">
        <is>
          <t>Timing pts: 15 · Off-hrs $%: 100 · Mkt-hrs $%: 0 · Friday: Fri-eve · Filings: 4 · Total $M: 0.56 · Read: quiet accumulator (off-hours)</t>
        </is>
      </c>
    </row>
    <row r="617" ht="30" customHeight="1">
      <c r="A617" s="6" t="inlineStr">
        <is>
          <t>Recent 30d</t>
        </is>
      </c>
      <c r="B617" s="14" t="n">
        <v>90</v>
      </c>
      <c r="C617" s="22" t="inlineStr">
        <is>
          <t>Score: 53 · Days: 20 · Event kind: F4_PBUY · Inner: 2 · DD%: 70 · P/B: -6.71 · Reasons: event 20d ago; insider P-buy; 2 events in 30d; DD 70% (unpri</t>
        </is>
      </c>
    </row>
    <row r="619" ht="18" customHeight="1">
      <c r="A619" s="12" t="inlineStr">
        <is>
          <t>AAT  —  American Assets Trust, Inc.</t>
        </is>
      </c>
      <c r="B619" s="12" t="n"/>
      <c r="C619" s="12" t="n"/>
    </row>
    <row r="620">
      <c r="A620" s="20" t="inlineStr">
        <is>
          <t>Real Estate · US · mcap $1,332M · price 21.69</t>
        </is>
      </c>
    </row>
    <row r="621">
      <c r="A621" s="6" t="inlineStr">
        <is>
          <t>Financial read</t>
        </is>
      </c>
      <c r="B621" s="14" t="inlineStr">
        <is>
          <t>P/B 1.19 · EV/EBITDA 12.6× · FCF yld 7% · net debt 121% of mcap · rev -3% · op margin 23% · interest cover 1.3× ⚠</t>
        </is>
      </c>
    </row>
    <row r="622">
      <c r="A622" s="8" t="inlineStr">
        <is>
          <t>P/B</t>
        </is>
      </c>
      <c r="B622" s="16" t="inlineStr">
        <is>
          <t>1.19</t>
        </is>
      </c>
      <c r="C622" s="16" t="inlineStr">
        <is>
          <t>P/E: 73.5</t>
        </is>
      </c>
    </row>
    <row r="623">
      <c r="A623" s="6" t="inlineStr">
        <is>
          <t>EV/EBITDA</t>
        </is>
      </c>
      <c r="B623" s="14" t="inlineStr">
        <is>
          <t>12.6×</t>
        </is>
      </c>
      <c r="C623" s="14" t="inlineStr">
        <is>
          <t>FCF yield: 7%</t>
        </is>
      </c>
    </row>
    <row r="624">
      <c r="A624" s="8" t="inlineStr">
        <is>
          <t>Net cash / mcap</t>
        </is>
      </c>
      <c r="B624" s="16" t="inlineStr">
        <is>
          <t>-121%</t>
        </is>
      </c>
      <c r="C624" s="16" t="inlineStr">
        <is>
          <t>Net debt / EBITDA: 6.9×</t>
        </is>
      </c>
    </row>
    <row r="625">
      <c r="A625" s="6" t="inlineStr">
        <is>
          <t>Revenue growth</t>
        </is>
      </c>
      <c r="B625" s="14" t="inlineStr">
        <is>
          <t>-3%</t>
        </is>
      </c>
      <c r="C625" s="14" t="inlineStr">
        <is>
          <t>Operating margin: 23%</t>
        </is>
      </c>
    </row>
    <row r="626">
      <c r="A626" s="8" t="inlineStr">
        <is>
          <t>ROE</t>
        </is>
      </c>
      <c r="B626" s="16" t="inlineStr">
        <is>
          <t>2%</t>
        </is>
      </c>
      <c r="C626" s="16" t="inlineStr">
        <is>
          <t>Shares YoY: +0%</t>
        </is>
      </c>
    </row>
    <row r="627">
      <c r="A627" s="6" t="inlineStr">
        <is>
          <t>Interest cover</t>
        </is>
      </c>
      <c r="B627" s="14" t="inlineStr">
        <is>
          <t>1.3×</t>
        </is>
      </c>
      <c r="C627" s="14" t="inlineStr">
        <is>
          <t>52-week position: 48%</t>
        </is>
      </c>
    </row>
    <row r="628">
      <c r="A628" s="8" t="inlineStr">
        <is>
          <t>Avg $ volume</t>
        </is>
      </c>
      <c r="B628" s="16" t="inlineStr">
        <is>
          <t>$9,595,092</t>
        </is>
      </c>
      <c r="C628" s="16" t="n"/>
    </row>
    <row r="629">
      <c r="A629" s="12" t="inlineStr">
        <is>
          <t>Appears on</t>
        </is>
      </c>
      <c r="B629" s="12" t="inlineStr">
        <is>
          <t>Strength %ile</t>
        </is>
      </c>
      <c r="C629" s="12" t="inlineStr">
        <is>
          <t>What that tab says</t>
        </is>
      </c>
    </row>
    <row r="630" ht="30" customHeight="1">
      <c r="A630" s="6" t="inlineStr">
        <is>
          <t>Insider Conviction</t>
        </is>
      </c>
      <c r="B630" s="14" t="n">
        <v>74</v>
      </c>
      <c r="C630" s="22" t="inlineStr">
        <is>
          <t>Conviction: 27 · Insiders: 1 · Cluster: 1 · Same day: 1 · C-suite: 1 · Total $M: 3.59 · Top $M: 3.59 · Configuration: C-suite buyer; $3.6M top buyer</t>
        </is>
      </c>
    </row>
    <row r="631" ht="30" customHeight="1">
      <c r="A631" s="8" t="inlineStr">
        <is>
          <t>Without Valuation</t>
        </is>
      </c>
      <c r="B631" s="16" t="n">
        <v>18</v>
      </c>
      <c r="C631" s="24" t="inlineStr">
        <is>
          <t>Layers: 6 · Consensus: 4.13 · Lift vs val: 9 · Sector: Real Estate · Detail: PSU:2 BB:5 C10:-12 F4:5 RI:37 SS:10</t>
        </is>
      </c>
    </row>
    <row r="632" ht="30" customHeight="1">
      <c r="A632" s="6" t="inlineStr">
        <is>
          <t>Single-Measure Best</t>
        </is>
      </c>
      <c r="B632" s="14" t="n">
        <v>51</v>
      </c>
      <c r="C632" s="22" t="inlineStr">
        <is>
          <t>Detail: shares -20.6% over 176d | status SHRINKING_NO_AUTH · Score: 20.6 · Sector: Real Estate</t>
        </is>
      </c>
    </row>
    <row r="634" ht="18" customHeight="1">
      <c r="A634" s="12" t="inlineStr">
        <is>
          <t>ALKT  —  Alkami Technology, Inc.</t>
        </is>
      </c>
      <c r="B634" s="12" t="n"/>
      <c r="C634" s="12" t="n"/>
    </row>
    <row r="635">
      <c r="A635" s="20" t="inlineStr">
        <is>
          <t>Technology · US · mcap $1,569M · price 14.67</t>
        </is>
      </c>
    </row>
    <row r="636">
      <c r="A636" s="6" t="inlineStr">
        <is>
          <t>Financial read</t>
        </is>
      </c>
      <c r="B636" s="14" t="inlineStr">
        <is>
          <t>P/B 4.33 · P/S 3.2 · FCF yld 4% · net debt 18% of mcap · rev +27% · op margin -7% · diluting 3%/yr · interest cover -3.6× ⚠</t>
        </is>
      </c>
    </row>
    <row r="637">
      <c r="A637" s="8" t="inlineStr">
        <is>
          <t>P/B</t>
        </is>
      </c>
      <c r="B637" s="16" t="inlineStr">
        <is>
          <t>4.33</t>
        </is>
      </c>
      <c r="C637" s="16" t="inlineStr">
        <is>
          <t>P/E: -34.1</t>
        </is>
      </c>
    </row>
    <row r="638">
      <c r="A638" s="6" t="inlineStr">
        <is>
          <t>EV/EBITDA</t>
        </is>
      </c>
      <c r="B638" s="14" t="inlineStr">
        <is>
          <t>-217.9×</t>
        </is>
      </c>
      <c r="C638" s="14" t="inlineStr">
        <is>
          <t>FCF yield: 4%</t>
        </is>
      </c>
    </row>
    <row r="639">
      <c r="A639" s="8" t="inlineStr">
        <is>
          <t>Net cash / mcap</t>
        </is>
      </c>
      <c r="B639" s="16" t="inlineStr">
        <is>
          <t>-18%</t>
        </is>
      </c>
      <c r="C639" s="16" t="inlineStr">
        <is>
          <t>Net debt / EBITDA: -36.4×</t>
        </is>
      </c>
    </row>
    <row r="640">
      <c r="A640" s="6" t="inlineStr">
        <is>
          <t>Revenue growth</t>
        </is>
      </c>
      <c r="B640" s="14" t="inlineStr">
        <is>
          <t>+27%</t>
        </is>
      </c>
      <c r="C640" s="14" t="inlineStr">
        <is>
          <t>Operating margin: -7%</t>
        </is>
      </c>
    </row>
    <row r="641">
      <c r="A641" s="8" t="inlineStr">
        <is>
          <t>ROE</t>
        </is>
      </c>
      <c r="B641" s="16" t="inlineStr">
        <is>
          <t>-12%</t>
        </is>
      </c>
      <c r="C641" s="16" t="inlineStr">
        <is>
          <t>Shares YoY: +3%</t>
        </is>
      </c>
    </row>
    <row r="642">
      <c r="A642" s="6" t="inlineStr">
        <is>
          <t>Interest cover</t>
        </is>
      </c>
      <c r="B642" s="14" t="inlineStr">
        <is>
          <t>-3.6×</t>
        </is>
      </c>
      <c r="C642" s="14" t="inlineStr">
        <is>
          <t>52-week position: 6%</t>
        </is>
      </c>
    </row>
    <row r="643">
      <c r="A643" s="8" t="inlineStr">
        <is>
          <t>Avg $ volume</t>
        </is>
      </c>
      <c r="B643" s="16" t="inlineStr">
        <is>
          <t>$23,616,764</t>
        </is>
      </c>
      <c r="C643" s="16" t="n"/>
    </row>
    <row r="644">
      <c r="A644" s="12" t="inlineStr">
        <is>
          <t>Appears on</t>
        </is>
      </c>
      <c r="B644" s="12" t="inlineStr">
        <is>
          <t>Strength %ile</t>
        </is>
      </c>
      <c r="C644" s="12" t="inlineStr">
        <is>
          <t>What that tab says</t>
        </is>
      </c>
    </row>
    <row r="645" ht="30" customHeight="1">
      <c r="A645" s="6" t="inlineStr">
        <is>
          <t>Insider Conviction</t>
        </is>
      </c>
      <c r="B645" s="14" t="n">
        <v>74</v>
      </c>
      <c r="C645" s="22" t="inlineStr">
        <is>
          <t>Conviction: 27 · Insiders: 2 · Cluster: 2 · Same day: 2 · C-suite: 0 · Total $M: 65.9 · Top $M: 32.9 · Configuration: same-day cluster x2; $32.9M top buyer</t>
        </is>
      </c>
    </row>
    <row r="646" ht="30" customHeight="1">
      <c r="A646" s="8" t="inlineStr">
        <is>
          <t>Without Valuation</t>
        </is>
      </c>
      <c r="B646" s="16" t="n">
        <v>42</v>
      </c>
      <c r="C646" s="24" t="inlineStr">
        <is>
          <t>Layers: 6 · Consensus: 4.52 · Lift vs val: 13 · Sector: Technology · Detail: PSU:11 C10:-6 F4:16 RI:54</t>
        </is>
      </c>
    </row>
    <row r="647" ht="30" customHeight="1">
      <c r="A647" s="6" t="inlineStr">
        <is>
          <t>Single-Measure Best</t>
        </is>
      </c>
      <c r="B647" s="14" t="n">
        <v>93</v>
      </c>
      <c r="C647" s="22" t="inlineStr">
        <is>
          <t>Detail: $65.9M cluster, 2 buyers (4.20% of mcap) · Score: 65,859,500 · Sector: Technology</t>
        </is>
      </c>
    </row>
    <row r="649" ht="18" customHeight="1">
      <c r="A649" s="12" t="inlineStr">
        <is>
          <t>NSPR  —  InspireMD, Inc.</t>
        </is>
      </c>
      <c r="B649" s="12" t="n"/>
      <c r="C649" s="12" t="n"/>
    </row>
    <row r="650">
      <c r="A650" s="20" t="inlineStr">
        <is>
          <t>Healthcare · US · mcap $35M · price 0.75</t>
        </is>
      </c>
    </row>
    <row r="651">
      <c r="A651" s="6" t="inlineStr">
        <is>
          <t>Financial read</t>
        </is>
      </c>
      <c r="B651" s="14" t="inlineStr">
        <is>
          <t>P/B 1.11 · P/S 3.1 · net cash 81% of mcap · rev +53% · op margin -494% · diluting 44%/yr  [FCF yield &gt;100% (check)]</t>
        </is>
      </c>
    </row>
    <row r="652">
      <c r="A652" s="8" t="inlineStr">
        <is>
          <t>P/B</t>
        </is>
      </c>
      <c r="B652" s="16" t="inlineStr">
        <is>
          <t>1.11</t>
        </is>
      </c>
      <c r="C652" s="16" t="inlineStr">
        <is>
          <t>P/E: -1.5</t>
        </is>
      </c>
    </row>
    <row r="653">
      <c r="A653" s="6" t="inlineStr">
        <is>
          <t>EV/EBITDA</t>
        </is>
      </c>
      <c r="B653" s="14" t="inlineStr">
        <is>
          <t>-0.6×</t>
        </is>
      </c>
      <c r="C653" s="14" t="inlineStr">
        <is>
          <t>Net cash / mcap: +81%</t>
        </is>
      </c>
    </row>
    <row r="654">
      <c r="A654" s="8" t="inlineStr">
        <is>
          <t>Net debt / EBITDA</t>
        </is>
      </c>
      <c r="B654" s="16" t="inlineStr">
        <is>
          <t>0.3×</t>
        </is>
      </c>
      <c r="C654" s="16" t="inlineStr">
        <is>
          <t>Revenue growth: +53%</t>
        </is>
      </c>
    </row>
    <row r="655">
      <c r="A655" s="6" t="inlineStr">
        <is>
          <t>Operating margin</t>
        </is>
      </c>
      <c r="B655" s="14" t="inlineStr">
        <is>
          <t>-494%</t>
        </is>
      </c>
      <c r="C655" s="14" t="inlineStr">
        <is>
          <t>ROE: -79%</t>
        </is>
      </c>
    </row>
    <row r="656">
      <c r="A656" s="8" t="inlineStr">
        <is>
          <t>Shares YoY</t>
        </is>
      </c>
      <c r="B656" s="16" t="inlineStr">
        <is>
          <t>+44%</t>
        </is>
      </c>
      <c r="C656" s="16" t="inlineStr">
        <is>
          <t>52-week position: 6%</t>
        </is>
      </c>
    </row>
    <row r="657">
      <c r="A657" s="6" t="inlineStr">
        <is>
          <t>Avg $ volume</t>
        </is>
      </c>
      <c r="B657" s="14" t="inlineStr">
        <is>
          <t>$127,183</t>
        </is>
      </c>
      <c r="C657" s="14" t="n"/>
    </row>
    <row r="658">
      <c r="A658" s="12" t="inlineStr">
        <is>
          <t>Appears on</t>
        </is>
      </c>
      <c r="B658" s="12" t="inlineStr">
        <is>
          <t>Strength %ile</t>
        </is>
      </c>
      <c r="C658" s="12" t="inlineStr">
        <is>
          <t>What that tab says</t>
        </is>
      </c>
    </row>
    <row r="659" ht="30" customHeight="1">
      <c r="A659" s="6" t="inlineStr">
        <is>
          <t>Insider Conviction</t>
        </is>
      </c>
      <c r="B659" s="14" t="n">
        <v>69</v>
      </c>
      <c r="C659" s="22" t="inlineStr">
        <is>
          <t>Conviction: 26 · Insiders: 4 · Cluster: 4 · Same day: 2 · C-suite: 1 · Total $M: 0.44 · Top $M: 0.21 · Configuration: same-day cluster x2; 4 insiders in 5d; C-suite buyer</t>
        </is>
      </c>
    </row>
    <row r="660" ht="30" customHeight="1">
      <c r="A660" s="8" t="inlineStr">
        <is>
          <t>Insider Filing-Time</t>
        </is>
      </c>
      <c r="B660" s="16" t="n">
        <v>87</v>
      </c>
      <c r="C660" s="24" t="inlineStr">
        <is>
          <t>Timing pts: 15 · Off-hrs $%: 100 · Mkt-hrs $%: 0 · Friday: Fri-eve · Filings: 7 · Total $M: 0.44 · Read: quiet accumulator (off-hours)</t>
        </is>
      </c>
    </row>
    <row r="661" ht="30" customHeight="1">
      <c r="A661" s="6" t="inlineStr">
        <is>
          <t>Recent 30d</t>
        </is>
      </c>
      <c r="B661" s="14" t="n">
        <v>61</v>
      </c>
      <c r="C661" s="22" t="inlineStr">
        <is>
          <t>Score: 47 · Days: 23 · Event kind: F4_PBUY · Inner: 1 · DD%: 76 · P/B: 0.763 · Reasons: event 23d ago; insider P-buy; DD 76% (unpriced); only 3% abo</t>
        </is>
      </c>
    </row>
    <row r="663" ht="18" customHeight="1">
      <c r="A663" s="12" t="inlineStr">
        <is>
          <t>SSP  —  The E.W. Scripps Company</t>
        </is>
      </c>
      <c r="B663" s="12" t="n"/>
      <c r="C663" s="12" t="n"/>
    </row>
    <row r="664">
      <c r="A664" s="20" t="inlineStr">
        <is>
          <t>Communication Services · US · mcap $242M · price 3.035</t>
        </is>
      </c>
    </row>
    <row r="665">
      <c r="A665" s="6" t="inlineStr">
        <is>
          <t>Financial read</t>
        </is>
      </c>
      <c r="B665" s="14" t="inlineStr">
        <is>
          <t>P/B 2.40 · P/S 0.1 · FCF yld 15% · net debt 1067% of mcap · rev -14% · op margin -51% · diluting 5%/yr · interest cover -3.9× ⚠</t>
        </is>
      </c>
    </row>
    <row r="666">
      <c r="A666" s="8" t="inlineStr">
        <is>
          <t>P/B</t>
        </is>
      </c>
      <c r="B666" s="16" t="inlineStr">
        <is>
          <t>2.40</t>
        </is>
      </c>
      <c r="C666" s="16" t="inlineStr">
        <is>
          <t>P/E: -0.2</t>
        </is>
      </c>
    </row>
    <row r="667">
      <c r="A667" s="6" t="inlineStr">
        <is>
          <t>EV/EBITDA</t>
        </is>
      </c>
      <c r="B667" s="14" t="inlineStr">
        <is>
          <t>-3.9×</t>
        </is>
      </c>
      <c r="C667" s="14" t="inlineStr">
        <is>
          <t>FCF yield: 15%</t>
        </is>
      </c>
    </row>
    <row r="668">
      <c r="A668" s="8" t="inlineStr">
        <is>
          <t>Net cash / mcap</t>
        </is>
      </c>
      <c r="B668" s="16" t="inlineStr">
        <is>
          <t>-1067%</t>
        </is>
      </c>
      <c r="C668" s="16" t="inlineStr">
        <is>
          <t>Net debt / EBITDA: -3.6×</t>
        </is>
      </c>
    </row>
    <row r="669">
      <c r="A669" s="6" t="inlineStr">
        <is>
          <t>Revenue growth</t>
        </is>
      </c>
      <c r="B669" s="14" t="inlineStr">
        <is>
          <t>-14%</t>
        </is>
      </c>
      <c r="C669" s="14" t="inlineStr">
        <is>
          <t>Operating margin: -51%</t>
        </is>
      </c>
    </row>
    <row r="670">
      <c r="A670" s="8" t="inlineStr">
        <is>
          <t>ROE</t>
        </is>
      </c>
      <c r="B670" s="16" t="inlineStr">
        <is>
          <t>-128%</t>
        </is>
      </c>
      <c r="C670" s="16" t="inlineStr">
        <is>
          <t>Shares YoY: +5%</t>
        </is>
      </c>
    </row>
    <row r="671">
      <c r="A671" s="6" t="inlineStr">
        <is>
          <t>Interest cover</t>
        </is>
      </c>
      <c r="B671" s="14" t="inlineStr">
        <is>
          <t>-3.9×</t>
        </is>
      </c>
      <c r="C671" s="14" t="inlineStr">
        <is>
          <t>52-week position: 39%</t>
        </is>
      </c>
    </row>
    <row r="672">
      <c r="A672" s="8" t="inlineStr">
        <is>
          <t>Avg $ volume</t>
        </is>
      </c>
      <c r="B672" s="16" t="inlineStr">
        <is>
          <t>$2,127,659</t>
        </is>
      </c>
      <c r="C672" s="16" t="n"/>
    </row>
    <row r="673">
      <c r="A673" s="12" t="inlineStr">
        <is>
          <t>Appears on</t>
        </is>
      </c>
      <c r="B673" s="12" t="inlineStr">
        <is>
          <t>Strength %ile</t>
        </is>
      </c>
      <c r="C673" s="12" t="inlineStr">
        <is>
          <t>What that tab says</t>
        </is>
      </c>
    </row>
    <row r="674" ht="30" customHeight="1">
      <c r="A674" s="6" t="inlineStr">
        <is>
          <t>Insider Filing-Time</t>
        </is>
      </c>
      <c r="B674" s="14" t="n">
        <v>87</v>
      </c>
      <c r="C674" s="22" t="inlineStr">
        <is>
          <t>Timing pts: 15 · Off-hrs $%: 100 · Mkt-hrs $%: 0 · Friday: Fri-eve · Filings: 2 · Total $M: 0.26 · Read: quiet accumulator (off-hours)</t>
        </is>
      </c>
    </row>
    <row r="675" ht="30" customHeight="1">
      <c r="A675" s="8" t="inlineStr">
        <is>
          <t>Mechanism Gates</t>
        </is>
      </c>
      <c r="B675" s="16" t="n">
        <v>84</v>
      </c>
      <c r="C675" s="24" t="inlineStr">
        <is>
          <t>Score: 34.4 · Mech: 2 · Ratio: 3 · Archetypes: hidden asset realization, asset sale latent</t>
        </is>
      </c>
    </row>
    <row r="676" ht="30" customHeight="1">
      <c r="A676" s="6" t="inlineStr">
        <is>
          <t>Hidden Asset Realisation</t>
        </is>
      </c>
      <c r="B676" s="14" t="n">
        <v>99</v>
      </c>
      <c r="C676" s="22" t="inlineStr">
        <is>
          <t>Score: 36 · Mand. prepay: yes · Industry: media, telecom · Asset types: spectrum, broadcast_licenc · Thesis / feature: April 2026 credit agreement an</t>
        </is>
      </c>
    </row>
    <row r="678" ht="18" customHeight="1">
      <c r="A678" s="12" t="inlineStr">
        <is>
          <t>USAR  —  USA Rare Earth Inc</t>
        </is>
      </c>
      <c r="B678" s="12" t="n"/>
      <c r="C678" s="12" t="n"/>
    </row>
    <row r="679">
      <c r="A679" s="20" t="inlineStr">
        <is>
          <t>Basic Materials · US · mcap $2,143M · price 16.155</t>
        </is>
      </c>
    </row>
    <row r="680">
      <c r="A680" s="6" t="inlineStr">
        <is>
          <t>Financial read</t>
        </is>
      </c>
      <c r="B680" s="14" t="inlineStr">
        <is>
          <t>P/B 0.84 · P/S 161.9 · FCF yld -12% · net cash 74% of mcap  [new entity / merger: history not comparable]</t>
        </is>
      </c>
    </row>
    <row r="681">
      <c r="A681" s="8" t="inlineStr">
        <is>
          <t>P/B</t>
        </is>
      </c>
      <c r="B681" s="16" t="inlineStr">
        <is>
          <t>0.84</t>
        </is>
      </c>
      <c r="C681" s="16" t="inlineStr">
        <is>
          <t>P/E: -6.7</t>
        </is>
      </c>
    </row>
    <row r="682">
      <c r="A682" s="6" t="inlineStr">
        <is>
          <t>EV/EBITDA</t>
        </is>
      </c>
      <c r="B682" s="14" t="inlineStr">
        <is>
          <t>-4.4×</t>
        </is>
      </c>
      <c r="C682" s="14" t="inlineStr">
        <is>
          <t>FCF yield: -12%</t>
        </is>
      </c>
    </row>
    <row r="683">
      <c r="A683" s="8" t="inlineStr">
        <is>
          <t>Net cash / mcap</t>
        </is>
      </c>
      <c r="B683" s="16" t="inlineStr">
        <is>
          <t>+74%</t>
        </is>
      </c>
      <c r="C683" s="16" t="inlineStr">
        <is>
          <t>Net debt / EBITDA: 13.3×</t>
        </is>
      </c>
    </row>
    <row r="684">
      <c r="A684" s="6" t="inlineStr">
        <is>
          <t>Operating margin</t>
        </is>
      </c>
      <c r="B684" s="14" t="inlineStr">
        <is>
          <t>-949%</t>
        </is>
      </c>
      <c r="C684" s="14" t="inlineStr">
        <is>
          <t>ROE: -23%</t>
        </is>
      </c>
    </row>
    <row r="685">
      <c r="A685" s="8" t="inlineStr">
        <is>
          <t>52-week position</t>
        </is>
      </c>
      <c r="B685" s="16" t="inlineStr">
        <is>
          <t>14%</t>
        </is>
      </c>
      <c r="C685" s="16" t="inlineStr">
        <is>
          <t>Avg $ volume: $221,799,749</t>
        </is>
      </c>
    </row>
    <row r="686">
      <c r="A686" s="12" t="inlineStr">
        <is>
          <t>Appears on</t>
        </is>
      </c>
      <c r="B686" s="12" t="inlineStr">
        <is>
          <t>Strength %ile</t>
        </is>
      </c>
      <c r="C686" s="12" t="inlineStr">
        <is>
          <t>What that tab says</t>
        </is>
      </c>
    </row>
    <row r="687" ht="30" customHeight="1">
      <c r="A687" s="6" t="inlineStr">
        <is>
          <t>MD&amp;A Intent</t>
        </is>
      </c>
      <c r="B687" s="14" t="n">
        <v>94</v>
      </c>
      <c r="C687" s="22" t="inlineStr">
        <is>
          <t>Score: 10 · Fam.: 1 · Families: transformative · Key phrases: transformative acquisition; inflection point</t>
        </is>
      </c>
    </row>
    <row r="688" ht="30" customHeight="1">
      <c r="A688" s="8" t="inlineStr">
        <is>
          <t>Tail Odds</t>
        </is>
      </c>
      <c r="B688" s="16" t="n">
        <v>99</v>
      </c>
      <c r="C688" s="24" t="inlineStr">
        <is>
          <t>Conf. tail p: 30 · Drift since: PENDING · Months: 3 · Catalysts: catalyst=SALE_OF_COMPANY, sector=Basic</t>
        </is>
      </c>
    </row>
    <row r="689" ht="30" customHeight="1">
      <c r="A689" s="6" t="inlineStr">
        <is>
          <t>Turnaround Signal</t>
        </is>
      </c>
      <c r="B689" s="14" t="n">
        <v>9</v>
      </c>
      <c r="C689" s="22" t="inlineStr">
        <is>
          <t>Score: 10 · Event: DEPARTURE · Role: Executive Chairman · Date: 2026-07-20 · Grant $M: 0.5 · Distress: 35 · Talent: 0 · What the 8-K says (background / terms): Chief Executive Officer Transition On July 19, 2026, USA Rar</t>
        </is>
      </c>
    </row>
    <row r="691" ht="18" customHeight="1">
      <c r="A691" s="12" t="inlineStr">
        <is>
          <t>VISN  —  Vistance Networks, Inc.</t>
        </is>
      </c>
      <c r="B691" s="12" t="n"/>
      <c r="C691" s="12" t="n"/>
    </row>
    <row r="692">
      <c r="A692" s="20" t="inlineStr">
        <is>
          <t>Technology · US · mcap $1,464M · price 6.49</t>
        </is>
      </c>
    </row>
    <row r="693">
      <c r="A693" s="6" t="inlineStr">
        <is>
          <t>Financial read</t>
        </is>
      </c>
      <c r="B693" s="14" t="inlineStr">
        <is>
          <t>P/B 0.58 · EV/EBITDA 2.6× · FCF yld 6% · net cash 5% of mcap · rev -38% · op margin 12% · diluting 3%/yr  [dividend yield &gt;25% (special or bad data)]</t>
        </is>
      </c>
    </row>
    <row r="694">
      <c r="A694" s="8" t="inlineStr">
        <is>
          <t>P/B</t>
        </is>
      </c>
      <c r="B694" s="16" t="inlineStr">
        <is>
          <t>0.58</t>
        </is>
      </c>
      <c r="C694" s="16" t="inlineStr">
        <is>
          <t>P/E: 6.3</t>
        </is>
      </c>
    </row>
    <row r="695">
      <c r="A695" s="6" t="inlineStr">
        <is>
          <t>EV/EBITDA</t>
        </is>
      </c>
      <c r="B695" s="14" t="inlineStr">
        <is>
          <t>2.6×</t>
        </is>
      </c>
      <c r="C695" s="14" t="inlineStr">
        <is>
          <t>FCF yield: 6%</t>
        </is>
      </c>
    </row>
    <row r="696">
      <c r="A696" s="8" t="inlineStr">
        <is>
          <t>Net cash / mcap</t>
        </is>
      </c>
      <c r="B696" s="16" t="inlineStr">
        <is>
          <t>+5%</t>
        </is>
      </c>
      <c r="C696" s="16" t="inlineStr">
        <is>
          <t>Net debt / EBITDA: -0.1×</t>
        </is>
      </c>
    </row>
    <row r="697">
      <c r="A697" s="6" t="inlineStr">
        <is>
          <t>Revenue growth</t>
        </is>
      </c>
      <c r="B697" s="14" t="inlineStr">
        <is>
          <t>-38%</t>
        </is>
      </c>
      <c r="C697" s="14" t="inlineStr">
        <is>
          <t>Operating margin: 12%</t>
        </is>
      </c>
    </row>
    <row r="698">
      <c r="A698" s="8" t="inlineStr">
        <is>
          <t>ROE</t>
        </is>
      </c>
      <c r="B698" s="16" t="inlineStr">
        <is>
          <t>17%</t>
        </is>
      </c>
      <c r="C698" s="16" t="inlineStr">
        <is>
          <t>Shares YoY: +3%</t>
        </is>
      </c>
    </row>
    <row r="699">
      <c r="A699" s="6" t="inlineStr">
        <is>
          <t>Interest cover</t>
        </is>
      </c>
      <c r="B699" s="14" t="inlineStr">
        <is>
          <t>2.4×</t>
        </is>
      </c>
      <c r="C699" s="14" t="inlineStr">
        <is>
          <t>52-week position: 3%</t>
        </is>
      </c>
    </row>
    <row r="700">
      <c r="A700" s="8" t="inlineStr">
        <is>
          <t>Avg $ volume</t>
        </is>
      </c>
      <c r="B700" s="16" t="inlineStr">
        <is>
          <t>$48,680,555</t>
        </is>
      </c>
      <c r="C700" s="16" t="n"/>
    </row>
    <row r="701">
      <c r="A701" s="12" t="inlineStr">
        <is>
          <t>Appears on</t>
        </is>
      </c>
      <c r="B701" s="12" t="inlineStr">
        <is>
          <t>Strength %ile</t>
        </is>
      </c>
      <c r="C701" s="12" t="inlineStr">
        <is>
          <t>What that tab says</t>
        </is>
      </c>
    </row>
    <row r="702" ht="30" customHeight="1">
      <c r="A702" s="6" t="inlineStr">
        <is>
          <t>Payoff Geometry</t>
        </is>
      </c>
      <c r="B702" s="14" t="n">
        <v>100</v>
      </c>
      <c r="C702" s="22" t="inlineStr">
        <is>
          <t>Score: 38.5 · Ratio: 60 · Upside%: 300 · Down%: 0 · Floor: NCAV · Runway y: ∞ · Sector: Technology</t>
        </is>
      </c>
    </row>
    <row r="703" ht="30" customHeight="1">
      <c r="A703" s="8" t="inlineStr">
        <is>
          <t>Mechanism Gates</t>
        </is>
      </c>
      <c r="B703" s="16" t="n">
        <v>99</v>
      </c>
      <c r="C703" s="24" t="inlineStr">
        <is>
          <t>Score: 56 · Mech: 3 · Ratio: 60 · Archetypes: sub cash buyback, asset sale monetization, gov</t>
        </is>
      </c>
    </row>
    <row r="704" ht="30" customHeight="1">
      <c r="A704" s="6" t="inlineStr">
        <is>
          <t>Governance Discount</t>
        </is>
      </c>
      <c r="B704" s="14" t="n">
        <v>82</v>
      </c>
      <c r="C704" s="22" t="inlineStr">
        <is>
          <t>Tier: BUILDING · Score: 25.8 · P/B: 0.58 · Mcap $M: 1,464 · Net cash: 169 · Governance signals (most recent date): asset sale (2026-04); call intent (2026-08); sop d</t>
        </is>
      </c>
    </row>
    <row r="706" ht="18" customHeight="1">
      <c r="A706" s="12" t="inlineStr">
        <is>
          <t>INVE  —  Identiv, Inc.</t>
        </is>
      </c>
      <c r="B706" s="12" t="n"/>
      <c r="C706" s="12" t="n"/>
    </row>
    <row r="707">
      <c r="A707" s="20" t="inlineStr">
        <is>
          <t>Technology · US · mcap $58M · price 2.435</t>
        </is>
      </c>
    </row>
    <row r="708">
      <c r="A708" s="6" t="inlineStr">
        <is>
          <t>Financial read</t>
        </is>
      </c>
      <c r="B708" s="14" t="inlineStr">
        <is>
          <t>P/B 0.44 · EV/EBITDA 4.4× · FCF yld -16% · net cash 202% of mcap · rev +3% · op margin -81%</t>
        </is>
      </c>
    </row>
    <row r="709">
      <c r="A709" s="8" t="inlineStr">
        <is>
          <t>P/B</t>
        </is>
      </c>
      <c r="B709" s="16" t="inlineStr">
        <is>
          <t>0.44</t>
        </is>
      </c>
      <c r="C709" s="16" t="inlineStr">
        <is>
          <t>P/E: -3.7</t>
        </is>
      </c>
    </row>
    <row r="710">
      <c r="A710" s="6" t="inlineStr">
        <is>
          <t>EV/EBITDA</t>
        </is>
      </c>
      <c r="B710" s="14" t="inlineStr">
        <is>
          <t>4.4×</t>
        </is>
      </c>
      <c r="C710" s="14" t="inlineStr">
        <is>
          <t>FCF yield: -16%</t>
        </is>
      </c>
    </row>
    <row r="711">
      <c r="A711" s="8" t="inlineStr">
        <is>
          <t>Net cash / mcap</t>
        </is>
      </c>
      <c r="B711" s="16" t="inlineStr">
        <is>
          <t>+202%</t>
        </is>
      </c>
      <c r="C711" s="16" t="inlineStr">
        <is>
          <t>Net debt / EBITDA: 8.6×</t>
        </is>
      </c>
    </row>
    <row r="712">
      <c r="A712" s="6" t="inlineStr">
        <is>
          <t>Revenue growth</t>
        </is>
      </c>
      <c r="B712" s="14" t="inlineStr">
        <is>
          <t>+3%</t>
        </is>
      </c>
      <c r="C712" s="14" t="inlineStr">
        <is>
          <t>Operating margin: -81%</t>
        </is>
      </c>
    </row>
    <row r="713">
      <c r="A713" s="8" t="inlineStr">
        <is>
          <t>ROE</t>
        </is>
      </c>
      <c r="B713" s="16" t="inlineStr">
        <is>
          <t>-11%</t>
        </is>
      </c>
      <c r="C713" s="16" t="inlineStr">
        <is>
          <t>Shares YoY: +2%</t>
        </is>
      </c>
    </row>
    <row r="714">
      <c r="A714" s="6" t="inlineStr">
        <is>
          <t>52-week position</t>
        </is>
      </c>
      <c r="B714" s="14" t="inlineStr">
        <is>
          <t>1%</t>
        </is>
      </c>
      <c r="C714" s="14" t="inlineStr">
        <is>
          <t>Avg $ volume: $507,990</t>
        </is>
      </c>
    </row>
    <row r="715">
      <c r="A715" s="12" t="inlineStr">
        <is>
          <t>Appears on</t>
        </is>
      </c>
      <c r="B715" s="12" t="inlineStr">
        <is>
          <t>Strength %ile</t>
        </is>
      </c>
      <c r="C715" s="12" t="inlineStr">
        <is>
          <t>What that tab says</t>
        </is>
      </c>
    </row>
    <row r="716" ht="30" customHeight="1">
      <c r="A716" s="6" t="inlineStr">
        <is>
          <t>Payoff Geometry</t>
        </is>
      </c>
      <c r="B716" s="14" t="n">
        <v>99</v>
      </c>
      <c r="C716" s="22" t="inlineStr">
        <is>
          <t>Score: 35.5 · Ratio: 60 · Upside%: 300 · Down%: 0 · Floor: NCAV · Runway y: 7.3 · Sector: Technology</t>
        </is>
      </c>
    </row>
    <row r="717" ht="30" customHeight="1">
      <c r="A717" s="8" t="inlineStr">
        <is>
          <t>Mechanism Gates</t>
        </is>
      </c>
      <c r="B717" s="16" t="n">
        <v>97</v>
      </c>
      <c r="C717" s="24" t="inlineStr">
        <is>
          <t>Score: 42 · Mech: 2 · Ratio: 60 · Archetypes: asset sale monetization, governance discount c</t>
        </is>
      </c>
    </row>
    <row r="718" ht="30" customHeight="1">
      <c r="A718" s="6" t="inlineStr">
        <is>
          <t>Governance Discount</t>
        </is>
      </c>
      <c r="B718" s="14" t="n">
        <v>74</v>
      </c>
      <c r="C718" s="22" t="inlineStr">
        <is>
          <t>Tier: ACTION LIKELY · Score: 24 · P/B: 0.44 · Mcap $M: 58.5 · Net cash: 211 · Governance signals (most recent date): ceo change (2026-09); asset sale (2026-08)</t>
        </is>
      </c>
    </row>
    <row r="720" ht="18" customHeight="1">
      <c r="A720" s="12" t="inlineStr">
        <is>
          <t>STRZ  —  Starz Entertainment Corp.</t>
        </is>
      </c>
      <c r="B720" s="12" t="n"/>
      <c r="C720" s="12" t="n"/>
    </row>
    <row r="721">
      <c r="A721" s="20" t="inlineStr">
        <is>
          <t>Communication Services · US · mcap $389M · price 23.1637</t>
        </is>
      </c>
    </row>
    <row r="722">
      <c r="A722" s="6" t="inlineStr">
        <is>
          <t>Financial read</t>
        </is>
      </c>
      <c r="B722" s="14" t="inlineStr">
        <is>
          <t>P/B 0.60 · EV/EBITDA 2.7× · FCF yld -6% · net debt 149% of mcap · rev -7% · op margin -17% · interest cover -3.7× ⚠</t>
        </is>
      </c>
    </row>
    <row r="723">
      <c r="A723" s="8" t="inlineStr">
        <is>
          <t>P/B</t>
        </is>
      </c>
      <c r="B723" s="16" t="inlineStr">
        <is>
          <t>0.60</t>
        </is>
      </c>
      <c r="C723" s="16" t="inlineStr">
        <is>
          <t>P/E: -0.9</t>
        </is>
      </c>
    </row>
    <row r="724">
      <c r="A724" s="6" t="inlineStr">
        <is>
          <t>EV/EBITDA</t>
        </is>
      </c>
      <c r="B724" s="14" t="inlineStr">
        <is>
          <t>2.7×</t>
        </is>
      </c>
      <c r="C724" s="14" t="inlineStr">
        <is>
          <t>FCF yield: -6%</t>
        </is>
      </c>
    </row>
    <row r="725">
      <c r="A725" s="8" t="inlineStr">
        <is>
          <t>Net cash / mcap</t>
        </is>
      </c>
      <c r="B725" s="16" t="inlineStr">
        <is>
          <t>-149%</t>
        </is>
      </c>
      <c r="C725" s="16" t="inlineStr">
        <is>
          <t>Net debt / EBITDA: 1.7×</t>
        </is>
      </c>
    </row>
    <row r="726">
      <c r="A726" s="6" t="inlineStr">
        <is>
          <t>Revenue growth</t>
        </is>
      </c>
      <c r="B726" s="14" t="inlineStr">
        <is>
          <t>-7%</t>
        </is>
      </c>
      <c r="C726" s="14" t="inlineStr">
        <is>
          <t>Operating margin: -17%</t>
        </is>
      </c>
    </row>
    <row r="727">
      <c r="A727" s="8" t="inlineStr">
        <is>
          <t>ROE</t>
        </is>
      </c>
      <c r="B727" s="16" t="inlineStr">
        <is>
          <t>-82%</t>
        </is>
      </c>
      <c r="C727" s="16" t="inlineStr">
        <is>
          <t>Shares YoY: -0%</t>
        </is>
      </c>
    </row>
    <row r="728">
      <c r="A728" s="6" t="inlineStr">
        <is>
          <t>Interest cover</t>
        </is>
      </c>
      <c r="B728" s="14" t="inlineStr">
        <is>
          <t>-3.7×</t>
        </is>
      </c>
      <c r="C728" s="14" t="inlineStr">
        <is>
          <t>52-week position: 61%</t>
        </is>
      </c>
    </row>
    <row r="729">
      <c r="A729" s="8" t="inlineStr">
        <is>
          <t>Avg $ volume</t>
        </is>
      </c>
      <c r="B729" s="16" t="inlineStr">
        <is>
          <t>$4,234,232</t>
        </is>
      </c>
      <c r="C729" s="16" t="n"/>
    </row>
    <row r="730">
      <c r="A730" s="12" t="inlineStr">
        <is>
          <t>Appears on</t>
        </is>
      </c>
      <c r="B730" s="12" t="inlineStr">
        <is>
          <t>Strength %ile</t>
        </is>
      </c>
      <c r="C730" s="12" t="inlineStr">
        <is>
          <t>What that tab says</t>
        </is>
      </c>
    </row>
    <row r="731" ht="30" customHeight="1">
      <c r="A731" s="6" t="inlineStr">
        <is>
          <t>Mechanism Gates</t>
        </is>
      </c>
      <c r="B731" s="14" t="n">
        <v>98</v>
      </c>
      <c r="C731" s="22" t="inlineStr">
        <is>
          <t>Score: 50.4 · Mech: 3 · Ratio: 5 · Archetypes: stated unlock triangulated, asset sale monetiz</t>
        </is>
      </c>
    </row>
    <row r="732" ht="30" customHeight="1">
      <c r="A732" s="8" t="inlineStr">
        <is>
          <t>Governance Discount</t>
        </is>
      </c>
      <c r="B732" s="16" t="n">
        <v>34</v>
      </c>
      <c r="C732" s="24" t="inlineStr">
        <is>
          <t>Tier: BUILDING · Score: 16 · P/B: 0.6 · Mcap $M: 389 · Governance signals (most recent date): pill removed (2026-03); mda unlock (2026-08)</t>
        </is>
      </c>
    </row>
    <row r="733" ht="30" customHeight="1">
      <c r="A733" s="6" t="inlineStr">
        <is>
          <t>Asymmetry Assembly</t>
        </is>
      </c>
      <c r="B733" s="14" t="n">
        <v>23</v>
      </c>
      <c r="C733" s="22" t="inlineStr">
        <is>
          <t>Assembly: 25 · N/8: 3 · Cheap: ● · Lev: ● · Insdr: ●</t>
        </is>
      </c>
    </row>
    <row r="735" ht="18" customHeight="1">
      <c r="A735" s="12" t="inlineStr">
        <is>
          <t>CNDT  —  Conduent Incorporated</t>
        </is>
      </c>
      <c r="B735" s="12" t="n"/>
      <c r="C735" s="12" t="n"/>
    </row>
    <row r="736">
      <c r="A736" s="20" t="inlineStr">
        <is>
          <t>Technology · US · mcap $252M · price 1.625</t>
        </is>
      </c>
    </row>
    <row r="737">
      <c r="A737" s="6" t="inlineStr">
        <is>
          <t>Financial read</t>
        </is>
      </c>
      <c r="B737" s="14" t="inlineStr">
        <is>
          <t>P/B 0.38 · EV/EBITDA 10.6× · FCF yld -24% · net debt 243% of mcap · rev -10% · op margin -0% · buying back 4%/yr · interest cover -0.1× ⚠</t>
        </is>
      </c>
    </row>
    <row r="738">
      <c r="A738" s="8" t="inlineStr">
        <is>
          <t>P/B</t>
        </is>
      </c>
      <c r="B738" s="16" t="inlineStr">
        <is>
          <t>0.38</t>
        </is>
      </c>
      <c r="C738" s="16" t="inlineStr">
        <is>
          <t>P/E: -1.1</t>
        </is>
      </c>
    </row>
    <row r="739">
      <c r="A739" s="6" t="inlineStr">
        <is>
          <t>EV/EBITDA</t>
        </is>
      </c>
      <c r="B739" s="14" t="inlineStr">
        <is>
          <t>10.6×</t>
        </is>
      </c>
      <c r="C739" s="14" t="inlineStr">
        <is>
          <t>FCF yield: -24%</t>
        </is>
      </c>
    </row>
    <row r="740">
      <c r="A740" s="8" t="inlineStr">
        <is>
          <t>Net cash / mcap</t>
        </is>
      </c>
      <c r="B740" s="16" t="inlineStr">
        <is>
          <t>-243%</t>
        </is>
      </c>
      <c r="C740" s="16" t="inlineStr">
        <is>
          <t>Net debt / EBITDA: 7.6×</t>
        </is>
      </c>
    </row>
    <row r="741">
      <c r="A741" s="6" t="inlineStr">
        <is>
          <t>Revenue growth</t>
        </is>
      </c>
      <c r="B741" s="14" t="inlineStr">
        <is>
          <t>-10%</t>
        </is>
      </c>
      <c r="C741" s="14" t="inlineStr">
        <is>
          <t>Operating margin: -0%</t>
        </is>
      </c>
    </row>
    <row r="742">
      <c r="A742" s="8" t="inlineStr">
        <is>
          <t>ROE</t>
        </is>
      </c>
      <c r="B742" s="16" t="inlineStr">
        <is>
          <t>-30%</t>
        </is>
      </c>
      <c r="C742" s="16" t="inlineStr">
        <is>
          <t>Shares YoY: -4%</t>
        </is>
      </c>
    </row>
    <row r="743">
      <c r="A743" s="6" t="inlineStr">
        <is>
          <t>Interest cover</t>
        </is>
      </c>
      <c r="B743" s="14" t="inlineStr">
        <is>
          <t>-0.1×</t>
        </is>
      </c>
      <c r="C743" s="14" t="inlineStr">
        <is>
          <t>52-week position: 28%</t>
        </is>
      </c>
    </row>
    <row r="744">
      <c r="A744" s="8" t="inlineStr">
        <is>
          <t>Avg $ volume</t>
        </is>
      </c>
      <c r="B744" s="16" t="inlineStr">
        <is>
          <t>$1,890,278</t>
        </is>
      </c>
      <c r="C744" s="16" t="n"/>
    </row>
    <row r="745">
      <c r="A745" s="12" t="inlineStr">
        <is>
          <t>Appears on</t>
        </is>
      </c>
      <c r="B745" s="12" t="inlineStr">
        <is>
          <t>Strength %ile</t>
        </is>
      </c>
      <c r="C745" s="12" t="inlineStr">
        <is>
          <t>What that tab says</t>
        </is>
      </c>
    </row>
    <row r="746" ht="30" customHeight="1">
      <c r="A746" s="6" t="inlineStr">
        <is>
          <t>Mechanism Gates</t>
        </is>
      </c>
      <c r="B746" s="14" t="n">
        <v>93</v>
      </c>
      <c r="C746" s="22" t="inlineStr">
        <is>
          <t>Score: 38.4 · Mech: 2 · Ratio: 3 · Archetypes: asset sale monetization, governance discount c</t>
        </is>
      </c>
    </row>
    <row r="747" ht="30" customHeight="1">
      <c r="A747" s="8" t="inlineStr">
        <is>
          <t>Governance Discount</t>
        </is>
      </c>
      <c r="B747" s="16" t="n">
        <v>88</v>
      </c>
      <c r="C747" s="24" t="inlineStr">
        <is>
          <t>Tier: BUILDING · Score: 29.8 · P/B: 0.38 · Mcap $M: 252 · Governance signals (most recent date): asset sale (2026-06); chair ceo split (2026-01); c</t>
        </is>
      </c>
    </row>
    <row r="748" ht="30" customHeight="1">
      <c r="A748" s="6" t="inlineStr">
        <is>
          <t>Re-Rate Catalysts</t>
        </is>
      </c>
      <c r="B748" s="14" t="n">
        <v>96</v>
      </c>
      <c r="C748" s="22" t="inlineStr">
        <is>
          <t>Score: 22.5 · Types: 1 · Ratio: 60 · Up%: 300 · Catalysts (source): Asset Sale [event/narrative]</t>
        </is>
      </c>
    </row>
    <row r="750" ht="18" customHeight="1">
      <c r="A750" s="12" t="inlineStr">
        <is>
          <t>BGS  —  B&amp;G Foods, Inc.</t>
        </is>
      </c>
      <c r="B750" s="12" t="n"/>
      <c r="C750" s="12" t="n"/>
    </row>
    <row r="751">
      <c r="A751" s="20" t="inlineStr">
        <is>
          <t>Consumer Defensive · US · mcap $245M · price 3.015</t>
        </is>
      </c>
    </row>
    <row r="752">
      <c r="A752" s="6" t="inlineStr">
        <is>
          <t>Financial read</t>
        </is>
      </c>
      <c r="B752" s="14" t="inlineStr">
        <is>
          <t>P/B 0.62 · EV/EBITDA 16.3× · FCF yld 26% · net debt 811% of mcap · rev -5% · op margin 10% · interest cover 1.2× ⚠</t>
        </is>
      </c>
    </row>
    <row r="753">
      <c r="A753" s="8" t="inlineStr">
        <is>
          <t>P/B</t>
        </is>
      </c>
      <c r="B753" s="16" t="inlineStr">
        <is>
          <t>0.62</t>
        </is>
      </c>
      <c r="C753" s="16" t="inlineStr">
        <is>
          <t>P/E: -3.4</t>
        </is>
      </c>
    </row>
    <row r="754">
      <c r="A754" s="6" t="inlineStr">
        <is>
          <t>EV/EBITDA</t>
        </is>
      </c>
      <c r="B754" s="14" t="inlineStr">
        <is>
          <t>16.3×</t>
        </is>
      </c>
      <c r="C754" s="14" t="inlineStr">
        <is>
          <t>FCF yield: 26%</t>
        </is>
      </c>
    </row>
    <row r="755">
      <c r="A755" s="8" t="inlineStr">
        <is>
          <t>Net cash / mcap</t>
        </is>
      </c>
      <c r="B755" s="16" t="inlineStr">
        <is>
          <t>-811%</t>
        </is>
      </c>
      <c r="C755" s="16" t="inlineStr">
        <is>
          <t>Net debt / EBITDA: 14.6×</t>
        </is>
      </c>
    </row>
    <row r="756">
      <c r="A756" s="6" t="inlineStr">
        <is>
          <t>Revenue growth</t>
        </is>
      </c>
      <c r="B756" s="14" t="inlineStr">
        <is>
          <t>-5%</t>
        </is>
      </c>
      <c r="C756" s="14" t="inlineStr">
        <is>
          <t>Operating margin: 10%</t>
        </is>
      </c>
    </row>
    <row r="757">
      <c r="A757" s="8" t="inlineStr">
        <is>
          <t>ROE</t>
        </is>
      </c>
      <c r="B757" s="16" t="inlineStr">
        <is>
          <t>-16%</t>
        </is>
      </c>
      <c r="C757" s="16" t="inlineStr">
        <is>
          <t>Shares YoY: +2%</t>
        </is>
      </c>
    </row>
    <row r="758">
      <c r="A758" s="6" t="inlineStr">
        <is>
          <t>Interest cover</t>
        </is>
      </c>
      <c r="B758" s="14" t="inlineStr">
        <is>
          <t>1.2×</t>
        </is>
      </c>
      <c r="C758" s="14" t="inlineStr">
        <is>
          <t>52-week position: 4%</t>
        </is>
      </c>
    </row>
    <row r="759">
      <c r="A759" s="8" t="inlineStr">
        <is>
          <t>Avg $ volume</t>
        </is>
      </c>
      <c r="B759" s="16" t="inlineStr">
        <is>
          <t>$6,614,419</t>
        </is>
      </c>
      <c r="C759" s="16" t="n"/>
    </row>
    <row r="760">
      <c r="A760" s="12" t="inlineStr">
        <is>
          <t>Appears on</t>
        </is>
      </c>
      <c r="B760" s="12" t="inlineStr">
        <is>
          <t>Strength %ile</t>
        </is>
      </c>
      <c r="C760" s="12" t="inlineStr">
        <is>
          <t>What that tab says</t>
        </is>
      </c>
    </row>
    <row r="761" ht="30" customHeight="1">
      <c r="A761" s="6" t="inlineStr">
        <is>
          <t>Mechanism Gates</t>
        </is>
      </c>
      <c r="B761" s="14" t="n">
        <v>89</v>
      </c>
      <c r="C761" s="22" t="inlineStr">
        <is>
          <t>Score: 37.7 · Mech: 2 · Ratio: 3 · Archetypes: asset sale monetization, governance discount c</t>
        </is>
      </c>
    </row>
    <row r="762" ht="30" customHeight="1">
      <c r="A762" s="8" t="inlineStr">
        <is>
          <t>Governance Discount</t>
        </is>
      </c>
      <c r="B762" s="16" t="n">
        <v>84</v>
      </c>
      <c r="C762" s="24" t="inlineStr">
        <is>
          <t>Tier: ACTION LIKELY · Score: 26.8 · P/B: 0.62 · Mcap $M: 245 · Governance signals (most recent date): turnaround exec (2026-05); asset sale (2026-06); c</t>
        </is>
      </c>
    </row>
    <row r="763" ht="30" customHeight="1">
      <c r="A763" s="6" t="inlineStr">
        <is>
          <t>Turnaround Signal</t>
        </is>
      </c>
      <c r="B763" s="14" t="n">
        <v>9</v>
      </c>
      <c r="C763" s="22" t="inlineStr">
        <is>
          <t>Score: 10 · Event: DEPARTURE · Date: 2026-05-05 · Salary $k: 10 · Distress: 35 · Talent: 0 · What the 8-K says (background / terms): Departure of Directors or Certain Officers; Election of Dire</t>
        </is>
      </c>
    </row>
    <row r="765" ht="18" customHeight="1">
      <c r="A765" s="12" t="inlineStr">
        <is>
          <t>AESI  —  Atlas Energy Solutions Inc.</t>
        </is>
      </c>
      <c r="B765" s="12" t="n"/>
      <c r="C765" s="12" t="n"/>
    </row>
    <row r="766">
      <c r="A766" s="20" t="inlineStr">
        <is>
          <t>Energy · US · mcap $1,475M · price 11.81</t>
        </is>
      </c>
    </row>
    <row r="767">
      <c r="A767" s="6" t="inlineStr">
        <is>
          <t>Financial read</t>
        </is>
      </c>
      <c r="B767" s="14" t="inlineStr">
        <is>
          <t>P/B 1.33 · EV/EBITDA 20.2× · FCF yld -13% · net debt 54% of mcap · rev -8% · op margin -9% · interest cover -1.5× ⚠</t>
        </is>
      </c>
    </row>
    <row r="768">
      <c r="A768" s="8" t="inlineStr">
        <is>
          <t>P/B</t>
        </is>
      </c>
      <c r="B768" s="16" t="inlineStr">
        <is>
          <t>1.33</t>
        </is>
      </c>
      <c r="C768" s="16" t="inlineStr">
        <is>
          <t>P/E: -12.2</t>
        </is>
      </c>
    </row>
    <row r="769">
      <c r="A769" s="6" t="inlineStr">
        <is>
          <t>EV/EBITDA</t>
        </is>
      </c>
      <c r="B769" s="14" t="inlineStr">
        <is>
          <t>20.2×</t>
        </is>
      </c>
      <c r="C769" s="14" t="inlineStr">
        <is>
          <t>FCF yield: -13%</t>
        </is>
      </c>
    </row>
    <row r="770">
      <c r="A770" s="8" t="inlineStr">
        <is>
          <t>Net cash / mcap</t>
        </is>
      </c>
      <c r="B770" s="16" t="inlineStr">
        <is>
          <t>-54%</t>
        </is>
      </c>
      <c r="C770" s="16" t="inlineStr">
        <is>
          <t>Net debt / EBITDA: 7.2×</t>
        </is>
      </c>
    </row>
    <row r="771">
      <c r="A771" s="6" t="inlineStr">
        <is>
          <t>Revenue growth</t>
        </is>
      </c>
      <c r="B771" s="14" t="inlineStr">
        <is>
          <t>-8%</t>
        </is>
      </c>
      <c r="C771" s="14" t="inlineStr">
        <is>
          <t>Operating margin: -9%</t>
        </is>
      </c>
    </row>
    <row r="772">
      <c r="A772" s="8" t="inlineStr">
        <is>
          <t>ROE</t>
        </is>
      </c>
      <c r="B772" s="16" t="inlineStr">
        <is>
          <t>-10%</t>
        </is>
      </c>
      <c r="C772" s="16" t="inlineStr">
        <is>
          <t>Shares YoY: +1%</t>
        </is>
      </c>
    </row>
    <row r="773">
      <c r="A773" s="6" t="inlineStr">
        <is>
          <t>Interest cover</t>
        </is>
      </c>
      <c r="B773" s="14" t="inlineStr">
        <is>
          <t>-1.5×</t>
        </is>
      </c>
      <c r="C773" s="14" t="inlineStr">
        <is>
          <t>52-week position: 33%</t>
        </is>
      </c>
    </row>
    <row r="774">
      <c r="A774" s="8" t="inlineStr">
        <is>
          <t>Avg $ volume</t>
        </is>
      </c>
      <c r="B774" s="16" t="inlineStr">
        <is>
          <t>$36,545,336</t>
        </is>
      </c>
      <c r="C774" s="16" t="n"/>
    </row>
    <row r="775">
      <c r="A775" s="12" t="inlineStr">
        <is>
          <t>Appears on</t>
        </is>
      </c>
      <c r="B775" s="12" t="inlineStr">
        <is>
          <t>Strength %ile</t>
        </is>
      </c>
      <c r="C775" s="12" t="inlineStr">
        <is>
          <t>What that tab says</t>
        </is>
      </c>
    </row>
    <row r="776" ht="30" customHeight="1">
      <c r="A776" s="6" t="inlineStr">
        <is>
          <t>Mechanism Gates</t>
        </is>
      </c>
      <c r="B776" s="14" t="n">
        <v>87</v>
      </c>
      <c r="C776" s="22" t="inlineStr">
        <is>
          <t>Score: 36.8 · Mech: 2 · Ratio: 0.4 · Archetypes: hidden asset realization, structured distresse</t>
        </is>
      </c>
    </row>
    <row r="777" ht="30" customHeight="1">
      <c r="A777" s="8" t="inlineStr">
        <is>
          <t>Structured Distressed</t>
        </is>
      </c>
      <c r="B777" s="16" t="n">
        <v>31</v>
      </c>
      <c r="C777" s="24" t="inlineStr">
        <is>
          <t>Score: 23 · Instrument: senior convertible · Drawdown: -41 · Coupon: 0.5 · Senior: ✓ · Signals: asset floor, small-c</t>
        </is>
      </c>
    </row>
    <row r="778" ht="30" customHeight="1">
      <c r="A778" s="6" t="inlineStr">
        <is>
          <t>Single-Measure Best</t>
        </is>
      </c>
      <c r="B778" s="14" t="n">
        <v>61</v>
      </c>
      <c r="C778" s="22" t="inlineStr">
        <is>
          <t>Detail: shares -24.8% over 189d | status SHRINKING_NO_AUTH · Score: 24.8 · Sector: Energy</t>
        </is>
      </c>
    </row>
    <row r="780" ht="18" customHeight="1">
      <c r="A780" s="12" t="inlineStr">
        <is>
          <t>CYH  —  Community Health Systems, Inc.</t>
        </is>
      </c>
      <c r="B780" s="12" t="n"/>
      <c r="C780" s="12" t="n"/>
    </row>
    <row r="781">
      <c r="A781" s="20" t="inlineStr">
        <is>
          <t>Healthcare · US · mcap $432M · price 3.065</t>
        </is>
      </c>
    </row>
    <row r="782">
      <c r="A782" s="6" t="inlineStr">
        <is>
          <t>Financial read</t>
        </is>
      </c>
      <c r="B782" s="14" t="inlineStr">
        <is>
          <t>EV/EBITDA 2.1× · FCF yld -43% · rev +77% · op margin -39%  [negative equity]</t>
        </is>
      </c>
    </row>
    <row r="783">
      <c r="A783" s="8" t="inlineStr">
        <is>
          <t>P/E</t>
        </is>
      </c>
      <c r="B783" s="16" t="inlineStr">
        <is>
          <t>-1.3</t>
        </is>
      </c>
      <c r="C783" s="16" t="inlineStr">
        <is>
          <t>EV/EBITDA: 2.1×</t>
        </is>
      </c>
    </row>
    <row r="784">
      <c r="A784" s="6" t="inlineStr">
        <is>
          <t>FCF yield</t>
        </is>
      </c>
      <c r="B784" s="14" t="inlineStr">
        <is>
          <t>-43%</t>
        </is>
      </c>
      <c r="C784" s="14" t="inlineStr">
        <is>
          <t>Net debt / EBITDA: 2.0×</t>
        </is>
      </c>
    </row>
    <row r="785">
      <c r="A785" s="8" t="inlineStr">
        <is>
          <t>Revenue growth</t>
        </is>
      </c>
      <c r="B785" s="16" t="inlineStr">
        <is>
          <t>+77%</t>
        </is>
      </c>
      <c r="C785" s="16" t="inlineStr">
        <is>
          <t>Operating margin: -39%</t>
        </is>
      </c>
    </row>
    <row r="786">
      <c r="A786" s="6" t="inlineStr">
        <is>
          <t>ROE</t>
        </is>
      </c>
      <c r="B786" s="14" t="inlineStr">
        <is>
          <t>21%</t>
        </is>
      </c>
      <c r="C786" s="14" t="inlineStr">
        <is>
          <t>Shares YoY: +1%</t>
        </is>
      </c>
    </row>
    <row r="787">
      <c r="A787" s="8" t="inlineStr">
        <is>
          <t>Interest cover</t>
        </is>
      </c>
      <c r="B787" s="16" t="inlineStr">
        <is>
          <t>-10.1×</t>
        </is>
      </c>
      <c r="C787" s="16" t="inlineStr">
        <is>
          <t>52-week position: 32%</t>
        </is>
      </c>
    </row>
    <row r="788">
      <c r="A788" s="6" t="inlineStr">
        <is>
          <t>Avg $ volume</t>
        </is>
      </c>
      <c r="B788" s="14" t="inlineStr">
        <is>
          <t>$4,752,583</t>
        </is>
      </c>
      <c r="C788" s="14" t="n"/>
    </row>
    <row r="789">
      <c r="A789" s="12" t="inlineStr">
        <is>
          <t>Appears on</t>
        </is>
      </c>
      <c r="B789" s="12" t="inlineStr">
        <is>
          <t>Strength %ile</t>
        </is>
      </c>
      <c r="C789" s="12" t="inlineStr">
        <is>
          <t>What that tab says</t>
        </is>
      </c>
    </row>
    <row r="790" ht="30" customHeight="1">
      <c r="A790" s="6" t="inlineStr">
        <is>
          <t>Mechanism Gates</t>
        </is>
      </c>
      <c r="B790" s="14" t="n">
        <v>85</v>
      </c>
      <c r="C790" s="22" t="inlineStr">
        <is>
          <t>Score: 35.2 · Mech: 2 · Ratio: 3 · Archetypes: asset sale monetization, tender offer squeeze</t>
        </is>
      </c>
    </row>
    <row r="791" ht="30" customHeight="1">
      <c r="A791" s="8" t="inlineStr">
        <is>
          <t>Re-Rate Catalysts</t>
        </is>
      </c>
      <c r="B791" s="16" t="n">
        <v>99</v>
      </c>
      <c r="C791" s="24" t="inlineStr">
        <is>
          <t>Score: 33 · Types: 2 · Ratio: 3 · Up%: 300 · Catalysts (source): Asset Sale [event]; Tender Offer [event]</t>
        </is>
      </c>
    </row>
    <row r="792" ht="30" customHeight="1">
      <c r="A792" s="6" t="inlineStr">
        <is>
          <t>Distressed Stub Progress</t>
        </is>
      </c>
      <c r="B792" s="14" t="n">
        <v>78</v>
      </c>
      <c r="C792" s="22" t="inlineStr">
        <is>
          <t>Score: 4 · Stage: 4 · Classification: real progress conditional · Event classes: debt_retired_below_par</t>
        </is>
      </c>
    </row>
    <row r="794" ht="18" customHeight="1">
      <c r="A794" s="12" t="inlineStr">
        <is>
          <t>FNGR  —  FingerMotion, Inc.</t>
        </is>
      </c>
      <c r="B794" s="12" t="n"/>
      <c r="C794" s="12" t="n"/>
    </row>
    <row r="795">
      <c r="A795" s="20" t="inlineStr">
        <is>
          <t>Communication Services · SG · mcap $8M · price 0.1366</t>
        </is>
      </c>
    </row>
    <row r="796">
      <c r="A796" s="6" t="inlineStr">
        <is>
          <t>Financial read</t>
        </is>
      </c>
      <c r="B796" s="14" t="inlineStr">
        <is>
          <t>P/B 0.51 · P/S 0.5 · FCF yld -60% · net debt 5% of mcap · rev +15% · op margin -41% · diluting 13%/yr</t>
        </is>
      </c>
    </row>
    <row r="797">
      <c r="A797" s="8" t="inlineStr">
        <is>
          <t>P/B</t>
        </is>
      </c>
      <c r="B797" s="16" t="inlineStr">
        <is>
          <t>0.51</t>
        </is>
      </c>
      <c r="C797" s="16" t="inlineStr">
        <is>
          <t>P/E: -1.2</t>
        </is>
      </c>
    </row>
    <row r="798">
      <c r="A798" s="6" t="inlineStr">
        <is>
          <t>EV/EBITDA</t>
        </is>
      </c>
      <c r="B798" s="14" t="inlineStr">
        <is>
          <t>-1.8×</t>
        </is>
      </c>
      <c r="C798" s="14" t="inlineStr">
        <is>
          <t>FCF yield: -60%</t>
        </is>
      </c>
    </row>
    <row r="799">
      <c r="A799" s="8" t="inlineStr">
        <is>
          <t>Net cash / mcap</t>
        </is>
      </c>
      <c r="B799" s="16" t="inlineStr">
        <is>
          <t>-5%</t>
        </is>
      </c>
      <c r="C799" s="16" t="inlineStr">
        <is>
          <t>Net debt / EBITDA: -0.5×</t>
        </is>
      </c>
    </row>
    <row r="800">
      <c r="A800" s="6" t="inlineStr">
        <is>
          <t>Revenue growth</t>
        </is>
      </c>
      <c r="B800" s="14" t="inlineStr">
        <is>
          <t>+15%</t>
        </is>
      </c>
      <c r="C800" s="14" t="inlineStr">
        <is>
          <t>Operating margin: -41%</t>
        </is>
      </c>
    </row>
    <row r="801">
      <c r="A801" s="8" t="inlineStr">
        <is>
          <t>ROE</t>
        </is>
      </c>
      <c r="B801" s="16" t="inlineStr">
        <is>
          <t>-47%</t>
        </is>
      </c>
      <c r="C801" s="16" t="inlineStr">
        <is>
          <t>Shares YoY: +13%</t>
        </is>
      </c>
    </row>
    <row r="802">
      <c r="A802" s="6" t="inlineStr">
        <is>
          <t>Interest cover</t>
        </is>
      </c>
      <c r="B802" s="14" t="inlineStr">
        <is>
          <t>-38.6×</t>
        </is>
      </c>
      <c r="C802" s="14" t="inlineStr">
        <is>
          <t>52-week position: 0%</t>
        </is>
      </c>
    </row>
    <row r="803">
      <c r="A803" s="8" t="inlineStr">
        <is>
          <t>Avg $ volume</t>
        </is>
      </c>
      <c r="B803" s="16" t="inlineStr">
        <is>
          <t>$201,064</t>
        </is>
      </c>
      <c r="C803" s="16" t="n"/>
    </row>
    <row r="804">
      <c r="A804" s="12" t="inlineStr">
        <is>
          <t>Appears on</t>
        </is>
      </c>
      <c r="B804" s="12" t="inlineStr">
        <is>
          <t>Strength %ile</t>
        </is>
      </c>
      <c r="C804" s="12" t="inlineStr">
        <is>
          <t>What that tab says</t>
        </is>
      </c>
    </row>
    <row r="805" ht="30" customHeight="1">
      <c r="A805" s="6" t="inlineStr">
        <is>
          <t>Mechanism Gates</t>
        </is>
      </c>
      <c r="B805" s="14" t="n">
        <v>82</v>
      </c>
      <c r="C805" s="22" t="inlineStr">
        <is>
          <t>Score: 18.2 · Mech: 1 · Ratio: 3 · Archetypes: structured distressed injection</t>
        </is>
      </c>
    </row>
    <row r="806" ht="30" customHeight="1">
      <c r="A806" s="8" t="inlineStr">
        <is>
          <t>Structured Distressed</t>
        </is>
      </c>
      <c r="B806" s="16" t="n">
        <v>72</v>
      </c>
      <c r="C806" s="24" t="inlineStr">
        <is>
          <t>Score: 26 · Instrument: secured convertible · Drawdown: -94 · Senior: ✓ · Signals: asset floor, washout</t>
        </is>
      </c>
    </row>
    <row r="807" ht="30" customHeight="1">
      <c r="A807" s="6" t="inlineStr">
        <is>
          <t>Turnaround Signal</t>
        </is>
      </c>
      <c r="B807" s="14" t="n">
        <v>91</v>
      </c>
      <c r="C807" s="22" t="inlineStr">
        <is>
          <t>Score: 45 · Event: NEW HIRE · Who: Chris Polimeni · Role: Chief Financial Office · Date: 2026-08-17 · Distress: 45 · Talent: 0 · What the 8-K says (background / terms): Since 2020, he has also served as President and Chief Execut</t>
        </is>
      </c>
    </row>
    <row r="809" ht="18" customHeight="1">
      <c r="A809" s="12" t="inlineStr">
        <is>
          <t>ARI  —  Apollo Commercial Real Estate Finance, Inc.</t>
        </is>
      </c>
      <c r="B809" s="12" t="n"/>
      <c r="C809" s="12" t="n"/>
    </row>
    <row r="810">
      <c r="A810" s="20" t="inlineStr">
        <is>
          <t>Real Estate · US · mcap $830M · price 6.335</t>
        </is>
      </c>
    </row>
    <row r="811">
      <c r="A811" s="6" t="inlineStr">
        <is>
          <t>Financial read</t>
        </is>
      </c>
      <c r="B811" s="14" t="inlineStr">
        <is>
          <t>P/B 0.66 · P/S 3.1 · FCF yld 5% · net cash 105% of mcap · rev -59% · op margin 149% · buying back 5%/yr  [dividend yield &gt;25% (special or bad data)]</t>
        </is>
      </c>
    </row>
    <row r="812">
      <c r="A812" s="8" t="inlineStr">
        <is>
          <t>P/B</t>
        </is>
      </c>
      <c r="B812" s="16" t="inlineStr">
        <is>
          <t>0.66</t>
        </is>
      </c>
      <c r="C812" s="16" t="inlineStr">
        <is>
          <t>P/E: 7.9</t>
        </is>
      </c>
    </row>
    <row r="813">
      <c r="A813" s="6" t="inlineStr">
        <is>
          <t>EV/EBITDA</t>
        </is>
      </c>
      <c r="B813" s="14" t="inlineStr">
        <is>
          <t>-0.1×</t>
        </is>
      </c>
      <c r="C813" s="14" t="inlineStr">
        <is>
          <t>FCF yield: 5%</t>
        </is>
      </c>
    </row>
    <row r="814">
      <c r="A814" s="8" t="inlineStr">
        <is>
          <t>Net cash / mcap</t>
        </is>
      </c>
      <c r="B814" s="16" t="inlineStr">
        <is>
          <t>+105%</t>
        </is>
      </c>
      <c r="C814" s="16" t="inlineStr">
        <is>
          <t>Net debt / EBITDA: -1.7×</t>
        </is>
      </c>
    </row>
    <row r="815">
      <c r="A815" s="6" t="inlineStr">
        <is>
          <t>Revenue growth</t>
        </is>
      </c>
      <c r="B815" s="14" t="inlineStr">
        <is>
          <t>-59%</t>
        </is>
      </c>
      <c r="C815" s="14" t="inlineStr">
        <is>
          <t>Operating margin: 149%</t>
        </is>
      </c>
    </row>
    <row r="816">
      <c r="A816" s="8" t="inlineStr">
        <is>
          <t>ROE</t>
        </is>
      </c>
      <c r="B816" s="16" t="inlineStr">
        <is>
          <t>8%</t>
        </is>
      </c>
      <c r="C816" s="16" t="inlineStr">
        <is>
          <t>Shares YoY: -5%</t>
        </is>
      </c>
    </row>
    <row r="817">
      <c r="A817" s="6" t="inlineStr">
        <is>
          <t>Interest cover</t>
        </is>
      </c>
      <c r="B817" s="14" t="inlineStr">
        <is>
          <t>1.0×</t>
        </is>
      </c>
      <c r="C817" s="14" t="inlineStr">
        <is>
          <t>52-week position: 1%</t>
        </is>
      </c>
    </row>
    <row r="818">
      <c r="A818" s="8" t="inlineStr">
        <is>
          <t>Avg $ volume</t>
        </is>
      </c>
      <c r="B818" s="16" t="inlineStr">
        <is>
          <t>$22,480,742</t>
        </is>
      </c>
      <c r="C818" s="16" t="n"/>
    </row>
    <row r="819">
      <c r="A819" s="12" t="inlineStr">
        <is>
          <t>Appears on</t>
        </is>
      </c>
      <c r="B819" s="12" t="inlineStr">
        <is>
          <t>Strength %ile</t>
        </is>
      </c>
      <c r="C819" s="12" t="inlineStr">
        <is>
          <t>What that tab says</t>
        </is>
      </c>
    </row>
    <row r="820" ht="30" customHeight="1">
      <c r="A820" s="6" t="inlineStr">
        <is>
          <t>Governance Discount</t>
        </is>
      </c>
      <c r="B820" s="14" t="n">
        <v>85</v>
      </c>
      <c r="C820" s="22" t="inlineStr">
        <is>
          <t>Tier: ACTION LIKELY · Score: 28 · P/B: 0.66 · Mcap $M: 830 · Governance signals (most recent date): strategic review (2026-06); call commit (2026-04);</t>
        </is>
      </c>
    </row>
    <row r="821" ht="30" customHeight="1">
      <c r="A821" s="8" t="inlineStr">
        <is>
          <t>Call Intent</t>
        </is>
      </c>
      <c r="B821" s="16" t="n">
        <v>97</v>
      </c>
      <c r="C821" s="24" t="inlineStr">
        <is>
          <t>Tier: ACT SIGNALLED · Act prob: 0.61 · P/B: 0.66 · Novelty: 5.2 · Size: 16 · CEO+CFO: ✓ · Call: 2026-04-29 · New / strongest families: NEW buyback, NEW strategic_review, antic · Evidence (management, verbatim): [buyback] “Following the quarter end, we repurchased an addi</t>
        </is>
      </c>
    </row>
    <row r="822" ht="30" customHeight="1">
      <c r="A822" s="6" t="inlineStr">
        <is>
          <t>Re-Rate Catalysts</t>
        </is>
      </c>
      <c r="B822" s="14" t="n">
        <v>95</v>
      </c>
      <c r="C822" s="22" t="inlineStr">
        <is>
          <t>Score: 20.5 · Types: 2 · Ratio: 1.9 · Up%: 46 · Catalysts (source): Asset Sale [event]; Strategic Review [event]</t>
        </is>
      </c>
    </row>
    <row r="824" ht="18" customHeight="1">
      <c r="A824" s="12" t="inlineStr">
        <is>
          <t>PPLI  —  People Incorporated</t>
        </is>
      </c>
      <c r="B824" s="12" t="n"/>
      <c r="C824" s="12" t="n"/>
    </row>
    <row r="825">
      <c r="A825" s="20" t="inlineStr">
        <is>
          <t>Communication Services · US · mcap $2,713M · price 36.475</t>
        </is>
      </c>
    </row>
    <row r="826">
      <c r="A826" s="6" t="inlineStr">
        <is>
          <t>Financial read</t>
        </is>
      </c>
      <c r="B826" s="14" t="inlineStr">
        <is>
          <t>P/B 0.53 · P/S 1.3 · FCF yld 3% · net debt 11% of mcap · rev -25% · op margin 1% · buying back 8%/yr · interest cover 0.2× ⚠</t>
        </is>
      </c>
    </row>
    <row r="827">
      <c r="A827" s="8" t="inlineStr">
        <is>
          <t>P/B</t>
        </is>
      </c>
      <c r="B827" s="16" t="inlineStr">
        <is>
          <t>0.53</t>
        </is>
      </c>
      <c r="C827" s="16" t="inlineStr">
        <is>
          <t>P/E: 7.9</t>
        </is>
      </c>
    </row>
    <row r="828">
      <c r="A828" s="6" t="inlineStr">
        <is>
          <t>EV/EBITDA</t>
        </is>
      </c>
      <c r="B828" s="14" t="inlineStr">
        <is>
          <t>-4.9×</t>
        </is>
      </c>
      <c r="C828" s="14" t="inlineStr">
        <is>
          <t>FCF yield: 3%</t>
        </is>
      </c>
    </row>
    <row r="829">
      <c r="A829" s="8" t="inlineStr">
        <is>
          <t>Net cash / mcap</t>
        </is>
      </c>
      <c r="B829" s="16" t="inlineStr">
        <is>
          <t>-11%</t>
        </is>
      </c>
      <c r="C829" s="16" t="inlineStr">
        <is>
          <t>Net debt / EBITDA: -0.5×</t>
        </is>
      </c>
    </row>
    <row r="830">
      <c r="A830" s="6" t="inlineStr">
        <is>
          <t>Revenue growth</t>
        </is>
      </c>
      <c r="B830" s="14" t="inlineStr">
        <is>
          <t>-25%</t>
        </is>
      </c>
      <c r="C830" s="14" t="inlineStr">
        <is>
          <t>Operating margin: 1%</t>
        </is>
      </c>
    </row>
    <row r="831">
      <c r="A831" s="8" t="inlineStr">
        <is>
          <t>ROE</t>
        </is>
      </c>
      <c r="B831" s="16" t="inlineStr">
        <is>
          <t>7%</t>
        </is>
      </c>
      <c r="C831" s="16" t="inlineStr">
        <is>
          <t>Shares YoY: -8%</t>
        </is>
      </c>
    </row>
    <row r="832">
      <c r="A832" s="6" t="inlineStr">
        <is>
          <t>Interest cover</t>
        </is>
      </c>
      <c r="B832" s="14" t="inlineStr">
        <is>
          <t>0.2×</t>
        </is>
      </c>
      <c r="C832" s="14" t="inlineStr">
        <is>
          <t>52-week position: 37%</t>
        </is>
      </c>
    </row>
    <row r="833">
      <c r="A833" s="8" t="inlineStr">
        <is>
          <t>Avg $ volume</t>
        </is>
      </c>
      <c r="B833" s="16" t="inlineStr">
        <is>
          <t>$36,039,452</t>
        </is>
      </c>
      <c r="C833" s="16" t="n"/>
    </row>
    <row r="834" ht="45" customHeight="1">
      <c r="A834" s="8" t="inlineStr">
        <is>
          <t>Event 2026-09-11</t>
        </is>
      </c>
      <c r="B834" s="16" t="inlineStr">
        <is>
          <t>COMPLETED</t>
        </is>
      </c>
      <c r="C834" s="24" t="inlineStr">
        <is>
          <t>Completed separation of Angi Inc — “Distribution On March 31, 2025, the Company completed the spin-off of Angi Inc. (“Angi”) by means of a special dividend (the “Distribution”) of all shares of Angi capital stock held by the Company to holders of its common stock and Class B common stock. Following the Distribution, the Company no lon”</t>
        </is>
      </c>
    </row>
    <row r="835" ht="45" customHeight="1">
      <c r="A835" s="8" t="inlineStr">
        <is>
          <t>Event 2026-09-11</t>
        </is>
      </c>
      <c r="B835" s="16" t="inlineStr">
        <is>
          <t>ANNOUNCED</t>
        </is>
      </c>
      <c r="C835" s="24" t="inlineStr">
        <is>
          <t>[announced] Special dividend of $0.00/sh — “Equity Transactions related to the Angi Distribution 68 PEOPLE INCORPORATED AND SUBSIDIARIES NOTES TO CONSOLIDATED FINANCIAL STATEMENTS (Continued) On March 7, 2025, the Company's board of directors approved the spin-off of Angi and declared a special dividend of all of the shares of Angi capital st”</t>
        </is>
      </c>
    </row>
    <row r="836">
      <c r="A836" s="12" t="inlineStr">
        <is>
          <t>Appears on</t>
        </is>
      </c>
      <c r="B836" s="12" t="inlineStr">
        <is>
          <t>Strength %ile</t>
        </is>
      </c>
      <c r="C836" s="12" t="inlineStr">
        <is>
          <t>What that tab says</t>
        </is>
      </c>
    </row>
    <row r="837" ht="30" customHeight="1">
      <c r="A837" s="6" t="inlineStr">
        <is>
          <t>Governance Discount</t>
        </is>
      </c>
      <c r="B837" s="14" t="n">
        <v>58</v>
      </c>
      <c r="C837" s="22" t="inlineStr">
        <is>
          <t>What's happening (8-K): [2026-09-11] Completed separation of Angi Inc | [2026-09-11] · Tier: ACTION LIKELY · Score: 20 · P/B: 0.53 · Mcap $M: 2,713 · Governance signals (most recent date): capital return policy (2026-09); call value gap (2</t>
        </is>
      </c>
    </row>
    <row r="838" ht="30" customHeight="1">
      <c r="A838" s="8" t="inlineStr">
        <is>
          <t>Re-Rate Catalysts</t>
        </is>
      </c>
      <c r="B838" s="16" t="n">
        <v>97</v>
      </c>
      <c r="C838" s="24" t="inlineStr">
        <is>
          <t>What's happening (8-K): [2026-09-11] Completed separation of Angi Inc | [2026-09-11] · Score: 26.7 · Types: 3 · Ratio: 34.2 · Up%: 200 · Catalysts (source): Asset Sale [narrative]; Capital Return [even</t>
        </is>
      </c>
    </row>
    <row r="839" ht="30" customHeight="1">
      <c r="A839" s="6" t="inlineStr">
        <is>
          <t>Event Detail</t>
        </is>
      </c>
      <c r="B839" s="14" t="n"/>
      <c r="C839" s="22" t="inlineStr">
        <is>
          <t>Date: 2026-09-11 · Event: Spinoff · Status: COMPLETED · What is happening: Completed separation of Angi Inc · Asset / business: Angi Inc · Filing excerpt (verbatim): Distribution On March 31, 2025, the Company completed the sp · Filing: https://www.sec.gov/Archives/edgar/data/1800227/000162828026</t>
        </is>
      </c>
    </row>
    <row r="840" ht="30" customHeight="1">
      <c r="A840" s="8" t="inlineStr">
        <is>
          <t>Event Detail</t>
        </is>
      </c>
      <c r="B840" s="16" t="n"/>
      <c r="C840" s="24" t="inlineStr">
        <is>
          <t>Date: 2026-09-11 · Event: Capital Return · Status: ANNOUNCED · What is happening: [announced] Special dividend of $0.00/sh · Filing excerpt (verbatim): Equity Transactions related to the Angi Distribution 68 PEOP · Filing: https://www.sec.gov/Archives/edgar/data/1800227/000162828026</t>
        </is>
      </c>
    </row>
    <row r="842" ht="18" customHeight="1">
      <c r="A842" s="12" t="inlineStr">
        <is>
          <t>SITC  —  SITE Centers Corp.</t>
        </is>
      </c>
      <c r="B842" s="12" t="n"/>
      <c r="C842" s="12" t="n"/>
    </row>
    <row r="843">
      <c r="A843" s="20" t="inlineStr">
        <is>
          <t>Real Estate · US · mcap $157M · price 2.995</t>
        </is>
      </c>
    </row>
    <row r="844">
      <c r="A844" s="6" t="inlineStr">
        <is>
          <t>Financial read</t>
        </is>
      </c>
      <c r="B844" s="14" t="inlineStr">
        <is>
          <t>P/B 0.56 · P/S 2.2 · FCF yld -14% · net cash 152% of mcap · rev -39% · op margin -32%  [dividend yield &gt;25% (special or bad data)]</t>
        </is>
      </c>
    </row>
    <row r="845">
      <c r="A845" s="8" t="inlineStr">
        <is>
          <t>P/B</t>
        </is>
      </c>
      <c r="B845" s="16" t="inlineStr">
        <is>
          <t>0.56</t>
        </is>
      </c>
      <c r="C845" s="16" t="inlineStr">
        <is>
          <t>P/E: 1.2</t>
        </is>
      </c>
    </row>
    <row r="846">
      <c r="A846" s="6" t="inlineStr">
        <is>
          <t>EV/EBITDA</t>
        </is>
      </c>
      <c r="B846" s="14" t="inlineStr">
        <is>
          <t>-0.4×</t>
        </is>
      </c>
      <c r="C846" s="14" t="inlineStr">
        <is>
          <t>FCF yield: -14%</t>
        </is>
      </c>
    </row>
    <row r="847">
      <c r="A847" s="8" t="inlineStr">
        <is>
          <t>Net cash / mcap</t>
        </is>
      </c>
      <c r="B847" s="16" t="inlineStr">
        <is>
          <t>+152%</t>
        </is>
      </c>
      <c r="C847" s="16" t="inlineStr">
        <is>
          <t>Net debt / EBITDA: -1.3×</t>
        </is>
      </c>
    </row>
    <row r="848">
      <c r="A848" s="6" t="inlineStr">
        <is>
          <t>Revenue growth</t>
        </is>
      </c>
      <c r="B848" s="14" t="inlineStr">
        <is>
          <t>-39%</t>
        </is>
      </c>
      <c r="C848" s="14" t="inlineStr">
        <is>
          <t>Operating margin: -32%</t>
        </is>
      </c>
    </row>
    <row r="849">
      <c r="A849" s="8" t="inlineStr">
        <is>
          <t>ROE</t>
        </is>
      </c>
      <c r="B849" s="16" t="inlineStr">
        <is>
          <t>41%</t>
        </is>
      </c>
      <c r="C849" s="16" t="inlineStr">
        <is>
          <t>Shares YoY: +0%</t>
        </is>
      </c>
    </row>
    <row r="850">
      <c r="A850" s="6" t="inlineStr">
        <is>
          <t>Interest cover</t>
        </is>
      </c>
      <c r="B850" s="14" t="inlineStr">
        <is>
          <t>-0.7×</t>
        </is>
      </c>
      <c r="C850" s="14" t="inlineStr">
        <is>
          <t>52-week position: 3%</t>
        </is>
      </c>
    </row>
    <row r="851">
      <c r="A851" s="8" t="inlineStr">
        <is>
          <t>Avg $ volume</t>
        </is>
      </c>
      <c r="B851" s="16" t="inlineStr">
        <is>
          <t>$2,750,725</t>
        </is>
      </c>
      <c r="C851" s="16" t="n"/>
    </row>
    <row r="852" ht="45" customHeight="1">
      <c r="A852" s="8" t="inlineStr">
        <is>
          <t>Event 2026-07-01</t>
        </is>
      </c>
      <c r="B852" s="16" t="inlineStr">
        <is>
          <t>COMPLETED</t>
        </is>
      </c>
      <c r="C852" s="24" t="inlineStr">
        <is>
          <t>[completed] Selling ground leasehold interest to Pike Long Beach Owner LLC for $50M (32% of mcap) — “On June 30, 2026, a subsidiary (the “Seller”) of SITE Centers Corp. completed the sale of its ground leasehold interest and all of its other interests in The Pike Outlets (Long Beach, California) to Pike Long Beach Owner LLC (“Purchaser”) for a price of $50.0 million in cash pursuant to a Purchase A”</t>
        </is>
      </c>
    </row>
    <row r="853" ht="45" customHeight="1">
      <c r="A853" s="8" t="inlineStr">
        <is>
          <t>Event 2026-02-26</t>
        </is>
      </c>
      <c r="B853" s="16" t="inlineStr">
        <is>
          <t>COMPLETED</t>
        </is>
      </c>
      <c r="C853" s="24" t="inlineStr">
        <is>
          <t>Completed separation of Curbline Properties — “Discontinued Operations On October 1, 2024, the Company completed the spin-off of Curbline Properties. The spin-off of the convenience properties represented a strategic shift in the Company’s business and, as such, the Curbline properties are reflected as discontinued operations for the periods pri”</t>
        </is>
      </c>
    </row>
    <row r="854">
      <c r="A854" s="12" t="inlineStr">
        <is>
          <t>Appears on</t>
        </is>
      </c>
      <c r="B854" s="12" t="inlineStr">
        <is>
          <t>Strength %ile</t>
        </is>
      </c>
      <c r="C854" s="12" t="inlineStr">
        <is>
          <t>What that tab says</t>
        </is>
      </c>
    </row>
    <row r="855" ht="30" customHeight="1">
      <c r="A855" s="6" t="inlineStr">
        <is>
          <t>Governance Discount</t>
        </is>
      </c>
      <c r="B855" s="14" t="n">
        <v>74</v>
      </c>
      <c r="C855" s="22" t="inlineStr">
        <is>
          <t>What's happening (8-K): [2026-07-01] [completed] Selling ground leasehold interest t · Tier: BUILDING · Score: 24 · P/B: 0.56 · Mcap $M: 157 · Governance signals (most recent date): asset sale (2026-07); mda unlock (2026-08); sop di</t>
        </is>
      </c>
    </row>
    <row r="856" ht="30" customHeight="1">
      <c r="A856" s="8" t="inlineStr">
        <is>
          <t>Re-Rate Catalysts</t>
        </is>
      </c>
      <c r="B856" s="16" t="n">
        <v>99</v>
      </c>
      <c r="C856" s="24" t="inlineStr">
        <is>
          <t>What's happening (8-K): [2026-07-01] [completed] Selling ground leasehold interest t · Score: 30.1 · Types: 2 · Ratio: 4.5 · Up%: 45 · Catalysts (source): Asset Sale [event/narrative]; Spinoff [event</t>
        </is>
      </c>
    </row>
    <row r="857" ht="30" customHeight="1">
      <c r="A857" s="6" t="inlineStr">
        <is>
          <t>Event Detail</t>
        </is>
      </c>
      <c r="B857" s="14" t="n"/>
      <c r="C857" s="22" t="inlineStr">
        <is>
          <t>Date: 2026-07-01 · Event: Asset Sale · Status: COMPLETED · What is happening: [completed] Selling ground leasehold interest to Pike Long B · Amount: $50M · % mcap: 32% · Counterparty / person: Pike Long Beach Owner LLC · Asset / business: ground leasehold interest · Filing excerpt (verbatim): On June 30, 2026, a subsidiary (the “Seller”) of SITE Center · Filing: https://www.sec.gov/Archives/edgar/data/894315/0001193125262</t>
        </is>
      </c>
    </row>
    <row r="858" ht="30" customHeight="1">
      <c r="A858" s="8" t="inlineStr">
        <is>
          <t>Event Detail</t>
        </is>
      </c>
      <c r="B858" s="16" t="n"/>
      <c r="C858" s="24" t="inlineStr">
        <is>
          <t>Date: 2026-02-26 · Event: Spinoff · Status: COMPLETED · What is happening: Completed separation of Curbline Properties · Asset / business: Curbline Properties · Filing excerpt (verbatim): Discontinued Operations On October 1, 2024, the Company comp · Filing: https://www.sec.gov/Archives/edgar/data/894315/0001193125260</t>
        </is>
      </c>
    </row>
    <row r="860" ht="18" customHeight="1">
      <c r="A860" s="12" t="inlineStr">
        <is>
          <t>AZTA  —  Azenta, Inc.</t>
        </is>
      </c>
      <c r="B860" s="12" t="n"/>
      <c r="C860" s="12" t="n"/>
    </row>
    <row r="861">
      <c r="A861" s="20" t="inlineStr">
        <is>
          <t>Healthcare · US · mcap $1,594M · price 34.5769</t>
        </is>
      </c>
    </row>
    <row r="862">
      <c r="A862" s="6" t="inlineStr">
        <is>
          <t>Financial read</t>
        </is>
      </c>
      <c r="B862" s="14" t="inlineStr">
        <is>
          <t>P/B 1.06 · P/S 2.6 · FCF yld 1% · net cash 17% of mcap · rev +2% · op margin -3%</t>
        </is>
      </c>
    </row>
    <row r="863">
      <c r="A863" s="8" t="inlineStr">
        <is>
          <t>P/B</t>
        </is>
      </c>
      <c r="B863" s="16" t="inlineStr">
        <is>
          <t>1.06</t>
        </is>
      </c>
      <c r="C863" s="16" t="inlineStr">
        <is>
          <t>P/E: -12.4</t>
        </is>
      </c>
    </row>
    <row r="864">
      <c r="A864" s="6" t="inlineStr">
        <is>
          <t>EV/EBITDA</t>
        </is>
      </c>
      <c r="B864" s="14" t="inlineStr">
        <is>
          <t>-14.8×</t>
        </is>
      </c>
      <c r="C864" s="14" t="inlineStr">
        <is>
          <t>FCF yield: 1%</t>
        </is>
      </c>
    </row>
    <row r="865">
      <c r="A865" s="8" t="inlineStr">
        <is>
          <t>Net cash / mcap</t>
        </is>
      </c>
      <c r="B865" s="16" t="inlineStr">
        <is>
          <t>+17%</t>
        </is>
      </c>
      <c r="C865" s="16" t="inlineStr">
        <is>
          <t>Net debt / EBITDA: 1.4×</t>
        </is>
      </c>
    </row>
    <row r="866">
      <c r="A866" s="6" t="inlineStr">
        <is>
          <t>Revenue growth</t>
        </is>
      </c>
      <c r="B866" s="14" t="inlineStr">
        <is>
          <t>+2%</t>
        </is>
      </c>
      <c r="C866" s="14" t="inlineStr">
        <is>
          <t>Operating margin: -3%</t>
        </is>
      </c>
    </row>
    <row r="867">
      <c r="A867" s="8" t="inlineStr">
        <is>
          <t>ROE</t>
        </is>
      </c>
      <c r="B867" s="16" t="inlineStr">
        <is>
          <t>-8%</t>
        </is>
      </c>
      <c r="C867" s="16" t="inlineStr">
        <is>
          <t>Shares YoY: +1%</t>
        </is>
      </c>
    </row>
    <row r="868">
      <c r="A868" s="6" t="inlineStr">
        <is>
          <t>52-week position</t>
        </is>
      </c>
      <c r="B868" s="14" t="inlineStr">
        <is>
          <t>72%</t>
        </is>
      </c>
      <c r="C868" s="14" t="inlineStr">
        <is>
          <t>Avg $ volume: $29,546,065</t>
        </is>
      </c>
    </row>
    <row r="869">
      <c r="A869" s="12" t="inlineStr">
        <is>
          <t>Appears on</t>
        </is>
      </c>
      <c r="B869" s="12" t="inlineStr">
        <is>
          <t>Strength %ile</t>
        </is>
      </c>
      <c r="C869" s="12" t="inlineStr">
        <is>
          <t>What that tab says</t>
        </is>
      </c>
    </row>
    <row r="870" ht="30" customHeight="1">
      <c r="A870" s="6" t="inlineStr">
        <is>
          <t>Call Intent</t>
        </is>
      </c>
      <c r="B870" s="14" t="n">
        <v>99</v>
      </c>
      <c r="C870" s="22" t="inlineStr">
        <is>
          <t xml:space="preserve">Tier: ACT SIGNALLED · Act prob: 0.67 · P/B: 1.06 · Novelty: 2.5 · Size: 50 · CEO+CFO: ✓ · Call: 2026-08-05 · New / strongest families: NEW monetize, buyback, cost · Evidence (management, verbatim): [monetize] “As John mentioned, we completed the divestiture </t>
        </is>
      </c>
    </row>
    <row r="871" ht="30" customHeight="1">
      <c r="A871" s="8" t="inlineStr">
        <is>
          <t>Distressed Stub Progress</t>
        </is>
      </c>
      <c r="B871" s="16" t="n">
        <v>52</v>
      </c>
      <c r="C871" s="24" t="inlineStr">
        <is>
          <t>Score: 3 · Stage: 4 · Classification: survival or process only · Event classes: asset_sale_completed</t>
        </is>
      </c>
    </row>
    <row r="872" ht="30" customHeight="1">
      <c r="A872" s="6" t="inlineStr">
        <is>
          <t>Without Valuation</t>
        </is>
      </c>
      <c r="B872" s="14" t="n">
        <v>25</v>
      </c>
      <c r="C872" s="22" t="inlineStr">
        <is>
          <t>Layers: 6 · Consensus: 4.22 · Lift vs val: 7 · Sector: Healthcare · Detail: PSU:31</t>
        </is>
      </c>
    </row>
    <row r="874" ht="18" customHeight="1">
      <c r="A874" s="12" t="inlineStr">
        <is>
          <t>HON  —  Honeywell International Inc.</t>
        </is>
      </c>
      <c r="B874" s="12" t="n"/>
      <c r="C874" s="12" t="n"/>
    </row>
    <row r="875">
      <c r="A875" s="20" t="inlineStr">
        <is>
          <t>Industrials · US · mcap $67,160M · price 211.9</t>
        </is>
      </c>
    </row>
    <row r="876">
      <c r="A876" s="6" t="inlineStr">
        <is>
          <t>Financial read</t>
        </is>
      </c>
      <c r="B876" s="14" t="inlineStr">
        <is>
          <t>P/B 2.66 · EV/EBITDA 7.4× · FCF yld 6% · net debt 37% of mcap · rev -10% · op margin 14%</t>
        </is>
      </c>
    </row>
    <row r="877">
      <c r="A877" s="8" t="inlineStr">
        <is>
          <t>P/B</t>
        </is>
      </c>
      <c r="B877" s="16" t="inlineStr">
        <is>
          <t>2.66</t>
        </is>
      </c>
      <c r="C877" s="16" t="inlineStr">
        <is>
          <t>P/E: 8.2</t>
        </is>
      </c>
    </row>
    <row r="878">
      <c r="A878" s="6" t="inlineStr">
        <is>
          <t>EV/EBITDA</t>
        </is>
      </c>
      <c r="B878" s="14" t="inlineStr">
        <is>
          <t>7.4×</t>
        </is>
      </c>
      <c r="C878" s="14" t="inlineStr">
        <is>
          <t>FCF yield: 6%</t>
        </is>
      </c>
    </row>
    <row r="879">
      <c r="A879" s="8" t="inlineStr">
        <is>
          <t>Net cash / mcap</t>
        </is>
      </c>
      <c r="B879" s="16" t="inlineStr">
        <is>
          <t>-37%</t>
        </is>
      </c>
      <c r="C879" s="16" t="inlineStr">
        <is>
          <t>Net debt / EBITDA: 2.0×</t>
        </is>
      </c>
    </row>
    <row r="880">
      <c r="A880" s="6" t="inlineStr">
        <is>
          <t>Revenue growth</t>
        </is>
      </c>
      <c r="B880" s="14" t="inlineStr">
        <is>
          <t>-10%</t>
        </is>
      </c>
      <c r="C880" s="14" t="inlineStr">
        <is>
          <t>Operating margin: 14%</t>
        </is>
      </c>
    </row>
    <row r="881">
      <c r="A881" s="8" t="inlineStr">
        <is>
          <t>ROE</t>
        </is>
      </c>
      <c r="B881" s="16" t="inlineStr">
        <is>
          <t>42%</t>
        </is>
      </c>
      <c r="C881" s="16" t="inlineStr">
        <is>
          <t>Shares YoY: -0%</t>
        </is>
      </c>
    </row>
    <row r="882">
      <c r="A882" s="6" t="inlineStr">
        <is>
          <t>Interest cover</t>
        </is>
      </c>
      <c r="B882" s="14" t="inlineStr">
        <is>
          <t>3.5×</t>
        </is>
      </c>
      <c r="C882" s="14" t="inlineStr">
        <is>
          <t>52-week position: 25%</t>
        </is>
      </c>
    </row>
    <row r="883">
      <c r="A883" s="8" t="inlineStr">
        <is>
          <t>Avg $ volume</t>
        </is>
      </c>
      <c r="B883" s="16" t="inlineStr">
        <is>
          <t>$877,941,325</t>
        </is>
      </c>
      <c r="C883" s="16" t="n"/>
    </row>
    <row r="884" ht="45" customHeight="1">
      <c r="A884" s="8" t="inlineStr">
        <is>
          <t>Event 2026-07-23</t>
        </is>
      </c>
      <c r="B884" s="16" t="inlineStr">
        <is>
          <t>COMPLETED</t>
        </is>
      </c>
      <c r="C884" s="24" t="inlineStr">
        <is>
          <t>Completed separation of a business — “Second Quarter 2026 Consolidated Results (including legacy Aerospace Technologies segment): • Orders up 4% leading to ~$38 billion backlog • Sales of $9.7 billion, reported sales up 4% and organic 1 sales up 4% • Operating margin of 17.9% and segment margin 1 of 23.1% • Earnings per share (EPS) of $”</t>
        </is>
      </c>
    </row>
    <row r="885" ht="45" customHeight="1">
      <c r="A885" s="8" t="inlineStr">
        <is>
          <t>Event 2026-04-23</t>
        </is>
      </c>
      <c r="B885" s="16" t="inlineStr">
        <is>
          <t>ANNOUNCED</t>
        </is>
      </c>
      <c r="C885" s="24" t="inlineStr">
        <is>
          <t>Separating a business; close third quarter on June 29 — “Upcoming Investor Day Details The company earlier announced dates for its upcoming investor days ahead of the planned separation of Honeywell Aerospace, now expected to be completed in the third quarter on June 29, 2026. Honeywell Aerospace, which will trade on the Nasdaq under the ticker "HONA", wi”</t>
        </is>
      </c>
    </row>
    <row r="886">
      <c r="A886" s="12" t="inlineStr">
        <is>
          <t>Appears on</t>
        </is>
      </c>
      <c r="B886" s="12" t="inlineStr">
        <is>
          <t>Strength %ile</t>
        </is>
      </c>
      <c r="C886" s="12" t="inlineStr">
        <is>
          <t>What that tab says</t>
        </is>
      </c>
    </row>
    <row r="887" ht="30" customHeight="1">
      <c r="A887" s="6" t="inlineStr">
        <is>
          <t>Political Trades</t>
        </is>
      </c>
      <c r="B887" s="14" t="n"/>
      <c r="C887" s="22" t="inlineStr">
        <is>
          <t>Edge est.: -1.9 · Buys: 4 · Sells: 3 · Members: 4 · Last disclosed: 2026-08-06 · Recent trades: whouse (H, Spouse) buy &lt;15k; 2026-08-05 Thomas Hawley Tuberv</t>
        </is>
      </c>
    </row>
    <row r="888" ht="30" customHeight="1">
      <c r="A888" s="8" t="inlineStr">
        <is>
          <t>Re-Rate Catalysts</t>
        </is>
      </c>
      <c r="B888" s="16" t="n">
        <v>97</v>
      </c>
      <c r="C888" s="24" t="inlineStr">
        <is>
          <t>What's happening (8-K): [2026-07-23] Completed separation of a business | [2026-04-2 · Score: 25 · Types: 2 · Catalysts (source): Separation [event/narrative]; Spinoff [event</t>
        </is>
      </c>
    </row>
    <row r="889" ht="30" customHeight="1">
      <c r="A889" s="6" t="inlineStr">
        <is>
          <t>Event Detail</t>
        </is>
      </c>
      <c r="B889" s="14" t="n"/>
      <c r="C889" s="22" t="inlineStr">
        <is>
          <t>Date: 2026-07-23 · Event: Spinoff · Status: COMPLETED · What is happening: Completed separation of a business · Amount: $38,000M · % mcap: 57% · Filing excerpt (verbatim): Second Quarter 2026 Consolidated Results (including legacy A · Filing: https://www.sec.gov/Archives/edgar/data/773840/0000773840260</t>
        </is>
      </c>
    </row>
    <row r="890" ht="30" customHeight="1">
      <c r="A890" s="8" t="inlineStr">
        <is>
          <t>Event Detail</t>
        </is>
      </c>
      <c r="B890" s="16" t="n"/>
      <c r="C890" s="24" t="inlineStr">
        <is>
          <t>Date: 2026-04-23 · Event: Separation · Status: ANNOUNCED · What is happening: Separating a business; close third quarter on June 29 · Timing: third quarter on June 29 · Filing excerpt (verbatim): Upcoming Investor Day Details The company earlier announced  · Filing: https://www.sec.gov/Archives/edgar/data/773840/0000773840260</t>
        </is>
      </c>
    </row>
    <row r="892" ht="18" customHeight="1">
      <c r="A892" s="12" t="inlineStr">
        <is>
          <t>BHC  —  Bausch Health Companies Inc.</t>
        </is>
      </c>
      <c r="B892" s="12" t="n"/>
      <c r="C892" s="12" t="n"/>
    </row>
    <row r="893">
      <c r="A893" s="20" t="inlineStr">
        <is>
          <t>Healthcare · CA · mcap $2,149M · price 5.745</t>
        </is>
      </c>
    </row>
    <row r="894">
      <c r="A894" s="6" t="inlineStr">
        <is>
          <t>Financial read</t>
        </is>
      </c>
      <c r="B894" s="14" t="inlineStr">
        <is>
          <t>EV/EBITDA 10.3× · FCF yld 65% · rev +10% · op margin 25%  [negative equity]</t>
        </is>
      </c>
    </row>
    <row r="895">
      <c r="A895" s="8" t="inlineStr">
        <is>
          <t>P/E</t>
        </is>
      </c>
      <c r="B895" s="16" t="inlineStr">
        <is>
          <t>-2.0</t>
        </is>
      </c>
      <c r="C895" s="16" t="inlineStr">
        <is>
          <t>EV/EBITDA: 10.3×</t>
        </is>
      </c>
    </row>
    <row r="896">
      <c r="A896" s="6" t="inlineStr">
        <is>
          <t>FCF yield</t>
        </is>
      </c>
      <c r="B896" s="14" t="inlineStr">
        <is>
          <t>65%</t>
        </is>
      </c>
      <c r="C896" s="14" t="inlineStr">
        <is>
          <t>Net debt / EBITDA: 9.3×</t>
        </is>
      </c>
    </row>
    <row r="897">
      <c r="A897" s="8" t="inlineStr">
        <is>
          <t>Revenue growth</t>
        </is>
      </c>
      <c r="B897" s="16" t="inlineStr">
        <is>
          <t>+10%</t>
        </is>
      </c>
      <c r="C897" s="16" t="inlineStr">
        <is>
          <t>Operating margin: 25%</t>
        </is>
      </c>
    </row>
    <row r="898">
      <c r="A898" s="6" t="inlineStr">
        <is>
          <t>ROE</t>
        </is>
      </c>
      <c r="B898" s="14" t="inlineStr">
        <is>
          <t>89%</t>
        </is>
      </c>
      <c r="C898" s="14" t="inlineStr">
        <is>
          <t>Shares YoY: +1%</t>
        </is>
      </c>
    </row>
    <row r="899">
      <c r="A899" s="8" t="inlineStr">
        <is>
          <t>Interest cover</t>
        </is>
      </c>
      <c r="B899" s="16" t="inlineStr">
        <is>
          <t>1.7×</t>
        </is>
      </c>
      <c r="C899" s="16" t="inlineStr">
        <is>
          <t>52-week position: 39%</t>
        </is>
      </c>
    </row>
    <row r="900">
      <c r="A900" s="6" t="inlineStr">
        <is>
          <t>Avg $ volume</t>
        </is>
      </c>
      <c r="B900" s="14" t="inlineStr">
        <is>
          <t>$17,804,691</t>
        </is>
      </c>
      <c r="C900" s="14" t="n"/>
    </row>
    <row r="901" ht="45" customHeight="1">
      <c r="A901" s="8" t="inlineStr">
        <is>
          <t>Event 2026-07-29</t>
        </is>
      </c>
      <c r="B901" s="16" t="inlineStr">
        <is>
          <t>ANNOUNCED</t>
        </is>
      </c>
      <c r="C901" s="24" t="inlineStr">
        <is>
          <t>Separating a business — “Because deductions (such as restructuring, gain or loss on extinguishment of debt and litigation and other matters) used to calculate projected net income (loss) and payments (such as payments of legal settlements, transformation costs, separation costs and separation-related costs, interest charged”</t>
        </is>
      </c>
    </row>
    <row r="902" ht="45" customHeight="1">
      <c r="A902" s="8" t="inlineStr">
        <is>
          <t>Event 2026-07-29</t>
        </is>
      </c>
      <c r="B902" s="16" t="inlineStr">
        <is>
          <t>ANNOUNCED</t>
        </is>
      </c>
      <c r="C902" s="24" t="inlineStr">
        <is>
          <t>Separating a business — “Because deductions (such as restructuring, gain or loss on extinguishment of debt and litigation and other matters) used to calculate projected net income (loss) and payments (such as payments of legal settlements, transformation costs, separation costs and separation-related costs, interest charged”</t>
        </is>
      </c>
    </row>
    <row r="903" ht="45" customHeight="1">
      <c r="A903" s="8" t="inlineStr">
        <is>
          <t>Event 2026-02-18</t>
        </is>
      </c>
      <c r="B903" s="16" t="inlineStr">
        <is>
          <t>COMPLETED</t>
        </is>
      </c>
      <c r="C903" s="24" t="inlineStr">
        <is>
          <t>[completed] Exchange Offer: $10.27bn (478% of mcap) — “By: | /s/ JEAN-JACQUES CHARHON Jean-Jacques Charhon Executive Vice President, Chief Financial Officer (Principal Financial Officer) EX-99.1 2 ex991-q4x2025.htm EX-99.1 Exhibit 99.1 Investor Contact: | Media Contact: Garen Sarafian Katie Savastano ir@bauschhealth.com | corporate.communications@bausch”</t>
        </is>
      </c>
    </row>
    <row r="904">
      <c r="A904" s="12" t="inlineStr">
        <is>
          <t>Appears on</t>
        </is>
      </c>
      <c r="B904" s="12" t="inlineStr">
        <is>
          <t>Strength %ile</t>
        </is>
      </c>
      <c r="C904" s="12" t="inlineStr">
        <is>
          <t>What that tab says</t>
        </is>
      </c>
    </row>
    <row r="905" ht="30" customHeight="1">
      <c r="A905" s="6" t="inlineStr">
        <is>
          <t>Re-Rate Catalysts</t>
        </is>
      </c>
      <c r="B905" s="14" t="n">
        <v>100</v>
      </c>
      <c r="C905" s="22" t="inlineStr">
        <is>
          <t>What's happening (8-K): [2026-07-29] Separating a business | [2026-07-29] Separating · Score: 39 · Types: 3 · Ratio: 3 · Up%: 300 · Catalysts (source): Exchange Offer [event]; Separation [event/na</t>
        </is>
      </c>
    </row>
    <row r="906" ht="30" customHeight="1">
      <c r="A906" s="8" t="inlineStr">
        <is>
          <t>Single-Measure Best</t>
        </is>
      </c>
      <c r="B906" s="16" t="n">
        <v>39</v>
      </c>
      <c r="C906" s="24" t="inlineStr">
        <is>
          <t>Detail: UNKNOWN | live event · Score: 1 · Sector: Healthcare</t>
        </is>
      </c>
    </row>
    <row r="907" ht="30" customHeight="1">
      <c r="A907" s="6" t="inlineStr">
        <is>
          <t>Event Detail</t>
        </is>
      </c>
      <c r="B907" s="14" t="n"/>
      <c r="C907" s="22" t="inlineStr">
        <is>
          <t>Date: 2026-07-29 · Event: Spinoff · Status: ANNOUNCED · What is happening: Separating a business · Filing excerpt (verbatim): Because deductions (such as restructuring, gain or loss on e · Filing: https://www.sec.gov/Archives/edgar/data/885590/0000885590260</t>
        </is>
      </c>
    </row>
    <row r="908" ht="30" customHeight="1">
      <c r="A908" s="8" t="inlineStr">
        <is>
          <t>Event Detail</t>
        </is>
      </c>
      <c r="B908" s="16" t="n"/>
      <c r="C908" s="24" t="inlineStr">
        <is>
          <t>Date: 2026-07-29 · Event: Separation · Status: ANNOUNCED · What is happening: Separating a business · Filing excerpt (verbatim): Because deductions (such as restructuring, gain or loss on e · Filing: https://www.sec.gov/Archives/edgar/data/885590/0000885590260</t>
        </is>
      </c>
    </row>
    <row r="909" ht="30" customHeight="1">
      <c r="A909" s="6" t="inlineStr">
        <is>
          <t>Event Detail</t>
        </is>
      </c>
      <c r="B909" s="14" t="n"/>
      <c r="C909" s="22" t="inlineStr">
        <is>
          <t>Date: 2026-02-18 · Event: Exchange Offer · Status: COMPLETED · What is happening: [completed] Exchange Offer: $10.27bn (478% of mcap) · Amount: $10,270M · % mcap: 478% · Filing excerpt (verbatim): By: | /s/ JEAN-JACQUES CHARHON Jean-Jacques Charhon Executiv · Filing: https://www.sec.gov/Archives/edgar/data/885590/0000885590260</t>
        </is>
      </c>
    </row>
    <row r="911" ht="18" customHeight="1">
      <c r="A911" s="12" t="inlineStr">
        <is>
          <t>WBD  —  Warner Bros. Discovery, Inc.</t>
        </is>
      </c>
      <c r="B911" s="12" t="n"/>
      <c r="C911" s="12" t="n"/>
    </row>
    <row r="912">
      <c r="A912" s="20" t="inlineStr">
        <is>
          <t>Communication Services · US · mcap $77,170M · price 30.78</t>
        </is>
      </c>
    </row>
    <row r="913">
      <c r="A913" s="6" t="inlineStr">
        <is>
          <t>Financial read</t>
        </is>
      </c>
      <c r="B913" s="14" t="inlineStr">
        <is>
          <t>P/B 2.35 · EV/EBITDA 17.5× · FCF yld 3% · net debt 37% of mcap · rev -6% · op margin 5% · diluting 3%/yr · interest cover 0.9× ⚠</t>
        </is>
      </c>
    </row>
    <row r="914">
      <c r="A914" s="8" t="inlineStr">
        <is>
          <t>P/B</t>
        </is>
      </c>
      <c r="B914" s="16" t="inlineStr">
        <is>
          <t>2.35</t>
        </is>
      </c>
      <c r="C914" s="16" t="inlineStr">
        <is>
          <t>P/E: -24.2</t>
        </is>
      </c>
    </row>
    <row r="915">
      <c r="A915" s="6" t="inlineStr">
        <is>
          <t>EV/EBITDA</t>
        </is>
      </c>
      <c r="B915" s="14" t="inlineStr">
        <is>
          <t>17.5×</t>
        </is>
      </c>
      <c r="C915" s="14" t="inlineStr">
        <is>
          <t>FCF yield: 3%</t>
        </is>
      </c>
    </row>
    <row r="916">
      <c r="A916" s="8" t="inlineStr">
        <is>
          <t>Net cash / mcap</t>
        </is>
      </c>
      <c r="B916" s="16" t="inlineStr">
        <is>
          <t>-37%</t>
        </is>
      </c>
      <c r="C916" s="16" t="inlineStr">
        <is>
          <t>Net debt / EBITDA: 4.7×</t>
        </is>
      </c>
    </row>
    <row r="917">
      <c r="A917" s="6" t="inlineStr">
        <is>
          <t>Revenue growth</t>
        </is>
      </c>
      <c r="B917" s="14" t="inlineStr">
        <is>
          <t>-6%</t>
        </is>
      </c>
      <c r="C917" s="14" t="inlineStr">
        <is>
          <t>Operating margin: 5%</t>
        </is>
      </c>
    </row>
    <row r="918">
      <c r="A918" s="8" t="inlineStr">
        <is>
          <t>ROE</t>
        </is>
      </c>
      <c r="B918" s="16" t="inlineStr">
        <is>
          <t>-9%</t>
        </is>
      </c>
      <c r="C918" s="16" t="inlineStr">
        <is>
          <t>Shares YoY: +3%</t>
        </is>
      </c>
    </row>
    <row r="919">
      <c r="A919" s="6" t="inlineStr">
        <is>
          <t>Interest cover</t>
        </is>
      </c>
      <c r="B919" s="14" t="inlineStr">
        <is>
          <t>0.9×</t>
        </is>
      </c>
      <c r="C919" s="14" t="inlineStr">
        <is>
          <t>52-week position: 99%</t>
        </is>
      </c>
    </row>
    <row r="920">
      <c r="A920" s="8" t="inlineStr">
        <is>
          <t>Avg $ volume</t>
        </is>
      </c>
      <c r="B920" s="16" t="inlineStr">
        <is>
          <t>$731,319,103</t>
        </is>
      </c>
      <c r="C920" s="16" t="n"/>
    </row>
    <row r="921" ht="45" customHeight="1">
      <c r="A921" s="8" t="inlineStr">
        <is>
          <t>Event 2026-02-27</t>
        </is>
      </c>
      <c r="B921" s="16" t="inlineStr">
        <is>
          <t>PENDING</t>
        </is>
      </c>
      <c r="C921" s="24" t="inlineStr">
        <is>
          <t>Separating Streaming &amp; Studios business — “PSKY’s obligation to consummate the Merger is also subject to (x) the absence of certain changes that have had, or would reasonably be expected to have, a material adverse effect with respect to the Streaming and Studios segments of WBD and (y) WBD not having completed the separation of its Streamin”</t>
        </is>
      </c>
    </row>
    <row r="922" ht="45" customHeight="1">
      <c r="A922" s="8" t="inlineStr">
        <is>
          <t>Event 2026-02-26</t>
        </is>
      </c>
      <c r="B922" s="16" t="inlineStr">
        <is>
          <t>ANNOUNCED</t>
        </is>
      </c>
      <c r="C922" s="24" t="inlineStr">
        <is>
          <t>Separating a business — “Free cash flow was unfavorably impacted by approximately $600 million of separation &amp; transaction related items. • Ended the quarter with 131.6 million streaming subscribers(4), an increase of 3.5 million subscribers vs. Q3. FY 2025 Highlights • Total revenues were $37.3 billion, a 5% ex-FX decrease”</t>
        </is>
      </c>
    </row>
    <row r="923">
      <c r="A923" s="12" t="inlineStr">
        <is>
          <t>Appears on</t>
        </is>
      </c>
      <c r="B923" s="12" t="inlineStr">
        <is>
          <t>Strength %ile</t>
        </is>
      </c>
      <c r="C923" s="12" t="inlineStr">
        <is>
          <t>What that tab says</t>
        </is>
      </c>
    </row>
    <row r="924" ht="30" customHeight="1">
      <c r="A924" s="6" t="inlineStr">
        <is>
          <t>Re-Rate Catalysts</t>
        </is>
      </c>
      <c r="B924" s="14" t="n">
        <v>99</v>
      </c>
      <c r="C924" s="22" t="inlineStr">
        <is>
          <t>What's happening (8-K): [2026-02-27] Separating Streaming &amp; Studios business | [2026 · Score: 33 · Types: 4 · Catalysts (source): Exchange Offer [event]; Sale Of Company [ten</t>
        </is>
      </c>
    </row>
    <row r="925" ht="30" customHeight="1">
      <c r="A925" s="8" t="inlineStr">
        <is>
          <t>Hidden Asset Realisation</t>
        </is>
      </c>
      <c r="B925" s="16" t="n">
        <v>78</v>
      </c>
      <c r="C925" s="24" t="inlineStr">
        <is>
          <t>What's happening (8-K): [2026-02-27] Separating Streaming &amp; Studios business | [2026 · Score: 20 · Mand. prepay: no · Industry: media, telecom · Asset types: broadcast_licences, fcc_li</t>
        </is>
      </c>
    </row>
    <row r="926" ht="30" customHeight="1">
      <c r="A926" s="6" t="inlineStr">
        <is>
          <t>Event Detail</t>
        </is>
      </c>
      <c r="B926" s="14" t="n"/>
      <c r="C926" s="22" t="inlineStr">
        <is>
          <t>Date: 2026-02-27 · Event: Spinoff · Status: PENDING · What is happening: Separating Streaming &amp; Studios business · Asset / business: Streaming &amp; Studios business · Filing excerpt (verbatim): PSKY’s obligation to consummate the Merger is also subject t · Filing: https://www.sec.gov/Archives/edgar/data/1437107/000143710726</t>
        </is>
      </c>
    </row>
    <row r="927" ht="30" customHeight="1">
      <c r="A927" s="8" t="inlineStr">
        <is>
          <t>Event Detail</t>
        </is>
      </c>
      <c r="B927" s="16" t="n"/>
      <c r="C927" s="24" t="inlineStr">
        <is>
          <t>Date: 2026-02-26 · Event: Separation · Status: ANNOUNCED · What is happening: Separating a business · Amount: $37,300M · % mcap: 48% · Filing excerpt (verbatim): Free cash flow was unfavorably impacted by approximately $60 · Filing: https://www.sec.gov/Archives/edgar/data/1437107/000143710726</t>
        </is>
      </c>
    </row>
    <row r="929" ht="18" customHeight="1">
      <c r="A929" s="12" t="inlineStr">
        <is>
          <t>KDP  —  Keurig Dr Pepper Inc.</t>
        </is>
      </c>
      <c r="B929" s="12" t="n"/>
      <c r="C929" s="12" t="n"/>
    </row>
    <row r="930">
      <c r="A930" s="20" t="inlineStr">
        <is>
          <t>Consumer Defensive · US · mcap $43,245M · price 31.785</t>
        </is>
      </c>
    </row>
    <row r="931">
      <c r="A931" s="6" t="inlineStr">
        <is>
          <t>Financial read</t>
        </is>
      </c>
      <c r="B931" s="14" t="inlineStr">
        <is>
          <t>P/B 1.73 · EV/EBITDA 20.9× · FCF yld 5% · net debt 76% of mcap · rev +27% · op margin 17%</t>
        </is>
      </c>
    </row>
    <row r="932">
      <c r="A932" s="8" t="inlineStr">
        <is>
          <t>P/B</t>
        </is>
      </c>
      <c r="B932" s="16" t="inlineStr">
        <is>
          <t>1.73</t>
        </is>
      </c>
      <c r="C932" s="16" t="inlineStr">
        <is>
          <t>P/E: 31.8</t>
        </is>
      </c>
    </row>
    <row r="933">
      <c r="A933" s="6" t="inlineStr">
        <is>
          <t>EV/EBITDA</t>
        </is>
      </c>
      <c r="B933" s="14" t="inlineStr">
        <is>
          <t>20.9×</t>
        </is>
      </c>
      <c r="C933" s="14" t="inlineStr">
        <is>
          <t>FCF yield: 5%</t>
        </is>
      </c>
    </row>
    <row r="934">
      <c r="A934" s="8" t="inlineStr">
        <is>
          <t>Net cash / mcap</t>
        </is>
      </c>
      <c r="B934" s="16" t="inlineStr">
        <is>
          <t>-76%</t>
        </is>
      </c>
      <c r="C934" s="16" t="inlineStr">
        <is>
          <t>Net debt / EBITDA: 9.1×</t>
        </is>
      </c>
    </row>
    <row r="935">
      <c r="A935" s="6" t="inlineStr">
        <is>
          <t>Revenue growth</t>
        </is>
      </c>
      <c r="B935" s="14" t="inlineStr">
        <is>
          <t>+27%</t>
        </is>
      </c>
      <c r="C935" s="14" t="inlineStr">
        <is>
          <t>Operating margin: 17%</t>
        </is>
      </c>
    </row>
    <row r="936">
      <c r="A936" s="8" t="inlineStr">
        <is>
          <t>ROE</t>
        </is>
      </c>
      <c r="B936" s="16" t="inlineStr">
        <is>
          <t>6%</t>
        </is>
      </c>
      <c r="C936" s="16" t="inlineStr">
        <is>
          <t>Shares YoY: +0%</t>
        </is>
      </c>
    </row>
    <row r="937">
      <c r="A937" s="6" t="inlineStr">
        <is>
          <t>Interest cover</t>
        </is>
      </c>
      <c r="B937" s="14" t="inlineStr">
        <is>
          <t>3.2×</t>
        </is>
      </c>
      <c r="C937" s="14" t="inlineStr">
        <is>
          <t>52-week position: 77%</t>
        </is>
      </c>
    </row>
    <row r="938">
      <c r="A938" s="8" t="inlineStr">
        <is>
          <t>Avg $ volume</t>
        </is>
      </c>
      <c r="B938" s="16" t="inlineStr">
        <is>
          <t>$406,235,471</t>
        </is>
      </c>
      <c r="C938" s="16" t="n"/>
    </row>
    <row r="939" ht="45" customHeight="1">
      <c r="A939" s="8" t="inlineStr">
        <is>
          <t>Event 2026-06-23</t>
        </is>
      </c>
      <c r="B939" s="16" t="inlineStr">
        <is>
          <t>PENDING</t>
        </is>
      </c>
      <c r="C939" s="24" t="inlineStr">
        <is>
          <t>Separating a business; targeted early 2027 — “(NASDAQ: KDP) today announced leadership updates as the Company advances preparations for its planned separation into Beverage Co. and Global Coffee Co., which is targeted for early 2027. Rafa Oliveira, head of KDP’s Coffee Operating Unit, has informed the Company of his intention to depart at the e”</t>
        </is>
      </c>
    </row>
    <row r="940" ht="45" customHeight="1">
      <c r="A940" s="8" t="inlineStr">
        <is>
          <t>Event 2026-06-11</t>
        </is>
      </c>
      <c r="B940" s="16" t="inlineStr">
        <is>
          <t>ANNOUNCED</t>
        </is>
      </c>
      <c r="C940" s="24" t="inlineStr">
        <is>
          <t>[announced] Tender offer — “(“Kodiak BidCo”), commenced a tender offer (the “Offer”) to acquire all of the issued and outstanding ordinary shares of JDE Peet’s (the “Shares”), excluding treasury shares of JDE Peet’s, for €31.85 per share in cash, without interest (the “JDE Peet’s Acquisition”). On March 27, 2026, the Company, ”</t>
        </is>
      </c>
    </row>
    <row r="941" ht="45" customHeight="1">
      <c r="A941" s="8" t="inlineStr">
        <is>
          <t>Event 2026-03-10</t>
        </is>
      </c>
      <c r="B941" s="16" t="inlineStr">
        <is>
          <t>PENDING</t>
        </is>
      </c>
      <c r="C941" s="24" t="inlineStr">
        <is>
          <t>Separating a business — “Following completion of the JDE Peet’s Acquisition, KDP intends to separate into two independent, US-listed publicly traded companies pursuant to the Separation. One of the resulting US-listed public companies, Global Coffee Co., will combine the KDP Coffee Business and the business of JDE Peet’s an”</t>
        </is>
      </c>
    </row>
    <row r="942">
      <c r="A942" s="12" t="inlineStr">
        <is>
          <t>Appears on</t>
        </is>
      </c>
      <c r="B942" s="12" t="inlineStr">
        <is>
          <t>Strength %ile</t>
        </is>
      </c>
      <c r="C942" s="12" t="inlineStr">
        <is>
          <t>What that tab says</t>
        </is>
      </c>
    </row>
    <row r="943" ht="30" customHeight="1">
      <c r="A943" s="6" t="inlineStr">
        <is>
          <t>Re-Rate Catalysts</t>
        </is>
      </c>
      <c r="B943" s="14" t="n">
        <v>99</v>
      </c>
      <c r="C943" s="22" t="inlineStr">
        <is>
          <t>What's happening (8-K): [2026-06-23] Separating a business; targeted early 2027 | [2 · Score: 33 · Types: 3 · Catalysts (source): Separation [event/narrative]; Spinoff [event</t>
        </is>
      </c>
    </row>
    <row r="944" ht="30" customHeight="1">
      <c r="A944" s="8" t="inlineStr">
        <is>
          <t>Single-Measure Best</t>
        </is>
      </c>
      <c r="B944" s="16" t="n">
        <v>54</v>
      </c>
      <c r="C944" s="24" t="inlineStr">
        <is>
          <t>Detail: gov 21 | reasons: double-trigger only; 5y vesting; clawback  · Score: 21 · Sector: Consumer Defensive</t>
        </is>
      </c>
    </row>
    <row r="945" ht="30" customHeight="1">
      <c r="A945" s="6" t="inlineStr">
        <is>
          <t>Event Detail</t>
        </is>
      </c>
      <c r="B945" s="14" t="n"/>
      <c r="C945" s="22" t="inlineStr">
        <is>
          <t>Date: 2026-06-23 · Event: Separation · Status: PENDING · What is happening: Separating a business; targeted early 2027 · Filing excerpt (verbatim): (NASDAQ: KDP) today announced leadership updates as the Comp · Filing: https://www.sec.gov/Archives/edgar/data/1418135/000095014226</t>
        </is>
      </c>
    </row>
    <row r="946" ht="30" customHeight="1">
      <c r="A946" s="8" t="inlineStr">
        <is>
          <t>Event Detail</t>
        </is>
      </c>
      <c r="B946" s="16" t="n"/>
      <c r="C946" s="24" t="inlineStr">
        <is>
          <t>Date: 2026-06-11 · Event: Tender Offer · Status: ANNOUNCED · What is happening: [announced] Tender offer · Filing excerpt (verbatim): (“Kodiak BidCo”), commenced a tender offer (the “Offer”) to  · Filing: https://www.sec.gov/Archives/edgar/data/1418135/000141813526</t>
        </is>
      </c>
    </row>
    <row r="947" ht="30" customHeight="1">
      <c r="A947" s="6" t="inlineStr">
        <is>
          <t>Event Detail</t>
        </is>
      </c>
      <c r="B947" s="14" t="n"/>
      <c r="C947" s="22" t="inlineStr">
        <is>
          <t>Date: 2026-03-10 · Event: Spinoff · Status: PENDING · What is happening: Separating a business · Filing excerpt (verbatim): Following completion of the JDE Peet’s Acquisition, KDP inte · Filing: https://www.sec.gov/Archives/edgar/data/1418135/000119312526</t>
        </is>
      </c>
    </row>
  </sheetData>
  <mergeCells count="61">
    <mergeCell ref="B280:C280"/>
    <mergeCell ref="B218:C218"/>
    <mergeCell ref="B693:C693"/>
    <mergeCell ref="B232:C232"/>
    <mergeCell ref="B876:C876"/>
    <mergeCell ref="B141:C141"/>
    <mergeCell ref="B295:C295"/>
    <mergeCell ref="B416:C416"/>
    <mergeCell ref="B366:C366"/>
    <mergeCell ref="B782:C782"/>
    <mergeCell ref="B826:C826"/>
    <mergeCell ref="B665:C665"/>
    <mergeCell ref="A2:C2"/>
    <mergeCell ref="B680:C680"/>
    <mergeCell ref="B450:C450"/>
    <mergeCell ref="B621:C621"/>
    <mergeCell ref="B517:C517"/>
    <mergeCell ref="B431:C431"/>
    <mergeCell ref="B98:C98"/>
    <mergeCell ref="B533:C533"/>
    <mergeCell ref="B862:C862"/>
    <mergeCell ref="B931:C931"/>
    <mergeCell ref="B651:C651"/>
    <mergeCell ref="B82:C82"/>
    <mergeCell ref="B53:C53"/>
    <mergeCell ref="B578:C578"/>
    <mergeCell ref="B796:C796"/>
    <mergeCell ref="B37:C37"/>
    <mergeCell ref="B128:C128"/>
    <mergeCell ref="B174:C174"/>
    <mergeCell ref="B348:C348"/>
    <mergeCell ref="B481:C481"/>
    <mergeCell ref="B563:C563"/>
    <mergeCell ref="B737:C737"/>
    <mergeCell ref="B466:C466"/>
    <mergeCell ref="B593:C593"/>
    <mergeCell ref="B708:C708"/>
    <mergeCell ref="B811:C811"/>
    <mergeCell ref="B913:C913"/>
    <mergeCell ref="B844:C844"/>
    <mergeCell ref="B329:C329"/>
    <mergeCell ref="B496:C496"/>
    <mergeCell ref="B767:C767"/>
    <mergeCell ref="B6:C6"/>
    <mergeCell ref="B24:C24"/>
    <mergeCell ref="B68:C68"/>
    <mergeCell ref="B310:C310"/>
    <mergeCell ref="B752:C752"/>
    <mergeCell ref="B894:C894"/>
    <mergeCell ref="B251:C251"/>
    <mergeCell ref="B114:C114"/>
    <mergeCell ref="B189:C189"/>
    <mergeCell ref="B265:C265"/>
    <mergeCell ref="B549:C549"/>
    <mergeCell ref="B160:C160"/>
    <mergeCell ref="B636:C636"/>
    <mergeCell ref="B722:C722"/>
    <mergeCell ref="B383:C383"/>
    <mergeCell ref="B399:C399"/>
    <mergeCell ref="B203:C203"/>
    <mergeCell ref="B607:C607"/>
  </mergeCells>
  <pageMargins left="0.75" right="0.75" top="1" bottom="1" header="0.5" footer="0.5"/>
</worksheet>
</file>

<file path=xl/worksheets/sheet6.xml><?xml version="1.0" encoding="utf-8"?>
<worksheet xmlns="http://schemas.openxmlformats.org/spreadsheetml/2006/main">
  <sheetPr>
    <tabColor rgb="001F3864"/>
    <outlinePr summaryBelow="1" summaryRight="1"/>
    <pageSetUpPr/>
  </sheetPr>
  <dimension ref="A1:T752"/>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22" customWidth="1" min="2" max="2"/>
    <col width="14" customWidth="1" min="3" max="3"/>
    <col width="9" customWidth="1" min="4" max="4"/>
    <col width="6" customWidth="1" min="5" max="5"/>
    <col width="6" customWidth="1" min="6" max="6"/>
    <col width="8" customWidth="1" min="7" max="7"/>
    <col width="7" customWidth="1" min="8" max="8"/>
    <col width="9" customWidth="1" min="9" max="9"/>
    <col width="8" customWidth="1" min="10" max="10"/>
    <col width="7" customWidth="1" min="11" max="11"/>
    <col width="7" customWidth="1" min="12" max="12"/>
    <col width="7" customWidth="1" min="13" max="13"/>
    <col width="8" customWidth="1" min="14" max="14"/>
    <col width="7" customWidth="1" min="15" max="15"/>
    <col width="7" customWidth="1" min="16" max="16"/>
    <col width="8" customWidth="1" min="17" max="17"/>
    <col width="70" customWidth="1" min="18" max="18"/>
    <col width="26" customWidth="1" min="19" max="19"/>
    <col width="60" customWidth="1" min="20" max="20"/>
  </cols>
  <sheetData>
    <row r="1">
      <c r="A1" s="1" t="inlineStr">
        <is>
          <t>Name Financials</t>
        </is>
      </c>
    </row>
    <row r="2" ht="30" customHeight="1">
      <c r="A2" s="29" t="inlineStr">
        <is>
          <t>One row per name in this book, most-cited first. 'Appears on' lists every tab the name is on. FMP TTM ratios + bulk statements; P/B validated (market cap ÷ latest equity, FX-converted); net cash inside one statement currency.</t>
        </is>
      </c>
      <c r="B2" s="19" t="n"/>
      <c r="C2" s="19" t="n"/>
      <c r="D2" s="19" t="n"/>
      <c r="E2" s="19" t="n"/>
      <c r="F2" s="19" t="n"/>
      <c r="G2" s="19" t="n"/>
      <c r="H2" s="19" t="n"/>
      <c r="I2" s="19" t="n"/>
      <c r="J2" s="19" t="n"/>
      <c r="K2" s="19" t="n"/>
      <c r="L2" s="19" t="n"/>
    </row>
    <row r="3"/>
    <row r="4" ht="18" customHeight="1">
      <c r="A4" s="12" t="inlineStr">
        <is>
          <t>Ticker</t>
        </is>
      </c>
      <c r="B4" s="12" t="inlineStr">
        <is>
          <t>Name</t>
        </is>
      </c>
      <c r="C4" s="12" t="inlineStr">
        <is>
          <t>Sector</t>
        </is>
      </c>
      <c r="D4" s="12" t="inlineStr">
        <is>
          <t>Mcap $M</t>
        </is>
      </c>
      <c r="E4" s="12" t="inlineStr">
        <is>
          <t>P/B</t>
        </is>
      </c>
      <c r="F4" s="12" t="inlineStr">
        <is>
          <t>P/E</t>
        </is>
      </c>
      <c r="G4" s="12" t="inlineStr">
        <is>
          <t>EV/EBITDA</t>
        </is>
      </c>
      <c r="H4" s="12" t="inlineStr">
        <is>
          <t>FCF yld</t>
        </is>
      </c>
      <c r="I4" s="12" t="inlineStr">
        <is>
          <t>Net cash/mcap</t>
        </is>
      </c>
      <c r="J4" s="12" t="inlineStr">
        <is>
          <t>ND/EBITDA</t>
        </is>
      </c>
      <c r="K4" s="12" t="inlineStr">
        <is>
          <t>Rev g</t>
        </is>
      </c>
      <c r="L4" s="12" t="inlineStr">
        <is>
          <t>Op m</t>
        </is>
      </c>
      <c r="M4" s="12" t="inlineStr">
        <is>
          <t>ROE</t>
        </is>
      </c>
      <c r="N4" s="12" t="inlineStr">
        <is>
          <t>Shares YoY</t>
        </is>
      </c>
      <c r="O4" s="12" t="inlineStr">
        <is>
          <t>Int cover</t>
        </is>
      </c>
      <c r="P4" s="12" t="inlineStr">
        <is>
          <t>52w pos</t>
        </is>
      </c>
      <c r="Q4" s="12" t="inlineStr">
        <is>
          <t>ADV $k</t>
        </is>
      </c>
      <c r="R4" s="12" t="inlineStr">
        <is>
          <t>Read</t>
        </is>
      </c>
      <c r="S4" s="12" t="inlineStr">
        <is>
          <t>Data flags</t>
        </is>
      </c>
      <c r="T4" s="12" t="inlineStr">
        <is>
          <t>Appears on</t>
        </is>
      </c>
    </row>
    <row r="5">
      <c r="A5" s="6" t="inlineStr">
        <is>
          <t>CMTL</t>
        </is>
      </c>
      <c r="B5" s="14" t="inlineStr">
        <is>
          <t>Comtech Telecommunicat</t>
        </is>
      </c>
      <c r="C5" s="14" t="inlineStr">
        <is>
          <t>Technology</t>
        </is>
      </c>
      <c r="D5" s="14" t="n">
        <v>43</v>
      </c>
      <c r="E5" s="14" t="n">
        <v>0.16</v>
      </c>
      <c r="F5" s="14" t="n">
        <v>-0.6</v>
      </c>
      <c r="G5" s="14" t="n">
        <v>5.7</v>
      </c>
      <c r="H5" s="14" t="inlineStr">
        <is>
          <t>36%</t>
        </is>
      </c>
      <c r="I5" s="14" t="inlineStr">
        <is>
          <t>-515%</t>
        </is>
      </c>
      <c r="J5" s="14" t="n">
        <v>4.8</v>
      </c>
      <c r="K5" s="14" t="inlineStr">
        <is>
          <t>-4%</t>
        </is>
      </c>
      <c r="L5" s="14" t="inlineStr">
        <is>
          <t>0%</t>
        </is>
      </c>
      <c r="M5" s="14" t="inlineStr">
        <is>
          <t>-9%</t>
        </is>
      </c>
      <c r="N5" s="14" t="inlineStr">
        <is>
          <t>2%</t>
        </is>
      </c>
      <c r="O5" s="14" t="n">
        <v>0</v>
      </c>
      <c r="P5" s="14" t="inlineStr">
        <is>
          <t>1%</t>
        </is>
      </c>
      <c r="Q5" s="14" t="n">
        <v>773</v>
      </c>
      <c r="R5" s="14" t="inlineStr">
        <is>
          <t>P/B 0.16 · EV/EBITDA 5.7× · FCF yld 36% · net debt 515% of mcap · rev -4% · op margin 0% · interest cover 0.0× ⚠</t>
        </is>
      </c>
      <c r="S5" s="14" t="inlineStr"/>
      <c r="T5" s="14" t="inlineStr">
        <is>
          <t>MD&amp;A Intent, Mechanism Gates, Governance Discount, Re-Rate Catalysts, Distressed Stub Progress, Recent 30d, Turnaround Signal</t>
        </is>
      </c>
    </row>
    <row r="6">
      <c r="A6" s="8" t="inlineStr">
        <is>
          <t>GO</t>
        </is>
      </c>
      <c r="B6" s="16" t="inlineStr">
        <is>
          <t>Grocery Outlet Holding</t>
        </is>
      </c>
      <c r="C6" s="16" t="inlineStr">
        <is>
          <t>Consumer Defen</t>
        </is>
      </c>
      <c r="D6" s="16" t="n">
        <v>1120</v>
      </c>
      <c r="E6" s="16" t="n">
        <v>1.37</v>
      </c>
      <c r="F6" s="16" t="n">
        <v>-2.9</v>
      </c>
      <c r="G6" s="16" t="n">
        <v>-12.1</v>
      </c>
      <c r="H6" s="16" t="inlineStr">
        <is>
          <t>-1%</t>
        </is>
      </c>
      <c r="I6" s="16" t="inlineStr">
        <is>
          <t>-159%</t>
        </is>
      </c>
      <c r="J6" s="16" t="n">
        <v>-7.5</v>
      </c>
      <c r="K6" s="16" t="inlineStr">
        <is>
          <t>5%</t>
        </is>
      </c>
      <c r="L6" s="16" t="inlineStr">
        <is>
          <t>4%</t>
        </is>
      </c>
      <c r="M6" s="16" t="inlineStr">
        <is>
          <t>-40%</t>
        </is>
      </c>
      <c r="N6" s="16" t="inlineStr">
        <is>
          <t>1%</t>
        </is>
      </c>
      <c r="O6" s="16" t="n">
        <v>6.4</v>
      </c>
      <c r="P6" s="16" t="inlineStr">
        <is>
          <t>50%</t>
        </is>
      </c>
      <c r="Q6" s="16" t="n">
        <v>31166</v>
      </c>
      <c r="R6" s="16" t="inlineStr">
        <is>
          <t>P/B 1.37 · P/S 0.2 · FCF yld -1% · net debt 159% of mcap · rev +5% · op margin 4%</t>
        </is>
      </c>
      <c r="S6" s="16" t="inlineStr"/>
      <c r="T6" s="16" t="inlineStr">
        <is>
          <t>Most Asymmetric, Caution List, Insider Conviction, Without Valuation, Single-Measure Best, PSU Plans</t>
        </is>
      </c>
    </row>
    <row r="7">
      <c r="A7" s="6" t="inlineStr">
        <is>
          <t>LW</t>
        </is>
      </c>
      <c r="B7" s="14" t="inlineStr">
        <is>
          <t xml:space="preserve">Lamb Weston Holdings, </t>
        </is>
      </c>
      <c r="C7" s="14" t="inlineStr">
        <is>
          <t>Consumer Defen</t>
        </is>
      </c>
      <c r="D7" s="14" t="n">
        <v>6225</v>
      </c>
      <c r="E7" s="14" t="n">
        <v>3.41</v>
      </c>
      <c r="F7" s="14" t="n">
        <v>21.6</v>
      </c>
      <c r="G7" s="14" t="n">
        <v>10.3</v>
      </c>
      <c r="H7" s="14" t="inlineStr">
        <is>
          <t>10%</t>
        </is>
      </c>
      <c r="I7" s="14" t="inlineStr">
        <is>
          <t>-64%</t>
        </is>
      </c>
      <c r="J7" s="14" t="n">
        <v>4</v>
      </c>
      <c r="K7" s="14" t="inlineStr">
        <is>
          <t>2%</t>
        </is>
      </c>
      <c r="L7" s="14" t="inlineStr">
        <is>
          <t>9%</t>
        </is>
      </c>
      <c r="M7" s="14" t="inlineStr">
        <is>
          <t>16%</t>
        </is>
      </c>
      <c r="N7" s="14" t="inlineStr">
        <is>
          <t>-3%</t>
        </is>
      </c>
      <c r="O7" s="14" t="n">
        <v>3.3</v>
      </c>
      <c r="P7" s="14" t="inlineStr">
        <is>
          <t>26%</t>
        </is>
      </c>
      <c r="Q7" s="14" t="n">
        <v>71255</v>
      </c>
      <c r="R7" s="14" t="inlineStr">
        <is>
          <t>P/B 3.41 · EV/EBITDA 10.3× · FCF yld 10% · net debt 64% of mcap · rev +2% · op margin 9% · buying back 3%/yr</t>
        </is>
      </c>
      <c r="S7" s="14" t="inlineStr"/>
      <c r="T7" s="14" t="inlineStr">
        <is>
          <t>Caution List, Insider Conviction, MD&amp;A Intent, Hidden Asset Realisation, Single-Measure Best, PSU Plans</t>
        </is>
      </c>
    </row>
    <row r="8">
      <c r="A8" s="8" t="inlineStr">
        <is>
          <t>LAB</t>
        </is>
      </c>
      <c r="B8" s="16" t="inlineStr">
        <is>
          <t>Standard BioTools Inc.</t>
        </is>
      </c>
      <c r="C8" s="16" t="inlineStr">
        <is>
          <t>Healthcare</t>
        </is>
      </c>
      <c r="D8" s="16" t="n">
        <v>286</v>
      </c>
      <c r="E8" s="16" t="n">
        <v>0.53</v>
      </c>
      <c r="F8" s="16" t="n">
        <v>-3.2</v>
      </c>
      <c r="G8" s="16" t="n">
        <v>-0.5</v>
      </c>
      <c r="H8" s="16" t="inlineStr">
        <is>
          <t>-29%</t>
        </is>
      </c>
      <c r="I8" s="16" t="inlineStr">
        <is>
          <t>157%</t>
        </is>
      </c>
      <c r="J8" s="16" t="n">
        <v>2.6</v>
      </c>
      <c r="K8" s="16" t="inlineStr">
        <is>
          <t>-37%</t>
        </is>
      </c>
      <c r="L8" s="16" t="inlineStr">
        <is>
          <t>-95%</t>
        </is>
      </c>
      <c r="M8" s="16" t="inlineStr">
        <is>
          <t>-18%</t>
        </is>
      </c>
      <c r="N8" s="16" t="inlineStr">
        <is>
          <t>3%</t>
        </is>
      </c>
      <c r="O8" s="16" t="n">
        <v>-5346.3</v>
      </c>
      <c r="P8" s="16" t="inlineStr">
        <is>
          <t>9%</t>
        </is>
      </c>
      <c r="Q8" s="16" t="n">
        <v>2098</v>
      </c>
      <c r="R8" s="16" t="inlineStr">
        <is>
          <t>P/B 0.53 · P/S 3.4 · FCF yld -29% · net cash 157% of mcap · rev -37% · op margin -95% · diluting 3%/yr</t>
        </is>
      </c>
      <c r="S8" s="16" t="inlineStr"/>
      <c r="T8" s="16" t="inlineStr">
        <is>
          <t>Payoff Geometry, Mechanism Gates, Governance Discount, Re-Rate Catalysts, Tail Odds, Recent 30d</t>
        </is>
      </c>
    </row>
    <row r="9">
      <c r="A9" s="6" t="inlineStr">
        <is>
          <t>CRM</t>
        </is>
      </c>
      <c r="B9" s="14" t="inlineStr">
        <is>
          <t>Salesforce, Inc.</t>
        </is>
      </c>
      <c r="C9" s="14" t="inlineStr">
        <is>
          <t>Technology</t>
        </is>
      </c>
      <c r="D9" s="14" t="n">
        <v>195192</v>
      </c>
      <c r="E9" s="14" t="n">
        <v>3.25</v>
      </c>
      <c r="F9" s="14" t="n">
        <v>21.7</v>
      </c>
      <c r="G9" s="14" t="n">
        <v>14.5</v>
      </c>
      <c r="H9" s="14" t="inlineStr">
        <is>
          <t>8%</t>
        </is>
      </c>
      <c r="I9" s="14" t="inlineStr">
        <is>
          <t>0%</t>
        </is>
      </c>
      <c r="J9" s="14" t="n">
        <v>2.1</v>
      </c>
      <c r="K9" s="14" t="inlineStr">
        <is>
          <t>8%</t>
        </is>
      </c>
      <c r="L9" s="14" t="inlineStr">
        <is>
          <t>21%</t>
        </is>
      </c>
      <c r="M9" s="14" t="inlineStr">
        <is>
          <t>20%</t>
        </is>
      </c>
      <c r="N9" s="14" t="inlineStr">
        <is>
          <t>-1%</t>
        </is>
      </c>
      <c r="O9" s="14" t="n">
        <v>11</v>
      </c>
      <c r="P9" s="14" t="inlineStr">
        <is>
          <t>75%</t>
        </is>
      </c>
      <c r="Q9" s="14" t="n">
        <v>3615295</v>
      </c>
      <c r="R9" s="14" t="inlineStr">
        <is>
          <t>P/B 3.25 · EV/EBITDA 14.5× · FCF yld 8% · net cash 0% of mcap · rev +8% · op margin 21%</t>
        </is>
      </c>
      <c r="S9" s="14" t="inlineStr"/>
      <c r="T9" s="14" t="inlineStr">
        <is>
          <t>Most Asymmetric, Political Trades, Without Valuation, Recent 30d, PSU Plans</t>
        </is>
      </c>
    </row>
    <row r="10">
      <c r="A10" s="8" t="inlineStr">
        <is>
          <t>VSNT</t>
        </is>
      </c>
      <c r="B10" s="16" t="inlineStr">
        <is>
          <t>Versant Media Group, I</t>
        </is>
      </c>
      <c r="C10" s="16" t="inlineStr">
        <is>
          <t xml:space="preserve">Communication </t>
        </is>
      </c>
      <c r="D10" s="16" t="n">
        <v>4701</v>
      </c>
      <c r="E10" s="16" t="n">
        <v>0.58</v>
      </c>
      <c r="F10" s="16" t="n">
        <v>6.2</v>
      </c>
      <c r="G10" s="16" t="n">
        <v>2.8</v>
      </c>
      <c r="H10" s="16" t="inlineStr">
        <is>
          <t>49%</t>
        </is>
      </c>
      <c r="I10" s="16" t="inlineStr">
        <is>
          <t>-31%</t>
        </is>
      </c>
      <c r="J10" s="16" t="n">
        <v>0.7</v>
      </c>
      <c r="K10" s="16" t="n"/>
      <c r="L10" s="16" t="inlineStr">
        <is>
          <t>19%</t>
        </is>
      </c>
      <c r="M10" s="16" t="inlineStr">
        <is>
          <t>8%</t>
        </is>
      </c>
      <c r="N10" s="16" t="inlineStr">
        <is>
          <t>-2%</t>
        </is>
      </c>
      <c r="O10" s="16" t="n">
        <v>10.8</v>
      </c>
      <c r="P10" s="16" t="inlineStr">
        <is>
          <t>19%</t>
        </is>
      </c>
      <c r="Q10" s="16" t="n">
        <v>62726</v>
      </c>
      <c r="R10" s="16" t="inlineStr">
        <is>
          <t>P/B 0.58 · EV/EBITDA 2.8× · FCF yld 49% · net debt 31% of mcap · op margin 19%</t>
        </is>
      </c>
      <c r="S10" s="16" t="inlineStr"/>
      <c r="T10" s="16" t="inlineStr">
        <is>
          <t>Most Asymmetric, Insider Conviction, Governance Discount, Call Intent, Asymmetry Assembly</t>
        </is>
      </c>
    </row>
    <row r="11">
      <c r="A11" s="6" t="inlineStr">
        <is>
          <t>LE</t>
        </is>
      </c>
      <c r="B11" s="14" t="inlineStr">
        <is>
          <t>Lands' End, Inc.</t>
        </is>
      </c>
      <c r="C11" s="14" t="inlineStr">
        <is>
          <t>Consumer Cycli</t>
        </is>
      </c>
      <c r="D11" s="14" t="n">
        <v>318</v>
      </c>
      <c r="E11" s="14" t="n">
        <v>0.65</v>
      </c>
      <c r="F11" s="14" t="n">
        <v>0.9</v>
      </c>
      <c r="G11" s="14" t="n">
        <v>0.7</v>
      </c>
      <c r="H11" s="14" t="inlineStr">
        <is>
          <t>-23%</t>
        </is>
      </c>
      <c r="I11" s="14" t="inlineStr">
        <is>
          <t>-19%</t>
        </is>
      </c>
      <c r="J11" s="14" t="n">
        <v>0.1</v>
      </c>
      <c r="K11" s="14" t="inlineStr">
        <is>
          <t>0%</t>
        </is>
      </c>
      <c r="L11" s="14" t="inlineStr">
        <is>
          <t>2%</t>
        </is>
      </c>
      <c r="M11" s="14" t="inlineStr">
        <is>
          <t>96%</t>
        </is>
      </c>
      <c r="N11" s="14" t="inlineStr">
        <is>
          <t>-2%</t>
        </is>
      </c>
      <c r="O11" s="14" t="n">
        <v>0.8</v>
      </c>
      <c r="P11" s="14" t="inlineStr">
        <is>
          <t>8%</t>
        </is>
      </c>
      <c r="Q11" s="14" t="n">
        <v>2517</v>
      </c>
      <c r="R11" s="14" t="inlineStr">
        <is>
          <t>P/B 0.65 · EV/EBITDA 0.7× · FCF yld -23% · net debt 19% of mcap · rev +0% · op margin 2% · buying back 2%/yr · interest cover 0.8× ⚠</t>
        </is>
      </c>
      <c r="S11" s="14" t="inlineStr"/>
      <c r="T11" s="14" t="inlineStr">
        <is>
          <t>Caution List, MD&amp;A Intent, Mechanism Gates, Governance Discount, Re-Rate Catalysts</t>
        </is>
      </c>
    </row>
    <row r="12">
      <c r="A12" s="8" t="inlineStr">
        <is>
          <t>DXLG</t>
        </is>
      </c>
      <c r="B12" s="16" t="inlineStr">
        <is>
          <t xml:space="preserve">Destination XL Group, </t>
        </is>
      </c>
      <c r="C12" s="16" t="inlineStr">
        <is>
          <t>Consumer Cycli</t>
        </is>
      </c>
      <c r="D12" s="16" t="n">
        <v>33</v>
      </c>
      <c r="E12" s="16" t="n">
        <v>0.32</v>
      </c>
      <c r="F12" s="16" t="n">
        <v>-0.9</v>
      </c>
      <c r="G12" s="16" t="n">
        <v>-153.1</v>
      </c>
      <c r="H12" s="16" t="inlineStr">
        <is>
          <t>-39%</t>
        </is>
      </c>
      <c r="I12" s="16" t="inlineStr">
        <is>
          <t>-562%</t>
        </is>
      </c>
      <c r="J12" s="16" t="n">
        <v>-130.8</v>
      </c>
      <c r="K12" s="16" t="inlineStr">
        <is>
          <t>-4%</t>
        </is>
      </c>
      <c r="L12" s="16" t="inlineStr">
        <is>
          <t>-3%</t>
        </is>
      </c>
      <c r="M12" s="16" t="inlineStr">
        <is>
          <t>-33%</t>
        </is>
      </c>
      <c r="N12" s="16" t="inlineStr">
        <is>
          <t>5%</t>
        </is>
      </c>
      <c r="O12" s="16" t="n">
        <v>0</v>
      </c>
      <c r="P12" s="16" t="inlineStr">
        <is>
          <t>14%</t>
        </is>
      </c>
      <c r="Q12" s="16" t="n">
        <v>57</v>
      </c>
      <c r="R12" s="16" t="inlineStr">
        <is>
          <t>P/B 0.32 · P/S 0.1 · FCF yld -39% · net debt 562% of mcap · rev -4% · op margin -3% · diluting 5%/yr</t>
        </is>
      </c>
      <c r="S12" s="16" t="inlineStr"/>
      <c r="T12" s="16" t="inlineStr">
        <is>
          <t>Caution List, Mechanism Gates, Governance Discount, Re-Rate Catalysts, Tail Odds</t>
        </is>
      </c>
    </row>
    <row r="13">
      <c r="A13" s="6" t="inlineStr">
        <is>
          <t>DXC</t>
        </is>
      </c>
      <c r="B13" s="14" t="inlineStr">
        <is>
          <t>DXC Technology Company</t>
        </is>
      </c>
      <c r="C13" s="14" t="inlineStr">
        <is>
          <t>Technology</t>
        </is>
      </c>
      <c r="D13" s="14" t="n">
        <v>1797</v>
      </c>
      <c r="E13" s="14" t="n">
        <v>0.57</v>
      </c>
      <c r="F13" s="14" t="n">
        <v>14.5</v>
      </c>
      <c r="G13" s="14" t="n">
        <v>2.6</v>
      </c>
      <c r="H13" s="14" t="inlineStr">
        <is>
          <t>71%</t>
        </is>
      </c>
      <c r="I13" s="14" t="inlineStr">
        <is>
          <t>-144%</t>
        </is>
      </c>
      <c r="J13" s="14" t="n">
        <v>1.4</v>
      </c>
      <c r="K13" s="14" t="inlineStr">
        <is>
          <t>-2%</t>
        </is>
      </c>
      <c r="L13" s="14" t="inlineStr">
        <is>
          <t>3%</t>
        </is>
      </c>
      <c r="M13" s="14" t="inlineStr">
        <is>
          <t>4%</t>
        </is>
      </c>
      <c r="N13" s="14" t="inlineStr">
        <is>
          <t>-3%</t>
        </is>
      </c>
      <c r="O13" s="14" t="n">
        <v>2</v>
      </c>
      <c r="P13" s="14" t="inlineStr">
        <is>
          <t>41%</t>
        </is>
      </c>
      <c r="Q13" s="14" t="n">
        <v>47797</v>
      </c>
      <c r="R13" s="14" t="inlineStr">
        <is>
          <t>P/B 0.57 · EV/EBITDA 2.6× · FCF yld 71% · net debt 144% of mcap · rev -2% · op margin 3% · buying back 3%/yr</t>
        </is>
      </c>
      <c r="S13" s="14" t="inlineStr"/>
      <c r="T13" s="14" t="inlineStr">
        <is>
          <t>Most Asymmetric, Asymmetry Assembly, Without Valuation, Recent 30d</t>
        </is>
      </c>
    </row>
    <row r="14">
      <c r="A14" s="8" t="inlineStr">
        <is>
          <t>ADT</t>
        </is>
      </c>
      <c r="B14" s="16" t="inlineStr">
        <is>
          <t>ADT Inc.</t>
        </is>
      </c>
      <c r="C14" s="16" t="inlineStr">
        <is>
          <t>Industrials</t>
        </is>
      </c>
      <c r="D14" s="16" t="n">
        <v>5108</v>
      </c>
      <c r="E14" s="16" t="n">
        <v>1.47</v>
      </c>
      <c r="F14" s="16" t="n">
        <v>8.300000000000001</v>
      </c>
      <c r="G14" s="16" t="n">
        <v>4.6</v>
      </c>
      <c r="H14" s="16" t="inlineStr">
        <is>
          <t>37%</t>
        </is>
      </c>
      <c r="I14" s="16" t="inlineStr">
        <is>
          <t>-150%</t>
        </is>
      </c>
      <c r="J14" s="16" t="n">
        <v>2.8</v>
      </c>
      <c r="K14" s="16" t="inlineStr">
        <is>
          <t>2%</t>
        </is>
      </c>
      <c r="L14" s="16" t="inlineStr">
        <is>
          <t>25%</t>
        </is>
      </c>
      <c r="M14" s="16" t="inlineStr">
        <is>
          <t>17%</t>
        </is>
      </c>
      <c r="N14" s="16" t="inlineStr">
        <is>
          <t>-11%</t>
        </is>
      </c>
      <c r="O14" s="16" t="n">
        <v>3.2</v>
      </c>
      <c r="P14" s="16" t="inlineStr">
        <is>
          <t>5%</t>
        </is>
      </c>
      <c r="Q14" s="16" t="n">
        <v>53723</v>
      </c>
      <c r="R14" s="16" t="inlineStr">
        <is>
          <t>P/B 1.47 · EV/EBITDA 4.6× · FCF yld 37% · net debt 150% of mcap · rev +2% · op margin 25% · buying back 11%/yr</t>
        </is>
      </c>
      <c r="S14" s="16" t="inlineStr"/>
      <c r="T14" s="16" t="inlineStr">
        <is>
          <t>Most Asymmetric, Caution List, Insider Conviction, Without Valuation</t>
        </is>
      </c>
    </row>
    <row r="15">
      <c r="A15" s="6" t="inlineStr">
        <is>
          <t>APTV</t>
        </is>
      </c>
      <c r="B15" s="14" t="inlineStr">
        <is>
          <t>Aptiv PLC</t>
        </is>
      </c>
      <c r="C15" s="14" t="inlineStr">
        <is>
          <t>Consumer Cycli</t>
        </is>
      </c>
      <c r="D15" s="14" t="n">
        <v>9527</v>
      </c>
      <c r="E15" s="14" t="n">
        <v>1.09</v>
      </c>
      <c r="F15" s="14" t="n">
        <v>43.1</v>
      </c>
      <c r="G15" s="14" t="n">
        <v>7.8</v>
      </c>
      <c r="H15" s="14" t="inlineStr">
        <is>
          <t>8%</t>
        </is>
      </c>
      <c r="I15" s="14" t="inlineStr">
        <is>
          <t>-52%</t>
        </is>
      </c>
      <c r="J15" s="14" t="n">
        <v>2.7</v>
      </c>
      <c r="K15" s="14" t="inlineStr">
        <is>
          <t>-5%</t>
        </is>
      </c>
      <c r="L15" s="14" t="inlineStr">
        <is>
          <t>5%</t>
        </is>
      </c>
      <c r="M15" s="14" t="inlineStr">
        <is>
          <t>2%</t>
        </is>
      </c>
      <c r="N15" s="14" t="inlineStr">
        <is>
          <t>-5%</t>
        </is>
      </c>
      <c r="O15" s="14" t="n">
        <v>3.1</v>
      </c>
      <c r="P15" s="14" t="inlineStr">
        <is>
          <t>4%</t>
        </is>
      </c>
      <c r="Q15" s="14" t="n">
        <v>180384</v>
      </c>
      <c r="R15" s="14" t="inlineStr">
        <is>
          <t>P/B 1.09 · EV/EBITDA 7.8× · FCF yld 8% · net debt 52% of mcap · rev -5% · op margin 5% · buying back 5%/yr</t>
        </is>
      </c>
      <c r="S15" s="14" t="inlineStr"/>
      <c r="T15" s="14" t="inlineStr">
        <is>
          <t>Most Asymmetric, Re-Rate Catalysts, Without Valuation, Event Detail</t>
        </is>
      </c>
    </row>
    <row r="16">
      <c r="A16" s="8" t="inlineStr">
        <is>
          <t>POOL</t>
        </is>
      </c>
      <c r="B16" s="16" t="inlineStr">
        <is>
          <t>Pool Corporation</t>
        </is>
      </c>
      <c r="C16" s="16" t="inlineStr">
        <is>
          <t>Industrials</t>
        </is>
      </c>
      <c r="D16" s="16" t="n">
        <v>6104</v>
      </c>
      <c r="E16" s="16" t="n">
        <v>4.84</v>
      </c>
      <c r="F16" s="16" t="n">
        <v>15.3</v>
      </c>
      <c r="G16" s="16" t="n">
        <v>12.8</v>
      </c>
      <c r="H16" s="16" t="inlineStr">
        <is>
          <t>10%</t>
        </is>
      </c>
      <c r="I16" s="16" t="inlineStr">
        <is>
          <t>-27%</t>
        </is>
      </c>
      <c r="J16" s="16" t="n">
        <v>2.8</v>
      </c>
      <c r="K16" s="16" t="inlineStr">
        <is>
          <t>2%</t>
        </is>
      </c>
      <c r="L16" s="16" t="inlineStr">
        <is>
          <t>11%</t>
        </is>
      </c>
      <c r="M16" s="16" t="inlineStr">
        <is>
          <t>32%</t>
        </is>
      </c>
      <c r="N16" s="16" t="inlineStr">
        <is>
          <t>-3%</t>
        </is>
      </c>
      <c r="O16" s="16" t="n">
        <v>11.6</v>
      </c>
      <c r="P16" s="16" t="inlineStr">
        <is>
          <t>2%</t>
        </is>
      </c>
      <c r="Q16" s="16" t="n">
        <v>149784</v>
      </c>
      <c r="R16" s="16" t="inlineStr">
        <is>
          <t>P/B 4.84 · EV/EBITDA 12.8× · FCF yld 10% · net debt 27% of mcap · rev +2% · op margin 11% · buying back 3%/yr</t>
        </is>
      </c>
      <c r="S16" s="16" t="inlineStr"/>
      <c r="T16" s="16" t="inlineStr">
        <is>
          <t>Caution List, Insider Conviction, Without Valuation, PSU Plans</t>
        </is>
      </c>
    </row>
    <row r="17">
      <c r="A17" s="6" t="inlineStr">
        <is>
          <t>HAIN</t>
        </is>
      </c>
      <c r="B17" s="14" t="inlineStr">
        <is>
          <t>The Hain Celestial Gro</t>
        </is>
      </c>
      <c r="C17" s="14" t="inlineStr">
        <is>
          <t>Consumer Defen</t>
        </is>
      </c>
      <c r="D17" s="14" t="n">
        <v>50</v>
      </c>
      <c r="E17" s="14" t="n">
        <v>0.23</v>
      </c>
      <c r="F17" s="14" t="n">
        <v>-0.2</v>
      </c>
      <c r="G17" s="14" t="n">
        <v>-4.2</v>
      </c>
      <c r="H17" s="14" t="n"/>
      <c r="I17" s="14" t="inlineStr">
        <is>
          <t>-1111%</t>
        </is>
      </c>
      <c r="J17" s="14" t="n">
        <v>-3.8</v>
      </c>
      <c r="K17" s="14" t="inlineStr">
        <is>
          <t>-9%</t>
        </is>
      </c>
      <c r="L17" s="14" t="inlineStr">
        <is>
          <t>2%</t>
        </is>
      </c>
      <c r="M17" s="14" t="inlineStr">
        <is>
          <t>-106%</t>
        </is>
      </c>
      <c r="N17" s="14" t="inlineStr">
        <is>
          <t>1%</t>
        </is>
      </c>
      <c r="O17" s="14" t="n">
        <v>0.5</v>
      </c>
      <c r="P17" s="14" t="inlineStr">
        <is>
          <t>6%</t>
        </is>
      </c>
      <c r="Q17" s="14" t="n">
        <v>797</v>
      </c>
      <c r="R17" s="14" t="inlineStr">
        <is>
          <t>P/B 0.23 · P/S 0.0 · net debt 1111% of mcap · rev -9% · op margin 2% · interest cover 0.5× ⚠</t>
        </is>
      </c>
      <c r="S17" s="14" t="inlineStr">
        <is>
          <t>FCF yield &gt;100% (check)</t>
        </is>
      </c>
      <c r="T17" s="14" t="inlineStr">
        <is>
          <t>MD&amp;A Intent, Mechanism Gates, Governance Discount, Re-Rate Catalysts</t>
        </is>
      </c>
    </row>
    <row r="18">
      <c r="A18" s="8" t="inlineStr">
        <is>
          <t>ETN</t>
        </is>
      </c>
      <c r="B18" s="16" t="inlineStr">
        <is>
          <t>Eaton Corporation plc</t>
        </is>
      </c>
      <c r="C18" s="16" t="inlineStr">
        <is>
          <t>Industrials</t>
        </is>
      </c>
      <c r="D18" s="16" t="n">
        <v>170941</v>
      </c>
      <c r="E18" s="16" t="n">
        <v>8.44</v>
      </c>
      <c r="F18" s="16" t="n">
        <v>44.4</v>
      </c>
      <c r="G18" s="16" t="n">
        <v>29.5</v>
      </c>
      <c r="H18" s="16" t="inlineStr">
        <is>
          <t>3%</t>
        </is>
      </c>
      <c r="I18" s="16" t="inlineStr">
        <is>
          <t>-12%</t>
        </is>
      </c>
      <c r="J18" s="16" t="n">
        <v>3.2</v>
      </c>
      <c r="K18" s="16" t="inlineStr">
        <is>
          <t>16%</t>
        </is>
      </c>
      <c r="L18" s="16" t="inlineStr">
        <is>
          <t>18%</t>
        </is>
      </c>
      <c r="M18" s="16" t="inlineStr">
        <is>
          <t>20%</t>
        </is>
      </c>
      <c r="N18" s="16" t="inlineStr">
        <is>
          <t>-1%</t>
        </is>
      </c>
      <c r="O18" s="16" t="n">
        <v>12</v>
      </c>
      <c r="P18" s="16" t="inlineStr">
        <is>
          <t>77%</t>
        </is>
      </c>
      <c r="Q18" s="16" t="n">
        <v>1014145</v>
      </c>
      <c r="R18" s="16" t="inlineStr">
        <is>
          <t>P/B 8.44 · EV/EBITDA 29.5× · FCF yld 3% · net debt 12% of mcap · rev +16% · op margin 18%</t>
        </is>
      </c>
      <c r="S18" s="16" t="inlineStr"/>
      <c r="T18" s="16" t="inlineStr">
        <is>
          <t>MD&amp;A Intent, Political Trades, Re-Rate Catalysts, Event Detail</t>
        </is>
      </c>
    </row>
    <row r="19">
      <c r="A19" s="6" t="inlineStr">
        <is>
          <t>BIRD</t>
        </is>
      </c>
      <c r="B19" s="14" t="inlineStr">
        <is>
          <t>Smartbird, Inc</t>
        </is>
      </c>
      <c r="C19" s="14" t="inlineStr">
        <is>
          <t>Consumer Cycli</t>
        </is>
      </c>
      <c r="D19" s="14" t="n">
        <v>15</v>
      </c>
      <c r="E19" s="14" t="n">
        <v>0.66</v>
      </c>
      <c r="F19" s="14" t="n">
        <v>-0.3</v>
      </c>
      <c r="G19" s="14" t="n">
        <v>0.1</v>
      </c>
      <c r="H19" s="14" t="n"/>
      <c r="I19" s="14" t="inlineStr">
        <is>
          <t>155%</t>
        </is>
      </c>
      <c r="J19" s="14" t="n">
        <v>0.4</v>
      </c>
      <c r="K19" s="14" t="inlineStr">
        <is>
          <t>-38%</t>
        </is>
      </c>
      <c r="L19" s="14" t="inlineStr">
        <is>
          <t>-63%</t>
        </is>
      </c>
      <c r="M19" s="14" t="inlineStr">
        <is>
          <t>-243%</t>
        </is>
      </c>
      <c r="N19" s="14" t="inlineStr">
        <is>
          <t>13%</t>
        </is>
      </c>
      <c r="O19" s="14" t="n">
        <v>-17.9</v>
      </c>
      <c r="P19" s="14" t="inlineStr">
        <is>
          <t>1%</t>
        </is>
      </c>
      <c r="Q19" s="14" t="n">
        <v>3038</v>
      </c>
      <c r="R19" s="14" t="inlineStr">
        <is>
          <t>P/B 0.66 · EV/EBITDA 0.1× · net cash 155% of mcap · rev -38% · op margin -63% · diluting 13%/yr</t>
        </is>
      </c>
      <c r="S19" s="14" t="inlineStr">
        <is>
          <t>FCF yield &gt;100% (check)</t>
        </is>
      </c>
      <c r="T19" s="14" t="inlineStr">
        <is>
          <t>Mechanism Gates, Governance Discount, Re-Rate Catalysts, Tail Odds</t>
        </is>
      </c>
    </row>
    <row r="20">
      <c r="A20" s="8" t="inlineStr">
        <is>
          <t>BCIC</t>
        </is>
      </c>
      <c r="B20" s="16" t="inlineStr">
        <is>
          <t>BCP Investment Corpora</t>
        </is>
      </c>
      <c r="C20" s="16" t="inlineStr">
        <is>
          <t>Financial Serv</t>
        </is>
      </c>
      <c r="D20" s="16" t="n">
        <v>88</v>
      </c>
      <c r="E20" s="16" t="n">
        <v>0.49</v>
      </c>
      <c r="F20" s="16" t="n">
        <v>-20.8</v>
      </c>
      <c r="G20" s="16" t="n">
        <v>26.6</v>
      </c>
      <c r="H20" s="16" t="inlineStr">
        <is>
          <t>72%</t>
        </is>
      </c>
      <c r="I20" s="16" t="inlineStr">
        <is>
          <t>-316%</t>
        </is>
      </c>
      <c r="J20" s="16" t="n">
        <v>20.2</v>
      </c>
      <c r="K20" s="16" t="n"/>
      <c r="L20" s="16" t="inlineStr">
        <is>
          <t>21%</t>
        </is>
      </c>
      <c r="M20" s="16" t="inlineStr">
        <is>
          <t>-2%</t>
        </is>
      </c>
      <c r="N20" s="16" t="inlineStr">
        <is>
          <t>34%</t>
        </is>
      </c>
      <c r="O20" s="16" t="n">
        <v>0.6</v>
      </c>
      <c r="P20" s="16" t="inlineStr">
        <is>
          <t>6%</t>
        </is>
      </c>
      <c r="Q20" s="16" t="n">
        <v>428</v>
      </c>
      <c r="R20" s="16" t="inlineStr">
        <is>
          <t>P/B 0.49 · ROE -2% · div yld 12.6% · diluting 34%/yr (financial: book/earnings basis)</t>
        </is>
      </c>
      <c r="S20" s="16" t="inlineStr">
        <is>
          <t>revenue not comparable YoY (fair-value / one-off income?)</t>
        </is>
      </c>
      <c r="T20" s="16" t="inlineStr">
        <is>
          <t>Mechanism Gates, Governance Discount, Asymmetry Assembly, Single-Measure Best</t>
        </is>
      </c>
    </row>
    <row r="21">
      <c r="A21" s="6" t="inlineStr">
        <is>
          <t>ASPI</t>
        </is>
      </c>
      <c r="B21" s="14" t="inlineStr">
        <is>
          <t>ASP Isotopes Inc. Comm</t>
        </is>
      </c>
      <c r="C21" s="14" t="inlineStr">
        <is>
          <t>Basic Material</t>
        </is>
      </c>
      <c r="D21" s="14" t="n">
        <v>388</v>
      </c>
      <c r="E21" s="14" t="n">
        <v>1.47</v>
      </c>
      <c r="F21" s="14" t="n">
        <v>-2.3</v>
      </c>
      <c r="G21" s="14" t="n">
        <v>-3.3</v>
      </c>
      <c r="H21" s="14" t="inlineStr">
        <is>
          <t>-22%</t>
        </is>
      </c>
      <c r="I21" s="14" t="inlineStr">
        <is>
          <t>-4%</t>
        </is>
      </c>
      <c r="J21" s="14" t="n">
        <v>-0.4</v>
      </c>
      <c r="K21" s="14" t="n"/>
      <c r="L21" s="14" t="inlineStr">
        <is>
          <t>-312%</t>
        </is>
      </c>
      <c r="M21" s="14" t="inlineStr">
        <is>
          <t>-63%</t>
        </is>
      </c>
      <c r="N21" s="14" t="inlineStr">
        <is>
          <t>68%</t>
        </is>
      </c>
      <c r="O21" s="14" t="n">
        <v>-24.6</v>
      </c>
      <c r="P21" s="14" t="inlineStr">
        <is>
          <t>1%</t>
        </is>
      </c>
      <c r="Q21" s="14" t="n">
        <v>14010</v>
      </c>
      <c r="R21" s="14" t="inlineStr">
        <is>
          <t>P/B 1.47 · P/S 12.4 · FCF yld -22% · net debt 4% of mcap · op margin -312% · diluting 68%/yr</t>
        </is>
      </c>
      <c r="S21" s="14" t="inlineStr">
        <is>
          <t>revenue not comparable YoY (fair-value / one-off income?)</t>
        </is>
      </c>
      <c r="T21" s="14" t="inlineStr">
        <is>
          <t>Mechanism Gates, Structured Distressed, Tail Odds, Turnaround Signal</t>
        </is>
      </c>
    </row>
    <row r="22">
      <c r="A22" s="8" t="inlineStr">
        <is>
          <t>SPGI</t>
        </is>
      </c>
      <c r="B22" s="16" t="inlineStr">
        <is>
          <t>S&amp;P Global Inc.</t>
        </is>
      </c>
      <c r="C22" s="16" t="inlineStr">
        <is>
          <t>Financial Serv</t>
        </is>
      </c>
      <c r="D22" s="16" t="n">
        <v>120038</v>
      </c>
      <c r="E22" s="16" t="n">
        <v>3.8</v>
      </c>
      <c r="F22" s="16" t="n">
        <v>24.8</v>
      </c>
      <c r="G22" s="16" t="n">
        <v>16</v>
      </c>
      <c r="H22" s="16" t="inlineStr">
        <is>
          <t>5%</t>
        </is>
      </c>
      <c r="I22" s="16" t="inlineStr">
        <is>
          <t>-10%</t>
        </is>
      </c>
      <c r="J22" s="16" t="n">
        <v>1.4</v>
      </c>
      <c r="K22" s="16" t="inlineStr">
        <is>
          <t>10%</t>
        </is>
      </c>
      <c r="L22" s="16" t="inlineStr">
        <is>
          <t>46%</t>
        </is>
      </c>
      <c r="M22" s="16" t="inlineStr">
        <is>
          <t>15%</t>
        </is>
      </c>
      <c r="N22" s="16" t="inlineStr">
        <is>
          <t>-3%</t>
        </is>
      </c>
      <c r="O22" s="16" t="n">
        <v>23.6</v>
      </c>
      <c r="P22" s="16" t="inlineStr">
        <is>
          <t>29%</t>
        </is>
      </c>
      <c r="Q22" s="16" t="n">
        <v>878507</v>
      </c>
      <c r="R22" s="16" t="inlineStr">
        <is>
          <t>P/B 3.80 · P/E 24.8 · ROE 15% · div yld 1.0% · buying back 3%/yr (financial: book/earnings basis)</t>
        </is>
      </c>
      <c r="S22" s="16" t="inlineStr"/>
      <c r="T22" s="16" t="inlineStr">
        <is>
          <t>Call Intent, Political Trades, Re-Rate Catalysts, Event Detail</t>
        </is>
      </c>
    </row>
    <row r="23">
      <c r="A23" s="6" t="inlineStr">
        <is>
          <t>SCHL</t>
        </is>
      </c>
      <c r="B23" s="14" t="inlineStr">
        <is>
          <t>Scholastic Corporation</t>
        </is>
      </c>
      <c r="C23" s="14" t="inlineStr">
        <is>
          <t xml:space="preserve">Communication </t>
        </is>
      </c>
      <c r="D23" s="14" t="n">
        <v>658</v>
      </c>
      <c r="E23" s="14" t="n">
        <v>0.75</v>
      </c>
      <c r="F23" s="14" t="n">
        <v>14.3</v>
      </c>
      <c r="G23" s="14" t="n">
        <v>3.2</v>
      </c>
      <c r="H23" s="14" t="inlineStr">
        <is>
          <t>0%</t>
        </is>
      </c>
      <c r="I23" s="14" t="inlineStr">
        <is>
          <t>-27%</t>
        </is>
      </c>
      <c r="J23" s="14" t="n">
        <v>0.9</v>
      </c>
      <c r="K23" s="14" t="inlineStr">
        <is>
          <t>3%</t>
        </is>
      </c>
      <c r="L23" s="14" t="inlineStr">
        <is>
          <t>2%</t>
        </is>
      </c>
      <c r="M23" s="14" t="inlineStr">
        <is>
          <t>7%</t>
        </is>
      </c>
      <c r="N23" s="14" t="inlineStr">
        <is>
          <t>-10%</t>
        </is>
      </c>
      <c r="O23" s="14" t="n">
        <v>2.3</v>
      </c>
      <c r="P23" s="14" t="inlineStr">
        <is>
          <t>41%</t>
        </is>
      </c>
      <c r="Q23" s="14" t="n">
        <v>12019</v>
      </c>
      <c r="R23" s="14" t="inlineStr">
        <is>
          <t>P/B 0.75 · EV/EBITDA 3.2× · FCF yld 0% · net debt 27% of mcap · rev +3% · op margin 2% · buying back 10%/yr</t>
        </is>
      </c>
      <c r="S23" s="14" t="inlineStr"/>
      <c r="T23" s="14" t="inlineStr">
        <is>
          <t>Most Asymmetric, Call Intent, Asymmetry Assembly</t>
        </is>
      </c>
    </row>
    <row r="24">
      <c r="A24" s="8" t="inlineStr">
        <is>
          <t>HUBS</t>
        </is>
      </c>
      <c r="B24" s="16" t="inlineStr">
        <is>
          <t>HubSpot, Inc.</t>
        </is>
      </c>
      <c r="C24" s="16" t="inlineStr">
        <is>
          <t>Technology</t>
        </is>
      </c>
      <c r="D24" s="16" t="n">
        <v>11602</v>
      </c>
      <c r="E24" s="16" t="n">
        <v>7</v>
      </c>
      <c r="F24" s="16" t="n">
        <v>80.90000000000001</v>
      </c>
      <c r="G24" s="16" t="n">
        <v>38.5</v>
      </c>
      <c r="H24" s="16" t="inlineStr">
        <is>
          <t>7%</t>
        </is>
      </c>
      <c r="I24" s="16" t="inlineStr">
        <is>
          <t>9%</t>
        </is>
      </c>
      <c r="J24" s="16" t="n">
        <v>-2.5</v>
      </c>
      <c r="K24" s="16" t="inlineStr">
        <is>
          <t>21%</t>
        </is>
      </c>
      <c r="L24" s="16" t="inlineStr">
        <is>
          <t>4%</t>
        </is>
      </c>
      <c r="M24" s="16" t="inlineStr">
        <is>
          <t>8%</t>
        </is>
      </c>
      <c r="N24" s="16" t="inlineStr">
        <is>
          <t>-4%</t>
        </is>
      </c>
      <c r="O24" s="16" t="n">
        <v>206.6</v>
      </c>
      <c r="P24" s="16" t="inlineStr">
        <is>
          <t>16%</t>
        </is>
      </c>
      <c r="Q24" s="16" t="n">
        <v>427097</v>
      </c>
      <c r="R24" s="16" t="inlineStr">
        <is>
          <t>P/B 7.00 · EV/EBITDA 38.5× · FCF yld 7% · net cash 9% of mcap · rev +21% · op margin 4% · buying back 4%/yr</t>
        </is>
      </c>
      <c r="S24" s="16" t="inlineStr"/>
      <c r="T24" s="16" t="inlineStr">
        <is>
          <t>Most Asymmetric, Insider Conviction, Without Valuation</t>
        </is>
      </c>
    </row>
    <row r="25">
      <c r="A25" s="6" t="inlineStr">
        <is>
          <t>VRSK</t>
        </is>
      </c>
      <c r="B25" s="14" t="inlineStr">
        <is>
          <t>Verisk Analytics, Inc.</t>
        </is>
      </c>
      <c r="C25" s="14" t="inlineStr">
        <is>
          <t>Technology</t>
        </is>
      </c>
      <c r="D25" s="14" t="n">
        <v>22408</v>
      </c>
      <c r="E25" s="14" t="n"/>
      <c r="F25" s="14" t="n">
        <v>26.3</v>
      </c>
      <c r="G25" s="14" t="n">
        <v>15.9</v>
      </c>
      <c r="H25" s="14" t="inlineStr">
        <is>
          <t>6%</t>
        </is>
      </c>
      <c r="I25" s="14" t="n"/>
      <c r="J25" s="14" t="n">
        <v>2.4</v>
      </c>
      <c r="K25" s="14" t="inlineStr">
        <is>
          <t>5%</t>
        </is>
      </c>
      <c r="L25" s="14" t="inlineStr">
        <is>
          <t>45%</t>
        </is>
      </c>
      <c r="M25" s="14" t="inlineStr">
        <is>
          <t>-212%</t>
        </is>
      </c>
      <c r="N25" s="14" t="inlineStr">
        <is>
          <t>-7%</t>
        </is>
      </c>
      <c r="O25" s="14" t="n">
        <v>7.2</v>
      </c>
      <c r="P25" s="14" t="inlineStr">
        <is>
          <t>17%</t>
        </is>
      </c>
      <c r="Q25" s="14" t="n">
        <v>339128</v>
      </c>
      <c r="R25" s="14" t="inlineStr">
        <is>
          <t>EV/EBITDA 15.9× · FCF yld 6% · rev +5% · op margin 45% · buying back 7%/yr</t>
        </is>
      </c>
      <c r="S25" s="14" t="inlineStr">
        <is>
          <t>negative equity</t>
        </is>
      </c>
      <c r="T25" s="14" t="inlineStr">
        <is>
          <t>Most Asymmetric, Political Trades, Without Valuation</t>
        </is>
      </c>
    </row>
    <row r="26">
      <c r="A26" s="8" t="inlineStr">
        <is>
          <t>HDSN</t>
        </is>
      </c>
      <c r="B26" s="16" t="inlineStr">
        <is>
          <t>Hudson Technologies, I</t>
        </is>
      </c>
      <c r="C26" s="16" t="inlineStr">
        <is>
          <t>Basic Material</t>
        </is>
      </c>
      <c r="D26" s="16" t="n">
        <v>217</v>
      </c>
      <c r="E26" s="16" t="n">
        <v>0.89</v>
      </c>
      <c r="F26" s="16" t="n">
        <v>24.7</v>
      </c>
      <c r="G26" s="16" t="n">
        <v>8.9</v>
      </c>
      <c r="H26" s="16" t="inlineStr">
        <is>
          <t>-16%</t>
        </is>
      </c>
      <c r="I26" s="16" t="inlineStr">
        <is>
          <t>10%</t>
        </is>
      </c>
      <c r="J26" s="16" t="n">
        <v>-1</v>
      </c>
      <c r="K26" s="16" t="inlineStr">
        <is>
          <t>14%</t>
        </is>
      </c>
      <c r="L26" s="16" t="inlineStr">
        <is>
          <t>5%</t>
        </is>
      </c>
      <c r="M26" s="16" t="inlineStr">
        <is>
          <t>4%</t>
        </is>
      </c>
      <c r="N26" s="16" t="inlineStr">
        <is>
          <t>-7%</t>
        </is>
      </c>
      <c r="O26" s="16" t="n">
        <v>14.7</v>
      </c>
      <c r="P26" s="16" t="inlineStr">
        <is>
          <t>10%</t>
        </is>
      </c>
      <c r="Q26" s="16" t="n">
        <v>2902</v>
      </c>
      <c r="R26" s="16" t="inlineStr">
        <is>
          <t>P/B 0.89 · EV/EBITDA 8.9× · FCF yld -16% · net cash 10% of mcap · rev +14% · op margin 5% · buying back 7%/yr</t>
        </is>
      </c>
      <c r="S26" s="16" t="inlineStr"/>
      <c r="T26" s="16" t="inlineStr">
        <is>
          <t>Most Asymmetric, Insider Filing-Time, Without Valuation</t>
        </is>
      </c>
    </row>
    <row r="27">
      <c r="A27" s="6" t="inlineStr">
        <is>
          <t>GPGI</t>
        </is>
      </c>
      <c r="B27" s="14" t="inlineStr">
        <is>
          <t>GPGI, Inc.</t>
        </is>
      </c>
      <c r="C27" s="14" t="inlineStr">
        <is>
          <t>Industrials</t>
        </is>
      </c>
      <c r="D27" s="14" t="n">
        <v>3522</v>
      </c>
      <c r="E27" s="14" t="n">
        <v>1.11</v>
      </c>
      <c r="F27" s="14" t="n">
        <v>-6.1</v>
      </c>
      <c r="G27" s="14" t="n">
        <v>-8.6</v>
      </c>
      <c r="H27" s="14" t="inlineStr">
        <is>
          <t>1%</t>
        </is>
      </c>
      <c r="I27" s="14" t="inlineStr">
        <is>
          <t>0%</t>
        </is>
      </c>
      <c r="J27" s="14" t="n">
        <v>0</v>
      </c>
      <c r="K27" s="14" t="n"/>
      <c r="L27" s="14" t="inlineStr">
        <is>
          <t>0%</t>
        </is>
      </c>
      <c r="M27" s="14" t="inlineStr">
        <is>
          <t>-19%</t>
        </is>
      </c>
      <c r="N27" s="14" t="n"/>
      <c r="O27" s="14" t="n">
        <v>-48.6</v>
      </c>
      <c r="P27" s="14" t="inlineStr">
        <is>
          <t>6%</t>
        </is>
      </c>
      <c r="Q27" s="14" t="n">
        <v>20631</v>
      </c>
      <c r="R27" s="14" t="inlineStr">
        <is>
          <t>P/B 1.11 · P/S 0.0 · FCF yld 1% · net cash 0% of mcap · op margin 0%</t>
        </is>
      </c>
      <c r="S27" s="14" t="inlineStr">
        <is>
          <t>new entity / merger: history not comparable</t>
        </is>
      </c>
      <c r="T27" s="14" t="inlineStr">
        <is>
          <t>Most Asymmetric, Insider Filing-Time, Without Valuation</t>
        </is>
      </c>
    </row>
    <row r="28">
      <c r="A28" s="8" t="inlineStr">
        <is>
          <t>BLND</t>
        </is>
      </c>
      <c r="B28" s="16" t="inlineStr">
        <is>
          <t>Blend Labs, Inc.</t>
        </is>
      </c>
      <c r="C28" s="16" t="inlineStr">
        <is>
          <t>Technology</t>
        </is>
      </c>
      <c r="D28" s="16" t="n">
        <v>271</v>
      </c>
      <c r="E28" s="16" t="n">
        <v>2.86</v>
      </c>
      <c r="F28" s="16" t="n">
        <v>-13.5</v>
      </c>
      <c r="G28" s="16" t="n">
        <v>42.4</v>
      </c>
      <c r="H28" s="16" t="inlineStr">
        <is>
          <t>5%</t>
        </is>
      </c>
      <c r="I28" s="16" t="inlineStr">
        <is>
          <t>16%</t>
        </is>
      </c>
      <c r="J28" s="16" t="n">
        <v>-3.6</v>
      </c>
      <c r="K28" s="16" t="inlineStr">
        <is>
          <t>-10%</t>
        </is>
      </c>
      <c r="L28" s="16" t="inlineStr">
        <is>
          <t>-12%</t>
        </is>
      </c>
      <c r="M28" s="16" t="inlineStr">
        <is>
          <t>-1%</t>
        </is>
      </c>
      <c r="N28" s="16" t="inlineStr">
        <is>
          <t>-7%</t>
        </is>
      </c>
      <c r="O28" s="16" t="n">
        <v>0</v>
      </c>
      <c r="P28" s="16" t="inlineStr">
        <is>
          <t>0%</t>
        </is>
      </c>
      <c r="Q28" s="16" t="n">
        <v>3269</v>
      </c>
      <c r="R28" s="16" t="inlineStr">
        <is>
          <t>P/B 2.86 · EV/EBITDA 42.4× · FCF yld 5% · net cash 16% of mcap · rev -10% · op margin -12% · buying back 7%/yr</t>
        </is>
      </c>
      <c r="S28" s="16" t="inlineStr"/>
      <c r="T28" s="16" t="inlineStr">
        <is>
          <t>Most Asymmetric, Without Valuation, Recent 30d</t>
        </is>
      </c>
    </row>
    <row r="29">
      <c r="A29" s="6" t="inlineStr">
        <is>
          <t>CERT</t>
        </is>
      </c>
      <c r="B29" s="14" t="inlineStr">
        <is>
          <t>Certara, Inc.</t>
        </is>
      </c>
      <c r="C29" s="14" t="inlineStr">
        <is>
          <t>Healthcare</t>
        </is>
      </c>
      <c r="D29" s="14" t="n">
        <v>1368</v>
      </c>
      <c r="E29" s="14" t="n">
        <v>1.42</v>
      </c>
      <c r="F29" s="14" t="n">
        <v>-19.4</v>
      </c>
      <c r="G29" s="14" t="n">
        <v>17.5</v>
      </c>
      <c r="H29" s="14" t="inlineStr">
        <is>
          <t>5%</t>
        </is>
      </c>
      <c r="I29" s="14" t="inlineStr">
        <is>
          <t>-8%</t>
        </is>
      </c>
      <c r="J29" s="14" t="n">
        <v>1.3</v>
      </c>
      <c r="K29" s="14" t="inlineStr">
        <is>
          <t>1%</t>
        </is>
      </c>
      <c r="L29" s="14" t="inlineStr">
        <is>
          <t>2%</t>
        </is>
      </c>
      <c r="M29" s="14" t="inlineStr">
        <is>
          <t>-7%</t>
        </is>
      </c>
      <c r="N29" s="14" t="inlineStr">
        <is>
          <t>-4%</t>
        </is>
      </c>
      <c r="O29" s="14" t="n">
        <v>0.2</v>
      </c>
      <c r="P29" s="14" t="inlineStr">
        <is>
          <t>46%</t>
        </is>
      </c>
      <c r="Q29" s="14" t="n">
        <v>32635</v>
      </c>
      <c r="R29" s="14" t="inlineStr">
        <is>
          <t>P/B 1.42 · EV/EBITDA 17.5× · FCF yld 5% · net debt 8% of mcap · rev +1% · op margin 2% · buying back 4%/yr</t>
        </is>
      </c>
      <c r="S29" s="14" t="inlineStr"/>
      <c r="T29" s="14" t="inlineStr">
        <is>
          <t>Most Asymmetric, Call Intent, Without Valuation</t>
        </is>
      </c>
    </row>
    <row r="30">
      <c r="A30" s="8" t="inlineStr">
        <is>
          <t>GIII</t>
        </is>
      </c>
      <c r="B30" s="16" t="inlineStr">
        <is>
          <t>G-III Apparel Group, L</t>
        </is>
      </c>
      <c r="C30" s="16" t="inlineStr">
        <is>
          <t>Consumer Cycli</t>
        </is>
      </c>
      <c r="D30" s="16" t="n">
        <v>1171</v>
      </c>
      <c r="E30" s="16" t="n">
        <v>0.65</v>
      </c>
      <c r="F30" s="16" t="n">
        <v>8.5</v>
      </c>
      <c r="G30" s="16" t="n">
        <v>4.4</v>
      </c>
      <c r="H30" s="16" t="inlineStr">
        <is>
          <t>24%</t>
        </is>
      </c>
      <c r="I30" s="16" t="inlineStr">
        <is>
          <t>-9%</t>
        </is>
      </c>
      <c r="J30" s="16" t="n">
        <v>-0.9</v>
      </c>
      <c r="K30" s="16" t="inlineStr">
        <is>
          <t>1%</t>
        </is>
      </c>
      <c r="L30" s="16" t="inlineStr">
        <is>
          <t>8%</t>
        </is>
      </c>
      <c r="M30" s="16" t="inlineStr">
        <is>
          <t>8%</t>
        </is>
      </c>
      <c r="N30" s="16" t="inlineStr">
        <is>
          <t>-3%</t>
        </is>
      </c>
      <c r="O30" s="16" t="n">
        <v>149.4</v>
      </c>
      <c r="P30" s="16" t="inlineStr">
        <is>
          <t>24%</t>
        </is>
      </c>
      <c r="Q30" s="16" t="n">
        <v>17591</v>
      </c>
      <c r="R30" s="16" t="inlineStr">
        <is>
          <t>P/B 0.65 · EV/EBITDA 4.4× · FCF yld 24% · net debt 9% of mcap · rev +1% · op margin 8% · buying back 3%/yr</t>
        </is>
      </c>
      <c r="S30" s="16" t="inlineStr"/>
      <c r="T30" s="16" t="inlineStr">
        <is>
          <t>Most Asymmetric, Governance Discount, Distressed Stub Progress</t>
        </is>
      </c>
    </row>
    <row r="31">
      <c r="A31" s="6" t="inlineStr">
        <is>
          <t>FISV</t>
        </is>
      </c>
      <c r="B31" s="14" t="inlineStr">
        <is>
          <t>Fiserv, Inc.</t>
        </is>
      </c>
      <c r="C31" s="14" t="inlineStr">
        <is>
          <t>Technology</t>
        </is>
      </c>
      <c r="D31" s="14" t="n">
        <v>24506</v>
      </c>
      <c r="E31" s="14" t="n">
        <v>0.91</v>
      </c>
      <c r="F31" s="14" t="n">
        <v>8.800000000000001</v>
      </c>
      <c r="G31" s="14" t="n">
        <v>7.5</v>
      </c>
      <c r="H31" s="14" t="inlineStr">
        <is>
          <t>16%</t>
        </is>
      </c>
      <c r="I31" s="14" t="inlineStr">
        <is>
          <t>-111%</t>
        </is>
      </c>
      <c r="J31" s="14" t="n">
        <v>4</v>
      </c>
      <c r="K31" s="14" t="inlineStr">
        <is>
          <t>-1%</t>
        </is>
      </c>
      <c r="L31" s="14" t="inlineStr">
        <is>
          <t>21%</t>
        </is>
      </c>
      <c r="M31" s="14" t="inlineStr">
        <is>
          <t>11%</t>
        </is>
      </c>
      <c r="N31" s="14" t="inlineStr">
        <is>
          <t>-3%</t>
        </is>
      </c>
      <c r="O31" s="14" t="n">
        <v>2.9</v>
      </c>
      <c r="P31" s="14" t="inlineStr">
        <is>
          <t>0%</t>
        </is>
      </c>
      <c r="Q31" s="14" t="n">
        <v>356371</v>
      </c>
      <c r="R31" s="14" t="inlineStr">
        <is>
          <t>P/B 0.91 · EV/EBITDA 7.5× · FCF yld 16% · net debt 111% of mcap · rev -1% · op margin 21% · buying back 3%/yr</t>
        </is>
      </c>
      <c r="S31" s="14" t="inlineStr"/>
      <c r="T31" s="14" t="inlineStr">
        <is>
          <t>Most Asymmetric, Caution List, Turnaround Signal</t>
        </is>
      </c>
    </row>
    <row r="32">
      <c r="A32" s="8" t="inlineStr">
        <is>
          <t>TROX</t>
        </is>
      </c>
      <c r="B32" s="16" t="inlineStr">
        <is>
          <t>Tronox Holdings plc</t>
        </is>
      </c>
      <c r="C32" s="16" t="inlineStr">
        <is>
          <t>Basic Material</t>
        </is>
      </c>
      <c r="D32" s="16" t="n">
        <v>695</v>
      </c>
      <c r="E32" s="16" t="n">
        <v>0.6</v>
      </c>
      <c r="F32" s="16" t="n">
        <v>-1.2</v>
      </c>
      <c r="G32" s="16" t="n">
        <v>43.9</v>
      </c>
      <c r="H32" s="16" t="inlineStr">
        <is>
          <t>-23%</t>
        </is>
      </c>
      <c r="I32" s="16" t="inlineStr">
        <is>
          <t>-457%</t>
        </is>
      </c>
      <c r="J32" s="16" t="n">
        <v>36.1</v>
      </c>
      <c r="K32" s="16" t="inlineStr">
        <is>
          <t>3%</t>
        </is>
      </c>
      <c r="L32" s="16" t="inlineStr">
        <is>
          <t>-4%</t>
        </is>
      </c>
      <c r="M32" s="16" t="inlineStr">
        <is>
          <t>-40%</t>
        </is>
      </c>
      <c r="N32" s="16" t="inlineStr">
        <is>
          <t>1%</t>
        </is>
      </c>
      <c r="O32" s="16" t="n">
        <v>-0.5</v>
      </c>
      <c r="P32" s="16" t="inlineStr">
        <is>
          <t>19%</t>
        </is>
      </c>
      <c r="Q32" s="16" t="n">
        <v>11748</v>
      </c>
      <c r="R32" s="16" t="inlineStr">
        <is>
          <t>P/B 0.60 · EV/EBITDA 43.9× · FCF yld -23% · net debt 457% of mcap · rev +3% · op margin -4% · interest cover -0.5× ⚠</t>
        </is>
      </c>
      <c r="S32" s="16" t="inlineStr"/>
      <c r="T32" s="16" t="inlineStr">
        <is>
          <t>Caution List, Single-Measure Best, PSU Plans</t>
        </is>
      </c>
    </row>
    <row r="33">
      <c r="A33" s="6" t="inlineStr">
        <is>
          <t>FIS</t>
        </is>
      </c>
      <c r="B33" s="14" t="inlineStr">
        <is>
          <t>Fidelity National Info</t>
        </is>
      </c>
      <c r="C33" s="14" t="inlineStr">
        <is>
          <t>Technology</t>
        </is>
      </c>
      <c r="D33" s="14" t="n">
        <v>18094</v>
      </c>
      <c r="E33" s="14" t="n">
        <v>1.13</v>
      </c>
      <c r="F33" s="14" t="n">
        <v>5.3</v>
      </c>
      <c r="G33" s="14" t="n">
        <v>6.2</v>
      </c>
      <c r="H33" s="14" t="inlineStr">
        <is>
          <t>15%</t>
        </is>
      </c>
      <c r="I33" s="14" t="inlineStr">
        <is>
          <t>-113%</t>
        </is>
      </c>
      <c r="J33" s="14" t="n">
        <v>3.3</v>
      </c>
      <c r="K33" s="14" t="inlineStr">
        <is>
          <t>20%</t>
        </is>
      </c>
      <c r="L33" s="14" t="inlineStr">
        <is>
          <t>16%</t>
        </is>
      </c>
      <c r="M33" s="14" t="inlineStr">
        <is>
          <t>23%</t>
        </is>
      </c>
      <c r="N33" s="14" t="inlineStr">
        <is>
          <t>-2%</t>
        </is>
      </c>
      <c r="O33" s="14" t="n">
        <v>11.2</v>
      </c>
      <c r="P33" s="14" t="inlineStr">
        <is>
          <t>2%</t>
        </is>
      </c>
      <c r="Q33" s="14" t="n">
        <v>221007</v>
      </c>
      <c r="R33" s="14" t="inlineStr">
        <is>
          <t>P/B 1.13 · EV/EBITDA 6.2× · FCF yld 15% · net debt 113% of mcap · rev +20% · op margin 16%</t>
        </is>
      </c>
      <c r="S33" s="14" t="inlineStr"/>
      <c r="T33" s="14" t="inlineStr">
        <is>
          <t>Caution List, Re-Rate Catalysts, Event Detail</t>
        </is>
      </c>
    </row>
    <row r="34">
      <c r="A34" s="8" t="inlineStr">
        <is>
          <t>WW</t>
        </is>
      </c>
      <c r="B34" s="16" t="inlineStr">
        <is>
          <t>WW International, Inc.</t>
        </is>
      </c>
      <c r="C34" s="16" t="inlineStr">
        <is>
          <t>Consumer Cycli</t>
        </is>
      </c>
      <c r="D34" s="16" t="n">
        <v>154</v>
      </c>
      <c r="E34" s="16" t="n">
        <v>0.55</v>
      </c>
      <c r="F34" s="16" t="n">
        <v>-1.5</v>
      </c>
      <c r="G34" s="16" t="n">
        <v>4.6</v>
      </c>
      <c r="H34" s="16" t="inlineStr">
        <is>
          <t>-18%</t>
        </is>
      </c>
      <c r="I34" s="16" t="inlineStr">
        <is>
          <t>-211%</t>
        </is>
      </c>
      <c r="J34" s="16" t="n">
        <v>3.2</v>
      </c>
      <c r="K34" s="16" t="inlineStr">
        <is>
          <t>-9%</t>
        </is>
      </c>
      <c r="L34" s="16" t="inlineStr">
        <is>
          <t>-3%</t>
        </is>
      </c>
      <c r="M34" s="16" t="inlineStr">
        <is>
          <t>-34%</t>
        </is>
      </c>
      <c r="N34" s="16" t="n"/>
      <c r="O34" s="16" t="n">
        <v>-0.5</v>
      </c>
      <c r="P34" s="16" t="inlineStr">
        <is>
          <t>23%</t>
        </is>
      </c>
      <c r="Q34" s="16" t="n">
        <v>3383</v>
      </c>
      <c r="R34" s="16" t="inlineStr">
        <is>
          <t>P/B 0.55 · EV/EBITDA 4.6× · FCF yld -18% · net debt 211% of mcap · rev -9% · op margin -3% · interest cover -0.5× ⚠</t>
        </is>
      </c>
      <c r="S34" s="16" t="inlineStr"/>
      <c r="T34" s="16" t="inlineStr">
        <is>
          <t>Caution List, Governance Discount, Distressed Stub Progress</t>
        </is>
      </c>
    </row>
    <row r="35">
      <c r="A35" s="6" t="inlineStr">
        <is>
          <t>MA</t>
        </is>
      </c>
      <c r="B35" s="14" t="inlineStr">
        <is>
          <t>Mastercard Incorporate</t>
        </is>
      </c>
      <c r="C35" s="14" t="inlineStr">
        <is>
          <t>Financial Serv</t>
        </is>
      </c>
      <c r="D35" s="14" t="n">
        <v>491004</v>
      </c>
      <c r="E35" s="14" t="n">
        <v>87.51000000000001</v>
      </c>
      <c r="F35" s="14" t="n">
        <v>30.7</v>
      </c>
      <c r="G35" s="14" t="n">
        <v>22.8</v>
      </c>
      <c r="H35" s="14" t="inlineStr">
        <is>
          <t>3%</t>
        </is>
      </c>
      <c r="I35" s="14" t="inlineStr">
        <is>
          <t>-3%</t>
        </is>
      </c>
      <c r="J35" s="14" t="n">
        <v>0.6</v>
      </c>
      <c r="K35" s="14" t="inlineStr">
        <is>
          <t>16%</t>
        </is>
      </c>
      <c r="L35" s="14" t="inlineStr">
        <is>
          <t>60%</t>
        </is>
      </c>
      <c r="M35" s="14" t="inlineStr">
        <is>
          <t>232%</t>
        </is>
      </c>
      <c r="N35" s="14" t="inlineStr">
        <is>
          <t>-3%</t>
        </is>
      </c>
      <c r="O35" s="14" t="n">
        <v>28.1</v>
      </c>
      <c r="P35" s="14" t="inlineStr">
        <is>
          <t>70%</t>
        </is>
      </c>
      <c r="Q35" s="14" t="n">
        <v>1846326</v>
      </c>
      <c r="R35" s="14" t="inlineStr">
        <is>
          <t>P/B 87.51 · P/E 30.7 · ROE 232% · div yld 0.6% · buying back 3%/yr (financial: book/earnings basis)</t>
        </is>
      </c>
      <c r="S35" s="14" t="inlineStr"/>
      <c r="T35" s="14" t="inlineStr">
        <is>
          <t>Caution List, Political Trades, Without Valuation</t>
        </is>
      </c>
    </row>
    <row r="36">
      <c r="A36" s="8" t="inlineStr">
        <is>
          <t>THRY</t>
        </is>
      </c>
      <c r="B36" s="16" t="inlineStr">
        <is>
          <t>Thryv Holdings, Inc.</t>
        </is>
      </c>
      <c r="C36" s="16" t="inlineStr">
        <is>
          <t>Technology</t>
        </is>
      </c>
      <c r="D36" s="16" t="n">
        <v>84</v>
      </c>
      <c r="E36" s="16" t="n">
        <v>0.4</v>
      </c>
      <c r="F36" s="16" t="n">
        <v>-5.1</v>
      </c>
      <c r="G36" s="16" t="n">
        <v>5.1</v>
      </c>
      <c r="H36" s="16" t="inlineStr">
        <is>
          <t>65%</t>
        </is>
      </c>
      <c r="I36" s="16" t="inlineStr">
        <is>
          <t>-278%</t>
        </is>
      </c>
      <c r="J36" s="16" t="n">
        <v>3.8</v>
      </c>
      <c r="K36" s="16" t="inlineStr">
        <is>
          <t>-6%</t>
        </is>
      </c>
      <c r="L36" s="16" t="inlineStr">
        <is>
          <t>4%</t>
        </is>
      </c>
      <c r="M36" s="16" t="inlineStr">
        <is>
          <t>-7%</t>
        </is>
      </c>
      <c r="N36" s="16" t="inlineStr">
        <is>
          <t>0%</t>
        </is>
      </c>
      <c r="O36" s="16" t="n">
        <v>1</v>
      </c>
      <c r="P36" s="16" t="inlineStr">
        <is>
          <t>1%</t>
        </is>
      </c>
      <c r="Q36" s="16" t="n">
        <v>1466</v>
      </c>
      <c r="R36" s="16" t="inlineStr">
        <is>
          <t>P/B 0.40 · EV/EBITDA 5.1× · FCF yld 65% · net debt 278% of mcap · rev -6% · op margin 4% · interest cover 1.0× ⚠</t>
        </is>
      </c>
      <c r="S36" s="16" t="inlineStr"/>
      <c r="T36" s="16" t="inlineStr">
        <is>
          <t>Incentive Improvers, Mechanism Gates, Governance Discount</t>
        </is>
      </c>
    </row>
    <row r="37">
      <c r="A37" s="6" t="inlineStr">
        <is>
          <t>MRP</t>
        </is>
      </c>
      <c r="B37" s="14" t="inlineStr">
        <is>
          <t>Millrose Properties, I</t>
        </is>
      </c>
      <c r="C37" s="14" t="inlineStr">
        <is>
          <t>Real Estate</t>
        </is>
      </c>
      <c r="D37" s="14" t="n">
        <v>4272</v>
      </c>
      <c r="E37" s="14" t="n">
        <v>0.73</v>
      </c>
      <c r="F37" s="14" t="n">
        <v>9.4</v>
      </c>
      <c r="G37" s="14" t="n">
        <v>10.1</v>
      </c>
      <c r="H37" s="14" t="n"/>
      <c r="I37" s="14" t="inlineStr">
        <is>
          <t>-57%</t>
        </is>
      </c>
      <c r="J37" s="14" t="n">
        <v>3.7</v>
      </c>
      <c r="K37" s="14" t="n"/>
      <c r="L37" s="14" t="inlineStr">
        <is>
          <t>85%</t>
        </is>
      </c>
      <c r="M37" s="14" t="inlineStr">
        <is>
          <t>8%</t>
        </is>
      </c>
      <c r="N37" s="14" t="inlineStr">
        <is>
          <t>-0%</t>
        </is>
      </c>
      <c r="O37" s="14" t="n">
        <v>4.1</v>
      </c>
      <c r="P37" s="14" t="inlineStr">
        <is>
          <t>17%</t>
        </is>
      </c>
      <c r="Q37" s="14" t="n">
        <v>39789</v>
      </c>
      <c r="R37" s="14" t="inlineStr">
        <is>
          <t>P/B 0.73 · EV/EBITDA 10.1× · net debt 57% of mcap · op margin 85%</t>
        </is>
      </c>
      <c r="S37" s="14" t="inlineStr">
        <is>
          <t>FCF yield &gt;100% (check); revenue not comparable YoY (fair-value / one-off income?)</t>
        </is>
      </c>
      <c r="T37" s="14" t="inlineStr">
        <is>
          <t>Insider Conviction, Asymmetry Assembly, Distressed Stub Progress</t>
        </is>
      </c>
    </row>
    <row r="38">
      <c r="A38" s="8" t="inlineStr">
        <is>
          <t>GSHD</t>
        </is>
      </c>
      <c r="B38" s="16" t="inlineStr">
        <is>
          <t>Goosehead Insurance, I</t>
        </is>
      </c>
      <c r="C38" s="16" t="inlineStr">
        <is>
          <t>Financial Serv</t>
        </is>
      </c>
      <c r="D38" s="16" t="n">
        <v>1648</v>
      </c>
      <c r="E38" s="16" t="n"/>
      <c r="F38" s="16" t="n">
        <v>30.7</v>
      </c>
      <c r="G38" s="16" t="n">
        <v>17.1</v>
      </c>
      <c r="H38" s="16" t="inlineStr">
        <is>
          <t>5%</t>
        </is>
      </c>
      <c r="I38" s="16" t="n"/>
      <c r="J38" s="16" t="n">
        <v>3</v>
      </c>
      <c r="K38" s="16" t="inlineStr">
        <is>
          <t>18%</t>
        </is>
      </c>
      <c r="L38" s="16" t="inlineStr">
        <is>
          <t>26%</t>
        </is>
      </c>
      <c r="M38" s="16" t="inlineStr">
        <is>
          <t>-33%</t>
        </is>
      </c>
      <c r="N38" s="16" t="inlineStr">
        <is>
          <t>-6%</t>
        </is>
      </c>
      <c r="O38" s="16" t="n">
        <v>215.9</v>
      </c>
      <c r="P38" s="16" t="inlineStr">
        <is>
          <t>23%</t>
        </is>
      </c>
      <c r="Q38" s="16" t="n">
        <v>22844</v>
      </c>
      <c r="R38" s="16" t="inlineStr">
        <is>
          <t>P/E 30.7 · ROE -33% · buying back 6%/yr (financial: book/earnings basis)</t>
        </is>
      </c>
      <c r="S38" s="16" t="inlineStr">
        <is>
          <t>negative equity</t>
        </is>
      </c>
      <c r="T38" s="16" t="inlineStr">
        <is>
          <t>Insider Conviction, Insider Filing-Time, Recent 30d</t>
        </is>
      </c>
    </row>
    <row r="39">
      <c r="A39" s="6" t="inlineStr">
        <is>
          <t>AAT</t>
        </is>
      </c>
      <c r="B39" s="14" t="inlineStr">
        <is>
          <t>American Assets Trust,</t>
        </is>
      </c>
      <c r="C39" s="14" t="inlineStr">
        <is>
          <t>Real Estate</t>
        </is>
      </c>
      <c r="D39" s="14" t="n">
        <v>1332</v>
      </c>
      <c r="E39" s="14" t="n">
        <v>1.19</v>
      </c>
      <c r="F39" s="14" t="n">
        <v>73.5</v>
      </c>
      <c r="G39" s="14" t="n">
        <v>12.6</v>
      </c>
      <c r="H39" s="14" t="inlineStr">
        <is>
          <t>7%</t>
        </is>
      </c>
      <c r="I39" s="14" t="inlineStr">
        <is>
          <t>-121%</t>
        </is>
      </c>
      <c r="J39" s="14" t="n">
        <v>6.9</v>
      </c>
      <c r="K39" s="14" t="inlineStr">
        <is>
          <t>-3%</t>
        </is>
      </c>
      <c r="L39" s="14" t="inlineStr">
        <is>
          <t>23%</t>
        </is>
      </c>
      <c r="M39" s="14" t="inlineStr">
        <is>
          <t>2%</t>
        </is>
      </c>
      <c r="N39" s="14" t="inlineStr">
        <is>
          <t>0%</t>
        </is>
      </c>
      <c r="O39" s="14" t="n">
        <v>1.3</v>
      </c>
      <c r="P39" s="14" t="inlineStr">
        <is>
          <t>48%</t>
        </is>
      </c>
      <c r="Q39" s="14" t="n">
        <v>9595</v>
      </c>
      <c r="R39" s="14" t="inlineStr">
        <is>
          <t>P/B 1.19 · EV/EBITDA 12.6× · FCF yld 7% · net debt 121% of mcap · rev -3% · op margin 23% · interest cover 1.3× ⚠</t>
        </is>
      </c>
      <c r="S39" s="14" t="inlineStr"/>
      <c r="T39" s="14" t="inlineStr">
        <is>
          <t>Insider Conviction, Without Valuation, Single-Measure Best</t>
        </is>
      </c>
    </row>
    <row r="40">
      <c r="A40" s="8" t="inlineStr">
        <is>
          <t>ALKT</t>
        </is>
      </c>
      <c r="B40" s="16" t="inlineStr">
        <is>
          <t>Alkami Technology, Inc</t>
        </is>
      </c>
      <c r="C40" s="16" t="inlineStr">
        <is>
          <t>Technology</t>
        </is>
      </c>
      <c r="D40" s="16" t="n">
        <v>1569</v>
      </c>
      <c r="E40" s="16" t="n">
        <v>4.33</v>
      </c>
      <c r="F40" s="16" t="n">
        <v>-34.1</v>
      </c>
      <c r="G40" s="16" t="n">
        <v>-217.9</v>
      </c>
      <c r="H40" s="16" t="inlineStr">
        <is>
          <t>4%</t>
        </is>
      </c>
      <c r="I40" s="16" t="inlineStr">
        <is>
          <t>-18%</t>
        </is>
      </c>
      <c r="J40" s="16" t="n">
        <v>-36.4</v>
      </c>
      <c r="K40" s="16" t="inlineStr">
        <is>
          <t>27%</t>
        </is>
      </c>
      <c r="L40" s="16" t="inlineStr">
        <is>
          <t>-7%</t>
        </is>
      </c>
      <c r="M40" s="16" t="inlineStr">
        <is>
          <t>-12%</t>
        </is>
      </c>
      <c r="N40" s="16" t="inlineStr">
        <is>
          <t>3%</t>
        </is>
      </c>
      <c r="O40" s="16" t="n">
        <v>-3.6</v>
      </c>
      <c r="P40" s="16" t="inlineStr">
        <is>
          <t>6%</t>
        </is>
      </c>
      <c r="Q40" s="16" t="n">
        <v>23617</v>
      </c>
      <c r="R40" s="16" t="inlineStr">
        <is>
          <t>P/B 4.33 · P/S 3.2 · FCF yld 4% · net debt 18% of mcap · rev +27% · op margin -7% · diluting 3%/yr · interest cover -3.6× ⚠</t>
        </is>
      </c>
      <c r="S40" s="16" t="inlineStr"/>
      <c r="T40" s="16" t="inlineStr">
        <is>
          <t>Insider Conviction, Without Valuation, Single-Measure Best</t>
        </is>
      </c>
    </row>
    <row r="41">
      <c r="A41" s="6" t="inlineStr">
        <is>
          <t>NSPR</t>
        </is>
      </c>
      <c r="B41" s="14" t="inlineStr">
        <is>
          <t>InspireMD, Inc.</t>
        </is>
      </c>
      <c r="C41" s="14" t="inlineStr">
        <is>
          <t>Healthcare</t>
        </is>
      </c>
      <c r="D41" s="14" t="n">
        <v>35</v>
      </c>
      <c r="E41" s="14" t="n">
        <v>1.11</v>
      </c>
      <c r="F41" s="14" t="n">
        <v>-1.5</v>
      </c>
      <c r="G41" s="14" t="n">
        <v>-0.6</v>
      </c>
      <c r="H41" s="14" t="n"/>
      <c r="I41" s="14" t="inlineStr">
        <is>
          <t>81%</t>
        </is>
      </c>
      <c r="J41" s="14" t="n">
        <v>0.3</v>
      </c>
      <c r="K41" s="14" t="inlineStr">
        <is>
          <t>53%</t>
        </is>
      </c>
      <c r="L41" s="14" t="inlineStr">
        <is>
          <t>-494%</t>
        </is>
      </c>
      <c r="M41" s="14" t="inlineStr">
        <is>
          <t>-79%</t>
        </is>
      </c>
      <c r="N41" s="14" t="inlineStr">
        <is>
          <t>44%</t>
        </is>
      </c>
      <c r="O41" s="14" t="n">
        <v>0</v>
      </c>
      <c r="P41" s="14" t="inlineStr">
        <is>
          <t>6%</t>
        </is>
      </c>
      <c r="Q41" s="14" t="n">
        <v>127</v>
      </c>
      <c r="R41" s="14" t="inlineStr">
        <is>
          <t>P/B 1.11 · P/S 3.1 · net cash 81% of mcap · rev +53% · op margin -494% · diluting 44%/yr</t>
        </is>
      </c>
      <c r="S41" s="14" t="inlineStr">
        <is>
          <t>FCF yield &gt;100% (check)</t>
        </is>
      </c>
      <c r="T41" s="14" t="inlineStr">
        <is>
          <t>Insider Conviction, Insider Filing-Time, Recent 30d</t>
        </is>
      </c>
    </row>
    <row r="42">
      <c r="A42" s="8" t="inlineStr">
        <is>
          <t>SSP</t>
        </is>
      </c>
      <c r="B42" s="16" t="inlineStr">
        <is>
          <t>The E.W. Scripps Compa</t>
        </is>
      </c>
      <c r="C42" s="16" t="inlineStr">
        <is>
          <t xml:space="preserve">Communication </t>
        </is>
      </c>
      <c r="D42" s="16" t="n">
        <v>242</v>
      </c>
      <c r="E42" s="16" t="n">
        <v>2.4</v>
      </c>
      <c r="F42" s="16" t="n">
        <v>-0.2</v>
      </c>
      <c r="G42" s="16" t="n">
        <v>-3.9</v>
      </c>
      <c r="H42" s="16" t="inlineStr">
        <is>
          <t>15%</t>
        </is>
      </c>
      <c r="I42" s="16" t="inlineStr">
        <is>
          <t>-1067%</t>
        </is>
      </c>
      <c r="J42" s="16" t="n">
        <v>-3.6</v>
      </c>
      <c r="K42" s="16" t="inlineStr">
        <is>
          <t>-14%</t>
        </is>
      </c>
      <c r="L42" s="16" t="inlineStr">
        <is>
          <t>-51%</t>
        </is>
      </c>
      <c r="M42" s="16" t="inlineStr">
        <is>
          <t>-128%</t>
        </is>
      </c>
      <c r="N42" s="16" t="inlineStr">
        <is>
          <t>5%</t>
        </is>
      </c>
      <c r="O42" s="16" t="n">
        <v>-3.9</v>
      </c>
      <c r="P42" s="16" t="inlineStr">
        <is>
          <t>39%</t>
        </is>
      </c>
      <c r="Q42" s="16" t="n">
        <v>2128</v>
      </c>
      <c r="R42" s="16" t="inlineStr">
        <is>
          <t>P/B 2.40 · P/S 0.1 · FCF yld 15% · net debt 1067% of mcap · rev -14% · op margin -51% · diluting 5%/yr · interest cover -3.9× ⚠</t>
        </is>
      </c>
      <c r="S42" s="16" t="inlineStr"/>
      <c r="T42" s="16" t="inlineStr">
        <is>
          <t>Insider Filing-Time, Mechanism Gates, Hidden Asset Realisation</t>
        </is>
      </c>
    </row>
    <row r="43">
      <c r="A43" s="6" t="inlineStr">
        <is>
          <t>USAR</t>
        </is>
      </c>
      <c r="B43" s="14" t="inlineStr">
        <is>
          <t>USA Rare Earth Inc</t>
        </is>
      </c>
      <c r="C43" s="14" t="inlineStr">
        <is>
          <t>Basic Material</t>
        </is>
      </c>
      <c r="D43" s="14" t="n">
        <v>2143</v>
      </c>
      <c r="E43" s="14" t="n">
        <v>0.84</v>
      </c>
      <c r="F43" s="14" t="n">
        <v>-6.7</v>
      </c>
      <c r="G43" s="14" t="n">
        <v>-4.4</v>
      </c>
      <c r="H43" s="14" t="inlineStr">
        <is>
          <t>-12%</t>
        </is>
      </c>
      <c r="I43" s="14" t="inlineStr">
        <is>
          <t>74%</t>
        </is>
      </c>
      <c r="J43" s="14" t="n">
        <v>13.3</v>
      </c>
      <c r="K43" s="14" t="n"/>
      <c r="L43" s="14" t="inlineStr">
        <is>
          <t>-949%</t>
        </is>
      </c>
      <c r="M43" s="14" t="inlineStr">
        <is>
          <t>-23%</t>
        </is>
      </c>
      <c r="N43" s="14" t="n"/>
      <c r="O43" s="14" t="n">
        <v>0</v>
      </c>
      <c r="P43" s="14" t="inlineStr">
        <is>
          <t>14%</t>
        </is>
      </c>
      <c r="Q43" s="14" t="n">
        <v>221800</v>
      </c>
      <c r="R43" s="14" t="inlineStr">
        <is>
          <t>P/B 0.84 · P/S 161.9 · FCF yld -12% · net cash 74% of mcap</t>
        </is>
      </c>
      <c r="S43" s="14" t="inlineStr">
        <is>
          <t>new entity / merger: history not comparable</t>
        </is>
      </c>
      <c r="T43" s="14" t="inlineStr">
        <is>
          <t>MD&amp;A Intent, Tail Odds, Turnaround Signal</t>
        </is>
      </c>
    </row>
    <row r="44">
      <c r="A44" s="8" t="inlineStr">
        <is>
          <t>VISN</t>
        </is>
      </c>
      <c r="B44" s="16" t="inlineStr">
        <is>
          <t>Vistance Networks, Inc</t>
        </is>
      </c>
      <c r="C44" s="16" t="inlineStr">
        <is>
          <t>Technology</t>
        </is>
      </c>
      <c r="D44" s="16" t="n">
        <v>1464</v>
      </c>
      <c r="E44" s="16" t="n">
        <v>0.58</v>
      </c>
      <c r="F44" s="16" t="n">
        <v>6.3</v>
      </c>
      <c r="G44" s="16" t="n">
        <v>2.6</v>
      </c>
      <c r="H44" s="16" t="inlineStr">
        <is>
          <t>6%</t>
        </is>
      </c>
      <c r="I44" s="16" t="inlineStr">
        <is>
          <t>5%</t>
        </is>
      </c>
      <c r="J44" s="16" t="n">
        <v>-0.1</v>
      </c>
      <c r="K44" s="16" t="inlineStr">
        <is>
          <t>-38%</t>
        </is>
      </c>
      <c r="L44" s="16" t="inlineStr">
        <is>
          <t>12%</t>
        </is>
      </c>
      <c r="M44" s="16" t="inlineStr">
        <is>
          <t>17%</t>
        </is>
      </c>
      <c r="N44" s="16" t="inlineStr">
        <is>
          <t>3%</t>
        </is>
      </c>
      <c r="O44" s="16" t="n">
        <v>2.4</v>
      </c>
      <c r="P44" s="16" t="inlineStr">
        <is>
          <t>3%</t>
        </is>
      </c>
      <c r="Q44" s="16" t="n">
        <v>48681</v>
      </c>
      <c r="R44" s="16" t="inlineStr">
        <is>
          <t>P/B 0.58 · EV/EBITDA 2.6× · FCF yld 6% · net cash 5% of mcap · rev -38% · op margin 12% · diluting 3%/yr</t>
        </is>
      </c>
      <c r="S44" s="16" t="inlineStr">
        <is>
          <t>dividend yield &gt;25% (special or bad data)</t>
        </is>
      </c>
      <c r="T44" s="16" t="inlineStr">
        <is>
          <t>Payoff Geometry, Mechanism Gates, Governance Discount</t>
        </is>
      </c>
    </row>
    <row r="45">
      <c r="A45" s="6" t="inlineStr">
        <is>
          <t>INVE</t>
        </is>
      </c>
      <c r="B45" s="14" t="inlineStr">
        <is>
          <t>Identiv, Inc.</t>
        </is>
      </c>
      <c r="C45" s="14" t="inlineStr">
        <is>
          <t>Technology</t>
        </is>
      </c>
      <c r="D45" s="14" t="n">
        <v>58</v>
      </c>
      <c r="E45" s="14" t="n">
        <v>0.44</v>
      </c>
      <c r="F45" s="14" t="n">
        <v>-3.7</v>
      </c>
      <c r="G45" s="14" t="n">
        <v>4.4</v>
      </c>
      <c r="H45" s="14" t="inlineStr">
        <is>
          <t>-16%</t>
        </is>
      </c>
      <c r="I45" s="14" t="inlineStr">
        <is>
          <t>202%</t>
        </is>
      </c>
      <c r="J45" s="14" t="n">
        <v>8.6</v>
      </c>
      <c r="K45" s="14" t="inlineStr">
        <is>
          <t>3%</t>
        </is>
      </c>
      <c r="L45" s="14" t="inlineStr">
        <is>
          <t>-81%</t>
        </is>
      </c>
      <c r="M45" s="14" t="inlineStr">
        <is>
          <t>-11%</t>
        </is>
      </c>
      <c r="N45" s="14" t="inlineStr">
        <is>
          <t>2%</t>
        </is>
      </c>
      <c r="O45" s="14" t="n">
        <v>0</v>
      </c>
      <c r="P45" s="14" t="inlineStr">
        <is>
          <t>1%</t>
        </is>
      </c>
      <c r="Q45" s="14" t="n">
        <v>508</v>
      </c>
      <c r="R45" s="14" t="inlineStr">
        <is>
          <t>P/B 0.44 · EV/EBITDA 4.4× · FCF yld -16% · net cash 202% of mcap · rev +3% · op margin -81%</t>
        </is>
      </c>
      <c r="S45" s="14" t="inlineStr"/>
      <c r="T45" s="14" t="inlineStr">
        <is>
          <t>Payoff Geometry, Mechanism Gates, Governance Discount</t>
        </is>
      </c>
    </row>
    <row r="46">
      <c r="A46" s="8" t="inlineStr">
        <is>
          <t>STRZ</t>
        </is>
      </c>
      <c r="B46" s="16" t="inlineStr">
        <is>
          <t>Starz Entertainment Co</t>
        </is>
      </c>
      <c r="C46" s="16" t="inlineStr">
        <is>
          <t xml:space="preserve">Communication </t>
        </is>
      </c>
      <c r="D46" s="16" t="n">
        <v>389</v>
      </c>
      <c r="E46" s="16" t="n">
        <v>0.6</v>
      </c>
      <c r="F46" s="16" t="n">
        <v>-0.9</v>
      </c>
      <c r="G46" s="16" t="n">
        <v>2.7</v>
      </c>
      <c r="H46" s="16" t="inlineStr">
        <is>
          <t>-6%</t>
        </is>
      </c>
      <c r="I46" s="16" t="inlineStr">
        <is>
          <t>-149%</t>
        </is>
      </c>
      <c r="J46" s="16" t="n">
        <v>1.7</v>
      </c>
      <c r="K46" s="16" t="inlineStr">
        <is>
          <t>-7%</t>
        </is>
      </c>
      <c r="L46" s="16" t="inlineStr">
        <is>
          <t>-17%</t>
        </is>
      </c>
      <c r="M46" s="16" t="inlineStr">
        <is>
          <t>-82%</t>
        </is>
      </c>
      <c r="N46" s="16" t="inlineStr">
        <is>
          <t>-0%</t>
        </is>
      </c>
      <c r="O46" s="16" t="n">
        <v>-3.7</v>
      </c>
      <c r="P46" s="16" t="inlineStr">
        <is>
          <t>61%</t>
        </is>
      </c>
      <c r="Q46" s="16" t="n">
        <v>4234</v>
      </c>
      <c r="R46" s="16" t="inlineStr">
        <is>
          <t>P/B 0.60 · EV/EBITDA 2.7× · FCF yld -6% · net debt 149% of mcap · rev -7% · op margin -17% · interest cover -3.7× ⚠</t>
        </is>
      </c>
      <c r="S46" s="16" t="inlineStr"/>
      <c r="T46" s="16" t="inlineStr">
        <is>
          <t>Mechanism Gates, Governance Discount, Asymmetry Assembly</t>
        </is>
      </c>
    </row>
    <row r="47">
      <c r="A47" s="6" t="inlineStr">
        <is>
          <t>CNDT</t>
        </is>
      </c>
      <c r="B47" s="14" t="inlineStr">
        <is>
          <t>Conduent Incorporated</t>
        </is>
      </c>
      <c r="C47" s="14" t="inlineStr">
        <is>
          <t>Technology</t>
        </is>
      </c>
      <c r="D47" s="14" t="n">
        <v>252</v>
      </c>
      <c r="E47" s="14" t="n">
        <v>0.38</v>
      </c>
      <c r="F47" s="14" t="n">
        <v>-1.1</v>
      </c>
      <c r="G47" s="14" t="n">
        <v>10.6</v>
      </c>
      <c r="H47" s="14" t="inlineStr">
        <is>
          <t>-24%</t>
        </is>
      </c>
      <c r="I47" s="14" t="inlineStr">
        <is>
          <t>-243%</t>
        </is>
      </c>
      <c r="J47" s="14" t="n">
        <v>7.6</v>
      </c>
      <c r="K47" s="14" t="inlineStr">
        <is>
          <t>-10%</t>
        </is>
      </c>
      <c r="L47" s="14" t="inlineStr">
        <is>
          <t>-0%</t>
        </is>
      </c>
      <c r="M47" s="14" t="inlineStr">
        <is>
          <t>-30%</t>
        </is>
      </c>
      <c r="N47" s="14" t="inlineStr">
        <is>
          <t>-4%</t>
        </is>
      </c>
      <c r="O47" s="14" t="n">
        <v>-0.1</v>
      </c>
      <c r="P47" s="14" t="inlineStr">
        <is>
          <t>28%</t>
        </is>
      </c>
      <c r="Q47" s="14" t="n">
        <v>1890</v>
      </c>
      <c r="R47" s="14" t="inlineStr">
        <is>
          <t>P/B 0.38 · EV/EBITDA 10.6× · FCF yld -24% · net debt 243% of mcap · rev -10% · op margin -0% · buying back 4%/yr · interest cover -0.1× ⚠</t>
        </is>
      </c>
      <c r="S47" s="14" t="inlineStr"/>
      <c r="T47" s="14" t="inlineStr">
        <is>
          <t>Mechanism Gates, Governance Discount, Re-Rate Catalysts</t>
        </is>
      </c>
    </row>
    <row r="48">
      <c r="A48" s="8" t="inlineStr">
        <is>
          <t>BGS</t>
        </is>
      </c>
      <c r="B48" s="16" t="inlineStr">
        <is>
          <t>B&amp;G Foods, Inc.</t>
        </is>
      </c>
      <c r="C48" s="16" t="inlineStr">
        <is>
          <t>Consumer Defen</t>
        </is>
      </c>
      <c r="D48" s="16" t="n">
        <v>245</v>
      </c>
      <c r="E48" s="16" t="n">
        <v>0.62</v>
      </c>
      <c r="F48" s="16" t="n">
        <v>-3.4</v>
      </c>
      <c r="G48" s="16" t="n">
        <v>16.3</v>
      </c>
      <c r="H48" s="16" t="inlineStr">
        <is>
          <t>26%</t>
        </is>
      </c>
      <c r="I48" s="16" t="inlineStr">
        <is>
          <t>-811%</t>
        </is>
      </c>
      <c r="J48" s="16" t="n">
        <v>14.6</v>
      </c>
      <c r="K48" s="16" t="inlineStr">
        <is>
          <t>-5%</t>
        </is>
      </c>
      <c r="L48" s="16" t="inlineStr">
        <is>
          <t>10%</t>
        </is>
      </c>
      <c r="M48" s="16" t="inlineStr">
        <is>
          <t>-16%</t>
        </is>
      </c>
      <c r="N48" s="16" t="inlineStr">
        <is>
          <t>2%</t>
        </is>
      </c>
      <c r="O48" s="16" t="n">
        <v>1.2</v>
      </c>
      <c r="P48" s="16" t="inlineStr">
        <is>
          <t>4%</t>
        </is>
      </c>
      <c r="Q48" s="16" t="n">
        <v>6614</v>
      </c>
      <c r="R48" s="16" t="inlineStr">
        <is>
          <t>P/B 0.62 · EV/EBITDA 16.3× · FCF yld 26% · net debt 811% of mcap · rev -5% · op margin 10% · interest cover 1.2× ⚠</t>
        </is>
      </c>
      <c r="S48" s="16" t="inlineStr"/>
      <c r="T48" s="16" t="inlineStr">
        <is>
          <t>Mechanism Gates, Governance Discount, Turnaround Signal</t>
        </is>
      </c>
    </row>
    <row r="49">
      <c r="A49" s="6" t="inlineStr">
        <is>
          <t>AESI</t>
        </is>
      </c>
      <c r="B49" s="14" t="inlineStr">
        <is>
          <t>Atlas Energy Solutions</t>
        </is>
      </c>
      <c r="C49" s="14" t="inlineStr">
        <is>
          <t>Energy</t>
        </is>
      </c>
      <c r="D49" s="14" t="n">
        <v>1475</v>
      </c>
      <c r="E49" s="14" t="n">
        <v>1.33</v>
      </c>
      <c r="F49" s="14" t="n">
        <v>-12.2</v>
      </c>
      <c r="G49" s="14" t="n">
        <v>20.2</v>
      </c>
      <c r="H49" s="14" t="inlineStr">
        <is>
          <t>-13%</t>
        </is>
      </c>
      <c r="I49" s="14" t="inlineStr">
        <is>
          <t>-54%</t>
        </is>
      </c>
      <c r="J49" s="14" t="n">
        <v>7.2</v>
      </c>
      <c r="K49" s="14" t="inlineStr">
        <is>
          <t>-8%</t>
        </is>
      </c>
      <c r="L49" s="14" t="inlineStr">
        <is>
          <t>-9%</t>
        </is>
      </c>
      <c r="M49" s="14" t="inlineStr">
        <is>
          <t>-10%</t>
        </is>
      </c>
      <c r="N49" s="14" t="inlineStr">
        <is>
          <t>1%</t>
        </is>
      </c>
      <c r="O49" s="14" t="n">
        <v>-1.5</v>
      </c>
      <c r="P49" s="14" t="inlineStr">
        <is>
          <t>33%</t>
        </is>
      </c>
      <c r="Q49" s="14" t="n">
        <v>36545</v>
      </c>
      <c r="R49" s="14" t="inlineStr">
        <is>
          <t>P/B 1.33 · EV/EBITDA 20.2× · FCF yld -13% · net debt 54% of mcap · rev -8% · op margin -9% · interest cover -1.5× ⚠</t>
        </is>
      </c>
      <c r="S49" s="14" t="inlineStr"/>
      <c r="T49" s="14" t="inlineStr">
        <is>
          <t>Mechanism Gates, Structured Distressed, Single-Measure Best</t>
        </is>
      </c>
    </row>
    <row r="50">
      <c r="A50" s="8" t="inlineStr">
        <is>
          <t>CYH</t>
        </is>
      </c>
      <c r="B50" s="16" t="inlineStr">
        <is>
          <t>Community Health Syste</t>
        </is>
      </c>
      <c r="C50" s="16" t="inlineStr">
        <is>
          <t>Healthcare</t>
        </is>
      </c>
      <c r="D50" s="16" t="n">
        <v>432</v>
      </c>
      <c r="E50" s="16" t="n"/>
      <c r="F50" s="16" t="n">
        <v>-1.3</v>
      </c>
      <c r="G50" s="16" t="n">
        <v>2.1</v>
      </c>
      <c r="H50" s="16" t="inlineStr">
        <is>
          <t>-43%</t>
        </is>
      </c>
      <c r="I50" s="16" t="n"/>
      <c r="J50" s="16" t="n">
        <v>2</v>
      </c>
      <c r="K50" s="16" t="inlineStr">
        <is>
          <t>77%</t>
        </is>
      </c>
      <c r="L50" s="16" t="inlineStr">
        <is>
          <t>-39%</t>
        </is>
      </c>
      <c r="M50" s="16" t="inlineStr">
        <is>
          <t>21%</t>
        </is>
      </c>
      <c r="N50" s="16" t="inlineStr">
        <is>
          <t>1%</t>
        </is>
      </c>
      <c r="O50" s="16" t="n">
        <v>-10.1</v>
      </c>
      <c r="P50" s="16" t="inlineStr">
        <is>
          <t>32%</t>
        </is>
      </c>
      <c r="Q50" s="16" t="n">
        <v>4753</v>
      </c>
      <c r="R50" s="16" t="inlineStr">
        <is>
          <t>EV/EBITDA 2.1× · FCF yld -43% · rev +77% · op margin -39%</t>
        </is>
      </c>
      <c r="S50" s="16" t="inlineStr">
        <is>
          <t>negative equity</t>
        </is>
      </c>
      <c r="T50" s="16" t="inlineStr">
        <is>
          <t>Mechanism Gates, Re-Rate Catalysts, Distressed Stub Progress</t>
        </is>
      </c>
    </row>
    <row r="51">
      <c r="A51" s="6" t="inlineStr">
        <is>
          <t>FNGR</t>
        </is>
      </c>
      <c r="B51" s="14" t="inlineStr">
        <is>
          <t>FingerMotion, Inc.</t>
        </is>
      </c>
      <c r="C51" s="14" t="inlineStr">
        <is>
          <t xml:space="preserve">Communication </t>
        </is>
      </c>
      <c r="D51" s="14" t="n">
        <v>8</v>
      </c>
      <c r="E51" s="14" t="n">
        <v>0.51</v>
      </c>
      <c r="F51" s="14" t="n">
        <v>-1.2</v>
      </c>
      <c r="G51" s="14" t="n">
        <v>-1.8</v>
      </c>
      <c r="H51" s="14" t="inlineStr">
        <is>
          <t>-60%</t>
        </is>
      </c>
      <c r="I51" s="14" t="inlineStr">
        <is>
          <t>-5%</t>
        </is>
      </c>
      <c r="J51" s="14" t="n">
        <v>-0.5</v>
      </c>
      <c r="K51" s="14" t="inlineStr">
        <is>
          <t>15%</t>
        </is>
      </c>
      <c r="L51" s="14" t="inlineStr">
        <is>
          <t>-41%</t>
        </is>
      </c>
      <c r="M51" s="14" t="inlineStr">
        <is>
          <t>-47%</t>
        </is>
      </c>
      <c r="N51" s="14" t="inlineStr">
        <is>
          <t>13%</t>
        </is>
      </c>
      <c r="O51" s="14" t="n">
        <v>-38.6</v>
      </c>
      <c r="P51" s="14" t="inlineStr">
        <is>
          <t>0%</t>
        </is>
      </c>
      <c r="Q51" s="14" t="n">
        <v>201</v>
      </c>
      <c r="R51" s="14" t="inlineStr">
        <is>
          <t>P/B 0.51 · P/S 0.5 · FCF yld -60% · net debt 5% of mcap · rev +15% · op margin -41% · diluting 13%/yr</t>
        </is>
      </c>
      <c r="S51" s="14" t="inlineStr"/>
      <c r="T51" s="14" t="inlineStr">
        <is>
          <t>Mechanism Gates, Structured Distressed, Turnaround Signal</t>
        </is>
      </c>
    </row>
    <row r="52">
      <c r="A52" s="8" t="inlineStr">
        <is>
          <t>ARI</t>
        </is>
      </c>
      <c r="B52" s="16" t="inlineStr">
        <is>
          <t>Apollo Commercial Real</t>
        </is>
      </c>
      <c r="C52" s="16" t="inlineStr">
        <is>
          <t>Real Estate</t>
        </is>
      </c>
      <c r="D52" s="16" t="n">
        <v>830</v>
      </c>
      <c r="E52" s="16" t="n">
        <v>0.66</v>
      </c>
      <c r="F52" s="16" t="n">
        <v>7.9</v>
      </c>
      <c r="G52" s="16" t="n">
        <v>-0.1</v>
      </c>
      <c r="H52" s="16" t="inlineStr">
        <is>
          <t>5%</t>
        </is>
      </c>
      <c r="I52" s="16" t="inlineStr">
        <is>
          <t>105%</t>
        </is>
      </c>
      <c r="J52" s="16" t="n">
        <v>-1.7</v>
      </c>
      <c r="K52" s="16" t="inlineStr">
        <is>
          <t>-59%</t>
        </is>
      </c>
      <c r="L52" s="16" t="inlineStr">
        <is>
          <t>149%</t>
        </is>
      </c>
      <c r="M52" s="16" t="inlineStr">
        <is>
          <t>8%</t>
        </is>
      </c>
      <c r="N52" s="16" t="inlineStr">
        <is>
          <t>-5%</t>
        </is>
      </c>
      <c r="O52" s="16" t="n">
        <v>1</v>
      </c>
      <c r="P52" s="16" t="inlineStr">
        <is>
          <t>1%</t>
        </is>
      </c>
      <c r="Q52" s="16" t="n">
        <v>22481</v>
      </c>
      <c r="R52" s="16" t="inlineStr">
        <is>
          <t>P/B 0.66 · P/S 3.1 · FCF yld 5% · net cash 105% of mcap · rev -59% · op margin 149% · buying back 5%/yr</t>
        </is>
      </c>
      <c r="S52" s="16" t="inlineStr">
        <is>
          <t>dividend yield &gt;25% (special or bad data)</t>
        </is>
      </c>
      <c r="T52" s="16" t="inlineStr">
        <is>
          <t>Governance Discount, Call Intent, Re-Rate Catalysts</t>
        </is>
      </c>
    </row>
    <row r="53">
      <c r="A53" s="6" t="inlineStr">
        <is>
          <t>PPLI</t>
        </is>
      </c>
      <c r="B53" s="14" t="inlineStr">
        <is>
          <t>People Incorporated</t>
        </is>
      </c>
      <c r="C53" s="14" t="inlineStr">
        <is>
          <t xml:space="preserve">Communication </t>
        </is>
      </c>
      <c r="D53" s="14" t="n">
        <v>2713</v>
      </c>
      <c r="E53" s="14" t="n">
        <v>0.53</v>
      </c>
      <c r="F53" s="14" t="n">
        <v>7.9</v>
      </c>
      <c r="G53" s="14" t="n">
        <v>-4.9</v>
      </c>
      <c r="H53" s="14" t="inlineStr">
        <is>
          <t>3%</t>
        </is>
      </c>
      <c r="I53" s="14" t="inlineStr">
        <is>
          <t>-11%</t>
        </is>
      </c>
      <c r="J53" s="14" t="n">
        <v>-0.5</v>
      </c>
      <c r="K53" s="14" t="inlineStr">
        <is>
          <t>-25%</t>
        </is>
      </c>
      <c r="L53" s="14" t="inlineStr">
        <is>
          <t>1%</t>
        </is>
      </c>
      <c r="M53" s="14" t="inlineStr">
        <is>
          <t>7%</t>
        </is>
      </c>
      <c r="N53" s="14" t="inlineStr">
        <is>
          <t>-8%</t>
        </is>
      </c>
      <c r="O53" s="14" t="n">
        <v>0.2</v>
      </c>
      <c r="P53" s="14" t="inlineStr">
        <is>
          <t>37%</t>
        </is>
      </c>
      <c r="Q53" s="14" t="n">
        <v>36039</v>
      </c>
      <c r="R53" s="14" t="inlineStr">
        <is>
          <t>P/B 0.53 · P/S 1.3 · FCF yld 3% · net debt 11% of mcap · rev -25% · op margin 1% · buying back 8%/yr · interest cover 0.2× ⚠</t>
        </is>
      </c>
      <c r="S53" s="14" t="inlineStr"/>
      <c r="T53" s="14" t="inlineStr">
        <is>
          <t>Governance Discount, Re-Rate Catalysts, Event Detail</t>
        </is>
      </c>
    </row>
    <row r="54">
      <c r="A54" s="8" t="inlineStr">
        <is>
          <t>SITC</t>
        </is>
      </c>
      <c r="B54" s="16" t="inlineStr">
        <is>
          <t>SITE Centers Corp.</t>
        </is>
      </c>
      <c r="C54" s="16" t="inlineStr">
        <is>
          <t>Real Estate</t>
        </is>
      </c>
      <c r="D54" s="16" t="n">
        <v>157</v>
      </c>
      <c r="E54" s="16" t="n">
        <v>0.5600000000000001</v>
      </c>
      <c r="F54" s="16" t="n">
        <v>1.2</v>
      </c>
      <c r="G54" s="16" t="n">
        <v>-0.4</v>
      </c>
      <c r="H54" s="16" t="inlineStr">
        <is>
          <t>-14%</t>
        </is>
      </c>
      <c r="I54" s="16" t="inlineStr">
        <is>
          <t>152%</t>
        </is>
      </c>
      <c r="J54" s="16" t="n">
        <v>-1.3</v>
      </c>
      <c r="K54" s="16" t="inlineStr">
        <is>
          <t>-39%</t>
        </is>
      </c>
      <c r="L54" s="16" t="inlineStr">
        <is>
          <t>-32%</t>
        </is>
      </c>
      <c r="M54" s="16" t="inlineStr">
        <is>
          <t>41%</t>
        </is>
      </c>
      <c r="N54" s="16" t="inlineStr">
        <is>
          <t>0%</t>
        </is>
      </c>
      <c r="O54" s="16" t="n">
        <v>-0.7</v>
      </c>
      <c r="P54" s="16" t="inlineStr">
        <is>
          <t>3%</t>
        </is>
      </c>
      <c r="Q54" s="16" t="n">
        <v>2751</v>
      </c>
      <c r="R54" s="16" t="inlineStr">
        <is>
          <t>P/B 0.56 · P/S 2.2 · FCF yld -14% · net cash 152% of mcap · rev -39% · op margin -32%</t>
        </is>
      </c>
      <c r="S54" s="16" t="inlineStr">
        <is>
          <t>dividend yield &gt;25% (special or bad data)</t>
        </is>
      </c>
      <c r="T54" s="16" t="inlineStr">
        <is>
          <t>Governance Discount, Re-Rate Catalysts, Event Detail</t>
        </is>
      </c>
    </row>
    <row r="55">
      <c r="A55" s="6" t="inlineStr">
        <is>
          <t>AZTA</t>
        </is>
      </c>
      <c r="B55" s="14" t="inlineStr">
        <is>
          <t>Azenta, Inc.</t>
        </is>
      </c>
      <c r="C55" s="14" t="inlineStr">
        <is>
          <t>Healthcare</t>
        </is>
      </c>
      <c r="D55" s="14" t="n">
        <v>1594</v>
      </c>
      <c r="E55" s="14" t="n">
        <v>1.06</v>
      </c>
      <c r="F55" s="14" t="n">
        <v>-12.4</v>
      </c>
      <c r="G55" s="14" t="n">
        <v>-14.8</v>
      </c>
      <c r="H55" s="14" t="inlineStr">
        <is>
          <t>1%</t>
        </is>
      </c>
      <c r="I55" s="14" t="inlineStr">
        <is>
          <t>17%</t>
        </is>
      </c>
      <c r="J55" s="14" t="n">
        <v>1.4</v>
      </c>
      <c r="K55" s="14" t="inlineStr">
        <is>
          <t>2%</t>
        </is>
      </c>
      <c r="L55" s="14" t="inlineStr">
        <is>
          <t>-3%</t>
        </is>
      </c>
      <c r="M55" s="14" t="inlineStr">
        <is>
          <t>-8%</t>
        </is>
      </c>
      <c r="N55" s="14" t="inlineStr">
        <is>
          <t>1%</t>
        </is>
      </c>
      <c r="O55" s="14" t="n">
        <v>0</v>
      </c>
      <c r="P55" s="14" t="inlineStr">
        <is>
          <t>72%</t>
        </is>
      </c>
      <c r="Q55" s="14" t="n">
        <v>29546</v>
      </c>
      <c r="R55" s="14" t="inlineStr">
        <is>
          <t>P/B 1.06 · P/S 2.6 · FCF yld 1% · net cash 17% of mcap · rev +2% · op margin -3%</t>
        </is>
      </c>
      <c r="S55" s="14" t="inlineStr"/>
      <c r="T55" s="14" t="inlineStr">
        <is>
          <t>Call Intent, Distressed Stub Progress, Without Valuation</t>
        </is>
      </c>
    </row>
    <row r="56">
      <c r="A56" s="8" t="inlineStr">
        <is>
          <t>HON</t>
        </is>
      </c>
      <c r="B56" s="16" t="inlineStr">
        <is>
          <t>Honeywell Internationa</t>
        </is>
      </c>
      <c r="C56" s="16" t="inlineStr">
        <is>
          <t>Industrials</t>
        </is>
      </c>
      <c r="D56" s="16" t="n">
        <v>67160</v>
      </c>
      <c r="E56" s="16" t="n">
        <v>2.66</v>
      </c>
      <c r="F56" s="16" t="n">
        <v>8.199999999999999</v>
      </c>
      <c r="G56" s="16" t="n">
        <v>7.4</v>
      </c>
      <c r="H56" s="16" t="inlineStr">
        <is>
          <t>6%</t>
        </is>
      </c>
      <c r="I56" s="16" t="inlineStr">
        <is>
          <t>-37%</t>
        </is>
      </c>
      <c r="J56" s="16" t="n">
        <v>2</v>
      </c>
      <c r="K56" s="16" t="inlineStr">
        <is>
          <t>-10%</t>
        </is>
      </c>
      <c r="L56" s="16" t="inlineStr">
        <is>
          <t>14%</t>
        </is>
      </c>
      <c r="M56" s="16" t="inlineStr">
        <is>
          <t>42%</t>
        </is>
      </c>
      <c r="N56" s="16" t="inlineStr">
        <is>
          <t>-0%</t>
        </is>
      </c>
      <c r="O56" s="16" t="n">
        <v>3.5</v>
      </c>
      <c r="P56" s="16" t="inlineStr">
        <is>
          <t>25%</t>
        </is>
      </c>
      <c r="Q56" s="16" t="n">
        <v>877941</v>
      </c>
      <c r="R56" s="16" t="inlineStr">
        <is>
          <t>P/B 2.66 · EV/EBITDA 7.4× · FCF yld 6% · net debt 37% of mcap · rev -10% · op margin 14%</t>
        </is>
      </c>
      <c r="S56" s="16" t="inlineStr"/>
      <c r="T56" s="16" t="inlineStr">
        <is>
          <t>Political Trades, Re-Rate Catalysts, Event Detail</t>
        </is>
      </c>
    </row>
    <row r="57">
      <c r="A57" s="6" t="inlineStr">
        <is>
          <t>BHC</t>
        </is>
      </c>
      <c r="B57" s="14" t="inlineStr">
        <is>
          <t>Bausch Health Companie</t>
        </is>
      </c>
      <c r="C57" s="14" t="inlineStr">
        <is>
          <t>Healthcare</t>
        </is>
      </c>
      <c r="D57" s="14" t="n">
        <v>2149</v>
      </c>
      <c r="E57" s="14" t="n"/>
      <c r="F57" s="14" t="n">
        <v>-2</v>
      </c>
      <c r="G57" s="14" t="n">
        <v>10.3</v>
      </c>
      <c r="H57" s="14" t="inlineStr">
        <is>
          <t>65%</t>
        </is>
      </c>
      <c r="I57" s="14" t="n"/>
      <c r="J57" s="14" t="n">
        <v>9.300000000000001</v>
      </c>
      <c r="K57" s="14" t="inlineStr">
        <is>
          <t>10%</t>
        </is>
      </c>
      <c r="L57" s="14" t="inlineStr">
        <is>
          <t>25%</t>
        </is>
      </c>
      <c r="M57" s="14" t="inlineStr">
        <is>
          <t>89%</t>
        </is>
      </c>
      <c r="N57" s="14" t="inlineStr">
        <is>
          <t>1%</t>
        </is>
      </c>
      <c r="O57" s="14" t="n">
        <v>1.7</v>
      </c>
      <c r="P57" s="14" t="inlineStr">
        <is>
          <t>39%</t>
        </is>
      </c>
      <c r="Q57" s="14" t="n">
        <v>17805</v>
      </c>
      <c r="R57" s="14" t="inlineStr">
        <is>
          <t>EV/EBITDA 10.3× · FCF yld 65% · rev +10% · op margin 25%</t>
        </is>
      </c>
      <c r="S57" s="14" t="inlineStr">
        <is>
          <t>negative equity</t>
        </is>
      </c>
      <c r="T57" s="14" t="inlineStr">
        <is>
          <t>Re-Rate Catalysts, Single-Measure Best, Event Detail</t>
        </is>
      </c>
    </row>
    <row r="58">
      <c r="A58" s="8" t="inlineStr">
        <is>
          <t>WBD</t>
        </is>
      </c>
      <c r="B58" s="16" t="inlineStr">
        <is>
          <t>Warner Bros. Discovery</t>
        </is>
      </c>
      <c r="C58" s="16" t="inlineStr">
        <is>
          <t xml:space="preserve">Communication </t>
        </is>
      </c>
      <c r="D58" s="16" t="n">
        <v>77170</v>
      </c>
      <c r="E58" s="16" t="n">
        <v>2.35</v>
      </c>
      <c r="F58" s="16" t="n">
        <v>-24.2</v>
      </c>
      <c r="G58" s="16" t="n">
        <v>17.5</v>
      </c>
      <c r="H58" s="16" t="inlineStr">
        <is>
          <t>3%</t>
        </is>
      </c>
      <c r="I58" s="16" t="inlineStr">
        <is>
          <t>-37%</t>
        </is>
      </c>
      <c r="J58" s="16" t="n">
        <v>4.7</v>
      </c>
      <c r="K58" s="16" t="inlineStr">
        <is>
          <t>-6%</t>
        </is>
      </c>
      <c r="L58" s="16" t="inlineStr">
        <is>
          <t>5%</t>
        </is>
      </c>
      <c r="M58" s="16" t="inlineStr">
        <is>
          <t>-9%</t>
        </is>
      </c>
      <c r="N58" s="16" t="inlineStr">
        <is>
          <t>3%</t>
        </is>
      </c>
      <c r="O58" s="16" t="n">
        <v>0.9</v>
      </c>
      <c r="P58" s="16" t="inlineStr">
        <is>
          <t>99%</t>
        </is>
      </c>
      <c r="Q58" s="16" t="n">
        <v>731319</v>
      </c>
      <c r="R58" s="16" t="inlineStr">
        <is>
          <t>P/B 2.35 · EV/EBITDA 17.5× · FCF yld 3% · net debt 37% of mcap · rev -6% · op margin 5% · diluting 3%/yr · interest cover 0.9× ⚠</t>
        </is>
      </c>
      <c r="S58" s="16" t="inlineStr"/>
      <c r="T58" s="16" t="inlineStr">
        <is>
          <t>Re-Rate Catalysts, Hidden Asset Realisation, Event Detail</t>
        </is>
      </c>
    </row>
    <row r="59">
      <c r="A59" s="6" t="inlineStr">
        <is>
          <t>KDP</t>
        </is>
      </c>
      <c r="B59" s="14" t="inlineStr">
        <is>
          <t>Keurig Dr Pepper Inc.</t>
        </is>
      </c>
      <c r="C59" s="14" t="inlineStr">
        <is>
          <t>Consumer Defen</t>
        </is>
      </c>
      <c r="D59" s="14" t="n">
        <v>43245</v>
      </c>
      <c r="E59" s="14" t="n">
        <v>1.73</v>
      </c>
      <c r="F59" s="14" t="n">
        <v>31.8</v>
      </c>
      <c r="G59" s="14" t="n">
        <v>20.9</v>
      </c>
      <c r="H59" s="14" t="inlineStr">
        <is>
          <t>5%</t>
        </is>
      </c>
      <c r="I59" s="14" t="inlineStr">
        <is>
          <t>-76%</t>
        </is>
      </c>
      <c r="J59" s="14" t="n">
        <v>9.1</v>
      </c>
      <c r="K59" s="14" t="inlineStr">
        <is>
          <t>27%</t>
        </is>
      </c>
      <c r="L59" s="14" t="inlineStr">
        <is>
          <t>17%</t>
        </is>
      </c>
      <c r="M59" s="14" t="inlineStr">
        <is>
          <t>6%</t>
        </is>
      </c>
      <c r="N59" s="14" t="inlineStr">
        <is>
          <t>0%</t>
        </is>
      </c>
      <c r="O59" s="14" t="n">
        <v>3.2</v>
      </c>
      <c r="P59" s="14" t="inlineStr">
        <is>
          <t>77%</t>
        </is>
      </c>
      <c r="Q59" s="14" t="n">
        <v>406235</v>
      </c>
      <c r="R59" s="14" t="inlineStr">
        <is>
          <t>P/B 1.73 · EV/EBITDA 20.9× · FCF yld 5% · net debt 76% of mcap · rev +27% · op margin 17%</t>
        </is>
      </c>
      <c r="S59" s="14" t="inlineStr"/>
      <c r="T59" s="14" t="inlineStr">
        <is>
          <t>Re-Rate Catalysts, Single-Measure Best, Event Detail</t>
        </is>
      </c>
    </row>
    <row r="60">
      <c r="A60" s="8" t="inlineStr">
        <is>
          <t>LSTA</t>
        </is>
      </c>
      <c r="B60" s="16" t="inlineStr">
        <is>
          <t>Lisata Therapeutics, I</t>
        </is>
      </c>
      <c r="C60" s="16" t="inlineStr">
        <is>
          <t>Healthcare</t>
        </is>
      </c>
      <c r="D60" s="16" t="n">
        <v>13</v>
      </c>
      <c r="E60" s="16" t="n">
        <v>1.6</v>
      </c>
      <c r="F60" s="16" t="n">
        <v>-0.9</v>
      </c>
      <c r="G60" s="16" t="n">
        <v>-0.2</v>
      </c>
      <c r="H60" s="16" t="inlineStr">
        <is>
          <t>-94%</t>
        </is>
      </c>
      <c r="I60" s="16" t="inlineStr">
        <is>
          <t>79%</t>
        </is>
      </c>
      <c r="J60" s="16" t="n">
        <v>0.7</v>
      </c>
      <c r="K60" s="16" t="inlineStr">
        <is>
          <t>-91%</t>
        </is>
      </c>
      <c r="L60" s="16" t="inlineStr">
        <is>
          <t>-16427%</t>
        </is>
      </c>
      <c r="M60" s="16" t="inlineStr">
        <is>
          <t>-114%</t>
        </is>
      </c>
      <c r="N60" s="16" t="inlineStr">
        <is>
          <t>6%</t>
        </is>
      </c>
      <c r="O60" s="16" t="n">
        <v>0</v>
      </c>
      <c r="P60" s="16" t="inlineStr">
        <is>
          <t>11%</t>
        </is>
      </c>
      <c r="Q60" s="16" t="n">
        <v>371</v>
      </c>
      <c r="R60" s="16" t="inlineStr">
        <is>
          <t>P/B 1.60 · P/S 130.2 · FCF yld -94% · net cash 79% of mcap · rev -91% · diluting 6%/yr</t>
        </is>
      </c>
      <c r="S60" s="16" t="inlineStr"/>
      <c r="T60" s="16" t="inlineStr">
        <is>
          <t>Re-Rate Catalysts, Tail Odds, Hidden Asset Realisation</t>
        </is>
      </c>
    </row>
    <row r="61">
      <c r="A61" s="6" t="inlineStr">
        <is>
          <t>SUNE</t>
        </is>
      </c>
      <c r="B61" s="14" t="inlineStr">
        <is>
          <t>SUNation Energy Inc.</t>
        </is>
      </c>
      <c r="C61" s="14" t="inlineStr">
        <is>
          <t>Industrials</t>
        </is>
      </c>
      <c r="D61" s="14" t="n">
        <v>8</v>
      </c>
      <c r="E61" s="14" t="n">
        <v>0.39</v>
      </c>
      <c r="F61" s="14" t="n">
        <v>-2.4</v>
      </c>
      <c r="G61" s="14" t="n">
        <v>-5.6</v>
      </c>
      <c r="H61" s="14" t="inlineStr">
        <is>
          <t>-21%</t>
        </is>
      </c>
      <c r="I61" s="14" t="inlineStr">
        <is>
          <t>-65%</t>
        </is>
      </c>
      <c r="J61" s="14" t="n">
        <v>-2.1</v>
      </c>
      <c r="K61" s="14" t="n"/>
      <c r="L61" s="14" t="inlineStr">
        <is>
          <t>-8%</t>
        </is>
      </c>
      <c r="M61" s="14" t="inlineStr">
        <is>
          <t>-24%</t>
        </is>
      </c>
      <c r="N61" s="14" t="n"/>
      <c r="O61" s="14" t="n">
        <v>-6.4</v>
      </c>
      <c r="P61" s="14" t="inlineStr">
        <is>
          <t>20%</t>
        </is>
      </c>
      <c r="Q61" s="14" t="n">
        <v>19176</v>
      </c>
      <c r="R61" s="14" t="inlineStr">
        <is>
          <t>P/B 0.39 · P/S 0.1 · FCF yld -21% · net debt 65% of mcap · op margin -8% · interest cover -6.4× ⚠</t>
        </is>
      </c>
      <c r="S61" s="14" t="inlineStr">
        <is>
          <t>new entity / merger: history not comparable</t>
        </is>
      </c>
      <c r="T61" s="14" t="inlineStr">
        <is>
          <t>Re-Rate Catalysts, Tail Odds, Distressed Stub Progress</t>
        </is>
      </c>
    </row>
    <row r="62">
      <c r="A62" s="8" t="inlineStr">
        <is>
          <t>ASRT</t>
        </is>
      </c>
      <c r="B62" s="16" t="inlineStr">
        <is>
          <t>Assertio Holdings, Inc</t>
        </is>
      </c>
      <c r="C62" s="16" t="inlineStr">
        <is>
          <t>Healthcare</t>
        </is>
      </c>
      <c r="D62" s="16" t="n">
        <v>152</v>
      </c>
      <c r="E62" s="16" t="n">
        <v>2.01</v>
      </c>
      <c r="F62" s="16" t="n">
        <v>-4.2</v>
      </c>
      <c r="G62" s="16" t="n">
        <v>-27.3</v>
      </c>
      <c r="H62" s="16" t="inlineStr">
        <is>
          <t>-5%</t>
        </is>
      </c>
      <c r="I62" s="16" t="inlineStr">
        <is>
          <t>21%</t>
        </is>
      </c>
      <c r="J62" s="16" t="n">
        <v>-1.1</v>
      </c>
      <c r="K62" s="16" t="inlineStr">
        <is>
          <t>-14%</t>
        </is>
      </c>
      <c r="L62" s="16" t="inlineStr">
        <is>
          <t>-22%</t>
        </is>
      </c>
      <c r="M62" s="16" t="inlineStr">
        <is>
          <t>-39%</t>
        </is>
      </c>
      <c r="N62" s="16" t="inlineStr">
        <is>
          <t>1%</t>
        </is>
      </c>
      <c r="O62" s="16" t="n">
        <v>-7.4</v>
      </c>
      <c r="P62" s="16" t="inlineStr">
        <is>
          <t>100%</t>
        </is>
      </c>
      <c r="Q62" s="16" t="n">
        <v>7695</v>
      </c>
      <c r="R62" s="16" t="inlineStr">
        <is>
          <t>P/B 2.01 · P/S 1.5 · FCF yld -5% · net cash 21% of mcap · rev -14% · op margin -22%</t>
        </is>
      </c>
      <c r="S62" s="16" t="inlineStr"/>
      <c r="T62" s="16" t="inlineStr">
        <is>
          <t>Re-Rate Catalysts, Hidden Asset Realisation, Single-Measure Best</t>
        </is>
      </c>
    </row>
    <row r="63">
      <c r="A63" s="6" t="inlineStr">
        <is>
          <t>EPAM</t>
        </is>
      </c>
      <c r="B63" s="14" t="inlineStr">
        <is>
          <t>EPAM Systems, Inc.</t>
        </is>
      </c>
      <c r="C63" s="14" t="inlineStr">
        <is>
          <t>Technology</t>
        </is>
      </c>
      <c r="D63" s="14" t="n">
        <v>5829</v>
      </c>
      <c r="E63" s="14" t="n">
        <v>1.66</v>
      </c>
      <c r="F63" s="14" t="n">
        <v>15</v>
      </c>
      <c r="G63" s="14" t="n">
        <v>7.5</v>
      </c>
      <c r="H63" s="14" t="inlineStr">
        <is>
          <t>8%</t>
        </is>
      </c>
      <c r="I63" s="14" t="inlineStr">
        <is>
          <t>11%</t>
        </is>
      </c>
      <c r="J63" s="14" t="n">
        <v>-0.9</v>
      </c>
      <c r="K63" s="14" t="inlineStr">
        <is>
          <t>11%</t>
        </is>
      </c>
      <c r="L63" s="14" t="inlineStr">
        <is>
          <t>10%</t>
        </is>
      </c>
      <c r="M63" s="14" t="inlineStr">
        <is>
          <t>11%</t>
        </is>
      </c>
      <c r="N63" s="14" t="inlineStr">
        <is>
          <t>-8%</t>
        </is>
      </c>
      <c r="O63" s="14" t="n">
        <v>0</v>
      </c>
      <c r="P63" s="14" t="inlineStr">
        <is>
          <t>26%</t>
        </is>
      </c>
      <c r="Q63" s="14" t="n">
        <v>195146</v>
      </c>
      <c r="R63" s="14" t="inlineStr">
        <is>
          <t>P/B 1.66 · EV/EBITDA 7.5× · FCF yld 8% · net cash 11% of mcap · rev +11% · op margin 10% · buying back 8%/yr</t>
        </is>
      </c>
      <c r="S63" s="14" t="inlineStr"/>
      <c r="T63" s="14" t="inlineStr">
        <is>
          <t>Most Asymmetric, Without Valuation</t>
        </is>
      </c>
    </row>
    <row r="64">
      <c r="A64" s="8" t="inlineStr">
        <is>
          <t>GPK</t>
        </is>
      </c>
      <c r="B64" s="16" t="inlineStr">
        <is>
          <t>Graphic Packaging Hold</t>
        </is>
      </c>
      <c r="C64" s="16" t="inlineStr">
        <is>
          <t>Consumer Cycli</t>
        </is>
      </c>
      <c r="D64" s="16" t="n">
        <v>2913</v>
      </c>
      <c r="E64" s="16" t="n">
        <v>0.9</v>
      </c>
      <c r="F64" s="16" t="n">
        <v>14.7</v>
      </c>
      <c r="G64" s="16" t="n">
        <v>9.199999999999999</v>
      </c>
      <c r="H64" s="16" t="inlineStr">
        <is>
          <t>7%</t>
        </is>
      </c>
      <c r="I64" s="16" t="inlineStr">
        <is>
          <t>-192%</t>
        </is>
      </c>
      <c r="J64" s="16" t="n">
        <v>6.1</v>
      </c>
      <c r="K64" s="16" t="inlineStr">
        <is>
          <t>0%</t>
        </is>
      </c>
      <c r="L64" s="16" t="inlineStr">
        <is>
          <t>7%</t>
        </is>
      </c>
      <c r="M64" s="16" t="inlineStr">
        <is>
          <t>6%</t>
        </is>
      </c>
      <c r="N64" s="16" t="inlineStr">
        <is>
          <t>-2%</t>
        </is>
      </c>
      <c r="O64" s="16" t="n">
        <v>2.4</v>
      </c>
      <c r="P64" s="16" t="inlineStr">
        <is>
          <t>10%</t>
        </is>
      </c>
      <c r="Q64" s="16" t="n">
        <v>56961</v>
      </c>
      <c r="R64" s="16" t="inlineStr">
        <is>
          <t>P/B 0.90 · EV/EBITDA 9.2× · FCF yld 7% · net debt 192% of mcap · rev +0% · op margin 7%</t>
        </is>
      </c>
      <c r="S64" s="16" t="inlineStr"/>
      <c r="T64" s="16" t="inlineStr">
        <is>
          <t>Most Asymmetric, Asymmetry Assembly</t>
        </is>
      </c>
    </row>
    <row r="65">
      <c r="A65" s="6" t="inlineStr">
        <is>
          <t>TRS</t>
        </is>
      </c>
      <c r="B65" s="14" t="inlineStr">
        <is>
          <t>TriMas Corporation</t>
        </is>
      </c>
      <c r="C65" s="14" t="inlineStr">
        <is>
          <t>Consumer Cycli</t>
        </is>
      </c>
      <c r="D65" s="14" t="n">
        <v>1409</v>
      </c>
      <c r="E65" s="14" t="n">
        <v>0.98</v>
      </c>
      <c r="F65" s="14" t="n">
        <v>1.6</v>
      </c>
      <c r="G65" s="14" t="n">
        <v>4</v>
      </c>
      <c r="H65" s="14" t="inlineStr">
        <is>
          <t>12%</t>
        </is>
      </c>
      <c r="I65" s="14" t="inlineStr">
        <is>
          <t>57%</t>
        </is>
      </c>
      <c r="J65" s="14" t="n">
        <v>-5.4</v>
      </c>
      <c r="K65" s="14" t="inlineStr">
        <is>
          <t>-5%</t>
        </is>
      </c>
      <c r="L65" s="14" t="inlineStr">
        <is>
          <t>5%</t>
        </is>
      </c>
      <c r="M65" s="14" t="inlineStr">
        <is>
          <t>84%</t>
        </is>
      </c>
      <c r="N65" s="14" t="inlineStr">
        <is>
          <t>-12%</t>
        </is>
      </c>
      <c r="O65" s="14" t="n">
        <v>2.3</v>
      </c>
      <c r="P65" s="14" t="inlineStr">
        <is>
          <t>59%</t>
        </is>
      </c>
      <c r="Q65" s="14" t="n">
        <v>16924</v>
      </c>
      <c r="R65" s="14" t="inlineStr">
        <is>
          <t>P/B 0.98 · EV/EBITDA 4.0× · FCF yld 12% · net cash 57% of mcap · rev -5% · op margin 5% · buying back 12%/yr</t>
        </is>
      </c>
      <c r="S65" s="14" t="inlineStr"/>
      <c r="T65" s="14" t="inlineStr">
        <is>
          <t>Most Asymmetric, Mechanism Gates</t>
        </is>
      </c>
    </row>
    <row r="66">
      <c r="A66" s="8" t="inlineStr">
        <is>
          <t>LULU</t>
        </is>
      </c>
      <c r="B66" s="16" t="inlineStr">
        <is>
          <t>Lululemon Athletica In</t>
        </is>
      </c>
      <c r="C66" s="16" t="inlineStr">
        <is>
          <t>Consumer Cycli</t>
        </is>
      </c>
      <c r="D66" s="16" t="n">
        <v>11657</v>
      </c>
      <c r="E66" s="16" t="n">
        <v>2.43</v>
      </c>
      <c r="F66" s="16" t="n">
        <v>8.4</v>
      </c>
      <c r="G66" s="16" t="n">
        <v>4.8</v>
      </c>
      <c r="H66" s="16" t="inlineStr">
        <is>
          <t>12%</t>
        </is>
      </c>
      <c r="I66" s="16" t="inlineStr">
        <is>
          <t>-6%</t>
        </is>
      </c>
      <c r="J66" s="16" t="n">
        <v>0.3</v>
      </c>
      <c r="K66" s="16" t="inlineStr">
        <is>
          <t>2%</t>
        </is>
      </c>
      <c r="L66" s="16" t="inlineStr">
        <is>
          <t>18%</t>
        </is>
      </c>
      <c r="M66" s="16" t="inlineStr">
        <is>
          <t>30%</t>
        </is>
      </c>
      <c r="N66" s="16" t="inlineStr">
        <is>
          <t>-6%</t>
        </is>
      </c>
      <c r="O66" s="16" t="n">
        <v>0</v>
      </c>
      <c r="P66" s="16" t="inlineStr">
        <is>
          <t>6%</t>
        </is>
      </c>
      <c r="Q66" s="16" t="n">
        <v>451890</v>
      </c>
      <c r="R66" s="16" t="inlineStr">
        <is>
          <t>P/B 2.43 · EV/EBITDA 4.8× · FCF yld 12% · net debt 6% of mcap · rev +2% · op margin 18% · buying back 6%/yr</t>
        </is>
      </c>
      <c r="S66" s="16" t="inlineStr"/>
      <c r="T66" s="16" t="inlineStr">
        <is>
          <t>Most Asymmetric, Without Valuation</t>
        </is>
      </c>
    </row>
    <row r="67">
      <c r="A67" s="6" t="inlineStr">
        <is>
          <t>FOUR</t>
        </is>
      </c>
      <c r="B67" s="14" t="inlineStr">
        <is>
          <t>Shift4 Payments, Inc.</t>
        </is>
      </c>
      <c r="C67" s="14" t="inlineStr">
        <is>
          <t>Technology</t>
        </is>
      </c>
      <c r="D67" s="14" t="n">
        <v>3516</v>
      </c>
      <c r="E67" s="14" t="n">
        <v>2.17</v>
      </c>
      <c r="F67" s="14" t="n">
        <v>60.9</v>
      </c>
      <c r="G67" s="14" t="n">
        <v>8.4</v>
      </c>
      <c r="H67" s="14" t="inlineStr">
        <is>
          <t>15%</t>
        </is>
      </c>
      <c r="I67" s="14" t="inlineStr">
        <is>
          <t>-120%</t>
        </is>
      </c>
      <c r="J67" s="14" t="n">
        <v>4.6</v>
      </c>
      <c r="K67" s="14" t="inlineStr">
        <is>
          <t>32%</t>
        </is>
      </c>
      <c r="L67" s="14" t="inlineStr">
        <is>
          <t>8%</t>
        </is>
      </c>
      <c r="M67" s="14" t="inlineStr">
        <is>
          <t>6%</t>
        </is>
      </c>
      <c r="N67" s="14" t="inlineStr">
        <is>
          <t>-11%</t>
        </is>
      </c>
      <c r="O67" s="14" t="n">
        <v>1.5</v>
      </c>
      <c r="P67" s="14" t="inlineStr">
        <is>
          <t>8%</t>
        </is>
      </c>
      <c r="Q67" s="14" t="n">
        <v>66088</v>
      </c>
      <c r="R67" s="14" t="inlineStr">
        <is>
          <t>P/B 2.17 · EV/EBITDA 8.4× · FCF yld 15% · net debt 120% of mcap · rev +32% · op margin 8% · buying back 11%/yr</t>
        </is>
      </c>
      <c r="S67" s="14" t="inlineStr"/>
      <c r="T67" s="14" t="inlineStr">
        <is>
          <t>Most Asymmetric, Without Valuation</t>
        </is>
      </c>
    </row>
    <row r="68">
      <c r="A68" s="8" t="inlineStr">
        <is>
          <t>HFFG</t>
        </is>
      </c>
      <c r="B68" s="16" t="inlineStr">
        <is>
          <t>HF Foods Group Inc.</t>
        </is>
      </c>
      <c r="C68" s="16" t="inlineStr">
        <is>
          <t>Consumer Defen</t>
        </is>
      </c>
      <c r="D68" s="16" t="n">
        <v>82</v>
      </c>
      <c r="E68" s="16" t="n">
        <v>0.4</v>
      </c>
      <c r="F68" s="16" t="n">
        <v>-2.4</v>
      </c>
      <c r="G68" s="16" t="n">
        <v>255.5</v>
      </c>
      <c r="H68" s="16" t="inlineStr">
        <is>
          <t>-4%</t>
        </is>
      </c>
      <c r="I68" s="16" t="inlineStr">
        <is>
          <t>-232%</t>
        </is>
      </c>
      <c r="J68" s="16" t="n">
        <v>178.9</v>
      </c>
      <c r="K68" s="16" t="inlineStr">
        <is>
          <t>3%</t>
        </is>
      </c>
      <c r="L68" s="16" t="inlineStr">
        <is>
          <t>0%</t>
        </is>
      </c>
      <c r="M68" s="16" t="inlineStr">
        <is>
          <t>-16%</t>
        </is>
      </c>
      <c r="N68" s="16" t="inlineStr">
        <is>
          <t>1%</t>
        </is>
      </c>
      <c r="O68" s="16" t="n">
        <v>0.4</v>
      </c>
      <c r="P68" s="16" t="inlineStr">
        <is>
          <t>7%</t>
        </is>
      </c>
      <c r="Q68" s="16" t="n">
        <v>356</v>
      </c>
      <c r="R68" s="16" t="inlineStr">
        <is>
          <t>P/B 0.40 · P/S 0.1 · FCF yld -4% · net debt 232% of mcap · rev +3% · op margin 0% · interest cover 0.4× ⚠</t>
        </is>
      </c>
      <c r="S68" s="16" t="inlineStr"/>
      <c r="T68" s="16" t="inlineStr">
        <is>
          <t>Caution List, Asymmetry Assembly</t>
        </is>
      </c>
    </row>
    <row r="69">
      <c r="A69" s="6" t="inlineStr">
        <is>
          <t>SNBR</t>
        </is>
      </c>
      <c r="B69" s="14" t="inlineStr">
        <is>
          <t>Sleep Number Corp</t>
        </is>
      </c>
      <c r="C69" s="14" t="inlineStr">
        <is>
          <t>Consumer Cycli</t>
        </is>
      </c>
      <c r="D69" s="14" t="n">
        <v>3</v>
      </c>
      <c r="E69" s="14" t="n"/>
      <c r="F69" s="14" t="n">
        <v>-0</v>
      </c>
      <c r="G69" s="14" t="n">
        <v>-29.7</v>
      </c>
      <c r="H69" s="14" t="n"/>
      <c r="I69" s="14" t="n"/>
      <c r="J69" s="14" t="n">
        <v>-29.6</v>
      </c>
      <c r="K69" s="14" t="inlineStr">
        <is>
          <t>-17%</t>
        </is>
      </c>
      <c r="L69" s="14" t="inlineStr">
        <is>
          <t>-5%</t>
        </is>
      </c>
      <c r="M69" s="14" t="inlineStr">
        <is>
          <t>31%</t>
        </is>
      </c>
      <c r="N69" s="14" t="inlineStr">
        <is>
          <t>1%</t>
        </is>
      </c>
      <c r="O69" s="14" t="n">
        <v>-1.2</v>
      </c>
      <c r="P69" s="14" t="inlineStr">
        <is>
          <t>1%</t>
        </is>
      </c>
      <c r="Q69" s="14" t="n">
        <v>3253</v>
      </c>
      <c r="R69" s="14" t="inlineStr">
        <is>
          <t>P/S 0.0 · rev -17% · op margin -5%</t>
        </is>
      </c>
      <c r="S69" s="14" t="inlineStr">
        <is>
          <t>negative equity; FCF yield &gt;100% (check)</t>
        </is>
      </c>
      <c r="T69" s="14" t="inlineStr">
        <is>
          <t>Caution List, Without Valuation</t>
        </is>
      </c>
    </row>
    <row r="70">
      <c r="A70" s="8" t="inlineStr">
        <is>
          <t>AMD</t>
        </is>
      </c>
      <c r="B70" s="16" t="inlineStr">
        <is>
          <t>Advanced Micro Devices</t>
        </is>
      </c>
      <c r="C70" s="16" t="inlineStr">
        <is>
          <t>Technology</t>
        </is>
      </c>
      <c r="D70" s="16" t="n">
        <v>1000739</v>
      </c>
      <c r="E70" s="16" t="n">
        <v>14.89</v>
      </c>
      <c r="F70" s="16" t="n">
        <v>155.6</v>
      </c>
      <c r="G70" s="16" t="n">
        <v>93.40000000000001</v>
      </c>
      <c r="H70" s="16" t="inlineStr">
        <is>
          <t>1%</t>
        </is>
      </c>
      <c r="I70" s="16" t="inlineStr">
        <is>
          <t>1%</t>
        </is>
      </c>
      <c r="J70" s="16" t="n">
        <v>-0.1</v>
      </c>
      <c r="K70" s="16" t="inlineStr">
        <is>
          <t>40%</t>
        </is>
      </c>
      <c r="L70" s="16" t="inlineStr">
        <is>
          <t>16%</t>
        </is>
      </c>
      <c r="M70" s="16" t="inlineStr">
        <is>
          <t>10%</t>
        </is>
      </c>
      <c r="N70" s="16" t="inlineStr">
        <is>
          <t>2%</t>
        </is>
      </c>
      <c r="O70" s="16" t="n">
        <v>44.1</v>
      </c>
      <c r="P70" s="16" t="inlineStr">
        <is>
          <t>98%</t>
        </is>
      </c>
      <c r="Q70" s="16" t="n">
        <v>16653630</v>
      </c>
      <c r="R70" s="16" t="inlineStr">
        <is>
          <t>P/B 14.89 · EV/EBITDA 93.4× · FCF yld 1% · net cash 1% of mcap · rev +40% · op margin 16%</t>
        </is>
      </c>
      <c r="S70" s="16" t="inlineStr"/>
      <c r="T70" s="16" t="inlineStr">
        <is>
          <t>Caution List, Political Trades</t>
        </is>
      </c>
    </row>
    <row r="71">
      <c r="A71" s="6" t="inlineStr">
        <is>
          <t>CMCO</t>
        </is>
      </c>
      <c r="B71" s="14" t="inlineStr">
        <is>
          <t>Columbus McKinnon Corp</t>
        </is>
      </c>
      <c r="C71" s="14" t="inlineStr">
        <is>
          <t>Industrials</t>
        </is>
      </c>
      <c r="D71" s="14" t="n">
        <v>474</v>
      </c>
      <c r="E71" s="14" t="n">
        <v>0.51</v>
      </c>
      <c r="F71" s="14" t="n">
        <v>-1.5</v>
      </c>
      <c r="G71" s="14" t="n">
        <v>-56.9</v>
      </c>
      <c r="H71" s="14" t="inlineStr">
        <is>
          <t>-26%</t>
        </is>
      </c>
      <c r="I71" s="14" t="inlineStr">
        <is>
          <t>-88%</t>
        </is>
      </c>
      <c r="J71" s="14" t="n">
        <v>-47.1</v>
      </c>
      <c r="K71" s="14" t="inlineStr">
        <is>
          <t>-2%</t>
        </is>
      </c>
      <c r="L71" s="14" t="inlineStr">
        <is>
          <t>-3%</t>
        </is>
      </c>
      <c r="M71" s="14" t="inlineStr">
        <is>
          <t>-27%</t>
        </is>
      </c>
      <c r="N71" s="14" t="inlineStr">
        <is>
          <t>-0%</t>
        </is>
      </c>
      <c r="O71" s="14" t="n">
        <v>-0.5</v>
      </c>
      <c r="P71" s="14" t="inlineStr">
        <is>
          <t>36%</t>
        </is>
      </c>
      <c r="Q71" s="14" t="n">
        <v>9889</v>
      </c>
      <c r="R71" s="14" t="inlineStr">
        <is>
          <t>P/B 0.51 · P/S 0.3 · FCF yld -26% · net debt 88% of mcap · rev -2% · op margin -3% · interest cover -0.5× ⚠</t>
        </is>
      </c>
      <c r="S71" s="14" t="inlineStr"/>
      <c r="T71" s="14" t="inlineStr">
        <is>
          <t>Caution List, Re-Rate Catalysts</t>
        </is>
      </c>
    </row>
    <row r="72">
      <c r="A72" s="8" t="inlineStr">
        <is>
          <t>NSP</t>
        </is>
      </c>
      <c r="B72" s="16" t="inlineStr">
        <is>
          <t>Insperity, Inc.</t>
        </is>
      </c>
      <c r="C72" s="16" t="inlineStr">
        <is>
          <t>Industrials</t>
        </is>
      </c>
      <c r="D72" s="16" t="n">
        <v>1886</v>
      </c>
      <c r="E72" s="16" t="n">
        <v>30.91</v>
      </c>
      <c r="F72" s="16" t="n">
        <v>-116.9</v>
      </c>
      <c r="G72" s="16" t="n">
        <v>31.9</v>
      </c>
      <c r="H72" s="16" t="inlineStr">
        <is>
          <t>15%</t>
        </is>
      </c>
      <c r="I72" s="16" t="inlineStr">
        <is>
          <t>7%</t>
        </is>
      </c>
      <c r="J72" s="16" t="n">
        <v>-2.6</v>
      </c>
      <c r="K72" s="16" t="inlineStr">
        <is>
          <t>3%</t>
        </is>
      </c>
      <c r="L72" s="16" t="inlineStr">
        <is>
          <t>-0%</t>
        </is>
      </c>
      <c r="M72" s="16" t="inlineStr">
        <is>
          <t>-25%</t>
        </is>
      </c>
      <c r="N72" s="16" t="inlineStr">
        <is>
          <t>6%</t>
        </is>
      </c>
      <c r="O72" s="16" t="n">
        <v>-0.1</v>
      </c>
      <c r="P72" s="16" t="inlineStr">
        <is>
          <t>83%</t>
        </is>
      </c>
      <c r="Q72" s="16" t="n">
        <v>30056</v>
      </c>
      <c r="R72" s="16" t="inlineStr">
        <is>
          <t>P/B 30.91 · EV/EBITDA 31.9× · FCF yld 15% · net cash 7% of mcap · rev +3% · op margin -0% · diluting 6%/yr</t>
        </is>
      </c>
      <c r="S72" s="16" t="inlineStr"/>
      <c r="T72" s="16" t="inlineStr">
        <is>
          <t>Caution List, Insider Conviction</t>
        </is>
      </c>
    </row>
    <row r="73">
      <c r="A73" s="6" t="inlineStr">
        <is>
          <t>SAFE</t>
        </is>
      </c>
      <c r="B73" s="14" t="inlineStr">
        <is>
          <t>Safehold Inc.</t>
        </is>
      </c>
      <c r="C73" s="14" t="inlineStr">
        <is>
          <t>Real Estate</t>
        </is>
      </c>
      <c r="D73" s="14" t="n">
        <v>929</v>
      </c>
      <c r="E73" s="14" t="n">
        <v>0.38</v>
      </c>
      <c r="F73" s="14" t="n">
        <v>8</v>
      </c>
      <c r="G73" s="14" t="n">
        <v>16.4</v>
      </c>
      <c r="H73" s="14" t="inlineStr">
        <is>
          <t>4%</t>
        </is>
      </c>
      <c r="I73" s="14" t="inlineStr">
        <is>
          <t>-499%</t>
        </is>
      </c>
      <c r="J73" s="14" t="n">
        <v>13.7</v>
      </c>
      <c r="K73" s="14" t="inlineStr">
        <is>
          <t>11%</t>
        </is>
      </c>
      <c r="L73" s="14" t="inlineStr">
        <is>
          <t>50%</t>
        </is>
      </c>
      <c r="M73" s="14" t="inlineStr">
        <is>
          <t>5%</t>
        </is>
      </c>
      <c r="N73" s="14" t="inlineStr">
        <is>
          <t>-0%</t>
        </is>
      </c>
      <c r="O73" s="14" t="n">
        <v>1</v>
      </c>
      <c r="P73" s="14" t="inlineStr">
        <is>
          <t>4%</t>
        </is>
      </c>
      <c r="Q73" s="14" t="n">
        <v>4431</v>
      </c>
      <c r="R73" s="14" t="inlineStr">
        <is>
          <t>P/B 0.38 · EV/EBITDA 16.4× · FCF yld 4% · net debt 499% of mcap · rev +11% · op margin 50% · interest cover 1.0× ⚠</t>
        </is>
      </c>
      <c r="S73" s="14" t="inlineStr"/>
      <c r="T73" s="14" t="inlineStr">
        <is>
          <t>Caution List, Hidden Asset Realisation</t>
        </is>
      </c>
    </row>
    <row r="74">
      <c r="A74" s="8" t="inlineStr">
        <is>
          <t>ACH</t>
        </is>
      </c>
      <c r="B74" s="16" t="inlineStr">
        <is>
          <t>Accendra Health, Inc.</t>
        </is>
      </c>
      <c r="C74" s="16" t="inlineStr">
        <is>
          <t>Healthcare</t>
        </is>
      </c>
      <c r="D74" s="16" t="n">
        <v>61</v>
      </c>
      <c r="E74" s="16" t="n"/>
      <c r="F74" s="16" t="n">
        <v>-0.2</v>
      </c>
      <c r="G74" s="16" t="n">
        <v>8</v>
      </c>
      <c r="H74" s="16" t="n"/>
      <c r="I74" s="16" t="n"/>
      <c r="J74" s="16" t="n">
        <v>7.7</v>
      </c>
      <c r="K74" s="16" t="inlineStr">
        <is>
          <t>-60%</t>
        </is>
      </c>
      <c r="L74" s="16" t="inlineStr">
        <is>
          <t>4%</t>
        </is>
      </c>
      <c r="M74" s="16" t="inlineStr">
        <is>
          <t>63%</t>
        </is>
      </c>
      <c r="N74" s="16" t="inlineStr">
        <is>
          <t>-0%</t>
        </is>
      </c>
      <c r="O74" s="16" t="n">
        <v>0.8</v>
      </c>
      <c r="P74" s="16" t="inlineStr">
        <is>
          <t>0%</t>
        </is>
      </c>
      <c r="Q74" s="16" t="n">
        <v>871</v>
      </c>
      <c r="R74" s="16" t="inlineStr">
        <is>
          <t>EV/EBITDA 8.0× · rev -60% · op margin 4%</t>
        </is>
      </c>
      <c r="S74" s="16" t="inlineStr">
        <is>
          <t>negative equity; FCF yield &gt;100% (check)</t>
        </is>
      </c>
      <c r="T74" s="16" t="inlineStr">
        <is>
          <t>Caution List, Turnaround Signal</t>
        </is>
      </c>
    </row>
    <row r="75">
      <c r="A75" s="6" t="inlineStr">
        <is>
          <t>LCID</t>
        </is>
      </c>
      <c r="B75" s="14" t="inlineStr">
        <is>
          <t>Lucid Group, Inc.</t>
        </is>
      </c>
      <c r="C75" s="14" t="inlineStr">
        <is>
          <t>Consumer Cycli</t>
        </is>
      </c>
      <c r="D75" s="14" t="n">
        <v>1314</v>
      </c>
      <c r="E75" s="14" t="n">
        <v>0.71</v>
      </c>
      <c r="F75" s="14" t="n">
        <v>-0.3</v>
      </c>
      <c r="G75" s="14" t="n">
        <v>-1.2</v>
      </c>
      <c r="H75" s="14" t="n"/>
      <c r="I75" s="14" t="inlineStr">
        <is>
          <t>-198%</t>
        </is>
      </c>
      <c r="J75" s="14" t="n">
        <v>-0.8</v>
      </c>
      <c r="K75" s="14" t="inlineStr">
        <is>
          <t>67%</t>
        </is>
      </c>
      <c r="L75" s="14" t="inlineStr">
        <is>
          <t>-261%</t>
        </is>
      </c>
      <c r="M75" s="14" t="inlineStr">
        <is>
          <t>-255%</t>
        </is>
      </c>
      <c r="N75" s="14" t="inlineStr">
        <is>
          <t>25%</t>
        </is>
      </c>
      <c r="O75" s="14" t="n">
        <v>-27.2</v>
      </c>
      <c r="P75" s="14" t="inlineStr">
        <is>
          <t>8%</t>
        </is>
      </c>
      <c r="Q75" s="14" t="n">
        <v>66095</v>
      </c>
      <c r="R75" s="14" t="inlineStr">
        <is>
          <t>P/B 0.71 · P/S 0.9 · net debt 198% of mcap · rev +67% · op margin -261% · diluting 25%/yr · interest cover -27.2× ⚠</t>
        </is>
      </c>
      <c r="S75" s="14" t="inlineStr">
        <is>
          <t>FCF yield &gt;100% (check)</t>
        </is>
      </c>
      <c r="T75" s="14" t="inlineStr">
        <is>
          <t>Caution List, Distressed Stub Progress</t>
        </is>
      </c>
    </row>
    <row r="76">
      <c r="A76" s="8" t="inlineStr">
        <is>
          <t>CNMD</t>
        </is>
      </c>
      <c r="B76" s="16" t="inlineStr">
        <is>
          <t>CONMED Corporation</t>
        </is>
      </c>
      <c r="C76" s="16" t="inlineStr">
        <is>
          <t>Healthcare</t>
        </is>
      </c>
      <c r="D76" s="16" t="n">
        <v>1369</v>
      </c>
      <c r="E76" s="16" t="n">
        <v>1.31</v>
      </c>
      <c r="F76" s="16" t="n">
        <v>24.4</v>
      </c>
      <c r="G76" s="16" t="n">
        <v>12.1</v>
      </c>
      <c r="H76" s="16" t="inlineStr">
        <is>
          <t>10%</t>
        </is>
      </c>
      <c r="I76" s="16" t="inlineStr">
        <is>
          <t>-58%</t>
        </is>
      </c>
      <c r="J76" s="16" t="n">
        <v>4.4</v>
      </c>
      <c r="K76" s="16" t="inlineStr">
        <is>
          <t>4%</t>
        </is>
      </c>
      <c r="L76" s="16" t="inlineStr">
        <is>
          <t>11%</t>
        </is>
      </c>
      <c r="M76" s="16" t="inlineStr">
        <is>
          <t>6%</t>
        </is>
      </c>
      <c r="N76" s="16" t="inlineStr">
        <is>
          <t>-3%</t>
        </is>
      </c>
      <c r="O76" s="16" t="n">
        <v>4.9</v>
      </c>
      <c r="P76" s="16" t="inlineStr">
        <is>
          <t>64%</t>
        </is>
      </c>
      <c r="Q76" s="16" t="n">
        <v>24501</v>
      </c>
      <c r="R76" s="16" t="inlineStr">
        <is>
          <t>P/B 1.31 · EV/EBITDA 12.1× · FCF yld 10% · net debt 58% of mcap · rev +4% · op margin 11% · buying back 3%/yr</t>
        </is>
      </c>
      <c r="S76" s="16" t="inlineStr"/>
      <c r="T76" s="16" t="inlineStr">
        <is>
          <t>Caution List, Call Intent</t>
        </is>
      </c>
    </row>
    <row r="77">
      <c r="A77" s="6" t="inlineStr">
        <is>
          <t>PSN</t>
        </is>
      </c>
      <c r="B77" s="14" t="inlineStr">
        <is>
          <t>Parsons Corporation</t>
        </is>
      </c>
      <c r="C77" s="14" t="inlineStr">
        <is>
          <t>Technology</t>
        </is>
      </c>
      <c r="D77" s="14" t="n">
        <v>4728</v>
      </c>
      <c r="E77" s="14" t="n">
        <v>1.8</v>
      </c>
      <c r="F77" s="14" t="n">
        <v>29.9</v>
      </c>
      <c r="G77" s="14" t="n">
        <v>15.3</v>
      </c>
      <c r="H77" s="14" t="inlineStr">
        <is>
          <t>7%</t>
        </is>
      </c>
      <c r="I77" s="14" t="inlineStr">
        <is>
          <t>-29%</t>
        </is>
      </c>
      <c r="J77" s="14" t="n">
        <v>3.5</v>
      </c>
      <c r="K77" s="14" t="inlineStr">
        <is>
          <t>-6%</t>
        </is>
      </c>
      <c r="L77" s="14" t="inlineStr">
        <is>
          <t>5%</t>
        </is>
      </c>
      <c r="M77" s="14" t="inlineStr">
        <is>
          <t>6%</t>
        </is>
      </c>
      <c r="N77" s="14" t="inlineStr">
        <is>
          <t>-1%</t>
        </is>
      </c>
      <c r="O77" s="14" t="n">
        <v>5.2</v>
      </c>
      <c r="P77" s="14" t="inlineStr">
        <is>
          <t>15%</t>
        </is>
      </c>
      <c r="Q77" s="14" t="n">
        <v>59433</v>
      </c>
      <c r="R77" s="14" t="inlineStr">
        <is>
          <t>P/B 1.80 · EV/EBITDA 15.3× · FCF yld 7% · net debt 29% of mcap · rev -6% · op margin 5%</t>
        </is>
      </c>
      <c r="S77" s="14" t="inlineStr"/>
      <c r="T77" s="14" t="inlineStr">
        <is>
          <t>Caution List, Insider Conviction</t>
        </is>
      </c>
    </row>
    <row r="78">
      <c r="A78" s="8" t="inlineStr">
        <is>
          <t>LGL</t>
        </is>
      </c>
      <c r="B78" s="16" t="inlineStr">
        <is>
          <t>The LGL Group, Inc.</t>
        </is>
      </c>
      <c r="C78" s="16" t="inlineStr">
        <is>
          <t>Technology</t>
        </is>
      </c>
      <c r="D78" s="16" t="n">
        <v>40</v>
      </c>
      <c r="E78" s="16" t="n">
        <v>0.91</v>
      </c>
      <c r="F78" s="16" t="n">
        <v>-346</v>
      </c>
      <c r="G78" s="16" t="n">
        <v>6.1</v>
      </c>
      <c r="H78" s="16" t="inlineStr">
        <is>
          <t>0%</t>
        </is>
      </c>
      <c r="I78" s="16" t="inlineStr">
        <is>
          <t>113%</t>
        </is>
      </c>
      <c r="J78" s="16" t="n">
        <v>46.7</v>
      </c>
      <c r="K78" s="16" t="inlineStr">
        <is>
          <t>-24%</t>
        </is>
      </c>
      <c r="L78" s="16" t="inlineStr">
        <is>
          <t>-106%</t>
        </is>
      </c>
      <c r="M78" s="16" t="inlineStr">
        <is>
          <t>-1%</t>
        </is>
      </c>
      <c r="N78" s="16" t="inlineStr">
        <is>
          <t>20%</t>
        </is>
      </c>
      <c r="O78" s="16" t="n">
        <v>0</v>
      </c>
      <c r="P78" s="16" t="inlineStr">
        <is>
          <t>69%</t>
        </is>
      </c>
      <c r="Q78" s="16" t="n">
        <v>131</v>
      </c>
      <c r="R78" s="16" t="inlineStr">
        <is>
          <t>P/B 0.91 · EV/EBITDA 6.1× · FCF yld 0% · net cash 113% of mcap · rev -24% · op margin -106% · diluting 20%/yr</t>
        </is>
      </c>
      <c r="S78" s="16" t="inlineStr"/>
      <c r="T78" s="16" t="inlineStr">
        <is>
          <t>Caution List, Payoff Geometry</t>
        </is>
      </c>
    </row>
    <row r="79">
      <c r="A79" s="6" t="inlineStr">
        <is>
          <t>WHR</t>
        </is>
      </c>
      <c r="B79" s="14" t="inlineStr">
        <is>
          <t>Whirlpool Corporation</t>
        </is>
      </c>
      <c r="C79" s="14" t="inlineStr">
        <is>
          <t>Consumer Cycli</t>
        </is>
      </c>
      <c r="D79" s="14" t="n">
        <v>2174</v>
      </c>
      <c r="E79" s="14" t="n">
        <v>0.55</v>
      </c>
      <c r="F79" s="14" t="n">
        <v>11.2</v>
      </c>
      <c r="G79" s="14" t="n">
        <v>9.199999999999999</v>
      </c>
      <c r="H79" s="14" t="inlineStr">
        <is>
          <t>-8%</t>
        </is>
      </c>
      <c r="I79" s="14" t="inlineStr">
        <is>
          <t>-314%</t>
        </is>
      </c>
      <c r="J79" s="14" t="n">
        <v>7</v>
      </c>
      <c r="K79" s="14" t="inlineStr">
        <is>
          <t>-4%</t>
        </is>
      </c>
      <c r="L79" s="14" t="inlineStr">
        <is>
          <t>4%</t>
        </is>
      </c>
      <c r="M79" s="14" t="inlineStr">
        <is>
          <t>6%</t>
        </is>
      </c>
      <c r="N79" s="14" t="inlineStr">
        <is>
          <t>16%</t>
        </is>
      </c>
      <c r="O79" s="14" t="n">
        <v>1.7</v>
      </c>
      <c r="P79" s="14" t="inlineStr">
        <is>
          <t>3%</t>
        </is>
      </c>
      <c r="Q79" s="14" t="n">
        <v>86668</v>
      </c>
      <c r="R79" s="14" t="inlineStr">
        <is>
          <t>P/B 0.55 · EV/EBITDA 9.2× · FCF yld -8% · net debt 314% of mcap · rev -4% · op margin 4% · diluting 16%/yr</t>
        </is>
      </c>
      <c r="S79" s="14" t="inlineStr"/>
      <c r="T79" s="14" t="inlineStr">
        <is>
          <t>Caution List, Structured Distressed</t>
        </is>
      </c>
    </row>
    <row r="80">
      <c r="A80" s="8" t="inlineStr">
        <is>
          <t>DT</t>
        </is>
      </c>
      <c r="B80" s="16" t="inlineStr">
        <is>
          <t>Dynatrace, Inc.</t>
        </is>
      </c>
      <c r="C80" s="16" t="inlineStr">
        <is>
          <t>Technology</t>
        </is>
      </c>
      <c r="D80" s="16" t="n">
        <v>17175</v>
      </c>
      <c r="E80" s="16" t="n">
        <v>6.25</v>
      </c>
      <c r="F80" s="16" t="n">
        <v>116.3</v>
      </c>
      <c r="G80" s="16" t="n">
        <v>53.3</v>
      </c>
      <c r="H80" s="16" t="inlineStr">
        <is>
          <t>3%</t>
        </is>
      </c>
      <c r="I80" s="16" t="inlineStr">
        <is>
          <t>6%</t>
        </is>
      </c>
      <c r="J80" s="16" t="n">
        <v>-2.9</v>
      </c>
      <c r="K80" s="16" t="inlineStr">
        <is>
          <t>19%</t>
        </is>
      </c>
      <c r="L80" s="16" t="inlineStr">
        <is>
          <t>13%</t>
        </is>
      </c>
      <c r="M80" s="16" t="inlineStr">
        <is>
          <t>6%</t>
        </is>
      </c>
      <c r="N80" s="16" t="inlineStr">
        <is>
          <t>1%</t>
        </is>
      </c>
      <c r="O80" s="16" t="n">
        <v>0</v>
      </c>
      <c r="P80" s="16" t="inlineStr">
        <is>
          <t>99%</t>
        </is>
      </c>
      <c r="Q80" s="16" t="n">
        <v>358765</v>
      </c>
      <c r="R80" s="16" t="inlineStr">
        <is>
          <t>P/B 6.25 · EV/EBITDA 53.3× · FCF yld 3% · net cash 6% of mcap · rev +19% · op margin 13%</t>
        </is>
      </c>
      <c r="S80" s="16" t="inlineStr"/>
      <c r="T80" s="16" t="inlineStr">
        <is>
          <t>Caution List, Incentive Improvers</t>
        </is>
      </c>
    </row>
    <row r="81">
      <c r="A81" s="6" t="inlineStr">
        <is>
          <t>ARQ</t>
        </is>
      </c>
      <c r="B81" s="14" t="inlineStr">
        <is>
          <t>Arq, Inc.</t>
        </is>
      </c>
      <c r="C81" s="14" t="inlineStr">
        <is>
          <t>Industrials</t>
        </is>
      </c>
      <c r="D81" s="14" t="n">
        <v>87</v>
      </c>
      <c r="E81" s="14" t="n">
        <v>0.52</v>
      </c>
      <c r="F81" s="14" t="n">
        <v>-1.6</v>
      </c>
      <c r="G81" s="14" t="n">
        <v>-2.7</v>
      </c>
      <c r="H81" s="14" t="inlineStr">
        <is>
          <t>-6%</t>
        </is>
      </c>
      <c r="I81" s="14" t="inlineStr">
        <is>
          <t>-19%</t>
        </is>
      </c>
      <c r="J81" s="14" t="n">
        <v>-0.4</v>
      </c>
      <c r="K81" s="14" t="inlineStr">
        <is>
          <t>5%</t>
        </is>
      </c>
      <c r="L81" s="14" t="inlineStr">
        <is>
          <t>-7%</t>
        </is>
      </c>
      <c r="M81" s="14" t="inlineStr">
        <is>
          <t>-29%</t>
        </is>
      </c>
      <c r="N81" s="14" t="inlineStr">
        <is>
          <t>1%</t>
        </is>
      </c>
      <c r="O81" s="14" t="n">
        <v>-7.1</v>
      </c>
      <c r="P81" s="14" t="inlineStr">
        <is>
          <t>8%</t>
        </is>
      </c>
      <c r="Q81" s="14" t="n">
        <v>592</v>
      </c>
      <c r="R81" s="14" t="inlineStr">
        <is>
          <t>P/B 0.52 · P/S 0.7 · FCF yld -6% · net debt 19% of mcap · rev +5% · op margin -7% · interest cover -7.1× ⚠</t>
        </is>
      </c>
      <c r="S81" s="14" t="inlineStr"/>
      <c r="T81" s="14" t="inlineStr">
        <is>
          <t>Caution List, Turnaround Signal</t>
        </is>
      </c>
    </row>
    <row r="82">
      <c r="A82" s="8" t="inlineStr">
        <is>
          <t>NXST</t>
        </is>
      </c>
      <c r="B82" s="16" t="inlineStr">
        <is>
          <t>Nexstar Media Group, I</t>
        </is>
      </c>
      <c r="C82" s="16" t="inlineStr">
        <is>
          <t xml:space="preserve">Communication </t>
        </is>
      </c>
      <c r="D82" s="16" t="n">
        <v>5081</v>
      </c>
      <c r="E82" s="16" t="n">
        <v>2.24</v>
      </c>
      <c r="F82" s="16" t="n">
        <v>29.5</v>
      </c>
      <c r="G82" s="16" t="n">
        <v>9.300000000000001</v>
      </c>
      <c r="H82" s="16" t="inlineStr">
        <is>
          <t>15%</t>
        </is>
      </c>
      <c r="I82" s="16" t="inlineStr">
        <is>
          <t>-234%</t>
        </is>
      </c>
      <c r="J82" s="16" t="n">
        <v>6.5</v>
      </c>
      <c r="K82" s="16" t="inlineStr">
        <is>
          <t>31%</t>
        </is>
      </c>
      <c r="L82" s="16" t="inlineStr">
        <is>
          <t>15%</t>
        </is>
      </c>
      <c r="M82" s="16" t="inlineStr">
        <is>
          <t>9%</t>
        </is>
      </c>
      <c r="N82" s="16" t="inlineStr">
        <is>
          <t>1%</t>
        </is>
      </c>
      <c r="O82" s="16" t="n">
        <v>2.1</v>
      </c>
      <c r="P82" s="16" t="inlineStr">
        <is>
          <t>12%</t>
        </is>
      </c>
      <c r="Q82" s="16" t="n">
        <v>64322</v>
      </c>
      <c r="R82" s="16" t="inlineStr">
        <is>
          <t>P/B 2.24 · EV/EBITDA 9.3× · FCF yld 15% · net debt 234% of mcap · rev +31% · op margin 15%</t>
        </is>
      </c>
      <c r="S82" s="16" t="inlineStr"/>
      <c r="T82" s="16" t="inlineStr">
        <is>
          <t>Caution List, Hidden Asset Realisation</t>
        </is>
      </c>
    </row>
    <row r="83">
      <c r="A83" s="6" t="inlineStr">
        <is>
          <t>PLAY</t>
        </is>
      </c>
      <c r="B83" s="14" t="inlineStr">
        <is>
          <t>Dave &amp; Buster's Entert</t>
        </is>
      </c>
      <c r="C83" s="14" t="inlineStr">
        <is>
          <t>Consumer Cycli</t>
        </is>
      </c>
      <c r="D83" s="14" t="n">
        <v>240</v>
      </c>
      <c r="E83" s="14" t="n">
        <v>2.72</v>
      </c>
      <c r="F83" s="14" t="n">
        <v>-2.7</v>
      </c>
      <c r="G83" s="14" t="n">
        <v>11.1</v>
      </c>
      <c r="H83" s="14" t="inlineStr">
        <is>
          <t>-7%</t>
        </is>
      </c>
      <c r="I83" s="14" t="inlineStr">
        <is>
          <t>-1490%</t>
        </is>
      </c>
      <c r="J83" s="14" t="n">
        <v>10.4</v>
      </c>
      <c r="K83" s="14" t="inlineStr">
        <is>
          <t>-1%</t>
        </is>
      </c>
      <c r="L83" s="14" t="inlineStr">
        <is>
          <t>3%</t>
        </is>
      </c>
      <c r="M83" s="14" t="inlineStr">
        <is>
          <t>-87%</t>
        </is>
      </c>
      <c r="N83" s="14" t="inlineStr">
        <is>
          <t>-1%</t>
        </is>
      </c>
      <c r="O83" s="14" t="n">
        <v>0.4</v>
      </c>
      <c r="P83" s="14" t="inlineStr">
        <is>
          <t>3%</t>
        </is>
      </c>
      <c r="Q83" s="14" t="n">
        <v>13895</v>
      </c>
      <c r="R83" s="14" t="inlineStr">
        <is>
          <t>P/B 2.72 · EV/EBITDA 11.1× · FCF yld -7% · net debt 1490% of mcap · rev -1% · op margin 3% · interest cover 0.4× ⚠</t>
        </is>
      </c>
      <c r="S83" s="14" t="inlineStr"/>
      <c r="T83" s="14" t="inlineStr">
        <is>
          <t>Caution List, Single-Measure Best</t>
        </is>
      </c>
    </row>
    <row r="84">
      <c r="A84" s="8" t="inlineStr">
        <is>
          <t>INFU</t>
        </is>
      </c>
      <c r="B84" s="16" t="inlineStr">
        <is>
          <t>InfuSystem Holdings, I</t>
        </is>
      </c>
      <c r="C84" s="16" t="inlineStr">
        <is>
          <t>Healthcare</t>
        </is>
      </c>
      <c r="D84" s="16" t="n">
        <v>261</v>
      </c>
      <c r="E84" s="16" t="n">
        <v>4.41</v>
      </c>
      <c r="F84" s="16" t="n">
        <v>30.1</v>
      </c>
      <c r="G84" s="16" t="n">
        <v>12.2</v>
      </c>
      <c r="H84" s="16" t="inlineStr">
        <is>
          <t>7%</t>
        </is>
      </c>
      <c r="I84" s="16" t="inlineStr">
        <is>
          <t>-9%</t>
        </is>
      </c>
      <c r="J84" s="16" t="n">
        <v>1</v>
      </c>
      <c r="K84" s="16" t="inlineStr">
        <is>
          <t>2%</t>
        </is>
      </c>
      <c r="L84" s="16" t="inlineStr">
        <is>
          <t>9%</t>
        </is>
      </c>
      <c r="M84" s="16" t="inlineStr">
        <is>
          <t>15%</t>
        </is>
      </c>
      <c r="N84" s="16" t="inlineStr">
        <is>
          <t>-1%</t>
        </is>
      </c>
      <c r="O84" s="16" t="n">
        <v>18.4</v>
      </c>
      <c r="P84" s="16" t="inlineStr">
        <is>
          <t>95%</t>
        </is>
      </c>
      <c r="Q84" s="16" t="n">
        <v>2421</v>
      </c>
      <c r="R84" s="16" t="inlineStr">
        <is>
          <t>P/B 4.41 · EV/EBITDA 12.2× · FCF yld 7% · net debt 9% of mcap · rev +2% · op margin 9%</t>
        </is>
      </c>
      <c r="S84" s="16" t="inlineStr"/>
      <c r="T84" s="16" t="inlineStr">
        <is>
          <t>Caution List, Insider Conviction</t>
        </is>
      </c>
    </row>
    <row r="85">
      <c r="A85" s="6" t="inlineStr">
        <is>
          <t>TBI</t>
        </is>
      </c>
      <c r="B85" s="14" t="inlineStr">
        <is>
          <t>TrueBlue, Inc.</t>
        </is>
      </c>
      <c r="C85" s="14" t="inlineStr">
        <is>
          <t>Industrials</t>
        </is>
      </c>
      <c r="D85" s="14" t="n">
        <v>298</v>
      </c>
      <c r="E85" s="14" t="n">
        <v>1.17</v>
      </c>
      <c r="F85" s="14" t="n">
        <v>-5.2</v>
      </c>
      <c r="G85" s="14" t="n">
        <v>-14</v>
      </c>
      <c r="H85" s="14" t="inlineStr">
        <is>
          <t>-23%</t>
        </is>
      </c>
      <c r="I85" s="14" t="inlineStr">
        <is>
          <t>-39%</t>
        </is>
      </c>
      <c r="J85" s="14" t="n">
        <v>-3.9</v>
      </c>
      <c r="K85" s="14" t="inlineStr">
        <is>
          <t>10%</t>
        </is>
      </c>
      <c r="L85" s="14" t="inlineStr">
        <is>
          <t>-1%</t>
        </is>
      </c>
      <c r="M85" s="14" t="inlineStr">
        <is>
          <t>-21%</t>
        </is>
      </c>
      <c r="N85" s="14" t="inlineStr">
        <is>
          <t>2%</t>
        </is>
      </c>
      <c r="O85" s="14" t="n">
        <v>-10.3</v>
      </c>
      <c r="P85" s="14" t="inlineStr">
        <is>
          <t>84%</t>
        </is>
      </c>
      <c r="Q85" s="14" t="n">
        <v>3138</v>
      </c>
      <c r="R85" s="14" t="inlineStr">
        <is>
          <t>P/B 1.17 · P/S 0.2 · FCF yld -23% · net debt 39% of mcap · rev +10% · op margin -1% · interest cover -10.3× ⚠</t>
        </is>
      </c>
      <c r="S85" s="14" t="inlineStr"/>
      <c r="T85" s="14" t="inlineStr">
        <is>
          <t>Caution List, MD&amp;A Intent</t>
        </is>
      </c>
    </row>
    <row r="86">
      <c r="A86" s="8" t="inlineStr">
        <is>
          <t>MERC</t>
        </is>
      </c>
      <c r="B86" s="16" t="inlineStr">
        <is>
          <t>Mercer International I</t>
        </is>
      </c>
      <c r="C86" s="16" t="inlineStr">
        <is>
          <t>Basic Material</t>
        </is>
      </c>
      <c r="D86" s="16" t="n">
        <v>21</v>
      </c>
      <c r="E86" s="16" t="n"/>
      <c r="F86" s="16" t="n">
        <v>-0</v>
      </c>
      <c r="G86" s="16" t="n">
        <v>-4.7</v>
      </c>
      <c r="H86" s="16" t="n"/>
      <c r="I86" s="16" t="n"/>
      <c r="J86" s="16" t="n">
        <v>-4.6</v>
      </c>
      <c r="K86" s="16" t="inlineStr">
        <is>
          <t>-5%</t>
        </is>
      </c>
      <c r="L86" s="16" t="inlineStr">
        <is>
          <t>-12%</t>
        </is>
      </c>
      <c r="M86" s="16" t="inlineStr">
        <is>
          <t>-639%</t>
        </is>
      </c>
      <c r="N86" s="16" t="inlineStr">
        <is>
          <t>0%</t>
        </is>
      </c>
      <c r="O86" s="16" t="n">
        <v>-3.7</v>
      </c>
      <c r="P86" s="16" t="inlineStr">
        <is>
          <t>0%</t>
        </is>
      </c>
      <c r="Q86" s="16" t="n">
        <v>759</v>
      </c>
      <c r="R86" s="16" t="inlineStr">
        <is>
          <t>P/S 0.0 · rev -5% · op margin -12%</t>
        </is>
      </c>
      <c r="S86" s="16" t="inlineStr">
        <is>
          <t>negative equity; FCF yield &gt;100% (check)</t>
        </is>
      </c>
      <c r="T86" s="16" t="inlineStr">
        <is>
          <t>Caution List, Insider Filing-Time</t>
        </is>
      </c>
    </row>
    <row r="87">
      <c r="A87" s="6" t="inlineStr">
        <is>
          <t>FTV</t>
        </is>
      </c>
      <c r="B87" s="14" t="inlineStr">
        <is>
          <t>Fortive Corporation</t>
        </is>
      </c>
      <c r="C87" s="14" t="inlineStr">
        <is>
          <t>Technology</t>
        </is>
      </c>
      <c r="D87" s="14" t="n">
        <v>16979</v>
      </c>
      <c r="E87" s="14" t="n">
        <v>2.8</v>
      </c>
      <c r="F87" s="14" t="n">
        <v>32.6</v>
      </c>
      <c r="G87" s="14" t="n">
        <v>18.7</v>
      </c>
      <c r="H87" s="14" t="inlineStr">
        <is>
          <t>6%</t>
        </is>
      </c>
      <c r="I87" s="14" t="inlineStr">
        <is>
          <t>-18%</t>
        </is>
      </c>
      <c r="J87" s="14" t="n">
        <v>2.9</v>
      </c>
      <c r="K87" s="14" t="inlineStr">
        <is>
          <t>-30%</t>
        </is>
      </c>
      <c r="L87" s="14" t="inlineStr">
        <is>
          <t>18%</t>
        </is>
      </c>
      <c r="M87" s="14" t="inlineStr">
        <is>
          <t>9%</t>
        </is>
      </c>
      <c r="N87" s="14" t="inlineStr">
        <is>
          <t>-10%</t>
        </is>
      </c>
      <c r="O87" s="14" t="n">
        <v>6.4</v>
      </c>
      <c r="P87" s="14" t="inlineStr">
        <is>
          <t>52%</t>
        </is>
      </c>
      <c r="Q87" s="14" t="n">
        <v>154982</v>
      </c>
      <c r="R87" s="14" t="inlineStr">
        <is>
          <t>P/B 2.80 · EV/EBITDA 18.7× · FCF yld 6% · net debt 18% of mcap · rev -30% · op margin 18% · buying back 10%/yr</t>
        </is>
      </c>
      <c r="S87" s="14" t="inlineStr"/>
      <c r="T87" s="14" t="inlineStr">
        <is>
          <t>Incentive Improvers, PSU Plans</t>
        </is>
      </c>
    </row>
    <row r="88">
      <c r="A88" s="8" t="inlineStr">
        <is>
          <t>FSLY</t>
        </is>
      </c>
      <c r="B88" s="16" t="inlineStr">
        <is>
          <t>Fastly, Inc.</t>
        </is>
      </c>
      <c r="C88" s="16" t="inlineStr">
        <is>
          <t>Technology</t>
        </is>
      </c>
      <c r="D88" s="16" t="n">
        <v>3890</v>
      </c>
      <c r="E88" s="16" t="n">
        <v>3.93</v>
      </c>
      <c r="F88" s="16" t="n">
        <v>-57.8</v>
      </c>
      <c r="G88" s="16" t="n">
        <v>-1193.2</v>
      </c>
      <c r="H88" s="16" t="inlineStr">
        <is>
          <t>1%</t>
        </is>
      </c>
      <c r="I88" s="16" t="inlineStr">
        <is>
          <t>-2%</t>
        </is>
      </c>
      <c r="J88" s="16" t="n">
        <v>-73.8</v>
      </c>
      <c r="K88" s="16" t="inlineStr">
        <is>
          <t>20%</t>
        </is>
      </c>
      <c r="L88" s="16" t="inlineStr">
        <is>
          <t>-12%</t>
        </is>
      </c>
      <c r="M88" s="16" t="inlineStr">
        <is>
          <t>-8%</t>
        </is>
      </c>
      <c r="N88" s="16" t="inlineStr">
        <is>
          <t>8%</t>
        </is>
      </c>
      <c r="O88" s="16" t="n">
        <v>-6.3</v>
      </c>
      <c r="P88" s="16" t="inlineStr">
        <is>
          <t>63%</t>
        </is>
      </c>
      <c r="Q88" s="16" t="n">
        <v>153176</v>
      </c>
      <c r="R88" s="16" t="inlineStr">
        <is>
          <t>P/B 3.93 · P/S 7.0 · FCF yld 1% · net debt 2% of mcap · rev +20% · op margin -12% · diluting 8%/yr</t>
        </is>
      </c>
      <c r="S88" s="16" t="inlineStr"/>
      <c r="T88" s="16" t="inlineStr">
        <is>
          <t>Incentive Improvers, Distressed Stub Progress</t>
        </is>
      </c>
    </row>
    <row r="89">
      <c r="A89" s="6" t="inlineStr">
        <is>
          <t>GFF</t>
        </is>
      </c>
      <c r="B89" s="14" t="inlineStr">
        <is>
          <t>Griffon Corporation</t>
        </is>
      </c>
      <c r="C89" s="14" t="inlineStr">
        <is>
          <t>Basic Material</t>
        </is>
      </c>
      <c r="D89" s="14" t="n">
        <v>4434</v>
      </c>
      <c r="E89" s="14" t="n">
        <v>34.33</v>
      </c>
      <c r="F89" s="14" t="n">
        <v>21.5</v>
      </c>
      <c r="G89" s="14" t="n">
        <v>11.6</v>
      </c>
      <c r="H89" s="14" t="inlineStr">
        <is>
          <t>6%</t>
        </is>
      </c>
      <c r="I89" s="14" t="inlineStr">
        <is>
          <t>-28%</t>
        </is>
      </c>
      <c r="J89" s="14" t="n">
        <v>2.5</v>
      </c>
      <c r="K89" s="14" t="inlineStr">
        <is>
          <t>-8%</t>
        </is>
      </c>
      <c r="L89" s="14" t="inlineStr">
        <is>
          <t>20%</t>
        </is>
      </c>
      <c r="M89" s="14" t="inlineStr">
        <is>
          <t>198%</t>
        </is>
      </c>
      <c r="N89" s="14" t="inlineStr">
        <is>
          <t>-3%</t>
        </is>
      </c>
      <c r="O89" s="14" t="n">
        <v>4.9</v>
      </c>
      <c r="P89" s="14" t="inlineStr">
        <is>
          <t>73%</t>
        </is>
      </c>
      <c r="Q89" s="14" t="n">
        <v>33744</v>
      </c>
      <c r="R89" s="14" t="inlineStr">
        <is>
          <t>P/B 34.33 · EV/EBITDA 11.6× · FCF yld 6% · net debt 28% of mcap · rev -8% · op margin 20% · buying back 3%/yr</t>
        </is>
      </c>
      <c r="S89" s="14" t="inlineStr"/>
      <c r="T89" s="14" t="inlineStr">
        <is>
          <t>Incentive Improvers, Single-Measure Best</t>
        </is>
      </c>
    </row>
    <row r="90">
      <c r="A90" s="8" t="inlineStr">
        <is>
          <t>COUR</t>
        </is>
      </c>
      <c r="B90" s="16" t="inlineStr">
        <is>
          <t>Coursera, Inc.</t>
        </is>
      </c>
      <c r="C90" s="16" t="inlineStr">
        <is>
          <t>Consumer Defen</t>
        </is>
      </c>
      <c r="D90" s="16" t="n">
        <v>941</v>
      </c>
      <c r="E90" s="16" t="n">
        <v>0.8100000000000001</v>
      </c>
      <c r="F90" s="16" t="n">
        <v>-7.2</v>
      </c>
      <c r="G90" s="16" t="n">
        <v>-0.6</v>
      </c>
      <c r="H90" s="16" t="inlineStr">
        <is>
          <t>3%</t>
        </is>
      </c>
      <c r="I90" s="16" t="inlineStr">
        <is>
          <t>103%</t>
        </is>
      </c>
      <c r="J90" s="16" t="n">
        <v>6.7</v>
      </c>
      <c r="K90" s="16" t="inlineStr">
        <is>
          <t>23%</t>
        </is>
      </c>
      <c r="L90" s="16" t="inlineStr">
        <is>
          <t>-18%</t>
        </is>
      </c>
      <c r="M90" s="16" t="inlineStr">
        <is>
          <t>-18%</t>
        </is>
      </c>
      <c r="N90" s="16" t="inlineStr">
        <is>
          <t>24%</t>
        </is>
      </c>
      <c r="O90" s="16" t="n">
        <v>0</v>
      </c>
      <c r="P90" s="16" t="inlineStr">
        <is>
          <t>2%</t>
        </is>
      </c>
      <c r="Q90" s="16" t="n">
        <v>33116</v>
      </c>
      <c r="R90" s="16" t="inlineStr">
        <is>
          <t>P/B 0.81 · P/S 1.1 · FCF yld 3% · net cash 103% of mcap · rev +23% · op margin -18% · diluting 24%/yr</t>
        </is>
      </c>
      <c r="S90" s="16" t="inlineStr"/>
      <c r="T90" s="16" t="inlineStr">
        <is>
          <t>Incentive Improvers, MD&amp;A Intent</t>
        </is>
      </c>
    </row>
    <row r="91">
      <c r="A91" s="6" t="inlineStr">
        <is>
          <t>BILL</t>
        </is>
      </c>
      <c r="B91" s="14" t="inlineStr">
        <is>
          <t>Bill.com Holdings, Inc</t>
        </is>
      </c>
      <c r="C91" s="14" t="inlineStr">
        <is>
          <t>Technology</t>
        </is>
      </c>
      <c r="D91" s="14" t="n">
        <v>4621</v>
      </c>
      <c r="E91" s="14" t="n">
        <v>1.22</v>
      </c>
      <c r="F91" s="14" t="n">
        <v>-401.4</v>
      </c>
      <c r="G91" s="14" t="n">
        <v>43.4</v>
      </c>
      <c r="H91" s="14" t="inlineStr">
        <is>
          <t>10%</t>
        </is>
      </c>
      <c r="I91" s="14" t="inlineStr">
        <is>
          <t>6%</t>
        </is>
      </c>
      <c r="J91" s="14" t="n">
        <v>6.9</v>
      </c>
      <c r="K91" s="14" t="inlineStr">
        <is>
          <t>12%</t>
        </is>
      </c>
      <c r="L91" s="14" t="inlineStr">
        <is>
          <t>1%</t>
        </is>
      </c>
      <c r="M91" s="14" t="inlineStr">
        <is>
          <t>-0%</t>
        </is>
      </c>
      <c r="N91" s="14" t="inlineStr">
        <is>
          <t>-3%</t>
        </is>
      </c>
      <c r="O91" s="14" t="n">
        <v>0.7</v>
      </c>
      <c r="P91" s="14" t="inlineStr">
        <is>
          <t>58%</t>
        </is>
      </c>
      <c r="Q91" s="14" t="n">
        <v>115604</v>
      </c>
      <c r="R91" s="14" t="inlineStr">
        <is>
          <t>P/B 1.22 · EV/EBITDA 43.4× · FCF yld 10% · net cash 6% of mcap · rev +12% · op margin 1% · buying back 3%/yr</t>
        </is>
      </c>
      <c r="S91" s="14" t="inlineStr"/>
      <c r="T91" s="14" t="inlineStr">
        <is>
          <t>Incentive Improvers, Call Intent</t>
        </is>
      </c>
    </row>
    <row r="92">
      <c r="A92" s="8" t="inlineStr">
        <is>
          <t>COHR</t>
        </is>
      </c>
      <c r="B92" s="16" t="inlineStr">
        <is>
          <t>Coherent, Inc.</t>
        </is>
      </c>
      <c r="C92" s="16" t="inlineStr">
        <is>
          <t>Technology</t>
        </is>
      </c>
      <c r="D92" s="16" t="n">
        <v>59318</v>
      </c>
      <c r="E92" s="16" t="n">
        <v>5.56</v>
      </c>
      <c r="F92" s="16" t="n">
        <v>69</v>
      </c>
      <c r="G92" s="16" t="n">
        <v>39.2</v>
      </c>
      <c r="H92" s="16" t="inlineStr">
        <is>
          <t>-2%</t>
        </is>
      </c>
      <c r="I92" s="16" t="inlineStr">
        <is>
          <t>-2%</t>
        </is>
      </c>
      <c r="J92" s="16" t="n">
        <v>1.5</v>
      </c>
      <c r="K92" s="16" t="inlineStr">
        <is>
          <t>19%</t>
        </is>
      </c>
      <c r="L92" s="16" t="inlineStr">
        <is>
          <t>12%</t>
        </is>
      </c>
      <c r="M92" s="16" t="inlineStr">
        <is>
          <t>8%</t>
        </is>
      </c>
      <c r="N92" s="16" t="inlineStr">
        <is>
          <t>20%</t>
        </is>
      </c>
      <c r="O92" s="16" t="n">
        <v>4.5</v>
      </c>
      <c r="P92" s="16" t="inlineStr">
        <is>
          <t>60%</t>
        </is>
      </c>
      <c r="Q92" s="16" t="n">
        <v>1859805</v>
      </c>
      <c r="R92" s="16" t="inlineStr">
        <is>
          <t>P/B 5.56 · EV/EBITDA 39.2× · FCF yld -2% · net debt 2% of mcap · rev +19% · op margin 12% · diluting 20%/yr</t>
        </is>
      </c>
      <c r="S92" s="16" t="inlineStr"/>
      <c r="T92" s="16" t="inlineStr">
        <is>
          <t>Incentive Improvers, Political Trades</t>
        </is>
      </c>
    </row>
    <row r="93">
      <c r="A93" s="6" t="inlineStr">
        <is>
          <t>ONIT</t>
        </is>
      </c>
      <c r="B93" s="14" t="inlineStr">
        <is>
          <t>Onity Group Inc.</t>
        </is>
      </c>
      <c r="C93" s="14" t="inlineStr">
        <is>
          <t>Financial Serv</t>
        </is>
      </c>
      <c r="D93" s="14" t="n">
        <v>266</v>
      </c>
      <c r="E93" s="14" t="n">
        <v>0.4</v>
      </c>
      <c r="F93" s="14" t="n">
        <v>1.9</v>
      </c>
      <c r="G93" s="14" t="n">
        <v>32</v>
      </c>
      <c r="H93" s="14" t="n"/>
      <c r="I93" s="14" t="inlineStr">
        <is>
          <t>-4005%</t>
        </is>
      </c>
      <c r="J93" s="14" t="n">
        <v>31.2</v>
      </c>
      <c r="K93" s="14" t="inlineStr">
        <is>
          <t>10%</t>
        </is>
      </c>
      <c r="L93" s="14" t="inlineStr">
        <is>
          <t>27%</t>
        </is>
      </c>
      <c r="M93" s="14" t="inlineStr">
        <is>
          <t>23%</t>
        </is>
      </c>
      <c r="N93" s="14" t="inlineStr">
        <is>
          <t>-1%</t>
        </is>
      </c>
      <c r="O93" s="14" t="n">
        <v>0.6</v>
      </c>
      <c r="P93" s="14" t="inlineStr">
        <is>
          <t>1%</t>
        </is>
      </c>
      <c r="Q93" s="14" t="n">
        <v>2158</v>
      </c>
      <c r="R93" s="14" t="inlineStr">
        <is>
          <t>P/B 0.40 · P/E 1.9 · ROE 23% (financial: book/earnings basis)</t>
        </is>
      </c>
      <c r="S93" s="14" t="inlineStr">
        <is>
          <t>FCF yield &gt;100% (check)</t>
        </is>
      </c>
      <c r="T93" s="14" t="inlineStr">
        <is>
          <t>Incentive Improvers, Governance Discount</t>
        </is>
      </c>
    </row>
    <row r="94">
      <c r="A94" s="8" t="inlineStr">
        <is>
          <t>A</t>
        </is>
      </c>
      <c r="B94" s="16" t="inlineStr">
        <is>
          <t xml:space="preserve">Agilent Technologies, </t>
        </is>
      </c>
      <c r="C94" s="16" t="inlineStr">
        <is>
          <t>Healthcare</t>
        </is>
      </c>
      <c r="D94" s="16" t="n">
        <v>46839</v>
      </c>
      <c r="E94" s="16" t="n">
        <v>6.36</v>
      </c>
      <c r="F94" s="16" t="n">
        <v>32.1</v>
      </c>
      <c r="G94" s="16" t="n">
        <v>24.7</v>
      </c>
      <c r="H94" s="16" t="inlineStr">
        <is>
          <t>3%</t>
        </is>
      </c>
      <c r="I94" s="16" t="inlineStr">
        <is>
          <t>-5%</t>
        </is>
      </c>
      <c r="J94" s="16" t="n">
        <v>1.1</v>
      </c>
      <c r="K94" s="16" t="inlineStr">
        <is>
          <t>9%</t>
        </is>
      </c>
      <c r="L94" s="16" t="inlineStr">
        <is>
          <t>22%</t>
        </is>
      </c>
      <c r="M94" s="16" t="inlineStr">
        <is>
          <t>20%</t>
        </is>
      </c>
      <c r="N94" s="16" t="inlineStr">
        <is>
          <t>-0%</t>
        </is>
      </c>
      <c r="O94" s="16" t="n">
        <v>15.5</v>
      </c>
      <c r="P94" s="16" t="inlineStr">
        <is>
          <t>95%</t>
        </is>
      </c>
      <c r="Q94" s="16" t="n">
        <v>387486</v>
      </c>
      <c r="R94" s="16" t="inlineStr">
        <is>
          <t>P/B 6.36 · EV/EBITDA 24.7× · FCF yld 3% · net debt 5% of mcap · rev +9% · op margin 22%</t>
        </is>
      </c>
      <c r="S94" s="16" t="inlineStr"/>
      <c r="T94" s="16" t="inlineStr">
        <is>
          <t>Incentive Improvers, Single-Measure Best</t>
        </is>
      </c>
    </row>
    <row r="95">
      <c r="A95" s="6" t="inlineStr">
        <is>
          <t>CNC</t>
        </is>
      </c>
      <c r="B95" s="14" t="inlineStr">
        <is>
          <t>Centene Corp.</t>
        </is>
      </c>
      <c r="C95" s="14" t="inlineStr">
        <is>
          <t>Healthcare</t>
        </is>
      </c>
      <c r="D95" s="14" t="n">
        <v>30964</v>
      </c>
      <c r="E95" s="14" t="n">
        <v>1.37</v>
      </c>
      <c r="F95" s="14" t="n">
        <v>-6</v>
      </c>
      <c r="G95" s="14" t="n">
        <v>-7.8</v>
      </c>
      <c r="H95" s="14" t="inlineStr">
        <is>
          <t>29%</t>
        </is>
      </c>
      <c r="I95" s="14" t="inlineStr">
        <is>
          <t>35%</t>
        </is>
      </c>
      <c r="J95" s="14" t="n">
        <v>2.8</v>
      </c>
      <c r="K95" s="14" t="inlineStr">
        <is>
          <t>9%</t>
        </is>
      </c>
      <c r="L95" s="14" t="inlineStr">
        <is>
          <t>-3%</t>
        </is>
      </c>
      <c r="M95" s="14" t="inlineStr">
        <is>
          <t>-24%</t>
        </is>
      </c>
      <c r="N95" s="14" t="inlineStr">
        <is>
          <t>1%</t>
        </is>
      </c>
      <c r="O95" s="14" t="n">
        <v>-8.300000000000001</v>
      </c>
      <c r="P95" s="14" t="inlineStr">
        <is>
          <t>82%</t>
        </is>
      </c>
      <c r="Q95" s="14" t="n">
        <v>303567</v>
      </c>
      <c r="R95" s="14" t="inlineStr">
        <is>
          <t>P/B 1.37 · P/S 0.2 · FCF yld 29% · net cash 35% of mcap · rev +9% · op margin -3%</t>
        </is>
      </c>
      <c r="S95" s="14" t="inlineStr"/>
      <c r="T95" s="14" t="inlineStr">
        <is>
          <t>Incentive Improvers, Single-Measure Best</t>
        </is>
      </c>
    </row>
    <row r="96">
      <c r="A96" s="8" t="inlineStr">
        <is>
          <t>KKR</t>
        </is>
      </c>
      <c r="B96" s="16" t="inlineStr">
        <is>
          <t>KKR &amp; Co. Inc.</t>
        </is>
      </c>
      <c r="C96" s="16" t="inlineStr">
        <is>
          <t>Financial Serv</t>
        </is>
      </c>
      <c r="D96" s="16" t="n">
        <v>87345</v>
      </c>
      <c r="E96" s="16" t="n">
        <v>2.81</v>
      </c>
      <c r="F96" s="16" t="n">
        <v>28.8</v>
      </c>
      <c r="G96" s="16" t="n">
        <v>13.1</v>
      </c>
      <c r="H96" s="16" t="inlineStr">
        <is>
          <t>3%</t>
        </is>
      </c>
      <c r="I96" s="16" t="inlineStr">
        <is>
          <t>-46%</t>
        </is>
      </c>
      <c r="J96" s="16" t="n">
        <v>4.1</v>
      </c>
      <c r="K96" s="16" t="inlineStr">
        <is>
          <t>32%</t>
        </is>
      </c>
      <c r="L96" s="16" t="inlineStr">
        <is>
          <t>8%</t>
        </is>
      </c>
      <c r="M96" s="16" t="inlineStr">
        <is>
          <t>10%</t>
        </is>
      </c>
      <c r="N96" s="16" t="inlineStr">
        <is>
          <t>-1%</t>
        </is>
      </c>
      <c r="O96" s="16" t="n">
        <v>0.5</v>
      </c>
      <c r="P96" s="16" t="inlineStr">
        <is>
          <t>22%</t>
        </is>
      </c>
      <c r="Q96" s="16" t="n">
        <v>423796</v>
      </c>
      <c r="R96" s="16" t="inlineStr">
        <is>
          <t>P/B 2.81 · P/E 28.8 · ROE 10% · div yld 0.8% (financial: book/earnings basis)</t>
        </is>
      </c>
      <c r="S96" s="16" t="inlineStr"/>
      <c r="T96" s="16" t="inlineStr">
        <is>
          <t>Insider Conviction, Single-Measure Best</t>
        </is>
      </c>
    </row>
    <row r="97">
      <c r="A97" s="6" t="inlineStr">
        <is>
          <t>TKO</t>
        </is>
      </c>
      <c r="B97" s="14" t="inlineStr">
        <is>
          <t>TKO Group Holdings, In</t>
        </is>
      </c>
      <c r="C97" s="14" t="inlineStr">
        <is>
          <t xml:space="preserve">Communication </t>
        </is>
      </c>
      <c r="D97" s="14" t="n">
        <v>14216</v>
      </c>
      <c r="E97" s="14" t="n"/>
      <c r="F97" s="14" t="n">
        <v>62.8</v>
      </c>
      <c r="G97" s="14" t="n">
        <v>11.5</v>
      </c>
      <c r="H97" s="14" t="inlineStr">
        <is>
          <t>12%</t>
        </is>
      </c>
      <c r="I97" s="14" t="n"/>
      <c r="J97" s="14" t="n">
        <v>2.2</v>
      </c>
      <c r="K97" s="14" t="inlineStr">
        <is>
          <t>11%</t>
        </is>
      </c>
      <c r="L97" s="14" t="inlineStr">
        <is>
          <t>20%</t>
        </is>
      </c>
      <c r="M97" s="14" t="inlineStr">
        <is>
          <t>6%</t>
        </is>
      </c>
      <c r="N97" s="14" t="inlineStr">
        <is>
          <t>-2%</t>
        </is>
      </c>
      <c r="O97" s="14" t="n">
        <v>8.800000000000001</v>
      </c>
      <c r="P97" s="14" t="inlineStr">
        <is>
          <t>27%</t>
        </is>
      </c>
      <c r="Q97" s="14" t="n">
        <v>245349</v>
      </c>
      <c r="R97" s="14" t="inlineStr">
        <is>
          <t>EV/EBITDA 11.5× · FCF yld 12% · rev +11% · op margin 20% · buying back 2%/yr</t>
        </is>
      </c>
      <c r="S97" s="14" t="inlineStr">
        <is>
          <t>market-cap/share data inconsistent</t>
        </is>
      </c>
      <c r="T97" s="14" t="inlineStr">
        <is>
          <t>Insider Conviction, Insider Filing-Time</t>
        </is>
      </c>
    </row>
    <row r="98">
      <c r="A98" s="8" t="inlineStr">
        <is>
          <t>ODTX</t>
        </is>
      </c>
      <c r="B98" s="16" t="inlineStr">
        <is>
          <t xml:space="preserve">Odyssey Therapeutics, </t>
        </is>
      </c>
      <c r="C98" s="16" t="inlineStr">
        <is>
          <t>Healthcare</t>
        </is>
      </c>
      <c r="D98" s="16" t="n">
        <v>1033</v>
      </c>
      <c r="E98" s="16" t="n">
        <v>2.45</v>
      </c>
      <c r="F98" s="16" t="n">
        <v>-8.4</v>
      </c>
      <c r="G98" s="16" t="n">
        <v>-10.6</v>
      </c>
      <c r="H98" s="16" t="inlineStr">
        <is>
          <t>-8%</t>
        </is>
      </c>
      <c r="I98" s="16" t="inlineStr">
        <is>
          <t>28%</t>
        </is>
      </c>
      <c r="J98" s="16" t="n">
        <v>0.6</v>
      </c>
      <c r="K98" s="16" t="n"/>
      <c r="L98" s="16" t="inlineStr">
        <is>
          <t>0%</t>
        </is>
      </c>
      <c r="M98" s="16" t="inlineStr">
        <is>
          <t>178%</t>
        </is>
      </c>
      <c r="N98" s="16" t="n"/>
      <c r="O98" s="16" t="n">
        <v>-3175</v>
      </c>
      <c r="P98" s="16" t="inlineStr">
        <is>
          <t>46%</t>
        </is>
      </c>
      <c r="Q98" s="16" t="n">
        <v>6562</v>
      </c>
      <c r="R98" s="16" t="inlineStr">
        <is>
          <t>P/B 2.45 · P/S 0.0 · FCF yld -8% · net cash 28% of mcap · op margin 0%</t>
        </is>
      </c>
      <c r="S98" s="16" t="inlineStr"/>
      <c r="T98" s="16" t="inlineStr">
        <is>
          <t>Insider Conviction, Single-Measure Best</t>
        </is>
      </c>
    </row>
    <row r="99">
      <c r="A99" s="6" t="inlineStr">
        <is>
          <t>OPCH</t>
        </is>
      </c>
      <c r="B99" s="14" t="inlineStr">
        <is>
          <t>Option Care Health, In</t>
        </is>
      </c>
      <c r="C99" s="14" t="inlineStr">
        <is>
          <t>Healthcare</t>
        </is>
      </c>
      <c r="D99" s="14" t="n">
        <v>3577</v>
      </c>
      <c r="E99" s="14" t="n">
        <v>2.84</v>
      </c>
      <c r="F99" s="14" t="n">
        <v>17.5</v>
      </c>
      <c r="G99" s="14" t="n">
        <v>11</v>
      </c>
      <c r="H99" s="14" t="inlineStr">
        <is>
          <t>10%</t>
        </is>
      </c>
      <c r="I99" s="14" t="inlineStr">
        <is>
          <t>-30%</t>
        </is>
      </c>
      <c r="J99" s="14" t="n">
        <v>2.6</v>
      </c>
      <c r="K99" s="14" t="inlineStr">
        <is>
          <t>6%</t>
        </is>
      </c>
      <c r="L99" s="14" t="inlineStr">
        <is>
          <t>6%</t>
        </is>
      </c>
      <c r="M99" s="14" t="inlineStr">
        <is>
          <t>16%</t>
        </is>
      </c>
      <c r="N99" s="14" t="inlineStr">
        <is>
          <t>-5%</t>
        </is>
      </c>
      <c r="O99" s="14" t="n">
        <v>5.8</v>
      </c>
      <c r="P99" s="14" t="inlineStr">
        <is>
          <t>31%</t>
        </is>
      </c>
      <c r="Q99" s="14" t="n">
        <v>61590</v>
      </c>
      <c r="R99" s="14" t="inlineStr">
        <is>
          <t>P/B 2.84 · EV/EBITDA 11.0× · FCF yld 10% · net debt 30% of mcap · rev +6% · op margin 6% · buying back 5%/yr</t>
        </is>
      </c>
      <c r="S99" s="14" t="inlineStr"/>
      <c r="T99" s="14" t="inlineStr">
        <is>
          <t>Insider Conviction, Without Valuation</t>
        </is>
      </c>
    </row>
    <row r="100">
      <c r="A100" s="8" t="inlineStr">
        <is>
          <t>XRN</t>
        </is>
      </c>
      <c r="B100" s="16" t="inlineStr">
        <is>
          <t>Chiron Real Estate Inc</t>
        </is>
      </c>
      <c r="C100" s="16" t="inlineStr">
        <is>
          <t>Real Estate</t>
        </is>
      </c>
      <c r="D100" s="16" t="n">
        <v>475</v>
      </c>
      <c r="E100" s="16" t="n">
        <v>0.72</v>
      </c>
      <c r="F100" s="16" t="n">
        <v>9.1</v>
      </c>
      <c r="G100" s="16" t="n">
        <v>6.9</v>
      </c>
      <c r="H100" s="16" t="inlineStr">
        <is>
          <t>-40%</t>
        </is>
      </c>
      <c r="I100" s="16" t="inlineStr">
        <is>
          <t>-132%</t>
        </is>
      </c>
      <c r="J100" s="16" t="n">
        <v>3.9</v>
      </c>
      <c r="K100" s="16" t="inlineStr">
        <is>
          <t>6%</t>
        </is>
      </c>
      <c r="L100" s="16" t="inlineStr">
        <is>
          <t>25%</t>
        </is>
      </c>
      <c r="M100" s="16" t="inlineStr">
        <is>
          <t>11%</t>
        </is>
      </c>
      <c r="N100" s="16" t="inlineStr">
        <is>
          <t>-1%</t>
        </is>
      </c>
      <c r="O100" s="16" t="n">
        <v>1.1</v>
      </c>
      <c r="P100" s="16" t="inlineStr">
        <is>
          <t>71%</t>
        </is>
      </c>
      <c r="Q100" s="16" t="n">
        <v>4078</v>
      </c>
      <c r="R100" s="16" t="inlineStr">
        <is>
          <t>P/B 0.72 · EV/EBITDA 6.9× · FCF yld -40% · net debt 132% of mcap · rev +6% · op margin 25% · interest cover 1.1× ⚠</t>
        </is>
      </c>
      <c r="S100" s="16" t="inlineStr"/>
      <c r="T100" s="16" t="inlineStr">
        <is>
          <t>Insider Conviction, Insider Filing-Time</t>
        </is>
      </c>
    </row>
    <row r="101">
      <c r="A101" s="6" t="inlineStr">
        <is>
          <t>TSM</t>
        </is>
      </c>
      <c r="B101" s="14" t="inlineStr">
        <is>
          <t>Taiwan Semiconductor M</t>
        </is>
      </c>
      <c r="C101" s="14" t="inlineStr">
        <is>
          <t>Technology</t>
        </is>
      </c>
      <c r="D101" s="14" t="n">
        <v>2325358</v>
      </c>
      <c r="E101" s="14" t="n">
        <v>11.49</v>
      </c>
      <c r="F101" s="14" t="n">
        <v>29</v>
      </c>
      <c r="G101" s="14" t="n">
        <v>19.2</v>
      </c>
      <c r="H101" s="14" t="inlineStr">
        <is>
          <t>2%</t>
        </is>
      </c>
      <c r="I101" s="14" t="inlineStr">
        <is>
          <t>3%</t>
        </is>
      </c>
      <c r="J101" s="14" t="n">
        <v>-0.7</v>
      </c>
      <c r="K101" s="14" t="inlineStr">
        <is>
          <t>31%</t>
        </is>
      </c>
      <c r="L101" s="14" t="inlineStr">
        <is>
          <t>56%</t>
        </is>
      </c>
      <c r="M101" s="14" t="inlineStr">
        <is>
          <t>39%</t>
        </is>
      </c>
      <c r="N101" s="14" t="inlineStr">
        <is>
          <t>0%</t>
        </is>
      </c>
      <c r="O101" s="14" t="n">
        <v>285.4</v>
      </c>
      <c r="P101" s="14" t="inlineStr">
        <is>
          <t>86%</t>
        </is>
      </c>
      <c r="Q101" s="14" t="n">
        <v>5665291</v>
      </c>
      <c r="R101" s="14" t="inlineStr">
        <is>
          <t>P/B 11.49 · EV/EBITDA 19.2× · FCF yld 2% · net cash 3% of mcap · rev +31% · op margin 56%</t>
        </is>
      </c>
      <c r="S101" s="14" t="inlineStr"/>
      <c r="T101" s="14" t="inlineStr">
        <is>
          <t>Insider Conviction, Political Trades</t>
        </is>
      </c>
    </row>
    <row r="102">
      <c r="A102" s="8" t="inlineStr">
        <is>
          <t>PLSE</t>
        </is>
      </c>
      <c r="B102" s="16" t="inlineStr">
        <is>
          <t>Pulse Biosciences, Inc</t>
        </is>
      </c>
      <c r="C102" s="16" t="inlineStr">
        <is>
          <t>Healthcare</t>
        </is>
      </c>
      <c r="D102" s="16" t="n">
        <v>3703</v>
      </c>
      <c r="E102" s="16" t="n">
        <v>37.22</v>
      </c>
      <c r="F102" s="16" t="n">
        <v>-44.9</v>
      </c>
      <c r="G102" s="16" t="n">
        <v>-43.9</v>
      </c>
      <c r="H102" s="16" t="inlineStr">
        <is>
          <t>-2%</t>
        </is>
      </c>
      <c r="I102" s="16" t="inlineStr">
        <is>
          <t>3%</t>
        </is>
      </c>
      <c r="J102" s="16" t="n">
        <v>1.2</v>
      </c>
      <c r="K102" s="16" t="n"/>
      <c r="L102" s="16" t="inlineStr">
        <is>
          <t>-7008%</t>
        </is>
      </c>
      <c r="M102" s="16" t="inlineStr">
        <is>
          <t>-94%</t>
        </is>
      </c>
      <c r="N102" s="16" t="inlineStr">
        <is>
          <t>3%</t>
        </is>
      </c>
      <c r="O102" s="16" t="n">
        <v>0</v>
      </c>
      <c r="P102" s="16" t="inlineStr">
        <is>
          <t>88%</t>
        </is>
      </c>
      <c r="Q102" s="16" t="n">
        <v>23961</v>
      </c>
      <c r="R102" s="16" t="inlineStr">
        <is>
          <t>P/B 37.22 · P/S 3065.1 · FCF yld -2% · net cash 3% of mcap · diluting 3%/yr</t>
        </is>
      </c>
      <c r="S102" s="16" t="inlineStr"/>
      <c r="T102" s="16" t="inlineStr">
        <is>
          <t>Insider Conviction, Insider Filing-Time</t>
        </is>
      </c>
    </row>
    <row r="103">
      <c r="A103" s="6" t="inlineStr">
        <is>
          <t>TXO</t>
        </is>
      </c>
      <c r="B103" s="14" t="inlineStr">
        <is>
          <t>TXO Partners, L.P.</t>
        </is>
      </c>
      <c r="C103" s="14" t="inlineStr">
        <is>
          <t>Energy</t>
        </is>
      </c>
      <c r="D103" s="14" t="n">
        <v>789</v>
      </c>
      <c r="E103" s="14" t="n">
        <v>1.22</v>
      </c>
      <c r="F103" s="14" t="n">
        <v>-19.3</v>
      </c>
      <c r="G103" s="14" t="n">
        <v>11.2</v>
      </c>
      <c r="H103" s="14" t="inlineStr">
        <is>
          <t>-14%</t>
        </is>
      </c>
      <c r="I103" s="14" t="inlineStr">
        <is>
          <t>-29%</t>
        </is>
      </c>
      <c r="J103" s="14" t="n">
        <v>2.6</v>
      </c>
      <c r="K103" s="14" t="inlineStr">
        <is>
          <t>25%</t>
        </is>
      </c>
      <c r="L103" s="14" t="inlineStr">
        <is>
          <t>2%</t>
        </is>
      </c>
      <c r="M103" s="14" t="inlineStr">
        <is>
          <t>-6%</t>
        </is>
      </c>
      <c r="N103" s="14" t="inlineStr">
        <is>
          <t>18%</t>
        </is>
      </c>
      <c r="O103" s="14" t="n">
        <v>0.2</v>
      </c>
      <c r="P103" s="14" t="inlineStr">
        <is>
          <t>76%</t>
        </is>
      </c>
      <c r="Q103" s="14" t="n">
        <v>2592</v>
      </c>
      <c r="R103" s="14" t="inlineStr">
        <is>
          <t>P/B 1.22 · EV/EBITDA 11.2× · FCF yld -14% · net debt 29% of mcap · rev +25% · op margin 2% · diluting 18%/yr · interest cover 0.2× ⚠</t>
        </is>
      </c>
      <c r="S103" s="14" t="inlineStr"/>
      <c r="T103" s="14" t="inlineStr">
        <is>
          <t>Insider Conviction, Insider Filing-Time</t>
        </is>
      </c>
    </row>
    <row r="104">
      <c r="A104" s="8" t="inlineStr">
        <is>
          <t>OLED</t>
        </is>
      </c>
      <c r="B104" s="16" t="inlineStr">
        <is>
          <t>Universal Display Corp</t>
        </is>
      </c>
      <c r="C104" s="16" t="inlineStr">
        <is>
          <t>Technology</t>
        </is>
      </c>
      <c r="D104" s="16" t="n">
        <v>3564</v>
      </c>
      <c r="E104" s="16" t="n">
        <v>2.12</v>
      </c>
      <c r="F104" s="16" t="n">
        <v>18.4</v>
      </c>
      <c r="G104" s="16" t="n">
        <v>13.3</v>
      </c>
      <c r="H104" s="16" t="inlineStr">
        <is>
          <t>5%</t>
        </is>
      </c>
      <c r="I104" s="16" t="inlineStr">
        <is>
          <t>13%</t>
        </is>
      </c>
      <c r="J104" s="16" t="n">
        <v>-0.4</v>
      </c>
      <c r="K104" s="16" t="inlineStr">
        <is>
          <t>-8%</t>
        </is>
      </c>
      <c r="L104" s="16" t="inlineStr">
        <is>
          <t>34%</t>
        </is>
      </c>
      <c r="M104" s="16" t="inlineStr">
        <is>
          <t>11%</t>
        </is>
      </c>
      <c r="N104" s="16" t="inlineStr">
        <is>
          <t>-2%</t>
        </is>
      </c>
      <c r="O104" s="16" t="n">
        <v>0</v>
      </c>
      <c r="P104" s="16" t="inlineStr">
        <is>
          <t>3%</t>
        </is>
      </c>
      <c r="Q104" s="16" t="n">
        <v>59409</v>
      </c>
      <c r="R104" s="16" t="inlineStr">
        <is>
          <t>P/B 2.12 · EV/EBITDA 13.3× · FCF yld 5% · net cash 13% of mcap · rev -8% · op margin 34% · buying back 2%/yr</t>
        </is>
      </c>
      <c r="S104" s="16" t="inlineStr"/>
      <c r="T104" s="16" t="inlineStr">
        <is>
          <t>Insider Conviction, Without Valuation</t>
        </is>
      </c>
    </row>
    <row r="105">
      <c r="A105" s="6" t="inlineStr">
        <is>
          <t>MSCI</t>
        </is>
      </c>
      <c r="B105" s="14" t="inlineStr">
        <is>
          <t>MSCI Inc.</t>
        </is>
      </c>
      <c r="C105" s="14" t="inlineStr">
        <is>
          <t>Financial Serv</t>
        </is>
      </c>
      <c r="D105" s="14" t="n">
        <v>40357</v>
      </c>
      <c r="E105" s="14" t="n"/>
      <c r="F105" s="14" t="n">
        <v>30.6</v>
      </c>
      <c r="G105" s="14" t="n">
        <v>22.8</v>
      </c>
      <c r="H105" s="14" t="inlineStr">
        <is>
          <t>4%</t>
        </is>
      </c>
      <c r="I105" s="14" t="n"/>
      <c r="J105" s="14" t="n">
        <v>3</v>
      </c>
      <c r="K105" s="14" t="inlineStr">
        <is>
          <t>12%</t>
        </is>
      </c>
      <c r="L105" s="14" t="inlineStr">
        <is>
          <t>56%</t>
        </is>
      </c>
      <c r="M105" s="14" t="inlineStr">
        <is>
          <t>-54%</t>
        </is>
      </c>
      <c r="N105" s="14" t="inlineStr">
        <is>
          <t>-6%</t>
        </is>
      </c>
      <c r="O105" s="14" t="n">
        <v>7.2</v>
      </c>
      <c r="P105" s="14" t="inlineStr">
        <is>
          <t>38%</t>
        </is>
      </c>
      <c r="Q105" s="14" t="n">
        <v>368843</v>
      </c>
      <c r="R105" s="14" t="inlineStr">
        <is>
          <t>P/E 30.6 · ROE -54% · div yld 1.4% · buying back 6%/yr (financial: book/earnings basis)</t>
        </is>
      </c>
      <c r="S105" s="14" t="inlineStr">
        <is>
          <t>negative equity</t>
        </is>
      </c>
      <c r="T105" s="14" t="inlineStr">
        <is>
          <t>Insider Conviction, Without Valuation</t>
        </is>
      </c>
    </row>
    <row r="106">
      <c r="A106" s="8" t="inlineStr">
        <is>
          <t>GMRS</t>
        </is>
      </c>
      <c r="B106" s="16" t="inlineStr">
        <is>
          <t>GMR Solutions Inc.</t>
        </is>
      </c>
      <c r="C106" s="16" t="inlineStr">
        <is>
          <t>Healthcare</t>
        </is>
      </c>
      <c r="D106" s="16" t="n">
        <v>597</v>
      </c>
      <c r="E106" s="16" t="n">
        <v>0.76</v>
      </c>
      <c r="F106" s="16" t="n">
        <v>7.6</v>
      </c>
      <c r="G106" s="16" t="n">
        <v>10.8</v>
      </c>
      <c r="H106" s="16" t="inlineStr">
        <is>
          <t>11%</t>
        </is>
      </c>
      <c r="I106" s="16" t="inlineStr">
        <is>
          <t>-713%</t>
        </is>
      </c>
      <c r="J106" s="16" t="n">
        <v>9.5</v>
      </c>
      <c r="K106" s="16" t="n"/>
      <c r="L106" s="16" t="inlineStr">
        <is>
          <t>10%</t>
        </is>
      </c>
      <c r="M106" s="16" t="inlineStr">
        <is>
          <t>16%</t>
        </is>
      </c>
      <c r="N106" s="16" t="n"/>
      <c r="O106" s="16" t="n">
        <v>1.8</v>
      </c>
      <c r="P106" s="16" t="inlineStr">
        <is>
          <t>14%</t>
        </is>
      </c>
      <c r="Q106" s="16" t="n">
        <v>9899</v>
      </c>
      <c r="R106" s="16" t="inlineStr">
        <is>
          <t>P/B 0.76 · EV/EBITDA 10.8× · FCF yld 11% · net debt 713% of mcap · op margin 10%</t>
        </is>
      </c>
      <c r="S106" s="16" t="inlineStr"/>
      <c r="T106" s="16" t="inlineStr">
        <is>
          <t>Insider Filing-Time, Asymmetry Assembly</t>
        </is>
      </c>
    </row>
    <row r="107">
      <c r="A107" s="6" t="inlineStr">
        <is>
          <t>ULS</t>
        </is>
      </c>
      <c r="B107" s="14" t="inlineStr">
        <is>
          <t>UL Solutions Inc.</t>
        </is>
      </c>
      <c r="C107" s="14" t="inlineStr">
        <is>
          <t>Industrials</t>
        </is>
      </c>
      <c r="D107" s="14" t="n">
        <v>13296</v>
      </c>
      <c r="E107" s="14" t="n">
        <v>8.34</v>
      </c>
      <c r="F107" s="14" t="n">
        <v>26.2</v>
      </c>
      <c r="G107" s="14" t="n">
        <v>13.6</v>
      </c>
      <c r="H107" s="14" t="inlineStr">
        <is>
          <t>3%</t>
        </is>
      </c>
      <c r="I107" s="14" t="inlineStr">
        <is>
          <t>-1%</t>
        </is>
      </c>
      <c r="J107" s="14" t="n">
        <v>0.1</v>
      </c>
      <c r="K107" s="14" t="inlineStr">
        <is>
          <t>7%</t>
        </is>
      </c>
      <c r="L107" s="14" t="inlineStr">
        <is>
          <t>18%</t>
        </is>
      </c>
      <c r="M107" s="14" t="inlineStr">
        <is>
          <t>38%</t>
        </is>
      </c>
      <c r="N107" s="14" t="inlineStr">
        <is>
          <t>0%</t>
        </is>
      </c>
      <c r="O107" s="14" t="n">
        <v>17.6</v>
      </c>
      <c r="P107" s="14" t="inlineStr">
        <is>
          <t>7%</t>
        </is>
      </c>
      <c r="Q107" s="14" t="n">
        <v>61378</v>
      </c>
      <c r="R107" s="14" t="inlineStr">
        <is>
          <t>P/B 8.34 · EV/EBITDA 13.6× · FCF yld 3% · net debt 1% of mcap · rev +7% · op margin 18%</t>
        </is>
      </c>
      <c r="S107" s="14" t="inlineStr"/>
      <c r="T107" s="14" t="inlineStr">
        <is>
          <t>Insider Filing-Time, Turnaround Signal</t>
        </is>
      </c>
    </row>
    <row r="108">
      <c r="A108" s="8" t="inlineStr">
        <is>
          <t>NMM</t>
        </is>
      </c>
      <c r="B108" s="16" t="inlineStr">
        <is>
          <t>Navios Maritime Partne</t>
        </is>
      </c>
      <c r="C108" s="16" t="inlineStr">
        <is>
          <t>Industrials</t>
        </is>
      </c>
      <c r="D108" s="16" t="n">
        <v>2493</v>
      </c>
      <c r="E108" s="16" t="n">
        <v>0.6899999999999999</v>
      </c>
      <c r="F108" s="16" t="n">
        <v>5.7</v>
      </c>
      <c r="G108" s="16" t="n">
        <v>5.2</v>
      </c>
      <c r="H108" s="16" t="inlineStr">
        <is>
          <t>14%</t>
        </is>
      </c>
      <c r="I108" s="16" t="inlineStr">
        <is>
          <t>-80%</t>
        </is>
      </c>
      <c r="J108" s="16" t="n">
        <v>2.4</v>
      </c>
      <c r="K108" s="16" t="inlineStr">
        <is>
          <t>13%</t>
        </is>
      </c>
      <c r="L108" s="16" t="inlineStr">
        <is>
          <t>34%</t>
        </is>
      </c>
      <c r="M108" s="16" t="inlineStr">
        <is>
          <t>13%</t>
        </is>
      </c>
      <c r="N108" s="16" t="inlineStr">
        <is>
          <t>-2%</t>
        </is>
      </c>
      <c r="O108" s="16" t="n">
        <v>4</v>
      </c>
      <c r="P108" s="16" t="inlineStr">
        <is>
          <t>86%</t>
        </is>
      </c>
      <c r="Q108" s="16" t="n">
        <v>12078</v>
      </c>
      <c r="R108" s="16" t="inlineStr">
        <is>
          <t>P/B 0.69 · EV/EBITDA 5.2× · FCF yld 14% · net debt 80% of mcap · rev +13% · op margin 34%</t>
        </is>
      </c>
      <c r="S108" s="16" t="inlineStr"/>
      <c r="T108" s="16" t="inlineStr">
        <is>
          <t>Insider Filing-Time, Call Intent</t>
        </is>
      </c>
    </row>
    <row r="109">
      <c r="A109" s="6" t="inlineStr">
        <is>
          <t>NCDL</t>
        </is>
      </c>
      <c r="B109" s="14" t="inlineStr">
        <is>
          <t>Nuveen Churchill Direc</t>
        </is>
      </c>
      <c r="C109" s="14" t="inlineStr">
        <is>
          <t>Financial Serv</t>
        </is>
      </c>
      <c r="D109" s="14" t="n">
        <v>589</v>
      </c>
      <c r="E109" s="14" t="n">
        <v>0.6899999999999999</v>
      </c>
      <c r="F109" s="14" t="n">
        <v>12.4</v>
      </c>
      <c r="G109" s="14" t="n">
        <v>26.3</v>
      </c>
      <c r="H109" s="14" t="inlineStr">
        <is>
          <t>19%</t>
        </is>
      </c>
      <c r="I109" s="14" t="inlineStr">
        <is>
          <t>-184%</t>
        </is>
      </c>
      <c r="J109" s="14" t="n">
        <v>17.1</v>
      </c>
      <c r="K109" s="14" t="inlineStr">
        <is>
          <t>-29%</t>
        </is>
      </c>
      <c r="L109" s="14" t="inlineStr">
        <is>
          <t>46%</t>
        </is>
      </c>
      <c r="M109" s="14" t="inlineStr">
        <is>
          <t>5%</t>
        </is>
      </c>
      <c r="N109" s="14" t="inlineStr">
        <is>
          <t>-2%</t>
        </is>
      </c>
      <c r="O109" s="14" t="n">
        <v>0.9</v>
      </c>
      <c r="P109" s="14" t="inlineStr">
        <is>
          <t>1%</t>
        </is>
      </c>
      <c r="Q109" s="14" t="n">
        <v>2314</v>
      </c>
      <c r="R109" s="14" t="inlineStr">
        <is>
          <t>P/B 0.69 · P/E 12.4 · ROE 5% · div yld 14.2% (financial: book/earnings basis)</t>
        </is>
      </c>
      <c r="S109" s="14" t="inlineStr"/>
      <c r="T109" s="14" t="inlineStr">
        <is>
          <t>Insider Filing-Time, Asymmetry Assembly</t>
        </is>
      </c>
    </row>
    <row r="110">
      <c r="A110" s="8" t="inlineStr">
        <is>
          <t>LITS</t>
        </is>
      </c>
      <c r="B110" s="16" t="inlineStr">
        <is>
          <t>Lite Strategy, Inc.</t>
        </is>
      </c>
      <c r="C110" s="16" t="inlineStr">
        <is>
          <t>Healthcare</t>
        </is>
      </c>
      <c r="D110" s="16" t="n">
        <v>42</v>
      </c>
      <c r="E110" s="16" t="n"/>
      <c r="F110" s="16" t="n">
        <v>-0.1</v>
      </c>
      <c r="G110" s="16" t="n">
        <v>-2.7</v>
      </c>
      <c r="H110" s="16" t="inlineStr">
        <is>
          <t>-26%</t>
        </is>
      </c>
      <c r="I110" s="16" t="n"/>
      <c r="J110" s="16" t="n">
        <v>0.6</v>
      </c>
      <c r="K110" s="16" t="n"/>
      <c r="L110" s="16" t="inlineStr">
        <is>
          <t>0%</t>
        </is>
      </c>
      <c r="M110" s="16" t="inlineStr">
        <is>
          <t>-91%</t>
        </is>
      </c>
      <c r="N110" s="16" t="inlineStr">
        <is>
          <t>0%</t>
        </is>
      </c>
      <c r="O110" s="16" t="n">
        <v>0</v>
      </c>
      <c r="P110" s="16" t="inlineStr">
        <is>
          <t>23%</t>
        </is>
      </c>
      <c r="Q110" s="16" t="n">
        <v>432</v>
      </c>
      <c r="R110" s="16" t="inlineStr">
        <is>
          <t>P/S 0.0 · FCF yld -26% · op margin 0%</t>
        </is>
      </c>
      <c r="S110" s="16" t="inlineStr">
        <is>
          <t>market-cap/share data inconsistent</t>
        </is>
      </c>
      <c r="T110" s="16" t="inlineStr">
        <is>
          <t>MD&amp;A Intent, Tail Odds</t>
        </is>
      </c>
    </row>
    <row r="111">
      <c r="A111" s="6" t="inlineStr">
        <is>
          <t>PASG</t>
        </is>
      </c>
      <c r="B111" s="14" t="inlineStr">
        <is>
          <t>Passage Bio, Inc.</t>
        </is>
      </c>
      <c r="C111" s="14" t="inlineStr">
        <is>
          <t>Healthcare</t>
        </is>
      </c>
      <c r="D111" s="14" t="n">
        <v>16</v>
      </c>
      <c r="E111" s="14" t="n">
        <v>3.6</v>
      </c>
      <c r="F111" s="14" t="n">
        <v>-0.4</v>
      </c>
      <c r="G111" s="14" t="n">
        <v>0.2</v>
      </c>
      <c r="H111" s="14" t="n"/>
      <c r="I111" s="14" t="inlineStr">
        <is>
          <t>150%</t>
        </is>
      </c>
      <c r="J111" s="14" t="n">
        <v>0.7</v>
      </c>
      <c r="K111" s="14" t="n"/>
      <c r="L111" s="14" t="inlineStr">
        <is>
          <t>0%</t>
        </is>
      </c>
      <c r="M111" s="14" t="inlineStr">
        <is>
          <t>-219%</t>
        </is>
      </c>
      <c r="N111" s="14" t="inlineStr">
        <is>
          <t>1%</t>
        </is>
      </c>
      <c r="O111" s="14" t="n">
        <v>0</v>
      </c>
      <c r="P111" s="14" t="inlineStr">
        <is>
          <t>10%</t>
        </is>
      </c>
      <c r="Q111" s="14" t="n">
        <v>285</v>
      </c>
      <c r="R111" s="14" t="inlineStr">
        <is>
          <t>P/B 3.60 · EV/EBITDA 0.2× · net cash 150% of mcap · op margin 0%</t>
        </is>
      </c>
      <c r="S111" s="14" t="inlineStr">
        <is>
          <t>FCF yield &gt;100% (check)</t>
        </is>
      </c>
      <c r="T111" s="14" t="inlineStr">
        <is>
          <t>MD&amp;A Intent, Tail Odds</t>
        </is>
      </c>
    </row>
    <row r="112">
      <c r="A112" s="8" t="inlineStr">
        <is>
          <t>OPTU</t>
        </is>
      </c>
      <c r="B112" s="16" t="inlineStr">
        <is>
          <t>Optimum Communications</t>
        </is>
      </c>
      <c r="C112" s="16" t="inlineStr">
        <is>
          <t xml:space="preserve">Communication </t>
        </is>
      </c>
      <c r="D112" s="16" t="n">
        <v>514</v>
      </c>
      <c r="E112" s="16" t="n"/>
      <c r="F112" s="16" t="n">
        <v>-0.1</v>
      </c>
      <c r="G112" s="16" t="n">
        <v>87.2</v>
      </c>
      <c r="H112" s="16" t="inlineStr">
        <is>
          <t>-44%</t>
        </is>
      </c>
      <c r="I112" s="16" t="n"/>
      <c r="J112" s="16" t="n">
        <v>85.59999999999999</v>
      </c>
      <c r="K112" s="16" t="inlineStr">
        <is>
          <t>-4%</t>
        </is>
      </c>
      <c r="L112" s="16" t="inlineStr">
        <is>
          <t>-0%</t>
        </is>
      </c>
      <c r="M112" s="16" t="inlineStr">
        <is>
          <t>127%</t>
        </is>
      </c>
      <c r="N112" s="16" t="inlineStr">
        <is>
          <t>-5%</t>
        </is>
      </c>
      <c r="O112" s="16" t="n">
        <v>-0</v>
      </c>
      <c r="P112" s="16" t="inlineStr">
        <is>
          <t>24%</t>
        </is>
      </c>
      <c r="Q112" s="16" t="n">
        <v>9284</v>
      </c>
      <c r="R112" s="16" t="inlineStr">
        <is>
          <t>EV/EBITDA 87.2× · FCF yld -44% · rev -4% · op margin -0% · buying back 5%/yr</t>
        </is>
      </c>
      <c r="S112" s="16" t="inlineStr">
        <is>
          <t>negative equity</t>
        </is>
      </c>
      <c r="T112" s="16" t="inlineStr">
        <is>
          <t>MD&amp;A Intent, Re-Rate Catalysts</t>
        </is>
      </c>
    </row>
    <row r="113">
      <c r="A113" s="6" t="inlineStr">
        <is>
          <t>PKOH</t>
        </is>
      </c>
      <c r="B113" s="14" t="inlineStr">
        <is>
          <t>Park-Ohio Holdings Cor</t>
        </is>
      </c>
      <c r="C113" s="14" t="inlineStr">
        <is>
          <t>Industrials</t>
        </is>
      </c>
      <c r="D113" s="14" t="n">
        <v>671</v>
      </c>
      <c r="E113" s="14" t="n">
        <v>1.71</v>
      </c>
      <c r="F113" s="14" t="n">
        <v>23.9</v>
      </c>
      <c r="G113" s="14" t="n">
        <v>12</v>
      </c>
      <c r="H113" s="14" t="inlineStr">
        <is>
          <t>3%</t>
        </is>
      </c>
      <c r="I113" s="14" t="inlineStr">
        <is>
          <t>-98%</t>
        </is>
      </c>
      <c r="J113" s="14" t="n">
        <v>5.9</v>
      </c>
      <c r="K113" s="14" t="inlineStr">
        <is>
          <t>3%</t>
        </is>
      </c>
      <c r="L113" s="14" t="inlineStr">
        <is>
          <t>5%</t>
        </is>
      </c>
      <c r="M113" s="14" t="inlineStr">
        <is>
          <t>7%</t>
        </is>
      </c>
      <c r="N113" s="14" t="inlineStr">
        <is>
          <t>2%</t>
        </is>
      </c>
      <c r="O113" s="14" t="n">
        <v>1.7</v>
      </c>
      <c r="P113" s="14" t="inlineStr">
        <is>
          <t>81%</t>
        </is>
      </c>
      <c r="Q113" s="14" t="n">
        <v>3955</v>
      </c>
      <c r="R113" s="14" t="inlineStr">
        <is>
          <t>P/B 1.71 · EV/EBITDA 12.0× · FCF yld 3% · net debt 98% of mcap · rev +3% · op margin 5% · diluting 2%/yr</t>
        </is>
      </c>
      <c r="S113" s="14" t="inlineStr"/>
      <c r="T113" s="14" t="inlineStr">
        <is>
          <t>MD&amp;A Intent, Re-Rate Catalysts</t>
        </is>
      </c>
    </row>
    <row r="114">
      <c r="A114" s="8" t="inlineStr">
        <is>
          <t>TBPH</t>
        </is>
      </c>
      <c r="B114" s="16" t="inlineStr">
        <is>
          <t>Theravance Biopharma I</t>
        </is>
      </c>
      <c r="C114" s="16" t="inlineStr">
        <is>
          <t>Healthcare</t>
        </is>
      </c>
      <c r="D114" s="16" t="n">
        <v>883</v>
      </c>
      <c r="E114" s="16" t="n">
        <v>3.05</v>
      </c>
      <c r="F114" s="16" t="n">
        <v>16</v>
      </c>
      <c r="G114" s="16" t="n">
        <v>10.2</v>
      </c>
      <c r="H114" s="16" t="inlineStr">
        <is>
          <t>6%</t>
        </is>
      </c>
      <c r="I114" s="16" t="inlineStr">
        <is>
          <t>40%</t>
        </is>
      </c>
      <c r="J114" s="16" t="n">
        <v>-2.6</v>
      </c>
      <c r="K114" s="16" t="inlineStr">
        <is>
          <t>35%</t>
        </is>
      </c>
      <c r="L114" s="16" t="inlineStr">
        <is>
          <t>4%</t>
        </is>
      </c>
      <c r="M114" s="16" t="inlineStr">
        <is>
          <t>19%</t>
        </is>
      </c>
      <c r="N114" s="16" t="inlineStr">
        <is>
          <t>2%</t>
        </is>
      </c>
      <c r="O114" s="16" t="n">
        <v>4</v>
      </c>
      <c r="P114" s="16" t="inlineStr">
        <is>
          <t>50%</t>
        </is>
      </c>
      <c r="Q114" s="16" t="n">
        <v>9740</v>
      </c>
      <c r="R114" s="16" t="inlineStr">
        <is>
          <t>P/B 3.05 · EV/EBITDA 10.2× · FCF yld 6% · net cash 40% of mcap · rev +35% · op margin 4%</t>
        </is>
      </c>
      <c r="S114" s="16" t="inlineStr"/>
      <c r="T114" s="16" t="inlineStr">
        <is>
          <t>MD&amp;A Intent, Hidden Asset Realisation</t>
        </is>
      </c>
    </row>
    <row r="115">
      <c r="A115" s="6" t="inlineStr">
        <is>
          <t>NEUP</t>
        </is>
      </c>
      <c r="B115" s="14" t="inlineStr">
        <is>
          <t>Neuphoria Therapeutics</t>
        </is>
      </c>
      <c r="C115" s="14" t="inlineStr">
        <is>
          <t>Healthcare</t>
        </is>
      </c>
      <c r="D115" s="14" t="n">
        <v>20</v>
      </c>
      <c r="E115" s="14" t="n">
        <v>0.68</v>
      </c>
      <c r="F115" s="14" t="n">
        <v>-0.5</v>
      </c>
      <c r="G115" s="14" t="n">
        <v>-0</v>
      </c>
      <c r="H115" s="14" t="n"/>
      <c r="I115" s="14" t="inlineStr">
        <is>
          <t>97%</t>
        </is>
      </c>
      <c r="J115" s="14" t="n">
        <v>1.6</v>
      </c>
      <c r="K115" s="14" t="inlineStr">
        <is>
          <t>-58%</t>
        </is>
      </c>
      <c r="L115" s="14" t="inlineStr">
        <is>
          <t>-1188%</t>
        </is>
      </c>
      <c r="M115" s="14" t="inlineStr">
        <is>
          <t>-77%</t>
        </is>
      </c>
      <c r="N115" s="14" t="n"/>
      <c r="O115" s="14" t="n">
        <v>0</v>
      </c>
      <c r="P115" s="14" t="inlineStr">
        <is>
          <t>3%</t>
        </is>
      </c>
      <c r="Q115" s="14" t="n">
        <v>558</v>
      </c>
      <c r="R115" s="14" t="inlineStr">
        <is>
          <t>P/B 0.68 · P/S 17.0 · net cash 97% of mcap · rev -58%</t>
        </is>
      </c>
      <c r="S115" s="14" t="inlineStr">
        <is>
          <t>FCF yield &gt;100% (check)</t>
        </is>
      </c>
      <c r="T115" s="14" t="inlineStr">
        <is>
          <t>MD&amp;A Intent, Governance Discount</t>
        </is>
      </c>
    </row>
    <row r="116">
      <c r="A116" s="8" t="inlineStr">
        <is>
          <t>HUN</t>
        </is>
      </c>
      <c r="B116" s="16" t="inlineStr">
        <is>
          <t>Huntsman Corporation</t>
        </is>
      </c>
      <c r="C116" s="16" t="inlineStr">
        <is>
          <t>Basic Material</t>
        </is>
      </c>
      <c r="D116" s="16" t="n">
        <v>1621</v>
      </c>
      <c r="E116" s="16" t="n">
        <v>0.6</v>
      </c>
      <c r="F116" s="16" t="n">
        <v>-9.1</v>
      </c>
      <c r="G116" s="16" t="n">
        <v>13.3</v>
      </c>
      <c r="H116" s="16" t="inlineStr">
        <is>
          <t>-1%</t>
        </is>
      </c>
      <c r="I116" s="16" t="inlineStr">
        <is>
          <t>-133%</t>
        </is>
      </c>
      <c r="J116" s="16" t="n">
        <v>7.7</v>
      </c>
      <c r="K116" s="16" t="inlineStr">
        <is>
          <t>1%</t>
        </is>
      </c>
      <c r="L116" s="16" t="inlineStr">
        <is>
          <t>-0%</t>
        </is>
      </c>
      <c r="M116" s="16" t="inlineStr">
        <is>
          <t>-6%</t>
        </is>
      </c>
      <c r="N116" s="16" t="inlineStr">
        <is>
          <t>0%</t>
        </is>
      </c>
      <c r="O116" s="16" t="n">
        <v>-0.1</v>
      </c>
      <c r="P116" s="16" t="inlineStr">
        <is>
          <t>22%</t>
        </is>
      </c>
      <c r="Q116" s="16" t="n">
        <v>42183</v>
      </c>
      <c r="R116" s="16" t="inlineStr">
        <is>
          <t>P/B 0.60 · EV/EBITDA 13.3× · FCF yld -1% · net debt 133% of mcap · rev +1% · op margin -0% · interest cover -0.1× ⚠</t>
        </is>
      </c>
      <c r="S116" s="16" t="inlineStr"/>
      <c r="T116" s="16" t="inlineStr">
        <is>
          <t>MD&amp;A Intent, Re-Rate Catalysts</t>
        </is>
      </c>
    </row>
    <row r="117">
      <c r="A117" s="6" t="inlineStr">
        <is>
          <t>ONL</t>
        </is>
      </c>
      <c r="B117" s="14" t="inlineStr">
        <is>
          <t>Orion Properties Inc.</t>
        </is>
      </c>
      <c r="C117" s="14" t="inlineStr">
        <is>
          <t>Real Estate</t>
        </is>
      </c>
      <c r="D117" s="14" t="n">
        <v>144</v>
      </c>
      <c r="E117" s="14" t="n">
        <v>0.23</v>
      </c>
      <c r="F117" s="14" t="n">
        <v>-1.5</v>
      </c>
      <c r="G117" s="14" t="n">
        <v>-90.2</v>
      </c>
      <c r="H117" s="14" t="inlineStr">
        <is>
          <t>-34%</t>
        </is>
      </c>
      <c r="I117" s="14" t="inlineStr">
        <is>
          <t>-301%</t>
        </is>
      </c>
      <c r="J117" s="14" t="n">
        <v>-68.2</v>
      </c>
      <c r="K117" s="14" t="inlineStr">
        <is>
          <t>-6%</t>
        </is>
      </c>
      <c r="L117" s="14" t="inlineStr">
        <is>
          <t>-48%</t>
        </is>
      </c>
      <c r="M117" s="14" t="inlineStr">
        <is>
          <t>-15%</t>
        </is>
      </c>
      <c r="N117" s="14" t="inlineStr">
        <is>
          <t>3%</t>
        </is>
      </c>
      <c r="O117" s="14" t="n">
        <v>-2.1</v>
      </c>
      <c r="P117" s="14" t="inlineStr">
        <is>
          <t>56%</t>
        </is>
      </c>
      <c r="Q117" s="14" t="n">
        <v>932</v>
      </c>
      <c r="R117" s="14" t="inlineStr">
        <is>
          <t>P/B 0.23 · P/S 1.0 · FCF yld -34% · net debt 301% of mcap · rev -6% · op margin -48% · diluting 3%/yr · interest cover -2.1× ⚠</t>
        </is>
      </c>
      <c r="S117" s="14" t="inlineStr"/>
      <c r="T117" s="14" t="inlineStr">
        <is>
          <t>MD&amp;A Intent, Governance Discount</t>
        </is>
      </c>
    </row>
    <row r="118">
      <c r="A118" s="8" t="inlineStr">
        <is>
          <t>ELAB</t>
        </is>
      </c>
      <c r="B118" s="16" t="inlineStr">
        <is>
          <t>PMGC Holdings Inc.</t>
        </is>
      </c>
      <c r="C118" s="16" t="inlineStr">
        <is>
          <t>Healthcare</t>
        </is>
      </c>
      <c r="D118" s="16" t="n">
        <v>2</v>
      </c>
      <c r="E118" s="16" t="n">
        <v>0.12</v>
      </c>
      <c r="F118" s="16" t="n">
        <v>-0</v>
      </c>
      <c r="G118" s="16" t="n">
        <v>0.2</v>
      </c>
      <c r="H118" s="16" t="n"/>
      <c r="I118" s="16" t="inlineStr">
        <is>
          <t>240%</t>
        </is>
      </c>
      <c r="J118" s="16" t="n">
        <v>0.4</v>
      </c>
      <c r="K118" s="16" t="n"/>
      <c r="L118" s="16" t="inlineStr">
        <is>
          <t>-477%</t>
        </is>
      </c>
      <c r="M118" s="16" t="inlineStr">
        <is>
          <t>-118%</t>
        </is>
      </c>
      <c r="N118" s="16" t="n"/>
      <c r="O118" s="16" t="n">
        <v>-5.6</v>
      </c>
      <c r="P118" s="16" t="inlineStr">
        <is>
          <t>0%</t>
        </is>
      </c>
      <c r="Q118" s="16" t="n">
        <v>988</v>
      </c>
      <c r="R118" s="16" t="inlineStr">
        <is>
          <t>P/B 0.12 · EV/EBITDA 0.2× · net cash 240% of mcap · op margin -477%</t>
        </is>
      </c>
      <c r="S118" s="16" t="inlineStr">
        <is>
          <t>FCF yield &gt;100% (check)</t>
        </is>
      </c>
      <c r="T118" s="16" t="inlineStr">
        <is>
          <t>Payoff Geometry, Mechanism Gates</t>
        </is>
      </c>
    </row>
    <row r="119">
      <c r="A119" s="6" t="inlineStr">
        <is>
          <t>LUCY</t>
        </is>
      </c>
      <c r="B119" s="14" t="inlineStr">
        <is>
          <t>Lucyd, Inc</t>
        </is>
      </c>
      <c r="C119" s="14" t="inlineStr">
        <is>
          <t>Healthcare</t>
        </is>
      </c>
      <c r="D119" s="14" t="n">
        <v>6</v>
      </c>
      <c r="E119" s="14" t="n">
        <v>0.84</v>
      </c>
      <c r="F119" s="14" t="n">
        <v>-0.7</v>
      </c>
      <c r="G119" s="14" t="n">
        <v>-0.4</v>
      </c>
      <c r="H119" s="14" t="n"/>
      <c r="I119" s="14" t="inlineStr">
        <is>
          <t>64%</t>
        </is>
      </c>
      <c r="J119" s="14" t="n">
        <v>0.3</v>
      </c>
      <c r="K119" s="14" t="inlineStr">
        <is>
          <t>72%</t>
        </is>
      </c>
      <c r="L119" s="14" t="inlineStr">
        <is>
          <t>-249%</t>
        </is>
      </c>
      <c r="M119" s="14" t="inlineStr">
        <is>
          <t>-89%</t>
        </is>
      </c>
      <c r="N119" s="14" t="inlineStr">
        <is>
          <t>99%</t>
        </is>
      </c>
      <c r="O119" s="14" t="n">
        <v>0</v>
      </c>
      <c r="P119" s="14" t="inlineStr">
        <is>
          <t>17%</t>
        </is>
      </c>
      <c r="Q119" s="14" t="n">
        <v>4066</v>
      </c>
      <c r="R119" s="14" t="inlineStr">
        <is>
          <t>P/B 0.84 · P/S 1.7 · net cash 64% of mcap · rev +72% · op margin -249% · diluting 99%/yr</t>
        </is>
      </c>
      <c r="S119" s="14" t="inlineStr">
        <is>
          <t>FCF yield &gt;100% (check)</t>
        </is>
      </c>
      <c r="T119" s="14" t="inlineStr">
        <is>
          <t>Payoff Geometry, Mechanism Gates</t>
        </is>
      </c>
    </row>
    <row r="120">
      <c r="A120" s="8" t="inlineStr">
        <is>
          <t>PMCB</t>
        </is>
      </c>
      <c r="B120" s="16" t="inlineStr">
        <is>
          <t>PharmaCyte Biotech, In</t>
        </is>
      </c>
      <c r="C120" s="16" t="inlineStr">
        <is>
          <t>Healthcare</t>
        </is>
      </c>
      <c r="D120" s="16" t="n">
        <v>5</v>
      </c>
      <c r="E120" s="16" t="n">
        <v>0.12</v>
      </c>
      <c r="F120" s="16" t="n">
        <v>-0.2</v>
      </c>
      <c r="G120" s="16" t="n">
        <v>2.4</v>
      </c>
      <c r="H120" s="16" t="inlineStr">
        <is>
          <t>-85%</t>
        </is>
      </c>
      <c r="I120" s="16" t="inlineStr">
        <is>
          <t>449%</t>
        </is>
      </c>
      <c r="J120" s="16" t="n">
        <v>3.2</v>
      </c>
      <c r="K120" s="16" t="n"/>
      <c r="L120" s="16" t="inlineStr">
        <is>
          <t>0%</t>
        </is>
      </c>
      <c r="M120" s="16" t="inlineStr">
        <is>
          <t>-47%</t>
        </is>
      </c>
      <c r="N120" s="16" t="inlineStr">
        <is>
          <t>-11%</t>
        </is>
      </c>
      <c r="O120" s="16" t="n">
        <v>0</v>
      </c>
      <c r="P120" s="16" t="inlineStr">
        <is>
          <t>8%</t>
        </is>
      </c>
      <c r="Q120" s="16" t="n">
        <v>89</v>
      </c>
      <c r="R120" s="16" t="inlineStr">
        <is>
          <t>P/B 0.12 · EV/EBITDA 2.4× · FCF yld -85% · net cash 449% of mcap · op margin 0% · buying back 11%/yr</t>
        </is>
      </c>
      <c r="S120" s="16" t="inlineStr"/>
      <c r="T120" s="16" t="inlineStr">
        <is>
          <t>Payoff Geometry, Mechanism Gates</t>
        </is>
      </c>
    </row>
    <row r="121">
      <c r="A121" s="6" t="inlineStr">
        <is>
          <t>VTVT</t>
        </is>
      </c>
      <c r="B121" s="14" t="inlineStr">
        <is>
          <t>vTv Therapeutics Inc.</t>
        </is>
      </c>
      <c r="C121" s="14" t="inlineStr">
        <is>
          <t>Healthcare</t>
        </is>
      </c>
      <c r="D121" s="14" t="n">
        <v>82</v>
      </c>
      <c r="E121" s="14" t="n"/>
      <c r="F121" s="14" t="n">
        <v>-280.2</v>
      </c>
      <c r="G121" s="14" t="n">
        <v>1</v>
      </c>
      <c r="H121" s="14" t="inlineStr">
        <is>
          <t>-21%</t>
        </is>
      </c>
      <c r="I121" s="14" t="n"/>
      <c r="J121" s="14" t="n">
        <v>13.6</v>
      </c>
      <c r="K121" s="14" t="n"/>
      <c r="L121" s="14" t="inlineStr">
        <is>
          <t>-25%</t>
        </is>
      </c>
      <c r="M121" s="14" t="inlineStr">
        <is>
          <t>-6%</t>
        </is>
      </c>
      <c r="N121" s="14" t="inlineStr">
        <is>
          <t>88%</t>
        </is>
      </c>
      <c r="O121" s="14" t="n">
        <v>-1541.8</v>
      </c>
      <c r="P121" s="14" t="inlineStr">
        <is>
          <t>48%</t>
        </is>
      </c>
      <c r="Q121" s="14" t="n">
        <v>2068</v>
      </c>
      <c r="R121" s="14" t="inlineStr">
        <is>
          <t>EV/EBITDA 1.0× · FCF yld -21% · op margin -25% · diluting 88%/yr</t>
        </is>
      </c>
      <c r="S121" s="14" t="inlineStr">
        <is>
          <t>market-cap/share data inconsistent; revenue not comparable YoY (fair-value / one-off income?)</t>
        </is>
      </c>
      <c r="T121" s="14" t="inlineStr">
        <is>
          <t>Payoff Geometry, Mechanism Gates</t>
        </is>
      </c>
    </row>
    <row r="122">
      <c r="A122" s="8" t="inlineStr">
        <is>
          <t>INR</t>
        </is>
      </c>
      <c r="B122" s="16" t="inlineStr">
        <is>
          <t>Infinity Natural Resou</t>
        </is>
      </c>
      <c r="C122" s="16" t="inlineStr">
        <is>
          <t>Energy</t>
        </is>
      </c>
      <c r="D122" s="16" t="n">
        <v>249</v>
      </c>
      <c r="E122" s="16" t="n">
        <v>1.38</v>
      </c>
      <c r="F122" s="16" t="n">
        <v>4.3</v>
      </c>
      <c r="G122" s="16" t="n">
        <v>-411.2</v>
      </c>
      <c r="H122" s="16" t="n"/>
      <c r="I122" s="16" t="inlineStr">
        <is>
          <t>-188%</t>
        </is>
      </c>
      <c r="J122" s="16" t="n">
        <v>-411.8</v>
      </c>
      <c r="K122" s="16" t="n"/>
      <c r="L122" s="16" t="inlineStr">
        <is>
          <t>41%</t>
        </is>
      </c>
      <c r="M122" s="16" t="inlineStr">
        <is>
          <t>16%</t>
        </is>
      </c>
      <c r="N122" s="16" t="n"/>
      <c r="O122" s="16" t="n">
        <v>8.300000000000001</v>
      </c>
      <c r="P122" s="16" t="inlineStr">
        <is>
          <t>25%</t>
        </is>
      </c>
      <c r="Q122" s="16" t="n">
        <v>4620</v>
      </c>
      <c r="R122" s="16" t="inlineStr">
        <is>
          <t>P/B 1.38 · P/S 0.5 · net debt 188% of mcap · op margin 41%</t>
        </is>
      </c>
      <c r="S122" s="16" t="inlineStr">
        <is>
          <t>FCF yield &gt;100% (check); new entity / merger: history not comparable</t>
        </is>
      </c>
      <c r="T122" s="16" t="inlineStr">
        <is>
          <t>Mechanism Gates, Structured Distressed</t>
        </is>
      </c>
    </row>
    <row r="123">
      <c r="A123" s="6" t="inlineStr">
        <is>
          <t>USNA</t>
        </is>
      </c>
      <c r="B123" s="14" t="inlineStr">
        <is>
          <t>USANA Health Sciences,</t>
        </is>
      </c>
      <c r="C123" s="14" t="inlineStr">
        <is>
          <t>Consumer Defen</t>
        </is>
      </c>
      <c r="D123" s="14" t="n">
        <v>261</v>
      </c>
      <c r="E123" s="14" t="n">
        <v>0.5</v>
      </c>
      <c r="F123" s="14" t="n">
        <v>-11.7</v>
      </c>
      <c r="G123" s="14" t="n">
        <v>2.8</v>
      </c>
      <c r="H123" s="14" t="inlineStr">
        <is>
          <t>6%</t>
        </is>
      </c>
      <c r="I123" s="14" t="inlineStr">
        <is>
          <t>64%</t>
        </is>
      </c>
      <c r="J123" s="14" t="n">
        <v>-5.2</v>
      </c>
      <c r="K123" s="14" t="inlineStr">
        <is>
          <t>2%</t>
        </is>
      </c>
      <c r="L123" s="14" t="inlineStr">
        <is>
          <t>1%</t>
        </is>
      </c>
      <c r="M123" s="14" t="inlineStr">
        <is>
          <t>-4%</t>
        </is>
      </c>
      <c r="N123" s="14" t="inlineStr">
        <is>
          <t>-0%</t>
        </is>
      </c>
      <c r="O123" s="14" t="n">
        <v>30</v>
      </c>
      <c r="P123" s="14" t="inlineStr">
        <is>
          <t>10%</t>
        </is>
      </c>
      <c r="Q123" s="14" t="n">
        <v>2310</v>
      </c>
      <c r="R123" s="14" t="inlineStr">
        <is>
          <t>P/B 0.50 · EV/EBITDA 2.8× · FCF yld 6% · net cash 64% of mcap · rev +2% · op margin 1%</t>
        </is>
      </c>
      <c r="S123" s="14" t="inlineStr"/>
      <c r="T123" s="14" t="inlineStr">
        <is>
          <t>Mechanism Gates, Governance Discount</t>
        </is>
      </c>
    </row>
    <row r="124">
      <c r="A124" s="8" t="inlineStr">
        <is>
          <t>DFH</t>
        </is>
      </c>
      <c r="B124" s="16" t="inlineStr">
        <is>
          <t>Dream Finders Homes, I</t>
        </is>
      </c>
      <c r="C124" s="16" t="inlineStr">
        <is>
          <t>Consumer Cycli</t>
        </is>
      </c>
      <c r="D124" s="16" t="n">
        <v>1075</v>
      </c>
      <c r="E124" s="16" t="n">
        <v>0.68</v>
      </c>
      <c r="F124" s="16" t="n">
        <v>7.4</v>
      </c>
      <c r="G124" s="16" t="n">
        <v>11.7</v>
      </c>
      <c r="H124" s="16" t="inlineStr">
        <is>
          <t>-15%</t>
        </is>
      </c>
      <c r="I124" s="16" t="inlineStr">
        <is>
          <t>-36%</t>
        </is>
      </c>
      <c r="J124" s="16" t="n">
        <v>3.1</v>
      </c>
      <c r="K124" s="16" t="inlineStr">
        <is>
          <t>-12%</t>
        </is>
      </c>
      <c r="L124" s="16" t="inlineStr">
        <is>
          <t>3%</t>
        </is>
      </c>
      <c r="M124" s="16" t="inlineStr">
        <is>
          <t>9%</t>
        </is>
      </c>
      <c r="N124" s="16" t="inlineStr">
        <is>
          <t>-10%</t>
        </is>
      </c>
      <c r="O124" s="16" t="n">
        <v>0</v>
      </c>
      <c r="P124" s="16" t="inlineStr">
        <is>
          <t>2%</t>
        </is>
      </c>
      <c r="Q124" s="16" t="n">
        <v>8423</v>
      </c>
      <c r="R124" s="16" t="inlineStr">
        <is>
          <t>P/B 0.68 · EV/EBITDA 11.7× · FCF yld -15% · net debt 36% of mcap · rev -12% · op margin 3% · buying back 10%/yr</t>
        </is>
      </c>
      <c r="S124" s="16" t="inlineStr"/>
      <c r="T124" s="16" t="inlineStr">
        <is>
          <t>Mechanism Gates, Structured Distressed</t>
        </is>
      </c>
    </row>
    <row r="125">
      <c r="A125" s="6" t="inlineStr">
        <is>
          <t>CAPS</t>
        </is>
      </c>
      <c r="B125" s="14" t="inlineStr">
        <is>
          <t>Capstone Holding Corp.</t>
        </is>
      </c>
      <c r="C125" s="14" t="inlineStr">
        <is>
          <t>Basic Material</t>
        </is>
      </c>
      <c r="D125" s="14" t="n">
        <v>3</v>
      </c>
      <c r="E125" s="14" t="n">
        <v>0.2</v>
      </c>
      <c r="F125" s="14" t="n">
        <v>-0</v>
      </c>
      <c r="G125" s="14" t="n">
        <v>-3.2</v>
      </c>
      <c r="H125" s="14" t="n"/>
      <c r="I125" s="14" t="inlineStr">
        <is>
          <t>-703%</t>
        </is>
      </c>
      <c r="J125" s="14" t="n">
        <v>-2.7</v>
      </c>
      <c r="K125" s="14" t="n"/>
      <c r="L125" s="14" t="inlineStr">
        <is>
          <t>-6%</t>
        </is>
      </c>
      <c r="M125" s="14" t="inlineStr">
        <is>
          <t>-140%</t>
        </is>
      </c>
      <c r="N125" s="14" t="n"/>
      <c r="O125" s="14" t="n">
        <v>-0.6</v>
      </c>
      <c r="P125" s="14" t="inlineStr">
        <is>
          <t>1%</t>
        </is>
      </c>
      <c r="Q125" s="14" t="n">
        <v>322</v>
      </c>
      <c r="R125" s="14" t="inlineStr">
        <is>
          <t>P/B 0.20 · P/S 0.0 · net debt 703% of mcap · op margin -6% · interest cover -0.6× ⚠</t>
        </is>
      </c>
      <c r="S125" s="14" t="inlineStr">
        <is>
          <t>FCF yield &gt;100% (check); new entity / merger: history not comparable</t>
        </is>
      </c>
      <c r="T125" s="14" t="inlineStr">
        <is>
          <t>Mechanism Gates, Structured Distressed</t>
        </is>
      </c>
    </row>
    <row r="126">
      <c r="A126" s="8" t="inlineStr">
        <is>
          <t>UEIC</t>
        </is>
      </c>
      <c r="B126" s="16" t="inlineStr">
        <is>
          <t xml:space="preserve">Universal Electronics </t>
        </is>
      </c>
      <c r="C126" s="16" t="inlineStr">
        <is>
          <t>Technology</t>
        </is>
      </c>
      <c r="D126" s="16" t="n">
        <v>66</v>
      </c>
      <c r="E126" s="16" t="n">
        <v>0.47</v>
      </c>
      <c r="F126" s="16" t="n">
        <v>-4.6</v>
      </c>
      <c r="G126" s="16" t="n">
        <v>7.7</v>
      </c>
      <c r="H126" s="16" t="inlineStr">
        <is>
          <t>10%</t>
        </is>
      </c>
      <c r="I126" s="16" t="inlineStr">
        <is>
          <t>3%</t>
        </is>
      </c>
      <c r="J126" s="16" t="n">
        <v>-0.3</v>
      </c>
      <c r="K126" s="16" t="inlineStr">
        <is>
          <t>-18%</t>
        </is>
      </c>
      <c r="L126" s="16" t="inlineStr">
        <is>
          <t>-0%</t>
        </is>
      </c>
      <c r="M126" s="16" t="inlineStr">
        <is>
          <t>-11%</t>
        </is>
      </c>
      <c r="N126" s="16" t="inlineStr">
        <is>
          <t>-4%</t>
        </is>
      </c>
      <c r="O126" s="16" t="n">
        <v>-3.7</v>
      </c>
      <c r="P126" s="16" t="inlineStr">
        <is>
          <t>78%</t>
        </is>
      </c>
      <c r="Q126" s="16" t="n">
        <v>319</v>
      </c>
      <c r="R126" s="16" t="inlineStr">
        <is>
          <t>P/B 0.47 · EV/EBITDA 7.7× · FCF yld 10% · net cash 3% of mcap · rev -18% · op margin -0% · buying back 4%/yr</t>
        </is>
      </c>
      <c r="S126" s="16" t="inlineStr"/>
      <c r="T126" s="16" t="inlineStr">
        <is>
          <t>Mechanism Gates, Governance Discount</t>
        </is>
      </c>
    </row>
    <row r="127">
      <c r="A127" s="6" t="inlineStr">
        <is>
          <t>AHCO</t>
        </is>
      </c>
      <c r="B127" s="14" t="inlineStr">
        <is>
          <t>AdaptHealth Corp.</t>
        </is>
      </c>
      <c r="C127" s="14" t="inlineStr">
        <is>
          <t>Healthcare</t>
        </is>
      </c>
      <c r="D127" s="14" t="n">
        <v>784</v>
      </c>
      <c r="E127" s="14" t="n">
        <v>0.57</v>
      </c>
      <c r="F127" s="14" t="n">
        <v>-3.4</v>
      </c>
      <c r="G127" s="14" t="n">
        <v>9.6</v>
      </c>
      <c r="H127" s="14" t="inlineStr">
        <is>
          <t>13%</t>
        </is>
      </c>
      <c r="I127" s="14" t="inlineStr">
        <is>
          <t>-258%</t>
        </is>
      </c>
      <c r="J127" s="14" t="n">
        <v>7</v>
      </c>
      <c r="K127" s="14" t="inlineStr">
        <is>
          <t>15%</t>
        </is>
      </c>
      <c r="L127" s="14" t="inlineStr">
        <is>
          <t>-0%</t>
        </is>
      </c>
      <c r="M127" s="14" t="inlineStr">
        <is>
          <t>-15%</t>
        </is>
      </c>
      <c r="N127" s="14" t="inlineStr">
        <is>
          <t>-1%</t>
        </is>
      </c>
      <c r="O127" s="14" t="n">
        <v>-0.1</v>
      </c>
      <c r="P127" s="14" t="inlineStr">
        <is>
          <t>7%</t>
        </is>
      </c>
      <c r="Q127" s="14" t="n">
        <v>13658</v>
      </c>
      <c r="R127" s="14" t="inlineStr">
        <is>
          <t>P/B 0.57 · EV/EBITDA 9.6× · FCF yld 13% · net debt 258% of mcap · rev +15% · op margin -0% · interest cover -0.1× ⚠</t>
        </is>
      </c>
      <c r="S127" s="14" t="inlineStr"/>
      <c r="T127" s="14" t="inlineStr">
        <is>
          <t>Mechanism Gates, Governance Discount</t>
        </is>
      </c>
    </row>
    <row r="128">
      <c r="A128" s="8" t="inlineStr">
        <is>
          <t>GETY</t>
        </is>
      </c>
      <c r="B128" s="16" t="inlineStr">
        <is>
          <t>Getty Images Holdings,</t>
        </is>
      </c>
      <c r="C128" s="16" t="inlineStr">
        <is>
          <t xml:space="preserve">Communication </t>
        </is>
      </c>
      <c r="D128" s="16" t="n">
        <v>93</v>
      </c>
      <c r="E128" s="16" t="n">
        <v>0.21</v>
      </c>
      <c r="F128" s="16" t="n">
        <v>-0.6</v>
      </c>
      <c r="G128" s="16" t="n">
        <v>11.5</v>
      </c>
      <c r="H128" s="16" t="inlineStr">
        <is>
          <t>-91%</t>
        </is>
      </c>
      <c r="I128" s="16" t="inlineStr">
        <is>
          <t>-2162%</t>
        </is>
      </c>
      <c r="J128" s="16" t="n">
        <v>11</v>
      </c>
      <c r="K128" s="16" t="inlineStr">
        <is>
          <t>3%</t>
        </is>
      </c>
      <c r="L128" s="16" t="inlineStr">
        <is>
          <t>21%</t>
        </is>
      </c>
      <c r="M128" s="16" t="inlineStr">
        <is>
          <t>-29%</t>
        </is>
      </c>
      <c r="N128" s="16" t="inlineStr">
        <is>
          <t>1%</t>
        </is>
      </c>
      <c r="O128" s="16" t="n">
        <v>1</v>
      </c>
      <c r="P128" s="16" t="inlineStr">
        <is>
          <t>0%</t>
        </is>
      </c>
      <c r="Q128" s="16" t="n">
        <v>1476</v>
      </c>
      <c r="R128" s="16" t="inlineStr">
        <is>
          <t>P/B 0.21 · EV/EBITDA 11.5× · FCF yld -91% · net debt 2162% of mcap · rev +3% · op margin 21% · interest cover 1.0× ⚠</t>
        </is>
      </c>
      <c r="S128" s="16" t="inlineStr"/>
      <c r="T128" s="16" t="inlineStr">
        <is>
          <t>Mechanism Gates, Governance Discount</t>
        </is>
      </c>
    </row>
    <row r="129">
      <c r="A129" s="6" t="inlineStr">
        <is>
          <t>NNDM</t>
        </is>
      </c>
      <c r="B129" s="14" t="inlineStr">
        <is>
          <t>Nano Dimension Ltd.</t>
        </is>
      </c>
      <c r="C129" s="14" t="inlineStr">
        <is>
          <t>Technology</t>
        </is>
      </c>
      <c r="D129" s="14" t="n">
        <v>332</v>
      </c>
      <c r="E129" s="14" t="n">
        <v>0.6899999999999999</v>
      </c>
      <c r="F129" s="14" t="n">
        <v>-2.1</v>
      </c>
      <c r="G129" s="14" t="n">
        <v>-0</v>
      </c>
      <c r="H129" s="14" t="inlineStr">
        <is>
          <t>-20%</t>
        </is>
      </c>
      <c r="I129" s="14" t="inlineStr">
        <is>
          <t>124%</t>
        </is>
      </c>
      <c r="J129" s="14" t="n">
        <v>2.6</v>
      </c>
      <c r="K129" s="14" t="inlineStr">
        <is>
          <t>74%</t>
        </is>
      </c>
      <c r="L129" s="14" t="inlineStr">
        <is>
          <t>-67%</t>
        </is>
      </c>
      <c r="M129" s="14" t="inlineStr">
        <is>
          <t>-31%</t>
        </is>
      </c>
      <c r="N129" s="14" t="inlineStr">
        <is>
          <t>-4%</t>
        </is>
      </c>
      <c r="O129" s="14" t="n">
        <v>-108.5</v>
      </c>
      <c r="P129" s="14" t="inlineStr">
        <is>
          <t>34%</t>
        </is>
      </c>
      <c r="Q129" s="14" t="n">
        <v>5334</v>
      </c>
      <c r="R129" s="14" t="inlineStr">
        <is>
          <t>P/B 0.69 · P/S 2.7 · FCF yld -20% · net cash 124% of mcap · rev +74% · op margin -67% · buying back 4%/yr</t>
        </is>
      </c>
      <c r="S129" s="14" t="inlineStr"/>
      <c r="T129" s="14" t="inlineStr">
        <is>
          <t>Mechanism Gates, Governance Discount</t>
        </is>
      </c>
    </row>
    <row r="130">
      <c r="A130" s="8" t="inlineStr">
        <is>
          <t>TOON</t>
        </is>
      </c>
      <c r="B130" s="16" t="inlineStr">
        <is>
          <t>Kartoon Studios Inc.</t>
        </is>
      </c>
      <c r="C130" s="16" t="inlineStr">
        <is>
          <t xml:space="preserve">Communication </t>
        </is>
      </c>
      <c r="D130" s="16" t="n">
        <v>34</v>
      </c>
      <c r="E130" s="16" t="n">
        <v>0.66</v>
      </c>
      <c r="F130" s="16" t="n">
        <v>7.8</v>
      </c>
      <c r="G130" s="16" t="n">
        <v>2.6</v>
      </c>
      <c r="H130" s="16" t="inlineStr">
        <is>
          <t>75%</t>
        </is>
      </c>
      <c r="I130" s="16" t="inlineStr">
        <is>
          <t>91%</t>
        </is>
      </c>
      <c r="J130" s="16" t="n">
        <v>0.1</v>
      </c>
      <c r="K130" s="16" t="inlineStr">
        <is>
          <t>-82%</t>
        </is>
      </c>
      <c r="L130" s="16" t="inlineStr">
        <is>
          <t>-570%</t>
        </is>
      </c>
      <c r="M130" s="16" t="inlineStr">
        <is>
          <t>32%</t>
        </is>
      </c>
      <c r="N130" s="16" t="inlineStr">
        <is>
          <t>48%</t>
        </is>
      </c>
      <c r="O130" s="16" t="n">
        <v>-48.3</v>
      </c>
      <c r="P130" s="16" t="inlineStr">
        <is>
          <t>10%</t>
        </is>
      </c>
      <c r="Q130" s="16" t="n">
        <v>701</v>
      </c>
      <c r="R130" s="16" t="inlineStr">
        <is>
          <t>P/B 0.66 · EV/EBITDA 2.6× · FCF yld 75% · net cash 91% of mcap · rev -82% · diluting 48%/yr</t>
        </is>
      </c>
      <c r="S130" s="16" t="inlineStr"/>
      <c r="T130" s="16" t="inlineStr">
        <is>
          <t>Mechanism Gates, Governance Discount</t>
        </is>
      </c>
    </row>
    <row r="131">
      <c r="A131" s="6" t="inlineStr">
        <is>
          <t>MED</t>
        </is>
      </c>
      <c r="B131" s="14" t="inlineStr">
        <is>
          <t>Medifast, Inc.</t>
        </is>
      </c>
      <c r="C131" s="14" t="inlineStr">
        <is>
          <t>Consumer Cycli</t>
        </is>
      </c>
      <c r="D131" s="14" t="n">
        <v>135</v>
      </c>
      <c r="E131" s="14" t="n">
        <v>0.6899999999999999</v>
      </c>
      <c r="F131" s="14" t="n">
        <v>-5.2</v>
      </c>
      <c r="G131" s="14" t="n">
        <v>-24.9</v>
      </c>
      <c r="H131" s="14" t="inlineStr">
        <is>
          <t>3%</t>
        </is>
      </c>
      <c r="I131" s="14" t="inlineStr">
        <is>
          <t>105%</t>
        </is>
      </c>
      <c r="J131" s="14" t="n">
        <v>12.4</v>
      </c>
      <c r="K131" s="14" t="inlineStr">
        <is>
          <t>-34%</t>
        </is>
      </c>
      <c r="L131" s="14" t="inlineStr">
        <is>
          <t>-5%</t>
        </is>
      </c>
      <c r="M131" s="14" t="inlineStr">
        <is>
          <t>-13%</t>
        </is>
      </c>
      <c r="N131" s="14" t="inlineStr">
        <is>
          <t>1%</t>
        </is>
      </c>
      <c r="O131" s="14" t="n">
        <v>0</v>
      </c>
      <c r="P131" s="14" t="inlineStr">
        <is>
          <t>57%</t>
        </is>
      </c>
      <c r="Q131" s="14" t="n">
        <v>2325</v>
      </c>
      <c r="R131" s="14" t="inlineStr">
        <is>
          <t>P/B 0.69 · P/S 0.4 · FCF yld 3% · net cash 105% of mcap · rev -34% · op margin -5%</t>
        </is>
      </c>
      <c r="S131" s="14" t="inlineStr"/>
      <c r="T131" s="14" t="inlineStr">
        <is>
          <t>Mechanism Gates, Governance Discount</t>
        </is>
      </c>
    </row>
    <row r="132">
      <c r="A132" s="8" t="inlineStr">
        <is>
          <t>JOB</t>
        </is>
      </c>
      <c r="B132" s="16" t="inlineStr">
        <is>
          <t>GEE Group Inc.</t>
        </is>
      </c>
      <c r="C132" s="16" t="inlineStr">
        <is>
          <t>Industrials</t>
        </is>
      </c>
      <c r="D132" s="16" t="n">
        <v>26</v>
      </c>
      <c r="E132" s="16" t="n">
        <v>0.51</v>
      </c>
      <c r="F132" s="16" t="n">
        <v>-293.9</v>
      </c>
      <c r="G132" s="16" t="n">
        <v>6.8</v>
      </c>
      <c r="H132" s="16" t="inlineStr">
        <is>
          <t>6%</t>
        </is>
      </c>
      <c r="I132" s="16" t="inlineStr">
        <is>
          <t>65%</t>
        </is>
      </c>
      <c r="J132" s="16" t="n">
        <v>-12.4</v>
      </c>
      <c r="K132" s="16" t="inlineStr">
        <is>
          <t>-17%</t>
        </is>
      </c>
      <c r="L132" s="16" t="inlineStr">
        <is>
          <t>-1%</t>
        </is>
      </c>
      <c r="M132" s="16" t="inlineStr">
        <is>
          <t>-0%</t>
        </is>
      </c>
      <c r="N132" s="16" t="inlineStr">
        <is>
          <t>1%</t>
        </is>
      </c>
      <c r="O132" s="16" t="n">
        <v>-2.4</v>
      </c>
      <c r="P132" s="16" t="inlineStr">
        <is>
          <t>59%</t>
        </is>
      </c>
      <c r="Q132" s="16" t="n">
        <v>51</v>
      </c>
      <c r="R132" s="16" t="inlineStr">
        <is>
          <t>P/B 0.51 · EV/EBITDA 6.8× · FCF yld 6% · net cash 65% of mcap · rev -17% · op margin -1%</t>
        </is>
      </c>
      <c r="S132" s="16" t="inlineStr"/>
      <c r="T132" s="16" t="inlineStr">
        <is>
          <t>Mechanism Gates, Governance Discount</t>
        </is>
      </c>
    </row>
    <row r="133">
      <c r="A133" s="6" t="inlineStr">
        <is>
          <t>KSS</t>
        </is>
      </c>
      <c r="B133" s="14" t="inlineStr">
        <is>
          <t>Kohl's Corporation</t>
        </is>
      </c>
      <c r="C133" s="14" t="inlineStr">
        <is>
          <t>Consumer Cycli</t>
        </is>
      </c>
      <c r="D133" s="14" t="n">
        <v>2026</v>
      </c>
      <c r="E133" s="14" t="n">
        <v>0.49</v>
      </c>
      <c r="F133" s="14" t="n">
        <v>7.2</v>
      </c>
      <c r="G133" s="14" t="n">
        <v>5.8</v>
      </c>
      <c r="H133" s="14" t="inlineStr">
        <is>
          <t>51%</t>
        </is>
      </c>
      <c r="I133" s="14" t="inlineStr">
        <is>
          <t>-276%</t>
        </is>
      </c>
      <c r="J133" s="14" t="n">
        <v>4.3</v>
      </c>
      <c r="K133" s="14" t="inlineStr">
        <is>
          <t>-3%</t>
        </is>
      </c>
      <c r="L133" s="14" t="inlineStr">
        <is>
          <t>4%</t>
        </is>
      </c>
      <c r="M133" s="14" t="inlineStr">
        <is>
          <t>7%</t>
        </is>
      </c>
      <c r="N133" s="14" t="inlineStr">
        <is>
          <t>4%</t>
        </is>
      </c>
      <c r="O133" s="14" t="n">
        <v>2.3</v>
      </c>
      <c r="P133" s="14" t="inlineStr">
        <is>
          <t>47%</t>
        </is>
      </c>
      <c r="Q133" s="14" t="n">
        <v>83358</v>
      </c>
      <c r="R133" s="14" t="inlineStr">
        <is>
          <t>P/B 0.49 · EV/EBITDA 5.8× · FCF yld 51% · net debt 276% of mcap · rev -3% · op margin 4% · diluting 4%/yr</t>
        </is>
      </c>
      <c r="S133" s="14" t="inlineStr"/>
      <c r="T133" s="14" t="inlineStr">
        <is>
          <t>Governance Discount, PSU Plans</t>
        </is>
      </c>
    </row>
    <row r="134">
      <c r="A134" s="8" t="inlineStr">
        <is>
          <t>ALIT</t>
        </is>
      </c>
      <c r="B134" s="16" t="inlineStr">
        <is>
          <t>Alight, Inc.</t>
        </is>
      </c>
      <c r="C134" s="16" t="inlineStr">
        <is>
          <t>Technology</t>
        </is>
      </c>
      <c r="D134" s="16" t="n">
        <v>341</v>
      </c>
      <c r="E134" s="16" t="n">
        <v>0.33</v>
      </c>
      <c r="F134" s="16" t="n">
        <v>-0.2</v>
      </c>
      <c r="G134" s="16" t="n">
        <v>-1.8</v>
      </c>
      <c r="H134" s="16" t="inlineStr">
        <is>
          <t>75%</t>
        </is>
      </c>
      <c r="I134" s="16" t="inlineStr">
        <is>
          <t>-542%</t>
        </is>
      </c>
      <c r="J134" s="16" t="n">
        <v>-1.5</v>
      </c>
      <c r="K134" s="16" t="inlineStr">
        <is>
          <t>-3%</t>
        </is>
      </c>
      <c r="L134" s="16" t="inlineStr">
        <is>
          <t>44%</t>
        </is>
      </c>
      <c r="M134" s="16" t="inlineStr">
        <is>
          <t>-159%</t>
        </is>
      </c>
      <c r="N134" s="16" t="inlineStr">
        <is>
          <t>-0%</t>
        </is>
      </c>
      <c r="O134" s="16" t="n">
        <v>10.3</v>
      </c>
      <c r="P134" s="16" t="inlineStr">
        <is>
          <t>6%</t>
        </is>
      </c>
      <c r="Q134" s="16" t="n">
        <v>12008</v>
      </c>
      <c r="R134" s="16" t="inlineStr">
        <is>
          <t>P/B 0.33 · P/S 0.1 · FCF yld 75% · net debt 542% of mcap · rev -3% · op margin 44%</t>
        </is>
      </c>
      <c r="S134" s="16" t="inlineStr"/>
      <c r="T134" s="16" t="inlineStr">
        <is>
          <t>Governance Discount, Turnaround Signal</t>
        </is>
      </c>
    </row>
    <row r="135">
      <c r="A135" s="6" t="inlineStr">
        <is>
          <t>GNW</t>
        </is>
      </c>
      <c r="B135" s="14" t="inlineStr">
        <is>
          <t>Genworth Financial, In</t>
        </is>
      </c>
      <c r="C135" s="14" t="inlineStr">
        <is>
          <t>Financial Serv</t>
        </is>
      </c>
      <c r="D135" s="14" t="n">
        <v>3686</v>
      </c>
      <c r="E135" s="14" t="n">
        <v>0.42</v>
      </c>
      <c r="F135" s="14" t="n">
        <v>17.6</v>
      </c>
      <c r="G135" s="14" t="n">
        <v>5.7</v>
      </c>
      <c r="H135" s="14" t="inlineStr">
        <is>
          <t>12%</t>
        </is>
      </c>
      <c r="I135" s="14" t="inlineStr">
        <is>
          <t>1241%</t>
        </is>
      </c>
      <c r="J135" s="14" t="n">
        <v>-0.9</v>
      </c>
      <c r="K135" s="14" t="inlineStr">
        <is>
          <t>-1%</t>
        </is>
      </c>
      <c r="L135" s="14" t="inlineStr">
        <is>
          <t>6%</t>
        </is>
      </c>
      <c r="M135" s="14" t="inlineStr">
        <is>
          <t>2%</t>
        </is>
      </c>
      <c r="N135" s="14" t="inlineStr">
        <is>
          <t>-7%</t>
        </is>
      </c>
      <c r="O135" s="14" t="n">
        <v>3.9</v>
      </c>
      <c r="P135" s="14" t="inlineStr">
        <is>
          <t>63%</t>
        </is>
      </c>
      <c r="Q135" s="14" t="n">
        <v>30630</v>
      </c>
      <c r="R135" s="14" t="inlineStr">
        <is>
          <t>P/B 0.42 · P/E 17.6 · ROE 2% · buying back 7%/yr (financial: book/earnings basis)</t>
        </is>
      </c>
      <c r="S135" s="14" t="inlineStr"/>
      <c r="T135" s="14" t="inlineStr">
        <is>
          <t>Governance Discount, Call Intent</t>
        </is>
      </c>
    </row>
    <row r="136">
      <c r="A136" s="8" t="inlineStr">
        <is>
          <t>SNDL</t>
        </is>
      </c>
      <c r="B136" s="16" t="inlineStr">
        <is>
          <t>SNDL Inc.</t>
        </is>
      </c>
      <c r="C136" s="16" t="inlineStr">
        <is>
          <t>Consumer Defen</t>
        </is>
      </c>
      <c r="D136" s="16" t="n">
        <v>363</v>
      </c>
      <c r="E136" s="16" t="n">
        <v>0.48</v>
      </c>
      <c r="F136" s="16" t="n">
        <v>-20.5</v>
      </c>
      <c r="G136" s="16" t="n">
        <v>13.3</v>
      </c>
      <c r="H136" s="16" t="inlineStr">
        <is>
          <t>10%</t>
        </is>
      </c>
      <c r="I136" s="16" t="inlineStr">
        <is>
          <t>4%</t>
        </is>
      </c>
      <c r="J136" s="16" t="n">
        <v>-0.5</v>
      </c>
      <c r="K136" s="16" t="inlineStr">
        <is>
          <t>-2%</t>
        </is>
      </c>
      <c r="L136" s="16" t="inlineStr">
        <is>
          <t>-2%</t>
        </is>
      </c>
      <c r="M136" s="16" t="inlineStr">
        <is>
          <t>-2%</t>
        </is>
      </c>
      <c r="N136" s="16" t="inlineStr">
        <is>
          <t>-2%</t>
        </is>
      </c>
      <c r="O136" s="16" t="n">
        <v>-2.6</v>
      </c>
      <c r="P136" s="16" t="inlineStr">
        <is>
          <t>13%</t>
        </is>
      </c>
      <c r="Q136" s="16" t="n">
        <v>2517</v>
      </c>
      <c r="R136" s="16" t="inlineStr">
        <is>
          <t>P/B 0.48 · EV/EBITDA 13.3× · FCF yld 10% · net cash 4% of mcap · rev -2% · op margin -2% · buying back 2%/yr</t>
        </is>
      </c>
      <c r="S136" s="16" t="inlineStr"/>
      <c r="T136" s="16" t="inlineStr">
        <is>
          <t>Governance Discount, Call Intent</t>
        </is>
      </c>
    </row>
    <row r="137">
      <c r="A137" s="6" t="inlineStr">
        <is>
          <t>FG</t>
        </is>
      </c>
      <c r="B137" s="14" t="inlineStr">
        <is>
          <t xml:space="preserve">F&amp;G Annuities &amp; Life, </t>
        </is>
      </c>
      <c r="C137" s="14" t="inlineStr">
        <is>
          <t>Financial Serv</t>
        </is>
      </c>
      <c r="D137" s="14" t="n">
        <v>2888</v>
      </c>
      <c r="E137" s="14" t="n">
        <v>0.63</v>
      </c>
      <c r="F137" s="14" t="n">
        <v>7.2</v>
      </c>
      <c r="G137" s="14" t="n">
        <v>2.2</v>
      </c>
      <c r="H137" s="14" t="n"/>
      <c r="I137" s="14" t="inlineStr">
        <is>
          <t>14%</t>
        </is>
      </c>
      <c r="J137" s="14" t="n">
        <v>0.1</v>
      </c>
      <c r="K137" s="14" t="inlineStr">
        <is>
          <t>20%</t>
        </is>
      </c>
      <c r="L137" s="14" t="inlineStr">
        <is>
          <t>9%</t>
        </is>
      </c>
      <c r="M137" s="14" t="inlineStr">
        <is>
          <t>9%</t>
        </is>
      </c>
      <c r="N137" s="14" t="inlineStr">
        <is>
          <t>-3%</t>
        </is>
      </c>
      <c r="O137" s="14" t="n">
        <v>3.2</v>
      </c>
      <c r="P137" s="14" t="inlineStr">
        <is>
          <t>8%</t>
        </is>
      </c>
      <c r="Q137" s="14" t="n">
        <v>16873</v>
      </c>
      <c r="R137" s="14" t="inlineStr">
        <is>
          <t>P/B 0.63 · P/E 7.2 · ROE 9% · div yld 4.6% · buying back 3%/yr (financial: book/earnings basis)</t>
        </is>
      </c>
      <c r="S137" s="14" t="inlineStr">
        <is>
          <t>FCF yield &gt;100% (check)</t>
        </is>
      </c>
      <c r="T137" s="14" t="inlineStr">
        <is>
          <t>Governance Discount, Call Intent</t>
        </is>
      </c>
    </row>
    <row r="138">
      <c r="A138" s="8" t="inlineStr">
        <is>
          <t>ZSQR</t>
        </is>
      </c>
      <c r="B138" s="16" t="inlineStr">
        <is>
          <t>Z Squared Inc.</t>
        </is>
      </c>
      <c r="C138" s="16" t="inlineStr">
        <is>
          <t>Technology</t>
        </is>
      </c>
      <c r="D138" s="16" t="n">
        <v>18</v>
      </c>
      <c r="E138" s="16" t="n"/>
      <c r="F138" s="16" t="n">
        <v>-1.7</v>
      </c>
      <c r="G138" s="16" t="n">
        <v>-0.2</v>
      </c>
      <c r="H138" s="16" t="inlineStr">
        <is>
          <t>-22%</t>
        </is>
      </c>
      <c r="I138" s="16" t="n"/>
      <c r="J138" s="16" t="n">
        <v>0.8</v>
      </c>
      <c r="K138" s="16" t="n"/>
      <c r="L138" s="16" t="inlineStr">
        <is>
          <t>-779%</t>
        </is>
      </c>
      <c r="M138" s="16" t="inlineStr">
        <is>
          <t>-48%</t>
        </is>
      </c>
      <c r="N138" s="16" t="n"/>
      <c r="O138" s="16" t="n">
        <v>-42.9</v>
      </c>
      <c r="P138" s="16" t="inlineStr">
        <is>
          <t>5%</t>
        </is>
      </c>
      <c r="Q138" s="16" t="n">
        <v>1410</v>
      </c>
      <c r="R138" s="16" t="inlineStr">
        <is>
          <t>P/S 6.6 · FCF yld -22%</t>
        </is>
      </c>
      <c r="S138" s="16" t="inlineStr">
        <is>
          <t>market-cap/share data inconsistent; revenue not comparable YoY (fair-value / one-off income?)</t>
        </is>
      </c>
      <c r="T138" s="16" t="inlineStr">
        <is>
          <t>Governance Discount, Turnaround Signal</t>
        </is>
      </c>
    </row>
    <row r="139">
      <c r="A139" s="6" t="inlineStr">
        <is>
          <t>GPN</t>
        </is>
      </c>
      <c r="B139" s="14" t="inlineStr">
        <is>
          <t>Global Payments Inc.</t>
        </is>
      </c>
      <c r="C139" s="14" t="inlineStr">
        <is>
          <t>Financial Serv</t>
        </is>
      </c>
      <c r="D139" s="14" t="n">
        <v>21161</v>
      </c>
      <c r="E139" s="14" t="n">
        <v>0.92</v>
      </c>
      <c r="F139" s="14" t="n">
        <v>-21.6</v>
      </c>
      <c r="G139" s="14" t="n">
        <v>12.4</v>
      </c>
      <c r="H139" s="14" t="inlineStr">
        <is>
          <t>4%</t>
        </is>
      </c>
      <c r="I139" s="14" t="inlineStr">
        <is>
          <t>-80%</t>
        </is>
      </c>
      <c r="J139" s="14" t="n">
        <v>5.6</v>
      </c>
      <c r="K139" s="14" t="inlineStr">
        <is>
          <t>15%</t>
        </is>
      </c>
      <c r="L139" s="14" t="inlineStr">
        <is>
          <t>12%</t>
        </is>
      </c>
      <c r="M139" s="14" t="inlineStr">
        <is>
          <t>-4%</t>
        </is>
      </c>
      <c r="N139" s="14" t="inlineStr">
        <is>
          <t>6%</t>
        </is>
      </c>
      <c r="O139" s="14" t="n">
        <v>1.4</v>
      </c>
      <c r="P139" s="14" t="inlineStr">
        <is>
          <t>69%</t>
        </is>
      </c>
      <c r="Q139" s="14" t="n">
        <v>287522</v>
      </c>
      <c r="R139" s="14" t="inlineStr">
        <is>
          <t>P/B 0.92 · ROE -4% · div yld 1.2% · diluting 6%/yr (financial: book/earnings basis)</t>
        </is>
      </c>
      <c r="S139" s="14" t="inlineStr"/>
      <c r="T139" s="14" t="inlineStr">
        <is>
          <t>Call Intent, Asymmetry Assembly</t>
        </is>
      </c>
    </row>
    <row r="140">
      <c r="A140" s="8" t="inlineStr">
        <is>
          <t>DEC</t>
        </is>
      </c>
      <c r="B140" s="16" t="inlineStr">
        <is>
          <t>Diversified Energy Com</t>
        </is>
      </c>
      <c r="C140" s="16" t="inlineStr">
        <is>
          <t>Energy</t>
        </is>
      </c>
      <c r="D140" s="16" t="n">
        <v>1017</v>
      </c>
      <c r="E140" s="16" t="n">
        <v>1.07</v>
      </c>
      <c r="F140" s="16" t="n">
        <v>1.6</v>
      </c>
      <c r="G140" s="16" t="n">
        <v>3</v>
      </c>
      <c r="H140" s="16" t="inlineStr">
        <is>
          <t>27%</t>
        </is>
      </c>
      <c r="I140" s="16" t="inlineStr">
        <is>
          <t>-291%</t>
        </is>
      </c>
      <c r="J140" s="16" t="n">
        <v>2.2</v>
      </c>
      <c r="K140" s="16" t="inlineStr">
        <is>
          <t>42%</t>
        </is>
      </c>
      <c r="L140" s="16" t="inlineStr">
        <is>
          <t>35%</t>
        </is>
      </c>
      <c r="M140" s="16" t="inlineStr">
        <is>
          <t>64%</t>
        </is>
      </c>
      <c r="N140" s="16" t="inlineStr">
        <is>
          <t>9%</t>
        </is>
      </c>
      <c r="O140" s="16" t="n">
        <v>1.6</v>
      </c>
      <c r="P140" s="16" t="inlineStr">
        <is>
          <t>26%</t>
        </is>
      </c>
      <c r="Q140" s="16" t="n">
        <v>13738</v>
      </c>
      <c r="R140" s="16" t="inlineStr">
        <is>
          <t>P/B 1.07 · EV/EBITDA 3.0× · FCF yld 27% · net debt 291% of mcap · rev +42% · op margin 35% · diluting 9%/yr</t>
        </is>
      </c>
      <c r="S140" s="16" t="inlineStr"/>
      <c r="T140" s="16" t="inlineStr">
        <is>
          <t>Call Intent, Re-Rate Catalysts</t>
        </is>
      </c>
    </row>
    <row r="141">
      <c r="A141" s="6" t="inlineStr">
        <is>
          <t>AHRT</t>
        </is>
      </c>
      <c r="B141" s="14" t="inlineStr">
        <is>
          <t>AH Realty Trust, Inc.</t>
        </is>
      </c>
      <c r="C141" s="14" t="inlineStr">
        <is>
          <t>Real Estate</t>
        </is>
      </c>
      <c r="D141" s="14" t="n">
        <v>577</v>
      </c>
      <c r="E141" s="14" t="n">
        <v>1.09</v>
      </c>
      <c r="F141" s="14" t="n">
        <v>-10.3</v>
      </c>
      <c r="G141" s="14" t="n">
        <v>10.9</v>
      </c>
      <c r="H141" s="14" t="inlineStr">
        <is>
          <t>9%</t>
        </is>
      </c>
      <c r="I141" s="14" t="inlineStr">
        <is>
          <t>-182%</t>
        </is>
      </c>
      <c r="J141" s="14" t="n">
        <v>7</v>
      </c>
      <c r="K141" s="14" t="inlineStr">
        <is>
          <t>-63%</t>
        </is>
      </c>
      <c r="L141" s="14" t="inlineStr">
        <is>
          <t>40%</t>
        </is>
      </c>
      <c r="M141" s="14" t="inlineStr">
        <is>
          <t>-8%</t>
        </is>
      </c>
      <c r="N141" s="14" t="inlineStr">
        <is>
          <t>22%</t>
        </is>
      </c>
      <c r="O141" s="14" t="n">
        <v>0.9</v>
      </c>
      <c r="P141" s="14" t="inlineStr">
        <is>
          <t>40%</t>
        </is>
      </c>
      <c r="Q141" s="14" t="n">
        <v>4828</v>
      </c>
      <c r="R141" s="14" t="inlineStr">
        <is>
          <t>P/B 1.09 · EV/EBITDA 10.9× · FCF yld 9% · net debt 182% of mcap · rev -63% · op margin 40% · diluting 22%/yr · interest cover 0.9× ⚠</t>
        </is>
      </c>
      <c r="S141" s="14" t="inlineStr"/>
      <c r="T141" s="14" t="inlineStr">
        <is>
          <t>Call Intent, Single-Measure Best</t>
        </is>
      </c>
    </row>
    <row r="142">
      <c r="A142" s="8" t="inlineStr">
        <is>
          <t>EIG</t>
        </is>
      </c>
      <c r="B142" s="16" t="inlineStr">
        <is>
          <t>Employers Holdings, In</t>
        </is>
      </c>
      <c r="C142" s="16" t="inlineStr">
        <is>
          <t>Financial Serv</t>
        </is>
      </c>
      <c r="D142" s="16" t="n">
        <v>993</v>
      </c>
      <c r="E142" s="16" t="n">
        <v>1.16</v>
      </c>
      <c r="F142" s="16" t="n">
        <v>69.2</v>
      </c>
      <c r="G142" s="16" t="n">
        <v>45.9</v>
      </c>
      <c r="H142" s="16" t="inlineStr">
        <is>
          <t>2%</t>
        </is>
      </c>
      <c r="I142" s="16" t="inlineStr">
        <is>
          <t>100%</t>
        </is>
      </c>
      <c r="J142" s="16" t="n">
        <v>0.7</v>
      </c>
      <c r="K142" s="16" t="inlineStr">
        <is>
          <t>-6%</t>
        </is>
      </c>
      <c r="L142" s="16" t="inlineStr">
        <is>
          <t>1%</t>
        </is>
      </c>
      <c r="M142" s="16" t="inlineStr">
        <is>
          <t>1%</t>
        </is>
      </c>
      <c r="N142" s="16" t="inlineStr">
        <is>
          <t>-24%</t>
        </is>
      </c>
      <c r="O142" s="16" t="n">
        <v>2.4</v>
      </c>
      <c r="P142" s="16" t="inlineStr">
        <is>
          <t>73%</t>
        </is>
      </c>
      <c r="Q142" s="16" t="n">
        <v>10247</v>
      </c>
      <c r="R142" s="16" t="inlineStr">
        <is>
          <t>P/B 1.16 · P/E 69.2 · ROE 1% · div yld 2.8% · buying back 24%/yr (financial: book/earnings basis)</t>
        </is>
      </c>
      <c r="S142" s="16" t="inlineStr"/>
      <c r="T142" s="16" t="inlineStr">
        <is>
          <t>Call Intent, Single-Measure Best</t>
        </is>
      </c>
    </row>
    <row r="143">
      <c r="A143" s="6" t="inlineStr">
        <is>
          <t>WFC</t>
        </is>
      </c>
      <c r="B143" s="14" t="inlineStr">
        <is>
          <t>Wells Fargo &amp; Company</t>
        </is>
      </c>
      <c r="C143" s="14" t="inlineStr">
        <is>
          <t>Financial Serv</t>
        </is>
      </c>
      <c r="D143" s="14" t="n">
        <v>249813</v>
      </c>
      <c r="E143" s="14" t="n">
        <v>1.39</v>
      </c>
      <c r="F143" s="14" t="n">
        <v>11.7</v>
      </c>
      <c r="G143" s="14" t="n">
        <v>15.2</v>
      </c>
      <c r="H143" s="14" t="inlineStr">
        <is>
          <t>8%</t>
        </is>
      </c>
      <c r="I143" s="14" t="inlineStr">
        <is>
          <t>192%</t>
        </is>
      </c>
      <c r="J143" s="14" t="n">
        <v>7.7</v>
      </c>
      <c r="K143" s="14" t="inlineStr">
        <is>
          <t>6%</t>
        </is>
      </c>
      <c r="L143" s="14" t="inlineStr">
        <is>
          <t>21%</t>
        </is>
      </c>
      <c r="M143" s="14" t="inlineStr">
        <is>
          <t>13%</t>
        </is>
      </c>
      <c r="N143" s="14" t="inlineStr">
        <is>
          <t>-6%</t>
        </is>
      </c>
      <c r="O143" s="14" t="n">
        <v>0.6</v>
      </c>
      <c r="P143" s="14" t="inlineStr">
        <is>
          <t>39%</t>
        </is>
      </c>
      <c r="Q143" s="14" t="n">
        <v>1227608</v>
      </c>
      <c r="R143" s="14" t="inlineStr">
        <is>
          <t>P/B 1.39 · P/E 11.7 · ROE 13% · div yld 2.3% · buying back 6%/yr (financial: book/earnings basis)</t>
        </is>
      </c>
      <c r="S143" s="14" t="inlineStr"/>
      <c r="T143" s="14" t="inlineStr">
        <is>
          <t>Call Intent, Political Trades</t>
        </is>
      </c>
    </row>
    <row r="144">
      <c r="A144" s="8" t="inlineStr">
        <is>
          <t>NVDA</t>
        </is>
      </c>
      <c r="B144" s="16" t="inlineStr">
        <is>
          <t>NVIDIA Corporation</t>
        </is>
      </c>
      <c r="C144" s="16" t="inlineStr">
        <is>
          <t>Technology</t>
        </is>
      </c>
      <c r="D144" s="16" t="n">
        <v>5461303</v>
      </c>
      <c r="E144" s="16" t="n">
        <v>45.93</v>
      </c>
      <c r="F144" s="16" t="n">
        <v>28.3</v>
      </c>
      <c r="G144" s="16" t="n">
        <v>23.4</v>
      </c>
      <c r="H144" s="16" t="inlineStr">
        <is>
          <t>2%</t>
        </is>
      </c>
      <c r="I144" s="16" t="inlineStr">
        <is>
          <t>1%</t>
        </is>
      </c>
      <c r="J144" s="16" t="n">
        <v>0.1</v>
      </c>
      <c r="K144" s="16" t="inlineStr">
        <is>
          <t>72%</t>
        </is>
      </c>
      <c r="L144" s="16" t="inlineStr">
        <is>
          <t>65%</t>
        </is>
      </c>
      <c r="M144" s="16" t="inlineStr">
        <is>
          <t>110%</t>
        </is>
      </c>
      <c r="N144" s="16" t="inlineStr">
        <is>
          <t>-1%</t>
        </is>
      </c>
      <c r="O144" s="16" t="n">
        <v>426.7</v>
      </c>
      <c r="P144" s="16" t="inlineStr">
        <is>
          <t>85%</t>
        </is>
      </c>
      <c r="Q144" s="16" t="n">
        <v>31953316</v>
      </c>
      <c r="R144" s="16" t="inlineStr">
        <is>
          <t>P/B 45.93 · EV/EBITDA 23.4× · FCF yld 2% · net cash 1% of mcap · rev +72% · op margin 65%</t>
        </is>
      </c>
      <c r="S144" s="16" t="inlineStr"/>
      <c r="T144" s="16" t="inlineStr">
        <is>
          <t>Political Trades, Single-Measure Best</t>
        </is>
      </c>
    </row>
    <row r="145">
      <c r="A145" s="6" t="inlineStr">
        <is>
          <t>NOW</t>
        </is>
      </c>
      <c r="B145" s="14" t="inlineStr">
        <is>
          <t>ServiceNow, Inc.</t>
        </is>
      </c>
      <c r="C145" s="14" t="inlineStr">
        <is>
          <t>Technology</t>
        </is>
      </c>
      <c r="D145" s="14" t="n">
        <v>144622</v>
      </c>
      <c r="E145" s="14" t="n">
        <v>11.55</v>
      </c>
      <c r="F145" s="14" t="n">
        <v>87.40000000000001</v>
      </c>
      <c r="G145" s="14" t="n">
        <v>43.4</v>
      </c>
      <c r="H145" s="14" t="inlineStr">
        <is>
          <t>3%</t>
        </is>
      </c>
      <c r="I145" s="14" t="inlineStr">
        <is>
          <t>-3%</t>
        </is>
      </c>
      <c r="J145" s="14" t="n">
        <v>1.7</v>
      </c>
      <c r="K145" s="14" t="inlineStr">
        <is>
          <t>22%</t>
        </is>
      </c>
      <c r="L145" s="14" t="inlineStr">
        <is>
          <t>11%</t>
        </is>
      </c>
      <c r="M145" s="14" t="inlineStr">
        <is>
          <t>14%</t>
        </is>
      </c>
      <c r="N145" s="14" t="inlineStr">
        <is>
          <t>-1%</t>
        </is>
      </c>
      <c r="O145" s="14" t="n">
        <v>20.2</v>
      </c>
      <c r="P145" s="14" t="inlineStr">
        <is>
          <t>52%</t>
        </is>
      </c>
      <c r="Q145" s="14" t="n">
        <v>3345525</v>
      </c>
      <c r="R145" s="14" t="inlineStr">
        <is>
          <t>P/B 11.55 · EV/EBITDA 43.4× · FCF yld 3% · net debt 3% of mcap · rev +22% · op margin 11%</t>
        </is>
      </c>
      <c r="S145" s="14" t="inlineStr"/>
      <c r="T145" s="14" t="inlineStr">
        <is>
          <t>Political Trades, Single-Measure Best</t>
        </is>
      </c>
    </row>
    <row r="146">
      <c r="A146" s="8" t="inlineStr">
        <is>
          <t>ZTS</t>
        </is>
      </c>
      <c r="B146" s="16" t="inlineStr">
        <is>
          <t>Zoetis Inc.</t>
        </is>
      </c>
      <c r="C146" s="16" t="inlineStr">
        <is>
          <t>Healthcare</t>
        </is>
      </c>
      <c r="D146" s="16" t="n">
        <v>30117</v>
      </c>
      <c r="E146" s="16" t="n">
        <v>9.57</v>
      </c>
      <c r="F146" s="16" t="n">
        <v>11.8</v>
      </c>
      <c r="G146" s="16" t="n">
        <v>9.800000000000001</v>
      </c>
      <c r="H146" s="16" t="inlineStr">
        <is>
          <t>8%</t>
        </is>
      </c>
      <c r="I146" s="16" t="inlineStr">
        <is>
          <t>-25%</t>
        </is>
      </c>
      <c r="J146" s="16" t="n">
        <v>2</v>
      </c>
      <c r="K146" s="16" t="inlineStr">
        <is>
          <t>1%</t>
        </is>
      </c>
      <c r="L146" s="16" t="inlineStr">
        <is>
          <t>37%</t>
        </is>
      </c>
      <c r="M146" s="16" t="inlineStr">
        <is>
          <t>69%</t>
        </is>
      </c>
      <c r="N146" s="16" t="inlineStr">
        <is>
          <t>-6%</t>
        </is>
      </c>
      <c r="O146" s="16" t="n">
        <v>14.4</v>
      </c>
      <c r="P146" s="16" t="inlineStr">
        <is>
          <t>2%</t>
        </is>
      </c>
      <c r="Q146" s="16" t="n">
        <v>464886</v>
      </c>
      <c r="R146" s="16" t="inlineStr">
        <is>
          <t>P/B 9.57 · EV/EBITDA 9.8× · FCF yld 8% · net debt 25% of mcap · rev +1% · op margin 37% · buying back 6%/yr</t>
        </is>
      </c>
      <c r="S146" s="16" t="inlineStr"/>
      <c r="T146" s="16" t="inlineStr">
        <is>
          <t>Political Trades, Without Valuation</t>
        </is>
      </c>
    </row>
    <row r="147">
      <c r="A147" s="6" t="inlineStr">
        <is>
          <t>HCTI</t>
        </is>
      </c>
      <c r="B147" s="14" t="inlineStr">
        <is>
          <t>Healthcare Triangle, I</t>
        </is>
      </c>
      <c r="C147" s="14" t="inlineStr">
        <is>
          <t>Healthcare</t>
        </is>
      </c>
      <c r="D147" s="14" t="n">
        <v>1</v>
      </c>
      <c r="E147" s="14" t="n"/>
      <c r="F147" s="14" t="n">
        <v>-0</v>
      </c>
      <c r="G147" s="14" t="n">
        <v>-0.8</v>
      </c>
      <c r="H147" s="14" t="n"/>
      <c r="I147" s="14" t="n"/>
      <c r="J147" s="14" t="n">
        <v>-0.8</v>
      </c>
      <c r="K147" s="14" t="inlineStr">
        <is>
          <t>116%</t>
        </is>
      </c>
      <c r="L147" s="14" t="inlineStr">
        <is>
          <t>-57%</t>
        </is>
      </c>
      <c r="M147" s="14" t="inlineStr">
        <is>
          <t>-56%</t>
        </is>
      </c>
      <c r="N147" s="14" t="n"/>
      <c r="O147" s="14" t="n">
        <v>-48.1</v>
      </c>
      <c r="P147" s="14" t="inlineStr">
        <is>
          <t>0%</t>
        </is>
      </c>
      <c r="Q147" s="14" t="n">
        <v>970</v>
      </c>
      <c r="R147" s="14" t="inlineStr">
        <is>
          <t>P/S 0.0 · rev +116% · op margin -57%</t>
        </is>
      </c>
      <c r="S147" s="14" t="inlineStr">
        <is>
          <t>market-cap/share data inconsistent; FCF yield &gt;100% (check)</t>
        </is>
      </c>
      <c r="T147" s="14" t="inlineStr">
        <is>
          <t>Re-Rate Catalysts, Event Detail</t>
        </is>
      </c>
    </row>
    <row r="148">
      <c r="A148" s="8" t="inlineStr">
        <is>
          <t>PSKY</t>
        </is>
      </c>
      <c r="B148" s="16" t="inlineStr">
        <is>
          <t>Paramount Skydance Cor</t>
        </is>
      </c>
      <c r="C148" s="16" t="inlineStr">
        <is>
          <t xml:space="preserve">Communication </t>
        </is>
      </c>
      <c r="D148" s="16" t="n">
        <v>10927</v>
      </c>
      <c r="E148" s="16" t="n">
        <v>0.93</v>
      </c>
      <c r="F148" s="16" t="n">
        <v>-17.9</v>
      </c>
      <c r="G148" s="16" t="n">
        <v>-6.1</v>
      </c>
      <c r="H148" s="16" t="inlineStr">
        <is>
          <t>4%</t>
        </is>
      </c>
      <c r="I148" s="16" t="inlineStr">
        <is>
          <t>-124%</t>
        </is>
      </c>
      <c r="J148" s="16" t="n">
        <v>-3.4</v>
      </c>
      <c r="K148" s="16" t="inlineStr">
        <is>
          <t>2%</t>
        </is>
      </c>
      <c r="L148" s="16" t="inlineStr">
        <is>
          <t>-18%</t>
        </is>
      </c>
      <c r="M148" s="16" t="inlineStr">
        <is>
          <t>-5%</t>
        </is>
      </c>
      <c r="N148" s="16" t="inlineStr">
        <is>
          <t>65%</t>
        </is>
      </c>
      <c r="O148" s="16" t="n">
        <v>-5.8</v>
      </c>
      <c r="P148" s="16" t="inlineStr">
        <is>
          <t>19%</t>
        </is>
      </c>
      <c r="Q148" s="16" t="n">
        <v>118125</v>
      </c>
      <c r="R148" s="16" t="inlineStr">
        <is>
          <t>P/B 0.93 · P/S 0.4 · FCF yld 4% · net debt 124% of mcap · rev +2% · op margin -18% · diluting 65%/yr · interest cover -5.8× ⚠</t>
        </is>
      </c>
      <c r="S148" s="16" t="inlineStr"/>
      <c r="T148" s="16" t="inlineStr">
        <is>
          <t>Re-Rate Catalysts, Hidden Asset Realisation</t>
        </is>
      </c>
    </row>
    <row r="149">
      <c r="A149" s="6" t="inlineStr">
        <is>
          <t>GPC</t>
        </is>
      </c>
      <c r="B149" s="14" t="inlineStr">
        <is>
          <t>Genuine Parts Company</t>
        </is>
      </c>
      <c r="C149" s="14" t="inlineStr">
        <is>
          <t>Consumer Cycli</t>
        </is>
      </c>
      <c r="D149" s="14" t="n">
        <v>17814</v>
      </c>
      <c r="E149" s="14" t="n">
        <v>3.94</v>
      </c>
      <c r="F149" s="14" t="n">
        <v>496.6</v>
      </c>
      <c r="G149" s="14" t="n">
        <v>32.4</v>
      </c>
      <c r="H149" s="14" t="inlineStr">
        <is>
          <t>4%</t>
        </is>
      </c>
      <c r="I149" s="14" t="inlineStr">
        <is>
          <t>-34%</t>
        </is>
      </c>
      <c r="J149" s="14" t="n">
        <v>8.300000000000001</v>
      </c>
      <c r="K149" s="14" t="inlineStr">
        <is>
          <t>5%</t>
        </is>
      </c>
      <c r="L149" s="14" t="inlineStr">
        <is>
          <t>4%</t>
        </is>
      </c>
      <c r="M149" s="14" t="inlineStr">
        <is>
          <t>1%</t>
        </is>
      </c>
      <c r="N149" s="14" t="inlineStr">
        <is>
          <t>-1%</t>
        </is>
      </c>
      <c r="O149" s="14" t="n">
        <v>5.9</v>
      </c>
      <c r="P149" s="14" t="inlineStr">
        <is>
          <t>63%</t>
        </is>
      </c>
      <c r="Q149" s="14" t="n">
        <v>202451</v>
      </c>
      <c r="R149" s="14" t="inlineStr">
        <is>
          <t>P/B 3.94 · EV/EBITDA 32.4× · FCF yld 4% · net debt 34% of mcap · rev +5% · op margin 4%</t>
        </is>
      </c>
      <c r="S149" s="14" t="inlineStr"/>
      <c r="T149" s="14" t="inlineStr">
        <is>
          <t>Re-Rate Catalysts, Event Detail</t>
        </is>
      </c>
    </row>
    <row r="150">
      <c r="A150" s="8" t="inlineStr">
        <is>
          <t>ADPT</t>
        </is>
      </c>
      <c r="B150" s="16" t="inlineStr">
        <is>
          <t>Adaptive Biotechnologi</t>
        </is>
      </c>
      <c r="C150" s="16" t="inlineStr">
        <is>
          <t>Healthcare</t>
        </is>
      </c>
      <c r="D150" s="16" t="n">
        <v>4480</v>
      </c>
      <c r="E150" s="16" t="n">
        <v>31.35</v>
      </c>
      <c r="F150" s="16" t="n">
        <v>-68.2</v>
      </c>
      <c r="G150" s="16" t="n">
        <v>-294.3</v>
      </c>
      <c r="H150" s="16" t="inlineStr">
        <is>
          <t>-1%</t>
        </is>
      </c>
      <c r="I150" s="16" t="inlineStr">
        <is>
          <t>-1%</t>
        </is>
      </c>
      <c r="J150" s="16" t="n">
        <v>-15.1</v>
      </c>
      <c r="K150" s="16" t="inlineStr">
        <is>
          <t>50%</t>
        </is>
      </c>
      <c r="L150" s="16" t="inlineStr">
        <is>
          <t>-12%</t>
        </is>
      </c>
      <c r="M150" s="16" t="inlineStr">
        <is>
          <t>-33%</t>
        </is>
      </c>
      <c r="N150" s="16" t="inlineStr">
        <is>
          <t>4%</t>
        </is>
      </c>
      <c r="O150" s="16" t="n">
        <v>-3.3</v>
      </c>
      <c r="P150" s="16" t="inlineStr">
        <is>
          <t>95%</t>
        </is>
      </c>
      <c r="Q150" s="16" t="n">
        <v>74534</v>
      </c>
      <c r="R150" s="16" t="inlineStr">
        <is>
          <t>P/B 31.35 · P/S 14.4 · FCF yld -1% · net debt 1% of mcap · rev +50% · op margin -12% · diluting 4%/yr</t>
        </is>
      </c>
      <c r="S150" s="16" t="inlineStr"/>
      <c r="T150" s="16" t="inlineStr">
        <is>
          <t>Re-Rate Catalysts, Event Detail</t>
        </is>
      </c>
    </row>
    <row r="151">
      <c r="A151" s="6" t="inlineStr">
        <is>
          <t>CTVA</t>
        </is>
      </c>
      <c r="B151" s="14" t="inlineStr">
        <is>
          <t>Corteva, Inc.</t>
        </is>
      </c>
      <c r="C151" s="14" t="inlineStr">
        <is>
          <t>Basic Material</t>
        </is>
      </c>
      <c r="D151" s="14" t="n">
        <v>54556</v>
      </c>
      <c r="E151" s="14" t="n">
        <v>2.17</v>
      </c>
      <c r="F151" s="14" t="n">
        <v>53.4</v>
      </c>
      <c r="G151" s="14" t="n">
        <v>17.4</v>
      </c>
      <c r="H151" s="14" t="inlineStr">
        <is>
          <t>1%</t>
        </is>
      </c>
      <c r="I151" s="14" t="inlineStr">
        <is>
          <t>-5%</t>
        </is>
      </c>
      <c r="J151" s="14" t="n">
        <v>0.8</v>
      </c>
      <c r="K151" s="14" t="inlineStr">
        <is>
          <t>4%</t>
        </is>
      </c>
      <c r="L151" s="14" t="inlineStr">
        <is>
          <t>17%</t>
        </is>
      </c>
      <c r="M151" s="14" t="inlineStr">
        <is>
          <t>4%</t>
        </is>
      </c>
      <c r="N151" s="14" t="inlineStr">
        <is>
          <t>-2%</t>
        </is>
      </c>
      <c r="O151" s="14" t="n">
        <v>17.4</v>
      </c>
      <c r="P151" s="14" t="inlineStr">
        <is>
          <t>69%</t>
        </is>
      </c>
      <c r="Q151" s="14" t="n">
        <v>355945</v>
      </c>
      <c r="R151" s="14" t="inlineStr">
        <is>
          <t>P/B 2.17 · EV/EBITDA 17.4× · FCF yld 1% · net debt 5% of mcap · rev +4% · op margin 17%</t>
        </is>
      </c>
      <c r="S151" s="14" t="inlineStr"/>
      <c r="T151" s="14" t="inlineStr">
        <is>
          <t>Re-Rate Catalysts, Event Detail</t>
        </is>
      </c>
    </row>
    <row r="152">
      <c r="A152" s="8" t="inlineStr">
        <is>
          <t>ADIG</t>
        </is>
      </c>
      <c r="B152" s="16" t="inlineStr">
        <is>
          <t>ADI Global Distributio</t>
        </is>
      </c>
      <c r="C152" s="16" t="inlineStr">
        <is>
          <t>Industrials</t>
        </is>
      </c>
      <c r="D152" s="16" t="n">
        <v>1458</v>
      </c>
      <c r="E152" s="16" t="n">
        <v>0.59</v>
      </c>
      <c r="F152" s="16" t="n">
        <v>317.5</v>
      </c>
      <c r="G152" s="16" t="n">
        <v>25.6</v>
      </c>
      <c r="H152" s="16" t="inlineStr">
        <is>
          <t>-7%</t>
        </is>
      </c>
      <c r="I152" s="16" t="inlineStr">
        <is>
          <t>-49%</t>
        </is>
      </c>
      <c r="J152" s="16" t="n">
        <v>8.5</v>
      </c>
      <c r="K152" s="16" t="n"/>
      <c r="L152" s="16" t="inlineStr">
        <is>
          <t>2%</t>
        </is>
      </c>
      <c r="M152" s="16" t="inlineStr">
        <is>
          <t>0%</t>
        </is>
      </c>
      <c r="N152" s="16" t="n"/>
      <c r="O152" s="16" t="n">
        <v>1.4</v>
      </c>
      <c r="P152" s="16" t="inlineStr">
        <is>
          <t>11%</t>
        </is>
      </c>
      <c r="Q152" s="16" t="n">
        <v>22096</v>
      </c>
      <c r="R152" s="16" t="inlineStr">
        <is>
          <t>P/B 0.59 · EV/EBITDA 25.6× · FCF yld -7% · net debt 49% of mcap · op margin 2% · interest cover 1.4× ⚠</t>
        </is>
      </c>
      <c r="S152" s="16" t="inlineStr"/>
      <c r="T152" s="16" t="inlineStr">
        <is>
          <t>Re-Rate Catalysts, Event Detail</t>
        </is>
      </c>
    </row>
    <row r="153">
      <c r="A153" s="6" t="inlineStr">
        <is>
          <t>YHC</t>
        </is>
      </c>
      <c r="B153" s="14" t="inlineStr">
        <is>
          <t>LQR House Inc.</t>
        </is>
      </c>
      <c r="C153" s="14" t="inlineStr">
        <is>
          <t xml:space="preserve">Communication </t>
        </is>
      </c>
      <c r="D153" s="14" t="n">
        <v>2</v>
      </c>
      <c r="E153" s="14" t="n"/>
      <c r="F153" s="14" t="n">
        <v>-0</v>
      </c>
      <c r="G153" s="14" t="n">
        <v>-1.8</v>
      </c>
      <c r="H153" s="14" t="n"/>
      <c r="I153" s="14" t="n"/>
      <c r="J153" s="14" t="n">
        <v>-1.7</v>
      </c>
      <c r="K153" s="14" t="inlineStr">
        <is>
          <t>-50%</t>
        </is>
      </c>
      <c r="L153" s="14" t="inlineStr">
        <is>
          <t>-908%</t>
        </is>
      </c>
      <c r="M153" s="14" t="inlineStr">
        <is>
          <t>-66%</t>
        </is>
      </c>
      <c r="N153" s="14" t="n"/>
      <c r="O153" s="14" t="n">
        <v>-41.6</v>
      </c>
      <c r="P153" s="14" t="inlineStr">
        <is>
          <t>0%</t>
        </is>
      </c>
      <c r="Q153" s="14" t="n">
        <v>415</v>
      </c>
      <c r="R153" s="14" t="inlineStr">
        <is>
          <t>P/S 1.4 · rev -50%</t>
        </is>
      </c>
      <c r="S153" s="14" t="inlineStr">
        <is>
          <t>market-cap/share data inconsistent; FCF yield &gt;100% (check)</t>
        </is>
      </c>
      <c r="T153" s="14" t="inlineStr">
        <is>
          <t>Re-Rate Catalysts, Tail Odds</t>
        </is>
      </c>
    </row>
    <row r="154">
      <c r="A154" s="8" t="inlineStr">
        <is>
          <t>FDX</t>
        </is>
      </c>
      <c r="B154" s="16" t="inlineStr">
        <is>
          <t>FedEx Corporation</t>
        </is>
      </c>
      <c r="C154" s="16" t="inlineStr">
        <is>
          <t>Industrials</t>
        </is>
      </c>
      <c r="D154" s="16" t="n">
        <v>69543</v>
      </c>
      <c r="E154" s="16" t="n">
        <v>2.33</v>
      </c>
      <c r="F154" s="16" t="n">
        <v>15.9</v>
      </c>
      <c r="G154" s="16" t="n">
        <v>9.300000000000001</v>
      </c>
      <c r="H154" s="16" t="inlineStr">
        <is>
          <t>7%</t>
        </is>
      </c>
      <c r="I154" s="16" t="inlineStr">
        <is>
          <t>-49%</t>
        </is>
      </c>
      <c r="J154" s="16" t="n">
        <v>2.8</v>
      </c>
      <c r="K154" s="16" t="inlineStr">
        <is>
          <t>3%</t>
        </is>
      </c>
      <c r="L154" s="16" t="inlineStr">
        <is>
          <t>7%</t>
        </is>
      </c>
      <c r="M154" s="16" t="inlineStr">
        <is>
          <t>15%</t>
        </is>
      </c>
      <c r="N154" s="16" t="inlineStr">
        <is>
          <t>-0%</t>
        </is>
      </c>
      <c r="O154" s="16" t="n">
        <v>12</v>
      </c>
      <c r="P154" s="16" t="inlineStr">
        <is>
          <t>69%</t>
        </is>
      </c>
      <c r="Q154" s="16" t="n">
        <v>532273</v>
      </c>
      <c r="R154" s="16" t="inlineStr">
        <is>
          <t>P/B 2.33 · EV/EBITDA 9.3× · FCF yld 7% · net debt 49% of mcap · rev +3% · op margin 7%</t>
        </is>
      </c>
      <c r="S154" s="16" t="inlineStr"/>
      <c r="T154" s="16" t="inlineStr">
        <is>
          <t>Re-Rate Catalysts, Event Detail</t>
        </is>
      </c>
    </row>
    <row r="155">
      <c r="A155" s="6" t="inlineStr">
        <is>
          <t>LTRN</t>
        </is>
      </c>
      <c r="B155" s="14" t="inlineStr">
        <is>
          <t>Lantern Pharma Inc.</t>
        </is>
      </c>
      <c r="C155" s="14" t="inlineStr">
        <is>
          <t>Healthcare</t>
        </is>
      </c>
      <c r="D155" s="14" t="n">
        <v>18</v>
      </c>
      <c r="E155" s="14" t="n"/>
      <c r="F155" s="14" t="n">
        <v>-0.8</v>
      </c>
      <c r="G155" s="14" t="n">
        <v>-0.6</v>
      </c>
      <c r="H155" s="14" t="inlineStr">
        <is>
          <t>-80%</t>
        </is>
      </c>
      <c r="I155" s="14" t="n"/>
      <c r="J155" s="14" t="n">
        <v>0.4</v>
      </c>
      <c r="K155" s="14" t="n"/>
      <c r="L155" s="14" t="inlineStr">
        <is>
          <t>0%</t>
        </is>
      </c>
      <c r="M155" s="14" t="inlineStr">
        <is>
          <t>-456%</t>
        </is>
      </c>
      <c r="N155" s="14" t="inlineStr">
        <is>
          <t>15%</t>
        </is>
      </c>
      <c r="O155" s="14" t="n">
        <v>0</v>
      </c>
      <c r="P155" s="14" t="inlineStr">
        <is>
          <t>8%</t>
        </is>
      </c>
      <c r="Q155" s="14" t="n">
        <v>275</v>
      </c>
      <c r="R155" s="14" t="inlineStr">
        <is>
          <t>P/S 0.0 · FCF yld -80% · op margin 0% · diluting 15%/yr</t>
        </is>
      </c>
      <c r="S155" s="14" t="inlineStr">
        <is>
          <t>negative equity</t>
        </is>
      </c>
      <c r="T155" s="14" t="inlineStr">
        <is>
          <t>Re-Rate Catalysts, Event Detail</t>
        </is>
      </c>
    </row>
    <row r="156">
      <c r="A156" s="8" t="inlineStr">
        <is>
          <t>HONA</t>
        </is>
      </c>
      <c r="B156" s="16" t="inlineStr">
        <is>
          <t>Honeywell Aerospace In</t>
        </is>
      </c>
      <c r="C156" s="16" t="inlineStr">
        <is>
          <t>Industrials</t>
        </is>
      </c>
      <c r="D156" s="16" t="n">
        <v>51669</v>
      </c>
      <c r="E156" s="16" t="n"/>
      <c r="F156" s="16" t="n">
        <v>68.59999999999999</v>
      </c>
      <c r="G156" s="16" t="n">
        <v>40.1</v>
      </c>
      <c r="H156" s="16" t="inlineStr">
        <is>
          <t>0%</t>
        </is>
      </c>
      <c r="I156" s="16" t="n"/>
      <c r="J156" s="16" t="n">
        <v>8.9</v>
      </c>
      <c r="K156" s="16" t="n"/>
      <c r="L156" s="16" t="inlineStr">
        <is>
          <t>16%</t>
        </is>
      </c>
      <c r="M156" s="16" t="inlineStr">
        <is>
          <t>-16%</t>
        </is>
      </c>
      <c r="N156" s="16" t="inlineStr">
        <is>
          <t>0%</t>
        </is>
      </c>
      <c r="O156" s="16" t="n">
        <v>3.5</v>
      </c>
      <c r="P156" s="16" t="inlineStr">
        <is>
          <t>9%</t>
        </is>
      </c>
      <c r="Q156" s="16" t="n">
        <v>615259</v>
      </c>
      <c r="R156" s="16" t="inlineStr">
        <is>
          <t>EV/EBITDA 40.1× · FCF yld 0% · op margin 16%</t>
        </is>
      </c>
      <c r="S156" s="16" t="inlineStr">
        <is>
          <t>negative equity</t>
        </is>
      </c>
      <c r="T156" s="16" t="inlineStr">
        <is>
          <t>Re-Rate Catalysts, Event Detail</t>
        </is>
      </c>
    </row>
    <row r="157">
      <c r="A157" s="6" t="inlineStr">
        <is>
          <t>FDXF</t>
        </is>
      </c>
      <c r="B157" s="14" t="inlineStr">
        <is>
          <t xml:space="preserve">FedEx Freight Holding </t>
        </is>
      </c>
      <c r="C157" s="14" t="inlineStr">
        <is>
          <t>Industrials</t>
        </is>
      </c>
      <c r="D157" s="14" t="n">
        <v>17719</v>
      </c>
      <c r="E157" s="14" t="n"/>
      <c r="F157" s="14" t="n">
        <v>30.7</v>
      </c>
      <c r="G157" s="14" t="n">
        <v>25.8</v>
      </c>
      <c r="H157" s="14" t="inlineStr">
        <is>
          <t>-1%</t>
        </is>
      </c>
      <c r="I157" s="14" t="n"/>
      <c r="J157" s="14" t="n">
        <v>6.6</v>
      </c>
      <c r="K157" s="14" t="n"/>
      <c r="L157" s="14" t="inlineStr">
        <is>
          <t>6%</t>
        </is>
      </c>
      <c r="M157" s="14" t="inlineStr">
        <is>
          <t>80%</t>
        </is>
      </c>
      <c r="N157" s="14" t="inlineStr">
        <is>
          <t>-0%</t>
        </is>
      </c>
      <c r="O157" s="14" t="n">
        <v>45</v>
      </c>
      <c r="P157" s="14" t="inlineStr">
        <is>
          <t>3%</t>
        </is>
      </c>
      <c r="Q157" s="14" t="n">
        <v>200360</v>
      </c>
      <c r="R157" s="14" t="inlineStr">
        <is>
          <t>EV/EBITDA 25.8× · FCF yld -1% · op margin 6%</t>
        </is>
      </c>
      <c r="S157" s="14" t="inlineStr">
        <is>
          <t>negative equity</t>
        </is>
      </c>
      <c r="T157" s="14" t="inlineStr">
        <is>
          <t>Re-Rate Catalysts, Event Detail</t>
        </is>
      </c>
    </row>
    <row r="158">
      <c r="A158" s="8" t="inlineStr">
        <is>
          <t>IVF</t>
        </is>
      </c>
      <c r="B158" s="16" t="inlineStr">
        <is>
          <t>INVO Fertility, Inc.</t>
        </is>
      </c>
      <c r="C158" s="16" t="inlineStr">
        <is>
          <t>Healthcare</t>
        </is>
      </c>
      <c r="D158" s="16" t="n">
        <v>2</v>
      </c>
      <c r="E158" s="16" t="n">
        <v>0.11</v>
      </c>
      <c r="F158" s="16" t="n">
        <v>-0</v>
      </c>
      <c r="G158" s="16" t="n">
        <v>-0.3</v>
      </c>
      <c r="H158" s="16" t="n"/>
      <c r="I158" s="16" t="inlineStr">
        <is>
          <t>-11%</t>
        </is>
      </c>
      <c r="J158" s="16" t="n">
        <v>-0</v>
      </c>
      <c r="K158" s="16" t="inlineStr">
        <is>
          <t>14%</t>
        </is>
      </c>
      <c r="L158" s="16" t="inlineStr">
        <is>
          <t>-79%</t>
        </is>
      </c>
      <c r="M158" s="16" t="inlineStr">
        <is>
          <t>-47%</t>
        </is>
      </c>
      <c r="N158" s="16" t="n"/>
      <c r="O158" s="16" t="n">
        <v>-5.2</v>
      </c>
      <c r="P158" s="16" t="inlineStr">
        <is>
          <t>0%</t>
        </is>
      </c>
      <c r="Q158" s="16" t="n">
        <v>2968</v>
      </c>
      <c r="R158" s="16" t="inlineStr">
        <is>
          <t>P/B 0.11 · P/S 0.2 · net debt 11% of mcap · rev +14% · op margin -79% · interest cover -5.2× ⚠</t>
        </is>
      </c>
      <c r="S158" s="16" t="inlineStr">
        <is>
          <t>FCF yield &gt;100% (check)</t>
        </is>
      </c>
      <c r="T158" s="16" t="inlineStr">
        <is>
          <t>Tail Odds, Single-Measure Best</t>
        </is>
      </c>
    </row>
    <row r="159">
      <c r="A159" s="6" t="inlineStr">
        <is>
          <t>DMRC</t>
        </is>
      </c>
      <c r="B159" s="14" t="inlineStr">
        <is>
          <t>Digimarc Corp.</t>
        </is>
      </c>
      <c r="C159" s="14" t="inlineStr">
        <is>
          <t>Technology</t>
        </is>
      </c>
      <c r="D159" s="14" t="n">
        <v>110</v>
      </c>
      <c r="E159" s="14" t="n">
        <v>3.75</v>
      </c>
      <c r="F159" s="14" t="n">
        <v>-3.5</v>
      </c>
      <c r="G159" s="14" t="n">
        <v>-4.4</v>
      </c>
      <c r="H159" s="14" t="inlineStr">
        <is>
          <t>-4%</t>
        </is>
      </c>
      <c r="I159" s="14" t="inlineStr">
        <is>
          <t>4%</t>
        </is>
      </c>
      <c r="J159" s="14" t="n">
        <v>0.1</v>
      </c>
      <c r="K159" s="14" t="inlineStr">
        <is>
          <t>-11%</t>
        </is>
      </c>
      <c r="L159" s="14" t="inlineStr">
        <is>
          <t>-99%</t>
        </is>
      </c>
      <c r="M159" s="14" t="inlineStr">
        <is>
          <t>-87%</t>
        </is>
      </c>
      <c r="N159" s="14" t="inlineStr">
        <is>
          <t>3%</t>
        </is>
      </c>
      <c r="O159" s="14" t="n">
        <v>0</v>
      </c>
      <c r="P159" s="14" t="inlineStr">
        <is>
          <t>6%</t>
        </is>
      </c>
      <c r="Q159" s="14" t="n">
        <v>932</v>
      </c>
      <c r="R159" s="14" t="inlineStr">
        <is>
          <t>P/B 3.75 · P/S 3.5 · FCF yld -4% · net cash 4% of mcap · rev -11% · op margin -99% · diluting 3%/yr</t>
        </is>
      </c>
      <c r="S159" s="14" t="inlineStr"/>
      <c r="T159" s="14" t="inlineStr">
        <is>
          <t>Tail Odds, Turnaround Signal</t>
        </is>
      </c>
    </row>
    <row r="160">
      <c r="A160" s="8" t="inlineStr">
        <is>
          <t>HCAT</t>
        </is>
      </c>
      <c r="B160" s="16" t="inlineStr">
        <is>
          <t>Health Catalyst, Inc.</t>
        </is>
      </c>
      <c r="C160" s="16" t="inlineStr">
        <is>
          <t>Healthcare</t>
        </is>
      </c>
      <c r="D160" s="16" t="n">
        <v>133</v>
      </c>
      <c r="E160" s="16" t="n">
        <v>1.32</v>
      </c>
      <c r="F160" s="16" t="n">
        <v>-0.5</v>
      </c>
      <c r="G160" s="16" t="n">
        <v>-1.3</v>
      </c>
      <c r="H160" s="16" t="inlineStr">
        <is>
          <t>10%</t>
        </is>
      </c>
      <c r="I160" s="16" t="inlineStr">
        <is>
          <t>-50%</t>
        </is>
      </c>
      <c r="J160" s="16" t="n">
        <v>-0.6</v>
      </c>
      <c r="K160" s="16" t="inlineStr">
        <is>
          <t>-8%</t>
        </is>
      </c>
      <c r="L160" s="16" t="inlineStr">
        <is>
          <t>-20%</t>
        </is>
      </c>
      <c r="M160" s="16" t="inlineStr">
        <is>
          <t>-130%</t>
        </is>
      </c>
      <c r="N160" s="16" t="inlineStr">
        <is>
          <t>6%</t>
        </is>
      </c>
      <c r="O160" s="16" t="n">
        <v>-2.8</v>
      </c>
      <c r="P160" s="16" t="inlineStr">
        <is>
          <t>32%</t>
        </is>
      </c>
      <c r="Q160" s="16" t="n">
        <v>2359</v>
      </c>
      <c r="R160" s="16" t="inlineStr">
        <is>
          <t>P/B 1.32 · P/S 0.4 · FCF yld 10% · net debt 50% of mcap · rev -8% · op margin -20% · diluting 6%/yr · interest cover -2.8× ⚠</t>
        </is>
      </c>
      <c r="S160" s="16" t="inlineStr"/>
      <c r="T160" s="16" t="inlineStr">
        <is>
          <t>Tail Odds, Recent 30d</t>
        </is>
      </c>
    </row>
    <row r="161">
      <c r="A161" s="6" t="inlineStr">
        <is>
          <t>PTLO</t>
        </is>
      </c>
      <c r="B161" s="14" t="inlineStr">
        <is>
          <t>Portillo's Inc.</t>
        </is>
      </c>
      <c r="C161" s="14" t="inlineStr">
        <is>
          <t>Consumer Cycli</t>
        </is>
      </c>
      <c r="D161" s="14" t="n">
        <v>263</v>
      </c>
      <c r="E161" s="14" t="n">
        <v>0.55</v>
      </c>
      <c r="F161" s="14" t="n">
        <v>18.2</v>
      </c>
      <c r="G161" s="14" t="n">
        <v>14.3</v>
      </c>
      <c r="H161" s="14" t="inlineStr">
        <is>
          <t>-3%</t>
        </is>
      </c>
      <c r="I161" s="14" t="inlineStr">
        <is>
          <t>-255%</t>
        </is>
      </c>
      <c r="J161" s="14" t="n">
        <v>10.2</v>
      </c>
      <c r="K161" s="14" t="inlineStr">
        <is>
          <t>3%</t>
        </is>
      </c>
      <c r="L161" s="14" t="inlineStr">
        <is>
          <t>5%</t>
        </is>
      </c>
      <c r="M161" s="14" t="inlineStr">
        <is>
          <t>3%</t>
        </is>
      </c>
      <c r="N161" s="14" t="inlineStr">
        <is>
          <t>5%</t>
        </is>
      </c>
      <c r="O161" s="14" t="n">
        <v>1.8</v>
      </c>
      <c r="P161" s="14" t="inlineStr">
        <is>
          <t>1%</t>
        </is>
      </c>
      <c r="Q161" s="14" t="n">
        <v>5050</v>
      </c>
      <c r="R161" s="14" t="inlineStr">
        <is>
          <t>P/B 0.55 · EV/EBITDA 14.3× · FCF yld -3% · net debt 255% of mcap · rev +3% · op margin 5% · diluting 5%/yr</t>
        </is>
      </c>
      <c r="S161" s="14" t="inlineStr"/>
      <c r="T161" s="14" t="inlineStr">
        <is>
          <t>Asymmetry Assembly, Turnaround Signal</t>
        </is>
      </c>
    </row>
    <row r="162">
      <c r="A162" s="8" t="inlineStr">
        <is>
          <t>SNDA</t>
        </is>
      </c>
      <c r="B162" s="16" t="inlineStr">
        <is>
          <t xml:space="preserve">Sonida Senior Living, </t>
        </is>
      </c>
      <c r="C162" s="16" t="inlineStr">
        <is>
          <t>Healthcare</t>
        </is>
      </c>
      <c r="D162" s="16" t="n">
        <v>1790</v>
      </c>
      <c r="E162" s="16" t="n"/>
      <c r="F162" s="16" t="n">
        <v>-5.4</v>
      </c>
      <c r="G162" s="16" t="n">
        <v>131.2</v>
      </c>
      <c r="H162" s="16" t="inlineStr">
        <is>
          <t>-3%</t>
        </is>
      </c>
      <c r="I162" s="16" t="n"/>
      <c r="J162" s="16" t="n">
        <v>60.3</v>
      </c>
      <c r="K162" s="16" t="inlineStr">
        <is>
          <t>49%</t>
        </is>
      </c>
      <c r="L162" s="16" t="inlineStr">
        <is>
          <t>-17%</t>
        </is>
      </c>
      <c r="M162" s="16" t="inlineStr">
        <is>
          <t>-26%</t>
        </is>
      </c>
      <c r="N162" s="16" t="inlineStr">
        <is>
          <t>0%</t>
        </is>
      </c>
      <c r="O162" s="16" t="n">
        <v>-1.6</v>
      </c>
      <c r="P162" s="16" t="inlineStr">
        <is>
          <t>66%</t>
        </is>
      </c>
      <c r="Q162" s="16" t="n">
        <v>22735</v>
      </c>
      <c r="R162" s="16" t="inlineStr">
        <is>
          <t>EV/EBITDA 131.2× · FCF yld -3% · rev +49% · op margin -17%</t>
        </is>
      </c>
      <c r="S162" s="16" t="inlineStr">
        <is>
          <t>market-cap/share data inconsistent</t>
        </is>
      </c>
      <c r="T162" s="16" t="inlineStr">
        <is>
          <t>Distressed Stub Progress, Hidden Asset Realisation</t>
        </is>
      </c>
    </row>
    <row r="163">
      <c r="A163" s="6" t="inlineStr">
        <is>
          <t>CURI</t>
        </is>
      </c>
      <c r="B163" s="14" t="inlineStr">
        <is>
          <t>CuriosityStream Inc.</t>
        </is>
      </c>
      <c r="C163" s="14" t="inlineStr">
        <is>
          <t xml:space="preserve">Communication </t>
        </is>
      </c>
      <c r="D163" s="14" t="n">
        <v>170</v>
      </c>
      <c r="E163" s="14" t="n">
        <v>4.11</v>
      </c>
      <c r="F163" s="14" t="n">
        <v>14375</v>
      </c>
      <c r="G163" s="14" t="n">
        <v>8.6</v>
      </c>
      <c r="H163" s="14" t="inlineStr">
        <is>
          <t>3%</t>
        </is>
      </c>
      <c r="I163" s="14" t="inlineStr">
        <is>
          <t>2%</t>
        </is>
      </c>
      <c r="J163" s="14" t="n">
        <v>-0.1</v>
      </c>
      <c r="K163" s="14" t="inlineStr">
        <is>
          <t>25%</t>
        </is>
      </c>
      <c r="L163" s="14" t="inlineStr">
        <is>
          <t>-0%</t>
        </is>
      </c>
      <c r="M163" s="14" t="inlineStr">
        <is>
          <t>0%</t>
        </is>
      </c>
      <c r="N163" s="14" t="inlineStr">
        <is>
          <t>6%</t>
        </is>
      </c>
      <c r="O163" s="14" t="n">
        <v>0</v>
      </c>
      <c r="P163" s="14" t="inlineStr">
        <is>
          <t>18%</t>
        </is>
      </c>
      <c r="Q163" s="14" t="n">
        <v>2592</v>
      </c>
      <c r="R163" s="14" t="inlineStr">
        <is>
          <t>P/B 4.11 · EV/EBITDA 8.6× · FCF yld 3% · net cash 2% of mcap · rev +25% · op margin -0% · diluting 6%/yr</t>
        </is>
      </c>
      <c r="S163" s="14" t="inlineStr"/>
      <c r="T163" s="14" t="inlineStr">
        <is>
          <t>Distressed Stub Progress, Recent 30d</t>
        </is>
      </c>
    </row>
    <row r="164">
      <c r="A164" s="8" t="inlineStr">
        <is>
          <t>OTLK</t>
        </is>
      </c>
      <c r="B164" s="16" t="inlineStr">
        <is>
          <t xml:space="preserve">Outlook Therapeutics, </t>
        </is>
      </c>
      <c r="C164" s="16" t="inlineStr">
        <is>
          <t>Healthcare</t>
        </is>
      </c>
      <c r="D164" s="16" t="n">
        <v>127</v>
      </c>
      <c r="E164" s="16" t="n"/>
      <c r="F164" s="16" t="n">
        <v>-0.4</v>
      </c>
      <c r="G164" s="16" t="n">
        <v>-2.1</v>
      </c>
      <c r="H164" s="16" t="inlineStr">
        <is>
          <t>-46%</t>
        </is>
      </c>
      <c r="I164" s="16" t="n"/>
      <c r="J164" s="16" t="n">
        <v>-0.1</v>
      </c>
      <c r="K164" s="16" t="n"/>
      <c r="L164" s="16" t="inlineStr">
        <is>
          <t>4783%</t>
        </is>
      </c>
      <c r="M164" s="16" t="inlineStr">
        <is>
          <t>222%</t>
        </is>
      </c>
      <c r="N164" s="16" t="inlineStr">
        <is>
          <t>-17%</t>
        </is>
      </c>
      <c r="O164" s="16" t="n">
        <v>-210.6</v>
      </c>
      <c r="P164" s="16" t="inlineStr">
        <is>
          <t>22%</t>
        </is>
      </c>
      <c r="Q164" s="16" t="n">
        <v>14100</v>
      </c>
      <c r="R164" s="16" t="inlineStr">
        <is>
          <t>P/S -108.5 · FCF yld -46% · buying back 17%/yr</t>
        </is>
      </c>
      <c r="S164" s="16" t="inlineStr">
        <is>
          <t>market-cap/share data inconsistent</t>
        </is>
      </c>
      <c r="T164" s="16" t="inlineStr">
        <is>
          <t>Distressed Stub Progress, Recent 30d</t>
        </is>
      </c>
    </row>
    <row r="165">
      <c r="A165" s="6" t="inlineStr">
        <is>
          <t>PAR</t>
        </is>
      </c>
      <c r="B165" s="14" t="inlineStr">
        <is>
          <t>PAR Technology Corpora</t>
        </is>
      </c>
      <c r="C165" s="14" t="inlineStr">
        <is>
          <t>Technology</t>
        </is>
      </c>
      <c r="D165" s="14" t="n">
        <v>592</v>
      </c>
      <c r="E165" s="14" t="n">
        <v>0.73</v>
      </c>
      <c r="F165" s="14" t="n">
        <v>-8.300000000000001</v>
      </c>
      <c r="G165" s="14" t="n">
        <v>-37.5</v>
      </c>
      <c r="H165" s="14" t="inlineStr">
        <is>
          <t>-3%</t>
        </is>
      </c>
      <c r="I165" s="14" t="inlineStr">
        <is>
          <t>-70%</t>
        </is>
      </c>
      <c r="J165" s="14" t="n">
        <v>-15.3</v>
      </c>
      <c r="K165" s="14" t="inlineStr">
        <is>
          <t>19%</t>
        </is>
      </c>
      <c r="L165" s="14" t="inlineStr">
        <is>
          <t>-11%</t>
        </is>
      </c>
      <c r="M165" s="14" t="inlineStr">
        <is>
          <t>-9%</t>
        </is>
      </c>
      <c r="N165" s="14" t="inlineStr">
        <is>
          <t>2%</t>
        </is>
      </c>
      <c r="O165" s="14" t="n">
        <v>-12.1</v>
      </c>
      <c r="P165" s="14" t="inlineStr">
        <is>
          <t>9%</t>
        </is>
      </c>
      <c r="Q165" s="14" t="n">
        <v>15538</v>
      </c>
      <c r="R165" s="14" t="inlineStr">
        <is>
          <t>P/B 0.73 · P/S 1.2 · FCF yld -3% · net debt 70% of mcap · rev +19% · op margin -11% · interest cover -12.1× ⚠</t>
        </is>
      </c>
      <c r="S165" s="14" t="inlineStr"/>
      <c r="T165" s="14" t="inlineStr">
        <is>
          <t>Distressed Stub Progress, Without Valuation</t>
        </is>
      </c>
    </row>
    <row r="166">
      <c r="A166" s="8" t="inlineStr">
        <is>
          <t>RPAY</t>
        </is>
      </c>
      <c r="B166" s="16" t="inlineStr">
        <is>
          <t>Repay Holdings Corpora</t>
        </is>
      </c>
      <c r="C166" s="16" t="inlineStr">
        <is>
          <t>Technology</t>
        </is>
      </c>
      <c r="D166" s="16" t="n">
        <v>340</v>
      </c>
      <c r="E166" s="16" t="n">
        <v>0.72</v>
      </c>
      <c r="F166" s="16" t="n">
        <v>-1.8</v>
      </c>
      <c r="G166" s="16" t="n">
        <v>-17.9</v>
      </c>
      <c r="H166" s="16" t="inlineStr">
        <is>
          <t>17%</t>
        </is>
      </c>
      <c r="I166" s="16" t="inlineStr">
        <is>
          <t>-202%</t>
        </is>
      </c>
      <c r="J166" s="16" t="n">
        <v>-12.1</v>
      </c>
      <c r="K166" s="16" t="inlineStr">
        <is>
          <t>9%</t>
        </is>
      </c>
      <c r="L166" s="16" t="inlineStr">
        <is>
          <t>-3%</t>
        </is>
      </c>
      <c r="M166" s="16" t="inlineStr">
        <is>
          <t>-33%</t>
        </is>
      </c>
      <c r="N166" s="16" t="inlineStr">
        <is>
          <t>-6%</t>
        </is>
      </c>
      <c r="O166" s="16" t="n">
        <v>-0.5</v>
      </c>
      <c r="P166" s="16" t="inlineStr">
        <is>
          <t>50%</t>
        </is>
      </c>
      <c r="Q166" s="16" t="n">
        <v>2085</v>
      </c>
      <c r="R166" s="16" t="inlineStr">
        <is>
          <t>P/B 0.72 · P/S 1.0 · FCF yld 17% · net debt 202% of mcap · rev +9% · op margin -3% · buying back 6%/yr · interest cover -0.5× ⚠</t>
        </is>
      </c>
      <c r="S166" s="16" t="inlineStr"/>
      <c r="T166" s="16" t="inlineStr">
        <is>
          <t>Distressed Stub Progress, Recent 30d</t>
        </is>
      </c>
    </row>
    <row r="167">
      <c r="A167" s="6" t="inlineStr">
        <is>
          <t>SBGI</t>
        </is>
      </c>
      <c r="B167" s="14" t="inlineStr">
        <is>
          <t>Sinclair, Inc.</t>
        </is>
      </c>
      <c r="C167" s="14" t="inlineStr">
        <is>
          <t xml:space="preserve">Communication </t>
        </is>
      </c>
      <c r="D167" s="14" t="n">
        <v>898</v>
      </c>
      <c r="E167" s="14" t="n">
        <v>2.36</v>
      </c>
      <c r="F167" s="14" t="n">
        <v>16.8</v>
      </c>
      <c r="G167" s="14" t="n">
        <v>6.2</v>
      </c>
      <c r="H167" s="14" t="inlineStr">
        <is>
          <t>11%</t>
        </is>
      </c>
      <c r="I167" s="14" t="inlineStr">
        <is>
          <t>-400%</t>
        </is>
      </c>
      <c r="J167" s="14" t="n">
        <v>4.9</v>
      </c>
      <c r="K167" s="14" t="inlineStr">
        <is>
          <t>-6%</t>
        </is>
      </c>
      <c r="L167" s="14" t="inlineStr">
        <is>
          <t>7%</t>
        </is>
      </c>
      <c r="M167" s="14" t="inlineStr">
        <is>
          <t>13%</t>
        </is>
      </c>
      <c r="N167" s="14" t="inlineStr">
        <is>
          <t>4%</t>
        </is>
      </c>
      <c r="O167" s="14" t="n">
        <v>0.7</v>
      </c>
      <c r="P167" s="14" t="inlineStr">
        <is>
          <t>7%</t>
        </is>
      </c>
      <c r="Q167" s="14" t="n">
        <v>6417</v>
      </c>
      <c r="R167" s="14" t="inlineStr">
        <is>
          <t>P/B 2.36 · EV/EBITDA 6.2× · FCF yld 11% · net debt 400% of mcap · rev -6% · op margin 7% · diluting 4%/yr · interest cover 0.7× ⚠</t>
        </is>
      </c>
      <c r="S167" s="14" t="inlineStr"/>
      <c r="T167" s="14" t="inlineStr">
        <is>
          <t>Distressed Stub Progress, Hidden Asset Realisation</t>
        </is>
      </c>
    </row>
    <row r="168">
      <c r="A168" s="8" t="inlineStr">
        <is>
          <t>LODE</t>
        </is>
      </c>
      <c r="B168" s="16" t="inlineStr">
        <is>
          <t>Comstock Inc.</t>
        </is>
      </c>
      <c r="C168" s="16" t="inlineStr">
        <is>
          <t>Basic Material</t>
        </is>
      </c>
      <c r="D168" s="16" t="n">
        <v>99</v>
      </c>
      <c r="E168" s="16" t="n">
        <v>0.72</v>
      </c>
      <c r="F168" s="16" t="n">
        <v>-2.5</v>
      </c>
      <c r="G168" s="16" t="n">
        <v>-2.5</v>
      </c>
      <c r="H168" s="16" t="inlineStr">
        <is>
          <t>-40%</t>
        </is>
      </c>
      <c r="I168" s="16" t="inlineStr">
        <is>
          <t>-1%</t>
        </is>
      </c>
      <c r="J168" s="16" t="n">
        <v>-0</v>
      </c>
      <c r="K168" s="16" t="n"/>
      <c r="L168" s="16" t="inlineStr">
        <is>
          <t>-5940%</t>
        </is>
      </c>
      <c r="M168" s="16" t="inlineStr">
        <is>
          <t>-47%</t>
        </is>
      </c>
      <c r="N168" s="16" t="n"/>
      <c r="O168" s="16" t="n">
        <v>-143.5</v>
      </c>
      <c r="P168" s="16" t="inlineStr">
        <is>
          <t>12%</t>
        </is>
      </c>
      <c r="Q168" s="16" t="n">
        <v>3871</v>
      </c>
      <c r="R168" s="16" t="inlineStr">
        <is>
          <t>P/B 0.72 · P/S 95.7 · FCF yld -40% · net debt 1% of mcap</t>
        </is>
      </c>
      <c r="S168" s="16" t="inlineStr">
        <is>
          <t>new entity / merger: history not comparable</t>
        </is>
      </c>
      <c r="T168" s="16" t="inlineStr">
        <is>
          <t>Distressed Stub Progress, Hidden Asset Realisation</t>
        </is>
      </c>
    </row>
    <row r="169">
      <c r="A169" s="6" t="inlineStr">
        <is>
          <t>ASTS</t>
        </is>
      </c>
      <c r="B169" s="14" t="inlineStr">
        <is>
          <t>AST SpaceMobile, Inc.</t>
        </is>
      </c>
      <c r="C169" s="14" t="inlineStr">
        <is>
          <t xml:space="preserve">Communication </t>
        </is>
      </c>
      <c r="D169" s="14" t="n">
        <v>25260</v>
      </c>
      <c r="E169" s="14" t="n">
        <v>13.34</v>
      </c>
      <c r="F169" s="14" t="n">
        <v>-28</v>
      </c>
      <c r="G169" s="14" t="n">
        <v>-37.3</v>
      </c>
      <c r="H169" s="14" t="inlineStr">
        <is>
          <t>-7%</t>
        </is>
      </c>
      <c r="I169" s="14" t="inlineStr">
        <is>
          <t>-3%</t>
        </is>
      </c>
      <c r="J169" s="14" t="n">
        <v>-1</v>
      </c>
      <c r="K169" s="14" t="n"/>
      <c r="L169" s="14" t="inlineStr">
        <is>
          <t>-519%</t>
        </is>
      </c>
      <c r="M169" s="14" t="inlineStr">
        <is>
          <t>-35%</t>
        </is>
      </c>
      <c r="N169" s="14" t="inlineStr">
        <is>
          <t>24%</t>
        </is>
      </c>
      <c r="O169" s="14" t="n">
        <v>-9.9</v>
      </c>
      <c r="P169" s="14" t="inlineStr">
        <is>
          <t>17%</t>
        </is>
      </c>
      <c r="Q169" s="14" t="n">
        <v>1136404</v>
      </c>
      <c r="R169" s="14" t="inlineStr">
        <is>
          <t>P/B 13.34 · P/S 213.7 · FCF yld -7% · net debt 3% of mcap · diluting 24%/yr</t>
        </is>
      </c>
      <c r="S169" s="14" t="inlineStr">
        <is>
          <t>revenue not comparable YoY (fair-value / one-off income?)</t>
        </is>
      </c>
      <c r="T169" s="14" t="inlineStr">
        <is>
          <t>Hidden Asset Realisation, Turnaround Signal</t>
        </is>
      </c>
    </row>
    <row r="170">
      <c r="A170" s="8" t="inlineStr">
        <is>
          <t>GTM</t>
        </is>
      </c>
      <c r="B170" s="16" t="inlineStr">
        <is>
          <t xml:space="preserve">ZoomInfo Technologies </t>
        </is>
      </c>
      <c r="C170" s="16" t="inlineStr">
        <is>
          <t>Technology</t>
        </is>
      </c>
      <c r="D170" s="16" t="n">
        <v>1147</v>
      </c>
      <c r="E170" s="16" t="n">
        <v>1.38</v>
      </c>
      <c r="F170" s="16" t="n">
        <v>-2.1</v>
      </c>
      <c r="G170" s="16" t="n">
        <v>-6.6</v>
      </c>
      <c r="H170" s="16" t="inlineStr">
        <is>
          <t>39%</t>
        </is>
      </c>
      <c r="I170" s="16" t="inlineStr">
        <is>
          <t>-119%</t>
        </is>
      </c>
      <c r="J170" s="16" t="n">
        <v>-3.6</v>
      </c>
      <c r="K170" s="16" t="inlineStr">
        <is>
          <t>3%</t>
        </is>
      </c>
      <c r="L170" s="16" t="inlineStr">
        <is>
          <t>-34%</t>
        </is>
      </c>
      <c r="M170" s="16" t="inlineStr">
        <is>
          <t>-41%</t>
        </is>
      </c>
      <c r="N170" s="16" t="inlineStr">
        <is>
          <t>-14%</t>
        </is>
      </c>
      <c r="O170" s="16" t="n">
        <v>-8.6</v>
      </c>
      <c r="P170" s="16" t="inlineStr">
        <is>
          <t>14%</t>
        </is>
      </c>
      <c r="Q170" s="16" t="n">
        <v>36176</v>
      </c>
      <c r="R170" s="16" t="inlineStr">
        <is>
          <t>P/B 1.38 · P/S 0.9 · FCF yld 39% · net debt 119% of mcap · rev +3% · op margin -34% · buying back 14%/yr · interest cover -8.6× ⚠</t>
        </is>
      </c>
      <c r="S170" s="16" t="inlineStr"/>
      <c r="T170" s="16" t="inlineStr">
        <is>
          <t>Without Valuation, Recent 30d</t>
        </is>
      </c>
    </row>
    <row r="171">
      <c r="A171" s="6" t="inlineStr">
        <is>
          <t>GOSS</t>
        </is>
      </c>
      <c r="B171" s="14" t="inlineStr">
        <is>
          <t>Gossamer Bio, Inc.</t>
        </is>
      </c>
      <c r="C171" s="14" t="inlineStr">
        <is>
          <t>Healthcare</t>
        </is>
      </c>
      <c r="D171" s="14" t="n">
        <v>66</v>
      </c>
      <c r="E171" s="14" t="n"/>
      <c r="F171" s="14" t="n">
        <v>-0.2</v>
      </c>
      <c r="G171" s="14" t="n">
        <v>-0.3</v>
      </c>
      <c r="H171" s="14" t="n"/>
      <c r="I171" s="14" t="n"/>
      <c r="J171" s="14" t="n">
        <v>0</v>
      </c>
      <c r="K171" s="14" t="inlineStr">
        <is>
          <t>32%</t>
        </is>
      </c>
      <c r="L171" s="14" t="inlineStr">
        <is>
          <t>-312%</t>
        </is>
      </c>
      <c r="M171" s="14" t="inlineStr">
        <is>
          <t>109%</t>
        </is>
      </c>
      <c r="N171" s="14" t="inlineStr">
        <is>
          <t>45%</t>
        </is>
      </c>
      <c r="O171" s="14" t="n">
        <v>-15.2</v>
      </c>
      <c r="P171" s="14" t="inlineStr">
        <is>
          <t>1%</t>
        </is>
      </c>
      <c r="Q171" s="14" t="n">
        <v>3385</v>
      </c>
      <c r="R171" s="14" t="inlineStr">
        <is>
          <t>P/S 1.2 · rev +32% · op margin -312% · diluting 45%/yr</t>
        </is>
      </c>
      <c r="S171" s="14" t="inlineStr">
        <is>
          <t>negative equity; FCF yield &gt;100% (check)</t>
        </is>
      </c>
      <c r="T171" s="14" t="inlineStr">
        <is>
          <t>Recent 30d, Turnaround Signal</t>
        </is>
      </c>
    </row>
    <row r="172">
      <c r="A172" s="8" t="inlineStr">
        <is>
          <t>HRTX</t>
        </is>
      </c>
      <c r="B172" s="16" t="inlineStr">
        <is>
          <t>Heron Therapeutics, In</t>
        </is>
      </c>
      <c r="C172" s="16" t="inlineStr">
        <is>
          <t>Healthcare</t>
        </is>
      </c>
      <c r="D172" s="16" t="n">
        <v>56</v>
      </c>
      <c r="E172" s="16" t="n">
        <v>8.039999999999999</v>
      </c>
      <c r="F172" s="16" t="n">
        <v>-1.5</v>
      </c>
      <c r="G172" s="16" t="n">
        <v>-6.6</v>
      </c>
      <c r="H172" s="16" t="inlineStr">
        <is>
          <t>-22%</t>
        </is>
      </c>
      <c r="I172" s="16" t="inlineStr">
        <is>
          <t>-190%</t>
        </is>
      </c>
      <c r="J172" s="16" t="n">
        <v>-4.6</v>
      </c>
      <c r="K172" s="16" t="inlineStr">
        <is>
          <t>1%</t>
        </is>
      </c>
      <c r="L172" s="16" t="inlineStr">
        <is>
          <t>-7%</t>
        </is>
      </c>
      <c r="M172" s="16" t="inlineStr">
        <is>
          <t>-301%</t>
        </is>
      </c>
      <c r="N172" s="16" t="inlineStr">
        <is>
          <t>24%</t>
        </is>
      </c>
      <c r="O172" s="16" t="n">
        <v>-2.8</v>
      </c>
      <c r="P172" s="16" t="inlineStr">
        <is>
          <t>3%</t>
        </is>
      </c>
      <c r="Q172" s="16" t="n">
        <v>912</v>
      </c>
      <c r="R172" s="16" t="inlineStr">
        <is>
          <t>P/B 8.04 · P/S 0.4 · FCF yld -22% · net debt 190% of mcap · rev +1% · op margin -7% · diluting 24%/yr · interest cover -2.8× ⚠</t>
        </is>
      </c>
      <c r="S172" s="16" t="inlineStr"/>
      <c r="T172" s="16" t="inlineStr">
        <is>
          <t>Recent 30d, Turnaround Signal</t>
        </is>
      </c>
    </row>
    <row r="173">
      <c r="A173" s="6" t="inlineStr">
        <is>
          <t>ARTV</t>
        </is>
      </c>
      <c r="B173" s="14" t="inlineStr">
        <is>
          <t>Artiva Biotherapeutics</t>
        </is>
      </c>
      <c r="C173" s="14" t="inlineStr">
        <is>
          <t>Healthcare</t>
        </is>
      </c>
      <c r="D173" s="14" t="n">
        <v>374</v>
      </c>
      <c r="E173" s="14" t="n">
        <v>1.07</v>
      </c>
      <c r="F173" s="14" t="n">
        <v>-2.3</v>
      </c>
      <c r="G173" s="14" t="n">
        <v>-1</v>
      </c>
      <c r="H173" s="14" t="inlineStr">
        <is>
          <t>-26%</t>
        </is>
      </c>
      <c r="I173" s="14" t="inlineStr">
        <is>
          <t>91%</t>
        </is>
      </c>
      <c r="J173" s="14" t="n">
        <v>3.3</v>
      </c>
      <c r="K173" s="14" t="n"/>
      <c r="L173" s="14" t="inlineStr">
        <is>
          <t>0%</t>
        </is>
      </c>
      <c r="M173" s="14" t="inlineStr">
        <is>
          <t>-54%</t>
        </is>
      </c>
      <c r="N173" s="14" t="inlineStr">
        <is>
          <t>62%</t>
        </is>
      </c>
      <c r="O173" s="14" t="n">
        <v>0</v>
      </c>
      <c r="P173" s="14" t="inlineStr">
        <is>
          <t>43%</t>
        </is>
      </c>
      <c r="Q173" s="14" t="n">
        <v>3702</v>
      </c>
      <c r="R173" s="14" t="inlineStr">
        <is>
          <t>P/B 1.07 · P/S 0.0 · FCF yld -26% · net cash 91% of mcap · op margin 0% · diluting 62%/yr</t>
        </is>
      </c>
      <c r="S173" s="14" t="inlineStr"/>
      <c r="T173" s="14" t="inlineStr">
        <is>
          <t>Recent 30d, Single-Measure Best</t>
        </is>
      </c>
    </row>
    <row r="174">
      <c r="A174" s="8" t="inlineStr">
        <is>
          <t>STAA</t>
        </is>
      </c>
      <c r="B174" s="16" t="inlineStr">
        <is>
          <t>STAAR Surgical Company</t>
        </is>
      </c>
      <c r="C174" s="16" t="inlineStr">
        <is>
          <t>Healthcare</t>
        </is>
      </c>
      <c r="D174" s="16" t="n">
        <v>1021</v>
      </c>
      <c r="E174" s="16" t="n">
        <v>2.79</v>
      </c>
      <c r="F174" s="16" t="n">
        <v>247.9</v>
      </c>
      <c r="G174" s="16" t="n">
        <v>27.2</v>
      </c>
      <c r="H174" s="16" t="inlineStr">
        <is>
          <t>-1%</t>
        </is>
      </c>
      <c r="I174" s="16" t="inlineStr">
        <is>
          <t>14%</t>
        </is>
      </c>
      <c r="J174" s="16" t="n">
        <v>-3.5</v>
      </c>
      <c r="K174" s="16" t="inlineStr">
        <is>
          <t>51%</t>
        </is>
      </c>
      <c r="L174" s="16" t="inlineStr">
        <is>
          <t>10%</t>
        </is>
      </c>
      <c r="M174" s="16" t="inlineStr">
        <is>
          <t>1%</t>
        </is>
      </c>
      <c r="N174" s="16" t="inlineStr">
        <is>
          <t>4%</t>
        </is>
      </c>
      <c r="O174" s="16" t="n">
        <v>0</v>
      </c>
      <c r="P174" s="16" t="inlineStr">
        <is>
          <t>24%</t>
        </is>
      </c>
      <c r="Q174" s="16" t="n">
        <v>19780</v>
      </c>
      <c r="R174" s="16" t="inlineStr">
        <is>
          <t>P/B 2.79 · EV/EBITDA 27.2× · FCF yld -1% · net cash 14% of mcap · rev +51% · op margin 10% · diluting 4%/yr</t>
        </is>
      </c>
      <c r="S174" s="16" t="inlineStr"/>
      <c r="T174" s="16" t="inlineStr">
        <is>
          <t>Turnaround Signal, Single-Measure Best</t>
        </is>
      </c>
    </row>
    <row r="175">
      <c r="A175" s="6" t="inlineStr">
        <is>
          <t>BCO</t>
        </is>
      </c>
      <c r="B175" s="14" t="inlineStr">
        <is>
          <t>The Brink's Company</t>
        </is>
      </c>
      <c r="C175" s="14" t="inlineStr">
        <is>
          <t>Industrials</t>
        </is>
      </c>
      <c r="D175" s="14" t="n">
        <v>4356</v>
      </c>
      <c r="E175" s="14" t="n">
        <v>14.03</v>
      </c>
      <c r="F175" s="14" t="n">
        <v>24.1</v>
      </c>
      <c r="G175" s="14" t="n">
        <v>7.7</v>
      </c>
      <c r="H175" s="14" t="inlineStr">
        <is>
          <t>9%</t>
        </is>
      </c>
      <c r="I175" s="14" t="inlineStr">
        <is>
          <t>-59%</t>
        </is>
      </c>
      <c r="J175" s="14" t="n">
        <v>2.9</v>
      </c>
      <c r="K175" s="14" t="inlineStr">
        <is>
          <t>8%</t>
        </is>
      </c>
      <c r="L175" s="14" t="inlineStr">
        <is>
          <t>10%</t>
        </is>
      </c>
      <c r="M175" s="14" t="inlineStr">
        <is>
          <t>65%</t>
        </is>
      </c>
      <c r="N175" s="14" t="inlineStr">
        <is>
          <t>-2%</t>
        </is>
      </c>
      <c r="O175" s="14" t="n">
        <v>2.3</v>
      </c>
      <c r="P175" s="14" t="inlineStr">
        <is>
          <t>33%</t>
        </is>
      </c>
      <c r="Q175" s="14" t="n">
        <v>51200</v>
      </c>
      <c r="R175" s="14" t="inlineStr">
        <is>
          <t>P/B 14.03 · EV/EBITDA 7.7× · FCF yld 9% · net debt 59% of mcap · rev +8% · op margin 10% · buying back 2%/yr</t>
        </is>
      </c>
      <c r="S175" s="14" t="inlineStr"/>
      <c r="T175" s="14" t="inlineStr">
        <is>
          <t>Caution List</t>
        </is>
      </c>
    </row>
    <row r="176">
      <c r="A176" s="8" t="inlineStr">
        <is>
          <t>OPEN</t>
        </is>
      </c>
      <c r="B176" s="16" t="inlineStr">
        <is>
          <t xml:space="preserve">Opendoor Technologies </t>
        </is>
      </c>
      <c r="C176" s="16" t="inlineStr">
        <is>
          <t>Real Estate</t>
        </is>
      </c>
      <c r="D176" s="16" t="n">
        <v>2508</v>
      </c>
      <c r="E176" s="16" t="n">
        <v>2.74</v>
      </c>
      <c r="F176" s="16" t="n">
        <v>-1.4</v>
      </c>
      <c r="G176" s="16" t="n">
        <v>-1.3</v>
      </c>
      <c r="H176" s="16" t="inlineStr">
        <is>
          <t>-19%</t>
        </is>
      </c>
      <c r="I176" s="16" t="inlineStr">
        <is>
          <t>28%</t>
        </is>
      </c>
      <c r="J176" s="16" t="n">
        <v>0.5</v>
      </c>
      <c r="K176" s="16" t="inlineStr">
        <is>
          <t>-37%</t>
        </is>
      </c>
      <c r="L176" s="16" t="inlineStr">
        <is>
          <t>-16%</t>
        </is>
      </c>
      <c r="M176" s="16" t="inlineStr">
        <is>
          <t>-165%</t>
        </is>
      </c>
      <c r="N176" s="16" t="inlineStr">
        <is>
          <t>32%</t>
        </is>
      </c>
      <c r="O176" s="16" t="n">
        <v>-7.7</v>
      </c>
      <c r="P176" s="16" t="inlineStr">
        <is>
          <t>1%</t>
        </is>
      </c>
      <c r="Q176" s="16" t="n">
        <v>130513</v>
      </c>
      <c r="R176" s="16" t="inlineStr">
        <is>
          <t>P/B 2.74 · P/S 0.8 · FCF yld -19% · net cash 28% of mcap · rev -37% · op margin -16% · diluting 32%/yr</t>
        </is>
      </c>
      <c r="S176" s="16" t="inlineStr"/>
      <c r="T176" s="16" t="inlineStr">
        <is>
          <t>Caution List</t>
        </is>
      </c>
    </row>
    <row r="177">
      <c r="A177" s="6" t="inlineStr">
        <is>
          <t>MAT</t>
        </is>
      </c>
      <c r="B177" s="14" t="inlineStr">
        <is>
          <t>Mattel, Inc.</t>
        </is>
      </c>
      <c r="C177" s="14" t="inlineStr">
        <is>
          <t>Consumer Cycli</t>
        </is>
      </c>
      <c r="D177" s="14" t="n">
        <v>3811</v>
      </c>
      <c r="E177" s="14" t="n">
        <v>1.91</v>
      </c>
      <c r="F177" s="14" t="n">
        <v>9.699999999999999</v>
      </c>
      <c r="G177" s="14" t="n">
        <v>8</v>
      </c>
      <c r="H177" s="14" t="inlineStr">
        <is>
          <t>16%</t>
        </is>
      </c>
      <c r="I177" s="14" t="inlineStr">
        <is>
          <t>-58%</t>
        </is>
      </c>
      <c r="J177" s="14" t="n">
        <v>3</v>
      </c>
      <c r="K177" s="14" t="inlineStr">
        <is>
          <t>3%</t>
        </is>
      </c>
      <c r="L177" s="14" t="inlineStr">
        <is>
          <t>8%</t>
        </is>
      </c>
      <c r="M177" s="14" t="inlineStr">
        <is>
          <t>20%</t>
        </is>
      </c>
      <c r="N177" s="14" t="inlineStr">
        <is>
          <t>-11%</t>
        </is>
      </c>
      <c r="O177" s="14" t="n">
        <v>3.8</v>
      </c>
      <c r="P177" s="14" t="inlineStr">
        <is>
          <t>4%</t>
        </is>
      </c>
      <c r="Q177" s="14" t="n">
        <v>56379</v>
      </c>
      <c r="R177" s="14" t="inlineStr">
        <is>
          <t>P/B 1.91 · EV/EBITDA 8.0× · FCF yld 16% · net debt 58% of mcap · rev +3% · op margin 8% · buying back 11%/yr</t>
        </is>
      </c>
      <c r="S177" s="14" t="inlineStr"/>
      <c r="T177" s="14" t="inlineStr">
        <is>
          <t>Caution List</t>
        </is>
      </c>
    </row>
    <row r="178">
      <c r="A178" s="8" t="inlineStr">
        <is>
          <t>SD</t>
        </is>
      </c>
      <c r="B178" s="16" t="inlineStr">
        <is>
          <t>SandRidge Energy, Inc.</t>
        </is>
      </c>
      <c r="C178" s="16" t="inlineStr">
        <is>
          <t>Energy</t>
        </is>
      </c>
      <c r="D178" s="16" t="n">
        <v>524</v>
      </c>
      <c r="E178" s="16" t="n">
        <v>0.97</v>
      </c>
      <c r="F178" s="16" t="n">
        <v>6.2</v>
      </c>
      <c r="G178" s="16" t="n">
        <v>3.1</v>
      </c>
      <c r="H178" s="16" t="inlineStr">
        <is>
          <t>8%</t>
        </is>
      </c>
      <c r="I178" s="16" t="inlineStr">
        <is>
          <t>22%</t>
        </is>
      </c>
      <c r="J178" s="16" t="n">
        <v>-0.9</v>
      </c>
      <c r="K178" s="16" t="inlineStr">
        <is>
          <t>23%</t>
        </is>
      </c>
      <c r="L178" s="16" t="inlineStr">
        <is>
          <t>42%</t>
        </is>
      </c>
      <c r="M178" s="16" t="inlineStr">
        <is>
          <t>16%</t>
        </is>
      </c>
      <c r="N178" s="16" t="inlineStr">
        <is>
          <t>1%</t>
        </is>
      </c>
      <c r="O178" s="16" t="n">
        <v>83.2</v>
      </c>
      <c r="P178" s="16" t="inlineStr">
        <is>
          <t>42%</t>
        </is>
      </c>
      <c r="Q178" s="16" t="n">
        <v>4818</v>
      </c>
      <c r="R178" s="16" t="inlineStr">
        <is>
          <t>P/B 0.97 · EV/EBITDA 3.1× · FCF yld 8% · net cash 22% of mcap · rev +23% · op margin 42%</t>
        </is>
      </c>
      <c r="S178" s="16" t="inlineStr"/>
      <c r="T178" s="16" t="inlineStr">
        <is>
          <t>Caution List</t>
        </is>
      </c>
    </row>
    <row r="179">
      <c r="A179" s="6" t="inlineStr">
        <is>
          <t>OSUR</t>
        </is>
      </c>
      <c r="B179" s="14" t="inlineStr">
        <is>
          <t xml:space="preserve">OraSure Technologies, </t>
        </is>
      </c>
      <c r="C179" s="14" t="inlineStr">
        <is>
          <t>Healthcare</t>
        </is>
      </c>
      <c r="D179" s="14" t="n">
        <v>272</v>
      </c>
      <c r="E179" s="14" t="n">
        <v>0.86</v>
      </c>
      <c r="F179" s="14" t="n">
        <v>-5.8</v>
      </c>
      <c r="G179" s="14" t="n">
        <v>-2.9</v>
      </c>
      <c r="H179" s="14" t="inlineStr">
        <is>
          <t>-17%</t>
        </is>
      </c>
      <c r="I179" s="14" t="inlineStr">
        <is>
          <t>55%</t>
        </is>
      </c>
      <c r="J179" s="14" t="n">
        <v>3.4</v>
      </c>
      <c r="K179" s="14" t="inlineStr">
        <is>
          <t>-19%</t>
        </is>
      </c>
      <c r="L179" s="14" t="inlineStr">
        <is>
          <t>-45%</t>
        </is>
      </c>
      <c r="M179" s="14" t="inlineStr">
        <is>
          <t>-15%</t>
        </is>
      </c>
      <c r="N179" s="14" t="inlineStr">
        <is>
          <t>-6%</t>
        </is>
      </c>
      <c r="O179" s="14" t="n">
        <v>0</v>
      </c>
      <c r="P179" s="14" t="inlineStr">
        <is>
          <t>75%</t>
        </is>
      </c>
      <c r="Q179" s="14" t="n">
        <v>2304</v>
      </c>
      <c r="R179" s="14" t="inlineStr">
        <is>
          <t>P/B 0.86 · P/S 2.4 · FCF yld -17% · net cash 55% of mcap · rev -19% · op margin -45% · buying back 6%/yr</t>
        </is>
      </c>
      <c r="S179" s="14" t="inlineStr"/>
      <c r="T179" s="14" t="inlineStr">
        <is>
          <t>Caution List</t>
        </is>
      </c>
    </row>
    <row r="180">
      <c r="A180" s="8" t="inlineStr">
        <is>
          <t>GWW</t>
        </is>
      </c>
      <c r="B180" s="16" t="inlineStr">
        <is>
          <t>W.W. Grainger, Inc.</t>
        </is>
      </c>
      <c r="C180" s="16" t="inlineStr">
        <is>
          <t>Industrials</t>
        </is>
      </c>
      <c r="D180" s="16" t="n">
        <v>59972</v>
      </c>
      <c r="E180" s="16" t="n">
        <v>14.52</v>
      </c>
      <c r="F180" s="16" t="n">
        <v>32.3</v>
      </c>
      <c r="G180" s="16" t="n">
        <v>21</v>
      </c>
      <c r="H180" s="16" t="inlineStr">
        <is>
          <t>3%</t>
        </is>
      </c>
      <c r="I180" s="16" t="inlineStr">
        <is>
          <t>-4%</t>
        </is>
      </c>
      <c r="J180" s="16" t="n">
        <v>0.7</v>
      </c>
      <c r="K180" s="16" t="inlineStr">
        <is>
          <t>8%</t>
        </is>
      </c>
      <c r="L180" s="16" t="inlineStr">
        <is>
          <t>15%</t>
        </is>
      </c>
      <c r="M180" s="16" t="inlineStr">
        <is>
          <t>49%</t>
        </is>
      </c>
      <c r="N180" s="16" t="inlineStr">
        <is>
          <t>-2%</t>
        </is>
      </c>
      <c r="O180" s="16" t="n">
        <v>33.9</v>
      </c>
      <c r="P180" s="16" t="inlineStr">
        <is>
          <t>71%</t>
        </is>
      </c>
      <c r="Q180" s="16" t="n">
        <v>363065</v>
      </c>
      <c r="R180" s="16" t="inlineStr">
        <is>
          <t>P/B 14.52 · EV/EBITDA 21.0× · FCF yld 3% · net debt 4% of mcap · rev +8% · op margin 15%</t>
        </is>
      </c>
      <c r="S180" s="16" t="inlineStr"/>
      <c r="T180" s="16" t="inlineStr">
        <is>
          <t>Caution List</t>
        </is>
      </c>
    </row>
    <row r="181">
      <c r="A181" s="6" t="inlineStr">
        <is>
          <t>KMPR</t>
        </is>
      </c>
      <c r="B181" s="14" t="inlineStr">
        <is>
          <t>Kemper Corporation</t>
        </is>
      </c>
      <c r="C181" s="14" t="inlineStr">
        <is>
          <t>Financial Serv</t>
        </is>
      </c>
      <c r="D181" s="14" t="n">
        <v>1522</v>
      </c>
      <c r="E181" s="14" t="n">
        <v>0.6899999999999999</v>
      </c>
      <c r="F181" s="14" t="n">
        <v>-3.1</v>
      </c>
      <c r="G181" s="14" t="n">
        <v>-5.6</v>
      </c>
      <c r="H181" s="14" t="inlineStr">
        <is>
          <t>31%</t>
        </is>
      </c>
      <c r="I181" s="14" t="inlineStr">
        <is>
          <t>-62%</t>
        </is>
      </c>
      <c r="J181" s="14" t="n">
        <v>-2.1</v>
      </c>
      <c r="K181" s="14" t="inlineStr">
        <is>
          <t>-4%</t>
        </is>
      </c>
      <c r="L181" s="14" t="inlineStr">
        <is>
          <t>-11%</t>
        </is>
      </c>
      <c r="M181" s="14" t="inlineStr">
        <is>
          <t>-19%</t>
        </is>
      </c>
      <c r="N181" s="14" t="inlineStr">
        <is>
          <t>-9%</t>
        </is>
      </c>
      <c r="O181" s="14" t="n">
        <v>-14.4</v>
      </c>
      <c r="P181" s="14" t="inlineStr">
        <is>
          <t>11%</t>
        </is>
      </c>
      <c r="Q181" s="14" t="n">
        <v>27471</v>
      </c>
      <c r="R181" s="14" t="inlineStr">
        <is>
          <t>P/B 0.69 · ROE -19% · div yld 5.0% · buying back 9%/yr (financial: book/earnings basis)</t>
        </is>
      </c>
      <c r="S181" s="14" t="inlineStr"/>
      <c r="T181" s="14" t="inlineStr">
        <is>
          <t>Caution List</t>
        </is>
      </c>
    </row>
    <row r="182">
      <c r="A182" s="8" t="inlineStr">
        <is>
          <t>BHF</t>
        </is>
      </c>
      <c r="B182" s="16" t="inlineStr">
        <is>
          <t>Brighthouse Financial,</t>
        </is>
      </c>
      <c r="C182" s="16" t="inlineStr">
        <is>
          <t>Financial Serv</t>
        </is>
      </c>
      <c r="D182" s="16" t="n">
        <v>3005</v>
      </c>
      <c r="E182" s="16" t="n">
        <v>0.46</v>
      </c>
      <c r="F182" s="16" t="n">
        <v>4.1</v>
      </c>
      <c r="G182" s="16" t="n">
        <v>-0.9</v>
      </c>
      <c r="H182" s="16" t="inlineStr">
        <is>
          <t>-30%</t>
        </is>
      </c>
      <c r="I182" s="16" t="inlineStr">
        <is>
          <t>131%</t>
        </is>
      </c>
      <c r="J182" s="16" t="n">
        <v>-3.5</v>
      </c>
      <c r="K182" s="16" t="inlineStr">
        <is>
          <t>2%</t>
        </is>
      </c>
      <c r="L182" s="16" t="inlineStr">
        <is>
          <t>16%</t>
        </is>
      </c>
      <c r="M182" s="16" t="inlineStr">
        <is>
          <t>13%</t>
        </is>
      </c>
      <c r="N182" s="16" t="inlineStr">
        <is>
          <t>0%</t>
        </is>
      </c>
      <c r="O182" s="16" t="n">
        <v>6.4</v>
      </c>
      <c r="P182" s="16" t="inlineStr">
        <is>
          <t>35%</t>
        </is>
      </c>
      <c r="Q182" s="16" t="n">
        <v>39375</v>
      </c>
      <c r="R182" s="16" t="inlineStr">
        <is>
          <t>P/B 0.46 · P/E 4.1 · ROE 13% (financial: book/earnings basis)</t>
        </is>
      </c>
      <c r="S182" s="16" t="inlineStr"/>
      <c r="T182" s="16" t="inlineStr">
        <is>
          <t>Caution List</t>
        </is>
      </c>
    </row>
    <row r="183">
      <c r="A183" s="6" t="inlineStr">
        <is>
          <t>BEEP</t>
        </is>
      </c>
      <c r="B183" s="14" t="inlineStr">
        <is>
          <t xml:space="preserve">Mobile Infrastructure </t>
        </is>
      </c>
      <c r="C183" s="14" t="inlineStr">
        <is>
          <t>Industrials</t>
        </is>
      </c>
      <c r="D183" s="14" t="n">
        <v>116</v>
      </c>
      <c r="E183" s="14" t="n">
        <v>0.9</v>
      </c>
      <c r="F183" s="14" t="n">
        <v>-4.7</v>
      </c>
      <c r="G183" s="14" t="n">
        <v>100.4</v>
      </c>
      <c r="H183" s="14" t="inlineStr">
        <is>
          <t>-0%</t>
        </is>
      </c>
      <c r="I183" s="14" t="inlineStr">
        <is>
          <t>-161%</t>
        </is>
      </c>
      <c r="J183" s="14" t="n">
        <v>61.3</v>
      </c>
      <c r="K183" s="14" t="inlineStr">
        <is>
          <t>-4%</t>
        </is>
      </c>
      <c r="L183" s="14" t="inlineStr">
        <is>
          <t>7%</t>
        </is>
      </c>
      <c r="M183" s="14" t="inlineStr">
        <is>
          <t>-17%</t>
        </is>
      </c>
      <c r="N183" s="14" t="inlineStr">
        <is>
          <t>-3%</t>
        </is>
      </c>
      <c r="O183" s="14" t="n">
        <v>0.1</v>
      </c>
      <c r="P183" s="14" t="inlineStr">
        <is>
          <t>61%</t>
        </is>
      </c>
      <c r="Q183" s="14" t="n">
        <v>174</v>
      </c>
      <c r="R183" s="14" t="inlineStr">
        <is>
          <t>P/B 0.90 · EV/EBITDA 100.4× · FCF yld -0% · net debt 161% of mcap · rev -4% · op margin 7% · buying back 3%/yr · interest cover 0.1× ⚠</t>
        </is>
      </c>
      <c r="S183" s="14" t="inlineStr"/>
      <c r="T183" s="14" t="inlineStr">
        <is>
          <t>Caution List</t>
        </is>
      </c>
    </row>
    <row r="184">
      <c r="A184" s="8" t="inlineStr">
        <is>
          <t>TXRH</t>
        </is>
      </c>
      <c r="B184" s="16" t="inlineStr">
        <is>
          <t>Texas Roadhouse, Inc.</t>
        </is>
      </c>
      <c r="C184" s="16" t="inlineStr">
        <is>
          <t>Consumer Cycli</t>
        </is>
      </c>
      <c r="D184" s="16" t="n">
        <v>10805</v>
      </c>
      <c r="E184" s="16" t="n">
        <v>6.93</v>
      </c>
      <c r="F184" s="16" t="n">
        <v>26.3</v>
      </c>
      <c r="G184" s="16" t="n">
        <v>15.3</v>
      </c>
      <c r="H184" s="16" t="inlineStr">
        <is>
          <t>4%</t>
        </is>
      </c>
      <c r="I184" s="16" t="inlineStr">
        <is>
          <t>-8%</t>
        </is>
      </c>
      <c r="J184" s="16" t="n">
        <v>1.2</v>
      </c>
      <c r="K184" s="16" t="inlineStr">
        <is>
          <t>10%</t>
        </is>
      </c>
      <c r="L184" s="16" t="inlineStr">
        <is>
          <t>8%</t>
        </is>
      </c>
      <c r="M184" s="16" t="inlineStr">
        <is>
          <t>28%</t>
        </is>
      </c>
      <c r="N184" s="16" t="inlineStr">
        <is>
          <t>-1%</t>
        </is>
      </c>
      <c r="O184" s="16" t="n">
        <v>0</v>
      </c>
      <c r="P184" s="16" t="inlineStr">
        <is>
          <t>17%</t>
        </is>
      </c>
      <c r="Q184" s="16" t="n">
        <v>164150</v>
      </c>
      <c r="R184" s="16" t="inlineStr">
        <is>
          <t>P/B 6.93 · EV/EBITDA 15.3× · FCF yld 4% · net debt 8% of mcap · rev +10% · op margin 8%</t>
        </is>
      </c>
      <c r="S184" s="16" t="inlineStr"/>
      <c r="T184" s="16" t="inlineStr">
        <is>
          <t>Caution List</t>
        </is>
      </c>
    </row>
    <row r="185">
      <c r="A185" s="6" t="inlineStr">
        <is>
          <t>BDC</t>
        </is>
      </c>
      <c r="B185" s="14" t="inlineStr">
        <is>
          <t>Belden Inc.</t>
        </is>
      </c>
      <c r="C185" s="14" t="inlineStr">
        <is>
          <t>Technology</t>
        </is>
      </c>
      <c r="D185" s="14" t="n">
        <v>4499</v>
      </c>
      <c r="E185" s="14" t="n">
        <v>3.25</v>
      </c>
      <c r="F185" s="14" t="n">
        <v>18.4</v>
      </c>
      <c r="G185" s="14" t="n">
        <v>12</v>
      </c>
      <c r="H185" s="14" t="inlineStr">
        <is>
          <t>5%</t>
        </is>
      </c>
      <c r="I185" s="14" t="inlineStr">
        <is>
          <t>-22%</t>
        </is>
      </c>
      <c r="J185" s="14" t="n">
        <v>2.1</v>
      </c>
      <c r="K185" s="14" t="inlineStr">
        <is>
          <t>9%</t>
        </is>
      </c>
      <c r="L185" s="14" t="inlineStr">
        <is>
          <t>13%</t>
        </is>
      </c>
      <c r="M185" s="14" t="inlineStr">
        <is>
          <t>19%</t>
        </is>
      </c>
      <c r="N185" s="14" t="inlineStr">
        <is>
          <t>-2%</t>
        </is>
      </c>
      <c r="O185" s="14" t="n">
        <v>15.6</v>
      </c>
      <c r="P185" s="14" t="inlineStr">
        <is>
          <t>28%</t>
        </is>
      </c>
      <c r="Q185" s="14" t="n">
        <v>59612</v>
      </c>
      <c r="R185" s="14" t="inlineStr">
        <is>
          <t>P/B 3.25 · EV/EBITDA 12.0× · FCF yld 5% · net debt 22% of mcap · rev +9% · op margin 13%</t>
        </is>
      </c>
      <c r="S185" s="14" t="inlineStr"/>
      <c r="T185" s="14" t="inlineStr">
        <is>
          <t>Caution List</t>
        </is>
      </c>
    </row>
    <row r="186">
      <c r="A186" s="8" t="inlineStr">
        <is>
          <t>EVGO</t>
        </is>
      </c>
      <c r="B186" s="16" t="inlineStr">
        <is>
          <t>EVgo, Inc.</t>
        </is>
      </c>
      <c r="C186" s="16" t="inlineStr">
        <is>
          <t>Consumer Cycli</t>
        </is>
      </c>
      <c r="D186" s="16" t="n">
        <v>439</v>
      </c>
      <c r="E186" s="16" t="n"/>
      <c r="F186" s="16" t="n">
        <v>-3.5</v>
      </c>
      <c r="G186" s="16" t="n">
        <v>-18</v>
      </c>
      <c r="H186" s="16" t="inlineStr">
        <is>
          <t>-45%</t>
        </is>
      </c>
      <c r="I186" s="16" t="n"/>
      <c r="J186" s="16" t="n">
        <v>-7.3</v>
      </c>
      <c r="K186" s="16" t="inlineStr">
        <is>
          <t>31%</t>
        </is>
      </c>
      <c r="L186" s="16" t="inlineStr">
        <is>
          <t>-30%</t>
        </is>
      </c>
      <c r="M186" s="16" t="inlineStr">
        <is>
          <t>41%</t>
        </is>
      </c>
      <c r="N186" s="16" t="inlineStr">
        <is>
          <t>6%</t>
        </is>
      </c>
      <c r="O186" s="16" t="n">
        <v>-7.5</v>
      </c>
      <c r="P186" s="16" t="inlineStr">
        <is>
          <t>4%</t>
        </is>
      </c>
      <c r="Q186" s="16" t="n">
        <v>5525</v>
      </c>
      <c r="R186" s="16" t="inlineStr">
        <is>
          <t>P/S 1.1 · FCF yld -45% · rev +31% · op margin -30% · diluting 6%/yr</t>
        </is>
      </c>
      <c r="S186" s="16" t="inlineStr">
        <is>
          <t>negative equity</t>
        </is>
      </c>
      <c r="T186" s="16" t="inlineStr">
        <is>
          <t>Caution List</t>
        </is>
      </c>
    </row>
    <row r="187">
      <c r="A187" s="6" t="inlineStr">
        <is>
          <t>IDCC</t>
        </is>
      </c>
      <c r="B187" s="14" t="inlineStr">
        <is>
          <t>InterDigital, Inc.</t>
        </is>
      </c>
      <c r="C187" s="14" t="inlineStr">
        <is>
          <t>Technology</t>
        </is>
      </c>
      <c r="D187" s="14" t="n">
        <v>8535</v>
      </c>
      <c r="E187" s="14" t="n">
        <v>7.1</v>
      </c>
      <c r="F187" s="14" t="n">
        <v>28.1</v>
      </c>
      <c r="G187" s="14" t="n">
        <v>18.2</v>
      </c>
      <c r="H187" s="14" t="inlineStr">
        <is>
          <t>6%</t>
        </is>
      </c>
      <c r="I187" s="14" t="inlineStr">
        <is>
          <t>8%</t>
        </is>
      </c>
      <c r="J187" s="14" t="n">
        <v>-0.5</v>
      </c>
      <c r="K187" s="14" t="inlineStr">
        <is>
          <t>-12%</t>
        </is>
      </c>
      <c r="L187" s="14" t="inlineStr">
        <is>
          <t>44%</t>
        </is>
      </c>
      <c r="M187" s="14" t="inlineStr">
        <is>
          <t>27%</t>
        </is>
      </c>
      <c r="N187" s="14" t="inlineStr">
        <is>
          <t>2%</t>
        </is>
      </c>
      <c r="O187" s="14" t="n">
        <v>9</v>
      </c>
      <c r="P187" s="14" t="inlineStr">
        <is>
          <t>50%</t>
        </is>
      </c>
      <c r="Q187" s="14" t="n">
        <v>98225</v>
      </c>
      <c r="R187" s="14" t="inlineStr">
        <is>
          <t>P/B 7.10 · EV/EBITDA 18.2× · FCF yld 6% · net cash 8% of mcap · rev -12% · op margin 44% · diluting 2%/yr</t>
        </is>
      </c>
      <c r="S187" s="14" t="inlineStr"/>
      <c r="T187" s="14" t="inlineStr">
        <is>
          <t>Caution List</t>
        </is>
      </c>
    </row>
    <row r="188">
      <c r="A188" s="8" t="inlineStr">
        <is>
          <t>SOLS</t>
        </is>
      </c>
      <c r="B188" s="16" t="inlineStr">
        <is>
          <t>Solstice Advanced Mate</t>
        </is>
      </c>
      <c r="C188" s="16" t="inlineStr">
        <is>
          <t>Basic Material</t>
        </is>
      </c>
      <c r="D188" s="16" t="n">
        <v>9355</v>
      </c>
      <c r="E188" s="16" t="n">
        <v>5.9</v>
      </c>
      <c r="F188" s="16" t="n">
        <v>43.9</v>
      </c>
      <c r="G188" s="16" t="n">
        <v>12.2</v>
      </c>
      <c r="H188" s="16" t="inlineStr">
        <is>
          <t>2%</t>
        </is>
      </c>
      <c r="I188" s="16" t="inlineStr">
        <is>
          <t>-18%</t>
        </is>
      </c>
      <c r="J188" s="16" t="n">
        <v>1.9</v>
      </c>
      <c r="K188" s="16" t="inlineStr">
        <is>
          <t>9%</t>
        </is>
      </c>
      <c r="L188" s="16" t="inlineStr">
        <is>
          <t>17%</t>
        </is>
      </c>
      <c r="M188" s="16" t="inlineStr">
        <is>
          <t>11%</t>
        </is>
      </c>
      <c r="N188" s="16" t="inlineStr">
        <is>
          <t>0%</t>
        </is>
      </c>
      <c r="O188" s="16" t="n">
        <v>9</v>
      </c>
      <c r="P188" s="16" t="inlineStr">
        <is>
          <t>37%</t>
        </is>
      </c>
      <c r="Q188" s="16" t="n">
        <v>173347</v>
      </c>
      <c r="R188" s="16" t="inlineStr">
        <is>
          <t>P/B 5.90 · EV/EBITDA 12.2× · FCF yld 2% · net debt 18% of mcap · rev +9% · op margin 17%</t>
        </is>
      </c>
      <c r="S188" s="16" t="inlineStr"/>
      <c r="T188" s="16" t="inlineStr">
        <is>
          <t>Caution List</t>
        </is>
      </c>
    </row>
    <row r="189">
      <c r="A189" s="6" t="inlineStr">
        <is>
          <t>ENOV</t>
        </is>
      </c>
      <c r="B189" s="14" t="inlineStr">
        <is>
          <t>Enovis Corporation</t>
        </is>
      </c>
      <c r="C189" s="14" t="inlineStr">
        <is>
          <t>Healthcare</t>
        </is>
      </c>
      <c r="D189" s="14" t="n">
        <v>1059</v>
      </c>
      <c r="E189" s="14" t="n">
        <v>0.72</v>
      </c>
      <c r="F189" s="14" t="n">
        <v>-0.9</v>
      </c>
      <c r="G189" s="14" t="n">
        <v>-3.4</v>
      </c>
      <c r="H189" s="14" t="inlineStr">
        <is>
          <t>6%</t>
        </is>
      </c>
      <c r="I189" s="14" t="inlineStr">
        <is>
          <t>-128%</t>
        </is>
      </c>
      <c r="J189" s="14" t="n">
        <v>-1.9</v>
      </c>
      <c r="K189" s="14" t="inlineStr">
        <is>
          <t>5%</t>
        </is>
      </c>
      <c r="L189" s="14" t="inlineStr">
        <is>
          <t>4%</t>
        </is>
      </c>
      <c r="M189" s="14" t="inlineStr">
        <is>
          <t>-68%</t>
        </is>
      </c>
      <c r="N189" s="14" t="inlineStr">
        <is>
          <t>1%</t>
        </is>
      </c>
      <c r="O189" s="14" t="n">
        <v>1.7</v>
      </c>
      <c r="P189" s="14" t="inlineStr">
        <is>
          <t>6%</t>
        </is>
      </c>
      <c r="Q189" s="14" t="n">
        <v>24826</v>
      </c>
      <c r="R189" s="14" t="inlineStr">
        <is>
          <t>P/B 0.72 · P/S 0.5 · FCF yld 6% · net debt 128% of mcap · rev +5% · op margin 4%</t>
        </is>
      </c>
      <c r="S189" s="14" t="inlineStr"/>
      <c r="T189" s="14" t="inlineStr">
        <is>
          <t>Caution List</t>
        </is>
      </c>
    </row>
    <row r="190">
      <c r="A190" s="8" t="inlineStr">
        <is>
          <t>RXST</t>
        </is>
      </c>
      <c r="B190" s="16" t="inlineStr">
        <is>
          <t>RxSight, Inc.</t>
        </is>
      </c>
      <c r="C190" s="16" t="inlineStr">
        <is>
          <t>Healthcare</t>
        </is>
      </c>
      <c r="D190" s="16" t="n">
        <v>201</v>
      </c>
      <c r="E190" s="16" t="n">
        <v>0.76</v>
      </c>
      <c r="F190" s="16" t="n">
        <v>-4.3</v>
      </c>
      <c r="G190" s="16" t="n">
        <v>-4.6</v>
      </c>
      <c r="H190" s="16" t="inlineStr">
        <is>
          <t>-14%</t>
        </is>
      </c>
      <c r="I190" s="16" t="inlineStr">
        <is>
          <t>98%</t>
        </is>
      </c>
      <c r="J190" s="16" t="n">
        <v>0.1</v>
      </c>
      <c r="K190" s="16" t="inlineStr">
        <is>
          <t>-19%</t>
        </is>
      </c>
      <c r="L190" s="16" t="inlineStr">
        <is>
          <t>-43%</t>
        </is>
      </c>
      <c r="M190" s="16" t="inlineStr">
        <is>
          <t>-17%</t>
        </is>
      </c>
      <c r="N190" s="16" t="inlineStr">
        <is>
          <t>2%</t>
        </is>
      </c>
      <c r="O190" s="16" t="n">
        <v>-3674.2</v>
      </c>
      <c r="P190" s="16" t="inlineStr">
        <is>
          <t>4%</t>
        </is>
      </c>
      <c r="Q190" s="16" t="n">
        <v>4979</v>
      </c>
      <c r="R190" s="16" t="inlineStr">
        <is>
          <t>P/B 0.76 · P/S 1.6 · FCF yld -14% · net cash 98% of mcap · rev -19% · op margin -43%</t>
        </is>
      </c>
      <c r="S190" s="16" t="inlineStr"/>
      <c r="T190" s="16" t="inlineStr">
        <is>
          <t>Caution List</t>
        </is>
      </c>
    </row>
    <row r="191">
      <c r="A191" s="6" t="inlineStr">
        <is>
          <t>METC</t>
        </is>
      </c>
      <c r="B191" s="14" t="inlineStr">
        <is>
          <t>Ramaco Resources, Inc.</t>
        </is>
      </c>
      <c r="C191" s="14" t="inlineStr">
        <is>
          <t>Energy</t>
        </is>
      </c>
      <c r="D191" s="14" t="n">
        <v>504</v>
      </c>
      <c r="E191" s="14" t="n">
        <v>1.34</v>
      </c>
      <c r="F191" s="14" t="n">
        <v>-7.9</v>
      </c>
      <c r="G191" s="14" t="n">
        <v>-195</v>
      </c>
      <c r="H191" s="14" t="inlineStr">
        <is>
          <t>-27%</t>
        </is>
      </c>
      <c r="I191" s="14" t="inlineStr">
        <is>
          <t>-37%</t>
        </is>
      </c>
      <c r="J191" s="14" t="n">
        <v>-52.8</v>
      </c>
      <c r="K191" s="14" t="inlineStr">
        <is>
          <t>-18%</t>
        </is>
      </c>
      <c r="L191" s="14" t="inlineStr">
        <is>
          <t>-14%</t>
        </is>
      </c>
      <c r="M191" s="14" t="inlineStr">
        <is>
          <t>-14%</t>
        </is>
      </c>
      <c r="N191" s="14" t="inlineStr">
        <is>
          <t>19%</t>
        </is>
      </c>
      <c r="O191" s="14" t="n">
        <v>-15.2</v>
      </c>
      <c r="P191" s="14" t="inlineStr">
        <is>
          <t>2%</t>
        </is>
      </c>
      <c r="Q191" s="14" t="n">
        <v>17563</v>
      </c>
      <c r="R191" s="14" t="inlineStr">
        <is>
          <t>P/B 1.34 · P/S 1.0 · FCF yld -27% · net debt 37% of mcap · rev -18% · op margin -14% · diluting 19%/yr · interest cover -15.2× ⚠</t>
        </is>
      </c>
      <c r="S191" s="14" t="inlineStr"/>
      <c r="T191" s="14" t="inlineStr">
        <is>
          <t>Caution List</t>
        </is>
      </c>
    </row>
    <row r="192">
      <c r="A192" s="8" t="inlineStr">
        <is>
          <t>MNST</t>
        </is>
      </c>
      <c r="B192" s="16" t="inlineStr">
        <is>
          <t>Monster Beverage Corpo</t>
        </is>
      </c>
      <c r="C192" s="16" t="inlineStr">
        <is>
          <t>Consumer Defen</t>
        </is>
      </c>
      <c r="D192" s="16" t="n">
        <v>85253</v>
      </c>
      <c r="E192" s="16" t="n">
        <v>9.1</v>
      </c>
      <c r="F192" s="16" t="n">
        <v>40</v>
      </c>
      <c r="G192" s="16" t="n">
        <v>28.1</v>
      </c>
      <c r="H192" s="16" t="inlineStr">
        <is>
          <t>2%</t>
        </is>
      </c>
      <c r="I192" s="16" t="inlineStr">
        <is>
          <t>4%</t>
        </is>
      </c>
      <c r="J192" s="16" t="n">
        <v>-0.7</v>
      </c>
      <c r="K192" s="16" t="inlineStr">
        <is>
          <t>20%</t>
        </is>
      </c>
      <c r="L192" s="16" t="inlineStr">
        <is>
          <t>29%</t>
        </is>
      </c>
      <c r="M192" s="16" t="inlineStr">
        <is>
          <t>25%</t>
        </is>
      </c>
      <c r="N192" s="16" t="inlineStr">
        <is>
          <t>0%</t>
        </is>
      </c>
      <c r="O192" s="16" t="n">
        <v>1920.3</v>
      </c>
      <c r="P192" s="16" t="inlineStr">
        <is>
          <t>64%</t>
        </is>
      </c>
      <c r="Q192" s="16" t="n">
        <v>599964</v>
      </c>
      <c r="R192" s="16" t="inlineStr">
        <is>
          <t>P/B 9.10 · EV/EBITDA 28.1× · FCF yld 2% · net cash 4% of mcap · rev +20% · op margin 29%</t>
        </is>
      </c>
      <c r="S192" s="16" t="inlineStr"/>
      <c r="T192" s="16" t="inlineStr">
        <is>
          <t>Caution List</t>
        </is>
      </c>
    </row>
    <row r="193">
      <c r="A193" s="6" t="inlineStr">
        <is>
          <t>SIG</t>
        </is>
      </c>
      <c r="B193" s="14" t="inlineStr">
        <is>
          <t>Signet Jewelers Limite</t>
        </is>
      </c>
      <c r="C193" s="14" t="inlineStr">
        <is>
          <t>Consumer Cycli</t>
        </is>
      </c>
      <c r="D193" s="14" t="n">
        <v>3981</v>
      </c>
      <c r="E193" s="14" t="n">
        <v>2.31</v>
      </c>
      <c r="F193" s="14" t="n">
        <v>11.4</v>
      </c>
      <c r="G193" s="14" t="n">
        <v>6.2</v>
      </c>
      <c r="H193" s="14" t="inlineStr">
        <is>
          <t>17%</t>
        </is>
      </c>
      <c r="I193" s="14" t="inlineStr">
        <is>
          <t>-45%</t>
        </is>
      </c>
      <c r="J193" s="14" t="n">
        <v>0.9</v>
      </c>
      <c r="K193" s="14" t="inlineStr">
        <is>
          <t>-2%</t>
        </is>
      </c>
      <c r="L193" s="14" t="inlineStr">
        <is>
          <t>9%</t>
        </is>
      </c>
      <c r="M193" s="14" t="inlineStr">
        <is>
          <t>19%</t>
        </is>
      </c>
      <c r="N193" s="14" t="inlineStr">
        <is>
          <t>-6%</t>
        </is>
      </c>
      <c r="O193" s="14" t="n">
        <v>-6284</v>
      </c>
      <c r="P193" s="14" t="inlineStr">
        <is>
          <t>77%</t>
        </is>
      </c>
      <c r="Q193" s="14" t="n">
        <v>90106</v>
      </c>
      <c r="R193" s="14" t="inlineStr">
        <is>
          <t>P/B 2.31 · EV/EBITDA 6.2× · FCF yld 17% · net debt 45% of mcap · rev -2% · op margin 9% · buying back 6%/yr · interest cover -6284.0× ⚠</t>
        </is>
      </c>
      <c r="S193" s="14" t="inlineStr"/>
      <c r="T193" s="14" t="inlineStr">
        <is>
          <t>Caution List</t>
        </is>
      </c>
    </row>
    <row r="194">
      <c r="A194" s="8" t="inlineStr">
        <is>
          <t>BUSE</t>
        </is>
      </c>
      <c r="B194" s="16" t="inlineStr">
        <is>
          <t>First Busey Corporatio</t>
        </is>
      </c>
      <c r="C194" s="16" t="inlineStr">
        <is>
          <t>Financial Serv</t>
        </is>
      </c>
      <c r="D194" s="16" t="n">
        <v>2514</v>
      </c>
      <c r="E194" s="16" t="n">
        <v>1.06</v>
      </c>
      <c r="F194" s="16" t="n">
        <v>10.7</v>
      </c>
      <c r="G194" s="16" t="n">
        <v>13.2</v>
      </c>
      <c r="H194" s="16" t="inlineStr">
        <is>
          <t>8%</t>
        </is>
      </c>
      <c r="I194" s="16" t="inlineStr">
        <is>
          <t>8%</t>
        </is>
      </c>
      <c r="J194" s="16" t="n">
        <v>-1.2</v>
      </c>
      <c r="K194" s="16" t="inlineStr">
        <is>
          <t>15%</t>
        </is>
      </c>
      <c r="L194" s="16" t="inlineStr">
        <is>
          <t>17%</t>
        </is>
      </c>
      <c r="M194" s="16" t="inlineStr">
        <is>
          <t>10%</t>
        </is>
      </c>
      <c r="N194" s="16" t="inlineStr">
        <is>
          <t>-2%</t>
        </is>
      </c>
      <c r="O194" s="16" t="n">
        <v>0.5</v>
      </c>
      <c r="P194" s="16" t="inlineStr">
        <is>
          <t>80%</t>
        </is>
      </c>
      <c r="Q194" s="16" t="n">
        <v>23531</v>
      </c>
      <c r="R194" s="16" t="inlineStr">
        <is>
          <t>P/B 1.06 · P/E 10.7 · ROE 10% · div yld 3.5% (financial: book/earnings basis)</t>
        </is>
      </c>
      <c r="S194" s="16" t="inlineStr"/>
      <c r="T194" s="16" t="inlineStr">
        <is>
          <t>Caution List</t>
        </is>
      </c>
    </row>
    <row r="195">
      <c r="A195" s="6" t="inlineStr">
        <is>
          <t>FROG</t>
        </is>
      </c>
      <c r="B195" s="14" t="inlineStr">
        <is>
          <t>JFrog Ltd.</t>
        </is>
      </c>
      <c r="C195" s="14" t="inlineStr">
        <is>
          <t>Technology</t>
        </is>
      </c>
      <c r="D195" s="14" t="n">
        <v>11021</v>
      </c>
      <c r="E195" s="14" t="n">
        <v>11.47</v>
      </c>
      <c r="F195" s="14" t="n">
        <v>-249.1</v>
      </c>
      <c r="G195" s="14" t="n">
        <v>-602.6</v>
      </c>
      <c r="H195" s="14" t="inlineStr">
        <is>
          <t>2%</t>
        </is>
      </c>
      <c r="I195" s="14" t="inlineStr">
        <is>
          <t>7%</t>
        </is>
      </c>
      <c r="J195" s="14" t="n">
        <v>4.5</v>
      </c>
      <c r="K195" s="14" t="inlineStr">
        <is>
          <t>26%</t>
        </is>
      </c>
      <c r="L195" s="14" t="inlineStr">
        <is>
          <t>-11%</t>
        </is>
      </c>
      <c r="M195" s="14" t="inlineStr">
        <is>
          <t>-5%</t>
        </is>
      </c>
      <c r="N195" s="14" t="inlineStr">
        <is>
          <t>6%</t>
        </is>
      </c>
      <c r="O195" s="14" t="n">
        <v>0</v>
      </c>
      <c r="P195" s="14" t="inlineStr">
        <is>
          <t>79%</t>
        </is>
      </c>
      <c r="Q195" s="14" t="n">
        <v>228742</v>
      </c>
      <c r="R195" s="14" t="inlineStr">
        <is>
          <t>P/B 11.47 · P/S 18.5 · FCF yld 2% · net cash 7% of mcap · rev +26% · op margin -11% · diluting 6%/yr</t>
        </is>
      </c>
      <c r="S195" s="14" t="inlineStr"/>
      <c r="T195" s="14" t="inlineStr">
        <is>
          <t>Incentive Improvers</t>
        </is>
      </c>
    </row>
    <row r="196">
      <c r="A196" s="8" t="inlineStr">
        <is>
          <t>AGNC</t>
        </is>
      </c>
      <c r="B196" s="16" t="inlineStr">
        <is>
          <t>AGNC Investment Corp.</t>
        </is>
      </c>
      <c r="C196" s="16" t="inlineStr">
        <is>
          <t>Real Estate</t>
        </is>
      </c>
      <c r="D196" s="16" t="n">
        <v>11433</v>
      </c>
      <c r="E196" s="16" t="n">
        <v>0.91</v>
      </c>
      <c r="F196" s="16" t="n">
        <v>5.1</v>
      </c>
      <c r="G196" s="16" t="n">
        <v>25.7</v>
      </c>
      <c r="H196" s="16" t="inlineStr">
        <is>
          <t>8%</t>
        </is>
      </c>
      <c r="I196" s="16" t="inlineStr">
        <is>
          <t>-781%</t>
        </is>
      </c>
      <c r="J196" s="16" t="n">
        <v>22.8</v>
      </c>
      <c r="K196" s="16" t="n"/>
      <c r="L196" s="16" t="inlineStr">
        <is>
          <t>113%</t>
        </is>
      </c>
      <c r="M196" s="16" t="inlineStr">
        <is>
          <t>18%</t>
        </is>
      </c>
      <c r="N196" s="16" t="inlineStr">
        <is>
          <t>14%</t>
        </is>
      </c>
      <c r="O196" s="16" t="n">
        <v>1.2</v>
      </c>
      <c r="P196" s="16" t="inlineStr">
        <is>
          <t>13%</t>
        </is>
      </c>
      <c r="Q196" s="16" t="n">
        <v>201253</v>
      </c>
      <c r="R196" s="16" t="inlineStr">
        <is>
          <t>P/B 0.91 · EV/EBITDA 25.7× · FCF yld 8% · net debt 781% of mcap · op margin 113% · diluting 14%/yr · interest cover 1.2× ⚠</t>
        </is>
      </c>
      <c r="S196" s="16" t="inlineStr">
        <is>
          <t>revenue not comparable YoY (fair-value / one-off income?)</t>
        </is>
      </c>
      <c r="T196" s="16" t="inlineStr">
        <is>
          <t>Incentive Improvers</t>
        </is>
      </c>
    </row>
    <row r="197">
      <c r="A197" s="6" t="inlineStr">
        <is>
          <t>AGNCL</t>
        </is>
      </c>
      <c r="B197" s="14" t="inlineStr">
        <is>
          <t>AGNC Investment Corp.</t>
        </is>
      </c>
      <c r="C197" s="14" t="inlineStr">
        <is>
          <t>Real Estate</t>
        </is>
      </c>
      <c r="D197" s="14" t="n">
        <v>9886</v>
      </c>
      <c r="E197" s="14" t="n"/>
      <c r="F197" s="14" t="n">
        <v>5.1</v>
      </c>
      <c r="G197" s="14" t="n">
        <v>25.7</v>
      </c>
      <c r="H197" s="14" t="inlineStr">
        <is>
          <t>8%</t>
        </is>
      </c>
      <c r="I197" s="14" t="n"/>
      <c r="J197" s="14" t="n">
        <v>22.8</v>
      </c>
      <c r="K197" s="14" t="n"/>
      <c r="L197" s="14" t="inlineStr">
        <is>
          <t>113%</t>
        </is>
      </c>
      <c r="M197" s="14" t="inlineStr">
        <is>
          <t>18%</t>
        </is>
      </c>
      <c r="N197" s="14" t="inlineStr">
        <is>
          <t>14%</t>
        </is>
      </c>
      <c r="O197" s="14" t="n">
        <v>1.2</v>
      </c>
      <c r="P197" s="14" t="inlineStr">
        <is>
          <t>92%</t>
        </is>
      </c>
      <c r="Q197" s="14" t="n">
        <v>312</v>
      </c>
      <c r="R197" s="14" t="inlineStr">
        <is>
          <t>EV/EBITDA 25.7× · FCF yld 8% · op margin 113% · diluting 14%/yr</t>
        </is>
      </c>
      <c r="S197" s="14" t="inlineStr">
        <is>
          <t>market-cap/share data inconsistent; revenue not comparable YoY (fair-value / one-off income?)</t>
        </is>
      </c>
      <c r="T197" s="14" t="inlineStr">
        <is>
          <t>Incentive Improvers</t>
        </is>
      </c>
    </row>
    <row r="198">
      <c r="A198" s="8" t="inlineStr">
        <is>
          <t>AGNCM</t>
        </is>
      </c>
      <c r="B198" s="16" t="inlineStr">
        <is>
          <t>AGNC Investment Corp.</t>
        </is>
      </c>
      <c r="C198" s="16" t="inlineStr">
        <is>
          <t>Real Estate</t>
        </is>
      </c>
      <c r="D198" s="16" t="n">
        <v>8959</v>
      </c>
      <c r="E198" s="16" t="n"/>
      <c r="F198" s="16" t="n">
        <v>5.1</v>
      </c>
      <c r="G198" s="16" t="n">
        <v>25.7</v>
      </c>
      <c r="H198" s="16" t="inlineStr">
        <is>
          <t>8%</t>
        </is>
      </c>
      <c r="I198" s="16" t="n"/>
      <c r="J198" s="16" t="n">
        <v>22.8</v>
      </c>
      <c r="K198" s="16" t="n"/>
      <c r="L198" s="16" t="inlineStr">
        <is>
          <t>113%</t>
        </is>
      </c>
      <c r="M198" s="16" t="inlineStr">
        <is>
          <t>18%</t>
        </is>
      </c>
      <c r="N198" s="16" t="inlineStr">
        <is>
          <t>14%</t>
        </is>
      </c>
      <c r="O198" s="16" t="n">
        <v>1.2</v>
      </c>
      <c r="P198" s="16" t="inlineStr">
        <is>
          <t>82%</t>
        </is>
      </c>
      <c r="Q198" s="16" t="n">
        <v>380</v>
      </c>
      <c r="R198" s="16" t="inlineStr">
        <is>
          <t>EV/EBITDA 25.7× · FCF yld 8% · op margin 113% · diluting 14%/yr</t>
        </is>
      </c>
      <c r="S198" s="16" t="inlineStr">
        <is>
          <t>market-cap/share data inconsistent; revenue not comparable YoY (fair-value / one-off income?)</t>
        </is>
      </c>
      <c r="T198" s="16" t="inlineStr">
        <is>
          <t>Incentive Improvers</t>
        </is>
      </c>
    </row>
    <row r="199">
      <c r="A199" s="6" t="inlineStr">
        <is>
          <t>AGNCN</t>
        </is>
      </c>
      <c r="B199" s="14" t="inlineStr">
        <is>
          <t>AGNC Investment Corp.</t>
        </is>
      </c>
      <c r="C199" s="14" t="inlineStr">
        <is>
          <t>Real Estate</t>
        </is>
      </c>
      <c r="D199" s="14" t="n">
        <v>8858</v>
      </c>
      <c r="E199" s="14" t="n"/>
      <c r="F199" s="14" t="n">
        <v>5.1</v>
      </c>
      <c r="G199" s="14" t="n">
        <v>25.7</v>
      </c>
      <c r="H199" s="14" t="inlineStr">
        <is>
          <t>8%</t>
        </is>
      </c>
      <c r="I199" s="14" t="n"/>
      <c r="J199" s="14" t="n">
        <v>22.8</v>
      </c>
      <c r="K199" s="14" t="n"/>
      <c r="L199" s="14" t="inlineStr">
        <is>
          <t>113%</t>
        </is>
      </c>
      <c r="M199" s="14" t="inlineStr">
        <is>
          <t>18%</t>
        </is>
      </c>
      <c r="N199" s="14" t="inlineStr">
        <is>
          <t>14%</t>
        </is>
      </c>
      <c r="O199" s="14" t="n">
        <v>1.2</v>
      </c>
      <c r="P199" s="14" t="inlineStr">
        <is>
          <t>78%</t>
        </is>
      </c>
      <c r="Q199" s="14" t="n">
        <v>574</v>
      </c>
      <c r="R199" s="14" t="inlineStr">
        <is>
          <t>EV/EBITDA 25.7× · FCF yld 8% · op margin 113% · diluting 14%/yr</t>
        </is>
      </c>
      <c r="S199" s="14" t="inlineStr">
        <is>
          <t>market-cap/share data inconsistent; revenue not comparable YoY (fair-value / one-off income?)</t>
        </is>
      </c>
      <c r="T199" s="14" t="inlineStr">
        <is>
          <t>Incentive Improvers</t>
        </is>
      </c>
    </row>
    <row r="200">
      <c r="A200" s="8" t="inlineStr">
        <is>
          <t>AGNCO</t>
        </is>
      </c>
      <c r="B200" s="16" t="inlineStr">
        <is>
          <t>AGNC Investment Corp.</t>
        </is>
      </c>
      <c r="C200" s="16" t="inlineStr">
        <is>
          <t>Real Estate</t>
        </is>
      </c>
      <c r="D200" s="16" t="n">
        <v>9893</v>
      </c>
      <c r="E200" s="16" t="n"/>
      <c r="F200" s="16" t="n">
        <v>5.1</v>
      </c>
      <c r="G200" s="16" t="n">
        <v>25.7</v>
      </c>
      <c r="H200" s="16" t="inlineStr">
        <is>
          <t>8%</t>
        </is>
      </c>
      <c r="I200" s="16" t="n"/>
      <c r="J200" s="16" t="n">
        <v>22.8</v>
      </c>
      <c r="K200" s="16" t="n"/>
      <c r="L200" s="16" t="inlineStr">
        <is>
          <t>113%</t>
        </is>
      </c>
      <c r="M200" s="16" t="inlineStr">
        <is>
          <t>18%</t>
        </is>
      </c>
      <c r="N200" s="16" t="inlineStr">
        <is>
          <t>14%</t>
        </is>
      </c>
      <c r="O200" s="16" t="n">
        <v>1.2</v>
      </c>
      <c r="P200" s="16" t="inlineStr">
        <is>
          <t>92%</t>
        </is>
      </c>
      <c r="Q200" s="16" t="n">
        <v>635</v>
      </c>
      <c r="R200" s="16" t="inlineStr">
        <is>
          <t>EV/EBITDA 25.7× · FCF yld 8% · op margin 113% · diluting 14%/yr</t>
        </is>
      </c>
      <c r="S200" s="16" t="inlineStr">
        <is>
          <t>market-cap/share data inconsistent; revenue not comparable YoY (fair-value / one-off income?)</t>
        </is>
      </c>
      <c r="T200" s="16" t="inlineStr">
        <is>
          <t>Incentive Improvers</t>
        </is>
      </c>
    </row>
    <row r="201">
      <c r="A201" s="6" t="inlineStr">
        <is>
          <t>AGNCP</t>
        </is>
      </c>
      <c r="B201" s="14" t="inlineStr">
        <is>
          <t>AGNC Investment Corp.</t>
        </is>
      </c>
      <c r="C201" s="14" t="inlineStr">
        <is>
          <t>Real Estate</t>
        </is>
      </c>
      <c r="D201" s="14" t="n">
        <v>9923</v>
      </c>
      <c r="E201" s="14" t="n"/>
      <c r="F201" s="14" t="n">
        <v>5.1</v>
      </c>
      <c r="G201" s="14" t="n">
        <v>25.7</v>
      </c>
      <c r="H201" s="14" t="inlineStr">
        <is>
          <t>8%</t>
        </is>
      </c>
      <c r="I201" s="14" t="n"/>
      <c r="J201" s="14" t="n">
        <v>22.8</v>
      </c>
      <c r="K201" s="14" t="n"/>
      <c r="L201" s="14" t="inlineStr">
        <is>
          <t>113%</t>
        </is>
      </c>
      <c r="M201" s="14" t="inlineStr">
        <is>
          <t>18%</t>
        </is>
      </c>
      <c r="N201" s="14" t="inlineStr">
        <is>
          <t>14%</t>
        </is>
      </c>
      <c r="O201" s="14" t="n">
        <v>1.2</v>
      </c>
      <c r="P201" s="14" t="inlineStr">
        <is>
          <t>91%</t>
        </is>
      </c>
      <c r="Q201" s="14" t="n">
        <v>1247</v>
      </c>
      <c r="R201" s="14" t="inlineStr">
        <is>
          <t>EV/EBITDA 25.7× · FCF yld 8% · op margin 113% · diluting 14%/yr</t>
        </is>
      </c>
      <c r="S201" s="14" t="inlineStr">
        <is>
          <t>market-cap/share data inconsistent; revenue not comparable YoY (fair-value / one-off income?)</t>
        </is>
      </c>
      <c r="T201" s="14" t="inlineStr">
        <is>
          <t>Incentive Improvers</t>
        </is>
      </c>
    </row>
    <row r="202">
      <c r="A202" s="8" t="inlineStr">
        <is>
          <t>DOV</t>
        </is>
      </c>
      <c r="B202" s="16" t="inlineStr">
        <is>
          <t>Dover Corporation</t>
        </is>
      </c>
      <c r="C202" s="16" t="inlineStr">
        <is>
          <t>Industrials</t>
        </is>
      </c>
      <c r="D202" s="16" t="n">
        <v>25490</v>
      </c>
      <c r="E202" s="16" t="n">
        <v>3.31</v>
      </c>
      <c r="F202" s="16" t="n">
        <v>22.6</v>
      </c>
      <c r="G202" s="16" t="n">
        <v>15</v>
      </c>
      <c r="H202" s="16" t="inlineStr">
        <is>
          <t>5%</t>
        </is>
      </c>
      <c r="I202" s="16" t="inlineStr">
        <is>
          <t>-6%</t>
        </is>
      </c>
      <c r="J202" s="16" t="n">
        <v>0.8</v>
      </c>
      <c r="K202" s="16" t="inlineStr">
        <is>
          <t>8%</t>
        </is>
      </c>
      <c r="L202" s="16" t="inlineStr">
        <is>
          <t>17%</t>
        </is>
      </c>
      <c r="M202" s="16" t="inlineStr">
        <is>
          <t>15%</t>
        </is>
      </c>
      <c r="N202" s="16" t="inlineStr">
        <is>
          <t>-2%</t>
        </is>
      </c>
      <c r="O202" s="16" t="n">
        <v>12.5</v>
      </c>
      <c r="P202" s="16" t="inlineStr">
        <is>
          <t>39%</t>
        </is>
      </c>
      <c r="Q202" s="16" t="n">
        <v>211136</v>
      </c>
      <c r="R202" s="16" t="inlineStr">
        <is>
          <t>P/B 3.31 · EV/EBITDA 15.0× · FCF yld 5% · net debt 6% of mcap · rev +8% · op margin 17%</t>
        </is>
      </c>
      <c r="S202" s="16" t="inlineStr"/>
      <c r="T202" s="16" t="inlineStr">
        <is>
          <t>Incentive Improvers</t>
        </is>
      </c>
    </row>
    <row r="203">
      <c r="A203" s="6" t="inlineStr">
        <is>
          <t>DOCU</t>
        </is>
      </c>
      <c r="B203" s="14" t="inlineStr">
        <is>
          <t>DocuSign, Inc.</t>
        </is>
      </c>
      <c r="C203" s="14" t="inlineStr">
        <is>
          <t>Technology</t>
        </is>
      </c>
      <c r="D203" s="14" t="n">
        <v>13078</v>
      </c>
      <c r="E203" s="14" t="n">
        <v>6.6</v>
      </c>
      <c r="F203" s="14" t="n">
        <v>41.2</v>
      </c>
      <c r="G203" s="14" t="n">
        <v>20.4</v>
      </c>
      <c r="H203" s="14" t="inlineStr">
        <is>
          <t>9%</t>
        </is>
      </c>
      <c r="I203" s="14" t="inlineStr">
        <is>
          <t>5%</t>
        </is>
      </c>
      <c r="J203" s="14" t="n">
        <v>-0.5</v>
      </c>
      <c r="K203" s="14" t="inlineStr">
        <is>
          <t>8%</t>
        </is>
      </c>
      <c r="L203" s="14" t="inlineStr">
        <is>
          <t>12%</t>
        </is>
      </c>
      <c r="M203" s="14" t="inlineStr">
        <is>
          <t>18%</t>
        </is>
      </c>
      <c r="N203" s="14" t="inlineStr">
        <is>
          <t>2%</t>
        </is>
      </c>
      <c r="O203" s="14" t="n">
        <v>170.4</v>
      </c>
      <c r="P203" s="14" t="inlineStr">
        <is>
          <t>62%</t>
        </is>
      </c>
      <c r="Q203" s="14" t="n">
        <v>253929</v>
      </c>
      <c r="R203" s="14" t="inlineStr">
        <is>
          <t>P/B 6.60 · EV/EBITDA 20.4× · FCF yld 9% · net cash 5% of mcap · rev +8% · op margin 12%</t>
        </is>
      </c>
      <c r="S203" s="14" t="inlineStr"/>
      <c r="T203" s="14" t="inlineStr">
        <is>
          <t>Incentive Improvers</t>
        </is>
      </c>
    </row>
    <row r="204">
      <c r="A204" s="8" t="inlineStr">
        <is>
          <t>CMLSQ</t>
        </is>
      </c>
      <c r="B204" s="16" t="inlineStr">
        <is>
          <t>Cumulus Media Inc.</t>
        </is>
      </c>
      <c r="C204" s="16" t="inlineStr">
        <is>
          <t xml:space="preserve">Communication </t>
        </is>
      </c>
      <c r="D204" s="16" t="n">
        <v>0</v>
      </c>
      <c r="E204" s="16" t="n"/>
      <c r="F204" s="16" t="n">
        <v>-0</v>
      </c>
      <c r="G204" s="16" t="n">
        <v>0.8</v>
      </c>
      <c r="H204" s="16" t="n"/>
      <c r="I204" s="16" t="n"/>
      <c r="J204" s="16" t="n">
        <v>0.8</v>
      </c>
      <c r="K204" s="16" t="inlineStr">
        <is>
          <t>-12%</t>
        </is>
      </c>
      <c r="L204" s="16" t="inlineStr">
        <is>
          <t>-21%</t>
        </is>
      </c>
      <c r="M204" s="16" t="inlineStr">
        <is>
          <t>108%</t>
        </is>
      </c>
      <c r="N204" s="16" t="inlineStr">
        <is>
          <t>1%</t>
        </is>
      </c>
      <c r="O204" s="16" t="n">
        <v>-3</v>
      </c>
      <c r="P204" s="16" t="inlineStr">
        <is>
          <t>4%</t>
        </is>
      </c>
      <c r="Q204" s="16" t="n">
        <v>0</v>
      </c>
      <c r="R204" s="16" t="inlineStr">
        <is>
          <t>EV/EBITDA 0.8× · rev -12% · op margin -21%</t>
        </is>
      </c>
      <c r="S204" s="16" t="inlineStr">
        <is>
          <t>negative equity; FCF yield &gt;100% (check)</t>
        </is>
      </c>
      <c r="T204" s="16" t="inlineStr">
        <is>
          <t>Incentive Improvers</t>
        </is>
      </c>
    </row>
    <row r="205">
      <c r="A205" s="6" t="inlineStr">
        <is>
          <t>AIG</t>
        </is>
      </c>
      <c r="B205" s="14" t="inlineStr">
        <is>
          <t>American International</t>
        </is>
      </c>
      <c r="C205" s="14" t="inlineStr">
        <is>
          <t>Financial Serv</t>
        </is>
      </c>
      <c r="D205" s="14" t="n">
        <v>40171</v>
      </c>
      <c r="E205" s="14" t="n">
        <v>0.99</v>
      </c>
      <c r="F205" s="14" t="n">
        <v>13.7</v>
      </c>
      <c r="G205" s="14" t="n">
        <v>6.3</v>
      </c>
      <c r="H205" s="14" t="inlineStr">
        <is>
          <t>10%</t>
        </is>
      </c>
      <c r="I205" s="14" t="inlineStr">
        <is>
          <t>186%</t>
        </is>
      </c>
      <c r="J205" s="14" t="n">
        <v>1</v>
      </c>
      <c r="K205" s="14" t="inlineStr">
        <is>
          <t>-4%</t>
        </is>
      </c>
      <c r="L205" s="14" t="inlineStr">
        <is>
          <t>14%</t>
        </is>
      </c>
      <c r="M205" s="14" t="inlineStr">
        <is>
          <t>7%</t>
        </is>
      </c>
      <c r="N205" s="14" t="inlineStr">
        <is>
          <t>-9%</t>
        </is>
      </c>
      <c r="O205" s="14" t="n">
        <v>9.199999999999999</v>
      </c>
      <c r="P205" s="14" t="inlineStr">
        <is>
          <t>28%</t>
        </is>
      </c>
      <c r="Q205" s="14" t="n">
        <v>289368</v>
      </c>
      <c r="R205" s="14" t="inlineStr">
        <is>
          <t>P/B 0.99 · P/E 13.7 · ROE 7% · div yld 2.5% · buying back 9%/yr (financial: book/earnings basis)</t>
        </is>
      </c>
      <c r="S205" s="14" t="inlineStr"/>
      <c r="T205" s="14" t="inlineStr">
        <is>
          <t>Incentive Improvers</t>
        </is>
      </c>
    </row>
    <row r="206">
      <c r="A206" s="8" t="inlineStr">
        <is>
          <t>AMT</t>
        </is>
      </c>
      <c r="B206" s="16" t="inlineStr">
        <is>
          <t>American Tower Corpora</t>
        </is>
      </c>
      <c r="C206" s="16" t="inlineStr">
        <is>
          <t>Real Estate</t>
        </is>
      </c>
      <c r="D206" s="16" t="n">
        <v>80546</v>
      </c>
      <c r="E206" s="16" t="n">
        <v>21.65</v>
      </c>
      <c r="F206" s="16" t="n">
        <v>23.5</v>
      </c>
      <c r="G206" s="16" t="n">
        <v>17.5</v>
      </c>
      <c r="H206" s="16" t="inlineStr">
        <is>
          <t>5%</t>
        </is>
      </c>
      <c r="I206" s="16" t="inlineStr">
        <is>
          <t>-54%</t>
        </is>
      </c>
      <c r="J206" s="16" t="n">
        <v>6.2</v>
      </c>
      <c r="K206" s="16" t="inlineStr">
        <is>
          <t>7%</t>
        </is>
      </c>
      <c r="L206" s="16" t="inlineStr">
        <is>
          <t>44%</t>
        </is>
      </c>
      <c r="M206" s="16" t="inlineStr">
        <is>
          <t>90%</t>
        </is>
      </c>
      <c r="N206" s="16" t="inlineStr">
        <is>
          <t>-0%</t>
        </is>
      </c>
      <c r="O206" s="16" t="n">
        <v>4.6</v>
      </c>
      <c r="P206" s="16" t="inlineStr">
        <is>
          <t>34%</t>
        </is>
      </c>
      <c r="Q206" s="16" t="n">
        <v>511752</v>
      </c>
      <c r="R206" s="16" t="inlineStr">
        <is>
          <t>P/B 21.65 · EV/EBITDA 17.5× · FCF yld 5% · net debt 54% of mcap · rev +7% · op margin 44%</t>
        </is>
      </c>
      <c r="S206" s="16" t="inlineStr"/>
      <c r="T206" s="16" t="inlineStr">
        <is>
          <t>Incentive Improvers</t>
        </is>
      </c>
    </row>
    <row r="207">
      <c r="A207" s="6" t="inlineStr">
        <is>
          <t>ENTG</t>
        </is>
      </c>
      <c r="B207" s="14" t="inlineStr">
        <is>
          <t>Entegris, Inc.</t>
        </is>
      </c>
      <c r="C207" s="14" t="inlineStr">
        <is>
          <t>Technology</t>
        </is>
      </c>
      <c r="D207" s="14" t="n">
        <v>23099</v>
      </c>
      <c r="E207" s="14" t="n">
        <v>5.56</v>
      </c>
      <c r="F207" s="14" t="n">
        <v>75.2</v>
      </c>
      <c r="G207" s="14" t="n">
        <v>30.5</v>
      </c>
      <c r="H207" s="14" t="inlineStr">
        <is>
          <t>3%</t>
        </is>
      </c>
      <c r="I207" s="14" t="inlineStr">
        <is>
          <t>-14%</t>
        </is>
      </c>
      <c r="J207" s="14" t="n">
        <v>3.7</v>
      </c>
      <c r="K207" s="14" t="inlineStr">
        <is>
          <t>3%</t>
        </is>
      </c>
      <c r="L207" s="14" t="inlineStr">
        <is>
          <t>30%</t>
        </is>
      </c>
      <c r="M207" s="14" t="inlineStr">
        <is>
          <t>8%</t>
        </is>
      </c>
      <c r="N207" s="14" t="inlineStr">
        <is>
          <t>1%</t>
        </is>
      </c>
      <c r="O207" s="14" t="n">
        <v>5.2</v>
      </c>
      <c r="P207" s="14" t="inlineStr">
        <is>
          <t>70%</t>
        </is>
      </c>
      <c r="Q207" s="14" t="n">
        <v>437122</v>
      </c>
      <c r="R207" s="14" t="inlineStr">
        <is>
          <t>P/B 5.56 · EV/EBITDA 30.5× · FCF yld 3% · net debt 14% of mcap · rev +3% · op margin 30%</t>
        </is>
      </c>
      <c r="S207" s="14" t="inlineStr"/>
      <c r="T207" s="14" t="inlineStr">
        <is>
          <t>Incentive Improvers</t>
        </is>
      </c>
    </row>
    <row r="208">
      <c r="A208" s="8" t="inlineStr">
        <is>
          <t>EHTH</t>
        </is>
      </c>
      <c r="B208" s="16" t="inlineStr">
        <is>
          <t>eHealth, Inc.</t>
        </is>
      </c>
      <c r="C208" s="16" t="inlineStr">
        <is>
          <t>Financial Serv</t>
        </is>
      </c>
      <c r="D208" s="16" t="n">
        <v>27</v>
      </c>
      <c r="E208" s="16" t="n"/>
      <c r="F208" s="16" t="n">
        <v>-1</v>
      </c>
      <c r="G208" s="16" t="n">
        <v>1.4</v>
      </c>
      <c r="H208" s="16" t="inlineStr">
        <is>
          <t>-5%</t>
        </is>
      </c>
      <c r="I208" s="16" t="n"/>
      <c r="J208" s="16" t="n">
        <v>1</v>
      </c>
      <c r="K208" s="16" t="inlineStr">
        <is>
          <t>-8%</t>
        </is>
      </c>
      <c r="L208" s="16" t="inlineStr">
        <is>
          <t>12%</t>
        </is>
      </c>
      <c r="M208" s="16" t="inlineStr">
        <is>
          <t>3%</t>
        </is>
      </c>
      <c r="N208" s="16" t="inlineStr">
        <is>
          <t>5%</t>
        </is>
      </c>
      <c r="O208" s="16" t="n">
        <v>4.4</v>
      </c>
      <c r="P208" s="16" t="inlineStr">
        <is>
          <t>1%</t>
        </is>
      </c>
      <c r="Q208" s="16" t="n">
        <v>298</v>
      </c>
      <c r="R208" s="16" t="inlineStr">
        <is>
          <t>ROE 3% · diluting 5%/yr (financial: book/earnings basis)</t>
        </is>
      </c>
      <c r="S208" s="16" t="inlineStr">
        <is>
          <t>market-cap/share data inconsistent; P/E vs earnings-yield sign mismatch</t>
        </is>
      </c>
      <c r="T208" s="16" t="inlineStr">
        <is>
          <t>Incentive Improvers</t>
        </is>
      </c>
    </row>
    <row r="209">
      <c r="A209" s="6" t="inlineStr">
        <is>
          <t>IQV</t>
        </is>
      </c>
      <c r="B209" s="14" t="inlineStr">
        <is>
          <t>IQVIA Holdings Inc.</t>
        </is>
      </c>
      <c r="C209" s="14" t="inlineStr">
        <is>
          <t>Healthcare</t>
        </is>
      </c>
      <c r="D209" s="14" t="n">
        <v>44593</v>
      </c>
      <c r="E209" s="14" t="n">
        <v>7.23</v>
      </c>
      <c r="F209" s="14" t="n">
        <v>32.9</v>
      </c>
      <c r="G209" s="14" t="n">
        <v>16.6</v>
      </c>
      <c r="H209" s="14" t="inlineStr">
        <is>
          <t>6%</t>
        </is>
      </c>
      <c r="I209" s="14" t="inlineStr">
        <is>
          <t>-32%</t>
        </is>
      </c>
      <c r="J209" s="14" t="n">
        <v>4.1</v>
      </c>
      <c r="K209" s="14" t="inlineStr">
        <is>
          <t>8%</t>
        </is>
      </c>
      <c r="L209" s="14" t="inlineStr">
        <is>
          <t>14%</t>
        </is>
      </c>
      <c r="M209" s="14" t="inlineStr">
        <is>
          <t>22%</t>
        </is>
      </c>
      <c r="N209" s="14" t="inlineStr">
        <is>
          <t>-3%</t>
        </is>
      </c>
      <c r="O209" s="14" t="n">
        <v>3</v>
      </c>
      <c r="P209" s="14" t="inlineStr">
        <is>
          <t>95%</t>
        </is>
      </c>
      <c r="Q209" s="14" t="n">
        <v>418395</v>
      </c>
      <c r="R209" s="14" t="inlineStr">
        <is>
          <t>P/B 7.23 · EV/EBITDA 16.6× · FCF yld 6% · net debt 32% of mcap · rev +8% · op margin 14% · buying back 3%/yr</t>
        </is>
      </c>
      <c r="S209" s="14" t="inlineStr"/>
      <c r="T209" s="14" t="inlineStr">
        <is>
          <t>Incentive Improvers</t>
        </is>
      </c>
    </row>
    <row r="210">
      <c r="A210" s="8" t="inlineStr">
        <is>
          <t>UPWK</t>
        </is>
      </c>
      <c r="B210" s="16" t="inlineStr">
        <is>
          <t>Upwork Inc.</t>
        </is>
      </c>
      <c r="C210" s="16" t="inlineStr">
        <is>
          <t>Industrials</t>
        </is>
      </c>
      <c r="D210" s="16" t="n">
        <v>1020</v>
      </c>
      <c r="E210" s="16" t="n">
        <v>1.67</v>
      </c>
      <c r="F210" s="16" t="n">
        <v>10.3</v>
      </c>
      <c r="G210" s="16" t="n">
        <v>5.4</v>
      </c>
      <c r="H210" s="16" t="inlineStr">
        <is>
          <t>20%</t>
        </is>
      </c>
      <c r="I210" s="16" t="inlineStr">
        <is>
          <t>23%</t>
        </is>
      </c>
      <c r="J210" s="16" t="n">
        <v>-0.6</v>
      </c>
      <c r="K210" s="16" t="inlineStr">
        <is>
          <t>2%</t>
        </is>
      </c>
      <c r="L210" s="16" t="inlineStr">
        <is>
          <t>15%</t>
        </is>
      </c>
      <c r="M210" s="16" t="inlineStr">
        <is>
          <t>17%</t>
        </is>
      </c>
      <c r="N210" s="16" t="inlineStr">
        <is>
          <t>-7%</t>
        </is>
      </c>
      <c r="O210" s="16" t="n">
        <v>59.5</v>
      </c>
      <c r="P210" s="16" t="inlineStr">
        <is>
          <t>5%</t>
        </is>
      </c>
      <c r="Q210" s="16" t="n">
        <v>28229</v>
      </c>
      <c r="R210" s="16" t="inlineStr">
        <is>
          <t>P/B 1.67 · EV/EBITDA 5.4× · FCF yld 20% · net cash 23% of mcap · rev +2% · op margin 15% · buying back 7%/yr</t>
        </is>
      </c>
      <c r="S210" s="16" t="inlineStr"/>
      <c r="T210" s="16" t="inlineStr">
        <is>
          <t>Incentive Improvers</t>
        </is>
      </c>
    </row>
    <row r="211">
      <c r="A211" s="6" t="inlineStr">
        <is>
          <t>DCH</t>
        </is>
      </c>
      <c r="B211" s="14" t="inlineStr">
        <is>
          <t>Dauch Corp.</t>
        </is>
      </c>
      <c r="C211" s="14" t="inlineStr">
        <is>
          <t>Consumer Cycli</t>
        </is>
      </c>
      <c r="D211" s="14" t="n">
        <v>1357</v>
      </c>
      <c r="E211" s="14" t="n">
        <v>0.9</v>
      </c>
      <c r="F211" s="14" t="n">
        <v>-5.4</v>
      </c>
      <c r="G211" s="14" t="n">
        <v>7.8</v>
      </c>
      <c r="H211" s="14" t="inlineStr">
        <is>
          <t>-2%</t>
        </is>
      </c>
      <c r="I211" s="14" t="inlineStr">
        <is>
          <t>-325%</t>
        </is>
      </c>
      <c r="J211" s="14" t="n">
        <v>6</v>
      </c>
      <c r="K211" s="14" t="inlineStr">
        <is>
          <t>41%</t>
        </is>
      </c>
      <c r="L211" s="14" t="inlineStr">
        <is>
          <t>3%</t>
        </is>
      </c>
      <c r="M211" s="14" t="inlineStr">
        <is>
          <t>-15%</t>
        </is>
      </c>
      <c r="N211" s="14" t="inlineStr">
        <is>
          <t>98%</t>
        </is>
      </c>
      <c r="O211" s="14" t="n">
        <v>0.8</v>
      </c>
      <c r="P211" s="14" t="inlineStr">
        <is>
          <t>18%</t>
        </is>
      </c>
      <c r="Q211" s="14" t="n">
        <v>19716</v>
      </c>
      <c r="R211" s="14" t="inlineStr">
        <is>
          <t>P/B 0.90 · EV/EBITDA 7.8× · FCF yld -2% · net debt 325% of mcap · rev +41% · op margin 3% · diluting 98%/yr · interest cover 0.8× ⚠</t>
        </is>
      </c>
      <c r="S211" s="14" t="inlineStr"/>
      <c r="T211" s="14" t="inlineStr">
        <is>
          <t>Incentive Improvers</t>
        </is>
      </c>
    </row>
    <row r="212">
      <c r="A212" s="8" t="inlineStr">
        <is>
          <t>SMHI</t>
        </is>
      </c>
      <c r="B212" s="16" t="inlineStr">
        <is>
          <t>SEACOR Marine Holdings</t>
        </is>
      </c>
      <c r="C212" s="16" t="inlineStr">
        <is>
          <t>Industrials</t>
        </is>
      </c>
      <c r="D212" s="16" t="n">
        <v>245</v>
      </c>
      <c r="E212" s="16" t="n">
        <v>0.97</v>
      </c>
      <c r="F212" s="16" t="n">
        <v>-13.1</v>
      </c>
      <c r="G212" s="16" t="n">
        <v>4.6</v>
      </c>
      <c r="H212" s="16" t="inlineStr">
        <is>
          <t>-34%</t>
        </is>
      </c>
      <c r="I212" s="16" t="inlineStr">
        <is>
          <t>-108%</t>
        </is>
      </c>
      <c r="J212" s="16" t="n">
        <v>2.4</v>
      </c>
      <c r="K212" s="16" t="inlineStr">
        <is>
          <t>-17%</t>
        </is>
      </c>
      <c r="L212" s="16" t="inlineStr">
        <is>
          <t>7%</t>
        </is>
      </c>
      <c r="M212" s="16" t="inlineStr">
        <is>
          <t>-7%</t>
        </is>
      </c>
      <c r="N212" s="16" t="inlineStr">
        <is>
          <t>3%</t>
        </is>
      </c>
      <c r="O212" s="16" t="n">
        <v>0.2</v>
      </c>
      <c r="P212" s="16" t="inlineStr">
        <is>
          <t>78%</t>
        </is>
      </c>
      <c r="Q212" s="16" t="n">
        <v>1067</v>
      </c>
      <c r="R212" s="16" t="inlineStr">
        <is>
          <t>P/B 0.97 · EV/EBITDA 4.6× · FCF yld -34% · net debt 108% of mcap · rev -17% · op margin 7% · diluting 3%/yr · interest cover 0.2× ⚠</t>
        </is>
      </c>
      <c r="S212" s="16" t="inlineStr"/>
      <c r="T212" s="16" t="inlineStr">
        <is>
          <t>Incentive Improvers</t>
        </is>
      </c>
    </row>
    <row r="213">
      <c r="A213" s="6" t="inlineStr">
        <is>
          <t>AMN</t>
        </is>
      </c>
      <c r="B213" s="14" t="inlineStr">
        <is>
          <t>AMN Healthcare Service</t>
        </is>
      </c>
      <c r="C213" s="14" t="inlineStr">
        <is>
          <t>Healthcare</t>
        </is>
      </c>
      <c r="D213" s="14" t="n">
        <v>1336</v>
      </c>
      <c r="E213" s="14" t="n">
        <v>1.8</v>
      </c>
      <c r="F213" s="14" t="n">
        <v>12.6</v>
      </c>
      <c r="G213" s="14" t="n">
        <v>5</v>
      </c>
      <c r="H213" s="14" t="inlineStr">
        <is>
          <t>34%</t>
        </is>
      </c>
      <c r="I213" s="14" t="inlineStr">
        <is>
          <t>-31%</t>
        </is>
      </c>
      <c r="J213" s="14" t="n">
        <v>1.2</v>
      </c>
      <c r="K213" s="14" t="inlineStr">
        <is>
          <t>24%</t>
        </is>
      </c>
      <c r="L213" s="14" t="inlineStr">
        <is>
          <t>5%</t>
        </is>
      </c>
      <c r="M213" s="14" t="inlineStr">
        <is>
          <t>15%</t>
        </is>
      </c>
      <c r="N213" s="14" t="inlineStr">
        <is>
          <t>3%</t>
        </is>
      </c>
      <c r="O213" s="14" t="n">
        <v>4.5</v>
      </c>
      <c r="P213" s="14" t="inlineStr">
        <is>
          <t>88%</t>
        </is>
      </c>
      <c r="Q213" s="14" t="n">
        <v>29049</v>
      </c>
      <c r="R213" s="14" t="inlineStr">
        <is>
          <t>P/B 1.80 · EV/EBITDA 5.0× · FCF yld 34% · net debt 31% of mcap · rev +24% · op margin 5% · diluting 3%/yr</t>
        </is>
      </c>
      <c r="S213" s="14" t="inlineStr"/>
      <c r="T213" s="14" t="inlineStr">
        <is>
          <t>Incentive Improvers</t>
        </is>
      </c>
    </row>
    <row r="214">
      <c r="A214" s="8" t="inlineStr">
        <is>
          <t>CGNX</t>
        </is>
      </c>
      <c r="B214" s="16" t="inlineStr">
        <is>
          <t>Cognex Corporation</t>
        </is>
      </c>
      <c r="C214" s="16" t="inlineStr">
        <is>
          <t>Technology</t>
        </is>
      </c>
      <c r="D214" s="16" t="n">
        <v>9860</v>
      </c>
      <c r="E214" s="16" t="n">
        <v>6.05</v>
      </c>
      <c r="F214" s="16" t="n">
        <v>55.7</v>
      </c>
      <c r="G214" s="16" t="n">
        <v>34</v>
      </c>
      <c r="H214" s="16" t="inlineStr">
        <is>
          <t>3%</t>
        </is>
      </c>
      <c r="I214" s="16" t="inlineStr">
        <is>
          <t>3%</t>
        </is>
      </c>
      <c r="J214" s="16" t="n">
        <v>-0.8</v>
      </c>
      <c r="K214" s="16" t="inlineStr">
        <is>
          <t>17%</t>
        </is>
      </c>
      <c r="L214" s="16" t="inlineStr">
        <is>
          <t>22%</t>
        </is>
      </c>
      <c r="M214" s="16" t="inlineStr">
        <is>
          <t>11%</t>
        </is>
      </c>
      <c r="N214" s="16" t="inlineStr">
        <is>
          <t>1%</t>
        </is>
      </c>
      <c r="O214" s="16" t="n">
        <v>0</v>
      </c>
      <c r="P214" s="16" t="inlineStr">
        <is>
          <t>64%</t>
        </is>
      </c>
      <c r="Q214" s="16" t="n">
        <v>123622</v>
      </c>
      <c r="R214" s="16" t="inlineStr">
        <is>
          <t>P/B 6.05 · EV/EBITDA 34.0× · FCF yld 3% · net cash 3% of mcap · rev +17% · op margin 22%</t>
        </is>
      </c>
      <c r="S214" s="16" t="inlineStr"/>
      <c r="T214" s="16" t="inlineStr">
        <is>
          <t>Incentive Improvers</t>
        </is>
      </c>
    </row>
    <row r="215">
      <c r="A215" s="6" t="inlineStr">
        <is>
          <t>ICE</t>
        </is>
      </c>
      <c r="B215" s="14" t="inlineStr">
        <is>
          <t>Intercontinental Excha</t>
        </is>
      </c>
      <c r="C215" s="14" t="inlineStr">
        <is>
          <t>Financial Serv</t>
        </is>
      </c>
      <c r="D215" s="14" t="n">
        <v>88204</v>
      </c>
      <c r="E215" s="14" t="n">
        <v>2.98</v>
      </c>
      <c r="F215" s="14" t="n">
        <v>22.1</v>
      </c>
      <c r="G215" s="14" t="n">
        <v>15.4</v>
      </c>
      <c r="H215" s="14" t="inlineStr">
        <is>
          <t>6%</t>
        </is>
      </c>
      <c r="I215" s="14" t="inlineStr">
        <is>
          <t>-21%</t>
        </is>
      </c>
      <c r="J215" s="14" t="n">
        <v>2.8</v>
      </c>
      <c r="K215" s="14" t="inlineStr">
        <is>
          <t>7%</t>
        </is>
      </c>
      <c r="L215" s="14" t="inlineStr">
        <is>
          <t>45%</t>
        </is>
      </c>
      <c r="M215" s="14" t="inlineStr">
        <is>
          <t>14%</t>
        </is>
      </c>
      <c r="N215" s="14" t="inlineStr">
        <is>
          <t>-2%</t>
        </is>
      </c>
      <c r="O215" s="14" t="n">
        <v>7.7</v>
      </c>
      <c r="P215" s="14" t="inlineStr">
        <is>
          <t>65%</t>
        </is>
      </c>
      <c r="Q215" s="14" t="n">
        <v>651809</v>
      </c>
      <c r="R215" s="14" t="inlineStr">
        <is>
          <t>P/B 2.98 · P/E 22.1 · ROE 14% · div yld 1.3% (financial: book/earnings basis)</t>
        </is>
      </c>
      <c r="S215" s="14" t="inlineStr"/>
      <c r="T215" s="14" t="inlineStr">
        <is>
          <t>Incentive Improvers</t>
        </is>
      </c>
    </row>
    <row r="216">
      <c r="A216" s="8" t="inlineStr">
        <is>
          <t>BURL</t>
        </is>
      </c>
      <c r="B216" s="16" t="inlineStr">
        <is>
          <t>Burlington Stores, Inc</t>
        </is>
      </c>
      <c r="C216" s="16" t="inlineStr">
        <is>
          <t>Consumer Cycli</t>
        </is>
      </c>
      <c r="D216" s="16" t="n">
        <v>16147</v>
      </c>
      <c r="E216" s="16" t="n">
        <v>8.06</v>
      </c>
      <c r="F216" s="16" t="n">
        <v>23</v>
      </c>
      <c r="G216" s="16" t="n">
        <v>14.6</v>
      </c>
      <c r="H216" s="16" t="inlineStr">
        <is>
          <t>6%</t>
        </is>
      </c>
      <c r="I216" s="16" t="inlineStr">
        <is>
          <t>-32%</t>
        </is>
      </c>
      <c r="J216" s="16" t="n">
        <v>3.6</v>
      </c>
      <c r="K216" s="16" t="inlineStr">
        <is>
          <t>11%</t>
        </is>
      </c>
      <c r="L216" s="16" t="inlineStr">
        <is>
          <t>8%</t>
        </is>
      </c>
      <c r="M216" s="16" t="inlineStr">
        <is>
          <t>40%</t>
        </is>
      </c>
      <c r="N216" s="16" t="inlineStr">
        <is>
          <t>0%</t>
        </is>
      </c>
      <c r="O216" s="16" t="n">
        <v>12.6</v>
      </c>
      <c r="P216" s="16" t="inlineStr">
        <is>
          <t>20%</t>
        </is>
      </c>
      <c r="Q216" s="16" t="n">
        <v>275248</v>
      </c>
      <c r="R216" s="16" t="inlineStr">
        <is>
          <t>P/B 8.06 · EV/EBITDA 14.6× · FCF yld 6% · net debt 32% of mcap · rev +11% · op margin 8%</t>
        </is>
      </c>
      <c r="S216" s="16" t="inlineStr"/>
      <c r="T216" s="16" t="inlineStr">
        <is>
          <t>Incentive Improvers</t>
        </is>
      </c>
    </row>
    <row r="217">
      <c r="A217" s="6" t="inlineStr">
        <is>
          <t>KEX</t>
        </is>
      </c>
      <c r="B217" s="14" t="inlineStr">
        <is>
          <t>Kirby Corporation</t>
        </is>
      </c>
      <c r="C217" s="14" t="inlineStr">
        <is>
          <t>Industrials</t>
        </is>
      </c>
      <c r="D217" s="14" t="n">
        <v>7124</v>
      </c>
      <c r="E217" s="14" t="n">
        <v>2.07</v>
      </c>
      <c r="F217" s="14" t="n">
        <v>19.9</v>
      </c>
      <c r="G217" s="14" t="n">
        <v>10.4</v>
      </c>
      <c r="H217" s="14" t="inlineStr">
        <is>
          <t>7%</t>
        </is>
      </c>
      <c r="I217" s="14" t="inlineStr">
        <is>
          <t>-17%</t>
        </is>
      </c>
      <c r="J217" s="14" t="n">
        <v>1.5</v>
      </c>
      <c r="K217" s="14" t="inlineStr">
        <is>
          <t>7%</t>
        </is>
      </c>
      <c r="L217" s="14" t="inlineStr">
        <is>
          <t>14%</t>
        </is>
      </c>
      <c r="M217" s="14" t="inlineStr">
        <is>
          <t>10%</t>
        </is>
      </c>
      <c r="N217" s="14" t="inlineStr">
        <is>
          <t>-5%</t>
        </is>
      </c>
      <c r="O217" s="14" t="n">
        <v>10.9</v>
      </c>
      <c r="P217" s="14" t="inlineStr">
        <is>
          <t>69%</t>
        </is>
      </c>
      <c r="Q217" s="14" t="n">
        <v>71579</v>
      </c>
      <c r="R217" s="14" t="inlineStr">
        <is>
          <t>P/B 2.07 · EV/EBITDA 10.4× · FCF yld 7% · net debt 17% of mcap · rev +7% · op margin 14% · buying back 5%/yr</t>
        </is>
      </c>
      <c r="S217" s="14" t="inlineStr"/>
      <c r="T217" s="14" t="inlineStr">
        <is>
          <t>Incentive Improvers</t>
        </is>
      </c>
    </row>
    <row r="218">
      <c r="A218" s="8" t="inlineStr">
        <is>
          <t>S</t>
        </is>
      </c>
      <c r="B218" s="16" t="inlineStr">
        <is>
          <t>SentinelOne, Inc.</t>
        </is>
      </c>
      <c r="C218" s="16" t="inlineStr">
        <is>
          <t>Technology</t>
        </is>
      </c>
      <c r="D218" s="16" t="n">
        <v>8154</v>
      </c>
      <c r="E218" s="16" t="n">
        <v>5.26</v>
      </c>
      <c r="F218" s="16" t="n">
        <v>-23.7</v>
      </c>
      <c r="G218" s="16" t="n">
        <v>-37.4</v>
      </c>
      <c r="H218" s="16" t="inlineStr">
        <is>
          <t>0%</t>
        </is>
      </c>
      <c r="I218" s="16" t="inlineStr">
        <is>
          <t>8%</t>
        </is>
      </c>
      <c r="J218" s="16" t="n">
        <v>1</v>
      </c>
      <c r="K218" s="16" t="inlineStr">
        <is>
          <t>25%</t>
        </is>
      </c>
      <c r="L218" s="16" t="inlineStr">
        <is>
          <t>-27%</t>
        </is>
      </c>
      <c r="M218" s="16" t="inlineStr">
        <is>
          <t>-23%</t>
        </is>
      </c>
      <c r="N218" s="16" t="inlineStr">
        <is>
          <t>6%</t>
        </is>
      </c>
      <c r="O218" s="16" t="n">
        <v>0</v>
      </c>
      <c r="P218" s="16" t="inlineStr">
        <is>
          <t>99%</t>
        </is>
      </c>
      <c r="Q218" s="16" t="n">
        <v>199126</v>
      </c>
      <c r="R218" s="16" t="inlineStr">
        <is>
          <t>P/B 5.26 · P/S 7.4 · FCF yld 0% · net cash 8% of mcap · rev +25% · op margin -27% · diluting 6%/yr</t>
        </is>
      </c>
      <c r="S218" s="16" t="inlineStr"/>
      <c r="T218" s="16" t="inlineStr">
        <is>
          <t>Incentive Improvers</t>
        </is>
      </c>
    </row>
    <row r="219">
      <c r="A219" s="6" t="inlineStr">
        <is>
          <t>BFH</t>
        </is>
      </c>
      <c r="B219" s="14" t="inlineStr">
        <is>
          <t>Bread Financial Holdin</t>
        </is>
      </c>
      <c r="C219" s="14" t="inlineStr">
        <is>
          <t>Financial Serv</t>
        </is>
      </c>
      <c r="D219" s="14" t="n">
        <v>4077</v>
      </c>
      <c r="E219" s="14" t="n">
        <v>1.21</v>
      </c>
      <c r="F219" s="14" t="n">
        <v>7.6</v>
      </c>
      <c r="G219" s="14" t="n">
        <v>4.9</v>
      </c>
      <c r="H219" s="14" t="inlineStr">
        <is>
          <t>54%</t>
        </is>
      </c>
      <c r="I219" s="14" t="inlineStr">
        <is>
          <t>10%</t>
        </is>
      </c>
      <c r="J219" s="14" t="n">
        <v>-0.5</v>
      </c>
      <c r="K219" s="14" t="inlineStr">
        <is>
          <t>1%</t>
        </is>
      </c>
      <c r="L219" s="14" t="inlineStr">
        <is>
          <t>14%</t>
        </is>
      </c>
      <c r="M219" s="14" t="inlineStr">
        <is>
          <t>17%</t>
        </is>
      </c>
      <c r="N219" s="14" t="inlineStr">
        <is>
          <t>-14%</t>
        </is>
      </c>
      <c r="O219" s="14" t="n">
        <v>0.9</v>
      </c>
      <c r="P219" s="14" t="inlineStr">
        <is>
          <t>78%</t>
        </is>
      </c>
      <c r="Q219" s="14" t="n">
        <v>63315</v>
      </c>
      <c r="R219" s="14" t="inlineStr">
        <is>
          <t>P/B 1.21 · P/E 7.6 · ROE 17% · div yld 0.9% · buying back 14%/yr (financial: book/earnings basis)</t>
        </is>
      </c>
      <c r="S219" s="14" t="inlineStr"/>
      <c r="T219" s="14" t="inlineStr">
        <is>
          <t>Incentive Improvers</t>
        </is>
      </c>
    </row>
    <row r="220">
      <c r="A220" s="8" t="inlineStr">
        <is>
          <t>UPST</t>
        </is>
      </c>
      <c r="B220" s="16" t="inlineStr">
        <is>
          <t>Upstart Holdings, Inc.</t>
        </is>
      </c>
      <c r="C220" s="16" t="inlineStr">
        <is>
          <t>Financial Serv</t>
        </is>
      </c>
      <c r="D220" s="16" t="n">
        <v>2401</v>
      </c>
      <c r="E220" s="16" t="n">
        <v>3.01</v>
      </c>
      <c r="F220" s="16" t="n">
        <v>40</v>
      </c>
      <c r="G220" s="16" t="n">
        <v>44.8</v>
      </c>
      <c r="H220" s="16" t="inlineStr">
        <is>
          <t>-13%</t>
        </is>
      </c>
      <c r="I220" s="16" t="inlineStr">
        <is>
          <t>-65%</t>
        </is>
      </c>
      <c r="J220" s="16" t="n">
        <v>18</v>
      </c>
      <c r="K220" s="16" t="inlineStr">
        <is>
          <t>45%</t>
        </is>
      </c>
      <c r="L220" s="16" t="inlineStr">
        <is>
          <t>5%</t>
        </is>
      </c>
      <c r="M220" s="16" t="inlineStr">
        <is>
          <t>8%</t>
        </is>
      </c>
      <c r="N220" s="16" t="inlineStr">
        <is>
          <t>7%</t>
        </is>
      </c>
      <c r="O220" s="16" t="n">
        <v>1</v>
      </c>
      <c r="P220" s="16" t="inlineStr">
        <is>
          <t>3%</t>
        </is>
      </c>
      <c r="Q220" s="16" t="n">
        <v>110592</v>
      </c>
      <c r="R220" s="16" t="inlineStr">
        <is>
          <t>P/B 3.01 · P/E 40.0 · ROE 8% · diluting 7%/yr (financial: book/earnings basis)</t>
        </is>
      </c>
      <c r="S220" s="16" t="inlineStr"/>
      <c r="T220" s="16" t="inlineStr">
        <is>
          <t>Incentive Improvers</t>
        </is>
      </c>
    </row>
    <row r="221">
      <c r="A221" s="6" t="inlineStr">
        <is>
          <t>MUR</t>
        </is>
      </c>
      <c r="B221" s="14" t="inlineStr">
        <is>
          <t>Murphy Oil Corporation</t>
        </is>
      </c>
      <c r="C221" s="14" t="inlineStr">
        <is>
          <t>Energy</t>
        </is>
      </c>
      <c r="D221" s="14" t="n">
        <v>5235</v>
      </c>
      <c r="E221" s="14" t="n">
        <v>1</v>
      </c>
      <c r="F221" s="14" t="n">
        <v>17.7</v>
      </c>
      <c r="G221" s="14" t="n">
        <v>-0.3</v>
      </c>
      <c r="H221" s="14" t="inlineStr">
        <is>
          <t>6%</t>
        </is>
      </c>
      <c r="I221" s="14" t="inlineStr">
        <is>
          <t>-34%</t>
        </is>
      </c>
      <c r="J221" s="14" t="n">
        <v>-0.1</v>
      </c>
      <c r="K221" s="14" t="inlineStr">
        <is>
          <t>9%</t>
        </is>
      </c>
      <c r="L221" s="14" t="inlineStr">
        <is>
          <t>18%</t>
        </is>
      </c>
      <c r="M221" s="14" t="inlineStr">
        <is>
          <t>6%</t>
        </is>
      </c>
      <c r="N221" s="14" t="inlineStr">
        <is>
          <t>2%</t>
        </is>
      </c>
      <c r="O221" s="14" t="n">
        <v>-0</v>
      </c>
      <c r="P221" s="14" t="inlineStr">
        <is>
          <t>60%</t>
        </is>
      </c>
      <c r="Q221" s="14" t="n">
        <v>63945</v>
      </c>
      <c r="R221" s="14" t="inlineStr">
        <is>
          <t>P/B 1.00 · P/S 1.7 · FCF yld 6% · net debt 34% of mcap · rev +9% · op margin 18% · diluting 2%/yr · interest cover -0.0× ⚠</t>
        </is>
      </c>
      <c r="S221" s="14" t="inlineStr"/>
      <c r="T221" s="14" t="inlineStr">
        <is>
          <t>Incentive Improvers</t>
        </is>
      </c>
    </row>
    <row r="222">
      <c r="A222" s="8" t="inlineStr">
        <is>
          <t>ASTE</t>
        </is>
      </c>
      <c r="B222" s="16" t="inlineStr">
        <is>
          <t>Astec Industries, Inc.</t>
        </is>
      </c>
      <c r="C222" s="16" t="inlineStr">
        <is>
          <t>Industrials</t>
        </is>
      </c>
      <c r="D222" s="16" t="n">
        <v>963</v>
      </c>
      <c r="E222" s="16" t="n">
        <v>1.4</v>
      </c>
      <c r="F222" s="16" t="n">
        <v>47.9</v>
      </c>
      <c r="G222" s="16" t="n">
        <v>11.9</v>
      </c>
      <c r="H222" s="16" t="inlineStr">
        <is>
          <t>3%</t>
        </is>
      </c>
      <c r="I222" s="16" t="inlineStr">
        <is>
          <t>-33%</t>
        </is>
      </c>
      <c r="J222" s="16" t="n">
        <v>3</v>
      </c>
      <c r="K222" s="16" t="inlineStr">
        <is>
          <t>19%</t>
        </is>
      </c>
      <c r="L222" s="16" t="inlineStr">
        <is>
          <t>3%</t>
        </is>
      </c>
      <c r="M222" s="16" t="inlineStr">
        <is>
          <t>3%</t>
        </is>
      </c>
      <c r="N222" s="16" t="inlineStr">
        <is>
          <t>1%</t>
        </is>
      </c>
      <c r="O222" s="16" t="n">
        <v>1.8</v>
      </c>
      <c r="P222" s="16" t="inlineStr">
        <is>
          <t>7%</t>
        </is>
      </c>
      <c r="Q222" s="16" t="n">
        <v>9415</v>
      </c>
      <c r="R222" s="16" t="inlineStr">
        <is>
          <t>P/B 1.40 · EV/EBITDA 11.9× · FCF yld 3% · net debt 33% of mcap · rev +19% · op margin 3%</t>
        </is>
      </c>
      <c r="S222" s="16" t="inlineStr"/>
      <c r="T222" s="16" t="inlineStr">
        <is>
          <t>Incentive Improvers</t>
        </is>
      </c>
    </row>
    <row r="223">
      <c r="A223" s="6" t="inlineStr">
        <is>
          <t>CMC</t>
        </is>
      </c>
      <c r="B223" s="14" t="inlineStr">
        <is>
          <t>Commercial Metals Comp</t>
        </is>
      </c>
      <c r="C223" s="14" t="inlineStr">
        <is>
          <t>Basic Material</t>
        </is>
      </c>
      <c r="D223" s="14" t="n">
        <v>7199</v>
      </c>
      <c r="E223" s="14" t="n">
        <v>1.59</v>
      </c>
      <c r="F223" s="14" t="n">
        <v>12.1</v>
      </c>
      <c r="G223" s="14" t="n">
        <v>8.699999999999999</v>
      </c>
      <c r="H223" s="14" t="inlineStr">
        <is>
          <t>6%</t>
        </is>
      </c>
      <c r="I223" s="14" t="inlineStr">
        <is>
          <t>-39%</t>
        </is>
      </c>
      <c r="J223" s="14" t="n">
        <v>2.5</v>
      </c>
      <c r="K223" s="14" t="inlineStr">
        <is>
          <t>8%</t>
        </is>
      </c>
      <c r="L223" s="14" t="inlineStr">
        <is>
          <t>9%</t>
        </is>
      </c>
      <c r="M223" s="14" t="inlineStr">
        <is>
          <t>14%</t>
        </is>
      </c>
      <c r="N223" s="14" t="inlineStr">
        <is>
          <t>-2%</t>
        </is>
      </c>
      <c r="O223" s="14" t="n">
        <v>6.9</v>
      </c>
      <c r="P223" s="14" t="inlineStr">
        <is>
          <t>38%</t>
        </is>
      </c>
      <c r="Q223" s="14" t="n">
        <v>78683</v>
      </c>
      <c r="R223" s="14" t="inlineStr">
        <is>
          <t>P/B 1.59 · EV/EBITDA 8.7× · FCF yld 6% · net debt 39% of mcap · rev +8% · op margin 9% · buying back 2%/yr</t>
        </is>
      </c>
      <c r="S223" s="14" t="inlineStr"/>
      <c r="T223" s="14" t="inlineStr">
        <is>
          <t>Incentive Improvers</t>
        </is>
      </c>
    </row>
    <row r="224">
      <c r="A224" s="8" t="inlineStr">
        <is>
          <t>LIND</t>
        </is>
      </c>
      <c r="B224" s="16" t="inlineStr">
        <is>
          <t>Lindblad Expeditions H</t>
        </is>
      </c>
      <c r="C224" s="16" t="inlineStr">
        <is>
          <t>Consumer Cycli</t>
        </is>
      </c>
      <c r="D224" s="16" t="n">
        <v>1751</v>
      </c>
      <c r="E224" s="16" t="n"/>
      <c r="F224" s="16" t="n">
        <v>-72.7</v>
      </c>
      <c r="G224" s="16" t="n">
        <v>20.5</v>
      </c>
      <c r="H224" s="16" t="inlineStr">
        <is>
          <t>6%</t>
        </is>
      </c>
      <c r="I224" s="16" t="n"/>
      <c r="J224" s="16" t="n">
        <v>3.3</v>
      </c>
      <c r="K224" s="16" t="inlineStr">
        <is>
          <t>18%</t>
        </is>
      </c>
      <c r="L224" s="16" t="inlineStr">
        <is>
          <t>7%</t>
        </is>
      </c>
      <c r="M224" s="16" t="inlineStr">
        <is>
          <t>9%</t>
        </is>
      </c>
      <c r="N224" s="16" t="inlineStr">
        <is>
          <t>20%</t>
        </is>
      </c>
      <c r="O224" s="16" t="n">
        <v>1.3</v>
      </c>
      <c r="P224" s="16" t="inlineStr">
        <is>
          <t>65%</t>
        </is>
      </c>
      <c r="Q224" s="16" t="n">
        <v>23192</v>
      </c>
      <c r="R224" s="16" t="inlineStr">
        <is>
          <t>EV/EBITDA 20.5× · FCF yld 6% · rev +18% · op margin 7% · diluting 20%/yr</t>
        </is>
      </c>
      <c r="S224" s="16" t="inlineStr">
        <is>
          <t>negative equity</t>
        </is>
      </c>
      <c r="T224" s="16" t="inlineStr">
        <is>
          <t>Incentive Improvers</t>
        </is>
      </c>
    </row>
    <row r="225">
      <c r="A225" s="6" t="inlineStr">
        <is>
          <t>CORZ</t>
        </is>
      </c>
      <c r="B225" s="14" t="inlineStr">
        <is>
          <t>Core Scientific, Inc.</t>
        </is>
      </c>
      <c r="C225" s="14" t="inlineStr">
        <is>
          <t>Technology</t>
        </is>
      </c>
      <c r="D225" s="14" t="n">
        <v>5998</v>
      </c>
      <c r="E225" s="14" t="n"/>
      <c r="F225" s="14" t="n">
        <v>-4.4</v>
      </c>
      <c r="G225" s="14" t="n">
        <v>-6.2</v>
      </c>
      <c r="H225" s="14" t="inlineStr">
        <is>
          <t>-17%</t>
        </is>
      </c>
      <c r="I225" s="14" t="n"/>
      <c r="J225" s="14" t="n">
        <v>-1.9</v>
      </c>
      <c r="K225" s="14" t="inlineStr">
        <is>
          <t>26%</t>
        </is>
      </c>
      <c r="L225" s="14" t="inlineStr">
        <is>
          <t>-34%</t>
        </is>
      </c>
      <c r="M225" s="14" t="inlineStr">
        <is>
          <t>99%</t>
        </is>
      </c>
      <c r="N225" s="14" t="inlineStr">
        <is>
          <t>2%</t>
        </is>
      </c>
      <c r="O225" s="14" t="n">
        <v>-5</v>
      </c>
      <c r="P225" s="14" t="inlineStr">
        <is>
          <t>31%</t>
        </is>
      </c>
      <c r="Q225" s="14" t="n">
        <v>231495</v>
      </c>
      <c r="R225" s="14" t="inlineStr">
        <is>
          <t>P/S 13.3 · FCF yld -17% · rev +26% · op margin -34% · diluting 2%/yr</t>
        </is>
      </c>
      <c r="S225" s="14" t="inlineStr">
        <is>
          <t>negative equity</t>
        </is>
      </c>
      <c r="T225" s="14" t="inlineStr">
        <is>
          <t>Incentive Improvers</t>
        </is>
      </c>
    </row>
    <row r="226">
      <c r="A226" s="8" t="inlineStr">
        <is>
          <t>ATEN</t>
        </is>
      </c>
      <c r="B226" s="16" t="inlineStr">
        <is>
          <t>A10 Networks, Inc.</t>
        </is>
      </c>
      <c r="C226" s="16" t="inlineStr">
        <is>
          <t>Technology</t>
        </is>
      </c>
      <c r="D226" s="16" t="n">
        <v>1929</v>
      </c>
      <c r="E226" s="16" t="n">
        <v>8.109999999999999</v>
      </c>
      <c r="F226" s="16" t="n">
        <v>44.5</v>
      </c>
      <c r="G226" s="16" t="n">
        <v>30.7</v>
      </c>
      <c r="H226" s="16" t="inlineStr">
        <is>
          <t>3%</t>
        </is>
      </c>
      <c r="I226" s="16" t="inlineStr">
        <is>
          <t>7%</t>
        </is>
      </c>
      <c r="J226" s="16" t="n">
        <v>2.4</v>
      </c>
      <c r="K226" s="16" t="inlineStr">
        <is>
          <t>12%</t>
        </is>
      </c>
      <c r="L226" s="16" t="inlineStr">
        <is>
          <t>16%</t>
        </is>
      </c>
      <c r="M226" s="16" t="inlineStr">
        <is>
          <t>20%</t>
        </is>
      </c>
      <c r="N226" s="16" t="inlineStr">
        <is>
          <t>3%</t>
        </is>
      </c>
      <c r="O226" s="16" t="n">
        <v>0</v>
      </c>
      <c r="P226" s="16" t="inlineStr">
        <is>
          <t>47%</t>
        </is>
      </c>
      <c r="Q226" s="16" t="n">
        <v>33677</v>
      </c>
      <c r="R226" s="16" t="inlineStr">
        <is>
          <t>P/B 8.11 · EV/EBITDA 30.7× · FCF yld 3% · net cash 7% of mcap · rev +12% · op margin 16% · diluting 3%/yr</t>
        </is>
      </c>
      <c r="S226" s="16" t="inlineStr"/>
      <c r="T226" s="16" t="inlineStr">
        <is>
          <t>Incentive Improvers</t>
        </is>
      </c>
    </row>
    <row r="227">
      <c r="A227" s="6" t="inlineStr">
        <is>
          <t>AMCX</t>
        </is>
      </c>
      <c r="B227" s="14" t="inlineStr">
        <is>
          <t>AMC Global Media Inc.</t>
        </is>
      </c>
      <c r="C227" s="14" t="inlineStr">
        <is>
          <t xml:space="preserve">Communication </t>
        </is>
      </c>
      <c r="D227" s="14" t="n">
        <v>385</v>
      </c>
      <c r="E227" s="14" t="n">
        <v>0.42</v>
      </c>
      <c r="F227" s="14" t="n">
        <v>-25.5</v>
      </c>
      <c r="G227" s="14" t="n">
        <v>1.5</v>
      </c>
      <c r="H227" s="14" t="inlineStr">
        <is>
          <t>49%</t>
        </is>
      </c>
      <c r="I227" s="14" t="inlineStr">
        <is>
          <t>-334%</t>
        </is>
      </c>
      <c r="J227" s="14" t="n">
        <v>1.2</v>
      </c>
      <c r="K227" s="14" t="inlineStr">
        <is>
          <t>-5%</t>
        </is>
      </c>
      <c r="L227" s="14" t="inlineStr">
        <is>
          <t>8%</t>
        </is>
      </c>
      <c r="M227" s="14" t="inlineStr">
        <is>
          <t>-2%</t>
        </is>
      </c>
      <c r="N227" s="14" t="inlineStr">
        <is>
          <t>-24%</t>
        </is>
      </c>
      <c r="O227" s="14" t="n">
        <v>1</v>
      </c>
      <c r="P227" s="14" t="inlineStr">
        <is>
          <t>83%</t>
        </is>
      </c>
      <c r="Q227" s="14" t="n">
        <v>7235</v>
      </c>
      <c r="R227" s="14" t="inlineStr">
        <is>
          <t>P/B 0.42 · EV/EBITDA 1.5× · FCF yld 49% · net debt 334% of mcap · rev -5% · op margin 8% · buying back 24%/yr · interest cover 1.0× ⚠</t>
        </is>
      </c>
      <c r="S227" s="14" t="inlineStr"/>
      <c r="T227" s="14" t="inlineStr">
        <is>
          <t>Incentive Improvers</t>
        </is>
      </c>
    </row>
    <row r="228">
      <c r="A228" s="8" t="inlineStr">
        <is>
          <t>BXP</t>
        </is>
      </c>
      <c r="B228" s="16" t="inlineStr">
        <is>
          <t>BXP, Inc.</t>
        </is>
      </c>
      <c r="C228" s="16" t="inlineStr">
        <is>
          <t>Real Estate</t>
        </is>
      </c>
      <c r="D228" s="16" t="n">
        <v>10055</v>
      </c>
      <c r="E228" s="16" t="n">
        <v>1.95</v>
      </c>
      <c r="F228" s="16" t="n">
        <v>33.6</v>
      </c>
      <c r="G228" s="16" t="n">
        <v>13.8</v>
      </c>
      <c r="H228" s="16" t="inlineStr">
        <is>
          <t>4%</t>
        </is>
      </c>
      <c r="I228" s="16" t="inlineStr">
        <is>
          <t>-157%</t>
        </is>
      </c>
      <c r="J228" s="16" t="n">
        <v>8.5</v>
      </c>
      <c r="K228" s="16" t="inlineStr">
        <is>
          <t>2%</t>
        </is>
      </c>
      <c r="L228" s="16" t="inlineStr">
        <is>
          <t>35%</t>
        </is>
      </c>
      <c r="M228" s="16" t="inlineStr">
        <is>
          <t>6%</t>
        </is>
      </c>
      <c r="N228" s="16" t="inlineStr">
        <is>
          <t>1%</t>
        </is>
      </c>
      <c r="O228" s="16" t="n">
        <v>2</v>
      </c>
      <c r="P228" s="16" t="inlineStr">
        <is>
          <t>50%</t>
        </is>
      </c>
      <c r="Q228" s="16" t="n">
        <v>88815</v>
      </c>
      <c r="R228" s="16" t="inlineStr">
        <is>
          <t>P/B 1.95 · EV/EBITDA 13.8× · FCF yld 4% · net debt 157% of mcap · rev +2% · op margin 35%</t>
        </is>
      </c>
      <c r="S228" s="16" t="inlineStr"/>
      <c r="T228" s="16" t="inlineStr">
        <is>
          <t>Incentive Improvers</t>
        </is>
      </c>
    </row>
    <row r="229">
      <c r="A229" s="6" t="inlineStr">
        <is>
          <t>BETR</t>
        </is>
      </c>
      <c r="B229" s="14" t="inlineStr">
        <is>
          <t xml:space="preserve">Better Home &amp; Finance </t>
        </is>
      </c>
      <c r="C229" s="14" t="inlineStr">
        <is>
          <t>Financial Serv</t>
        </is>
      </c>
      <c r="D229" s="14" t="n">
        <v>190</v>
      </c>
      <c r="E229" s="14" t="n">
        <v>3.27</v>
      </c>
      <c r="F229" s="14" t="n">
        <v>-1.1</v>
      </c>
      <c r="G229" s="14" t="n">
        <v>-6.7</v>
      </c>
      <c r="H229" s="14" t="n"/>
      <c r="I229" s="14" t="inlineStr">
        <is>
          <t>-288%</t>
        </is>
      </c>
      <c r="J229" s="14" t="n">
        <v>-5</v>
      </c>
      <c r="K229" s="14" t="inlineStr">
        <is>
          <t>32%</t>
        </is>
      </c>
      <c r="L229" s="14" t="inlineStr">
        <is>
          <t>-58%</t>
        </is>
      </c>
      <c r="M229" s="14" t="inlineStr">
        <is>
          <t>-465%</t>
        </is>
      </c>
      <c r="N229" s="14" t="inlineStr">
        <is>
          <t>23%</t>
        </is>
      </c>
      <c r="O229" s="14" t="n">
        <v>-3.2</v>
      </c>
      <c r="P229" s="14" t="inlineStr">
        <is>
          <t>1%</t>
        </is>
      </c>
      <c r="Q229" s="14" t="n">
        <v>5929</v>
      </c>
      <c r="R229" s="14" t="inlineStr">
        <is>
          <t>P/B 3.27 · ROE -465% · diluting 23%/yr (financial: book/earnings basis)</t>
        </is>
      </c>
      <c r="S229" s="14" t="inlineStr">
        <is>
          <t>FCF yield &gt;100% (check)</t>
        </is>
      </c>
      <c r="T229" s="14" t="inlineStr">
        <is>
          <t>Insider Conviction</t>
        </is>
      </c>
    </row>
    <row r="230">
      <c r="A230" s="8" t="inlineStr">
        <is>
          <t>ONON</t>
        </is>
      </c>
      <c r="B230" s="16" t="inlineStr">
        <is>
          <t>On Holding AG</t>
        </is>
      </c>
      <c r="C230" s="16" t="inlineStr">
        <is>
          <t>Consumer Cycli</t>
        </is>
      </c>
      <c r="D230" s="16" t="n">
        <v>10187</v>
      </c>
      <c r="E230" s="16" t="n">
        <v>4.41</v>
      </c>
      <c r="F230" s="16" t="n">
        <v>20.8</v>
      </c>
      <c r="G230" s="16" t="n">
        <v>13.5</v>
      </c>
      <c r="H230" s="16" t="inlineStr">
        <is>
          <t>5%</t>
        </is>
      </c>
      <c r="I230" s="16" t="inlineStr">
        <is>
          <t>8%</t>
        </is>
      </c>
      <c r="J230" s="16" t="n">
        <v>-1.1</v>
      </c>
      <c r="K230" s="16" t="inlineStr">
        <is>
          <t>19%</t>
        </is>
      </c>
      <c r="L230" s="16" t="inlineStr">
        <is>
          <t>14%</t>
        </is>
      </c>
      <c r="M230" s="16" t="inlineStr">
        <is>
          <t>23%</t>
        </is>
      </c>
      <c r="N230" s="16" t="inlineStr">
        <is>
          <t>-1%</t>
        </is>
      </c>
      <c r="O230" s="16" t="n">
        <v>13.8</v>
      </c>
      <c r="P230" s="16" t="inlineStr">
        <is>
          <t>17%</t>
        </is>
      </c>
      <c r="Q230" s="16" t="n">
        <v>216050</v>
      </c>
      <c r="R230" s="16" t="inlineStr">
        <is>
          <t>P/B 4.41 · EV/EBITDA 13.5× · FCF yld 5% · net cash 8% of mcap · rev +19% · op margin 14%</t>
        </is>
      </c>
      <c r="S230" s="16" t="inlineStr"/>
      <c r="T230" s="16" t="inlineStr">
        <is>
          <t>Insider Conviction</t>
        </is>
      </c>
    </row>
    <row r="231">
      <c r="A231" s="6" t="inlineStr">
        <is>
          <t>PATK</t>
        </is>
      </c>
      <c r="B231" s="14" t="inlineStr">
        <is>
          <t>Patrick Industries, In</t>
        </is>
      </c>
      <c r="C231" s="14" t="inlineStr">
        <is>
          <t>Consumer Cycli</t>
        </is>
      </c>
      <c r="D231" s="14" t="n">
        <v>2290</v>
      </c>
      <c r="E231" s="14" t="n">
        <v>2.02</v>
      </c>
      <c r="F231" s="14" t="n">
        <v>15.2</v>
      </c>
      <c r="G231" s="14" t="n">
        <v>8.9</v>
      </c>
      <c r="H231" s="14" t="inlineStr">
        <is>
          <t>6%</t>
        </is>
      </c>
      <c r="I231" s="14" t="inlineStr">
        <is>
          <t>-71%</t>
        </is>
      </c>
      <c r="J231" s="14" t="n">
        <v>3.7</v>
      </c>
      <c r="K231" s="14" t="inlineStr">
        <is>
          <t>3%</t>
        </is>
      </c>
      <c r="L231" s="14" t="inlineStr">
        <is>
          <t>7%</t>
        </is>
      </c>
      <c r="M231" s="14" t="inlineStr">
        <is>
          <t>13%</t>
        </is>
      </c>
      <c r="N231" s="14" t="inlineStr">
        <is>
          <t>3%</t>
        </is>
      </c>
      <c r="O231" s="14" t="n">
        <v>3.6</v>
      </c>
      <c r="P231" s="14" t="inlineStr">
        <is>
          <t>1%</t>
        </is>
      </c>
      <c r="Q231" s="14" t="n">
        <v>40757</v>
      </c>
      <c r="R231" s="14" t="inlineStr">
        <is>
          <t>P/B 2.02 · EV/EBITDA 8.9× · FCF yld 6% · net debt 71% of mcap · rev +3% · op margin 7% · diluting 3%/yr</t>
        </is>
      </c>
      <c r="S231" s="14" t="inlineStr"/>
      <c r="T231" s="14" t="inlineStr">
        <is>
          <t>Insider Conviction</t>
        </is>
      </c>
    </row>
    <row r="232">
      <c r="A232" s="8" t="inlineStr">
        <is>
          <t>SRAD</t>
        </is>
      </c>
      <c r="B232" s="16" t="inlineStr">
        <is>
          <t>Sportradar Group AG</t>
        </is>
      </c>
      <c r="C232" s="16" t="inlineStr">
        <is>
          <t>Technology</t>
        </is>
      </c>
      <c r="D232" s="16" t="n">
        <v>3912</v>
      </c>
      <c r="E232" s="16" t="n">
        <v>4.39</v>
      </c>
      <c r="F232" s="16" t="n">
        <v>225.7</v>
      </c>
      <c r="G232" s="16" t="n">
        <v>9.300000000000001</v>
      </c>
      <c r="H232" s="16" t="inlineStr">
        <is>
          <t>9%</t>
        </is>
      </c>
      <c r="I232" s="16" t="inlineStr">
        <is>
          <t>6%</t>
        </is>
      </c>
      <c r="J232" s="16" t="n">
        <v>-0.5</v>
      </c>
      <c r="K232" s="16" t="inlineStr">
        <is>
          <t>17%</t>
        </is>
      </c>
      <c r="L232" s="16" t="inlineStr">
        <is>
          <t>10%</t>
        </is>
      </c>
      <c r="M232" s="16" t="inlineStr">
        <is>
          <t>2%</t>
        </is>
      </c>
      <c r="N232" s="16" t="inlineStr">
        <is>
          <t>-8%</t>
        </is>
      </c>
      <c r="O232" s="16" t="n">
        <v>1.5</v>
      </c>
      <c r="P232" s="16" t="inlineStr">
        <is>
          <t>9%</t>
        </is>
      </c>
      <c r="Q232" s="16" t="n">
        <v>32463</v>
      </c>
      <c r="R232" s="16" t="inlineStr">
        <is>
          <t>P/B 4.39 · EV/EBITDA 9.3× · FCF yld 9% · net cash 6% of mcap · rev +17% · op margin 10% · buying back 8%/yr</t>
        </is>
      </c>
      <c r="S232" s="16" t="inlineStr"/>
      <c r="T232" s="16" t="inlineStr">
        <is>
          <t>Insider Conviction</t>
        </is>
      </c>
    </row>
    <row r="233">
      <c r="A233" s="6" t="inlineStr">
        <is>
          <t>FLUT</t>
        </is>
      </c>
      <c r="B233" s="14" t="inlineStr">
        <is>
          <t xml:space="preserve">Flutter Entertainment </t>
        </is>
      </c>
      <c r="C233" s="14" t="inlineStr">
        <is>
          <t>Consumer Cycli</t>
        </is>
      </c>
      <c r="D233" s="14" t="n">
        <v>15121</v>
      </c>
      <c r="E233" s="14" t="n">
        <v>1.73</v>
      </c>
      <c r="F233" s="14" t="n">
        <v>-20.4</v>
      </c>
      <c r="G233" s="14" t="n">
        <v>16.3</v>
      </c>
      <c r="H233" s="14" t="inlineStr">
        <is>
          <t>5%</t>
        </is>
      </c>
      <c r="I233" s="14" t="inlineStr">
        <is>
          <t>-73%</t>
        </is>
      </c>
      <c r="J233" s="14" t="n">
        <v>6.9</v>
      </c>
      <c r="K233" s="14" t="inlineStr">
        <is>
          <t>15%</t>
        </is>
      </c>
      <c r="L233" s="14" t="inlineStr">
        <is>
          <t>-1%</t>
        </is>
      </c>
      <c r="M233" s="14" t="inlineStr">
        <is>
          <t>-9%</t>
        </is>
      </c>
      <c r="N233" s="14" t="inlineStr">
        <is>
          <t>-2%</t>
        </is>
      </c>
      <c r="O233" s="14" t="n">
        <v>-0.2</v>
      </c>
      <c r="P233" s="14" t="inlineStr">
        <is>
          <t>0%</t>
        </is>
      </c>
      <c r="Q233" s="14" t="n">
        <v>253474</v>
      </c>
      <c r="R233" s="14" t="inlineStr">
        <is>
          <t>P/B 1.73 · EV/EBITDA 16.3× · FCF yld 5% · net debt 73% of mcap · rev +15% · op margin -1% · buying back 2%/yr · interest cover -0.2× ⚠</t>
        </is>
      </c>
      <c r="S233" s="14" t="inlineStr"/>
      <c r="T233" s="14" t="inlineStr">
        <is>
          <t>Insider Conviction</t>
        </is>
      </c>
    </row>
    <row r="234">
      <c r="A234" s="8" t="inlineStr">
        <is>
          <t>IBP</t>
        </is>
      </c>
      <c r="B234" s="16" t="inlineStr">
        <is>
          <t>Installed Building Pro</t>
        </is>
      </c>
      <c r="C234" s="16" t="inlineStr">
        <is>
          <t>Consumer Cycli</t>
        </is>
      </c>
      <c r="D234" s="16" t="n">
        <v>5638</v>
      </c>
      <c r="E234" s="16" t="n">
        <v>8.82</v>
      </c>
      <c r="F234" s="16" t="n">
        <v>21.9</v>
      </c>
      <c r="G234" s="16" t="n">
        <v>12</v>
      </c>
      <c r="H234" s="16" t="inlineStr">
        <is>
          <t>1%</t>
        </is>
      </c>
      <c r="I234" s="16" t="inlineStr">
        <is>
          <t>-14%</t>
        </is>
      </c>
      <c r="J234" s="16" t="n">
        <v>1.5</v>
      </c>
      <c r="K234" s="16" t="inlineStr">
        <is>
          <t>0%</t>
        </is>
      </c>
      <c r="L234" s="16" t="inlineStr">
        <is>
          <t>12%</t>
        </is>
      </c>
      <c r="M234" s="16" t="inlineStr">
        <is>
          <t>37%</t>
        </is>
      </c>
      <c r="N234" s="16" t="inlineStr">
        <is>
          <t>-3%</t>
        </is>
      </c>
      <c r="O234" s="16" t="n">
        <v>10.2</v>
      </c>
      <c r="P234" s="16" t="inlineStr">
        <is>
          <t>10%</t>
        </is>
      </c>
      <c r="Q234" s="16" t="n">
        <v>88369</v>
      </c>
      <c r="R234" s="16" t="inlineStr">
        <is>
          <t>P/B 8.82 · EV/EBITDA 12.0× · FCF yld 1% · net debt 14% of mcap · rev +0% · op margin 12% · buying back 3%/yr</t>
        </is>
      </c>
      <c r="S234" s="16" t="inlineStr"/>
      <c r="T234" s="16" t="inlineStr">
        <is>
          <t>Insider Conviction</t>
        </is>
      </c>
    </row>
    <row r="235">
      <c r="A235" s="6" t="inlineStr">
        <is>
          <t>MOBI</t>
        </is>
      </c>
      <c r="B235" s="14" t="inlineStr">
        <is>
          <t>Mobia Medical, Inc. Co</t>
        </is>
      </c>
      <c r="C235" s="14" t="inlineStr">
        <is>
          <t>Healthcare</t>
        </is>
      </c>
      <c r="D235" s="14" t="n">
        <v>314</v>
      </c>
      <c r="E235" s="14" t="n">
        <v>1.82</v>
      </c>
      <c r="F235" s="14" t="n">
        <v>-5.6</v>
      </c>
      <c r="G235" s="14" t="n">
        <v>-3.9</v>
      </c>
      <c r="H235" s="14" t="inlineStr">
        <is>
          <t>-11%</t>
        </is>
      </c>
      <c r="I235" s="14" t="inlineStr">
        <is>
          <t>54%</t>
        </is>
      </c>
      <c r="J235" s="14" t="n">
        <v>4.8</v>
      </c>
      <c r="K235" s="14" t="n"/>
      <c r="L235" s="14" t="inlineStr">
        <is>
          <t>-136%</t>
        </is>
      </c>
      <c r="M235" s="14" t="inlineStr">
        <is>
          <t>80%</t>
        </is>
      </c>
      <c r="N235" s="14" t="n"/>
      <c r="O235" s="14" t="n">
        <v>-57.1</v>
      </c>
      <c r="P235" s="14" t="inlineStr">
        <is>
          <t>1%</t>
        </is>
      </c>
      <c r="Q235" s="14" t="n">
        <v>1610</v>
      </c>
      <c r="R235" s="14" t="inlineStr">
        <is>
          <t>P/B 1.82 · P/S 12.0 · FCF yld -11% · net cash 54% of mcap · op margin -136%</t>
        </is>
      </c>
      <c r="S235" s="14" t="inlineStr"/>
      <c r="T235" s="14" t="inlineStr">
        <is>
          <t>Insider Conviction</t>
        </is>
      </c>
    </row>
    <row r="236">
      <c r="A236" s="8" t="inlineStr">
        <is>
          <t>FCN</t>
        </is>
      </c>
      <c r="B236" s="16" t="inlineStr">
        <is>
          <t>FTI Consulting, Inc.</t>
        </is>
      </c>
      <c r="C236" s="16" t="inlineStr">
        <is>
          <t>Industrials</t>
        </is>
      </c>
      <c r="D236" s="16" t="n">
        <v>3722</v>
      </c>
      <c r="E236" s="16" t="n">
        <v>2.79</v>
      </c>
      <c r="F236" s="16" t="n">
        <v>16.3</v>
      </c>
      <c r="G236" s="16" t="n">
        <v>11.3</v>
      </c>
      <c r="H236" s="16" t="inlineStr">
        <is>
          <t>11%</t>
        </is>
      </c>
      <c r="I236" s="16" t="inlineStr">
        <is>
          <t>-30%</t>
        </is>
      </c>
      <c r="J236" s="16" t="n">
        <v>2.6</v>
      </c>
      <c r="K236" s="16" t="inlineStr">
        <is>
          <t>7%</t>
        </is>
      </c>
      <c r="L236" s="16" t="inlineStr">
        <is>
          <t>10%</t>
        </is>
      </c>
      <c r="M236" s="16" t="inlineStr">
        <is>
          <t>16%</t>
        </is>
      </c>
      <c r="N236" s="16" t="inlineStr">
        <is>
          <t>-5%</t>
        </is>
      </c>
      <c r="O236" s="16" t="n">
        <v>11.4</v>
      </c>
      <c r="P236" s="16" t="inlineStr">
        <is>
          <t>2%</t>
        </is>
      </c>
      <c r="Q236" s="16" t="n">
        <v>62060</v>
      </c>
      <c r="R236" s="16" t="inlineStr">
        <is>
          <t>P/B 2.79 · EV/EBITDA 11.3× · FCF yld 11% · net debt 30% of mcap · rev +7% · op margin 10% · buying back 5%/yr</t>
        </is>
      </c>
      <c r="S236" s="16" t="inlineStr"/>
      <c r="T236" s="16" t="inlineStr">
        <is>
          <t>Insider Conviction</t>
        </is>
      </c>
    </row>
    <row r="237">
      <c r="A237" s="6" t="inlineStr">
        <is>
          <t>GRNT</t>
        </is>
      </c>
      <c r="B237" s="14" t="inlineStr">
        <is>
          <t>Granite Ridge Resource</t>
        </is>
      </c>
      <c r="C237" s="14" t="inlineStr">
        <is>
          <t>Energy</t>
        </is>
      </c>
      <c r="D237" s="14" t="n">
        <v>602</v>
      </c>
      <c r="E237" s="14" t="n">
        <v>1.07</v>
      </c>
      <c r="F237" s="14" t="n">
        <v>-21.5</v>
      </c>
      <c r="G237" s="14" t="n">
        <v>6.8</v>
      </c>
      <c r="H237" s="14" t="inlineStr">
        <is>
          <t>-13%</t>
        </is>
      </c>
      <c r="I237" s="14" t="inlineStr">
        <is>
          <t>-69%</t>
        </is>
      </c>
      <c r="J237" s="14" t="n">
        <v>2.8</v>
      </c>
      <c r="K237" s="14" t="inlineStr">
        <is>
          <t>15%</t>
        </is>
      </c>
      <c r="L237" s="14" t="inlineStr">
        <is>
          <t>19%</t>
        </is>
      </c>
      <c r="M237" s="14" t="inlineStr">
        <is>
          <t>-5%</t>
        </is>
      </c>
      <c r="N237" s="14" t="inlineStr">
        <is>
          <t>0%</t>
        </is>
      </c>
      <c r="O237" s="14" t="n">
        <v>6.1</v>
      </c>
      <c r="P237" s="14" t="inlineStr">
        <is>
          <t>20%</t>
        </is>
      </c>
      <c r="Q237" s="14" t="n">
        <v>4975</v>
      </c>
      <c r="R237" s="14" t="inlineStr">
        <is>
          <t>P/B 1.07 · EV/EBITDA 6.8× · FCF yld -13% · net debt 69% of mcap · rev +15% · op margin 19%</t>
        </is>
      </c>
      <c r="S237" s="14" t="inlineStr"/>
      <c r="T237" s="14" t="inlineStr">
        <is>
          <t>Insider Conviction</t>
        </is>
      </c>
    </row>
    <row r="238">
      <c r="A238" s="8" t="inlineStr">
        <is>
          <t>EVTC</t>
        </is>
      </c>
      <c r="B238" s="16" t="inlineStr">
        <is>
          <t>EVERTEC, Inc.</t>
        </is>
      </c>
      <c r="C238" s="16" t="inlineStr">
        <is>
          <t>Industrials</t>
        </is>
      </c>
      <c r="D238" s="16" t="n">
        <v>1699</v>
      </c>
      <c r="E238" s="16" t="n">
        <v>2.65</v>
      </c>
      <c r="F238" s="16" t="n">
        <v>17.8</v>
      </c>
      <c r="G238" s="16" t="n">
        <v>7.7</v>
      </c>
      <c r="H238" s="16" t="inlineStr">
        <is>
          <t>11%</t>
        </is>
      </c>
      <c r="I238" s="16" t="inlineStr">
        <is>
          <t>-63%</t>
        </is>
      </c>
      <c r="J238" s="16" t="n">
        <v>3</v>
      </c>
      <c r="K238" s="16" t="inlineStr">
        <is>
          <t>12%</t>
        </is>
      </c>
      <c r="L238" s="16" t="inlineStr">
        <is>
          <t>18%</t>
        </is>
      </c>
      <c r="M238" s="16" t="inlineStr">
        <is>
          <t>15%</t>
        </is>
      </c>
      <c r="N238" s="16" t="inlineStr">
        <is>
          <t>-5%</t>
        </is>
      </c>
      <c r="O238" s="16" t="n">
        <v>2.5</v>
      </c>
      <c r="P238" s="16" t="inlineStr">
        <is>
          <t>45%</t>
        </is>
      </c>
      <c r="Q238" s="16" t="n">
        <v>14781</v>
      </c>
      <c r="R238" s="16" t="inlineStr">
        <is>
          <t>P/B 2.65 · EV/EBITDA 7.7× · FCF yld 11% · net debt 63% of mcap · rev +12% · op margin 18% · buying back 5%/yr</t>
        </is>
      </c>
      <c r="S238" s="16" t="inlineStr"/>
      <c r="T238" s="16" t="inlineStr">
        <is>
          <t>Insider Conviction</t>
        </is>
      </c>
    </row>
    <row r="239">
      <c r="A239" s="6" t="inlineStr">
        <is>
          <t>NKE</t>
        </is>
      </c>
      <c r="B239" s="14" t="inlineStr">
        <is>
          <t>NIKE, Inc.</t>
        </is>
      </c>
      <c r="C239" s="14" t="inlineStr">
        <is>
          <t>Consumer Cycli</t>
        </is>
      </c>
      <c r="D239" s="14" t="n">
        <v>53547</v>
      </c>
      <c r="E239" s="14" t="n">
        <v>3.8</v>
      </c>
      <c r="F239" s="14" t="n">
        <v>17</v>
      </c>
      <c r="G239" s="14" t="n">
        <v>12.1</v>
      </c>
      <c r="H239" s="14" t="inlineStr">
        <is>
          <t>4%</t>
        </is>
      </c>
      <c r="I239" s="14" t="inlineStr">
        <is>
          <t>-6%</t>
        </is>
      </c>
      <c r="J239" s="14" t="n">
        <v>0.7</v>
      </c>
      <c r="K239" s="14" t="inlineStr">
        <is>
          <t>-5%</t>
        </is>
      </c>
      <c r="L239" s="14" t="inlineStr">
        <is>
          <t>8%</t>
        </is>
      </c>
      <c r="M239" s="14" t="inlineStr">
        <is>
          <t>22%</t>
        </is>
      </c>
      <c r="N239" s="14" t="inlineStr">
        <is>
          <t>-1%</t>
        </is>
      </c>
      <c r="O239" s="14" t="n">
        <v>13.8</v>
      </c>
      <c r="P239" s="14" t="inlineStr">
        <is>
          <t>2%</t>
        </is>
      </c>
      <c r="Q239" s="14" t="n">
        <v>932518</v>
      </c>
      <c r="R239" s="14" t="inlineStr">
        <is>
          <t>P/B 3.80 · EV/EBITDA 12.1× · FCF yld 4% · net debt 6% of mcap · rev -5% · op margin 8%</t>
        </is>
      </c>
      <c r="S239" s="14" t="inlineStr"/>
      <c r="T239" s="14" t="inlineStr">
        <is>
          <t>Insider Conviction</t>
        </is>
      </c>
    </row>
    <row r="240">
      <c r="A240" s="8" t="inlineStr">
        <is>
          <t>STRT</t>
        </is>
      </c>
      <c r="B240" s="16" t="inlineStr">
        <is>
          <t>Strattec Security Corp</t>
        </is>
      </c>
      <c r="C240" s="16" t="inlineStr">
        <is>
          <t>Consumer Cycli</t>
        </is>
      </c>
      <c r="D240" s="16" t="n">
        <v>279</v>
      </c>
      <c r="E240" s="16" t="n">
        <v>1.16</v>
      </c>
      <c r="F240" s="16" t="n">
        <v>13.2</v>
      </c>
      <c r="G240" s="16" t="n">
        <v>4.1</v>
      </c>
      <c r="H240" s="16" t="inlineStr">
        <is>
          <t>14%</t>
        </is>
      </c>
      <c r="I240" s="16" t="inlineStr">
        <is>
          <t>38%</t>
        </is>
      </c>
      <c r="J240" s="16" t="n">
        <v>-2.6</v>
      </c>
      <c r="K240" s="16" t="inlineStr">
        <is>
          <t>6%</t>
        </is>
      </c>
      <c r="L240" s="16" t="inlineStr">
        <is>
          <t>5%</t>
        </is>
      </c>
      <c r="M240" s="16" t="inlineStr">
        <is>
          <t>9%</t>
        </is>
      </c>
      <c r="N240" s="16" t="inlineStr">
        <is>
          <t>1%</t>
        </is>
      </c>
      <c r="O240" s="16" t="n">
        <v>73.90000000000001</v>
      </c>
      <c r="P240" s="16" t="inlineStr">
        <is>
          <t>27%</t>
        </is>
      </c>
      <c r="Q240" s="16" t="n">
        <v>6154</v>
      </c>
      <c r="R240" s="16" t="inlineStr">
        <is>
          <t>P/B 1.16 · EV/EBITDA 4.1× · FCF yld 14% · net cash 38% of mcap · rev +6% · op margin 5%</t>
        </is>
      </c>
      <c r="S240" s="16" t="inlineStr"/>
      <c r="T240" s="16" t="inlineStr">
        <is>
          <t>Insider Conviction</t>
        </is>
      </c>
    </row>
    <row r="241">
      <c r="A241" s="6" t="inlineStr">
        <is>
          <t>INSE</t>
        </is>
      </c>
      <c r="B241" s="14" t="inlineStr">
        <is>
          <t>Inspired Entertainment</t>
        </is>
      </c>
      <c r="C241" s="14" t="inlineStr">
        <is>
          <t>Consumer Cycli</t>
        </is>
      </c>
      <c r="D241" s="14" t="n">
        <v>118</v>
      </c>
      <c r="E241" s="14" t="n"/>
      <c r="F241" s="14" t="n">
        <v>-14.1</v>
      </c>
      <c r="G241" s="14" t="n">
        <v>4.4</v>
      </c>
      <c r="H241" s="14" t="inlineStr">
        <is>
          <t>6%</t>
        </is>
      </c>
      <c r="I241" s="14" t="n"/>
      <c r="J241" s="14" t="n">
        <v>3.2</v>
      </c>
      <c r="K241" s="14" t="inlineStr">
        <is>
          <t>-6%</t>
        </is>
      </c>
      <c r="L241" s="14" t="inlineStr">
        <is>
          <t>17%</t>
        </is>
      </c>
      <c r="M241" s="14" t="inlineStr">
        <is>
          <t>71%</t>
        </is>
      </c>
      <c r="N241" s="14" t="inlineStr">
        <is>
          <t>1%</t>
        </is>
      </c>
      <c r="O241" s="14" t="n">
        <v>1</v>
      </c>
      <c r="P241" s="14" t="inlineStr">
        <is>
          <t>0%</t>
        </is>
      </c>
      <c r="Q241" s="14" t="n">
        <v>711</v>
      </c>
      <c r="R241" s="14" t="inlineStr">
        <is>
          <t>EV/EBITDA 4.4× · FCF yld 6% · rev -6% · op margin 17%</t>
        </is>
      </c>
      <c r="S241" s="14" t="inlineStr">
        <is>
          <t>negative equity</t>
        </is>
      </c>
      <c r="T241" s="14" t="inlineStr">
        <is>
          <t>Insider Conviction</t>
        </is>
      </c>
    </row>
    <row r="242">
      <c r="A242" s="8" t="inlineStr">
        <is>
          <t>AGBK</t>
        </is>
      </c>
      <c r="B242" s="16" t="inlineStr">
        <is>
          <t>AGI Inc</t>
        </is>
      </c>
      <c r="C242" s="16" t="inlineStr">
        <is>
          <t>Financial Serv</t>
        </is>
      </c>
      <c r="D242" s="16" t="n">
        <v>960</v>
      </c>
      <c r="E242" s="16" t="n">
        <v>1.04</v>
      </c>
      <c r="F242" s="16" t="n">
        <v>7.3</v>
      </c>
      <c r="G242" s="16" t="n">
        <v>10.2</v>
      </c>
      <c r="H242" s="16" t="inlineStr">
        <is>
          <t>-25%</t>
        </is>
      </c>
      <c r="I242" s="16" t="inlineStr">
        <is>
          <t>-108%</t>
        </is>
      </c>
      <c r="J242" s="16" t="n">
        <v>5.4</v>
      </c>
      <c r="K242" s="16" t="n"/>
      <c r="L242" s="16" t="inlineStr">
        <is>
          <t>7%</t>
        </is>
      </c>
      <c r="M242" s="16" t="inlineStr">
        <is>
          <t>21%</t>
        </is>
      </c>
      <c r="N242" s="16" t="n"/>
      <c r="O242" s="16" t="n">
        <v>0.1</v>
      </c>
      <c r="P242" s="16" t="inlineStr">
        <is>
          <t>1%</t>
        </is>
      </c>
      <c r="Q242" s="16" t="n">
        <v>1761</v>
      </c>
      <c r="R242" s="16" t="inlineStr">
        <is>
          <t>P/B 1.04 · P/E 7.3 · ROE 21% (financial: book/earnings basis)</t>
        </is>
      </c>
      <c r="S242" s="16" t="inlineStr"/>
      <c r="T242" s="16" t="inlineStr">
        <is>
          <t>Insider Conviction</t>
        </is>
      </c>
    </row>
    <row r="243">
      <c r="A243" s="6" t="inlineStr">
        <is>
          <t>AVBC</t>
        </is>
      </c>
      <c r="B243" s="14" t="inlineStr">
        <is>
          <t>Avidia Bancorp, Inc.</t>
        </is>
      </c>
      <c r="C243" s="14" t="inlineStr">
        <is>
          <t>Financial Serv</t>
        </is>
      </c>
      <c r="D243" s="14" t="n">
        <v>435</v>
      </c>
      <c r="E243" s="14" t="n">
        <v>1.12</v>
      </c>
      <c r="F243" s="14" t="n">
        <v>22.7</v>
      </c>
      <c r="G243" s="14" t="n">
        <v>24.1</v>
      </c>
      <c r="H243" s="14" t="inlineStr">
        <is>
          <t>7%</t>
        </is>
      </c>
      <c r="I243" s="14" t="inlineStr">
        <is>
          <t>-39%</t>
        </is>
      </c>
      <c r="J243" s="14" t="n">
        <v>6.8</v>
      </c>
      <c r="K243" s="14" t="inlineStr">
        <is>
          <t>9%</t>
        </is>
      </c>
      <c r="L243" s="14" t="inlineStr">
        <is>
          <t>15%</t>
        </is>
      </c>
      <c r="M243" s="14" t="inlineStr">
        <is>
          <t>5%</t>
        </is>
      </c>
      <c r="N243" s="14" t="inlineStr">
        <is>
          <t>-7%</t>
        </is>
      </c>
      <c r="O243" s="14" t="n">
        <v>0.6</v>
      </c>
      <c r="P243" s="14" t="inlineStr">
        <is>
          <t>86%</t>
        </is>
      </c>
      <c r="Q243" s="14" t="n">
        <v>3068</v>
      </c>
      <c r="R243" s="14" t="inlineStr">
        <is>
          <t>P/B 1.12 · P/E 22.7 · ROE 5% · div yld 0.7% · buying back 7%/yr (financial: book/earnings basis)</t>
        </is>
      </c>
      <c r="S243" s="14" t="inlineStr"/>
      <c r="T243" s="14" t="inlineStr">
        <is>
          <t>Insider Conviction</t>
        </is>
      </c>
    </row>
    <row r="244">
      <c r="A244" s="8" t="inlineStr">
        <is>
          <t>BH</t>
        </is>
      </c>
      <c r="B244" s="16" t="inlineStr">
        <is>
          <t>Biglari Holdings Inc.</t>
        </is>
      </c>
      <c r="C244" s="16" t="inlineStr">
        <is>
          <t>Consumer Cycli</t>
        </is>
      </c>
      <c r="D244" s="16" t="n">
        <v>1076</v>
      </c>
      <c r="E244" s="16" t="n">
        <v>1.98</v>
      </c>
      <c r="F244" s="16" t="n">
        <v>-35.7</v>
      </c>
      <c r="G244" s="16" t="n">
        <v>60.5</v>
      </c>
      <c r="H244" s="16" t="inlineStr">
        <is>
          <t>5%</t>
        </is>
      </c>
      <c r="I244" s="16" t="inlineStr">
        <is>
          <t>-21%</t>
        </is>
      </c>
      <c r="J244" s="16" t="n">
        <v>10.2</v>
      </c>
      <c r="K244" s="16" t="inlineStr">
        <is>
          <t>8%</t>
        </is>
      </c>
      <c r="L244" s="16" t="inlineStr">
        <is>
          <t>10%</t>
        </is>
      </c>
      <c r="M244" s="16" t="inlineStr">
        <is>
          <t>-5%</t>
        </is>
      </c>
      <c r="N244" s="16" t="inlineStr">
        <is>
          <t>1%</t>
        </is>
      </c>
      <c r="O244" s="16" t="n">
        <v>2.6</v>
      </c>
      <c r="P244" s="16" t="inlineStr">
        <is>
          <t>43%</t>
        </is>
      </c>
      <c r="Q244" s="16" t="n">
        <v>43824</v>
      </c>
      <c r="R244" s="16" t="inlineStr">
        <is>
          <t>P/B 1.98 · EV/EBITDA 60.5× · FCF yld 5% · net debt 21% of mcap · rev +8% · op margin 10%</t>
        </is>
      </c>
      <c r="S244" s="16" t="inlineStr"/>
      <c r="T244" s="16" t="inlineStr">
        <is>
          <t>Insider Conviction</t>
        </is>
      </c>
    </row>
    <row r="245">
      <c r="A245" s="6" t="inlineStr">
        <is>
          <t>COE</t>
        </is>
      </c>
      <c r="B245" s="14" t="inlineStr">
        <is>
          <t>51Talk Online Educatio</t>
        </is>
      </c>
      <c r="C245" s="14" t="inlineStr">
        <is>
          <t>Consumer Defen</t>
        </is>
      </c>
      <c r="D245" s="14" t="n">
        <v>69</v>
      </c>
      <c r="E245" s="14" t="n"/>
      <c r="F245" s="14" t="n">
        <v>-0.1</v>
      </c>
      <c r="G245" s="14" t="n">
        <v>-2.3</v>
      </c>
      <c r="H245" s="14" t="inlineStr">
        <is>
          <t>14%</t>
        </is>
      </c>
      <c r="I245" s="14" t="n"/>
      <c r="J245" s="14" t="n">
        <v>2.8</v>
      </c>
      <c r="K245" s="14" t="inlineStr">
        <is>
          <t>75%</t>
        </is>
      </c>
      <c r="L245" s="14" t="inlineStr">
        <is>
          <t>-11%</t>
        </is>
      </c>
      <c r="M245" s="14" t="inlineStr">
        <is>
          <t>53%</t>
        </is>
      </c>
      <c r="N245" s="14" t="inlineStr">
        <is>
          <t>2%</t>
        </is>
      </c>
      <c r="O245" s="14" t="n">
        <v>0</v>
      </c>
      <c r="P245" s="14" t="inlineStr">
        <is>
          <t>4%</t>
        </is>
      </c>
      <c r="Q245" s="14" t="n">
        <v>310</v>
      </c>
      <c r="R245" s="14" t="inlineStr">
        <is>
          <t>P/S 0.6 · FCF yld 14% · rev +75% · op margin -11% · diluting 2%/yr</t>
        </is>
      </c>
      <c r="S245" s="14" t="inlineStr">
        <is>
          <t>negative equity</t>
        </is>
      </c>
      <c r="T245" s="14" t="inlineStr">
        <is>
          <t>Insider Conviction</t>
        </is>
      </c>
    </row>
    <row r="246">
      <c r="A246" s="8" t="inlineStr">
        <is>
          <t>WCN</t>
        </is>
      </c>
      <c r="B246" s="16" t="inlineStr">
        <is>
          <t>Waste Connections, Inc</t>
        </is>
      </c>
      <c r="C246" s="16" t="inlineStr">
        <is>
          <t>Industrials</t>
        </is>
      </c>
      <c r="D246" s="16" t="n">
        <v>38998</v>
      </c>
      <c r="E246" s="16" t="n">
        <v>4.92</v>
      </c>
      <c r="F246" s="16" t="n">
        <v>37.5</v>
      </c>
      <c r="G246" s="16" t="n">
        <v>15.7</v>
      </c>
      <c r="H246" s="16" t="inlineStr">
        <is>
          <t>5%</t>
        </is>
      </c>
      <c r="I246" s="16" t="inlineStr">
        <is>
          <t>-24%</t>
        </is>
      </c>
      <c r="J246" s="16" t="n">
        <v>3.1</v>
      </c>
      <c r="K246" s="16" t="inlineStr">
        <is>
          <t>6%</t>
        </is>
      </c>
      <c r="L246" s="16" t="inlineStr">
        <is>
          <t>17%</t>
        </is>
      </c>
      <c r="M246" s="16" t="inlineStr">
        <is>
          <t>13%</t>
        </is>
      </c>
      <c r="N246" s="16" t="inlineStr">
        <is>
          <t>-1%</t>
        </is>
      </c>
      <c r="O246" s="16" t="n">
        <v>4.8</v>
      </c>
      <c r="P246" s="16" t="inlineStr">
        <is>
          <t>24%</t>
        </is>
      </c>
      <c r="Q246" s="16" t="n">
        <v>219784</v>
      </c>
      <c r="R246" s="16" t="inlineStr">
        <is>
          <t>P/B 4.92 · EV/EBITDA 15.7× · FCF yld 5% · net debt 24% of mcap · rev +6% · op margin 17%</t>
        </is>
      </c>
      <c r="S246" s="16" t="inlineStr"/>
      <c r="T246" s="16" t="inlineStr">
        <is>
          <t>Insider Conviction</t>
        </is>
      </c>
    </row>
    <row r="247">
      <c r="A247" s="6" t="inlineStr">
        <is>
          <t>PAM</t>
        </is>
      </c>
      <c r="B247" s="14" t="inlineStr">
        <is>
          <t>Pampa Energía S.A.</t>
        </is>
      </c>
      <c r="C247" s="14" t="inlineStr">
        <is>
          <t>Utilities</t>
        </is>
      </c>
      <c r="D247" s="14" t="n">
        <v>4393</v>
      </c>
      <c r="E247" s="14" t="n">
        <v>1.09</v>
      </c>
      <c r="F247" s="14" t="n">
        <v>7.9</v>
      </c>
      <c r="G247" s="14" t="n">
        <v>5.6</v>
      </c>
      <c r="H247" s="14" t="inlineStr">
        <is>
          <t>-9%</t>
        </is>
      </c>
      <c r="I247" s="14" t="inlineStr">
        <is>
          <t>-31%</t>
        </is>
      </c>
      <c r="J247" s="14" t="n">
        <v>1.4</v>
      </c>
      <c r="K247" s="14" t="inlineStr">
        <is>
          <t>23%</t>
        </is>
      </c>
      <c r="L247" s="14" t="inlineStr">
        <is>
          <t>21%</t>
        </is>
      </c>
      <c r="M247" s="14" t="inlineStr">
        <is>
          <t>16%</t>
        </is>
      </c>
      <c r="N247" s="14" t="inlineStr">
        <is>
          <t>0%</t>
        </is>
      </c>
      <c r="O247" s="14" t="n">
        <v>3.4</v>
      </c>
      <c r="P247" s="14" t="inlineStr">
        <is>
          <t>63%</t>
        </is>
      </c>
      <c r="Q247" s="14" t="n">
        <v>15398</v>
      </c>
      <c r="R247" s="14" t="inlineStr">
        <is>
          <t>P/B 1.09 · EV/EBITDA 5.6× · FCF yld -9% · net debt 31% of mcap · rev +23% · op margin 21%</t>
        </is>
      </c>
      <c r="S247" s="14" t="inlineStr"/>
      <c r="T247" s="14" t="inlineStr">
        <is>
          <t>Insider Conviction</t>
        </is>
      </c>
    </row>
    <row r="248">
      <c r="A248" s="8" t="inlineStr">
        <is>
          <t>CHTR</t>
        </is>
      </c>
      <c r="B248" s="16" t="inlineStr">
        <is>
          <t>Charter Communications</t>
        </is>
      </c>
      <c r="C248" s="16" t="inlineStr">
        <is>
          <t xml:space="preserve">Communication </t>
        </is>
      </c>
      <c r="D248" s="16" t="n">
        <v>15916</v>
      </c>
      <c r="E248" s="16" t="n">
        <v>0.9399999999999999</v>
      </c>
      <c r="F248" s="16" t="n">
        <v>3.1</v>
      </c>
      <c r="G248" s="16" t="n">
        <v>5.6</v>
      </c>
      <c r="H248" s="16" t="inlineStr">
        <is>
          <t>28%</t>
        </is>
      </c>
      <c r="I248" s="16" t="inlineStr">
        <is>
          <t>-604%</t>
        </is>
      </c>
      <c r="J248" s="16" t="n">
        <v>4.8</v>
      </c>
      <c r="K248" s="16" t="inlineStr">
        <is>
          <t>-1%</t>
        </is>
      </c>
      <c r="L248" s="16" t="inlineStr">
        <is>
          <t>24%</t>
        </is>
      </c>
      <c r="M248" s="16" t="inlineStr">
        <is>
          <t>30%</t>
        </is>
      </c>
      <c r="N248" s="16" t="inlineStr">
        <is>
          <t>-14%</t>
        </is>
      </c>
      <c r="O248" s="16" t="n">
        <v>2.5</v>
      </c>
      <c r="P248" s="16" t="inlineStr">
        <is>
          <t>4%</t>
        </is>
      </c>
      <c r="Q248" s="16" t="n">
        <v>379423</v>
      </c>
      <c r="R248" s="16" t="inlineStr">
        <is>
          <t>P/B 0.94 · EV/EBITDA 5.6× · FCF yld 28% · net debt 604% of mcap · rev -1% · op margin 24% · buying back 14%/yr</t>
        </is>
      </c>
      <c r="S248" s="16" t="inlineStr"/>
      <c r="T248" s="16" t="inlineStr">
        <is>
          <t>Insider Conviction</t>
        </is>
      </c>
    </row>
    <row r="249">
      <c r="A249" s="6" t="inlineStr">
        <is>
          <t>QTTB</t>
        </is>
      </c>
      <c r="B249" s="14" t="inlineStr">
        <is>
          <t>Q32 Bio Inc.</t>
        </is>
      </c>
      <c r="C249" s="14" t="inlineStr">
        <is>
          <t>Healthcare</t>
        </is>
      </c>
      <c r="D249" s="14" t="n">
        <v>296</v>
      </c>
      <c r="E249" s="14" t="n">
        <v>2.8</v>
      </c>
      <c r="F249" s="14" t="n">
        <v>3.4</v>
      </c>
      <c r="G249" s="14" t="n">
        <v>5.3</v>
      </c>
      <c r="H249" s="14" t="inlineStr">
        <is>
          <t>-7%</t>
        </is>
      </c>
      <c r="I249" s="14" t="inlineStr">
        <is>
          <t>34%</t>
        </is>
      </c>
      <c r="J249" s="14" t="n">
        <v>-2.9</v>
      </c>
      <c r="K249" s="14" t="n"/>
      <c r="L249" s="14" t="inlineStr">
        <is>
          <t>40%</t>
        </is>
      </c>
      <c r="M249" s="14" t="inlineStr">
        <is>
          <t>77%</t>
        </is>
      </c>
      <c r="N249" s="14" t="inlineStr">
        <is>
          <t>16%</t>
        </is>
      </c>
      <c r="O249" s="14" t="n">
        <v>16.5</v>
      </c>
      <c r="P249" s="14" t="inlineStr">
        <is>
          <t>37%</t>
        </is>
      </c>
      <c r="Q249" s="14" t="n">
        <v>12088</v>
      </c>
      <c r="R249" s="14" t="inlineStr">
        <is>
          <t>P/B 2.80 · EV/EBITDA 5.3× · FCF yld -7% · net cash 34% of mcap · op margin 40% · diluting 16%/yr</t>
        </is>
      </c>
      <c r="S249" s="14" t="inlineStr"/>
      <c r="T249" s="14" t="inlineStr">
        <is>
          <t>Insider Conviction</t>
        </is>
      </c>
    </row>
    <row r="250">
      <c r="A250" s="8" t="inlineStr">
        <is>
          <t>AMR</t>
        </is>
      </c>
      <c r="B250" s="16" t="inlineStr">
        <is>
          <t>Alpha Metallurgical Re</t>
        </is>
      </c>
      <c r="C250" s="16" t="inlineStr">
        <is>
          <t>Energy</t>
        </is>
      </c>
      <c r="D250" s="16" t="n">
        <v>2346</v>
      </c>
      <c r="E250" s="16" t="n">
        <v>1.56</v>
      </c>
      <c r="F250" s="16" t="n">
        <v>-50.7</v>
      </c>
      <c r="G250" s="16" t="n">
        <v>18.5</v>
      </c>
      <c r="H250" s="16" t="inlineStr">
        <is>
          <t>-0%</t>
        </is>
      </c>
      <c r="I250" s="16" t="inlineStr">
        <is>
          <t>14%</t>
        </is>
      </c>
      <c r="J250" s="16" t="n">
        <v>-2.7</v>
      </c>
      <c r="K250" s="16" t="inlineStr">
        <is>
          <t>-13%</t>
        </is>
      </c>
      <c r="L250" s="16" t="inlineStr">
        <is>
          <t>-2%</t>
        </is>
      </c>
      <c r="M250" s="16" t="inlineStr">
        <is>
          <t>-3%</t>
        </is>
      </c>
      <c r="N250" s="16" t="inlineStr">
        <is>
          <t>-3%</t>
        </is>
      </c>
      <c r="O250" s="16" t="n">
        <v>-13.6</v>
      </c>
      <c r="P250" s="16" t="inlineStr">
        <is>
          <t>42%</t>
        </is>
      </c>
      <c r="Q250" s="16" t="n">
        <v>55733</v>
      </c>
      <c r="R250" s="16" t="inlineStr">
        <is>
          <t>P/B 1.56 · EV/EBITDA 18.5× · FCF yld -0% · net cash 14% of mcap · rev -13% · op margin -2% · buying back 3%/yr</t>
        </is>
      </c>
      <c r="S250" s="16" t="inlineStr"/>
      <c r="T250" s="16" t="inlineStr">
        <is>
          <t>Insider Filing-Time</t>
        </is>
      </c>
    </row>
    <row r="251">
      <c r="A251" s="6" t="inlineStr">
        <is>
          <t>AXR</t>
        </is>
      </c>
      <c r="B251" s="14" t="inlineStr">
        <is>
          <t>AMREP Corporation</t>
        </is>
      </c>
      <c r="C251" s="14" t="inlineStr">
        <is>
          <t>Real Estate</t>
        </is>
      </c>
      <c r="D251" s="14" t="n">
        <v>119</v>
      </c>
      <c r="E251" s="14" t="n">
        <v>0.85</v>
      </c>
      <c r="F251" s="14" t="n">
        <v>20.5</v>
      </c>
      <c r="G251" s="14" t="n">
        <v>8.800000000000001</v>
      </c>
      <c r="H251" s="14" t="inlineStr">
        <is>
          <t>1%</t>
        </is>
      </c>
      <c r="I251" s="14" t="inlineStr">
        <is>
          <t>41%</t>
        </is>
      </c>
      <c r="J251" s="14" t="n">
        <v>-6</v>
      </c>
      <c r="K251" s="14" t="inlineStr">
        <is>
          <t>-15%</t>
        </is>
      </c>
      <c r="L251" s="14" t="inlineStr">
        <is>
          <t>15%</t>
        </is>
      </c>
      <c r="M251" s="14" t="inlineStr">
        <is>
          <t>4%</t>
        </is>
      </c>
      <c r="N251" s="14" t="inlineStr">
        <is>
          <t>0%</t>
        </is>
      </c>
      <c r="O251" s="14" t="n">
        <v>0</v>
      </c>
      <c r="P251" s="14" t="inlineStr">
        <is>
          <t>43%</t>
        </is>
      </c>
      <c r="Q251" s="14" t="n">
        <v>231</v>
      </c>
      <c r="R251" s="14" t="inlineStr">
        <is>
          <t>P/B 0.85 · EV/EBITDA 8.8× · FCF yld 1% · net cash 41% of mcap · rev -15% · op margin 15%</t>
        </is>
      </c>
      <c r="S251" s="14" t="inlineStr"/>
      <c r="T251" s="14" t="inlineStr">
        <is>
          <t>Insider Filing-Time</t>
        </is>
      </c>
    </row>
    <row r="252">
      <c r="A252" s="8" t="inlineStr">
        <is>
          <t>VTSI</t>
        </is>
      </c>
      <c r="B252" s="16" t="inlineStr">
        <is>
          <t>VirTra, Inc.</t>
        </is>
      </c>
      <c r="C252" s="16" t="inlineStr">
        <is>
          <t>Technology</t>
        </is>
      </c>
      <c r="D252" s="16" t="n">
        <v>32</v>
      </c>
      <c r="E252" s="16" t="n">
        <v>0.74</v>
      </c>
      <c r="F252" s="16" t="n">
        <v>-11.8</v>
      </c>
      <c r="G252" s="16" t="n">
        <v>-21</v>
      </c>
      <c r="H252" s="16" t="inlineStr">
        <is>
          <t>-18%</t>
        </is>
      </c>
      <c r="I252" s="16" t="inlineStr">
        <is>
          <t>9%</t>
        </is>
      </c>
      <c r="J252" s="16" t="n">
        <v>2</v>
      </c>
      <c r="K252" s="16" t="inlineStr">
        <is>
          <t>-34%</t>
        </is>
      </c>
      <c r="L252" s="16" t="inlineStr">
        <is>
          <t>-19%</t>
        </is>
      </c>
      <c r="M252" s="16" t="inlineStr">
        <is>
          <t>-6%</t>
        </is>
      </c>
      <c r="N252" s="16" t="inlineStr">
        <is>
          <t>0%</t>
        </is>
      </c>
      <c r="O252" s="16" t="n">
        <v>0</v>
      </c>
      <c r="P252" s="16" t="inlineStr">
        <is>
          <t>0%</t>
        </is>
      </c>
      <c r="Q252" s="16" t="n">
        <v>120</v>
      </c>
      <c r="R252" s="16" t="inlineStr">
        <is>
          <t>P/B 0.74 · P/S 1.9 · FCF yld -18% · net cash 9% of mcap · rev -34% · op margin -19%</t>
        </is>
      </c>
      <c r="S252" s="16" t="inlineStr"/>
      <c r="T252" s="16" t="inlineStr">
        <is>
          <t>Insider Filing-Time</t>
        </is>
      </c>
    </row>
    <row r="253">
      <c r="A253" s="6" t="inlineStr">
        <is>
          <t>UP</t>
        </is>
      </c>
      <c r="B253" s="14" t="inlineStr">
        <is>
          <t>Wheels Up Experience I</t>
        </is>
      </c>
      <c r="C253" s="14" t="inlineStr">
        <is>
          <t>Industrials</t>
        </is>
      </c>
      <c r="D253" s="14" t="n">
        <v>141</v>
      </c>
      <c r="E253" s="14" t="n"/>
      <c r="F253" s="14" t="n">
        <v>-0.5</v>
      </c>
      <c r="G253" s="14" t="n">
        <v>-5.4</v>
      </c>
      <c r="H253" s="14" t="n"/>
      <c r="I253" s="14" t="n"/>
      <c r="J253" s="14" t="n">
        <v>-4.4</v>
      </c>
      <c r="K253" s="14" t="inlineStr">
        <is>
          <t>-6%</t>
        </is>
      </c>
      <c r="L253" s="14" t="inlineStr">
        <is>
          <t>-34%</t>
        </is>
      </c>
      <c r="M253" s="14" t="inlineStr">
        <is>
          <t>68%</t>
        </is>
      </c>
      <c r="N253" s="14" t="inlineStr">
        <is>
          <t>4%</t>
        </is>
      </c>
      <c r="O253" s="14" t="n">
        <v>-2.3</v>
      </c>
      <c r="P253" s="14" t="inlineStr">
        <is>
          <t>2%</t>
        </is>
      </c>
      <c r="Q253" s="14" t="n">
        <v>536</v>
      </c>
      <c r="R253" s="14" t="inlineStr">
        <is>
          <t>P/S 0.2 · rev -6% · op margin -34% · diluting 4%/yr</t>
        </is>
      </c>
      <c r="S253" s="14" t="inlineStr">
        <is>
          <t>negative equity; FCF yield &gt;100% (check)</t>
        </is>
      </c>
      <c r="T253" s="14" t="inlineStr">
        <is>
          <t>Insider Filing-Time</t>
        </is>
      </c>
    </row>
    <row r="254">
      <c r="A254" s="8" t="inlineStr">
        <is>
          <t>EQPT</t>
        </is>
      </c>
      <c r="B254" s="16" t="inlineStr">
        <is>
          <t>EquipmentShare.com Inc</t>
        </is>
      </c>
      <c r="C254" s="16" t="inlineStr">
        <is>
          <t>Industrials</t>
        </is>
      </c>
      <c r="D254" s="16" t="n">
        <v>4612</v>
      </c>
      <c r="E254" s="16" t="n">
        <v>2.92</v>
      </c>
      <c r="F254" s="16" t="n">
        <v>194.7</v>
      </c>
      <c r="G254" s="16" t="n">
        <v>11.4</v>
      </c>
      <c r="H254" s="16" t="inlineStr">
        <is>
          <t>-37%</t>
        </is>
      </c>
      <c r="I254" s="16" t="inlineStr">
        <is>
          <t>-95%</t>
        </is>
      </c>
      <c r="J254" s="16" t="n">
        <v>5.5</v>
      </c>
      <c r="K254" s="16" t="n"/>
      <c r="L254" s="16" t="inlineStr">
        <is>
          <t>7%</t>
        </is>
      </c>
      <c r="M254" s="16" t="inlineStr">
        <is>
          <t>5%</t>
        </is>
      </c>
      <c r="N254" s="16" t="inlineStr">
        <is>
          <t>1%</t>
        </is>
      </c>
      <c r="O254" s="16" t="n">
        <v>1.1</v>
      </c>
      <c r="P254" s="16" t="inlineStr">
        <is>
          <t>13%</t>
        </is>
      </c>
      <c r="Q254" s="16" t="n">
        <v>51871</v>
      </c>
      <c r="R254" s="16" t="inlineStr">
        <is>
          <t>P/B 2.92 · EV/EBITDA 11.4× · FCF yld -37% · net debt 95% of mcap · op margin 7% · interest cover 1.1× ⚠</t>
        </is>
      </c>
      <c r="S254" s="16" t="inlineStr"/>
      <c r="T254" s="16" t="inlineStr">
        <is>
          <t>Insider Filing-Time</t>
        </is>
      </c>
    </row>
    <row r="255">
      <c r="A255" s="6" t="inlineStr">
        <is>
          <t>GLP</t>
        </is>
      </c>
      <c r="B255" s="14" t="inlineStr">
        <is>
          <t>Global Partners LP</t>
        </is>
      </c>
      <c r="C255" s="14" t="inlineStr">
        <is>
          <t>Energy</t>
        </is>
      </c>
      <c r="D255" s="14" t="n">
        <v>1676</v>
      </c>
      <c r="E255" s="14" t="n">
        <v>2.25</v>
      </c>
      <c r="F255" s="14" t="n">
        <v>9.9</v>
      </c>
      <c r="G255" s="14" t="n">
        <v>8.9</v>
      </c>
      <c r="H255" s="14" t="inlineStr">
        <is>
          <t>12%</t>
        </is>
      </c>
      <c r="I255" s="14" t="inlineStr">
        <is>
          <t>-118%</t>
        </is>
      </c>
      <c r="J255" s="14" t="n">
        <v>4.9</v>
      </c>
      <c r="K255" s="14" t="inlineStr">
        <is>
          <t>20%</t>
        </is>
      </c>
      <c r="L255" s="14" t="inlineStr">
        <is>
          <t>3%</t>
        </is>
      </c>
      <c r="M255" s="14" t="inlineStr">
        <is>
          <t>25%</t>
        </is>
      </c>
      <c r="N255" s="14" t="inlineStr">
        <is>
          <t>0%</t>
        </is>
      </c>
      <c r="O255" s="14" t="n">
        <v>8.4</v>
      </c>
      <c r="P255" s="14" t="inlineStr">
        <is>
          <t>66%</t>
        </is>
      </c>
      <c r="Q255" s="14" t="n">
        <v>4790</v>
      </c>
      <c r="R255" s="14" t="inlineStr">
        <is>
          <t>P/B 2.25 · EV/EBITDA 8.9× · FCF yld 12% · net debt 118% of mcap · rev +20% · op margin 3%</t>
        </is>
      </c>
      <c r="S255" s="14" t="inlineStr"/>
      <c r="T255" s="14" t="inlineStr">
        <is>
          <t>Insider Filing-Time</t>
        </is>
      </c>
    </row>
    <row r="256">
      <c r="A256" s="8" t="inlineStr">
        <is>
          <t>KBR</t>
        </is>
      </c>
      <c r="B256" s="16" t="inlineStr">
        <is>
          <t>KBR, Inc.</t>
        </is>
      </c>
      <c r="C256" s="16" t="inlineStr">
        <is>
          <t>Industrials</t>
        </is>
      </c>
      <c r="D256" s="16" t="n">
        <v>4450</v>
      </c>
      <c r="E256" s="16" t="n">
        <v>2.72</v>
      </c>
      <c r="F256" s="16" t="n">
        <v>10.7</v>
      </c>
      <c r="G256" s="16" t="n">
        <v>8.300000000000001</v>
      </c>
      <c r="H256" s="16" t="inlineStr">
        <is>
          <t>8%</t>
        </is>
      </c>
      <c r="I256" s="16" t="inlineStr">
        <is>
          <t>-56%</t>
        </is>
      </c>
      <c r="J256" s="16" t="n">
        <v>3</v>
      </c>
      <c r="K256" s="16" t="inlineStr">
        <is>
          <t>-4%</t>
        </is>
      </c>
      <c r="L256" s="16" t="inlineStr">
        <is>
          <t>9%</t>
        </is>
      </c>
      <c r="M256" s="16" t="inlineStr">
        <is>
          <t>27%</t>
        </is>
      </c>
      <c r="N256" s="16" t="inlineStr">
        <is>
          <t>-4%</t>
        </is>
      </c>
      <c r="O256" s="16" t="n">
        <v>4.3</v>
      </c>
      <c r="P256" s="16" t="inlineStr">
        <is>
          <t>24%</t>
        </is>
      </c>
      <c r="Q256" s="16" t="n">
        <v>58100</v>
      </c>
      <c r="R256" s="16" t="inlineStr">
        <is>
          <t>P/B 2.72 · EV/EBITDA 8.3× · FCF yld 8% · net debt 56% of mcap · rev -4% · op margin 9% · buying back 4%/yr</t>
        </is>
      </c>
      <c r="S256" s="16" t="inlineStr"/>
      <c r="T256" s="16" t="inlineStr">
        <is>
          <t>Insider Filing-Time</t>
        </is>
      </c>
    </row>
    <row r="257">
      <c r="A257" s="6" t="inlineStr">
        <is>
          <t>SELF</t>
        </is>
      </c>
      <c r="B257" s="14" t="inlineStr">
        <is>
          <t>Global Self Storage, I</t>
        </is>
      </c>
      <c r="C257" s="14" t="inlineStr">
        <is>
          <t>Real Estate</t>
        </is>
      </c>
      <c r="D257" s="14" t="n">
        <v>58</v>
      </c>
      <c r="E257" s="14" t="n">
        <v>1.25</v>
      </c>
      <c r="F257" s="14" t="n">
        <v>27.5</v>
      </c>
      <c r="G257" s="14" t="n">
        <v>14.2</v>
      </c>
      <c r="H257" s="14" t="inlineStr">
        <is>
          <t>7%</t>
        </is>
      </c>
      <c r="I257" s="14" t="inlineStr">
        <is>
          <t>-14%</t>
        </is>
      </c>
      <c r="J257" s="14" t="n">
        <v>1.7</v>
      </c>
      <c r="K257" s="14" t="inlineStr">
        <is>
          <t>1%</t>
        </is>
      </c>
      <c r="L257" s="14" t="inlineStr">
        <is>
          <t>21%</t>
        </is>
      </c>
      <c r="M257" s="14" t="inlineStr">
        <is>
          <t>5%</t>
        </is>
      </c>
      <c r="N257" s="14" t="inlineStr">
        <is>
          <t>0%</t>
        </is>
      </c>
      <c r="O257" s="14" t="n">
        <v>3.3</v>
      </c>
      <c r="P257" s="14" t="inlineStr">
        <is>
          <t>33%</t>
        </is>
      </c>
      <c r="Q257" s="14" t="n">
        <v>115</v>
      </c>
      <c r="R257" s="14" t="inlineStr">
        <is>
          <t>P/B 1.25 · EV/EBITDA 14.2× · FCF yld 7% · net debt 14% of mcap · rev +1% · op margin 21%</t>
        </is>
      </c>
      <c r="S257" s="14" t="inlineStr"/>
      <c r="T257" s="14" t="inlineStr">
        <is>
          <t>Insider Filing-Time</t>
        </is>
      </c>
    </row>
    <row r="258">
      <c r="A258" s="8" t="inlineStr">
        <is>
          <t>DTM</t>
        </is>
      </c>
      <c r="B258" s="16" t="inlineStr">
        <is>
          <t>DT Midstream, Inc.</t>
        </is>
      </c>
      <c r="C258" s="16" t="inlineStr">
        <is>
          <t>Energy</t>
        </is>
      </c>
      <c r="D258" s="16" t="n">
        <v>12897</v>
      </c>
      <c r="E258" s="16" t="n">
        <v>2.7</v>
      </c>
      <c r="F258" s="16" t="n">
        <v>27.3</v>
      </c>
      <c r="G258" s="16" t="n">
        <v>14.7</v>
      </c>
      <c r="H258" s="16" t="inlineStr">
        <is>
          <t>4%</t>
        </is>
      </c>
      <c r="I258" s="16" t="inlineStr">
        <is>
          <t>-25%</t>
        </is>
      </c>
      <c r="J258" s="16" t="n">
        <v>2.9</v>
      </c>
      <c r="K258" s="16" t="inlineStr">
        <is>
          <t>18%</t>
        </is>
      </c>
      <c r="L258" s="16" t="inlineStr">
        <is>
          <t>50%</t>
        </is>
      </c>
      <c r="M258" s="16" t="inlineStr">
        <is>
          <t>10%</t>
        </is>
      </c>
      <c r="N258" s="16" t="inlineStr">
        <is>
          <t>0%</t>
        </is>
      </c>
      <c r="O258" s="16" t="n">
        <v>4</v>
      </c>
      <c r="P258" s="16" t="inlineStr">
        <is>
          <t>45%</t>
        </is>
      </c>
      <c r="Q258" s="16" t="n">
        <v>104882</v>
      </c>
      <c r="R258" s="16" t="inlineStr">
        <is>
          <t>P/B 2.70 · EV/EBITDA 14.7× · FCF yld 4% · net debt 25% of mcap · rev +18% · op margin 50%</t>
        </is>
      </c>
      <c r="S258" s="16" t="inlineStr"/>
      <c r="T258" s="16" t="inlineStr">
        <is>
          <t>Insider Filing-Time</t>
        </is>
      </c>
    </row>
    <row r="259">
      <c r="A259" s="6" t="inlineStr">
        <is>
          <t>XZO</t>
        </is>
      </c>
      <c r="B259" s="14" t="inlineStr">
        <is>
          <t>Exzeo Group, Inc.</t>
        </is>
      </c>
      <c r="C259" s="14" t="inlineStr">
        <is>
          <t>Financial Serv</t>
        </is>
      </c>
      <c r="D259" s="14" t="n">
        <v>1415</v>
      </c>
      <c r="E259" s="14" t="n">
        <v>4.91</v>
      </c>
      <c r="F259" s="14" t="n">
        <v>16.4</v>
      </c>
      <c r="G259" s="14" t="n">
        <v>10.6</v>
      </c>
      <c r="H259" s="14" t="inlineStr">
        <is>
          <t>6%</t>
        </is>
      </c>
      <c r="I259" s="14" t="inlineStr">
        <is>
          <t>9%</t>
        </is>
      </c>
      <c r="J259" s="14" t="n">
        <v>-1.1</v>
      </c>
      <c r="K259" s="14" t="n"/>
      <c r="L259" s="14" t="inlineStr">
        <is>
          <t>49%</t>
        </is>
      </c>
      <c r="M259" s="14" t="inlineStr">
        <is>
          <t>39%</t>
        </is>
      </c>
      <c r="N259" s="14" t="inlineStr">
        <is>
          <t>0%</t>
        </is>
      </c>
      <c r="O259" s="14" t="n">
        <v>0</v>
      </c>
      <c r="P259" s="14" t="inlineStr">
        <is>
          <t>26%</t>
        </is>
      </c>
      <c r="Q259" s="14" t="n">
        <v>3528</v>
      </c>
      <c r="R259" s="14" t="inlineStr">
        <is>
          <t>P/B 4.91 · P/E 16.4 · ROE 39% (financial: book/earnings basis)</t>
        </is>
      </c>
      <c r="S259" s="14" t="inlineStr"/>
      <c r="T259" s="14" t="inlineStr">
        <is>
          <t>Insider Filing-Time</t>
        </is>
      </c>
    </row>
    <row r="260">
      <c r="A260" s="8" t="inlineStr">
        <is>
          <t>RHLD</t>
        </is>
      </c>
      <c r="B260" s="16" t="inlineStr">
        <is>
          <t>Resolute Holdings Mana</t>
        </is>
      </c>
      <c r="C260" s="16" t="inlineStr">
        <is>
          <t>Industrials</t>
        </is>
      </c>
      <c r="D260" s="16" t="n">
        <v>1005</v>
      </c>
      <c r="E260" s="16" t="n"/>
      <c r="F260" s="16" t="n">
        <v>12.5</v>
      </c>
      <c r="G260" s="16" t="n">
        <v>17.9</v>
      </c>
      <c r="H260" s="16" t="inlineStr">
        <is>
          <t>8%</t>
        </is>
      </c>
      <c r="I260" s="16" t="n"/>
      <c r="J260" s="16" t="n">
        <v>12</v>
      </c>
      <c r="K260" s="16" t="inlineStr">
        <is>
          <t>159%</t>
        </is>
      </c>
      <c r="L260" s="16" t="inlineStr">
        <is>
          <t>9%</t>
        </is>
      </c>
      <c r="M260" s="16" t="inlineStr">
        <is>
          <t>3768%</t>
        </is>
      </c>
      <c r="N260" s="16" t="inlineStr">
        <is>
          <t>-5%</t>
        </is>
      </c>
      <c r="O260" s="16" t="n">
        <v>1.2</v>
      </c>
      <c r="P260" s="16" t="inlineStr">
        <is>
          <t>33%</t>
        </is>
      </c>
      <c r="Q260" s="16" t="n">
        <v>20571</v>
      </c>
      <c r="R260" s="16" t="inlineStr">
        <is>
          <t>EV/EBITDA 17.9× · FCF yld 8% · rev +159% · op margin 9% · buying back 5%/yr</t>
        </is>
      </c>
      <c r="S260" s="16" t="inlineStr">
        <is>
          <t>negative equity</t>
        </is>
      </c>
      <c r="T260" s="16" t="inlineStr">
        <is>
          <t>Insider Filing-Time</t>
        </is>
      </c>
    </row>
    <row r="261">
      <c r="A261" s="6" t="inlineStr">
        <is>
          <t>VITL</t>
        </is>
      </c>
      <c r="B261" s="14" t="inlineStr">
        <is>
          <t>Vital Farms, Inc.</t>
        </is>
      </c>
      <c r="C261" s="14" t="inlineStr">
        <is>
          <t>Consumer Defen</t>
        </is>
      </c>
      <c r="D261" s="14" t="n">
        <v>444</v>
      </c>
      <c r="E261" s="14" t="n">
        <v>1.57</v>
      </c>
      <c r="F261" s="14" t="n">
        <v>-720.6</v>
      </c>
      <c r="G261" s="14" t="n">
        <v>16.6</v>
      </c>
      <c r="H261" s="14" t="inlineStr">
        <is>
          <t>-29%</t>
        </is>
      </c>
      <c r="I261" s="14" t="inlineStr">
        <is>
          <t>-20%</t>
        </is>
      </c>
      <c r="J261" s="14" t="n">
        <v>2.7</v>
      </c>
      <c r="K261" s="14" t="inlineStr">
        <is>
          <t>16%</t>
        </is>
      </c>
      <c r="L261" s="14" t="inlineStr">
        <is>
          <t>0%</t>
        </is>
      </c>
      <c r="M261" s="14" t="inlineStr">
        <is>
          <t>0%</t>
        </is>
      </c>
      <c r="N261" s="14" t="inlineStr">
        <is>
          <t>-6%</t>
        </is>
      </c>
      <c r="O261" s="14" t="n">
        <v>0.1</v>
      </c>
      <c r="P261" s="14" t="inlineStr">
        <is>
          <t>6%</t>
        </is>
      </c>
      <c r="Q261" s="14" t="n">
        <v>21223</v>
      </c>
      <c r="R261" s="14" t="inlineStr">
        <is>
          <t>P/B 1.57 · EV/EBITDA 16.6× · FCF yld -29% · net debt 20% of mcap · rev +16% · op margin 0% · buying back 6%/yr · interest cover 0.1× ⚠</t>
        </is>
      </c>
      <c r="S261" s="14" t="inlineStr">
        <is>
          <t>P/E vs earnings-yield sign mismatch</t>
        </is>
      </c>
      <c r="T261" s="14" t="inlineStr">
        <is>
          <t>Insider Filing-Time</t>
        </is>
      </c>
    </row>
    <row r="262">
      <c r="A262" s="8" t="inlineStr">
        <is>
          <t>WEST</t>
        </is>
      </c>
      <c r="B262" s="16" t="inlineStr">
        <is>
          <t>Westrock Coffee Compan</t>
        </is>
      </c>
      <c r="C262" s="16" t="inlineStr">
        <is>
          <t>Consumer Defen</t>
        </is>
      </c>
      <c r="D262" s="16" t="n">
        <v>785</v>
      </c>
      <c r="E262" s="16" t="n">
        <v>3.24</v>
      </c>
      <c r="F262" s="16" t="n">
        <v>-12.2</v>
      </c>
      <c r="G262" s="16" t="n">
        <v>24.4</v>
      </c>
      <c r="H262" s="16" t="inlineStr">
        <is>
          <t>-2%</t>
        </is>
      </c>
      <c r="I262" s="16" t="inlineStr">
        <is>
          <t>-68%</t>
        </is>
      </c>
      <c r="J262" s="16" t="n">
        <v>9.800000000000001</v>
      </c>
      <c r="K262" s="16" t="inlineStr">
        <is>
          <t>39%</t>
        </is>
      </c>
      <c r="L262" s="16" t="inlineStr">
        <is>
          <t>-1%</t>
        </is>
      </c>
      <c r="M262" s="16" t="inlineStr">
        <is>
          <t>-24%</t>
        </is>
      </c>
      <c r="N262" s="16" t="inlineStr">
        <is>
          <t>3%</t>
        </is>
      </c>
      <c r="O262" s="16" t="n">
        <v>-0.2</v>
      </c>
      <c r="P262" s="16" t="inlineStr">
        <is>
          <t>67%</t>
        </is>
      </c>
      <c r="Q262" s="16" t="n">
        <v>4542</v>
      </c>
      <c r="R262" s="16" t="inlineStr">
        <is>
          <t>P/B 3.24 · EV/EBITDA 24.4× · FCF yld -2% · net debt 68% of mcap · rev +39% · op margin -1% · diluting 3%/yr · interest cover -0.2× ⚠</t>
        </is>
      </c>
      <c r="S262" s="16" t="inlineStr"/>
      <c r="T262" s="16" t="inlineStr">
        <is>
          <t>Insider Filing-Time</t>
        </is>
      </c>
    </row>
    <row r="263">
      <c r="A263" s="6" t="inlineStr">
        <is>
          <t>TTEK</t>
        </is>
      </c>
      <c r="B263" s="14" t="inlineStr">
        <is>
          <t>Tetra Tech, Inc.</t>
        </is>
      </c>
      <c r="C263" s="14" t="inlineStr">
        <is>
          <t>Industrials</t>
        </is>
      </c>
      <c r="D263" s="14" t="n">
        <v>9098</v>
      </c>
      <c r="E263" s="14" t="n">
        <v>4.91</v>
      </c>
      <c r="F263" s="14" t="n">
        <v>20.8</v>
      </c>
      <c r="G263" s="14" t="n">
        <v>14.8</v>
      </c>
      <c r="H263" s="14" t="inlineStr">
        <is>
          <t>6%</t>
        </is>
      </c>
      <c r="I263" s="14" t="inlineStr">
        <is>
          <t>-9%</t>
        </is>
      </c>
      <c r="J263" s="14" t="n">
        <v>1.2</v>
      </c>
      <c r="K263" s="14" t="inlineStr">
        <is>
          <t>8%</t>
        </is>
      </c>
      <c r="L263" s="14" t="inlineStr">
        <is>
          <t>12%</t>
        </is>
      </c>
      <c r="M263" s="14" t="inlineStr">
        <is>
          <t>24%</t>
        </is>
      </c>
      <c r="N263" s="14" t="inlineStr">
        <is>
          <t>-2%</t>
        </is>
      </c>
      <c r="O263" s="14" t="n">
        <v>38.6</v>
      </c>
      <c r="P263" s="14" t="inlineStr">
        <is>
          <t>53%</t>
        </is>
      </c>
      <c r="Q263" s="14" t="n">
        <v>111606</v>
      </c>
      <c r="R263" s="14" t="inlineStr">
        <is>
          <t>P/B 4.91 · EV/EBITDA 14.8× · FCF yld 6% · net debt 9% of mcap · rev +8% · op margin 12% · buying back 2%/yr</t>
        </is>
      </c>
      <c r="S263" s="14" t="inlineStr"/>
      <c r="T263" s="14" t="inlineStr">
        <is>
          <t>Insider Filing-Time</t>
        </is>
      </c>
    </row>
    <row r="264">
      <c r="A264" s="8" t="inlineStr">
        <is>
          <t>OI</t>
        </is>
      </c>
      <c r="B264" s="16" t="inlineStr">
        <is>
          <t>O-I Glass, Inc.</t>
        </is>
      </c>
      <c r="C264" s="16" t="inlineStr">
        <is>
          <t>Consumer Cycli</t>
        </is>
      </c>
      <c r="D264" s="16" t="n">
        <v>947</v>
      </c>
      <c r="E264" s="16" t="n">
        <v>2.47</v>
      </c>
      <c r="F264" s="16" t="n">
        <v>-0.8</v>
      </c>
      <c r="G264" s="16" t="n">
        <v>7.4</v>
      </c>
      <c r="H264" s="16" t="inlineStr">
        <is>
          <t>-2%</t>
        </is>
      </c>
      <c r="I264" s="16" t="inlineStr">
        <is>
          <t>-491%</t>
        </is>
      </c>
      <c r="J264" s="16" t="n">
        <v>6.2</v>
      </c>
      <c r="K264" s="16" t="inlineStr">
        <is>
          <t>-2%</t>
        </is>
      </c>
      <c r="L264" s="16" t="inlineStr">
        <is>
          <t>8%</t>
        </is>
      </c>
      <c r="M264" s="16" t="inlineStr">
        <is>
          <t>-108%</t>
        </is>
      </c>
      <c r="N264" s="16" t="inlineStr">
        <is>
          <t>-1%</t>
        </is>
      </c>
      <c r="O264" s="16" t="n">
        <v>1.5</v>
      </c>
      <c r="P264" s="16" t="inlineStr">
        <is>
          <t>1%</t>
        </is>
      </c>
      <c r="Q264" s="16" t="n">
        <v>20113</v>
      </c>
      <c r="R264" s="16" t="inlineStr">
        <is>
          <t>P/B 2.47 · EV/EBITDA 7.4× · FCF yld -2% · net debt 491% of mcap · rev -2% · op margin 8% · interest cover 1.5× ⚠</t>
        </is>
      </c>
      <c r="S264" s="16" t="inlineStr"/>
      <c r="T264" s="16" t="inlineStr">
        <is>
          <t>Insider Filing-Time</t>
        </is>
      </c>
    </row>
    <row r="265">
      <c r="A265" s="6" t="inlineStr">
        <is>
          <t>CVBF</t>
        </is>
      </c>
      <c r="B265" s="14" t="inlineStr">
        <is>
          <t>CVB Financial Corp.</t>
        </is>
      </c>
      <c r="C265" s="14" t="inlineStr">
        <is>
          <t>Financial Serv</t>
        </is>
      </c>
      <c r="D265" s="14" t="n">
        <v>3187</v>
      </c>
      <c r="E265" s="14" t="n">
        <v>1.01</v>
      </c>
      <c r="F265" s="14" t="n">
        <v>14.6</v>
      </c>
      <c r="G265" s="14" t="n">
        <v>10.8</v>
      </c>
      <c r="H265" s="14" t="inlineStr">
        <is>
          <t>18%</t>
        </is>
      </c>
      <c r="I265" s="14" t="inlineStr">
        <is>
          <t>178%</t>
        </is>
      </c>
      <c r="J265" s="14" t="n">
        <v>-0</v>
      </c>
      <c r="K265" s="14" t="inlineStr">
        <is>
          <t>12%</t>
        </is>
      </c>
      <c r="L265" s="14" t="inlineStr">
        <is>
          <t>39%</t>
        </is>
      </c>
      <c r="M265" s="14" t="inlineStr">
        <is>
          <t>8%</t>
        </is>
      </c>
      <c r="N265" s="14" t="inlineStr">
        <is>
          <t>-3%</t>
        </is>
      </c>
      <c r="O265" s="14" t="n">
        <v>2</v>
      </c>
      <c r="P265" s="14" t="inlineStr">
        <is>
          <t>78%</t>
        </is>
      </c>
      <c r="Q265" s="14" t="n">
        <v>32489</v>
      </c>
      <c r="R265" s="14" t="inlineStr">
        <is>
          <t>P/B 1.01 · P/E 14.6 · ROE 8% · div yld 2.7% · buying back 3%/yr (financial: book/earnings basis)</t>
        </is>
      </c>
      <c r="S265" s="14" t="inlineStr"/>
      <c r="T265" s="14" t="inlineStr">
        <is>
          <t>Insider Filing-Time</t>
        </is>
      </c>
    </row>
    <row r="266">
      <c r="A266" s="8" t="inlineStr">
        <is>
          <t>ERII</t>
        </is>
      </c>
      <c r="B266" s="16" t="inlineStr">
        <is>
          <t>Energy Recovery, Inc.</t>
        </is>
      </c>
      <c r="C266" s="16" t="inlineStr">
        <is>
          <t>Industrials</t>
        </is>
      </c>
      <c r="D266" s="16" t="n">
        <v>354</v>
      </c>
      <c r="E266" s="16" t="n">
        <v>2.05</v>
      </c>
      <c r="F266" s="16" t="n">
        <v>23.2</v>
      </c>
      <c r="G266" s="16" t="n">
        <v>10.8</v>
      </c>
      <c r="H266" s="16" t="inlineStr">
        <is>
          <t>11%</t>
        </is>
      </c>
      <c r="I266" s="16" t="inlineStr">
        <is>
          <t>24%</t>
        </is>
      </c>
      <c r="J266" s="16" t="n">
        <v>-1.9</v>
      </c>
      <c r="K266" s="16" t="inlineStr">
        <is>
          <t>-15%</t>
        </is>
      </c>
      <c r="L266" s="16" t="inlineStr">
        <is>
          <t>16%</t>
        </is>
      </c>
      <c r="M266" s="16" t="inlineStr">
        <is>
          <t>8%</t>
        </is>
      </c>
      <c r="N266" s="16" t="inlineStr">
        <is>
          <t>-6%</t>
        </is>
      </c>
      <c r="O266" s="16" t="n">
        <v>0</v>
      </c>
      <c r="P266" s="16" t="inlineStr">
        <is>
          <t>0%</t>
        </is>
      </c>
      <c r="Q266" s="16" t="n">
        <v>7021</v>
      </c>
      <c r="R266" s="16" t="inlineStr">
        <is>
          <t>P/B 2.05 · EV/EBITDA 10.8× · FCF yld 11% · net cash 24% of mcap · rev -15% · op margin 16% · buying back 6%/yr</t>
        </is>
      </c>
      <c r="S266" s="16" t="inlineStr"/>
      <c r="T266" s="16" t="inlineStr">
        <is>
          <t>Insider Filing-Time</t>
        </is>
      </c>
    </row>
    <row r="267">
      <c r="A267" s="6" t="inlineStr">
        <is>
          <t>BROS</t>
        </is>
      </c>
      <c r="B267" s="14" t="inlineStr">
        <is>
          <t>Dutch Bros Inc.</t>
        </is>
      </c>
      <c r="C267" s="14" t="inlineStr">
        <is>
          <t>Consumer Cycli</t>
        </is>
      </c>
      <c r="D267" s="14" t="n">
        <v>6672</v>
      </c>
      <c r="E267" s="14" t="n">
        <v>8.359999999999999</v>
      </c>
      <c r="F267" s="14" t="n">
        <v>53.7</v>
      </c>
      <c r="G267" s="14" t="n">
        <v>25.6</v>
      </c>
      <c r="H267" s="14" t="inlineStr">
        <is>
          <t>1%</t>
        </is>
      </c>
      <c r="I267" s="14" t="inlineStr">
        <is>
          <t>-14%</t>
        </is>
      </c>
      <c r="J267" s="14" t="n">
        <v>3.2</v>
      </c>
      <c r="K267" s="14" t="inlineStr">
        <is>
          <t>30%</t>
        </is>
      </c>
      <c r="L267" s="14" t="inlineStr">
        <is>
          <t>10%</t>
        </is>
      </c>
      <c r="M267" s="14" t="inlineStr">
        <is>
          <t>13%</t>
        </is>
      </c>
      <c r="N267" s="14" t="inlineStr">
        <is>
          <t>6%</t>
        </is>
      </c>
      <c r="O267" s="14" t="n">
        <v>13</v>
      </c>
      <c r="P267" s="14" t="inlineStr">
        <is>
          <t>2%</t>
        </is>
      </c>
      <c r="Q267" s="14" t="n">
        <v>146063</v>
      </c>
      <c r="R267" s="14" t="inlineStr">
        <is>
          <t>P/B 8.36 · EV/EBITDA 25.6× · FCF yld 1% · net debt 14% of mcap · rev +30% · op margin 10% · diluting 6%/yr</t>
        </is>
      </c>
      <c r="S267" s="14" t="inlineStr"/>
      <c r="T267" s="14" t="inlineStr">
        <is>
          <t>Insider Filing-Time</t>
        </is>
      </c>
    </row>
    <row r="268">
      <c r="A268" s="8" t="inlineStr">
        <is>
          <t>BCDA</t>
        </is>
      </c>
      <c r="B268" s="16" t="inlineStr">
        <is>
          <t>BioCardia, Inc.</t>
        </is>
      </c>
      <c r="C268" s="16" t="inlineStr">
        <is>
          <t>Healthcare</t>
        </is>
      </c>
      <c r="D268" s="16" t="n">
        <v>16</v>
      </c>
      <c r="E268" s="16" t="n">
        <v>5.9</v>
      </c>
      <c r="F268" s="16" t="n">
        <v>-1.4</v>
      </c>
      <c r="G268" s="16" t="n">
        <v>-1.7</v>
      </c>
      <c r="H268" s="16" t="inlineStr">
        <is>
          <t>-48%</t>
        </is>
      </c>
      <c r="I268" s="16" t="inlineStr">
        <is>
          <t>24%</t>
        </is>
      </c>
      <c r="J268" s="16" t="n">
        <v>0.6</v>
      </c>
      <c r="K268" s="16" t="n"/>
      <c r="L268" s="16" t="inlineStr">
        <is>
          <t>0%</t>
        </is>
      </c>
      <c r="M268" s="16" t="inlineStr">
        <is>
          <t>-569%</t>
        </is>
      </c>
      <c r="N268" s="16" t="n"/>
      <c r="O268" s="16" t="n">
        <v>0</v>
      </c>
      <c r="P268" s="16" t="inlineStr">
        <is>
          <t>30%</t>
        </is>
      </c>
      <c r="Q268" s="16" t="n">
        <v>3367</v>
      </c>
      <c r="R268" s="16" t="inlineStr">
        <is>
          <t>P/B 5.90 · P/S 0.0 · FCF yld -48% · net cash 24% of mcap · op margin 0%</t>
        </is>
      </c>
      <c r="S268" s="16" t="inlineStr">
        <is>
          <t>new entity / merger: history not comparable</t>
        </is>
      </c>
      <c r="T268" s="16" t="inlineStr">
        <is>
          <t>Insider Filing-Time</t>
        </is>
      </c>
    </row>
    <row r="269">
      <c r="A269" s="6" t="inlineStr">
        <is>
          <t>GUER</t>
        </is>
      </c>
      <c r="B269" s="14" t="inlineStr">
        <is>
          <t>Guerrilla RF, Inc.</t>
        </is>
      </c>
      <c r="C269" s="14" t="inlineStr">
        <is>
          <t>Technology</t>
        </is>
      </c>
      <c r="D269" s="14" t="n">
        <v>45</v>
      </c>
      <c r="E269" s="14" t="n"/>
      <c r="F269" s="14" t="n">
        <v>-9.699999999999999</v>
      </c>
      <c r="G269" s="14" t="n">
        <v>2380820.4</v>
      </c>
      <c r="H269" s="14" t="inlineStr">
        <is>
          <t>5%</t>
        </is>
      </c>
      <c r="I269" s="14" t="n"/>
      <c r="J269" s="14" t="n">
        <v>2380843.4</v>
      </c>
      <c r="K269" s="14" t="inlineStr">
        <is>
          <t>47%</t>
        </is>
      </c>
      <c r="L269" s="14" t="inlineStr">
        <is>
          <t>3%</t>
        </is>
      </c>
      <c r="M269" s="14" t="inlineStr">
        <is>
          <t>33%</t>
        </is>
      </c>
      <c r="N269" s="14" t="inlineStr">
        <is>
          <t>3%</t>
        </is>
      </c>
      <c r="O269" s="14" t="n">
        <v>0.8</v>
      </c>
      <c r="P269" s="14" t="inlineStr">
        <is>
          <t>54%</t>
        </is>
      </c>
      <c r="Q269" s="14" t="n">
        <v>37</v>
      </c>
      <c r="R269" s="14" t="inlineStr">
        <is>
          <t>P/S 1.6 · FCF yld 5% · rev +47% · op margin 3% · diluting 3%/yr</t>
        </is>
      </c>
      <c r="S269" s="14" t="inlineStr">
        <is>
          <t>negative equity</t>
        </is>
      </c>
      <c r="T269" s="14" t="inlineStr">
        <is>
          <t>Insider Filing-Time</t>
        </is>
      </c>
    </row>
    <row r="270">
      <c r="A270" s="8" t="inlineStr">
        <is>
          <t>RLYB</t>
        </is>
      </c>
      <c r="B270" s="16" t="inlineStr">
        <is>
          <t>Rallybio Corporation</t>
        </is>
      </c>
      <c r="C270" s="16" t="inlineStr">
        <is>
          <t>Healthcare</t>
        </is>
      </c>
      <c r="D270" s="16" t="n">
        <v>89</v>
      </c>
      <c r="E270" s="16" t="n">
        <v>0.95</v>
      </c>
      <c r="F270" s="16" t="n">
        <v>2.1</v>
      </c>
      <c r="G270" s="16" t="n">
        <v>-0.1</v>
      </c>
      <c r="H270" s="16" t="inlineStr">
        <is>
          <t>29%</t>
        </is>
      </c>
      <c r="I270" s="16" t="inlineStr">
        <is>
          <t>104%</t>
        </is>
      </c>
      <c r="J270" s="16" t="n">
        <v>-3.4</v>
      </c>
      <c r="K270" s="16" t="inlineStr">
        <is>
          <t>-15%</t>
        </is>
      </c>
      <c r="L270" s="16" t="inlineStr">
        <is>
          <t>-3672%</t>
        </is>
      </c>
      <c r="M270" s="16" t="inlineStr">
        <is>
          <t>69%</t>
        </is>
      </c>
      <c r="N270" s="16" t="inlineStr">
        <is>
          <t>3%</t>
        </is>
      </c>
      <c r="O270" s="16" t="n">
        <v>0</v>
      </c>
      <c r="P270" s="16" t="inlineStr">
        <is>
          <t>95%</t>
        </is>
      </c>
      <c r="Q270" s="16" t="n">
        <v>1174</v>
      </c>
      <c r="R270" s="16" t="inlineStr">
        <is>
          <t>P/B 0.95 · P/S 138.2 · FCF yld 29% · net cash 104% of mcap · rev -15% · diluting 3%/yr</t>
        </is>
      </c>
      <c r="S270" s="16" t="inlineStr"/>
      <c r="T270" s="16" t="inlineStr">
        <is>
          <t>Insider Filing-Time</t>
        </is>
      </c>
    </row>
    <row r="271">
      <c r="A271" s="6" t="inlineStr">
        <is>
          <t>JANL</t>
        </is>
      </c>
      <c r="B271" s="14" t="inlineStr">
        <is>
          <t>Janel Corporation</t>
        </is>
      </c>
      <c r="C271" s="14" t="inlineStr">
        <is>
          <t>Industrials</t>
        </is>
      </c>
      <c r="D271" s="14" t="n">
        <v>59</v>
      </c>
      <c r="E271" s="14" t="n">
        <v>2.18</v>
      </c>
      <c r="F271" s="14" t="n">
        <v>10.4</v>
      </c>
      <c r="G271" s="14" t="n">
        <v>4.7</v>
      </c>
      <c r="H271" s="14" t="inlineStr">
        <is>
          <t>79%</t>
        </is>
      </c>
      <c r="I271" s="14" t="inlineStr">
        <is>
          <t>-12%</t>
        </is>
      </c>
      <c r="J271" s="14" t="n">
        <v>0.5</v>
      </c>
      <c r="K271" s="14" t="inlineStr">
        <is>
          <t>8%</t>
        </is>
      </c>
      <c r="L271" s="14" t="inlineStr">
        <is>
          <t>3%</t>
        </is>
      </c>
      <c r="M271" s="14" t="inlineStr">
        <is>
          <t>23%</t>
        </is>
      </c>
      <c r="N271" s="14" t="inlineStr">
        <is>
          <t>0%</t>
        </is>
      </c>
      <c r="O271" s="14" t="n">
        <v>4.4</v>
      </c>
      <c r="P271" s="14" t="inlineStr">
        <is>
          <t>78%</t>
        </is>
      </c>
      <c r="Q271" s="14" t="n">
        <v>5</v>
      </c>
      <c r="R271" s="14" t="inlineStr">
        <is>
          <t>P/B 2.18 · EV/EBITDA 4.7× · FCF yld 79% · net debt 12% of mcap · rev +8% · op margin 3%</t>
        </is>
      </c>
      <c r="S271" s="14" t="inlineStr"/>
      <c r="T271" s="14" t="inlineStr">
        <is>
          <t>Insider Filing-Time</t>
        </is>
      </c>
    </row>
    <row r="272">
      <c r="A272" s="8" t="inlineStr">
        <is>
          <t>TFSL</t>
        </is>
      </c>
      <c r="B272" s="16" t="inlineStr">
        <is>
          <t>TFS Financial Corporat</t>
        </is>
      </c>
      <c r="C272" s="16" t="inlineStr">
        <is>
          <t>Financial Serv</t>
        </is>
      </c>
      <c r="D272" s="16" t="n">
        <v>4674</v>
      </c>
      <c r="E272" s="16" t="n">
        <v>2.39</v>
      </c>
      <c r="F272" s="16" t="n">
        <v>45.4</v>
      </c>
      <c r="G272" s="16" t="n">
        <v>69.09999999999999</v>
      </c>
      <c r="H272" s="16" t="inlineStr">
        <is>
          <t>2%</t>
        </is>
      </c>
      <c r="I272" s="16" t="inlineStr">
        <is>
          <t>-124%</t>
        </is>
      </c>
      <c r="J272" s="16" t="n">
        <v>38.4</v>
      </c>
      <c r="K272" s="16" t="inlineStr">
        <is>
          <t>5%</t>
        </is>
      </c>
      <c r="L272" s="16" t="inlineStr">
        <is>
          <t>15%</t>
        </is>
      </c>
      <c r="M272" s="16" t="inlineStr">
        <is>
          <t>5%</t>
        </is>
      </c>
      <c r="N272" s="16" t="inlineStr">
        <is>
          <t>0%</t>
        </is>
      </c>
      <c r="O272" s="16" t="n">
        <v>0.3</v>
      </c>
      <c r="P272" s="16" t="inlineStr">
        <is>
          <t>59%</t>
        </is>
      </c>
      <c r="Q272" s="16" t="n">
        <v>14886</v>
      </c>
      <c r="R272" s="16" t="inlineStr">
        <is>
          <t>P/B 2.39 · P/E 45.4 · ROE 5% · div yld 7.0% (financial: book/earnings basis)</t>
        </is>
      </c>
      <c r="S272" s="16" t="inlineStr"/>
      <c r="T272" s="16" t="inlineStr">
        <is>
          <t>Insider Filing-Time</t>
        </is>
      </c>
    </row>
    <row r="273">
      <c r="A273" s="6" t="inlineStr">
        <is>
          <t>TONX</t>
        </is>
      </c>
      <c r="B273" s="14" t="inlineStr">
        <is>
          <t>TON Strategy Co.</t>
        </is>
      </c>
      <c r="C273" s="14" t="inlineStr">
        <is>
          <t>Technology</t>
        </is>
      </c>
      <c r="D273" s="14" t="n">
        <v>231</v>
      </c>
      <c r="E273" s="14" t="n">
        <v>0.58</v>
      </c>
      <c r="F273" s="14" t="n">
        <v>-2.2</v>
      </c>
      <c r="G273" s="14" t="n">
        <v>-3.2</v>
      </c>
      <c r="H273" s="14" t="inlineStr">
        <is>
          <t>-13%</t>
        </is>
      </c>
      <c r="I273" s="14" t="inlineStr">
        <is>
          <t>12%</t>
        </is>
      </c>
      <c r="J273" s="14" t="n">
        <v>0.5</v>
      </c>
      <c r="K273" s="14" t="n"/>
      <c r="L273" s="14" t="inlineStr">
        <is>
          <t>-105%</t>
        </is>
      </c>
      <c r="M273" s="14" t="inlineStr">
        <is>
          <t>-36%</t>
        </is>
      </c>
      <c r="N273" s="14" t="n"/>
      <c r="O273" s="14" t="n">
        <v>0</v>
      </c>
      <c r="P273" s="14" t="inlineStr">
        <is>
          <t>41%</t>
        </is>
      </c>
      <c r="Q273" s="14" t="n">
        <v>1626</v>
      </c>
      <c r="R273" s="14" t="inlineStr">
        <is>
          <t>P/B 0.58 · P/S 7.6 · FCF yld -13% · net cash 12% of mcap · op margin -105%</t>
        </is>
      </c>
      <c r="S273" s="14" t="inlineStr">
        <is>
          <t>revenue not comparable YoY (fair-value / one-off income?)</t>
        </is>
      </c>
      <c r="T273" s="14" t="inlineStr">
        <is>
          <t>Insider Filing-Time</t>
        </is>
      </c>
    </row>
    <row r="274">
      <c r="A274" s="8" t="inlineStr">
        <is>
          <t>RGR</t>
        </is>
      </c>
      <c r="B274" s="16" t="inlineStr">
        <is>
          <t>Sturm, Ruger &amp; Company</t>
        </is>
      </c>
      <c r="C274" s="16" t="inlineStr">
        <is>
          <t>Industrials</t>
        </is>
      </c>
      <c r="D274" s="16" t="n">
        <v>670</v>
      </c>
      <c r="E274" s="16" t="n">
        <v>2.31</v>
      </c>
      <c r="F274" s="16" t="n">
        <v>54.8</v>
      </c>
      <c r="G274" s="16" t="n">
        <v>23</v>
      </c>
      <c r="H274" s="16" t="inlineStr">
        <is>
          <t>7%</t>
        </is>
      </c>
      <c r="I274" s="16" t="inlineStr">
        <is>
          <t>17%</t>
        </is>
      </c>
      <c r="J274" s="16" t="n">
        <v>-1</v>
      </c>
      <c r="K274" s="16" t="inlineStr">
        <is>
          <t>8%</t>
        </is>
      </c>
      <c r="L274" s="16" t="inlineStr">
        <is>
          <t>1%</t>
        </is>
      </c>
      <c r="M274" s="16" t="inlineStr">
        <is>
          <t>4%</t>
        </is>
      </c>
      <c r="N274" s="16" t="inlineStr">
        <is>
          <t>-1%</t>
        </is>
      </c>
      <c r="O274" s="16" t="n">
        <v>151.5</v>
      </c>
      <c r="P274" s="16" t="inlineStr">
        <is>
          <t>68%</t>
        </is>
      </c>
      <c r="Q274" s="16" t="n">
        <v>5752</v>
      </c>
      <c r="R274" s="16" t="inlineStr">
        <is>
          <t>P/B 2.31 · EV/EBITDA 23.0× · FCF yld 7% · net cash 17% of mcap · rev +8% · op margin 1%</t>
        </is>
      </c>
      <c r="S274" s="16" t="inlineStr"/>
      <c r="T274" s="16" t="inlineStr">
        <is>
          <t>Insider Filing-Time</t>
        </is>
      </c>
    </row>
    <row r="275">
      <c r="A275" s="6" t="inlineStr">
        <is>
          <t>ATLO</t>
        </is>
      </c>
      <c r="B275" s="14" t="inlineStr">
        <is>
          <t>Ames National Corporat</t>
        </is>
      </c>
      <c r="C275" s="14" t="inlineStr">
        <is>
          <t>Financial Serv</t>
        </is>
      </c>
      <c r="D275" s="14" t="n">
        <v>280</v>
      </c>
      <c r="E275" s="14" t="n">
        <v>1.31</v>
      </c>
      <c r="F275" s="14" t="n">
        <v>12.2</v>
      </c>
      <c r="G275" s="14" t="n">
        <v>7.3</v>
      </c>
      <c r="H275" s="14" t="inlineStr">
        <is>
          <t>8%</t>
        </is>
      </c>
      <c r="I275" s="14" t="inlineStr">
        <is>
          <t>271%</t>
        </is>
      </c>
      <c r="J275" s="14" t="n">
        <v>-2</v>
      </c>
      <c r="K275" s="14" t="inlineStr">
        <is>
          <t>7%</t>
        </is>
      </c>
      <c r="L275" s="14" t="inlineStr">
        <is>
          <t>28%</t>
        </is>
      </c>
      <c r="M275" s="14" t="inlineStr">
        <is>
          <t>11%</t>
        </is>
      </c>
      <c r="N275" s="14" t="inlineStr">
        <is>
          <t>-1%</t>
        </is>
      </c>
      <c r="O275" s="14" t="n">
        <v>1</v>
      </c>
      <c r="P275" s="14" t="inlineStr">
        <is>
          <t>91%</t>
        </is>
      </c>
      <c r="Q275" s="14" t="n">
        <v>1807</v>
      </c>
      <c r="R275" s="14" t="inlineStr">
        <is>
          <t>P/B 1.31 · P/E 12.2 · ROE 11% · div yld 2.9% (financial: book/earnings basis)</t>
        </is>
      </c>
      <c r="S275" s="14" t="inlineStr"/>
      <c r="T275" s="14" t="inlineStr">
        <is>
          <t>Insider Filing-Time</t>
        </is>
      </c>
    </row>
    <row r="276">
      <c r="A276" s="8" t="inlineStr">
        <is>
          <t>CRESY</t>
        </is>
      </c>
      <c r="B276" s="16" t="inlineStr">
        <is>
          <t xml:space="preserve">Cresud S.A. Sponsored </t>
        </is>
      </c>
      <c r="C276" s="16" t="inlineStr">
        <is>
          <t>Industrials</t>
        </is>
      </c>
      <c r="D276" s="16" t="n">
        <v>817</v>
      </c>
      <c r="E276" s="16" t="n">
        <v>0.95</v>
      </c>
      <c r="F276" s="16" t="n">
        <v>7.7</v>
      </c>
      <c r="G276" s="16" t="n">
        <v>7</v>
      </c>
      <c r="H276" s="16" t="inlineStr">
        <is>
          <t>5%</t>
        </is>
      </c>
      <c r="I276" s="16" t="inlineStr">
        <is>
          <t>-104%</t>
        </is>
      </c>
      <c r="J276" s="16" t="n">
        <v>4</v>
      </c>
      <c r="K276" s="16" t="inlineStr">
        <is>
          <t>19%</t>
        </is>
      </c>
      <c r="L276" s="16" t="inlineStr">
        <is>
          <t>30%</t>
        </is>
      </c>
      <c r="M276" s="16" t="inlineStr">
        <is>
          <t>14%</t>
        </is>
      </c>
      <c r="N276" s="16" t="inlineStr">
        <is>
          <t>13%</t>
        </is>
      </c>
      <c r="O276" s="16" t="n">
        <v>2.2</v>
      </c>
      <c r="P276" s="16" t="inlineStr">
        <is>
          <t>71%</t>
        </is>
      </c>
      <c r="Q276" s="16" t="n">
        <v>3503</v>
      </c>
      <c r="R276" s="16" t="inlineStr">
        <is>
          <t>P/B 0.95 · EV/EBITDA 7.0× · FCF yld 5% · net debt 104% of mcap · rev +19% · op margin 30% · diluting 13%/yr</t>
        </is>
      </c>
      <c r="S276" s="16" t="inlineStr"/>
      <c r="T276" s="16" t="inlineStr">
        <is>
          <t>Insider Filing-Time</t>
        </is>
      </c>
    </row>
    <row r="277">
      <c r="A277" s="6" t="inlineStr">
        <is>
          <t>CLH</t>
        </is>
      </c>
      <c r="B277" s="14" t="inlineStr">
        <is>
          <t>Clean Harbors, Inc.</t>
        </is>
      </c>
      <c r="C277" s="14" t="inlineStr">
        <is>
          <t>Industrials</t>
        </is>
      </c>
      <c r="D277" s="14" t="n">
        <v>16503</v>
      </c>
      <c r="E277" s="14" t="n">
        <v>5.64</v>
      </c>
      <c r="F277" s="14" t="n">
        <v>37.8</v>
      </c>
      <c r="G277" s="14" t="n">
        <v>15.7</v>
      </c>
      <c r="H277" s="14" t="inlineStr">
        <is>
          <t>1%</t>
        </is>
      </c>
      <c r="I277" s="14" t="inlineStr">
        <is>
          <t>-15%</t>
        </is>
      </c>
      <c r="J277" s="14" t="n">
        <v>2.2</v>
      </c>
      <c r="K277" s="14" t="inlineStr">
        <is>
          <t>5%</t>
        </is>
      </c>
      <c r="L277" s="14" t="inlineStr">
        <is>
          <t>12%</t>
        </is>
      </c>
      <c r="M277" s="14" t="inlineStr">
        <is>
          <t>16%</t>
        </is>
      </c>
      <c r="N277" s="14" t="inlineStr">
        <is>
          <t>-1%</t>
        </is>
      </c>
      <c r="O277" s="14" t="n">
        <v>4.3</v>
      </c>
      <c r="P277" s="14" t="inlineStr">
        <is>
          <t>83%</t>
        </is>
      </c>
      <c r="Q277" s="14" t="n">
        <v>146186</v>
      </c>
      <c r="R277" s="14" t="inlineStr">
        <is>
          <t>P/B 5.64 · EV/EBITDA 15.7× · FCF yld 1% · net debt 15% of mcap · rev +5% · op margin 12%</t>
        </is>
      </c>
      <c r="S277" s="14" t="inlineStr"/>
      <c r="T277" s="14" t="inlineStr">
        <is>
          <t>Insider Filing-Time</t>
        </is>
      </c>
    </row>
    <row r="278">
      <c r="A278" s="8" t="inlineStr">
        <is>
          <t>BWFG</t>
        </is>
      </c>
      <c r="B278" s="16" t="inlineStr">
        <is>
          <t>Bankwell Financial Gro</t>
        </is>
      </c>
      <c r="C278" s="16" t="inlineStr">
        <is>
          <t>Financial Serv</t>
        </is>
      </c>
      <c r="D278" s="16" t="n">
        <v>522</v>
      </c>
      <c r="E278" s="16" t="n">
        <v>1.61</v>
      </c>
      <c r="F278" s="16" t="n">
        <v>12.1</v>
      </c>
      <c r="G278" s="16" t="n">
        <v>7</v>
      </c>
      <c r="H278" s="16" t="inlineStr">
        <is>
          <t>7%</t>
        </is>
      </c>
      <c r="I278" s="16" t="inlineStr">
        <is>
          <t>18%</t>
        </is>
      </c>
      <c r="J278" s="16" t="n">
        <v>-1.5</v>
      </c>
      <c r="K278" s="16" t="inlineStr">
        <is>
          <t>9%</t>
        </is>
      </c>
      <c r="L278" s="16" t="inlineStr">
        <is>
          <t>27%</t>
        </is>
      </c>
      <c r="M278" s="16" t="inlineStr">
        <is>
          <t>14%</t>
        </is>
      </c>
      <c r="N278" s="16" t="inlineStr">
        <is>
          <t>1%</t>
        </is>
      </c>
      <c r="O278" s="16" t="n">
        <v>0.6</v>
      </c>
      <c r="P278" s="16" t="inlineStr">
        <is>
          <t>86%</t>
        </is>
      </c>
      <c r="Q278" s="16" t="n">
        <v>4680</v>
      </c>
      <c r="R278" s="16" t="inlineStr">
        <is>
          <t>P/B 1.61 · P/E 12.1 · ROE 14% · div yld 1.2% (financial: book/earnings basis)</t>
        </is>
      </c>
      <c r="S278" s="16" t="inlineStr"/>
      <c r="T278" s="16" t="inlineStr">
        <is>
          <t>Insider Filing-Time</t>
        </is>
      </c>
    </row>
    <row r="279">
      <c r="A279" s="6" t="inlineStr">
        <is>
          <t>LEVI</t>
        </is>
      </c>
      <c r="B279" s="14" t="inlineStr">
        <is>
          <t>Levi Strauss &amp; Co.</t>
        </is>
      </c>
      <c r="C279" s="14" t="inlineStr">
        <is>
          <t>Consumer Cycli</t>
        </is>
      </c>
      <c r="D279" s="14" t="n">
        <v>7759</v>
      </c>
      <c r="E279" s="14" t="n">
        <v>3.41</v>
      </c>
      <c r="F279" s="14" t="n">
        <v>12.1</v>
      </c>
      <c r="G279" s="14" t="n">
        <v>9.300000000000001</v>
      </c>
      <c r="H279" s="14" t="inlineStr">
        <is>
          <t>7%</t>
        </is>
      </c>
      <c r="I279" s="14" t="inlineStr">
        <is>
          <t>-17%</t>
        </is>
      </c>
      <c r="J279" s="14" t="n">
        <v>1.5</v>
      </c>
      <c r="K279" s="14" t="inlineStr">
        <is>
          <t>4%</t>
        </is>
      </c>
      <c r="L279" s="14" t="inlineStr">
        <is>
          <t>12%</t>
        </is>
      </c>
      <c r="M279" s="14" t="inlineStr">
        <is>
          <t>29%</t>
        </is>
      </c>
      <c r="N279" s="14" t="inlineStr">
        <is>
          <t>-2%</t>
        </is>
      </c>
      <c r="O279" s="14" t="n">
        <v>15.7</v>
      </c>
      <c r="P279" s="14" t="inlineStr">
        <is>
          <t>26%</t>
        </is>
      </c>
      <c r="Q279" s="14" t="n">
        <v>50234</v>
      </c>
      <c r="R279" s="14" t="inlineStr">
        <is>
          <t>P/B 3.41 · EV/EBITDA 9.3× · FCF yld 7% · net debt 17% of mcap · rev +4% · op margin 12% · buying back 2%/yr</t>
        </is>
      </c>
      <c r="S279" s="14" t="inlineStr"/>
      <c r="T279" s="14" t="inlineStr">
        <is>
          <t>MD&amp;A Intent</t>
        </is>
      </c>
    </row>
    <row r="280">
      <c r="A280" s="8" t="inlineStr">
        <is>
          <t>AVAH</t>
        </is>
      </c>
      <c r="B280" s="16" t="inlineStr">
        <is>
          <t>Aveanna Healthcare Hol</t>
        </is>
      </c>
      <c r="C280" s="16" t="inlineStr">
        <is>
          <t>Healthcare</t>
        </is>
      </c>
      <c r="D280" s="16" t="n">
        <v>2814</v>
      </c>
      <c r="E280" s="16" t="n">
        <v>9.789999999999999</v>
      </c>
      <c r="F280" s="16" t="n">
        <v>9.699999999999999</v>
      </c>
      <c r="G280" s="16" t="n">
        <v>13.9</v>
      </c>
      <c r="H280" s="16" t="inlineStr">
        <is>
          <t>6%</t>
        </is>
      </c>
      <c r="I280" s="16" t="inlineStr">
        <is>
          <t>-50%</t>
        </is>
      </c>
      <c r="J280" s="16" t="n">
        <v>4.7</v>
      </c>
      <c r="K280" s="16" t="inlineStr">
        <is>
          <t>20%</t>
        </is>
      </c>
      <c r="L280" s="16" t="inlineStr">
        <is>
          <t>11%</t>
        </is>
      </c>
      <c r="M280" s="16" t="inlineStr">
        <is>
          <t>150%</t>
        </is>
      </c>
      <c r="N280" s="16" t="inlineStr">
        <is>
          <t>7%</t>
        </is>
      </c>
      <c r="O280" s="16" t="n">
        <v>2.3</v>
      </c>
      <c r="P280" s="16" t="inlineStr">
        <is>
          <t>80%</t>
        </is>
      </c>
      <c r="Q280" s="16" t="n">
        <v>34706</v>
      </c>
      <c r="R280" s="16" t="inlineStr">
        <is>
          <t>P/B 9.79 · EV/EBITDA 13.9× · FCF yld 6% · net debt 50% of mcap · rev +20% · op margin 11% · diluting 7%/yr</t>
        </is>
      </c>
      <c r="S280" s="16" t="inlineStr"/>
      <c r="T280" s="16" t="inlineStr">
        <is>
          <t>MD&amp;A Intent</t>
        </is>
      </c>
    </row>
    <row r="281">
      <c r="A281" s="6" t="inlineStr">
        <is>
          <t>BGSF</t>
        </is>
      </c>
      <c r="B281" s="14" t="inlineStr">
        <is>
          <t>BGSF, Inc.</t>
        </is>
      </c>
      <c r="C281" s="14" t="inlineStr">
        <is>
          <t>Industrials</t>
        </is>
      </c>
      <c r="D281" s="14" t="n">
        <v>54</v>
      </c>
      <c r="E281" s="14" t="n">
        <v>1.16</v>
      </c>
      <c r="F281" s="14" t="n">
        <v>-6.5</v>
      </c>
      <c r="G281" s="14" t="n">
        <v>-10.7</v>
      </c>
      <c r="H281" s="14" t="inlineStr">
        <is>
          <t>-6%</t>
        </is>
      </c>
      <c r="I281" s="14" t="inlineStr">
        <is>
          <t>33%</t>
        </is>
      </c>
      <c r="J281" s="14" t="n">
        <v>2.2</v>
      </c>
      <c r="K281" s="14" t="inlineStr">
        <is>
          <t>-59%</t>
        </is>
      </c>
      <c r="L281" s="14" t="inlineStr">
        <is>
          <t>-6%</t>
        </is>
      </c>
      <c r="M281" s="14" t="inlineStr">
        <is>
          <t>-19%</t>
        </is>
      </c>
      <c r="N281" s="14" t="inlineStr">
        <is>
          <t>-4%</t>
        </is>
      </c>
      <c r="O281" s="14" t="n">
        <v>-3.5</v>
      </c>
      <c r="P281" s="14" t="inlineStr">
        <is>
          <t>41%</t>
        </is>
      </c>
      <c r="Q281" s="14" t="n">
        <v>47</v>
      </c>
      <c r="R281" s="14" t="inlineStr">
        <is>
          <t>P/B 1.16 · P/S 0.6 · FCF yld -6% · net cash 33% of mcap · rev -59% · op margin -6% · buying back 4%/yr</t>
        </is>
      </c>
      <c r="S281" s="14" t="inlineStr">
        <is>
          <t>dividend yield &gt;25% (special or bad data)</t>
        </is>
      </c>
      <c r="T281" s="14" t="inlineStr">
        <is>
          <t>MD&amp;A Intent</t>
        </is>
      </c>
    </row>
    <row r="282">
      <c r="A282" s="8" t="inlineStr">
        <is>
          <t>UNFI</t>
        </is>
      </c>
      <c r="B282" s="16" t="inlineStr">
        <is>
          <t xml:space="preserve">United Natural Foods, </t>
        </is>
      </c>
      <c r="C282" s="16" t="inlineStr">
        <is>
          <t>Consumer Defen</t>
        </is>
      </c>
      <c r="D282" s="16" t="n">
        <v>2704</v>
      </c>
      <c r="E282" s="16" t="n">
        <v>1.69</v>
      </c>
      <c r="F282" s="16" t="n">
        <v>31.8</v>
      </c>
      <c r="G282" s="16" t="n">
        <v>9</v>
      </c>
      <c r="H282" s="16" t="inlineStr">
        <is>
          <t>12%</t>
        </is>
      </c>
      <c r="I282" s="16" t="inlineStr">
        <is>
          <t>-115%</t>
        </is>
      </c>
      <c r="J282" s="16" t="n">
        <v>4.8</v>
      </c>
      <c r="K282" s="16" t="inlineStr">
        <is>
          <t>-0%</t>
        </is>
      </c>
      <c r="L282" s="16" t="inlineStr">
        <is>
          <t>1%</t>
        </is>
      </c>
      <c r="M282" s="16" t="inlineStr">
        <is>
          <t>5%</t>
        </is>
      </c>
      <c r="N282" s="16" t="inlineStr">
        <is>
          <t>4%</t>
        </is>
      </c>
      <c r="O282" s="16" t="n">
        <v>2.8</v>
      </c>
      <c r="P282" s="16" t="inlineStr">
        <is>
          <t>56%</t>
        </is>
      </c>
      <c r="Q282" s="16" t="n">
        <v>27842</v>
      </c>
      <c r="R282" s="16" t="inlineStr">
        <is>
          <t>P/B 1.69 · EV/EBITDA 9.0× · FCF yld 12% · net debt 115% of mcap · rev -0% · op margin 1% · diluting 4%/yr</t>
        </is>
      </c>
      <c r="S282" s="16" t="inlineStr"/>
      <c r="T282" s="16" t="inlineStr">
        <is>
          <t>MD&amp;A Intent</t>
        </is>
      </c>
    </row>
    <row r="283">
      <c r="A283" s="6" t="inlineStr">
        <is>
          <t>BJRI</t>
        </is>
      </c>
      <c r="B283" s="14" t="inlineStr">
        <is>
          <t>BJ's Restaurants, Inc.</t>
        </is>
      </c>
      <c r="C283" s="14" t="inlineStr">
        <is>
          <t>Consumer Cycli</t>
        </is>
      </c>
      <c r="D283" s="14" t="n">
        <v>1284</v>
      </c>
      <c r="E283" s="14" t="n">
        <v>3.23</v>
      </c>
      <c r="F283" s="14" t="n">
        <v>31.4</v>
      </c>
      <c r="G283" s="14" t="n">
        <v>13.5</v>
      </c>
      <c r="H283" s="14" t="inlineStr">
        <is>
          <t>3%</t>
        </is>
      </c>
      <c r="I283" s="14" t="inlineStr">
        <is>
          <t>-33%</t>
        </is>
      </c>
      <c r="J283" s="14" t="n">
        <v>3.3</v>
      </c>
      <c r="K283" s="14" t="inlineStr">
        <is>
          <t>4%</t>
        </is>
      </c>
      <c r="L283" s="14" t="inlineStr">
        <is>
          <t>3%</t>
        </is>
      </c>
      <c r="M283" s="14" t="inlineStr">
        <is>
          <t>11%</t>
        </is>
      </c>
      <c r="N283" s="14" t="inlineStr">
        <is>
          <t>-5%</t>
        </is>
      </c>
      <c r="O283" s="14" t="n">
        <v>10.5</v>
      </c>
      <c r="P283" s="14" t="inlineStr">
        <is>
          <t>71%</t>
        </is>
      </c>
      <c r="Q283" s="14" t="n">
        <v>29514</v>
      </c>
      <c r="R283" s="14" t="inlineStr">
        <is>
          <t>P/B 3.23 · EV/EBITDA 13.5× · FCF yld 3% · net debt 33% of mcap · rev +4% · op margin 3% · buying back 5%/yr</t>
        </is>
      </c>
      <c r="S283" s="14" t="inlineStr"/>
      <c r="T283" s="14" t="inlineStr">
        <is>
          <t>MD&amp;A Intent</t>
        </is>
      </c>
    </row>
    <row r="284">
      <c r="A284" s="8" t="inlineStr">
        <is>
          <t>DLX</t>
        </is>
      </c>
      <c r="B284" s="16" t="inlineStr">
        <is>
          <t>Deluxe Corporation</t>
        </is>
      </c>
      <c r="C284" s="16" t="inlineStr">
        <is>
          <t>Industrials</t>
        </is>
      </c>
      <c r="D284" s="16" t="n">
        <v>1098</v>
      </c>
      <c r="E284" s="16" t="n">
        <v>1.55</v>
      </c>
      <c r="F284" s="16" t="n">
        <v>10.6</v>
      </c>
      <c r="G284" s="16" t="n">
        <v>6.3</v>
      </c>
      <c r="H284" s="16" t="inlineStr">
        <is>
          <t>22%</t>
        </is>
      </c>
      <c r="I284" s="16" t="inlineStr">
        <is>
          <t>-130%</t>
        </is>
      </c>
      <c r="J284" s="16" t="n">
        <v>3.6</v>
      </c>
      <c r="K284" s="16" t="inlineStr">
        <is>
          <t>0%</t>
        </is>
      </c>
      <c r="L284" s="16" t="inlineStr">
        <is>
          <t>12%</t>
        </is>
      </c>
      <c r="M284" s="16" t="inlineStr">
        <is>
          <t>15%</t>
        </is>
      </c>
      <c r="N284" s="16" t="inlineStr">
        <is>
          <t>3%</t>
        </is>
      </c>
      <c r="O284" s="16" t="n">
        <v>2.3</v>
      </c>
      <c r="P284" s="16" t="inlineStr">
        <is>
          <t>44%</t>
        </is>
      </c>
      <c r="Q284" s="16" t="n">
        <v>10449</v>
      </c>
      <c r="R284" s="16" t="inlineStr">
        <is>
          <t>P/B 1.55 · EV/EBITDA 6.3× · FCF yld 22% · net debt 130% of mcap · rev +0% · op margin 12% · diluting 3%/yr</t>
        </is>
      </c>
      <c r="S284" s="16" t="inlineStr"/>
      <c r="T284" s="16" t="inlineStr">
        <is>
          <t>MD&amp;A Intent</t>
        </is>
      </c>
    </row>
    <row r="285">
      <c r="A285" s="6" t="inlineStr">
        <is>
          <t>NRDE</t>
        </is>
      </c>
      <c r="B285" s="14" t="inlineStr">
        <is>
          <t xml:space="preserve">Stark Novus Financial </t>
        </is>
      </c>
      <c r="C285" s="14" t="inlineStr">
        <is>
          <t>Consumer Cycli</t>
        </is>
      </c>
      <c r="D285" s="14" t="n">
        <v>29</v>
      </c>
      <c r="E285" s="14" t="n">
        <v>68.33</v>
      </c>
      <c r="F285" s="14" t="n">
        <v>-6.9</v>
      </c>
      <c r="G285" s="14" t="n">
        <v>-7.6</v>
      </c>
      <c r="H285" s="14" t="inlineStr">
        <is>
          <t>-26%</t>
        </is>
      </c>
      <c r="I285" s="14" t="inlineStr">
        <is>
          <t>-29%</t>
        </is>
      </c>
      <c r="J285" s="14" t="n">
        <v>-3</v>
      </c>
      <c r="K285" s="14" t="n"/>
      <c r="L285" s="14" t="inlineStr">
        <is>
          <t>0%</t>
        </is>
      </c>
      <c r="M285" s="14" t="inlineStr">
        <is>
          <t>-6%</t>
        </is>
      </c>
      <c r="N285" s="14" t="inlineStr">
        <is>
          <t>-8%</t>
        </is>
      </c>
      <c r="O285" s="14" t="n">
        <v>0</v>
      </c>
      <c r="P285" s="14" t="inlineStr">
        <is>
          <t>47%</t>
        </is>
      </c>
      <c r="Q285" s="14" t="n">
        <v>19</v>
      </c>
      <c r="R285" s="14" t="inlineStr">
        <is>
          <t>P/B 68.33 · P/S 0.0 · FCF yld -26% · net debt 29% of mcap · op margin 0% · buying back 8%/yr</t>
        </is>
      </c>
      <c r="S285" s="14" t="inlineStr"/>
      <c r="T285" s="14" t="inlineStr">
        <is>
          <t>MD&amp;A Intent</t>
        </is>
      </c>
    </row>
    <row r="286">
      <c r="A286" s="8" t="inlineStr">
        <is>
          <t>CBUS</t>
        </is>
      </c>
      <c r="B286" s="16" t="inlineStr">
        <is>
          <t>Cibus, Inc.</t>
        </is>
      </c>
      <c r="C286" s="16" t="inlineStr">
        <is>
          <t>Healthcare</t>
        </is>
      </c>
      <c r="D286" s="16" t="n">
        <v>120</v>
      </c>
      <c r="E286" s="16" t="n">
        <v>8.119999999999999</v>
      </c>
      <c r="F286" s="16" t="n">
        <v>-0.9</v>
      </c>
      <c r="G286" s="16" t="n">
        <v>-2.2</v>
      </c>
      <c r="H286" s="16" t="inlineStr">
        <is>
          <t>-39%</t>
        </is>
      </c>
      <c r="I286" s="16" t="inlineStr">
        <is>
          <t>-10%</t>
        </is>
      </c>
      <c r="J286" s="16" t="n">
        <v>-0.2</v>
      </c>
      <c r="K286" s="16" t="inlineStr">
        <is>
          <t>-6%</t>
        </is>
      </c>
      <c r="L286" s="16" t="inlineStr">
        <is>
          <t>-1241%</t>
        </is>
      </c>
      <c r="M286" s="16" t="inlineStr">
        <is>
          <t>-321%</t>
        </is>
      </c>
      <c r="N286" s="16" t="inlineStr">
        <is>
          <t>84%</t>
        </is>
      </c>
      <c r="O286" s="16" t="n">
        <v>-2.9</v>
      </c>
      <c r="P286" s="16" t="inlineStr">
        <is>
          <t>16%</t>
        </is>
      </c>
      <c r="Q286" s="16" t="n">
        <v>410</v>
      </c>
      <c r="R286" s="16" t="inlineStr">
        <is>
          <t>P/B 8.12 · P/S 27.4 · FCF yld -39% · net debt 10% of mcap · rev -6% · diluting 84%/yr · interest cover -2.9× ⚠</t>
        </is>
      </c>
      <c r="S286" s="16" t="inlineStr"/>
      <c r="T286" s="16" t="inlineStr">
        <is>
          <t>MD&amp;A Intent</t>
        </is>
      </c>
    </row>
    <row r="287">
      <c r="A287" s="6" t="inlineStr">
        <is>
          <t>TFX</t>
        </is>
      </c>
      <c r="B287" s="14" t="inlineStr">
        <is>
          <t>Teleflex Incorporated</t>
        </is>
      </c>
      <c r="C287" s="14" t="inlineStr">
        <is>
          <t>Healthcare</t>
        </is>
      </c>
      <c r="D287" s="14" t="n">
        <v>5478</v>
      </c>
      <c r="E287" s="14" t="n">
        <v>1.89</v>
      </c>
      <c r="F287" s="14" t="n">
        <v>-5.2</v>
      </c>
      <c r="G287" s="14" t="n">
        <v>-33.5</v>
      </c>
      <c r="H287" s="14" t="inlineStr">
        <is>
          <t>7%</t>
        </is>
      </c>
      <c r="I287" s="14" t="inlineStr">
        <is>
          <t>-47%</t>
        </is>
      </c>
      <c r="J287" s="14" t="n">
        <v>-10.8</v>
      </c>
      <c r="K287" s="14" t="inlineStr">
        <is>
          <t>-14%</t>
        </is>
      </c>
      <c r="L287" s="14" t="inlineStr">
        <is>
          <t>3%</t>
        </is>
      </c>
      <c r="M287" s="14" t="inlineStr">
        <is>
          <t>-32%</t>
        </is>
      </c>
      <c r="N287" s="14" t="inlineStr">
        <is>
          <t>-5%</t>
        </is>
      </c>
      <c r="O287" s="14" t="n">
        <v>0.7</v>
      </c>
      <c r="P287" s="14" t="inlineStr">
        <is>
          <t>53%</t>
        </is>
      </c>
      <c r="Q287" s="14" t="n">
        <v>73090</v>
      </c>
      <c r="R287" s="14" t="inlineStr">
        <is>
          <t>P/B 1.89 · P/S 2.1 · FCF yld 7% · net debt 47% of mcap · rev -14% · op margin 3% · buying back 5%/yr · interest cover 0.7× ⚠</t>
        </is>
      </c>
      <c r="S287" s="14" t="inlineStr"/>
      <c r="T287" s="14" t="inlineStr">
        <is>
          <t>MD&amp;A Intent</t>
        </is>
      </c>
    </row>
    <row r="288">
      <c r="A288" s="8" t="inlineStr">
        <is>
          <t>HLI</t>
        </is>
      </c>
      <c r="B288" s="16" t="inlineStr">
        <is>
          <t>Houlihan Lokey, Inc.</t>
        </is>
      </c>
      <c r="C288" s="16" t="inlineStr">
        <is>
          <t>Financial Serv</t>
        </is>
      </c>
      <c r="D288" s="16" t="n">
        <v>9115</v>
      </c>
      <c r="E288" s="16" t="n">
        <v>3.97</v>
      </c>
      <c r="F288" s="16" t="n">
        <v>21.5</v>
      </c>
      <c r="G288" s="16" t="n">
        <v>14.9</v>
      </c>
      <c r="H288" s="16" t="inlineStr">
        <is>
          <t>5%</t>
        </is>
      </c>
      <c r="I288" s="16" t="inlineStr">
        <is>
          <t>7%</t>
        </is>
      </c>
      <c r="J288" s="16" t="n">
        <v>-0.4</v>
      </c>
      <c r="K288" s="16" t="inlineStr">
        <is>
          <t>21%</t>
        </is>
      </c>
      <c r="L288" s="16" t="inlineStr">
        <is>
          <t>22%</t>
        </is>
      </c>
      <c r="M288" s="16" t="inlineStr">
        <is>
          <t>18%</t>
        </is>
      </c>
      <c r="N288" s="16" t="inlineStr">
        <is>
          <t>0%</t>
        </is>
      </c>
      <c r="O288" s="16" t="n">
        <v>0</v>
      </c>
      <c r="P288" s="16" t="inlineStr">
        <is>
          <t>18%</t>
        </is>
      </c>
      <c r="Q288" s="16" t="n">
        <v>108900</v>
      </c>
      <c r="R288" s="16" t="inlineStr">
        <is>
          <t>P/B 3.97 · P/E 21.5 · ROE 18% · div yld 2.0% (financial: book/earnings basis)</t>
        </is>
      </c>
      <c r="S288" s="16" t="inlineStr"/>
      <c r="T288" s="16" t="inlineStr">
        <is>
          <t>MD&amp;A Intent</t>
        </is>
      </c>
    </row>
    <row r="289">
      <c r="A289" s="6" t="inlineStr">
        <is>
          <t>LHX</t>
        </is>
      </c>
      <c r="B289" s="14" t="inlineStr">
        <is>
          <t>L3Harris Technologies,</t>
        </is>
      </c>
      <c r="C289" s="14" t="inlineStr">
        <is>
          <t>Industrials</t>
        </is>
      </c>
      <c r="D289" s="14" t="n">
        <v>44916</v>
      </c>
      <c r="E289" s="14" t="n">
        <v>2.15</v>
      </c>
      <c r="F289" s="14" t="n">
        <v>24</v>
      </c>
      <c r="G289" s="14" t="n">
        <v>14.6</v>
      </c>
      <c r="H289" s="14" t="inlineStr">
        <is>
          <t>6%</t>
        </is>
      </c>
      <c r="I289" s="14" t="inlineStr">
        <is>
          <t>-21%</t>
        </is>
      </c>
      <c r="J289" s="14" t="n">
        <v>2.6</v>
      </c>
      <c r="K289" s="14" t="inlineStr">
        <is>
          <t>7%</t>
        </is>
      </c>
      <c r="L289" s="14" t="inlineStr">
        <is>
          <t>10%</t>
        </is>
      </c>
      <c r="M289" s="14" t="inlineStr">
        <is>
          <t>9%</t>
        </is>
      </c>
      <c r="N289" s="14" t="inlineStr">
        <is>
          <t>0%</t>
        </is>
      </c>
      <c r="O289" s="14" t="n">
        <v>4.1</v>
      </c>
      <c r="P289" s="14" t="inlineStr">
        <is>
          <t>2%</t>
        </is>
      </c>
      <c r="Q289" s="14" t="n">
        <v>361055</v>
      </c>
      <c r="R289" s="14" t="inlineStr">
        <is>
          <t>P/B 2.15 · EV/EBITDA 14.6× · FCF yld 6% · net debt 21% of mcap · rev +7% · op margin 10%</t>
        </is>
      </c>
      <c r="S289" s="14" t="inlineStr"/>
      <c r="T289" s="14" t="inlineStr">
        <is>
          <t>MD&amp;A Intent</t>
        </is>
      </c>
    </row>
    <row r="290">
      <c r="A290" s="8" t="inlineStr">
        <is>
          <t>CD</t>
        </is>
      </c>
      <c r="B290" s="16" t="inlineStr">
        <is>
          <t>Chaince Digital Holdin</t>
        </is>
      </c>
      <c r="C290" s="16" t="inlineStr">
        <is>
          <t>Financial Serv</t>
        </is>
      </c>
      <c r="D290" s="16" t="n">
        <v>336</v>
      </c>
      <c r="E290" s="16" t="n">
        <v>7.19</v>
      </c>
      <c r="F290" s="16" t="n">
        <v>-47.7</v>
      </c>
      <c r="G290" s="16" t="n">
        <v>-81.09999999999999</v>
      </c>
      <c r="H290" s="16" t="inlineStr">
        <is>
          <t>-0%</t>
        </is>
      </c>
      <c r="I290" s="16" t="inlineStr">
        <is>
          <t>13%</t>
        </is>
      </c>
      <c r="J290" s="16" t="n">
        <v>7.8</v>
      </c>
      <c r="K290" s="16" t="inlineStr">
        <is>
          <t>100%</t>
        </is>
      </c>
      <c r="L290" s="16" t="inlineStr">
        <is>
          <t>-202%</t>
        </is>
      </c>
      <c r="M290" s="16" t="inlineStr">
        <is>
          <t>-16%</t>
        </is>
      </c>
      <c r="N290" s="16" t="inlineStr">
        <is>
          <t>23%</t>
        </is>
      </c>
      <c r="O290" s="16" t="n">
        <v>-151.7</v>
      </c>
      <c r="P290" s="16" t="inlineStr">
        <is>
          <t>6%</t>
        </is>
      </c>
      <c r="Q290" s="16" t="n">
        <v>1139</v>
      </c>
      <c r="R290" s="16" t="inlineStr">
        <is>
          <t>P/B 7.19 · ROE -16% · diluting 23%/yr (financial: book/earnings basis)</t>
        </is>
      </c>
      <c r="S290" s="16" t="inlineStr"/>
      <c r="T290" s="16" t="inlineStr">
        <is>
          <t>MD&amp;A Intent</t>
        </is>
      </c>
    </row>
    <row r="291">
      <c r="A291" s="6" t="inlineStr">
        <is>
          <t>EQS</t>
        </is>
      </c>
      <c r="B291" s="14" t="inlineStr">
        <is>
          <t>Equus Total Return Inc</t>
        </is>
      </c>
      <c r="C291" s="14" t="inlineStr">
        <is>
          <t>Financial Serv</t>
        </is>
      </c>
      <c r="D291" s="14" t="n">
        <v>14</v>
      </c>
      <c r="E291" s="14" t="n">
        <v>0.82</v>
      </c>
      <c r="F291" s="14" t="n">
        <v>-0.7</v>
      </c>
      <c r="G291" s="14" t="n">
        <v>-2</v>
      </c>
      <c r="H291" s="14" t="inlineStr">
        <is>
          <t>-37%</t>
        </is>
      </c>
      <c r="I291" s="14" t="inlineStr">
        <is>
          <t>-17%</t>
        </is>
      </c>
      <c r="J291" s="14" t="n">
        <v>-0.3</v>
      </c>
      <c r="K291" s="14" t="n"/>
      <c r="L291" s="14" t="inlineStr">
        <is>
          <t>-572%</t>
        </is>
      </c>
      <c r="M291" s="14" t="inlineStr">
        <is>
          <t>-92%</t>
        </is>
      </c>
      <c r="N291" s="14" t="inlineStr">
        <is>
          <t>3%</t>
        </is>
      </c>
      <c r="O291" s="14" t="n">
        <v>-10.4</v>
      </c>
      <c r="P291" s="14" t="inlineStr">
        <is>
          <t>2%</t>
        </is>
      </c>
      <c r="Q291" s="14" t="n">
        <v>15</v>
      </c>
      <c r="R291" s="14" t="inlineStr">
        <is>
          <t>P/B 0.82 · ROE -92% · diluting 3%/yr (financial: book/earnings basis)</t>
        </is>
      </c>
      <c r="S291" s="14" t="inlineStr"/>
      <c r="T291" s="14" t="inlineStr">
        <is>
          <t>MD&amp;A Intent</t>
        </is>
      </c>
    </row>
    <row r="292">
      <c r="A292" s="8" t="inlineStr">
        <is>
          <t>SCTH</t>
        </is>
      </c>
      <c r="B292" s="16" t="inlineStr">
        <is>
          <t>SecureTech Innovations</t>
        </is>
      </c>
      <c r="C292" s="16" t="inlineStr">
        <is>
          <t>Consumer Cycli</t>
        </is>
      </c>
      <c r="D292" s="16" t="n">
        <v>308</v>
      </c>
      <c r="E292" s="16" t="n">
        <v>31.15</v>
      </c>
      <c r="F292" s="16" t="n">
        <v>-249</v>
      </c>
      <c r="G292" s="16" t="n">
        <v>1439.1</v>
      </c>
      <c r="H292" s="16" t="inlineStr">
        <is>
          <t>-1%</t>
        </is>
      </c>
      <c r="I292" s="16" t="inlineStr">
        <is>
          <t>-2%</t>
        </is>
      </c>
      <c r="J292" s="16" t="n">
        <v>24</v>
      </c>
      <c r="K292" s="16" t="n"/>
      <c r="L292" s="16" t="inlineStr">
        <is>
          <t>-2%</t>
        </is>
      </c>
      <c r="M292" s="16" t="inlineStr">
        <is>
          <t>-11%</t>
        </is>
      </c>
      <c r="N292" s="16" t="inlineStr">
        <is>
          <t>-52%</t>
        </is>
      </c>
      <c r="O292" s="16" t="n">
        <v>-0.6</v>
      </c>
      <c r="P292" s="16" t="inlineStr">
        <is>
          <t>74%</t>
        </is>
      </c>
      <c r="Q292" s="16" t="n">
        <v>105</v>
      </c>
      <c r="R292" s="16" t="inlineStr">
        <is>
          <t>P/B 31.15 · P/S 25.1 · FCF yld -1% · net debt 2% of mcap · op margin -2% · buying back 52%/yr</t>
        </is>
      </c>
      <c r="S292" s="16" t="inlineStr">
        <is>
          <t>revenue not comparable YoY (fair-value / one-off income?)</t>
        </is>
      </c>
      <c r="T292" s="16" t="inlineStr">
        <is>
          <t>MD&amp;A Intent</t>
        </is>
      </c>
    </row>
    <row r="293">
      <c r="A293" s="6" t="inlineStr">
        <is>
          <t>WKC</t>
        </is>
      </c>
      <c r="B293" s="14" t="inlineStr">
        <is>
          <t>World Kinect Corporati</t>
        </is>
      </c>
      <c r="C293" s="14" t="inlineStr">
        <is>
          <t>Energy</t>
        </is>
      </c>
      <c r="D293" s="14" t="n">
        <v>1862</v>
      </c>
      <c r="E293" s="14" t="n">
        <v>1.48</v>
      </c>
      <c r="F293" s="14" t="n">
        <v>-11.3</v>
      </c>
      <c r="G293" s="14" t="n">
        <v>77.90000000000001</v>
      </c>
      <c r="H293" s="14" t="inlineStr">
        <is>
          <t>-1%</t>
        </is>
      </c>
      <c r="I293" s="14" t="inlineStr">
        <is>
          <t>-33%</t>
        </is>
      </c>
      <c r="J293" s="14" t="n">
        <v>19.4</v>
      </c>
      <c r="K293" s="14" t="inlineStr">
        <is>
          <t>8%</t>
        </is>
      </c>
      <c r="L293" s="14" t="inlineStr">
        <is>
          <t>1%</t>
        </is>
      </c>
      <c r="M293" s="14" t="inlineStr">
        <is>
          <t>-13%</t>
        </is>
      </c>
      <c r="N293" s="14" t="inlineStr">
        <is>
          <t>-8%</t>
        </is>
      </c>
      <c r="O293" s="14" t="n">
        <v>-150</v>
      </c>
      <c r="P293" s="14" t="inlineStr">
        <is>
          <t>75%</t>
        </is>
      </c>
      <c r="Q293" s="14" t="n">
        <v>40661</v>
      </c>
      <c r="R293" s="14" t="inlineStr">
        <is>
          <t>P/B 1.48 · EV/EBITDA 77.9× · FCF yld -1% · net debt 33% of mcap · rev +8% · op margin 1% · buying back 8%/yr · interest cover -150.0× ⚠</t>
        </is>
      </c>
      <c r="S293" s="14" t="inlineStr"/>
      <c r="T293" s="14" t="inlineStr">
        <is>
          <t>MD&amp;A Intent</t>
        </is>
      </c>
    </row>
    <row r="294">
      <c r="A294" s="8" t="inlineStr">
        <is>
          <t>RYAM</t>
        </is>
      </c>
      <c r="B294" s="16" t="inlineStr">
        <is>
          <t>Rayonier Advanced Mate</t>
        </is>
      </c>
      <c r="C294" s="16" t="inlineStr">
        <is>
          <t>Basic Material</t>
        </is>
      </c>
      <c r="D294" s="16" t="n">
        <v>628</v>
      </c>
      <c r="E294" s="16" t="n">
        <v>3.22</v>
      </c>
      <c r="F294" s="16" t="n">
        <v>-4.5</v>
      </c>
      <c r="G294" s="16" t="n">
        <v>8.699999999999999</v>
      </c>
      <c r="H294" s="16" t="inlineStr">
        <is>
          <t>-6%</t>
        </is>
      </c>
      <c r="I294" s="16" t="inlineStr">
        <is>
          <t>-114%</t>
        </is>
      </c>
      <c r="J294" s="16" t="n">
        <v>4.7</v>
      </c>
      <c r="K294" s="16" t="inlineStr">
        <is>
          <t>-4%</t>
        </is>
      </c>
      <c r="L294" s="16" t="inlineStr">
        <is>
          <t>-3%</t>
        </is>
      </c>
      <c r="M294" s="16" t="inlineStr">
        <is>
          <t>-52%</t>
        </is>
      </c>
      <c r="N294" s="16" t="inlineStr">
        <is>
          <t>1%</t>
        </is>
      </c>
      <c r="O294" s="16" t="n">
        <v>-0.5</v>
      </c>
      <c r="P294" s="16" t="inlineStr">
        <is>
          <t>61%</t>
        </is>
      </c>
      <c r="Q294" s="16" t="n">
        <v>8625</v>
      </c>
      <c r="R294" s="16" t="inlineStr">
        <is>
          <t>P/B 3.22 · EV/EBITDA 8.7× · FCF yld -6% · net debt 114% of mcap · rev -4% · op margin -3% · interest cover -0.5× ⚠</t>
        </is>
      </c>
      <c r="S294" s="16" t="inlineStr"/>
      <c r="T294" s="16" t="inlineStr">
        <is>
          <t>MD&amp;A Intent</t>
        </is>
      </c>
    </row>
    <row r="295">
      <c r="A295" s="6" t="inlineStr">
        <is>
          <t>HYFM</t>
        </is>
      </c>
      <c r="B295" s="14" t="inlineStr">
        <is>
          <t>Hydrofarm Holdings Gro</t>
        </is>
      </c>
      <c r="C295" s="14" t="inlineStr">
        <is>
          <t>Industrials</t>
        </is>
      </c>
      <c r="D295" s="14" t="n">
        <v>5</v>
      </c>
      <c r="E295" s="14" t="n"/>
      <c r="F295" s="14" t="n">
        <v>-0</v>
      </c>
      <c r="G295" s="14" t="n">
        <v>-0.6</v>
      </c>
      <c r="H295" s="14" t="inlineStr">
        <is>
          <t>-92%</t>
        </is>
      </c>
      <c r="I295" s="14" t="n"/>
      <c r="J295" s="14" t="n">
        <v>-0.6</v>
      </c>
      <c r="K295" s="14" t="inlineStr">
        <is>
          <t>-34%</t>
        </is>
      </c>
      <c r="L295" s="14" t="inlineStr">
        <is>
          <t>-30%</t>
        </is>
      </c>
      <c r="M295" s="14" t="inlineStr">
        <is>
          <t>2176%</t>
        </is>
      </c>
      <c r="N295" s="14" t="inlineStr">
        <is>
          <t>3%</t>
        </is>
      </c>
      <c r="O295" s="14" t="n">
        <v>-2</v>
      </c>
      <c r="P295" s="14" t="inlineStr">
        <is>
          <t>16%</t>
        </is>
      </c>
      <c r="Q295" s="14" t="n">
        <v>1849</v>
      </c>
      <c r="R295" s="14" t="inlineStr">
        <is>
          <t>P/S 0.0 · FCF yld -92% · rev -34% · op margin -30% · diluting 3%/yr</t>
        </is>
      </c>
      <c r="S295" s="14" t="inlineStr">
        <is>
          <t>negative equity</t>
        </is>
      </c>
      <c r="T295" s="14" t="inlineStr">
        <is>
          <t>MD&amp;A Intent</t>
        </is>
      </c>
    </row>
    <row r="296">
      <c r="A296" s="8" t="inlineStr">
        <is>
          <t>GORO</t>
        </is>
      </c>
      <c r="B296" s="16" t="inlineStr">
        <is>
          <t>Goldgroup Mining Inc.</t>
        </is>
      </c>
      <c r="C296" s="16" t="inlineStr">
        <is>
          <t>Basic Material</t>
        </is>
      </c>
      <c r="D296" s="16" t="n">
        <v>262</v>
      </c>
      <c r="E296" s="16" t="n"/>
      <c r="F296" s="16" t="n">
        <v>62.4</v>
      </c>
      <c r="G296" s="16" t="n">
        <v>6.2</v>
      </c>
      <c r="H296" s="16" t="inlineStr">
        <is>
          <t>5%</t>
        </is>
      </c>
      <c r="I296" s="16" t="n"/>
      <c r="J296" s="16" t="n">
        <v>-0.4</v>
      </c>
      <c r="K296" s="16" t="inlineStr">
        <is>
          <t>177%</t>
        </is>
      </c>
      <c r="L296" s="16" t="inlineStr">
        <is>
          <t>31%</t>
        </is>
      </c>
      <c r="M296" s="16" t="inlineStr">
        <is>
          <t>42%</t>
        </is>
      </c>
      <c r="N296" s="16" t="inlineStr">
        <is>
          <t>-43%</t>
        </is>
      </c>
      <c r="O296" s="16" t="n">
        <v>-14.3</v>
      </c>
      <c r="P296" s="16" t="inlineStr">
        <is>
          <t>34%</t>
        </is>
      </c>
      <c r="Q296" s="16" t="n">
        <v>2850</v>
      </c>
      <c r="R296" s="16" t="inlineStr">
        <is>
          <t>EV/EBITDA 6.2× · FCF yld 5% · rev +177% · op margin 31% · buying back 43%/yr</t>
        </is>
      </c>
      <c r="S296" s="16" t="inlineStr">
        <is>
          <t>negative equity</t>
        </is>
      </c>
      <c r="T296" s="16" t="inlineStr">
        <is>
          <t>MD&amp;A Intent</t>
        </is>
      </c>
    </row>
    <row r="297">
      <c r="A297" s="6" t="inlineStr">
        <is>
          <t>HLLY</t>
        </is>
      </c>
      <c r="B297" s="14" t="inlineStr">
        <is>
          <t>Holley Inc.</t>
        </is>
      </c>
      <c r="C297" s="14" t="inlineStr">
        <is>
          <t>Consumer Cycli</t>
        </is>
      </c>
      <c r="D297" s="14" t="n">
        <v>302</v>
      </c>
      <c r="E297" s="14" t="n">
        <v>0.67</v>
      </c>
      <c r="F297" s="14" t="n">
        <v>28.7</v>
      </c>
      <c r="G297" s="14" t="n">
        <v>8.9</v>
      </c>
      <c r="H297" s="14" t="inlineStr">
        <is>
          <t>12%</t>
        </is>
      </c>
      <c r="I297" s="14" t="inlineStr">
        <is>
          <t>-154%</t>
        </is>
      </c>
      <c r="J297" s="14" t="n">
        <v>5.5</v>
      </c>
      <c r="K297" s="14" t="inlineStr">
        <is>
          <t>3%</t>
        </is>
      </c>
      <c r="L297" s="14" t="inlineStr">
        <is>
          <t>9%</t>
        </is>
      </c>
      <c r="M297" s="14" t="inlineStr">
        <is>
          <t>2%</t>
        </is>
      </c>
      <c r="N297" s="14" t="inlineStr">
        <is>
          <t>0%</t>
        </is>
      </c>
      <c r="O297" s="14" t="n">
        <v>1.4</v>
      </c>
      <c r="P297" s="14" t="inlineStr">
        <is>
          <t>8%</t>
        </is>
      </c>
      <c r="Q297" s="14" t="n">
        <v>2493</v>
      </c>
      <c r="R297" s="14" t="inlineStr">
        <is>
          <t>P/B 0.67 · EV/EBITDA 8.9× · FCF yld 12% · net debt 154% of mcap · rev +3% · op margin 9% · interest cover 1.4× ⚠</t>
        </is>
      </c>
      <c r="S297" s="14" t="inlineStr"/>
      <c r="T297" s="14" t="inlineStr">
        <is>
          <t>MD&amp;A Intent</t>
        </is>
      </c>
    </row>
    <row r="298">
      <c r="A298" s="8" t="inlineStr">
        <is>
          <t>M</t>
        </is>
      </c>
      <c r="B298" s="16" t="inlineStr">
        <is>
          <t>Macy's, Inc.</t>
        </is>
      </c>
      <c r="C298" s="16" t="inlineStr">
        <is>
          <t>Consumer Cycli</t>
        </is>
      </c>
      <c r="D298" s="16" t="n">
        <v>5964</v>
      </c>
      <c r="E298" s="16" t="n">
        <v>1.21</v>
      </c>
      <c r="F298" s="16" t="n">
        <v>8</v>
      </c>
      <c r="G298" s="16" t="n">
        <v>4.7</v>
      </c>
      <c r="H298" s="16" t="inlineStr">
        <is>
          <t>25%</t>
        </is>
      </c>
      <c r="I298" s="16" t="inlineStr">
        <is>
          <t>-64%</t>
        </is>
      </c>
      <c r="J298" s="16" t="n">
        <v>1.9</v>
      </c>
      <c r="K298" s="16" t="inlineStr">
        <is>
          <t>0%</t>
        </is>
      </c>
      <c r="L298" s="16" t="inlineStr">
        <is>
          <t>5%</t>
        </is>
      </c>
      <c r="M298" s="16" t="inlineStr">
        <is>
          <t>16%</t>
        </is>
      </c>
      <c r="N298" s="16" t="inlineStr">
        <is>
          <t>-2%</t>
        </is>
      </c>
      <c r="O298" s="16" t="n">
        <v>12</v>
      </c>
      <c r="P298" s="16" t="inlineStr">
        <is>
          <t>62%</t>
        </is>
      </c>
      <c r="Q298" s="16" t="n">
        <v>140289</v>
      </c>
      <c r="R298" s="16" t="inlineStr">
        <is>
          <t>P/B 1.21 · EV/EBITDA 4.7× · FCF yld 25% · net debt 64% of mcap · rev +0% · op margin 5% · buying back 2%/yr</t>
        </is>
      </c>
      <c r="S298" s="16" t="inlineStr"/>
      <c r="T298" s="16" t="inlineStr">
        <is>
          <t>MD&amp;A Intent</t>
        </is>
      </c>
    </row>
    <row r="299">
      <c r="A299" s="6" t="inlineStr">
        <is>
          <t>SCYX</t>
        </is>
      </c>
      <c r="B299" s="14" t="inlineStr">
        <is>
          <t>SCYNEXIS, Inc.</t>
        </is>
      </c>
      <c r="C299" s="14" t="inlineStr">
        <is>
          <t>Healthcare</t>
        </is>
      </c>
      <c r="D299" s="14" t="n">
        <v>30</v>
      </c>
      <c r="E299" s="14" t="n">
        <v>0.44</v>
      </c>
      <c r="F299" s="14" t="n">
        <v>-2.5</v>
      </c>
      <c r="G299" s="14" t="n">
        <v>-2</v>
      </c>
      <c r="H299" s="14" t="inlineStr">
        <is>
          <t>-46%</t>
        </is>
      </c>
      <c r="I299" s="14" t="inlineStr">
        <is>
          <t>176%</t>
        </is>
      </c>
      <c r="J299" s="14" t="n">
        <v>0.8</v>
      </c>
      <c r="K299" s="14" t="n"/>
      <c r="L299" s="14" t="inlineStr">
        <is>
          <t>-118%</t>
        </is>
      </c>
      <c r="M299" s="14" t="inlineStr">
        <is>
          <t>-21%</t>
        </is>
      </c>
      <c r="N299" s="14" t="inlineStr">
        <is>
          <t>90%</t>
        </is>
      </c>
      <c r="O299" s="14" t="n">
        <v>0</v>
      </c>
      <c r="P299" s="14" t="inlineStr">
        <is>
          <t>21%</t>
        </is>
      </c>
      <c r="Q299" s="14" t="n">
        <v>572</v>
      </c>
      <c r="R299" s="14" t="inlineStr">
        <is>
          <t>P/B 0.44 · P/S 1.5 · FCF yld -46% · net cash 176% of mcap · op margin -118% · diluting 90%/yr</t>
        </is>
      </c>
      <c r="S299" s="14" t="inlineStr">
        <is>
          <t>revenue not comparable YoY (fair-value / one-off income?)</t>
        </is>
      </c>
      <c r="T299" s="14" t="inlineStr">
        <is>
          <t>MD&amp;A Intent</t>
        </is>
      </c>
    </row>
    <row r="300">
      <c r="A300" s="8" t="inlineStr">
        <is>
          <t>SENS</t>
        </is>
      </c>
      <c r="B300" s="16" t="inlineStr">
        <is>
          <t>Senseonics Holdings, I</t>
        </is>
      </c>
      <c r="C300" s="16" t="inlineStr">
        <is>
          <t>Healthcare</t>
        </is>
      </c>
      <c r="D300" s="16" t="n">
        <v>415</v>
      </c>
      <c r="E300" s="16" t="n">
        <v>4.6</v>
      </c>
      <c r="F300" s="16" t="n">
        <v>-4.4</v>
      </c>
      <c r="G300" s="16" t="n">
        <v>-4.2</v>
      </c>
      <c r="H300" s="16" t="inlineStr">
        <is>
          <t>-23%</t>
        </is>
      </c>
      <c r="I300" s="16" t="inlineStr">
        <is>
          <t>19%</t>
        </is>
      </c>
      <c r="J300" s="16" t="n">
        <v>-0.2</v>
      </c>
      <c r="K300" s="16" t="inlineStr">
        <is>
          <t>91%</t>
        </is>
      </c>
      <c r="L300" s="16" t="inlineStr">
        <is>
          <t>-223%</t>
        </is>
      </c>
      <c r="M300" s="16" t="inlineStr">
        <is>
          <t>-166%</t>
        </is>
      </c>
      <c r="N300" s="16" t="inlineStr">
        <is>
          <t>94%</t>
        </is>
      </c>
      <c r="O300" s="16" t="n">
        <v>-21</v>
      </c>
      <c r="P300" s="16" t="inlineStr">
        <is>
          <t>76%</t>
        </is>
      </c>
      <c r="Q300" s="16" t="n">
        <v>6978</v>
      </c>
      <c r="R300" s="16" t="inlineStr">
        <is>
          <t>P/B 4.60 · P/S 8.6 · FCF yld -23% · net cash 19% of mcap · rev +91% · op margin -223% · diluting 94%/yr</t>
        </is>
      </c>
      <c r="S300" s="16" t="inlineStr"/>
      <c r="T300" s="16" t="inlineStr">
        <is>
          <t>MD&amp;A Intent</t>
        </is>
      </c>
    </row>
    <row r="301">
      <c r="A301" s="6" t="inlineStr">
        <is>
          <t>COTY</t>
        </is>
      </c>
      <c r="B301" s="14" t="inlineStr">
        <is>
          <t>Coty Inc.</t>
        </is>
      </c>
      <c r="C301" s="14" t="inlineStr">
        <is>
          <t>Consumer Defen</t>
        </is>
      </c>
      <c r="D301" s="14" t="n">
        <v>2311</v>
      </c>
      <c r="E301" s="14" t="n">
        <v>0.75</v>
      </c>
      <c r="F301" s="14" t="n">
        <v>-3.8</v>
      </c>
      <c r="G301" s="14" t="n">
        <v>67.59999999999999</v>
      </c>
      <c r="H301" s="14" t="inlineStr">
        <is>
          <t>15%</t>
        </is>
      </c>
      <c r="I301" s="14" t="inlineStr">
        <is>
          <t>-143%</t>
        </is>
      </c>
      <c r="J301" s="14" t="n">
        <v>39.6</v>
      </c>
      <c r="K301" s="14" t="inlineStr">
        <is>
          <t>-5%</t>
        </is>
      </c>
      <c r="L301" s="14" t="inlineStr">
        <is>
          <t>5%</t>
        </is>
      </c>
      <c r="M301" s="14" t="inlineStr">
        <is>
          <t>-18%</t>
        </is>
      </c>
      <c r="N301" s="14" t="inlineStr">
        <is>
          <t>0%</t>
        </is>
      </c>
      <c r="O301" s="14" t="n">
        <v>1.4</v>
      </c>
      <c r="P301" s="14" t="inlineStr">
        <is>
          <t>30%</t>
        </is>
      </c>
      <c r="Q301" s="14" t="n">
        <v>26670</v>
      </c>
      <c r="R301" s="14" t="inlineStr">
        <is>
          <t>P/B 0.75 · EV/EBITDA 67.6× · FCF yld 15% · net debt 143% of mcap · rev -5% · op margin 5% · interest cover 1.4× ⚠</t>
        </is>
      </c>
      <c r="S301" s="14" t="inlineStr"/>
      <c r="T301" s="14" t="inlineStr">
        <is>
          <t>MD&amp;A Intent</t>
        </is>
      </c>
    </row>
    <row r="302">
      <c r="A302" s="8" t="inlineStr">
        <is>
          <t>FULC</t>
        </is>
      </c>
      <c r="B302" s="16" t="inlineStr">
        <is>
          <t xml:space="preserve">Fulcrum Therapeutics, </t>
        </is>
      </c>
      <c r="C302" s="16" t="inlineStr">
        <is>
          <t>Healthcare</t>
        </is>
      </c>
      <c r="D302" s="16" t="n">
        <v>292</v>
      </c>
      <c r="E302" s="16" t="n">
        <v>0.9399999999999999</v>
      </c>
      <c r="F302" s="16" t="n">
        <v>-3.2</v>
      </c>
      <c r="G302" s="16" t="n">
        <v>-3.2</v>
      </c>
      <c r="H302" s="16" t="inlineStr">
        <is>
          <t>-23%</t>
        </is>
      </c>
      <c r="I302" s="16" t="inlineStr">
        <is>
          <t>107%</t>
        </is>
      </c>
      <c r="J302" s="16" t="n">
        <v>0.6</v>
      </c>
      <c r="K302" s="16" t="n"/>
      <c r="L302" s="16" t="inlineStr">
        <is>
          <t>0%</t>
        </is>
      </c>
      <c r="M302" s="16" t="inlineStr">
        <is>
          <t>-29%</t>
        </is>
      </c>
      <c r="N302" s="16" t="inlineStr">
        <is>
          <t>22%</t>
        </is>
      </c>
      <c r="O302" s="16" t="n">
        <v>0</v>
      </c>
      <c r="P302" s="16" t="inlineStr">
        <is>
          <t>8%</t>
        </is>
      </c>
      <c r="Q302" s="16" t="n">
        <v>8692</v>
      </c>
      <c r="R302" s="16" t="inlineStr">
        <is>
          <t>P/B 0.94 · P/S 0.0 · FCF yld -23% · net cash 107% of mcap · op margin 0% · diluting 22%/yr</t>
        </is>
      </c>
      <c r="S302" s="16" t="inlineStr"/>
      <c r="T302" s="16" t="inlineStr">
        <is>
          <t>MD&amp;A Intent</t>
        </is>
      </c>
    </row>
    <row r="303">
      <c r="A303" s="6" t="inlineStr">
        <is>
          <t>AGPU</t>
        </is>
      </c>
      <c r="B303" s="14" t="inlineStr">
        <is>
          <t>Axe Compute Inc.</t>
        </is>
      </c>
      <c r="C303" s="14" t="inlineStr">
        <is>
          <t>Technology</t>
        </is>
      </c>
      <c r="D303" s="14" t="n">
        <v>134</v>
      </c>
      <c r="E303" s="14" t="n">
        <v>3.94</v>
      </c>
      <c r="F303" s="14" t="n">
        <v>-0.1</v>
      </c>
      <c r="G303" s="14" t="n">
        <v>-0.5</v>
      </c>
      <c r="H303" s="14" t="inlineStr">
        <is>
          <t>-4%</t>
        </is>
      </c>
      <c r="I303" s="14" t="inlineStr">
        <is>
          <t>15%</t>
        </is>
      </c>
      <c r="J303" s="14" t="n">
        <v>0.1</v>
      </c>
      <c r="K303" s="14" t="n"/>
      <c r="L303" s="14" t="inlineStr">
        <is>
          <t>-954%</t>
        </is>
      </c>
      <c r="M303" s="14" t="inlineStr">
        <is>
          <t>-2273%</t>
        </is>
      </c>
      <c r="N303" s="14" t="n"/>
      <c r="O303" s="14" t="n">
        <v>0</v>
      </c>
      <c r="P303" s="14" t="inlineStr">
        <is>
          <t>34%</t>
        </is>
      </c>
      <c r="Q303" s="14" t="n">
        <v>4824</v>
      </c>
      <c r="R303" s="14" t="inlineStr">
        <is>
          <t>P/B 3.94 · P/S 41.5 · FCF yld -4% · net cash 15% of mcap</t>
        </is>
      </c>
      <c r="S303" s="14" t="inlineStr">
        <is>
          <t>new entity / merger: history not comparable</t>
        </is>
      </c>
      <c r="T303" s="14" t="inlineStr">
        <is>
          <t>MD&amp;A Intent</t>
        </is>
      </c>
    </row>
    <row r="304">
      <c r="A304" s="8" t="inlineStr">
        <is>
          <t>EGY</t>
        </is>
      </c>
      <c r="B304" s="16" t="inlineStr">
        <is>
          <t>VAALCO Energy, Inc.</t>
        </is>
      </c>
      <c r="C304" s="16" t="inlineStr">
        <is>
          <t>Energy</t>
        </is>
      </c>
      <c r="D304" s="16" t="n">
        <v>610</v>
      </c>
      <c r="E304" s="16" t="n">
        <v>1.6</v>
      </c>
      <c r="F304" s="16" t="n">
        <v>-5.5</v>
      </c>
      <c r="G304" s="16" t="n">
        <v>47</v>
      </c>
      <c r="H304" s="16" t="inlineStr">
        <is>
          <t>-41%</t>
        </is>
      </c>
      <c r="I304" s="16" t="inlineStr">
        <is>
          <t>-6%</t>
        </is>
      </c>
      <c r="J304" s="16" t="n">
        <v>2.6</v>
      </c>
      <c r="K304" s="16" t="inlineStr">
        <is>
          <t>-30%</t>
        </is>
      </c>
      <c r="L304" s="16" t="inlineStr">
        <is>
          <t>9%</t>
        </is>
      </c>
      <c r="M304" s="16" t="inlineStr">
        <is>
          <t>-26%</t>
        </is>
      </c>
      <c r="N304" s="16" t="inlineStr">
        <is>
          <t>1%</t>
        </is>
      </c>
      <c r="O304" s="16" t="n">
        <v>6</v>
      </c>
      <c r="P304" s="16" t="inlineStr">
        <is>
          <t>74%</t>
        </is>
      </c>
      <c r="Q304" s="16" t="n">
        <v>7717</v>
      </c>
      <c r="R304" s="16" t="inlineStr">
        <is>
          <t>P/B 1.60 · EV/EBITDA 47.0× · FCF yld -41% · net debt 6% of mcap · rev -30% · op margin 9%</t>
        </is>
      </c>
      <c r="S304" s="16" t="inlineStr"/>
      <c r="T304" s="16" t="inlineStr">
        <is>
          <t>MD&amp;A Intent</t>
        </is>
      </c>
    </row>
    <row r="305">
      <c r="A305" s="6" t="inlineStr">
        <is>
          <t>GCO</t>
        </is>
      </c>
      <c r="B305" s="14" t="inlineStr">
        <is>
          <t>Genesco Inc.</t>
        </is>
      </c>
      <c r="C305" s="14" t="inlineStr">
        <is>
          <t>Consumer Cycli</t>
        </is>
      </c>
      <c r="D305" s="14" t="n">
        <v>387</v>
      </c>
      <c r="E305" s="14" t="n">
        <v>0.75</v>
      </c>
      <c r="F305" s="14" t="n">
        <v>8.4</v>
      </c>
      <c r="G305" s="14" t="n">
        <v>11.2</v>
      </c>
      <c r="H305" s="14" t="inlineStr">
        <is>
          <t>36%</t>
        </is>
      </c>
      <c r="I305" s="14" t="inlineStr">
        <is>
          <t>-152%</t>
        </is>
      </c>
      <c r="J305" s="14" t="n">
        <v>6.5</v>
      </c>
      <c r="K305" s="14" t="inlineStr">
        <is>
          <t>3%</t>
        </is>
      </c>
      <c r="L305" s="14" t="inlineStr">
        <is>
          <t>1%</t>
        </is>
      </c>
      <c r="M305" s="14" t="inlineStr">
        <is>
          <t>8%</t>
        </is>
      </c>
      <c r="N305" s="14" t="inlineStr">
        <is>
          <t>-5%</t>
        </is>
      </c>
      <c r="O305" s="14" t="n">
        <v>11.2</v>
      </c>
      <c r="P305" s="14" t="inlineStr">
        <is>
          <t>60%</t>
        </is>
      </c>
      <c r="Q305" s="14" t="n">
        <v>7322</v>
      </c>
      <c r="R305" s="14" t="inlineStr">
        <is>
          <t>P/B 0.75 · EV/EBITDA 11.2× · FCF yld 36% · net debt 152% of mcap · rev +3% · op margin 1% · buying back 5%/yr</t>
        </is>
      </c>
      <c r="S305" s="14" t="inlineStr"/>
      <c r="T305" s="14" t="inlineStr">
        <is>
          <t>MD&amp;A Intent</t>
        </is>
      </c>
    </row>
    <row r="306">
      <c r="A306" s="8" t="inlineStr">
        <is>
          <t>HOFT</t>
        </is>
      </c>
      <c r="B306" s="16" t="inlineStr">
        <is>
          <t>Hooker Furnishings Cor</t>
        </is>
      </c>
      <c r="C306" s="16" t="inlineStr">
        <is>
          <t>Consumer Cycli</t>
        </is>
      </c>
      <c r="D306" s="16" t="n">
        <v>143</v>
      </c>
      <c r="E306" s="16" t="n">
        <v>0.84</v>
      </c>
      <c r="F306" s="16" t="n">
        <v>-8</v>
      </c>
      <c r="G306" s="16" t="n">
        <v>-19.9</v>
      </c>
      <c r="H306" s="16" t="inlineStr">
        <is>
          <t>17%</t>
        </is>
      </c>
      <c r="I306" s="16" t="inlineStr">
        <is>
          <t>-20%</t>
        </is>
      </c>
      <c r="J306" s="16" t="n">
        <v>-0.7</v>
      </c>
      <c r="K306" s="16" t="inlineStr">
        <is>
          <t>-6%</t>
        </is>
      </c>
      <c r="L306" s="16" t="inlineStr">
        <is>
          <t>-5%</t>
        </is>
      </c>
      <c r="M306" s="16" t="inlineStr">
        <is>
          <t>-11%</t>
        </is>
      </c>
      <c r="N306" s="16" t="inlineStr">
        <is>
          <t>1%</t>
        </is>
      </c>
      <c r="O306" s="16" t="n">
        <v>-28.2</v>
      </c>
      <c r="P306" s="16" t="inlineStr">
        <is>
          <t>49%</t>
        </is>
      </c>
      <c r="Q306" s="16" t="n">
        <v>812</v>
      </c>
      <c r="R306" s="16" t="inlineStr">
        <is>
          <t>P/B 0.84 · P/S 0.5 · FCF yld 17% · net debt 20% of mcap · rev -6% · op margin -5% · interest cover -28.2× ⚠</t>
        </is>
      </c>
      <c r="S306" s="16" t="inlineStr"/>
      <c r="T306" s="16" t="inlineStr">
        <is>
          <t>MD&amp;A Intent</t>
        </is>
      </c>
    </row>
    <row r="307">
      <c r="A307" s="6" t="inlineStr">
        <is>
          <t>KUST</t>
        </is>
      </c>
      <c r="B307" s="14" t="inlineStr">
        <is>
          <t xml:space="preserve">Kustom Entertainment, </t>
        </is>
      </c>
      <c r="C307" s="14" t="inlineStr">
        <is>
          <t xml:space="preserve">Communication </t>
        </is>
      </c>
      <c r="D307" s="14" t="n">
        <v>1</v>
      </c>
      <c r="E307" s="14" t="n">
        <v>0.36</v>
      </c>
      <c r="F307" s="14" t="n">
        <v>-0</v>
      </c>
      <c r="G307" s="14" t="n">
        <v>-0.2</v>
      </c>
      <c r="H307" s="14" t="n"/>
      <c r="I307" s="14" t="inlineStr">
        <is>
          <t>-133%</t>
        </is>
      </c>
      <c r="J307" s="14" t="n">
        <v>-0.1</v>
      </c>
      <c r="K307" s="14" t="inlineStr">
        <is>
          <t>-28%</t>
        </is>
      </c>
      <c r="L307" s="14" t="inlineStr">
        <is>
          <t>-79%</t>
        </is>
      </c>
      <c r="M307" s="14" t="inlineStr">
        <is>
          <t>-346%</t>
        </is>
      </c>
      <c r="N307" s="14" t="n"/>
      <c r="O307" s="14" t="n">
        <v>-32</v>
      </c>
      <c r="P307" s="14" t="inlineStr">
        <is>
          <t>0%</t>
        </is>
      </c>
      <c r="Q307" s="14" t="n">
        <v>4254</v>
      </c>
      <c r="R307" s="14" t="inlineStr">
        <is>
          <t>P/B 0.36 · P/S 0.1 · net debt 133% of mcap · rev -28% · op margin -79% · interest cover -32.0× ⚠</t>
        </is>
      </c>
      <c r="S307" s="14" t="inlineStr">
        <is>
          <t>FCF yield &gt;100% (check)</t>
        </is>
      </c>
      <c r="T307" s="14" t="inlineStr">
        <is>
          <t>MD&amp;A Intent</t>
        </is>
      </c>
    </row>
    <row r="308">
      <c r="A308" s="8" t="inlineStr">
        <is>
          <t>AERA</t>
        </is>
      </c>
      <c r="B308" s="16" t="inlineStr">
        <is>
          <t>AI Era Corp.</t>
        </is>
      </c>
      <c r="C308" s="16" t="inlineStr">
        <is>
          <t xml:space="preserve">Communication </t>
        </is>
      </c>
      <c r="D308" s="16" t="n">
        <v>0</v>
      </c>
      <c r="E308" s="16" t="n">
        <v>0.17</v>
      </c>
      <c r="F308" s="16" t="n">
        <v>-1.3</v>
      </c>
      <c r="G308" s="16" t="n">
        <v>0.2</v>
      </c>
      <c r="H308" s="16" t="n"/>
      <c r="I308" s="16" t="inlineStr">
        <is>
          <t>-102%</t>
        </is>
      </c>
      <c r="J308" s="16" t="n">
        <v>0.1</v>
      </c>
      <c r="K308" s="16" t="inlineStr">
        <is>
          <t>172%</t>
        </is>
      </c>
      <c r="L308" s="16" t="inlineStr">
        <is>
          <t>33%</t>
        </is>
      </c>
      <c r="M308" s="16" t="inlineStr">
        <is>
          <t>-8%</t>
        </is>
      </c>
      <c r="N308" s="16" t="n"/>
      <c r="O308" s="16" t="n">
        <v>11.5</v>
      </c>
      <c r="P308" s="16" t="inlineStr">
        <is>
          <t>4%</t>
        </is>
      </c>
      <c r="Q308" s="16" t="n">
        <v>1</v>
      </c>
      <c r="R308" s="16" t="inlineStr">
        <is>
          <t>P/B 0.17 · EV/EBITDA 0.2× · net debt 102% of mcap · rev +172% · op margin 33%</t>
        </is>
      </c>
      <c r="S308" s="16" t="inlineStr">
        <is>
          <t>FCF yield &gt;100% (check)</t>
        </is>
      </c>
      <c r="T308" s="16" t="inlineStr">
        <is>
          <t>Payoff Geometry</t>
        </is>
      </c>
    </row>
    <row r="309">
      <c r="A309" s="6" t="inlineStr">
        <is>
          <t>CIIT</t>
        </is>
      </c>
      <c r="B309" s="14" t="inlineStr">
        <is>
          <t xml:space="preserve">Tianci International, </t>
        </is>
      </c>
      <c r="C309" s="14" t="inlineStr">
        <is>
          <t>Industrials</t>
        </is>
      </c>
      <c r="D309" s="14" t="n">
        <v>1</v>
      </c>
      <c r="E309" s="14" t="n">
        <v>0.28</v>
      </c>
      <c r="F309" s="14" t="n">
        <v>-0.3</v>
      </c>
      <c r="G309" s="14" t="n">
        <v>-0.1</v>
      </c>
      <c r="H309" s="14" t="n"/>
      <c r="I309" s="14" t="inlineStr">
        <is>
          <t>87%</t>
        </is>
      </c>
      <c r="J309" s="14" t="n">
        <v>0.3</v>
      </c>
      <c r="K309" s="14" t="inlineStr">
        <is>
          <t>26%</t>
        </is>
      </c>
      <c r="L309" s="14" t="inlineStr">
        <is>
          <t>-15%</t>
        </is>
      </c>
      <c r="M309" s="14" t="inlineStr">
        <is>
          <t>-77%</t>
        </is>
      </c>
      <c r="N309" s="14" t="n"/>
      <c r="O309" s="14" t="n">
        <v>0</v>
      </c>
      <c r="P309" s="14" t="inlineStr">
        <is>
          <t>0%</t>
        </is>
      </c>
      <c r="Q309" s="14" t="n">
        <v>1483</v>
      </c>
      <c r="R309" s="14" t="inlineStr">
        <is>
          <t>P/B 0.28 · P/S 0.1 · net cash 87% of mcap · rev +26% · op margin -15%</t>
        </is>
      </c>
      <c r="S309" s="14" t="inlineStr">
        <is>
          <t>FCF yield &gt;100% (check); share-count history inconsistent (foreign line)</t>
        </is>
      </c>
      <c r="T309" s="14" t="inlineStr">
        <is>
          <t>Payoff Geometry</t>
        </is>
      </c>
    </row>
    <row r="310">
      <c r="A310" s="8" t="inlineStr">
        <is>
          <t>GTEC</t>
        </is>
      </c>
      <c r="B310" s="16" t="inlineStr">
        <is>
          <t>Greenland Technologies</t>
        </is>
      </c>
      <c r="C310" s="16" t="inlineStr">
        <is>
          <t>Industrials</t>
        </is>
      </c>
      <c r="D310" s="16" t="n">
        <v>31</v>
      </c>
      <c r="E310" s="16" t="n">
        <v>0.35</v>
      </c>
      <c r="F310" s="16" t="n">
        <v>1.9</v>
      </c>
      <c r="G310" s="16" t="n">
        <v>1.8</v>
      </c>
      <c r="H310" s="16" t="inlineStr">
        <is>
          <t>48%</t>
        </is>
      </c>
      <c r="I310" s="16" t="inlineStr">
        <is>
          <t>48%</t>
        </is>
      </c>
      <c r="J310" s="16" t="n">
        <v>0.5</v>
      </c>
      <c r="K310" s="16" t="inlineStr">
        <is>
          <t>26%</t>
        </is>
      </c>
      <c r="L310" s="16" t="inlineStr">
        <is>
          <t>16%</t>
        </is>
      </c>
      <c r="M310" s="16" t="inlineStr">
        <is>
          <t>16%</t>
        </is>
      </c>
      <c r="N310" s="16" t="inlineStr">
        <is>
          <t>65%</t>
        </is>
      </c>
      <c r="O310" s="16" t="n">
        <v>107.7</v>
      </c>
      <c r="P310" s="16" t="inlineStr">
        <is>
          <t>62%</t>
        </is>
      </c>
      <c r="Q310" s="16" t="n">
        <v>412</v>
      </c>
      <c r="R310" s="16" t="inlineStr">
        <is>
          <t>P/B 0.35 · EV/EBITDA 1.8× · FCF yld 48% · net cash 48% of mcap · rev +26% · op margin 16% · diluting 65%/yr</t>
        </is>
      </c>
      <c r="S310" s="16" t="inlineStr"/>
      <c r="T310" s="16" t="inlineStr">
        <is>
          <t>Payoff Geometry</t>
        </is>
      </c>
    </row>
    <row r="311">
      <c r="A311" s="6" t="inlineStr">
        <is>
          <t>VSECU</t>
        </is>
      </c>
      <c r="B311" s="14" t="inlineStr">
        <is>
          <t>VSE Corporation</t>
        </is>
      </c>
      <c r="C311" s="14" t="inlineStr">
        <is>
          <t>Industrials</t>
        </is>
      </c>
      <c r="D311" s="14" t="n">
        <v>1067</v>
      </c>
      <c r="E311" s="14" t="n">
        <v>0.36</v>
      </c>
      <c r="F311" s="14" t="n">
        <v>65</v>
      </c>
      <c r="G311" s="14" t="n">
        <v>33.6</v>
      </c>
      <c r="H311" s="14" t="inlineStr">
        <is>
          <t>-0%</t>
        </is>
      </c>
      <c r="I311" s="14" t="inlineStr">
        <is>
          <t>-89%</t>
        </is>
      </c>
      <c r="J311" s="14" t="n">
        <v>5.4</v>
      </c>
      <c r="K311" s="14" t="inlineStr">
        <is>
          <t>32%</t>
        </is>
      </c>
      <c r="L311" s="14" t="inlineStr">
        <is>
          <t>11%</t>
        </is>
      </c>
      <c r="M311" s="14" t="inlineStr">
        <is>
          <t>4%</t>
        </is>
      </c>
      <c r="N311" s="14" t="inlineStr">
        <is>
          <t>51%</t>
        </is>
      </c>
      <c r="O311" s="14" t="n">
        <v>16</v>
      </c>
      <c r="P311" s="14" t="inlineStr">
        <is>
          <t>28%</t>
        </is>
      </c>
      <c r="Q311" s="14" t="n">
        <v>2143</v>
      </c>
      <c r="R311" s="14" t="inlineStr">
        <is>
          <t>P/B 0.36 · EV/EBITDA 33.6× · FCF yld -0% · net debt 89% of mcap · rev +32% · op margin 11% · diluting 51%/yr</t>
        </is>
      </c>
      <c r="S311" s="14" t="inlineStr"/>
      <c r="T311" s="14" t="inlineStr">
        <is>
          <t>Payoff Geometry</t>
        </is>
      </c>
    </row>
    <row r="312">
      <c r="A312" s="8" t="inlineStr">
        <is>
          <t>DDT</t>
        </is>
      </c>
      <c r="B312" s="16" t="inlineStr">
        <is>
          <t>Dillards Capital Trust</t>
        </is>
      </c>
      <c r="C312" s="16" t="inlineStr">
        <is>
          <t>Consumer Cycli</t>
        </is>
      </c>
      <c r="D312" s="16" t="n">
        <v>414</v>
      </c>
      <c r="E312" s="16" t="n">
        <v>0.15</v>
      </c>
      <c r="F312" s="16" t="n">
        <v>14.8</v>
      </c>
      <c r="G312" s="16" t="n">
        <v>10</v>
      </c>
      <c r="H312" s="16" t="inlineStr">
        <is>
          <t>6%</t>
        </is>
      </c>
      <c r="I312" s="16" t="inlineStr">
        <is>
          <t>243%</t>
        </is>
      </c>
      <c r="J312" s="16" t="n">
        <v>-0.3</v>
      </c>
      <c r="K312" s="16" t="inlineStr">
        <is>
          <t>-10%</t>
        </is>
      </c>
      <c r="L312" s="16" t="inlineStr">
        <is>
          <t>11%</t>
        </is>
      </c>
      <c r="M312" s="16" t="inlineStr">
        <is>
          <t>34%</t>
        </is>
      </c>
      <c r="N312" s="16" t="inlineStr">
        <is>
          <t>0%</t>
        </is>
      </c>
      <c r="O312" s="16" t="n">
        <v>269.6</v>
      </c>
      <c r="P312" s="16" t="inlineStr">
        <is>
          <t>64%</t>
        </is>
      </c>
      <c r="Q312" s="16" t="n">
        <v>215</v>
      </c>
      <c r="R312" s="16" t="inlineStr">
        <is>
          <t>P/B 0.15 · EV/EBITDA 10.0× · FCF yld 6% · net cash 243% of mcap · rev -10% · op margin 11%</t>
        </is>
      </c>
      <c r="S312" s="16" t="inlineStr"/>
      <c r="T312" s="16" t="inlineStr">
        <is>
          <t>Payoff Geometry</t>
        </is>
      </c>
    </row>
    <row r="313">
      <c r="A313" s="6" t="inlineStr">
        <is>
          <t>INHD</t>
        </is>
      </c>
      <c r="B313" s="14" t="inlineStr">
        <is>
          <t>Inno Holdings Inc.</t>
        </is>
      </c>
      <c r="C313" s="14" t="inlineStr">
        <is>
          <t>Technology</t>
        </is>
      </c>
      <c r="D313" s="14" t="n">
        <v>15</v>
      </c>
      <c r="E313" s="14" t="n"/>
      <c r="F313" s="14" t="n">
        <v>-0.1</v>
      </c>
      <c r="G313" s="14" t="n">
        <v>4.8</v>
      </c>
      <c r="H313" s="14" t="inlineStr">
        <is>
          <t>-89%</t>
        </is>
      </c>
      <c r="I313" s="14" t="n"/>
      <c r="J313" s="14" t="n">
        <v>8.4</v>
      </c>
      <c r="K313" s="14" t="n"/>
      <c r="L313" s="14" t="inlineStr">
        <is>
          <t>-68%</t>
        </is>
      </c>
      <c r="M313" s="14" t="inlineStr">
        <is>
          <t>-10%</t>
        </is>
      </c>
      <c r="N313" s="14" t="n"/>
      <c r="O313" s="14" t="n">
        <v>0</v>
      </c>
      <c r="P313" s="14" t="inlineStr">
        <is>
          <t>0%</t>
        </is>
      </c>
      <c r="Q313" s="14" t="n">
        <v>12977</v>
      </c>
      <c r="R313" s="14" t="inlineStr">
        <is>
          <t>EV/EBITDA 4.8× · FCF yld -89% · op margin -68%</t>
        </is>
      </c>
      <c r="S313" s="14" t="inlineStr">
        <is>
          <t>market-cap/share data inconsistent; revenue not comparable YoY (fair-value / one-off income?)</t>
        </is>
      </c>
      <c r="T313" s="14" t="inlineStr">
        <is>
          <t>Payoff Geometry</t>
        </is>
      </c>
    </row>
    <row r="314">
      <c r="A314" s="8" t="inlineStr">
        <is>
          <t>RNA</t>
        </is>
      </c>
      <c r="B314" s="16" t="inlineStr">
        <is>
          <t>Atrium Therapeutics, I</t>
        </is>
      </c>
      <c r="C314" s="16" t="inlineStr">
        <is>
          <t>Healthcare</t>
        </is>
      </c>
      <c r="D314" s="16" t="n">
        <v>147</v>
      </c>
      <c r="E314" s="16" t="n">
        <v>0.6899999999999999</v>
      </c>
      <c r="F314" s="16" t="n">
        <v>-2.2</v>
      </c>
      <c r="G314" s="16" t="n">
        <v>-0.8</v>
      </c>
      <c r="H314" s="16" t="inlineStr">
        <is>
          <t>-40%</t>
        </is>
      </c>
      <c r="I314" s="16" t="inlineStr">
        <is>
          <t>178%</t>
        </is>
      </c>
      <c r="J314" s="16" t="n">
        <v>0.7</v>
      </c>
      <c r="K314" s="16" t="n"/>
      <c r="L314" s="16" t="inlineStr">
        <is>
          <t>-410%</t>
        </is>
      </c>
      <c r="M314" s="16" t="inlineStr">
        <is>
          <t>-43%</t>
        </is>
      </c>
      <c r="N314" s="16" t="n"/>
      <c r="O314" s="16" t="n">
        <v>0</v>
      </c>
      <c r="P314" s="16" t="inlineStr">
        <is>
          <t>0%</t>
        </is>
      </c>
      <c r="Q314" s="16" t="n">
        <v>2007</v>
      </c>
      <c r="R314" s="16" t="inlineStr">
        <is>
          <t>P/B 0.69 · P/S 6.1 · FCF yld -40% · net cash 178% of mcap · op margin -410%</t>
        </is>
      </c>
      <c r="S314" s="16" t="inlineStr"/>
      <c r="T314" s="16" t="inlineStr">
        <is>
          <t>Payoff Geometry</t>
        </is>
      </c>
    </row>
    <row r="315">
      <c r="A315" s="6" t="inlineStr">
        <is>
          <t>XLO</t>
        </is>
      </c>
      <c r="B315" s="14" t="inlineStr">
        <is>
          <t>Xilio Therapeutics, In</t>
        </is>
      </c>
      <c r="C315" s="14" t="inlineStr">
        <is>
          <t>Healthcare</t>
        </is>
      </c>
      <c r="D315" s="14" t="n">
        <v>61</v>
      </c>
      <c r="E315" s="14" t="n"/>
      <c r="F315" s="14" t="n">
        <v>-6</v>
      </c>
      <c r="G315" s="14" t="n">
        <v>3.4</v>
      </c>
      <c r="H315" s="14" t="n"/>
      <c r="I315" s="14" t="n"/>
      <c r="J315" s="14" t="n">
        <v>6.3</v>
      </c>
      <c r="K315" s="14" t="n"/>
      <c r="L315" s="14" t="inlineStr">
        <is>
          <t>-49%</t>
        </is>
      </c>
      <c r="M315" s="14" t="inlineStr">
        <is>
          <t>-51%</t>
        </is>
      </c>
      <c r="N315" s="14" t="n"/>
      <c r="O315" s="14" t="n">
        <v>0</v>
      </c>
      <c r="P315" s="14" t="inlineStr">
        <is>
          <t>45%</t>
        </is>
      </c>
      <c r="Q315" s="14" t="n">
        <v>338</v>
      </c>
      <c r="R315" s="14" t="inlineStr">
        <is>
          <t>EV/EBITDA 3.4× · op margin -49%</t>
        </is>
      </c>
      <c r="S315" s="14" t="inlineStr">
        <is>
          <t>market-cap/share data inconsistent; FCF yield &gt;100% (check); revenue not comparable YoY (fair-value / one-off income?)</t>
        </is>
      </c>
      <c r="T315" s="14" t="inlineStr">
        <is>
          <t>Payoff Geometry</t>
        </is>
      </c>
    </row>
    <row r="316">
      <c r="A316" s="8" t="inlineStr">
        <is>
          <t>VIVS</t>
        </is>
      </c>
      <c r="B316" s="16" t="inlineStr">
        <is>
          <t>VivoSim Labs, Inc.</t>
        </is>
      </c>
      <c r="C316" s="16" t="inlineStr">
        <is>
          <t>Healthcare</t>
        </is>
      </c>
      <c r="D316" s="16" t="n">
        <v>1</v>
      </c>
      <c r="E316" s="16" t="n">
        <v>0.14</v>
      </c>
      <c r="F316" s="16" t="n">
        <v>-0</v>
      </c>
      <c r="G316" s="16" t="n">
        <v>0.1</v>
      </c>
      <c r="H316" s="16" t="n"/>
      <c r="I316" s="16" t="inlineStr">
        <is>
          <t>616%</t>
        </is>
      </c>
      <c r="J316" s="16" t="n">
        <v>0.1</v>
      </c>
      <c r="K316" s="16" t="inlineStr">
        <is>
          <t>36%</t>
        </is>
      </c>
      <c r="L316" s="16" t="inlineStr">
        <is>
          <t>-10117%</t>
        </is>
      </c>
      <c r="M316" s="16" t="inlineStr">
        <is>
          <t>-612%</t>
        </is>
      </c>
      <c r="N316" s="16" t="inlineStr">
        <is>
          <t>-2%</t>
        </is>
      </c>
      <c r="O316" s="16" t="n">
        <v>-944.2</v>
      </c>
      <c r="P316" s="16" t="inlineStr">
        <is>
          <t>0%</t>
        </is>
      </c>
      <c r="Q316" s="16" t="n">
        <v>758</v>
      </c>
      <c r="R316" s="16" t="inlineStr">
        <is>
          <t>P/B 0.14 · EV/EBITDA 0.1× · net cash 616% of mcap · rev +36% · buying back 2%/yr</t>
        </is>
      </c>
      <c r="S316" s="16" t="inlineStr">
        <is>
          <t>FCF yield &gt;100% (check)</t>
        </is>
      </c>
      <c r="T316" s="16" t="inlineStr">
        <is>
          <t>Payoff Geometry</t>
        </is>
      </c>
    </row>
    <row r="317">
      <c r="A317" s="6" t="inlineStr">
        <is>
          <t>FEDU</t>
        </is>
      </c>
      <c r="B317" s="14" t="inlineStr">
        <is>
          <t>Four Seasons Education</t>
        </is>
      </c>
      <c r="C317" s="14" t="inlineStr">
        <is>
          <t>Consumer Defen</t>
        </is>
      </c>
      <c r="D317" s="14" t="n">
        <v>2</v>
      </c>
      <c r="E317" s="14" t="n"/>
      <c r="F317" s="14" t="n">
        <v>0.9</v>
      </c>
      <c r="G317" s="14" t="n">
        <v>-0.3</v>
      </c>
      <c r="H317" s="14" t="inlineStr">
        <is>
          <t>0%</t>
        </is>
      </c>
      <c r="I317" s="14" t="n"/>
      <c r="J317" s="14" t="n">
        <v>-0.6</v>
      </c>
      <c r="K317" s="14" t="n"/>
      <c r="L317" s="14" t="inlineStr">
        <is>
          <t>3%</t>
        </is>
      </c>
      <c r="M317" s="14" t="inlineStr">
        <is>
          <t>10%</t>
        </is>
      </c>
      <c r="N317" s="14" t="inlineStr">
        <is>
          <t>8%</t>
        </is>
      </c>
      <c r="O317" s="14" t="n">
        <v>0</v>
      </c>
      <c r="P317" s="14" t="inlineStr">
        <is>
          <t>44%</t>
        </is>
      </c>
      <c r="Q317" s="14" t="n">
        <v>9</v>
      </c>
      <c r="R317" s="14" t="inlineStr">
        <is>
          <t>P/S 0.0 · FCF yld 0% · op margin 3% · diluting 8%/yr</t>
        </is>
      </c>
      <c r="S317" s="14" t="inlineStr">
        <is>
          <t>market-cap/share data inconsistent</t>
        </is>
      </c>
      <c r="T317" s="14" t="inlineStr">
        <is>
          <t>Payoff Geometry</t>
        </is>
      </c>
    </row>
    <row r="318">
      <c r="A318" s="8" t="inlineStr">
        <is>
          <t>AEMD</t>
        </is>
      </c>
      <c r="B318" s="16" t="inlineStr">
        <is>
          <t>Aethlon Medical, Inc.</t>
        </is>
      </c>
      <c r="C318" s="16" t="inlineStr">
        <is>
          <t>Healthcare</t>
        </is>
      </c>
      <c r="D318" s="16" t="n">
        <v>3</v>
      </c>
      <c r="E318" s="16" t="n">
        <v>0.51</v>
      </c>
      <c r="F318" s="16" t="n">
        <v>-0.6</v>
      </c>
      <c r="G318" s="16" t="n">
        <v>0.1</v>
      </c>
      <c r="H318" s="16" t="n"/>
      <c r="I318" s="16" t="inlineStr">
        <is>
          <t>190%</t>
        </is>
      </c>
      <c r="J318" s="16" t="n">
        <v>0.7</v>
      </c>
      <c r="K318" s="16" t="n"/>
      <c r="L318" s="16" t="inlineStr">
        <is>
          <t>0%</t>
        </is>
      </c>
      <c r="M318" s="16" t="inlineStr">
        <is>
          <t>-123%</t>
        </is>
      </c>
      <c r="N318" s="16" t="n"/>
      <c r="O318" s="16" t="n">
        <v>-492.7</v>
      </c>
      <c r="P318" s="16" t="inlineStr">
        <is>
          <t>13%</t>
        </is>
      </c>
      <c r="Q318" s="16" t="n">
        <v>5370</v>
      </c>
      <c r="R318" s="16" t="inlineStr">
        <is>
          <t>P/B 0.51 · EV/EBITDA 0.1× · net cash 190% of mcap · op margin 0%</t>
        </is>
      </c>
      <c r="S318" s="16" t="inlineStr">
        <is>
          <t>FCF yield &gt;100% (check); new entity / merger: history not comparable</t>
        </is>
      </c>
      <c r="T318" s="16" t="inlineStr">
        <is>
          <t>Payoff Geometry</t>
        </is>
      </c>
    </row>
    <row r="319">
      <c r="A319" s="6" t="inlineStr">
        <is>
          <t>SNOA</t>
        </is>
      </c>
      <c r="B319" s="14" t="inlineStr">
        <is>
          <t>Sonoma Pharmaceuticals</t>
        </is>
      </c>
      <c r="C319" s="14" t="inlineStr">
        <is>
          <t>Healthcare</t>
        </is>
      </c>
      <c r="D319" s="14" t="n">
        <v>2</v>
      </c>
      <c r="E319" s="14" t="n">
        <v>0.63</v>
      </c>
      <c r="F319" s="14" t="n">
        <v>-1</v>
      </c>
      <c r="G319" s="14" t="n">
        <v>1.6</v>
      </c>
      <c r="H319" s="14" t="n"/>
      <c r="I319" s="14" t="inlineStr">
        <is>
          <t>88%</t>
        </is>
      </c>
      <c r="J319" s="14" t="n">
        <v>2.9</v>
      </c>
      <c r="K319" s="14" t="inlineStr">
        <is>
          <t>25%</t>
        </is>
      </c>
      <c r="L319" s="14" t="inlineStr">
        <is>
          <t>-6%</t>
        </is>
      </c>
      <c r="M319" s="14" t="inlineStr">
        <is>
          <t>-54%</t>
        </is>
      </c>
      <c r="N319" s="14" t="inlineStr">
        <is>
          <t>59%</t>
        </is>
      </c>
      <c r="O319" s="14" t="n">
        <v>0</v>
      </c>
      <c r="P319" s="14" t="inlineStr">
        <is>
          <t>12%</t>
        </is>
      </c>
      <c r="Q319" s="14" t="n">
        <v>180</v>
      </c>
      <c r="R319" s="14" t="inlineStr">
        <is>
          <t>P/B 0.63 · EV/EBITDA 1.6× · net cash 88% of mcap · rev +25% · op margin -6% · diluting 59%/yr</t>
        </is>
      </c>
      <c r="S319" s="14" t="inlineStr">
        <is>
          <t>FCF yield &gt;100% (check)</t>
        </is>
      </c>
      <c r="T319" s="14" t="inlineStr">
        <is>
          <t>Payoff Geometry</t>
        </is>
      </c>
    </row>
    <row r="320">
      <c r="A320" s="8" t="inlineStr">
        <is>
          <t>MOGU</t>
        </is>
      </c>
      <c r="B320" s="16" t="inlineStr">
        <is>
          <t>MOGU Inc.</t>
        </is>
      </c>
      <c r="C320" s="16" t="inlineStr">
        <is>
          <t>Consumer Cycli</t>
        </is>
      </c>
      <c r="D320" s="16" t="n">
        <v>15</v>
      </c>
      <c r="E320" s="16" t="n">
        <v>0.2</v>
      </c>
      <c r="F320" s="16" t="n">
        <v>51.9</v>
      </c>
      <c r="G320" s="16" t="n">
        <v>0.4</v>
      </c>
      <c r="H320" s="16" t="inlineStr">
        <is>
          <t>-44%</t>
        </is>
      </c>
      <c r="I320" s="16" t="inlineStr">
        <is>
          <t>289%</t>
        </is>
      </c>
      <c r="J320" s="16" t="n">
        <v>2.2</v>
      </c>
      <c r="K320" s="16" t="inlineStr">
        <is>
          <t>7%</t>
        </is>
      </c>
      <c r="L320" s="16" t="inlineStr">
        <is>
          <t>-58%</t>
        </is>
      </c>
      <c r="M320" s="16" t="inlineStr">
        <is>
          <t>0%</t>
        </is>
      </c>
      <c r="N320" s="16" t="inlineStr">
        <is>
          <t>6%</t>
        </is>
      </c>
      <c r="O320" s="16" t="n">
        <v>-14</v>
      </c>
      <c r="P320" s="16" t="inlineStr">
        <is>
          <t>24%</t>
        </is>
      </c>
      <c r="Q320" s="16" t="n">
        <v>20</v>
      </c>
      <c r="R320" s="16" t="inlineStr">
        <is>
          <t>P/B 0.20 · EV/EBITDA 0.4× · FCF yld -44% · net cash 289% of mcap · rev +7% · op margin -58% · diluting 6%/yr</t>
        </is>
      </c>
      <c r="S320" s="16" t="inlineStr"/>
      <c r="T320" s="16" t="inlineStr">
        <is>
          <t>Payoff Geometry</t>
        </is>
      </c>
    </row>
    <row r="321">
      <c r="A321" s="6" t="inlineStr">
        <is>
          <t>XAIR</t>
        </is>
      </c>
      <c r="B321" s="14" t="inlineStr">
        <is>
          <t>Beyond Air, Inc.</t>
        </is>
      </c>
      <c r="C321" s="14" t="inlineStr">
        <is>
          <t>Healthcare</t>
        </is>
      </c>
      <c r="D321" s="14" t="n">
        <v>2</v>
      </c>
      <c r="E321" s="14" t="n">
        <v>1.12</v>
      </c>
      <c r="F321" s="14" t="n">
        <v>-0.1</v>
      </c>
      <c r="G321" s="14" t="n">
        <v>0</v>
      </c>
      <c r="H321" s="14" t="n"/>
      <c r="I321" s="14" t="inlineStr">
        <is>
          <t>330%</t>
        </is>
      </c>
      <c r="J321" s="14" t="n">
        <v>0.1</v>
      </c>
      <c r="K321" s="14" t="n"/>
      <c r="L321" s="14" t="inlineStr">
        <is>
          <t>-365%</t>
        </is>
      </c>
      <c r="M321" s="14" t="inlineStr">
        <is>
          <t>-735%</t>
        </is>
      </c>
      <c r="N321" s="14" t="n"/>
      <c r="O321" s="14" t="n">
        <v>-29.7</v>
      </c>
      <c r="P321" s="14" t="inlineStr">
        <is>
          <t>0%</t>
        </is>
      </c>
      <c r="Q321" s="14" t="n">
        <v>634</v>
      </c>
      <c r="R321" s="14" t="inlineStr">
        <is>
          <t>P/B 1.12 · EV/EBITDA 0.0× · net cash 330% of mcap · op margin -365%</t>
        </is>
      </c>
      <c r="S321" s="14" t="inlineStr">
        <is>
          <t>FCF yield &gt;100% (check); new entity / merger: history not comparable</t>
        </is>
      </c>
      <c r="T321" s="14" t="inlineStr">
        <is>
          <t>Payoff Geometry</t>
        </is>
      </c>
    </row>
    <row r="322">
      <c r="A322" s="8" t="inlineStr">
        <is>
          <t>AMIX</t>
        </is>
      </c>
      <c r="B322" s="16" t="inlineStr">
        <is>
          <t>Autonomix Medical, Inc</t>
        </is>
      </c>
      <c r="C322" s="16" t="inlineStr">
        <is>
          <t>Healthcare</t>
        </is>
      </c>
      <c r="D322" s="16" t="n">
        <v>2</v>
      </c>
      <c r="E322" s="16" t="n">
        <v>0.26</v>
      </c>
      <c r="F322" s="16" t="n">
        <v>-0.1</v>
      </c>
      <c r="G322" s="16" t="n">
        <v>0.1</v>
      </c>
      <c r="H322" s="16" t="n"/>
      <c r="I322" s="16" t="inlineStr">
        <is>
          <t>448%</t>
        </is>
      </c>
      <c r="J322" s="16" t="n">
        <v>0.2</v>
      </c>
      <c r="K322" s="16" t="n"/>
      <c r="L322" s="16" t="inlineStr">
        <is>
          <t>0%</t>
        </is>
      </c>
      <c r="M322" s="16" t="inlineStr">
        <is>
          <t>-268%</t>
        </is>
      </c>
      <c r="N322" s="16" t="n"/>
      <c r="O322" s="16" t="n">
        <v>0</v>
      </c>
      <c r="P322" s="16" t="inlineStr">
        <is>
          <t>5%</t>
        </is>
      </c>
      <c r="Q322" s="16" t="n">
        <v>12956</v>
      </c>
      <c r="R322" s="16" t="inlineStr">
        <is>
          <t>P/B 0.26 · EV/EBITDA 0.1× · net cash 448% of mcap · op margin 0%</t>
        </is>
      </c>
      <c r="S322" s="16" t="inlineStr">
        <is>
          <t>FCF yield &gt;100% (check)</t>
        </is>
      </c>
      <c r="T322" s="16" t="inlineStr">
        <is>
          <t>Payoff Geometry</t>
        </is>
      </c>
    </row>
    <row r="323">
      <c r="A323" s="6" t="inlineStr">
        <is>
          <t>INM</t>
        </is>
      </c>
      <c r="B323" s="14" t="inlineStr">
        <is>
          <t xml:space="preserve">InMed Pharmaceuticals </t>
        </is>
      </c>
      <c r="C323" s="14" t="inlineStr">
        <is>
          <t>Healthcare</t>
        </is>
      </c>
      <c r="D323" s="14" t="n">
        <v>3</v>
      </c>
      <c r="E323" s="14" t="n"/>
      <c r="F323" s="14" t="n">
        <v>-0</v>
      </c>
      <c r="G323" s="14" t="n">
        <v>-0</v>
      </c>
      <c r="H323" s="14" t="n"/>
      <c r="I323" s="14" t="n"/>
      <c r="J323" s="14" t="n">
        <v>0.2</v>
      </c>
      <c r="K323" s="14" t="inlineStr">
        <is>
          <t>9%</t>
        </is>
      </c>
      <c r="L323" s="14" t="inlineStr">
        <is>
          <t>-1%</t>
        </is>
      </c>
      <c r="M323" s="14" t="inlineStr">
        <is>
          <t>-135%</t>
        </is>
      </c>
      <c r="N323" s="14" t="n"/>
      <c r="O323" s="14" t="n">
        <v>-1000.1</v>
      </c>
      <c r="P323" s="14" t="inlineStr">
        <is>
          <t>43%</t>
        </is>
      </c>
      <c r="Q323" s="14" t="n">
        <v>3578</v>
      </c>
      <c r="R323" s="14" t="inlineStr">
        <is>
          <t>P/S 0.0 · rev +9% · op margin -1%</t>
        </is>
      </c>
      <c r="S323" s="14" t="inlineStr">
        <is>
          <t>market-cap/share data inconsistent; FCF yield &gt;100% (check)</t>
        </is>
      </c>
      <c r="T323" s="14" t="inlineStr">
        <is>
          <t>Payoff Geometry</t>
        </is>
      </c>
    </row>
    <row r="324">
      <c r="A324" s="8" t="inlineStr">
        <is>
          <t>FBIOP</t>
        </is>
      </c>
      <c r="B324" s="16" t="inlineStr">
        <is>
          <t>Fortress Biotech, Inc.</t>
        </is>
      </c>
      <c r="C324" s="16" t="inlineStr">
        <is>
          <t>Healthcare</t>
        </is>
      </c>
      <c r="D324" s="16" t="n">
        <v>133</v>
      </c>
      <c r="E324" s="16" t="n"/>
      <c r="F324" s="16" t="n">
        <v>0.7</v>
      </c>
      <c r="G324" s="16" t="n">
        <v>-0.3</v>
      </c>
      <c r="H324" s="16" t="n"/>
      <c r="I324" s="16" t="n"/>
      <c r="J324" s="16" t="n">
        <v>-0.8</v>
      </c>
      <c r="K324" s="16" t="inlineStr">
        <is>
          <t>15%</t>
        </is>
      </c>
      <c r="L324" s="16" t="inlineStr">
        <is>
          <t>-43%</t>
        </is>
      </c>
      <c r="M324" s="16" t="inlineStr">
        <is>
          <t>104%</t>
        </is>
      </c>
      <c r="N324" s="16" t="inlineStr">
        <is>
          <t>24%</t>
        </is>
      </c>
      <c r="O324" s="16" t="n">
        <v>-3.3</v>
      </c>
      <c r="P324" s="16" t="inlineStr">
        <is>
          <t>70%</t>
        </is>
      </c>
      <c r="Q324" s="16" t="n">
        <v>336</v>
      </c>
      <c r="R324" s="16" t="inlineStr">
        <is>
          <t>P/S 1.1 · rev +15% · op margin -43% · diluting 24%/yr</t>
        </is>
      </c>
      <c r="S324" s="16" t="inlineStr">
        <is>
          <t>market-cap/share data inconsistent; FCF yield &gt;100% (check)</t>
        </is>
      </c>
      <c r="T324" s="16" t="inlineStr">
        <is>
          <t>Payoff Geometry</t>
        </is>
      </c>
    </row>
    <row r="325">
      <c r="A325" s="6" t="inlineStr">
        <is>
          <t>JVA</t>
        </is>
      </c>
      <c r="B325" s="14" t="inlineStr">
        <is>
          <t>Coffee Holding Co., In</t>
        </is>
      </c>
      <c r="C325" s="14" t="inlineStr">
        <is>
          <t>Consumer Defen</t>
        </is>
      </c>
      <c r="D325" s="14" t="n">
        <v>23</v>
      </c>
      <c r="E325" s="14" t="n">
        <v>0.75</v>
      </c>
      <c r="F325" s="14" t="n">
        <v>4.9</v>
      </c>
      <c r="G325" s="14" t="n">
        <v>3.1</v>
      </c>
      <c r="H325" s="14" t="inlineStr">
        <is>
          <t>33%</t>
        </is>
      </c>
      <c r="I325" s="14" t="inlineStr">
        <is>
          <t>-5%</t>
        </is>
      </c>
      <c r="J325" s="14" t="n">
        <v>0.1</v>
      </c>
      <c r="K325" s="14" t="inlineStr">
        <is>
          <t>17%</t>
        </is>
      </c>
      <c r="L325" s="14" t="inlineStr">
        <is>
          <t>7%</t>
        </is>
      </c>
      <c r="M325" s="14" t="inlineStr">
        <is>
          <t>16%</t>
        </is>
      </c>
      <c r="N325" s="14" t="inlineStr">
        <is>
          <t>0%</t>
        </is>
      </c>
      <c r="O325" s="14" t="n">
        <v>26.4</v>
      </c>
      <c r="P325" s="14" t="inlineStr">
        <is>
          <t>55%</t>
        </is>
      </c>
      <c r="Q325" s="14" t="n">
        <v>248</v>
      </c>
      <c r="R325" s="14" t="inlineStr">
        <is>
          <t>P/B 0.75 · EV/EBITDA 3.1× · FCF yld 33% · net debt 5% of mcap · rev +17% · op margin 7%</t>
        </is>
      </c>
      <c r="S325" s="14" t="inlineStr"/>
      <c r="T325" s="14" t="inlineStr">
        <is>
          <t>Payoff Geometry</t>
        </is>
      </c>
    </row>
    <row r="326">
      <c r="A326" s="8" t="inlineStr">
        <is>
          <t>TPET</t>
        </is>
      </c>
      <c r="B326" s="16" t="inlineStr">
        <is>
          <t>Trio Petroleum Corp.</t>
        </is>
      </c>
      <c r="C326" s="16" t="inlineStr">
        <is>
          <t>Energy</t>
        </is>
      </c>
      <c r="D326" s="16" t="n">
        <v>9</v>
      </c>
      <c r="E326" s="16" t="n">
        <v>0.24</v>
      </c>
      <c r="F326" s="16" t="n">
        <v>-0.4</v>
      </c>
      <c r="G326" s="16" t="n">
        <v>2.3</v>
      </c>
      <c r="H326" s="16" t="inlineStr">
        <is>
          <t>-38%</t>
        </is>
      </c>
      <c r="I326" s="16" t="inlineStr">
        <is>
          <t>282%</t>
        </is>
      </c>
      <c r="J326" s="16" t="n">
        <v>3.5</v>
      </c>
      <c r="K326" s="16" t="inlineStr">
        <is>
          <t>299%</t>
        </is>
      </c>
      <c r="L326" s="16" t="inlineStr">
        <is>
          <t>-802%</t>
        </is>
      </c>
      <c r="M326" s="16" t="inlineStr">
        <is>
          <t>-30%</t>
        </is>
      </c>
      <c r="N326" s="16" t="n"/>
      <c r="O326" s="16" t="n">
        <v>-25.2</v>
      </c>
      <c r="P326" s="16" t="inlineStr">
        <is>
          <t>0%</t>
        </is>
      </c>
      <c r="Q326" s="16" t="n">
        <v>1078</v>
      </c>
      <c r="R326" s="16" t="inlineStr">
        <is>
          <t>P/B 0.24 · EV/EBITDA 2.3× · FCF yld -38% · net cash 282% of mcap · rev +299%</t>
        </is>
      </c>
      <c r="S326" s="16" t="inlineStr"/>
      <c r="T326" s="16" t="inlineStr">
        <is>
          <t>Payoff Geometry</t>
        </is>
      </c>
    </row>
    <row r="327">
      <c r="A327" s="6" t="inlineStr">
        <is>
          <t>WVVI</t>
        </is>
      </c>
      <c r="B327" s="14" t="inlineStr">
        <is>
          <t>Willamette Valley Vine</t>
        </is>
      </c>
      <c r="C327" s="14" t="inlineStr">
        <is>
          <t>Consumer Defen</t>
        </is>
      </c>
      <c r="D327" s="14" t="n">
        <v>9</v>
      </c>
      <c r="E327" s="14" t="n">
        <v>0.14</v>
      </c>
      <c r="F327" s="14" t="n">
        <v>-2.1</v>
      </c>
      <c r="G327" s="14" t="n">
        <v>20.8</v>
      </c>
      <c r="H327" s="14" t="inlineStr">
        <is>
          <t>6%</t>
        </is>
      </c>
      <c r="I327" s="14" t="inlineStr">
        <is>
          <t>-266%</t>
        </is>
      </c>
      <c r="J327" s="14" t="n">
        <v>14.9</v>
      </c>
      <c r="K327" s="14" t="inlineStr">
        <is>
          <t>-2%</t>
        </is>
      </c>
      <c r="L327" s="14" t="inlineStr">
        <is>
          <t>-8%</t>
        </is>
      </c>
      <c r="M327" s="14" t="inlineStr">
        <is>
          <t>-3%</t>
        </is>
      </c>
      <c r="N327" s="14" t="inlineStr">
        <is>
          <t>0%</t>
        </is>
      </c>
      <c r="O327" s="14" t="n">
        <v>-2.6</v>
      </c>
      <c r="P327" s="14" t="inlineStr">
        <is>
          <t>3%</t>
        </is>
      </c>
      <c r="Q327" s="14" t="n">
        <v>26</v>
      </c>
      <c r="R327" s="14" t="inlineStr">
        <is>
          <t>P/B 0.14 · EV/EBITDA 20.8× · FCF yld 6% · net debt 266% of mcap · rev -2% · op margin -8% · interest cover -2.6× ⚠</t>
        </is>
      </c>
      <c r="S327" s="14" t="inlineStr"/>
      <c r="T327" s="14" t="inlineStr">
        <is>
          <t>Payoff Geometry</t>
        </is>
      </c>
    </row>
    <row r="328">
      <c r="A328" s="8" t="inlineStr">
        <is>
          <t>ELOG</t>
        </is>
      </c>
      <c r="B328" s="16" t="inlineStr">
        <is>
          <t xml:space="preserve">Eastern International </t>
        </is>
      </c>
      <c r="C328" s="16" t="inlineStr">
        <is>
          <t>Industrials</t>
        </is>
      </c>
      <c r="D328" s="16" t="n">
        <v>6</v>
      </c>
      <c r="E328" s="16" t="n">
        <v>0.38</v>
      </c>
      <c r="F328" s="16" t="n">
        <v>-6.5</v>
      </c>
      <c r="G328" s="16" t="n">
        <v>-10.4</v>
      </c>
      <c r="H328" s="16" t="inlineStr">
        <is>
          <t>-61%</t>
        </is>
      </c>
      <c r="I328" s="16" t="inlineStr">
        <is>
          <t>-67%</t>
        </is>
      </c>
      <c r="J328" s="16" t="n">
        <v>-4.2</v>
      </c>
      <c r="K328" s="16" t="n"/>
      <c r="L328" s="16" t="inlineStr">
        <is>
          <t>-2%</t>
        </is>
      </c>
      <c r="M328" s="16" t="inlineStr">
        <is>
          <t>-7%</t>
        </is>
      </c>
      <c r="N328" s="16" t="inlineStr">
        <is>
          <t>7%</t>
        </is>
      </c>
      <c r="O328" s="16" t="n">
        <v>-3.5</v>
      </c>
      <c r="P328" s="16" t="inlineStr">
        <is>
          <t>3%</t>
        </is>
      </c>
      <c r="Q328" s="16" t="n">
        <v>179</v>
      </c>
      <c r="R328" s="16" t="inlineStr">
        <is>
          <t>P/B 0.38 · P/S 0.1 · FCF yld -61% · net debt 67% of mcap · op margin -2% · diluting 7%/yr · interest cover -3.5× ⚠</t>
        </is>
      </c>
      <c r="S328" s="16" t="inlineStr"/>
      <c r="T328" s="16" t="inlineStr">
        <is>
          <t>Payoff Geometry</t>
        </is>
      </c>
    </row>
    <row r="329">
      <c r="A329" s="6" t="inlineStr">
        <is>
          <t>EHGO</t>
        </is>
      </c>
      <c r="B329" s="14" t="inlineStr">
        <is>
          <t xml:space="preserve">Eshallgo Inc. Class A </t>
        </is>
      </c>
      <c r="C329" s="14" t="inlineStr">
        <is>
          <t>Industrials</t>
        </is>
      </c>
      <c r="D329" s="14" t="n">
        <v>2</v>
      </c>
      <c r="E329" s="14" t="n">
        <v>0.16</v>
      </c>
      <c r="F329" s="14" t="n">
        <v>-0.1</v>
      </c>
      <c r="G329" s="14" t="n">
        <v>-0</v>
      </c>
      <c r="H329" s="14" t="n"/>
      <c r="I329" s="14" t="inlineStr">
        <is>
          <t>212%</t>
        </is>
      </c>
      <c r="J329" s="14" t="n">
        <v>0.1</v>
      </c>
      <c r="K329" s="14" t="inlineStr">
        <is>
          <t>-5%</t>
        </is>
      </c>
      <c r="L329" s="14" t="inlineStr">
        <is>
          <t>-73%</t>
        </is>
      </c>
      <c r="M329" s="14" t="inlineStr">
        <is>
          <t>-116%</t>
        </is>
      </c>
      <c r="N329" s="14" t="n"/>
      <c r="O329" s="14" t="n">
        <v>-19.4</v>
      </c>
      <c r="P329" s="14" t="inlineStr">
        <is>
          <t>0%</t>
        </is>
      </c>
      <c r="Q329" s="14" t="n">
        <v>5491</v>
      </c>
      <c r="R329" s="14" t="inlineStr">
        <is>
          <t>P/B 0.16 · P/S 0.1 · net cash 212% of mcap · rev -5% · op margin -73%</t>
        </is>
      </c>
      <c r="S329" s="14" t="inlineStr">
        <is>
          <t>FCF yield &gt;100% (check); share-count history inconsistent (foreign line)</t>
        </is>
      </c>
      <c r="T329" s="14" t="inlineStr">
        <is>
          <t>Payoff Geometry</t>
        </is>
      </c>
    </row>
    <row r="330">
      <c r="A330" s="8" t="inlineStr">
        <is>
          <t>VTGN</t>
        </is>
      </c>
      <c r="B330" s="16" t="inlineStr">
        <is>
          <t>VistaGen Therapeutics,</t>
        </is>
      </c>
      <c r="C330" s="16" t="inlineStr">
        <is>
          <t>Healthcare</t>
        </is>
      </c>
      <c r="D330" s="16" t="n">
        <v>18</v>
      </c>
      <c r="E330" s="16" t="n">
        <v>0.34</v>
      </c>
      <c r="F330" s="16" t="n">
        <v>-0.2</v>
      </c>
      <c r="G330" s="16" t="n">
        <v>-0</v>
      </c>
      <c r="H330" s="16" t="n"/>
      <c r="I330" s="16" t="inlineStr">
        <is>
          <t>344%</t>
        </is>
      </c>
      <c r="J330" s="16" t="n">
        <v>0.2</v>
      </c>
      <c r="K330" s="16" t="inlineStr">
        <is>
          <t>-18%</t>
        </is>
      </c>
      <c r="L330" s="16" t="inlineStr">
        <is>
          <t>-2784%</t>
        </is>
      </c>
      <c r="M330" s="16" t="inlineStr">
        <is>
          <t>-153%</t>
        </is>
      </c>
      <c r="N330" s="16" t="inlineStr">
        <is>
          <t>17%</t>
        </is>
      </c>
      <c r="O330" s="16" t="n">
        <v>0</v>
      </c>
      <c r="P330" s="16" t="inlineStr">
        <is>
          <t>4%</t>
        </is>
      </c>
      <c r="Q330" s="16" t="n">
        <v>1177</v>
      </c>
      <c r="R330" s="16" t="inlineStr">
        <is>
          <t>P/B 0.34 · P/S 6.5 · net cash 344% of mcap · rev -18% · diluting 17%/yr</t>
        </is>
      </c>
      <c r="S330" s="16" t="inlineStr">
        <is>
          <t>FCF yield &gt;100% (check)</t>
        </is>
      </c>
      <c r="T330" s="16" t="inlineStr">
        <is>
          <t>Payoff Geometry</t>
        </is>
      </c>
    </row>
    <row r="331">
      <c r="A331" s="6" t="inlineStr">
        <is>
          <t>PAVS</t>
        </is>
      </c>
      <c r="B331" s="14" t="inlineStr">
        <is>
          <t>Paranovus Entertainmen</t>
        </is>
      </c>
      <c r="C331" s="14" t="inlineStr">
        <is>
          <t>Healthcare</t>
        </is>
      </c>
      <c r="D331" s="14" t="n">
        <v>4</v>
      </c>
      <c r="E331" s="14" t="n"/>
      <c r="F331" s="14" t="n">
        <v>-0</v>
      </c>
      <c r="G331" s="14" t="n">
        <v>5.4</v>
      </c>
      <c r="H331" s="14" t="inlineStr">
        <is>
          <t>-40%</t>
        </is>
      </c>
      <c r="I331" s="14" t="n"/>
      <c r="J331" s="14" t="n">
        <v>8.6</v>
      </c>
      <c r="K331" s="14" t="n"/>
      <c r="L331" s="14" t="inlineStr">
        <is>
          <t>-23%</t>
        </is>
      </c>
      <c r="M331" s="14" t="inlineStr">
        <is>
          <t>-46%</t>
        </is>
      </c>
      <c r="N331" s="14" t="n"/>
      <c r="O331" s="14" t="n">
        <v>-12.9</v>
      </c>
      <c r="P331" s="14" t="inlineStr">
        <is>
          <t>0%</t>
        </is>
      </c>
      <c r="Q331" s="14" t="n">
        <v>3756</v>
      </c>
      <c r="R331" s="14" t="inlineStr">
        <is>
          <t>EV/EBITDA 5.4× · FCF yld -40% · op margin -23%</t>
        </is>
      </c>
      <c r="S331" s="14" t="inlineStr">
        <is>
          <t>market-cap/share data inconsistent; revenue not comparable YoY (fair-value / one-off income?)</t>
        </is>
      </c>
      <c r="T331" s="14" t="inlineStr">
        <is>
          <t>Payoff Geometry</t>
        </is>
      </c>
    </row>
    <row r="332">
      <c r="A332" s="8" t="inlineStr">
        <is>
          <t>ATXG</t>
        </is>
      </c>
      <c r="B332" s="16" t="inlineStr">
        <is>
          <t>Addentax Group Corp.</t>
        </is>
      </c>
      <c r="C332" s="16" t="inlineStr">
        <is>
          <t>Industrials</t>
        </is>
      </c>
      <c r="D332" s="16" t="n">
        <v>4</v>
      </c>
      <c r="E332" s="16" t="n">
        <v>0.14</v>
      </c>
      <c r="F332" s="16" t="n">
        <v>-0.7</v>
      </c>
      <c r="G332" s="16" t="n">
        <v>-1.6</v>
      </c>
      <c r="H332" s="16" t="inlineStr">
        <is>
          <t>-12%</t>
        </is>
      </c>
      <c r="I332" s="16" t="inlineStr">
        <is>
          <t>1%</t>
        </is>
      </c>
      <c r="J332" s="16" t="n">
        <v>0</v>
      </c>
      <c r="K332" s="16" t="inlineStr">
        <is>
          <t>85%</t>
        </is>
      </c>
      <c r="L332" s="16" t="inlineStr">
        <is>
          <t>-23%</t>
        </is>
      </c>
      <c r="M332" s="16" t="inlineStr">
        <is>
          <t>-7%</t>
        </is>
      </c>
      <c r="N332" s="16" t="n"/>
      <c r="O332" s="16" t="n">
        <v>-45.8</v>
      </c>
      <c r="P332" s="16" t="inlineStr">
        <is>
          <t>4%</t>
        </is>
      </c>
      <c r="Q332" s="16" t="n">
        <v>52</v>
      </c>
      <c r="R332" s="16" t="inlineStr">
        <is>
          <t>P/B 0.14 · P/S 0.4 · FCF yld -12% · net cash 1% of mcap · rev +85% · op margin -23%</t>
        </is>
      </c>
      <c r="S332" s="16" t="inlineStr">
        <is>
          <t>share-count history inconsistent (foreign line)</t>
        </is>
      </c>
      <c r="T332" s="16" t="inlineStr">
        <is>
          <t>Payoff Geometry</t>
        </is>
      </c>
    </row>
    <row r="333">
      <c r="A333" s="6" t="inlineStr">
        <is>
          <t>DSWL</t>
        </is>
      </c>
      <c r="B333" s="14" t="inlineStr">
        <is>
          <t>Deswell Industries, In</t>
        </is>
      </c>
      <c r="C333" s="14" t="inlineStr">
        <is>
          <t>Technology</t>
        </is>
      </c>
      <c r="D333" s="14" t="n">
        <v>51</v>
      </c>
      <c r="E333" s="14" t="n">
        <v>0.47</v>
      </c>
      <c r="F333" s="14" t="n">
        <v>4.7</v>
      </c>
      <c r="G333" s="14" t="n">
        <v>3.3</v>
      </c>
      <c r="H333" s="14" t="inlineStr">
        <is>
          <t>9%</t>
        </is>
      </c>
      <c r="I333" s="14" t="inlineStr">
        <is>
          <t>156%</t>
        </is>
      </c>
      <c r="J333" s="14" t="n">
        <v>-2.8</v>
      </c>
      <c r="K333" s="14" t="inlineStr">
        <is>
          <t>-2%</t>
        </is>
      </c>
      <c r="L333" s="14" t="inlineStr">
        <is>
          <t>4%</t>
        </is>
      </c>
      <c r="M333" s="14" t="inlineStr">
        <is>
          <t>10%</t>
        </is>
      </c>
      <c r="N333" s="14" t="inlineStr">
        <is>
          <t>0%</t>
        </is>
      </c>
      <c r="O333" s="14" t="n">
        <v>0</v>
      </c>
      <c r="P333" s="14" t="inlineStr">
        <is>
          <t>30%</t>
        </is>
      </c>
      <c r="Q333" s="14" t="n">
        <v>38</v>
      </c>
      <c r="R333" s="14" t="inlineStr">
        <is>
          <t>P/B 0.47 · EV/EBITDA 3.3× · FCF yld 9% · net cash 156% of mcap · rev -2% · op margin 4%</t>
        </is>
      </c>
      <c r="S333" s="14" t="inlineStr"/>
      <c r="T333" s="14" t="inlineStr">
        <is>
          <t>Payoff Geometry</t>
        </is>
      </c>
    </row>
    <row r="334">
      <c r="A334" s="8" t="inlineStr">
        <is>
          <t>FLYE</t>
        </is>
      </c>
      <c r="B334" s="16" t="inlineStr">
        <is>
          <t>Fly-E Group, Inc. Comm</t>
        </is>
      </c>
      <c r="C334" s="16" t="inlineStr">
        <is>
          <t>Consumer Cycli</t>
        </is>
      </c>
      <c r="D334" s="16" t="n">
        <v>3</v>
      </c>
      <c r="E334" s="16" t="n">
        <v>0.12</v>
      </c>
      <c r="F334" s="16" t="n">
        <v>-0.2</v>
      </c>
      <c r="G334" s="16" t="n">
        <v>-1.3</v>
      </c>
      <c r="H334" s="16" t="n"/>
      <c r="I334" s="16" t="inlineStr">
        <is>
          <t>-428%</t>
        </is>
      </c>
      <c r="J334" s="16" t="n">
        <v>-1.1</v>
      </c>
      <c r="K334" s="16" t="n"/>
      <c r="L334" s="16" t="inlineStr">
        <is>
          <t>-51%</t>
        </is>
      </c>
      <c r="M334" s="16" t="inlineStr">
        <is>
          <t>-67%</t>
        </is>
      </c>
      <c r="N334" s="16" t="n"/>
      <c r="O334" s="16" t="n">
        <v>3.9</v>
      </c>
      <c r="P334" s="16" t="inlineStr">
        <is>
          <t>1%</t>
        </is>
      </c>
      <c r="Q334" s="16" t="n">
        <v>1587</v>
      </c>
      <c r="R334" s="16" t="inlineStr">
        <is>
          <t>P/B 0.12 · P/S 0.1 · net debt 428% of mcap · op margin -51%</t>
        </is>
      </c>
      <c r="S334" s="16" t="inlineStr">
        <is>
          <t>FCF yield &gt;100% (check); new entity / merger: history not comparable</t>
        </is>
      </c>
      <c r="T334" s="16" t="inlineStr">
        <is>
          <t>Payoff Geometry</t>
        </is>
      </c>
    </row>
    <row r="335">
      <c r="A335" s="6" t="inlineStr">
        <is>
          <t>POAS</t>
        </is>
      </c>
      <c r="B335" s="14" t="inlineStr">
        <is>
          <t>Phaos Technology Holdi</t>
        </is>
      </c>
      <c r="C335" s="14" t="inlineStr">
        <is>
          <t>Healthcare</t>
        </is>
      </c>
      <c r="D335" s="14" t="n">
        <v>2</v>
      </c>
      <c r="E335" s="14" t="n">
        <v>0.54</v>
      </c>
      <c r="F335" s="14" t="n">
        <v>-0.8</v>
      </c>
      <c r="G335" s="14" t="n">
        <v>-0.5</v>
      </c>
      <c r="H335" s="14" t="n"/>
      <c r="I335" s="14" t="inlineStr">
        <is>
          <t>11%</t>
        </is>
      </c>
      <c r="J335" s="14" t="n">
        <v>0.1</v>
      </c>
      <c r="K335" s="14" t="n"/>
      <c r="L335" s="14" t="inlineStr">
        <is>
          <t>-4683%</t>
        </is>
      </c>
      <c r="M335" s="14" t="inlineStr">
        <is>
          <t>-364%</t>
        </is>
      </c>
      <c r="N335" s="14" t="n"/>
      <c r="O335" s="14" t="n">
        <v>-677.5</v>
      </c>
      <c r="P335" s="14" t="inlineStr">
        <is>
          <t>0%</t>
        </is>
      </c>
      <c r="Q335" s="14" t="n">
        <v>169</v>
      </c>
      <c r="R335" s="14" t="inlineStr">
        <is>
          <t>P/B 0.54 · P/S 27.5 · net cash 11% of mcap</t>
        </is>
      </c>
      <c r="S335" s="14" t="inlineStr">
        <is>
          <t>FCF yield &gt;100% (check)</t>
        </is>
      </c>
      <c r="T335" s="14" t="inlineStr">
        <is>
          <t>Payoff Geometry</t>
        </is>
      </c>
    </row>
    <row r="336">
      <c r="A336" s="8" t="inlineStr">
        <is>
          <t>AMRN</t>
        </is>
      </c>
      <c r="B336" s="16" t="inlineStr">
        <is>
          <t>Amarin Corporation plc</t>
        </is>
      </c>
      <c r="C336" s="16" t="inlineStr">
        <is>
          <t>Healthcare</t>
        </is>
      </c>
      <c r="D336" s="16" t="n">
        <v>280</v>
      </c>
      <c r="E336" s="16" t="n">
        <v>0.63</v>
      </c>
      <c r="F336" s="16" t="n">
        <v>-9.5</v>
      </c>
      <c r="G336" s="16" t="n">
        <v>-7.3</v>
      </c>
      <c r="H336" s="16" t="inlineStr">
        <is>
          <t>17%</t>
        </is>
      </c>
      <c r="I336" s="16" t="inlineStr">
        <is>
          <t>110%</t>
        </is>
      </c>
      <c r="J336" s="16" t="n">
        <v>7</v>
      </c>
      <c r="K336" s="16" t="inlineStr">
        <is>
          <t>-15%</t>
        </is>
      </c>
      <c r="L336" s="16" t="inlineStr">
        <is>
          <t>-18%</t>
        </is>
      </c>
      <c r="M336" s="16" t="inlineStr">
        <is>
          <t>-6%</t>
        </is>
      </c>
      <c r="N336" s="16" t="inlineStr">
        <is>
          <t>0%</t>
        </is>
      </c>
      <c r="O336" s="16" t="n">
        <v>0</v>
      </c>
      <c r="P336" s="16" t="inlineStr">
        <is>
          <t>7%</t>
        </is>
      </c>
      <c r="Q336" s="16" t="n">
        <v>996</v>
      </c>
      <c r="R336" s="16" t="inlineStr">
        <is>
          <t>P/B 0.63 · P/S 1.5 · FCF yld 17% · net cash 110% of mcap · rev -15% · op margin -18%</t>
        </is>
      </c>
      <c r="S336" s="16" t="inlineStr"/>
      <c r="T336" s="16" t="inlineStr">
        <is>
          <t>Payoff Geometry</t>
        </is>
      </c>
    </row>
    <row r="337">
      <c r="A337" s="6" t="inlineStr">
        <is>
          <t>MSN</t>
        </is>
      </c>
      <c r="B337" s="14" t="inlineStr">
        <is>
          <t>Emerson Radio Corp.</t>
        </is>
      </c>
      <c r="C337" s="14" t="inlineStr">
        <is>
          <t>Technology</t>
        </is>
      </c>
      <c r="D337" s="14" t="n">
        <v>10</v>
      </c>
      <c r="E337" s="14" t="n">
        <v>0.52</v>
      </c>
      <c r="F337" s="14" t="n">
        <v>-2.5</v>
      </c>
      <c r="G337" s="14" t="n">
        <v>-1.4</v>
      </c>
      <c r="H337" s="14" t="inlineStr">
        <is>
          <t>-42%</t>
        </is>
      </c>
      <c r="I337" s="14" t="inlineStr">
        <is>
          <t>132%</t>
        </is>
      </c>
      <c r="J337" s="14" t="n">
        <v>1.6</v>
      </c>
      <c r="K337" s="14" t="inlineStr">
        <is>
          <t>-10%</t>
        </is>
      </c>
      <c r="L337" s="14" t="inlineStr">
        <is>
          <t>-90%</t>
        </is>
      </c>
      <c r="M337" s="14" t="inlineStr">
        <is>
          <t>-21%</t>
        </is>
      </c>
      <c r="N337" s="14" t="inlineStr">
        <is>
          <t>0%</t>
        </is>
      </c>
      <c r="O337" s="14" t="n">
        <v>0</v>
      </c>
      <c r="P337" s="14" t="inlineStr">
        <is>
          <t>23%</t>
        </is>
      </c>
      <c r="Q337" s="14" t="n">
        <v>115</v>
      </c>
      <c r="R337" s="14" t="inlineStr">
        <is>
          <t>P/B 0.52 · P/S 1.8 · FCF yld -42% · net cash 132% of mcap · rev -10% · op margin -90%</t>
        </is>
      </c>
      <c r="S337" s="14" t="inlineStr"/>
      <c r="T337" s="14" t="inlineStr">
        <is>
          <t>Payoff Geometry</t>
        </is>
      </c>
    </row>
    <row r="338">
      <c r="A338" s="8" t="inlineStr">
        <is>
          <t>MODD</t>
        </is>
      </c>
      <c r="B338" s="16" t="inlineStr">
        <is>
          <t>Modular Medical, Inc.</t>
        </is>
      </c>
      <c r="C338" s="16" t="inlineStr">
        <is>
          <t>Healthcare</t>
        </is>
      </c>
      <c r="D338" s="16" t="n">
        <v>5</v>
      </c>
      <c r="E338" s="16" t="n">
        <v>0.84</v>
      </c>
      <c r="F338" s="16" t="n">
        <v>-0.2</v>
      </c>
      <c r="G338" s="16" t="n">
        <v>-0</v>
      </c>
      <c r="H338" s="16" t="n"/>
      <c r="I338" s="16" t="inlineStr">
        <is>
          <t>49%</t>
        </is>
      </c>
      <c r="J338" s="16" t="n">
        <v>0.1</v>
      </c>
      <c r="K338" s="16" t="n"/>
      <c r="L338" s="16" t="inlineStr">
        <is>
          <t>0%</t>
        </is>
      </c>
      <c r="M338" s="16" t="inlineStr">
        <is>
          <t>-292%</t>
        </is>
      </c>
      <c r="N338" s="16" t="inlineStr">
        <is>
          <t>62%</t>
        </is>
      </c>
      <c r="O338" s="16" t="n">
        <v>0</v>
      </c>
      <c r="P338" s="16" t="inlineStr">
        <is>
          <t>3%</t>
        </is>
      </c>
      <c r="Q338" s="16" t="n">
        <v>509</v>
      </c>
      <c r="R338" s="16" t="inlineStr">
        <is>
          <t>P/B 0.84 · P/S 0.0 · net cash 49% of mcap · op margin 0% · diluting 62%/yr</t>
        </is>
      </c>
      <c r="S338" s="16" t="inlineStr">
        <is>
          <t>FCF yield &gt;100% (check)</t>
        </is>
      </c>
      <c r="T338" s="16" t="inlineStr">
        <is>
          <t>Payoff Geometry</t>
        </is>
      </c>
    </row>
    <row r="339">
      <c r="A339" s="6" t="inlineStr">
        <is>
          <t>WETH</t>
        </is>
      </c>
      <c r="B339" s="14" t="inlineStr">
        <is>
          <t>Wetouch Technology Inc</t>
        </is>
      </c>
      <c r="C339" s="14" t="inlineStr">
        <is>
          <t>Technology</t>
        </is>
      </c>
      <c r="D339" s="14" t="n">
        <v>12</v>
      </c>
      <c r="E339" s="14" t="n"/>
      <c r="F339" s="14" t="n">
        <v>1.6</v>
      </c>
      <c r="G339" s="14" t="n">
        <v>-9.800000000000001</v>
      </c>
      <c r="H339" s="14" t="inlineStr">
        <is>
          <t>68%</t>
        </is>
      </c>
      <c r="I339" s="14" t="n"/>
      <c r="J339" s="14" t="n">
        <v>-10.8</v>
      </c>
      <c r="K339" s="14" t="inlineStr">
        <is>
          <t>11%</t>
        </is>
      </c>
      <c r="L339" s="14" t="inlineStr">
        <is>
          <t>23%</t>
        </is>
      </c>
      <c r="M339" s="14" t="inlineStr">
        <is>
          <t>6%</t>
        </is>
      </c>
      <c r="N339" s="14" t="inlineStr">
        <is>
          <t>3%</t>
        </is>
      </c>
      <c r="O339" s="14" t="n">
        <v>0</v>
      </c>
      <c r="P339" s="14" t="inlineStr">
        <is>
          <t>4%</t>
        </is>
      </c>
      <c r="Q339" s="14" t="n">
        <v>126</v>
      </c>
      <c r="R339" s="14" t="inlineStr">
        <is>
          <t>P/S 0.3 · FCF yld 68% · rev +11% · op margin 23% · diluting 3%/yr</t>
        </is>
      </c>
      <c r="S339" s="14" t="inlineStr">
        <is>
          <t>market-cap/share data inconsistent</t>
        </is>
      </c>
      <c r="T339" s="14" t="inlineStr">
        <is>
          <t>Payoff Geometry</t>
        </is>
      </c>
    </row>
    <row r="340">
      <c r="A340" s="8" t="inlineStr">
        <is>
          <t>MIND</t>
        </is>
      </c>
      <c r="B340" s="16" t="inlineStr">
        <is>
          <t>MIND Technology, Inc.</t>
        </is>
      </c>
      <c r="C340" s="16" t="inlineStr">
        <is>
          <t>Technology</t>
        </is>
      </c>
      <c r="D340" s="16" t="n">
        <v>40</v>
      </c>
      <c r="E340" s="16" t="n">
        <v>1.01</v>
      </c>
      <c r="F340" s="16" t="n">
        <v>-16.8</v>
      </c>
      <c r="G340" s="16" t="n">
        <v>196.7</v>
      </c>
      <c r="H340" s="16" t="inlineStr">
        <is>
          <t>-10%</t>
        </is>
      </c>
      <c r="I340" s="16" t="inlineStr">
        <is>
          <t>45%</t>
        </is>
      </c>
      <c r="J340" s="16" t="n">
        <v>-114.8</v>
      </c>
      <c r="K340" s="16" t="inlineStr">
        <is>
          <t>28%</t>
        </is>
      </c>
      <c r="L340" s="16" t="inlineStr">
        <is>
          <t>-3%</t>
        </is>
      </c>
      <c r="M340" s="16" t="inlineStr">
        <is>
          <t>-6%</t>
        </is>
      </c>
      <c r="N340" s="16" t="inlineStr">
        <is>
          <t>45%</t>
        </is>
      </c>
      <c r="O340" s="16" t="n">
        <v>0</v>
      </c>
      <c r="P340" s="16" t="inlineStr">
        <is>
          <t>7%</t>
        </is>
      </c>
      <c r="Q340" s="16" t="n">
        <v>449</v>
      </c>
      <c r="R340" s="16" t="inlineStr">
        <is>
          <t>P/B 1.01 · EV/EBITDA 196.7× · FCF yld -10% · net cash 45% of mcap · rev +28% · op margin -3% · diluting 45%/yr</t>
        </is>
      </c>
      <c r="S340" s="16" t="inlineStr"/>
      <c r="T340" s="16" t="inlineStr">
        <is>
          <t>Payoff Geometry</t>
        </is>
      </c>
    </row>
    <row r="341">
      <c r="A341" s="6" t="inlineStr">
        <is>
          <t>MBIO</t>
        </is>
      </c>
      <c r="B341" s="14" t="inlineStr">
        <is>
          <t>Mustang Bio, Inc.</t>
        </is>
      </c>
      <c r="C341" s="14" t="inlineStr">
        <is>
          <t>Healthcare</t>
        </is>
      </c>
      <c r="D341" s="14" t="n">
        <v>4</v>
      </c>
      <c r="E341" s="14" t="n">
        <v>0.51</v>
      </c>
      <c r="F341" s="14" t="n">
        <v>-1.1</v>
      </c>
      <c r="G341" s="14" t="n">
        <v>3.7</v>
      </c>
      <c r="H341" s="14" t="n"/>
      <c r="I341" s="14" t="inlineStr">
        <is>
          <t>392%</t>
        </is>
      </c>
      <c r="J341" s="14" t="n">
        <v>5</v>
      </c>
      <c r="K341" s="14" t="n"/>
      <c r="L341" s="14" t="inlineStr">
        <is>
          <t>0%</t>
        </is>
      </c>
      <c r="M341" s="14" t="inlineStr">
        <is>
          <t>-34%</t>
        </is>
      </c>
      <c r="N341" s="14" t="inlineStr">
        <is>
          <t>13%</t>
        </is>
      </c>
      <c r="O341" s="14" t="n">
        <v>0</v>
      </c>
      <c r="P341" s="14" t="inlineStr">
        <is>
          <t>3%</t>
        </is>
      </c>
      <c r="Q341" s="14" t="n">
        <v>51</v>
      </c>
      <c r="R341" s="14" t="inlineStr">
        <is>
          <t>P/B 0.51 · EV/EBITDA 3.7× · net cash 392% of mcap · op margin 0% · diluting 13%/yr</t>
        </is>
      </c>
      <c r="S341" s="14" t="inlineStr">
        <is>
          <t>FCF yield &gt;100% (check)</t>
        </is>
      </c>
      <c r="T341" s="14" t="inlineStr">
        <is>
          <t>Payoff Geometry</t>
        </is>
      </c>
    </row>
    <row r="342">
      <c r="A342" s="8" t="inlineStr">
        <is>
          <t>APRE</t>
        </is>
      </c>
      <c r="B342" s="16" t="inlineStr">
        <is>
          <t>Aprea Therapeutics, In</t>
        </is>
      </c>
      <c r="C342" s="16" t="inlineStr">
        <is>
          <t>Healthcare</t>
        </is>
      </c>
      <c r="D342" s="16" t="n">
        <v>10</v>
      </c>
      <c r="E342" s="16" t="n"/>
      <c r="F342" s="16" t="n">
        <v>-0.6</v>
      </c>
      <c r="G342" s="16" t="n">
        <v>2.6</v>
      </c>
      <c r="H342" s="16" t="n"/>
      <c r="I342" s="16" t="n"/>
      <c r="J342" s="16" t="n">
        <v>3.4</v>
      </c>
      <c r="K342" s="16" t="n"/>
      <c r="L342" s="16" t="inlineStr">
        <is>
          <t>0%</t>
        </is>
      </c>
      <c r="M342" s="16" t="inlineStr">
        <is>
          <t>-47%</t>
        </is>
      </c>
      <c r="N342" s="16" t="n"/>
      <c r="O342" s="16" t="n">
        <v>0</v>
      </c>
      <c r="P342" s="16" t="inlineStr">
        <is>
          <t>20%</t>
        </is>
      </c>
      <c r="Q342" s="16" t="n">
        <v>158</v>
      </c>
      <c r="R342" s="16" t="inlineStr">
        <is>
          <t>EV/EBITDA 2.6× · op margin 0%</t>
        </is>
      </c>
      <c r="S342" s="16" t="inlineStr">
        <is>
          <t>market-cap/share data inconsistent; FCF yield &gt;100% (check)</t>
        </is>
      </c>
      <c r="T342" s="16" t="inlineStr">
        <is>
          <t>Payoff Geometry</t>
        </is>
      </c>
    </row>
    <row r="343">
      <c r="A343" s="6" t="inlineStr">
        <is>
          <t>XBIT</t>
        </is>
      </c>
      <c r="B343" s="14" t="inlineStr">
        <is>
          <t>XBiotech Inc.</t>
        </is>
      </c>
      <c r="C343" s="14" t="inlineStr">
        <is>
          <t>Healthcare</t>
        </is>
      </c>
      <c r="D343" s="14" t="n">
        <v>66</v>
      </c>
      <c r="E343" s="14" t="n">
        <v>0.52</v>
      </c>
      <c r="F343" s="14" t="n">
        <v>-1.5</v>
      </c>
      <c r="G343" s="14" t="n">
        <v>1</v>
      </c>
      <c r="H343" s="14" t="inlineStr">
        <is>
          <t>-61%</t>
        </is>
      </c>
      <c r="I343" s="14" t="inlineStr">
        <is>
          <t>166%</t>
        </is>
      </c>
      <c r="J343" s="14" t="n">
        <v>2.6</v>
      </c>
      <c r="K343" s="14" t="n"/>
      <c r="L343" s="14" t="inlineStr">
        <is>
          <t>0%</t>
        </is>
      </c>
      <c r="M343" s="14" t="inlineStr">
        <is>
          <t>-32%</t>
        </is>
      </c>
      <c r="N343" s="14" t="inlineStr">
        <is>
          <t>0%</t>
        </is>
      </c>
      <c r="O343" s="14" t="n">
        <v>0</v>
      </c>
      <c r="P343" s="14" t="inlineStr">
        <is>
          <t>6%</t>
        </is>
      </c>
      <c r="Q343" s="14" t="n">
        <v>81</v>
      </c>
      <c r="R343" s="14" t="inlineStr">
        <is>
          <t>P/B 0.52 · EV/EBITDA 1.0× · FCF yld -61% · net cash 166% of mcap · op margin 0%</t>
        </is>
      </c>
      <c r="S343" s="14" t="inlineStr"/>
      <c r="T343" s="14" t="inlineStr">
        <is>
          <t>Payoff Geometry</t>
        </is>
      </c>
    </row>
    <row r="344">
      <c r="A344" s="8" t="inlineStr">
        <is>
          <t>WAFU</t>
        </is>
      </c>
      <c r="B344" s="16" t="inlineStr">
        <is>
          <t>Wah Fu Education Group</t>
        </is>
      </c>
      <c r="C344" s="16" t="inlineStr">
        <is>
          <t>Consumer Defen</t>
        </is>
      </c>
      <c r="D344" s="16" t="n">
        <v>7</v>
      </c>
      <c r="E344" s="16" t="n">
        <v>0.66</v>
      </c>
      <c r="F344" s="16" t="n">
        <v>-6.3</v>
      </c>
      <c r="G344" s="16" t="n">
        <v>2.5</v>
      </c>
      <c r="H344" s="16" t="inlineStr">
        <is>
          <t>-20%</t>
        </is>
      </c>
      <c r="I344" s="16" t="inlineStr">
        <is>
          <t>133%</t>
        </is>
      </c>
      <c r="J344" s="16" t="n">
        <v>12.4</v>
      </c>
      <c r="K344" s="16" t="inlineStr">
        <is>
          <t>1%</t>
        </is>
      </c>
      <c r="L344" s="16" t="inlineStr">
        <is>
          <t>-13%</t>
        </is>
      </c>
      <c r="M344" s="16" t="inlineStr">
        <is>
          <t>-11%</t>
        </is>
      </c>
      <c r="N344" s="16" t="inlineStr">
        <is>
          <t>0%</t>
        </is>
      </c>
      <c r="O344" s="16" t="n">
        <v>0</v>
      </c>
      <c r="P344" s="16" t="inlineStr">
        <is>
          <t>20%</t>
        </is>
      </c>
      <c r="Q344" s="16" t="n">
        <v>1577</v>
      </c>
      <c r="R344" s="16" t="inlineStr">
        <is>
          <t>P/B 0.66 · EV/EBITDA 2.5× · FCF yld -20% · net cash 133% of mcap · rev +1% · op margin -13%</t>
        </is>
      </c>
      <c r="S344" s="16" t="inlineStr"/>
      <c r="T344" s="16" t="inlineStr">
        <is>
          <t>Payoff Geometry</t>
        </is>
      </c>
    </row>
    <row r="345">
      <c r="A345" s="6" t="inlineStr">
        <is>
          <t>YARW</t>
        </is>
      </c>
      <c r="B345" s="14" t="inlineStr">
        <is>
          <t>Yarrow Bioscience Inc</t>
        </is>
      </c>
      <c r="C345" s="14" t="inlineStr">
        <is>
          <t>Healthcare</t>
        </is>
      </c>
      <c r="D345" s="14" t="n">
        <v>0</v>
      </c>
      <c r="E345" s="14" t="n"/>
      <c r="F345" s="14" t="n">
        <v>-1.2</v>
      </c>
      <c r="G345" s="14" t="n">
        <v>1.2</v>
      </c>
      <c r="H345" s="14" t="n"/>
      <c r="I345" s="14" t="n"/>
      <c r="J345" s="14" t="n">
        <v>1.2</v>
      </c>
      <c r="K345" s="14" t="inlineStr">
        <is>
          <t>1%</t>
        </is>
      </c>
      <c r="L345" s="14" t="inlineStr">
        <is>
          <t>-4135%</t>
        </is>
      </c>
      <c r="M345" s="14" t="inlineStr">
        <is>
          <t>-70%</t>
        </is>
      </c>
      <c r="N345" s="14" t="inlineStr">
        <is>
          <t>0%</t>
        </is>
      </c>
      <c r="O345" s="14" t="n">
        <v>0</v>
      </c>
      <c r="P345" s="14" t="inlineStr">
        <is>
          <t>38%</t>
        </is>
      </c>
      <c r="Q345" s="14" t="n">
        <v>493</v>
      </c>
      <c r="R345" s="14" t="inlineStr">
        <is>
          <t>EV/EBITDA 1.2× · rev +1%</t>
        </is>
      </c>
      <c r="S345" s="14" t="inlineStr">
        <is>
          <t>market-cap/share data inconsistent; FCF yield &gt;100% (check); dividend yield &gt;25% (special or bad data)</t>
        </is>
      </c>
      <c r="T345" s="14" t="inlineStr">
        <is>
          <t>Payoff Geometry</t>
        </is>
      </c>
    </row>
    <row r="346">
      <c r="A346" s="8" t="inlineStr">
        <is>
          <t>RR</t>
        </is>
      </c>
      <c r="B346" s="16" t="inlineStr">
        <is>
          <t>Richtech Robotics Inc.</t>
        </is>
      </c>
      <c r="C346" s="16" t="inlineStr">
        <is>
          <t>Industrials</t>
        </is>
      </c>
      <c r="D346" s="16" t="n">
        <v>314</v>
      </c>
      <c r="E346" s="16" t="n">
        <v>0.85</v>
      </c>
      <c r="F346" s="16" t="n">
        <v>-15.7</v>
      </c>
      <c r="G346" s="16" t="n">
        <v>-0.1</v>
      </c>
      <c r="H346" s="16" t="inlineStr">
        <is>
          <t>-8%</t>
        </is>
      </c>
      <c r="I346" s="16" t="inlineStr">
        <is>
          <t>108%</t>
        </is>
      </c>
      <c r="J346" s="16" t="n">
        <v>12.4</v>
      </c>
      <c r="K346" s="16" t="n"/>
      <c r="L346" s="16" t="inlineStr">
        <is>
          <t>-635%</t>
        </is>
      </c>
      <c r="M346" s="16" t="inlineStr">
        <is>
          <t>-7%</t>
        </is>
      </c>
      <c r="N346" s="16" t="n"/>
      <c r="O346" s="16" t="n">
        <v>-569</v>
      </c>
      <c r="P346" s="16" t="inlineStr">
        <is>
          <t>7%</t>
        </is>
      </c>
      <c r="Q346" s="16" t="n">
        <v>16064</v>
      </c>
      <c r="R346" s="16" t="inlineStr">
        <is>
          <t>P/B 0.85 · P/S 56.1 · FCF yld -8% · net cash 108% of mcap</t>
        </is>
      </c>
      <c r="S346" s="16" t="inlineStr">
        <is>
          <t>new entity / merger: history not comparable</t>
        </is>
      </c>
      <c r="T346" s="16" t="inlineStr">
        <is>
          <t>Payoff Geometry</t>
        </is>
      </c>
    </row>
    <row r="347">
      <c r="A347" s="6" t="inlineStr">
        <is>
          <t>HURC</t>
        </is>
      </c>
      <c r="B347" s="14" t="inlineStr">
        <is>
          <t>Hurco Companies, Inc.</t>
        </is>
      </c>
      <c r="C347" s="14" t="inlineStr">
        <is>
          <t>Industrials</t>
        </is>
      </c>
      <c r="D347" s="14" t="n">
        <v>140</v>
      </c>
      <c r="E347" s="14" t="n">
        <v>0.73</v>
      </c>
      <c r="F347" s="14" t="n">
        <v>-20.7</v>
      </c>
      <c r="G347" s="14" t="n">
        <v>-31.2</v>
      </c>
      <c r="H347" s="14" t="inlineStr">
        <is>
          <t>6%</t>
        </is>
      </c>
      <c r="I347" s="14" t="inlineStr">
        <is>
          <t>30%</t>
        </is>
      </c>
      <c r="J347" s="14" t="n">
        <v>13.9</v>
      </c>
      <c r="K347" s="14" t="inlineStr">
        <is>
          <t>-1%</t>
        </is>
      </c>
      <c r="L347" s="14" t="inlineStr">
        <is>
          <t>-3%</t>
        </is>
      </c>
      <c r="M347" s="14" t="inlineStr">
        <is>
          <t>-3%</t>
        </is>
      </c>
      <c r="N347" s="14" t="inlineStr">
        <is>
          <t>-1%</t>
        </is>
      </c>
      <c r="O347" s="14" t="n">
        <v>-54.7</v>
      </c>
      <c r="P347" s="14" t="inlineStr">
        <is>
          <t>71%</t>
        </is>
      </c>
      <c r="Q347" s="14" t="n">
        <v>705</v>
      </c>
      <c r="R347" s="14" t="inlineStr">
        <is>
          <t>P/B 0.73 · P/S 0.7 · FCF yld 6% · net cash 30% of mcap · rev -1% · op margin -3%</t>
        </is>
      </c>
      <c r="S347" s="14" t="inlineStr"/>
      <c r="T347" s="14" t="inlineStr">
        <is>
          <t>Payoff Geometry</t>
        </is>
      </c>
    </row>
    <row r="348">
      <c r="A348" s="8" t="inlineStr">
        <is>
          <t>RDGT</t>
        </is>
      </c>
      <c r="B348" s="16" t="inlineStr">
        <is>
          <t>Ridgetech, Inc.</t>
        </is>
      </c>
      <c r="C348" s="16" t="inlineStr">
        <is>
          <t>Healthcare</t>
        </is>
      </c>
      <c r="D348" s="16" t="n">
        <v>1</v>
      </c>
      <c r="E348" s="16" t="n"/>
      <c r="F348" s="16" t="n">
        <v>-0</v>
      </c>
      <c r="G348" s="16" t="n">
        <v>10.5</v>
      </c>
      <c r="H348" s="16" t="n"/>
      <c r="I348" s="16" t="n"/>
      <c r="J348" s="16" t="n">
        <v>11</v>
      </c>
      <c r="K348" s="16" t="inlineStr">
        <is>
          <t>-24%</t>
        </is>
      </c>
      <c r="L348" s="16" t="inlineStr">
        <is>
          <t>-1%</t>
        </is>
      </c>
      <c r="M348" s="16" t="inlineStr">
        <is>
          <t>-4%</t>
        </is>
      </c>
      <c r="N348" s="16" t="inlineStr">
        <is>
          <t>9%</t>
        </is>
      </c>
      <c r="O348" s="16" t="n">
        <v>-25.6</v>
      </c>
      <c r="P348" s="16" t="inlineStr">
        <is>
          <t>0%</t>
        </is>
      </c>
      <c r="Q348" s="16" t="n">
        <v>2759</v>
      </c>
      <c r="R348" s="16" t="inlineStr">
        <is>
          <t>EV/EBITDA 10.5× · rev -24% · op margin -1% · diluting 9%/yr</t>
        </is>
      </c>
      <c r="S348" s="16" t="inlineStr">
        <is>
          <t>market-cap/share data inconsistent; FCF yield &gt;100% (check)</t>
        </is>
      </c>
      <c r="T348" s="16" t="inlineStr">
        <is>
          <t>Payoff Geometry</t>
        </is>
      </c>
    </row>
    <row r="349">
      <c r="A349" s="6" t="inlineStr">
        <is>
          <t>LBTYA</t>
        </is>
      </c>
      <c r="B349" s="14" t="inlineStr">
        <is>
          <t>Liberty Global plc</t>
        </is>
      </c>
      <c r="C349" s="14" t="inlineStr">
        <is>
          <t xml:space="preserve">Communication </t>
        </is>
      </c>
      <c r="D349" s="14" t="n">
        <v>3195</v>
      </c>
      <c r="E349" s="14" t="n">
        <v>0.35</v>
      </c>
      <c r="F349" s="14" t="n">
        <v>-1.1</v>
      </c>
      <c r="G349" s="14" t="n">
        <v>-6.5</v>
      </c>
      <c r="H349" s="14" t="inlineStr">
        <is>
          <t>-8%</t>
        </is>
      </c>
      <c r="I349" s="14" t="inlineStr">
        <is>
          <t>-208%</t>
        </is>
      </c>
      <c r="J349" s="14" t="n">
        <v>-4.4</v>
      </c>
      <c r="K349" s="14" t="n"/>
      <c r="L349" s="14" t="inlineStr">
        <is>
          <t>1%</t>
        </is>
      </c>
      <c r="M349" s="14" t="inlineStr">
        <is>
          <t>-29%</t>
        </is>
      </c>
      <c r="N349" s="14" t="inlineStr">
        <is>
          <t>-8%</t>
        </is>
      </c>
      <c r="O349" s="14" t="n">
        <v>0.1</v>
      </c>
      <c r="P349" s="14" t="inlineStr">
        <is>
          <t>7%</t>
        </is>
      </c>
      <c r="Q349" s="14" t="n">
        <v>20860</v>
      </c>
      <c r="R349" s="14" t="inlineStr">
        <is>
          <t>P/B 0.35 · P/S 0.7 · FCF yld -8% · net debt 208% of mcap · op margin 1% · buying back 8%/yr · interest cover 0.1× ⚠</t>
        </is>
      </c>
      <c r="S349" s="14" t="inlineStr"/>
      <c r="T349" s="14" t="inlineStr">
        <is>
          <t>Payoff Geometry</t>
        </is>
      </c>
    </row>
    <row r="350">
      <c r="A350" s="8" t="inlineStr">
        <is>
          <t>BATL</t>
        </is>
      </c>
      <c r="B350" s="16" t="inlineStr">
        <is>
          <t>Battalion Oil Corporat</t>
        </is>
      </c>
      <c r="C350" s="16" t="inlineStr">
        <is>
          <t>Energy</t>
        </is>
      </c>
      <c r="D350" s="16" t="n">
        <v>24</v>
      </c>
      <c r="E350" s="16" t="n">
        <v>0.12</v>
      </c>
      <c r="F350" s="16" t="n">
        <v>-0.2</v>
      </c>
      <c r="G350" s="16" t="n">
        <v>4.4</v>
      </c>
      <c r="H350" s="16" t="n"/>
      <c r="I350" s="16" t="inlineStr">
        <is>
          <t>-311%</t>
        </is>
      </c>
      <c r="J350" s="16" t="n">
        <v>3.3</v>
      </c>
      <c r="K350" s="16" t="n"/>
      <c r="L350" s="16" t="inlineStr">
        <is>
          <t>-3%</t>
        </is>
      </c>
      <c r="M350" s="16" t="inlineStr">
        <is>
          <t>-30%</t>
        </is>
      </c>
      <c r="N350" s="16" t="n"/>
      <c r="O350" s="16" t="n">
        <v>-0.3</v>
      </c>
      <c r="P350" s="16" t="inlineStr">
        <is>
          <t>0%</t>
        </is>
      </c>
      <c r="Q350" s="16" t="n">
        <v>13661</v>
      </c>
      <c r="R350" s="16" t="inlineStr">
        <is>
          <t>P/B 0.12 · EV/EBITDA 4.4× · net debt 311% of mcap · op margin -3% · interest cover -0.3× ⚠</t>
        </is>
      </c>
      <c r="S350" s="16" t="inlineStr">
        <is>
          <t>FCF yield &gt;100% (check); new entity / merger: history not comparable</t>
        </is>
      </c>
      <c r="T350" s="16" t="inlineStr">
        <is>
          <t>Mechanism Gates</t>
        </is>
      </c>
    </row>
    <row r="351">
      <c r="A351" s="6" t="inlineStr">
        <is>
          <t>ONEW</t>
        </is>
      </c>
      <c r="B351" s="14" t="inlineStr">
        <is>
          <t>OneWater Marine Inc.</t>
        </is>
      </c>
      <c r="C351" s="14" t="inlineStr">
        <is>
          <t>Consumer Cycli</t>
        </is>
      </c>
      <c r="D351" s="14" t="n">
        <v>165</v>
      </c>
      <c r="E351" s="14" t="n">
        <v>0.58</v>
      </c>
      <c r="F351" s="14" t="n">
        <v>-1.3</v>
      </c>
      <c r="G351" s="14" t="n">
        <v>-10.7</v>
      </c>
      <c r="H351" s="14" t="inlineStr">
        <is>
          <t>34%</t>
        </is>
      </c>
      <c r="I351" s="14" t="inlineStr">
        <is>
          <t>-488%</t>
        </is>
      </c>
      <c r="J351" s="14" t="n">
        <v>-8.9</v>
      </c>
      <c r="K351" s="14" t="inlineStr">
        <is>
          <t>3%</t>
        </is>
      </c>
      <c r="L351" s="14" t="inlineStr">
        <is>
          <t>4%</t>
        </is>
      </c>
      <c r="M351" s="14" t="inlineStr">
        <is>
          <t>-44%</t>
        </is>
      </c>
      <c r="N351" s="14" t="inlineStr">
        <is>
          <t>4%</t>
        </is>
      </c>
      <c r="O351" s="14" t="n">
        <v>1.6</v>
      </c>
      <c r="P351" s="14" t="inlineStr">
        <is>
          <t>20%</t>
        </is>
      </c>
      <c r="Q351" s="14" t="n">
        <v>1044</v>
      </c>
      <c r="R351" s="14" t="inlineStr">
        <is>
          <t>P/B 0.58 · P/S 0.1 · FCF yld 34% · net debt 488% of mcap · rev +3% · op margin 4% · diluting 4%/yr</t>
        </is>
      </c>
      <c r="S351" s="14" t="inlineStr"/>
      <c r="T351" s="14" t="inlineStr">
        <is>
          <t>Mechanism Gates</t>
        </is>
      </c>
    </row>
    <row r="352">
      <c r="A352" s="8" t="inlineStr">
        <is>
          <t>NMRK</t>
        </is>
      </c>
      <c r="B352" s="16" t="inlineStr">
        <is>
          <t>Newmark Group, Inc.</t>
        </is>
      </c>
      <c r="C352" s="16" t="inlineStr">
        <is>
          <t>Real Estate</t>
        </is>
      </c>
      <c r="D352" s="16" t="n">
        <v>2112</v>
      </c>
      <c r="E352" s="16" t="n">
        <v>1.46</v>
      </c>
      <c r="F352" s="16" t="n">
        <v>16</v>
      </c>
      <c r="G352" s="16" t="n">
        <v>8</v>
      </c>
      <c r="H352" s="16" t="inlineStr">
        <is>
          <t>39%</t>
        </is>
      </c>
      <c r="I352" s="16" t="inlineStr">
        <is>
          <t>-91%</t>
        </is>
      </c>
      <c r="J352" s="16" t="n">
        <v>3.8</v>
      </c>
      <c r="K352" s="16" t="inlineStr">
        <is>
          <t>21%</t>
        </is>
      </c>
      <c r="L352" s="16" t="inlineStr">
        <is>
          <t>8%</t>
        </is>
      </c>
      <c r="M352" s="16" t="inlineStr">
        <is>
          <t>10%</t>
        </is>
      </c>
      <c r="N352" s="16" t="inlineStr">
        <is>
          <t>0%</t>
        </is>
      </c>
      <c r="O352" s="16" t="n">
        <v>4.3</v>
      </c>
      <c r="P352" s="16" t="inlineStr">
        <is>
          <t>2%</t>
        </is>
      </c>
      <c r="Q352" s="16" t="n">
        <v>20171</v>
      </c>
      <c r="R352" s="16" t="inlineStr">
        <is>
          <t>P/B 1.46 · EV/EBITDA 8.0× · FCF yld 39% · net debt 91% of mcap · rev +21% · op margin 8%</t>
        </is>
      </c>
      <c r="S352" s="16" t="inlineStr"/>
      <c r="T352" s="16" t="inlineStr">
        <is>
          <t>Mechanism Gates</t>
        </is>
      </c>
    </row>
    <row r="353">
      <c r="A353" s="6" t="inlineStr">
        <is>
          <t>VBIO</t>
        </is>
      </c>
      <c r="B353" s="14" t="inlineStr">
        <is>
          <t>Valion Bio, Inc.</t>
        </is>
      </c>
      <c r="C353" s="14" t="inlineStr">
        <is>
          <t>Healthcare</t>
        </is>
      </c>
      <c r="D353" s="14" t="n">
        <v>11</v>
      </c>
      <c r="E353" s="14" t="n"/>
      <c r="F353" s="14" t="n">
        <v>-0</v>
      </c>
      <c r="G353" s="14" t="n">
        <v>-1.7</v>
      </c>
      <c r="H353" s="14" t="n"/>
      <c r="I353" s="14" t="n"/>
      <c r="J353" s="14" t="n">
        <v>-1</v>
      </c>
      <c r="K353" s="14" t="n"/>
      <c r="L353" s="14" t="inlineStr">
        <is>
          <t>10587%</t>
        </is>
      </c>
      <c r="M353" s="14" t="inlineStr">
        <is>
          <t>-165%</t>
        </is>
      </c>
      <c r="N353" s="14" t="n"/>
      <c r="O353" s="14" t="n">
        <v>-12.3</v>
      </c>
      <c r="P353" s="14" t="inlineStr">
        <is>
          <t>1%</t>
        </is>
      </c>
      <c r="Q353" s="14" t="n">
        <v>745</v>
      </c>
      <c r="R353" s="14" t="inlineStr">
        <is>
          <t>P/S -72.7</t>
        </is>
      </c>
      <c r="S353" s="14" t="inlineStr">
        <is>
          <t>market-cap/share data inconsistent; FCF yield &gt;100% (check); new entity / merger: history not comparable</t>
        </is>
      </c>
      <c r="T353" s="14" t="inlineStr">
        <is>
          <t>Mechanism Gates</t>
        </is>
      </c>
    </row>
    <row r="354">
      <c r="A354" s="8" t="inlineStr">
        <is>
          <t>ULH</t>
        </is>
      </c>
      <c r="B354" s="16" t="inlineStr">
        <is>
          <t>Universal Logistics Ho</t>
        </is>
      </c>
      <c r="C354" s="16" t="inlineStr">
        <is>
          <t>Industrials</t>
        </is>
      </c>
      <c r="D354" s="16" t="n">
        <v>427</v>
      </c>
      <c r="E354" s="16" t="n">
        <v>0.76</v>
      </c>
      <c r="F354" s="16" t="n">
        <v>-4.6</v>
      </c>
      <c r="G354" s="16" t="n">
        <v>12.4</v>
      </c>
      <c r="H354" s="16" t="inlineStr">
        <is>
          <t>9%</t>
        </is>
      </c>
      <c r="I354" s="16" t="inlineStr">
        <is>
          <t>-192%</t>
        </is>
      </c>
      <c r="J354" s="16" t="n">
        <v>8.1</v>
      </c>
      <c r="K354" s="16" t="inlineStr">
        <is>
          <t>-8%</t>
        </is>
      </c>
      <c r="L354" s="16" t="inlineStr">
        <is>
          <t>-0%</t>
        </is>
      </c>
      <c r="M354" s="16" t="inlineStr">
        <is>
          <t>-17%</t>
        </is>
      </c>
      <c r="N354" s="16" t="inlineStr">
        <is>
          <t>0%</t>
        </is>
      </c>
      <c r="O354" s="16" t="n">
        <v>-0.1</v>
      </c>
      <c r="P354" s="16" t="inlineStr">
        <is>
          <t>32%</t>
        </is>
      </c>
      <c r="Q354" s="16" t="n">
        <v>826</v>
      </c>
      <c r="R354" s="16" t="inlineStr">
        <is>
          <t>P/B 0.76 · EV/EBITDA 12.4× · FCF yld 9% · net debt 192% of mcap · rev -8% · op margin -0% · interest cover -0.1× ⚠</t>
        </is>
      </c>
      <c r="S354" s="16" t="inlineStr"/>
      <c r="T354" s="16" t="inlineStr">
        <is>
          <t>Mechanism Gates</t>
        </is>
      </c>
    </row>
    <row r="355">
      <c r="A355" s="6" t="inlineStr">
        <is>
          <t>IMMR</t>
        </is>
      </c>
      <c r="B355" s="14" t="inlineStr">
        <is>
          <t>Immersion Corporation</t>
        </is>
      </c>
      <c r="C355" s="14" t="inlineStr">
        <is>
          <t>Technology</t>
        </is>
      </c>
      <c r="D355" s="14" t="n">
        <v>247</v>
      </c>
      <c r="E355" s="14" t="n">
        <v>0.82</v>
      </c>
      <c r="F355" s="14" t="n">
        <v>21.7</v>
      </c>
      <c r="G355" s="14" t="n">
        <v>4.4</v>
      </c>
      <c r="H355" s="14" t="inlineStr">
        <is>
          <t>25%</t>
        </is>
      </c>
      <c r="I355" s="14" t="inlineStr">
        <is>
          <t>-21%</t>
        </is>
      </c>
      <c r="J355" s="14" t="n">
        <v>1.1</v>
      </c>
      <c r="K355" s="14" t="inlineStr">
        <is>
          <t>4%</t>
        </is>
      </c>
      <c r="L355" s="14" t="inlineStr">
        <is>
          <t>2%</t>
        </is>
      </c>
      <c r="M355" s="14" t="inlineStr">
        <is>
          <t>3%</t>
        </is>
      </c>
      <c r="N355" s="14" t="inlineStr">
        <is>
          <t>2%</t>
        </is>
      </c>
      <c r="O355" s="14" t="n">
        <v>2.6</v>
      </c>
      <c r="P355" s="14" t="inlineStr">
        <is>
          <t>78%</t>
        </is>
      </c>
      <c r="Q355" s="14" t="n">
        <v>4098</v>
      </c>
      <c r="R355" s="14" t="inlineStr">
        <is>
          <t>P/B 0.82 · EV/EBITDA 4.4× · FCF yld 25% · net debt 21% of mcap · rev +4% · op margin 2% · diluting 2%/yr</t>
        </is>
      </c>
      <c r="S355" s="14" t="inlineStr"/>
      <c r="T355" s="14" t="inlineStr">
        <is>
          <t>Mechanism Gates</t>
        </is>
      </c>
    </row>
    <row r="356">
      <c r="A356" s="8" t="inlineStr">
        <is>
          <t>VENU</t>
        </is>
      </c>
      <c r="B356" s="16" t="inlineStr">
        <is>
          <t>Venu Holding Corporati</t>
        </is>
      </c>
      <c r="C356" s="16" t="inlineStr">
        <is>
          <t>Consumer Cycli</t>
        </is>
      </c>
      <c r="D356" s="16" t="n">
        <v>89</v>
      </c>
      <c r="E356" s="16" t="n">
        <v>0.59</v>
      </c>
      <c r="F356" s="16" t="n">
        <v>-1.3</v>
      </c>
      <c r="G356" s="16" t="n">
        <v>-7.9</v>
      </c>
      <c r="H356" s="16" t="n"/>
      <c r="I356" s="16" t="inlineStr">
        <is>
          <t>-189%</t>
        </is>
      </c>
      <c r="J356" s="16" t="n">
        <v>-5.2</v>
      </c>
      <c r="K356" s="16" t="inlineStr">
        <is>
          <t>-13%</t>
        </is>
      </c>
      <c r="L356" s="16" t="inlineStr">
        <is>
          <t>-329%</t>
        </is>
      </c>
      <c r="M356" s="16" t="inlineStr">
        <is>
          <t>-31%</t>
        </is>
      </c>
      <c r="N356" s="16" t="inlineStr">
        <is>
          <t>57%</t>
        </is>
      </c>
      <c r="O356" s="16" t="n">
        <v>-5.3</v>
      </c>
      <c r="P356" s="16" t="inlineStr">
        <is>
          <t>0%</t>
        </is>
      </c>
      <c r="Q356" s="16" t="n">
        <v>826</v>
      </c>
      <c r="R356" s="16" t="inlineStr">
        <is>
          <t>P/B 0.59 · P/S 5.7 · net debt 189% of mcap · rev -13% · op margin -329% · diluting 57%/yr · interest cover -5.3× ⚠</t>
        </is>
      </c>
      <c r="S356" s="16" t="inlineStr">
        <is>
          <t>FCF yield &gt;100% (check)</t>
        </is>
      </c>
      <c r="T356" s="16" t="inlineStr">
        <is>
          <t>Mechanism Gates</t>
        </is>
      </c>
    </row>
    <row r="357">
      <c r="A357" s="6" t="inlineStr">
        <is>
          <t>GPI</t>
        </is>
      </c>
      <c r="B357" s="14" t="inlineStr">
        <is>
          <t>Group 1 Automotive, In</t>
        </is>
      </c>
      <c r="C357" s="14" t="inlineStr">
        <is>
          <t>Consumer Cycli</t>
        </is>
      </c>
      <c r="D357" s="14" t="n">
        <v>2974</v>
      </c>
      <c r="E357" s="14" t="n">
        <v>1.01</v>
      </c>
      <c r="F357" s="14" t="n">
        <v>10.4</v>
      </c>
      <c r="G357" s="14" t="n">
        <v>10.6</v>
      </c>
      <c r="H357" s="14" t="inlineStr">
        <is>
          <t>5%</t>
        </is>
      </c>
      <c r="I357" s="14" t="inlineStr">
        <is>
          <t>-196%</t>
        </is>
      </c>
      <c r="J357" s="14" t="n">
        <v>7.1</v>
      </c>
      <c r="K357" s="14" t="inlineStr">
        <is>
          <t>1%</t>
        </is>
      </c>
      <c r="L357" s="14" t="inlineStr">
        <is>
          <t>4%</t>
        </is>
      </c>
      <c r="M357" s="14" t="inlineStr">
        <is>
          <t>10%</t>
        </is>
      </c>
      <c r="N357" s="14" t="inlineStr">
        <is>
          <t>-8%</t>
        </is>
      </c>
      <c r="O357" s="14" t="n">
        <v>3.6</v>
      </c>
      <c r="P357" s="14" t="inlineStr">
        <is>
          <t>1%</t>
        </is>
      </c>
      <c r="Q357" s="14" t="n">
        <v>52444</v>
      </c>
      <c r="R357" s="14" t="inlineStr">
        <is>
          <t>P/B 1.01 · EV/EBITDA 10.6× · FCF yld 5% · net debt 196% of mcap · rev +1% · op margin 4% · buying back 8%/yr</t>
        </is>
      </c>
      <c r="S357" s="14" t="inlineStr"/>
      <c r="T357" s="14" t="inlineStr">
        <is>
          <t>Mechanism Gates</t>
        </is>
      </c>
    </row>
    <row r="358">
      <c r="A358" s="8" t="inlineStr">
        <is>
          <t>FWRD</t>
        </is>
      </c>
      <c r="B358" s="16" t="inlineStr">
        <is>
          <t>Forward Air Corporatio</t>
        </is>
      </c>
      <c r="C358" s="16" t="inlineStr">
        <is>
          <t>Industrials</t>
        </is>
      </c>
      <c r="D358" s="16" t="n">
        <v>472</v>
      </c>
      <c r="E358" s="16" t="n"/>
      <c r="F358" s="16" t="n">
        <v>-1.7</v>
      </c>
      <c r="G358" s="16" t="n">
        <v>-22.7</v>
      </c>
      <c r="H358" s="16" t="inlineStr">
        <is>
          <t>10%</t>
        </is>
      </c>
      <c r="I358" s="16" t="n"/>
      <c r="J358" s="16" t="n">
        <v>-18.3</v>
      </c>
      <c r="K358" s="16" t="inlineStr">
        <is>
          <t>-0%</t>
        </is>
      </c>
      <c r="L358" s="16" t="inlineStr">
        <is>
          <t>-7%</t>
        </is>
      </c>
      <c r="M358" s="16" t="inlineStr">
        <is>
          <t>-523%</t>
        </is>
      </c>
      <c r="N358" s="16" t="inlineStr">
        <is>
          <t>7%</t>
        </is>
      </c>
      <c r="O358" s="16" t="n">
        <v>-1.9</v>
      </c>
      <c r="P358" s="16" t="inlineStr">
        <is>
          <t>30%</t>
        </is>
      </c>
      <c r="Q358" s="16" t="n">
        <v>17299</v>
      </c>
      <c r="R358" s="16" t="inlineStr">
        <is>
          <t>P/S 0.2 · FCF yld 10% · rev -0% · op margin -7% · diluting 7%/yr</t>
        </is>
      </c>
      <c r="S358" s="16" t="inlineStr">
        <is>
          <t>negative equity</t>
        </is>
      </c>
      <c r="T358" s="16" t="inlineStr">
        <is>
          <t>Mechanism Gates</t>
        </is>
      </c>
    </row>
    <row r="359">
      <c r="A359" s="6" t="inlineStr">
        <is>
          <t>PRTA</t>
        </is>
      </c>
      <c r="B359" s="14" t="inlineStr">
        <is>
          <t>Prothena Corporation p</t>
        </is>
      </c>
      <c r="C359" s="14" t="inlineStr">
        <is>
          <t>Healthcare</t>
        </is>
      </c>
      <c r="D359" s="14" t="n">
        <v>457</v>
      </c>
      <c r="E359" s="14" t="n">
        <v>1.59</v>
      </c>
      <c r="F359" s="14" t="n">
        <v>-10.5</v>
      </c>
      <c r="G359" s="14" t="n">
        <v>-4.2</v>
      </c>
      <c r="H359" s="14" t="inlineStr">
        <is>
          <t>-13%</t>
        </is>
      </c>
      <c r="I359" s="14" t="inlineStr">
        <is>
          <t>62%</t>
        </is>
      </c>
      <c r="J359" s="14" t="n">
        <v>6.8</v>
      </c>
      <c r="K359" s="14" t="n"/>
      <c r="L359" s="14" t="inlineStr">
        <is>
          <t>-115%</t>
        </is>
      </c>
      <c r="M359" s="14" t="inlineStr">
        <is>
          <t>-15%</t>
        </is>
      </c>
      <c r="N359" s="14" t="inlineStr">
        <is>
          <t>-3%</t>
        </is>
      </c>
      <c r="O359" s="14" t="n">
        <v>0</v>
      </c>
      <c r="P359" s="14" t="inlineStr">
        <is>
          <t>25%</t>
        </is>
      </c>
      <c r="Q359" s="14" t="n">
        <v>4525</v>
      </c>
      <c r="R359" s="14" t="inlineStr">
        <is>
          <t>P/B 1.59 · P/S 8.4 · FCF yld -13% · net cash 62% of mcap · op margin -115% · buying back 3%/yr</t>
        </is>
      </c>
      <c r="S359" s="14" t="inlineStr">
        <is>
          <t>revenue not comparable YoY (fair-value / one-off income?)</t>
        </is>
      </c>
      <c r="T359" s="14" t="inlineStr">
        <is>
          <t>Mechanism Gates</t>
        </is>
      </c>
    </row>
    <row r="360">
      <c r="A360" s="8" t="inlineStr">
        <is>
          <t>WOOF</t>
        </is>
      </c>
      <c r="B360" s="16" t="inlineStr">
        <is>
          <t>Petco Health and Welln</t>
        </is>
      </c>
      <c r="C360" s="16" t="inlineStr">
        <is>
          <t>Consumer Cycli</t>
        </is>
      </c>
      <c r="D360" s="16" t="n">
        <v>667</v>
      </c>
      <c r="E360" s="16" t="n">
        <v>0.55</v>
      </c>
      <c r="F360" s="16" t="n">
        <v>20.9</v>
      </c>
      <c r="G360" s="16" t="n">
        <v>5.4</v>
      </c>
      <c r="H360" s="16" t="inlineStr">
        <is>
          <t>47%</t>
        </is>
      </c>
      <c r="I360" s="16" t="inlineStr">
        <is>
          <t>-177%</t>
        </is>
      </c>
      <c r="J360" s="16" t="n">
        <v>3.5</v>
      </c>
      <c r="K360" s="16" t="inlineStr">
        <is>
          <t>-1%</t>
        </is>
      </c>
      <c r="L360" s="16" t="inlineStr">
        <is>
          <t>2%</t>
        </is>
      </c>
      <c r="M360" s="16" t="inlineStr">
        <is>
          <t>3%</t>
        </is>
      </c>
      <c r="N360" s="16" t="inlineStr">
        <is>
          <t>2%</t>
        </is>
      </c>
      <c r="O360" s="16" t="n">
        <v>1</v>
      </c>
      <c r="P360" s="16" t="inlineStr">
        <is>
          <t>6%</t>
        </is>
      </c>
      <c r="Q360" s="16" t="n">
        <v>4971</v>
      </c>
      <c r="R360" s="16" t="inlineStr">
        <is>
          <t>P/B 0.55 · EV/EBITDA 5.4× · FCF yld 47% · net debt 177% of mcap · rev -1% · op margin 2% · interest cover 1.0× ⚠</t>
        </is>
      </c>
      <c r="S360" s="16" t="inlineStr"/>
      <c r="T360" s="16" t="inlineStr">
        <is>
          <t>Mechanism Gates</t>
        </is>
      </c>
    </row>
    <row r="361">
      <c r="A361" s="6" t="inlineStr">
        <is>
          <t>POLA</t>
        </is>
      </c>
      <c r="B361" s="14" t="inlineStr">
        <is>
          <t>Polar Power, Inc.</t>
        </is>
      </c>
      <c r="C361" s="14" t="inlineStr">
        <is>
          <t>Industrials</t>
        </is>
      </c>
      <c r="D361" s="14" t="n">
        <v>4</v>
      </c>
      <c r="E361" s="14" t="n">
        <v>4.24</v>
      </c>
      <c r="F361" s="14" t="n">
        <v>-0.4</v>
      </c>
      <c r="G361" s="14" t="n">
        <v>-0.9</v>
      </c>
      <c r="H361" s="14" t="inlineStr">
        <is>
          <t>-61%</t>
        </is>
      </c>
      <c r="I361" s="14" t="inlineStr">
        <is>
          <t>-104%</t>
        </is>
      </c>
      <c r="J361" s="14" t="n">
        <v>-0.5</v>
      </c>
      <c r="K361" s="14" t="inlineStr">
        <is>
          <t>-61%</t>
        </is>
      </c>
      <c r="L361" s="14" t="inlineStr">
        <is>
          <t>-182%</t>
        </is>
      </c>
      <c r="M361" s="14" t="inlineStr">
        <is>
          <t>-618%</t>
        </is>
      </c>
      <c r="N361" s="14" t="inlineStr">
        <is>
          <t>48%</t>
        </is>
      </c>
      <c r="O361" s="14" t="n">
        <v>-8.1</v>
      </c>
      <c r="P361" s="14" t="inlineStr">
        <is>
          <t>2%</t>
        </is>
      </c>
      <c r="Q361" s="14" t="n">
        <v>1009</v>
      </c>
      <c r="R361" s="14" t="inlineStr">
        <is>
          <t>P/B 4.24 · P/S 0.8 · FCF yld -61% · net debt 104% of mcap · rev -61% · op margin -182% · diluting 48%/yr · interest cover -8.1× ⚠</t>
        </is>
      </c>
      <c r="S361" s="14" t="inlineStr"/>
      <c r="T361" s="14" t="inlineStr">
        <is>
          <t>Structured Distressed</t>
        </is>
      </c>
    </row>
    <row r="362">
      <c r="A362" s="8" t="inlineStr">
        <is>
          <t>TAOX</t>
        </is>
      </c>
      <c r="B362" s="16" t="inlineStr">
        <is>
          <t>TAO Synergies Inc.</t>
        </is>
      </c>
      <c r="C362" s="16" t="inlineStr">
        <is>
          <t>Technology</t>
        </is>
      </c>
      <c r="D362" s="16" t="n">
        <v>32</v>
      </c>
      <c r="E362" s="16" t="n">
        <v>1.87</v>
      </c>
      <c r="F362" s="16" t="n">
        <v>-1.1</v>
      </c>
      <c r="G362" s="16" t="n">
        <v>-3.6</v>
      </c>
      <c r="H362" s="16" t="inlineStr">
        <is>
          <t>-19%</t>
        </is>
      </c>
      <c r="I362" s="16" t="inlineStr">
        <is>
          <t>59%</t>
        </is>
      </c>
      <c r="J362" s="16" t="n">
        <v>0.3</v>
      </c>
      <c r="K362" s="16" t="n"/>
      <c r="L362" s="16" t="inlineStr">
        <is>
          <t>-1085%</t>
        </is>
      </c>
      <c r="M362" s="16" t="inlineStr">
        <is>
          <t>-81%</t>
        </is>
      </c>
      <c r="N362" s="16" t="n"/>
      <c r="O362" s="16" t="n">
        <v>0</v>
      </c>
      <c r="P362" s="16" t="inlineStr">
        <is>
          <t>18%</t>
        </is>
      </c>
      <c r="Q362" s="16" t="n">
        <v>575</v>
      </c>
      <c r="R362" s="16" t="inlineStr">
        <is>
          <t>P/B 1.87 · P/S 41.7 · FCF yld -19% · net cash 59% of mcap</t>
        </is>
      </c>
      <c r="S362" s="16" t="inlineStr">
        <is>
          <t>revenue not comparable YoY (fair-value / one-off income?)</t>
        </is>
      </c>
      <c r="T362" s="16" t="inlineStr">
        <is>
          <t>Structured Distressed</t>
        </is>
      </c>
    </row>
    <row r="363">
      <c r="A363" s="6" t="inlineStr">
        <is>
          <t>STEX</t>
        </is>
      </c>
      <c r="B363" s="14" t="inlineStr">
        <is>
          <t>Streamex Corp.</t>
        </is>
      </c>
      <c r="C363" s="14" t="inlineStr">
        <is>
          <t>Financial Serv</t>
        </is>
      </c>
      <c r="D363" s="14" t="n">
        <v>86</v>
      </c>
      <c r="E363" s="14" t="n">
        <v>0.59</v>
      </c>
      <c r="F363" s="14" t="n">
        <v>-0.1</v>
      </c>
      <c r="G363" s="14" t="n">
        <v>-0.2</v>
      </c>
      <c r="H363" s="14" t="inlineStr">
        <is>
          <t>-51%</t>
        </is>
      </c>
      <c r="I363" s="14" t="inlineStr">
        <is>
          <t>23%</t>
        </is>
      </c>
      <c r="J363" s="14" t="n">
        <v>0</v>
      </c>
      <c r="K363" s="14" t="n"/>
      <c r="L363" s="14" t="inlineStr">
        <is>
          <t>-67570%</t>
        </is>
      </c>
      <c r="M363" s="14" t="inlineStr">
        <is>
          <t>-465%</t>
        </is>
      </c>
      <c r="N363" s="14" t="n"/>
      <c r="O363" s="14" t="n">
        <v>8.1</v>
      </c>
      <c r="P363" s="14" t="inlineStr">
        <is>
          <t>4%</t>
        </is>
      </c>
      <c r="Q363" s="14" t="n">
        <v>1171</v>
      </c>
      <c r="R363" s="14" t="inlineStr">
        <is>
          <t>P/B 0.59 · ROE -465% (financial: book/earnings basis)</t>
        </is>
      </c>
      <c r="S363" s="14" t="inlineStr">
        <is>
          <t>revenue not comparable YoY (fair-value / one-off income?)</t>
        </is>
      </c>
      <c r="T363" s="14" t="inlineStr">
        <is>
          <t>Structured Distressed</t>
        </is>
      </c>
    </row>
    <row r="364">
      <c r="A364" s="8" t="inlineStr">
        <is>
          <t>BRFH</t>
        </is>
      </c>
      <c r="B364" s="16" t="inlineStr">
        <is>
          <t>Barfresh Food Group In</t>
        </is>
      </c>
      <c r="C364" s="16" t="inlineStr">
        <is>
          <t>Consumer Defen</t>
        </is>
      </c>
      <c r="D364" s="16" t="n">
        <v>17</v>
      </c>
      <c r="E364" s="16" t="n"/>
      <c r="F364" s="16" t="n">
        <v>-4.6</v>
      </c>
      <c r="G364" s="16" t="n">
        <v>-8.5</v>
      </c>
      <c r="H364" s="16" t="inlineStr">
        <is>
          <t>-25%</t>
        </is>
      </c>
      <c r="I364" s="16" t="n"/>
      <c r="J364" s="16" t="n">
        <v>-2.8</v>
      </c>
      <c r="K364" s="16" t="inlineStr">
        <is>
          <t>82%</t>
        </is>
      </c>
      <c r="L364" s="16" t="inlineStr">
        <is>
          <t>-16%</t>
        </is>
      </c>
      <c r="M364" s="16" t="inlineStr">
        <is>
          <t>-295%</t>
        </is>
      </c>
      <c r="N364" s="16" t="inlineStr">
        <is>
          <t>3%</t>
        </is>
      </c>
      <c r="O364" s="16" t="n">
        <v>-4.3</v>
      </c>
      <c r="P364" s="16" t="inlineStr">
        <is>
          <t>0%</t>
        </is>
      </c>
      <c r="Q364" s="16" t="n">
        <v>18</v>
      </c>
      <c r="R364" s="16" t="inlineStr">
        <is>
          <t>P/S 0.8 · FCF yld -25% · rev +82% · op margin -16% · diluting 3%/yr</t>
        </is>
      </c>
      <c r="S364" s="16" t="inlineStr">
        <is>
          <t>negative equity</t>
        </is>
      </c>
      <c r="T364" s="16" t="inlineStr">
        <is>
          <t>Structured Distressed</t>
        </is>
      </c>
    </row>
    <row r="365">
      <c r="A365" s="6" t="inlineStr">
        <is>
          <t>FRMI</t>
        </is>
      </c>
      <c r="B365" s="14" t="inlineStr">
        <is>
          <t>Fermi Inc. Common Stoc</t>
        </is>
      </c>
      <c r="C365" s="14" t="inlineStr">
        <is>
          <t>Real Estate</t>
        </is>
      </c>
      <c r="D365" s="14" t="n">
        <v>3154</v>
      </c>
      <c r="E365" s="14" t="n">
        <v>3.06</v>
      </c>
      <c r="F365" s="14" t="n">
        <v>-3.5</v>
      </c>
      <c r="G365" s="14" t="n">
        <v>-4.3</v>
      </c>
      <c r="H365" s="14" t="inlineStr">
        <is>
          <t>-38%</t>
        </is>
      </c>
      <c r="I365" s="14" t="inlineStr">
        <is>
          <t>2%</t>
        </is>
      </c>
      <c r="J365" s="14" t="n">
        <v>0.1</v>
      </c>
      <c r="K365" s="14" t="n"/>
      <c r="L365" s="14" t="inlineStr">
        <is>
          <t>0%</t>
        </is>
      </c>
      <c r="M365" s="14" t="inlineStr">
        <is>
          <t>-79%</t>
        </is>
      </c>
      <c r="N365" s="14" t="inlineStr">
        <is>
          <t>75%</t>
        </is>
      </c>
      <c r="O365" s="14" t="n">
        <v>-30424.6</v>
      </c>
      <c r="P365" s="14" t="inlineStr">
        <is>
          <t>1%</t>
        </is>
      </c>
      <c r="Q365" s="14" t="n">
        <v>94768</v>
      </c>
      <c r="R365" s="14" t="inlineStr">
        <is>
          <t>P/B 3.06 · P/S 0.0 · FCF yld -38% · net cash 2% of mcap · op margin 0% · diluting 75%/yr</t>
        </is>
      </c>
      <c r="S365" s="14" t="inlineStr"/>
      <c r="T365" s="14" t="inlineStr">
        <is>
          <t>Structured Distressed</t>
        </is>
      </c>
    </row>
    <row r="366">
      <c r="A366" s="8" t="inlineStr">
        <is>
          <t>AIB</t>
        </is>
      </c>
      <c r="B366" s="16" t="inlineStr">
        <is>
          <t>AIB Data Centers Inc.</t>
        </is>
      </c>
      <c r="C366" s="16" t="inlineStr">
        <is>
          <t>Technology</t>
        </is>
      </c>
      <c r="D366" s="16" t="n">
        <v>103</v>
      </c>
      <c r="E366" s="16" t="n">
        <v>1.24</v>
      </c>
      <c r="F366" s="16" t="n">
        <v>-19.6</v>
      </c>
      <c r="G366" s="16" t="n">
        <v>-13.1</v>
      </c>
      <c r="H366" s="16" t="inlineStr">
        <is>
          <t>-1%</t>
        </is>
      </c>
      <c r="I366" s="16" t="inlineStr">
        <is>
          <t>51%</t>
        </is>
      </c>
      <c r="J366" s="16" t="n">
        <v>12.2</v>
      </c>
      <c r="K366" s="16" t="n"/>
      <c r="L366" s="16" t="inlineStr">
        <is>
          <t>-42%</t>
        </is>
      </c>
      <c r="M366" s="16" t="inlineStr">
        <is>
          <t>-16%</t>
        </is>
      </c>
      <c r="N366" s="16" t="n"/>
      <c r="O366" s="16" t="n">
        <v>0</v>
      </c>
      <c r="P366" s="16" t="inlineStr">
        <is>
          <t>8%</t>
        </is>
      </c>
      <c r="Q366" s="16" t="n">
        <v>1688</v>
      </c>
      <c r="R366" s="16" t="inlineStr">
        <is>
          <t>P/B 1.24 · P/S 8.5 · FCF yld -1% · net cash 51% of mcap · op margin -42%</t>
        </is>
      </c>
      <c r="S366" s="16" t="inlineStr">
        <is>
          <t>new entity / merger: history not comparable</t>
        </is>
      </c>
      <c r="T366" s="16" t="inlineStr">
        <is>
          <t>Structured Distressed</t>
        </is>
      </c>
    </row>
    <row r="367">
      <c r="A367" s="6" t="inlineStr">
        <is>
          <t>SAFX</t>
        </is>
      </c>
      <c r="B367" s="14" t="inlineStr">
        <is>
          <t>XCF Global, Inc. Class</t>
        </is>
      </c>
      <c r="C367" s="14" t="inlineStr">
        <is>
          <t>Energy</t>
        </is>
      </c>
      <c r="D367" s="14" t="n">
        <v>153</v>
      </c>
      <c r="E367" s="14" t="n"/>
      <c r="F367" s="14" t="n">
        <v>-1</v>
      </c>
      <c r="G367" s="14" t="n">
        <v>4.5</v>
      </c>
      <c r="H367" s="14" t="inlineStr">
        <is>
          <t>-13%</t>
        </is>
      </c>
      <c r="I367" s="14" t="n"/>
      <c r="J367" s="14" t="n">
        <v>2.8</v>
      </c>
      <c r="K367" s="14" t="inlineStr">
        <is>
          <t>132%</t>
        </is>
      </c>
      <c r="L367" s="14" t="inlineStr">
        <is>
          <t>-247%</t>
        </is>
      </c>
      <c r="M367" s="14" t="inlineStr">
        <is>
          <t>-230%</t>
        </is>
      </c>
      <c r="N367" s="14" t="inlineStr">
        <is>
          <t>6%</t>
        </is>
      </c>
      <c r="O367" s="14" t="n">
        <v>-2.6</v>
      </c>
      <c r="P367" s="14" t="inlineStr">
        <is>
          <t>23%</t>
        </is>
      </c>
      <c r="Q367" s="14" t="n">
        <v>1725</v>
      </c>
      <c r="R367" s="14" t="inlineStr">
        <is>
          <t>EV/EBITDA 4.5× · FCF yld -13% · rev +132% · op margin -247% · diluting 6%/yr</t>
        </is>
      </c>
      <c r="S367" s="14" t="inlineStr">
        <is>
          <t>market-cap/share data inconsistent</t>
        </is>
      </c>
      <c r="T367" s="14" t="inlineStr">
        <is>
          <t>Structured Distressed</t>
        </is>
      </c>
    </row>
    <row r="368">
      <c r="A368" s="8" t="inlineStr">
        <is>
          <t>BAFN</t>
        </is>
      </c>
      <c r="B368" s="16" t="inlineStr">
        <is>
          <t>BayFirst Financial Cor</t>
        </is>
      </c>
      <c r="C368" s="16" t="inlineStr">
        <is>
          <t>Financial Serv</t>
        </is>
      </c>
      <c r="D368" s="16" t="n">
        <v>36</v>
      </c>
      <c r="E368" s="16" t="n">
        <v>0.31</v>
      </c>
      <c r="F368" s="16" t="n">
        <v>-0.6</v>
      </c>
      <c r="G368" s="16" t="n">
        <v>1.1</v>
      </c>
      <c r="H368" s="16" t="n"/>
      <c r="I368" s="16" t="inlineStr">
        <is>
          <t>542%</t>
        </is>
      </c>
      <c r="J368" s="16" t="n">
        <v>1.6</v>
      </c>
      <c r="K368" s="16" t="inlineStr">
        <is>
          <t>-47%</t>
        </is>
      </c>
      <c r="L368" s="16" t="inlineStr">
        <is>
          <t>-125%</t>
        </is>
      </c>
      <c r="M368" s="16" t="inlineStr">
        <is>
          <t>-64%</t>
        </is>
      </c>
      <c r="N368" s="16" t="inlineStr">
        <is>
          <t>-1%</t>
        </is>
      </c>
      <c r="O368" s="16" t="n">
        <v>-2.3</v>
      </c>
      <c r="P368" s="16" t="inlineStr">
        <is>
          <t>63%</t>
        </is>
      </c>
      <c r="Q368" s="16" t="n">
        <v>491</v>
      </c>
      <c r="R368" s="16" t="inlineStr">
        <is>
          <t>P/B 0.31 · ROE -64% (financial: book/earnings basis)</t>
        </is>
      </c>
      <c r="S368" s="16" t="inlineStr">
        <is>
          <t>FCF yield &gt;100% (check)</t>
        </is>
      </c>
      <c r="T368" s="16" t="inlineStr">
        <is>
          <t>Structured Distressed</t>
        </is>
      </c>
    </row>
    <row r="369">
      <c r="A369" s="6" t="inlineStr">
        <is>
          <t>GTBIF</t>
        </is>
      </c>
      <c r="B369" s="14" t="inlineStr">
        <is>
          <t>Green Thumb Industries</t>
        </is>
      </c>
      <c r="C369" s="14" t="inlineStr">
        <is>
          <t>Healthcare</t>
        </is>
      </c>
      <c r="D369" s="14" t="n">
        <v>1677</v>
      </c>
      <c r="E369" s="14" t="n">
        <v>0.9</v>
      </c>
      <c r="F369" s="14" t="n">
        <v>14.6</v>
      </c>
      <c r="G369" s="14" t="n">
        <v>5.8</v>
      </c>
      <c r="H369" s="14" t="inlineStr">
        <is>
          <t>11%</t>
        </is>
      </c>
      <c r="I369" s="14" t="inlineStr">
        <is>
          <t>-16%</t>
        </is>
      </c>
      <c r="J369" s="14" t="n">
        <v>0.8</v>
      </c>
      <c r="K369" s="14" t="inlineStr">
        <is>
          <t>5%</t>
        </is>
      </c>
      <c r="L369" s="14" t="inlineStr">
        <is>
          <t>10%</t>
        </is>
      </c>
      <c r="M369" s="14" t="inlineStr">
        <is>
          <t>7%</t>
        </is>
      </c>
      <c r="N369" s="14" t="inlineStr">
        <is>
          <t>-6%</t>
        </is>
      </c>
      <c r="O369" s="14" t="n">
        <v>5.4</v>
      </c>
      <c r="P369" s="14" t="inlineStr">
        <is>
          <t>46%</t>
        </is>
      </c>
      <c r="Q369" s="14" t="n">
        <v>3782</v>
      </c>
      <c r="R369" s="14" t="inlineStr">
        <is>
          <t>P/B 0.90 · EV/EBITDA 5.8× · FCF yld 11% · net debt 16% of mcap · rev +5% · op margin 10% · buying back 6%/yr</t>
        </is>
      </c>
      <c r="S369" s="14" t="inlineStr"/>
      <c r="T369" s="14" t="inlineStr">
        <is>
          <t>Structured Distressed</t>
        </is>
      </c>
    </row>
    <row r="370">
      <c r="A370" s="8" t="inlineStr">
        <is>
          <t>CABO</t>
        </is>
      </c>
      <c r="B370" s="16" t="inlineStr">
        <is>
          <t>Cable One, Inc.</t>
        </is>
      </c>
      <c r="C370" s="16" t="inlineStr">
        <is>
          <t xml:space="preserve">Communication </t>
        </is>
      </c>
      <c r="D370" s="16" t="n">
        <v>95</v>
      </c>
      <c r="E370" s="16" t="n">
        <v>0.29</v>
      </c>
      <c r="F370" s="16" t="n">
        <v>-0.1</v>
      </c>
      <c r="G370" s="16" t="n">
        <v>-8.199999999999999</v>
      </c>
      <c r="H370" s="16" t="n"/>
      <c r="I370" s="16" t="inlineStr">
        <is>
          <t>-3042%</t>
        </is>
      </c>
      <c r="J370" s="16" t="n">
        <v>-8</v>
      </c>
      <c r="K370" s="16" t="inlineStr">
        <is>
          <t>-7%</t>
        </is>
      </c>
      <c r="L370" s="16" t="inlineStr">
        <is>
          <t>-17%</t>
        </is>
      </c>
      <c r="M370" s="16" t="inlineStr">
        <is>
          <t>-90%</t>
        </is>
      </c>
      <c r="N370" s="16" t="inlineStr">
        <is>
          <t>1%</t>
        </is>
      </c>
      <c r="O370" s="16" t="n">
        <v>-1.8</v>
      </c>
      <c r="P370" s="16" t="inlineStr">
        <is>
          <t>0%</t>
        </is>
      </c>
      <c r="Q370" s="16" t="n">
        <v>4380</v>
      </c>
      <c r="R370" s="16" t="inlineStr">
        <is>
          <t>P/B 0.29 · P/S 0.1 · net debt 3042% of mcap · rev -7% · op margin -17% · interest cover -1.8× ⚠</t>
        </is>
      </c>
      <c r="S370" s="16" t="inlineStr">
        <is>
          <t>FCF yield &gt;100% (check)</t>
        </is>
      </c>
      <c r="T370" s="16" t="inlineStr">
        <is>
          <t>Governance Discount</t>
        </is>
      </c>
    </row>
    <row r="371">
      <c r="A371" s="6" t="inlineStr">
        <is>
          <t>CNTN</t>
        </is>
      </c>
      <c r="B371" s="14" t="inlineStr">
        <is>
          <t>Canton Strategic Holdi</t>
        </is>
      </c>
      <c r="C371" s="14" t="inlineStr">
        <is>
          <t>Healthcare</t>
        </is>
      </c>
      <c r="D371" s="14" t="n">
        <v>181</v>
      </c>
      <c r="E371" s="14" t="n"/>
      <c r="F371" s="14" t="n">
        <v>-1.5</v>
      </c>
      <c r="G371" s="14" t="n">
        <v>-1.5</v>
      </c>
      <c r="H371" s="14" t="inlineStr">
        <is>
          <t>-13%</t>
        </is>
      </c>
      <c r="I371" s="14" t="n"/>
      <c r="J371" s="14" t="n">
        <v>0.4</v>
      </c>
      <c r="K371" s="14" t="n"/>
      <c r="L371" s="14" t="inlineStr">
        <is>
          <t>-3595%</t>
        </is>
      </c>
      <c r="M371" s="14" t="inlineStr">
        <is>
          <t>-30%</t>
        </is>
      </c>
      <c r="N371" s="14" t="n"/>
      <c r="O371" s="14" t="n">
        <v>-3921.7</v>
      </c>
      <c r="P371" s="14" t="inlineStr">
        <is>
          <t>12%</t>
        </is>
      </c>
      <c r="Q371" s="14" t="n">
        <v>2105</v>
      </c>
      <c r="R371" s="14" t="inlineStr">
        <is>
          <t>P/S 117.7 · FCF yld -13%</t>
        </is>
      </c>
      <c r="S371" s="14" t="inlineStr">
        <is>
          <t>market-cap/share data inconsistent</t>
        </is>
      </c>
      <c r="T371" s="14" t="inlineStr">
        <is>
          <t>Governance Discount</t>
        </is>
      </c>
    </row>
    <row r="372">
      <c r="A372" s="8" t="inlineStr">
        <is>
          <t>CLAR</t>
        </is>
      </c>
      <c r="B372" s="16" t="inlineStr">
        <is>
          <t>Clarus Corporation</t>
        </is>
      </c>
      <c r="C372" s="16" t="inlineStr">
        <is>
          <t>Consumer Cycli</t>
        </is>
      </c>
      <c r="D372" s="16" t="n">
        <v>135</v>
      </c>
      <c r="E372" s="16" t="n">
        <v>0.68</v>
      </c>
      <c r="F372" s="16" t="n">
        <v>-4.3</v>
      </c>
      <c r="G372" s="16" t="n">
        <v>-4.1</v>
      </c>
      <c r="H372" s="16" t="inlineStr">
        <is>
          <t>-0%</t>
        </is>
      </c>
      <c r="I372" s="16" t="inlineStr">
        <is>
          <t>9%</t>
        </is>
      </c>
      <c r="J372" s="16" t="n">
        <v>0.4</v>
      </c>
      <c r="K372" s="16" t="inlineStr">
        <is>
          <t>-0%</t>
        </is>
      </c>
      <c r="L372" s="16" t="inlineStr">
        <is>
          <t>-4%</t>
        </is>
      </c>
      <c r="M372" s="16" t="inlineStr">
        <is>
          <t>-15%</t>
        </is>
      </c>
      <c r="N372" s="16" t="inlineStr">
        <is>
          <t>-0%</t>
        </is>
      </c>
      <c r="O372" s="16" t="n">
        <v>0</v>
      </c>
      <c r="P372" s="16" t="inlineStr">
        <is>
          <t>67%</t>
        </is>
      </c>
      <c r="Q372" s="16" t="n">
        <v>727</v>
      </c>
      <c r="R372" s="16" t="inlineStr">
        <is>
          <t>P/B 0.68 · P/S 0.5 · FCF yld -0% · net cash 9% of mcap · rev -0% · op margin -4%</t>
        </is>
      </c>
      <c r="S372" s="16" t="inlineStr"/>
      <c r="T372" s="16" t="inlineStr">
        <is>
          <t>Governance Discount</t>
        </is>
      </c>
    </row>
    <row r="373">
      <c r="A373" s="6" t="inlineStr">
        <is>
          <t>ARE</t>
        </is>
      </c>
      <c r="B373" s="14" t="inlineStr">
        <is>
          <t>Alexandria Real Estate</t>
        </is>
      </c>
      <c r="C373" s="14" t="inlineStr">
        <is>
          <t>Real Estate</t>
        </is>
      </c>
      <c r="D373" s="14" t="n">
        <v>9318</v>
      </c>
      <c r="E373" s="14" t="n">
        <v>0.6</v>
      </c>
      <c r="F373" s="14" t="n">
        <v>-9.300000000000001</v>
      </c>
      <c r="G373" s="14" t="n">
        <v>50.2</v>
      </c>
      <c r="H373" s="14" t="inlineStr">
        <is>
          <t>10%</t>
        </is>
      </c>
      <c r="I373" s="14" t="inlineStr">
        <is>
          <t>-132%</t>
        </is>
      </c>
      <c r="J373" s="14" t="n">
        <v>29</v>
      </c>
      <c r="K373" s="14" t="inlineStr">
        <is>
          <t>-2%</t>
        </is>
      </c>
      <c r="L373" s="14" t="inlineStr">
        <is>
          <t>-46%</t>
        </is>
      </c>
      <c r="M373" s="14" t="inlineStr">
        <is>
          <t>-6%</t>
        </is>
      </c>
      <c r="N373" s="14" t="inlineStr">
        <is>
          <t>11%</t>
        </is>
      </c>
      <c r="O373" s="14" t="n">
        <v>-5.4</v>
      </c>
      <c r="P373" s="14" t="inlineStr">
        <is>
          <t>30%</t>
        </is>
      </c>
      <c r="Q373" s="14" t="n">
        <v>102244</v>
      </c>
      <c r="R373" s="14" t="inlineStr">
        <is>
          <t>P/B 0.60 · EV/EBITDA 50.2× · FCF yld 10% · net debt 132% of mcap · rev -2% · op margin -46% · diluting 11%/yr · interest cover -5.4× ⚠</t>
        </is>
      </c>
      <c r="S373" s="14" t="inlineStr"/>
      <c r="T373" s="14" t="inlineStr">
        <is>
          <t>Governance Discount</t>
        </is>
      </c>
    </row>
    <row r="374">
      <c r="A374" s="8" t="inlineStr">
        <is>
          <t>LBTYK</t>
        </is>
      </c>
      <c r="B374" s="16" t="inlineStr">
        <is>
          <t>Liberty Global plc</t>
        </is>
      </c>
      <c r="C374" s="16" t="inlineStr">
        <is>
          <t xml:space="preserve">Communication </t>
        </is>
      </c>
      <c r="D374" s="16" t="n">
        <v>3238</v>
      </c>
      <c r="E374" s="16" t="n">
        <v>0.35</v>
      </c>
      <c r="F374" s="16" t="n">
        <v>-1.1</v>
      </c>
      <c r="G374" s="16" t="n">
        <v>-6.5</v>
      </c>
      <c r="H374" s="16" t="inlineStr">
        <is>
          <t>-8%</t>
        </is>
      </c>
      <c r="I374" s="16" t="inlineStr">
        <is>
          <t>-206%</t>
        </is>
      </c>
      <c r="J374" s="16" t="n">
        <v>-4.4</v>
      </c>
      <c r="K374" s="16" t="n"/>
      <c r="L374" s="16" t="inlineStr">
        <is>
          <t>1%</t>
        </is>
      </c>
      <c r="M374" s="16" t="inlineStr">
        <is>
          <t>-29%</t>
        </is>
      </c>
      <c r="N374" s="16" t="inlineStr">
        <is>
          <t>-8%</t>
        </is>
      </c>
      <c r="O374" s="16" t="n">
        <v>0.1</v>
      </c>
      <c r="P374" s="16" t="inlineStr">
        <is>
          <t>5%</t>
        </is>
      </c>
      <c r="Q374" s="16" t="n">
        <v>13363</v>
      </c>
      <c r="R374" s="16" t="inlineStr">
        <is>
          <t>P/B 0.35 · P/S 0.7 · FCF yld -8% · net debt 206% of mcap · op margin 1% · buying back 8%/yr · interest cover 0.1× ⚠</t>
        </is>
      </c>
      <c r="S374" s="16" t="inlineStr"/>
      <c r="T374" s="16" t="inlineStr">
        <is>
          <t>Governance Discount</t>
        </is>
      </c>
    </row>
    <row r="375">
      <c r="A375" s="6" t="inlineStr">
        <is>
          <t>RYN</t>
        </is>
      </c>
      <c r="B375" s="14" t="inlineStr">
        <is>
          <t>Rayonier Inc. REIT</t>
        </is>
      </c>
      <c r="C375" s="14" t="inlineStr">
        <is>
          <t>Real Estate</t>
        </is>
      </c>
      <c r="D375" s="14" t="n">
        <v>3136</v>
      </c>
      <c r="E375" s="14" t="n">
        <v>0.6</v>
      </c>
      <c r="F375" s="14" t="n">
        <v>40.7</v>
      </c>
      <c r="G375" s="14" t="n">
        <v>13.9</v>
      </c>
      <c r="H375" s="14" t="inlineStr">
        <is>
          <t>9%</t>
        </is>
      </c>
      <c r="I375" s="14" t="inlineStr">
        <is>
          <t>-47%</t>
        </is>
      </c>
      <c r="J375" s="14" t="n">
        <v>4.5</v>
      </c>
      <c r="K375" s="14" t="inlineStr">
        <is>
          <t>-13%</t>
        </is>
      </c>
      <c r="L375" s="14" t="inlineStr">
        <is>
          <t>6%</t>
        </is>
      </c>
      <c r="M375" s="14" t="inlineStr">
        <is>
          <t>2%</t>
        </is>
      </c>
      <c r="N375" s="14" t="inlineStr">
        <is>
          <t>3%</t>
        </is>
      </c>
      <c r="O375" s="14" t="n">
        <v>1.3</v>
      </c>
      <c r="P375" s="14" t="inlineStr">
        <is>
          <t>10%</t>
        </is>
      </c>
      <c r="Q375" s="14" t="n">
        <v>58896</v>
      </c>
      <c r="R375" s="14" t="inlineStr">
        <is>
          <t>P/B 0.60 · EV/EBITDA 13.9× · FCF yld 9% · net debt 47% of mcap · rev -13% · op margin 6% · diluting 3%/yr · interest cover 1.3× ⚠</t>
        </is>
      </c>
      <c r="S375" s="14" t="inlineStr"/>
      <c r="T375" s="14" t="inlineStr">
        <is>
          <t>Governance Discount</t>
        </is>
      </c>
    </row>
    <row r="376">
      <c r="A376" s="8" t="inlineStr">
        <is>
          <t>CCS</t>
        </is>
      </c>
      <c r="B376" s="16" t="inlineStr">
        <is>
          <t>Century Communities, I</t>
        </is>
      </c>
      <c r="C376" s="16" t="inlineStr">
        <is>
          <t>Consumer Cycli</t>
        </is>
      </c>
      <c r="D376" s="16" t="n">
        <v>1776</v>
      </c>
      <c r="E376" s="16" t="n">
        <v>0.6899999999999999</v>
      </c>
      <c r="F376" s="16" t="n">
        <v>13.4</v>
      </c>
      <c r="G376" s="16" t="n">
        <v>20.6</v>
      </c>
      <c r="H376" s="16" t="inlineStr">
        <is>
          <t>3%</t>
        </is>
      </c>
      <c r="I376" s="16" t="inlineStr">
        <is>
          <t>-90%</t>
        </is>
      </c>
      <c r="J376" s="16" t="n">
        <v>9.800000000000001</v>
      </c>
      <c r="K376" s="16" t="inlineStr">
        <is>
          <t>-9%</t>
        </is>
      </c>
      <c r="L376" s="16" t="inlineStr">
        <is>
          <t>4%</t>
        </is>
      </c>
      <c r="M376" s="16" t="inlineStr">
        <is>
          <t>5%</t>
        </is>
      </c>
      <c r="N376" s="16" t="inlineStr">
        <is>
          <t>-6%</t>
        </is>
      </c>
      <c r="O376" s="16" t="n">
        <v>0</v>
      </c>
      <c r="P376" s="16" t="inlineStr">
        <is>
          <t>53%</t>
        </is>
      </c>
      <c r="Q376" s="16" t="n">
        <v>19651</v>
      </c>
      <c r="R376" s="16" t="inlineStr">
        <is>
          <t>P/B 0.69 · EV/EBITDA 20.6× · FCF yld 3% · net debt 90% of mcap · rev -9% · op margin 4% · buying back 6%/yr</t>
        </is>
      </c>
      <c r="S376" s="16" t="inlineStr"/>
      <c r="T376" s="16" t="inlineStr">
        <is>
          <t>Governance Discount</t>
        </is>
      </c>
    </row>
    <row r="377">
      <c r="A377" s="6" t="inlineStr">
        <is>
          <t>OPTT</t>
        </is>
      </c>
      <c r="B377" s="14" t="inlineStr">
        <is>
          <t>Ocean Power Technologi</t>
        </is>
      </c>
      <c r="C377" s="14" t="inlineStr">
        <is>
          <t>Industrials</t>
        </is>
      </c>
      <c r="D377" s="14" t="n">
        <v>13</v>
      </c>
      <c r="E377" s="14" t="n"/>
      <c r="F377" s="14" t="n">
        <v>-0.3</v>
      </c>
      <c r="G377" s="14" t="n">
        <v>-0.4</v>
      </c>
      <c r="H377" s="14" t="n"/>
      <c r="I377" s="14" t="n"/>
      <c r="J377" s="14" t="n">
        <v>-0.1</v>
      </c>
      <c r="K377" s="14" t="inlineStr">
        <is>
          <t>-47%</t>
        </is>
      </c>
      <c r="L377" s="14" t="inlineStr">
        <is>
          <t>-1089%</t>
        </is>
      </c>
      <c r="M377" s="14" t="inlineStr">
        <is>
          <t>-338%</t>
        </is>
      </c>
      <c r="N377" s="14" t="n"/>
      <c r="O377" s="14" t="n">
        <v>-16.3</v>
      </c>
      <c r="P377" s="14" t="inlineStr">
        <is>
          <t>2%</t>
        </is>
      </c>
      <c r="Q377" s="14" t="n">
        <v>456</v>
      </c>
      <c r="R377" s="14" t="inlineStr">
        <is>
          <t>P/S 3.2 · rev -47%</t>
        </is>
      </c>
      <c r="S377" s="14" t="inlineStr">
        <is>
          <t>market-cap/share data inconsistent; FCF yield &gt;100% (check)</t>
        </is>
      </c>
      <c r="T377" s="14" t="inlineStr">
        <is>
          <t>Governance Discount</t>
        </is>
      </c>
    </row>
    <row r="378">
      <c r="A378" s="8" t="inlineStr">
        <is>
          <t>SSTK</t>
        </is>
      </c>
      <c r="B378" s="16" t="inlineStr">
        <is>
          <t>Shutterstock, Inc.</t>
        </is>
      </c>
      <c r="C378" s="16" t="inlineStr">
        <is>
          <t xml:space="preserve">Communication </t>
        </is>
      </c>
      <c r="D378" s="16" t="n">
        <v>162</v>
      </c>
      <c r="E378" s="16" t="n">
        <v>0.45</v>
      </c>
      <c r="F378" s="16" t="n">
        <v>-0.8</v>
      </c>
      <c r="G378" s="16" t="n">
        <v>-3.3</v>
      </c>
      <c r="H378" s="16" t="inlineStr">
        <is>
          <t>56%</t>
        </is>
      </c>
      <c r="I378" s="16" t="inlineStr">
        <is>
          <t>-95%</t>
        </is>
      </c>
      <c r="J378" s="16" t="n">
        <v>-1.6</v>
      </c>
      <c r="K378" s="16" t="inlineStr">
        <is>
          <t>-11%</t>
        </is>
      </c>
      <c r="L378" s="16" t="inlineStr">
        <is>
          <t>-17%</t>
        </is>
      </c>
      <c r="M378" s="16" t="inlineStr">
        <is>
          <t>-40%</t>
        </is>
      </c>
      <c r="N378" s="16" t="inlineStr">
        <is>
          <t>2%</t>
        </is>
      </c>
      <c r="O378" s="16" t="n">
        <v>-5</v>
      </c>
      <c r="P378" s="16" t="inlineStr">
        <is>
          <t>0%</t>
        </is>
      </c>
      <c r="Q378" s="16" t="n">
        <v>4415</v>
      </c>
      <c r="R378" s="16" t="inlineStr">
        <is>
          <t>P/B 0.45 · P/S 0.2 · FCF yld 56% · net debt 95% of mcap · rev -11% · op margin -17% · diluting 2%/yr · interest cover -5.0× ⚠</t>
        </is>
      </c>
      <c r="S378" s="16" t="inlineStr">
        <is>
          <t>dividend yield &gt;25% (special or bad data)</t>
        </is>
      </c>
      <c r="T378" s="16" t="inlineStr">
        <is>
          <t>Governance Discount</t>
        </is>
      </c>
    </row>
    <row r="379">
      <c r="A379" s="6" t="inlineStr">
        <is>
          <t>BNGO</t>
        </is>
      </c>
      <c r="B379" s="14" t="inlineStr">
        <is>
          <t>Bionano Genomics, Inc.</t>
        </is>
      </c>
      <c r="C379" s="14" t="inlineStr">
        <is>
          <t>Healthcare</t>
        </is>
      </c>
      <c r="D379" s="14" t="n">
        <v>20</v>
      </c>
      <c r="E379" s="14" t="n">
        <v>0.64</v>
      </c>
      <c r="F379" s="14" t="n">
        <v>-0.5</v>
      </c>
      <c r="G379" s="14" t="n">
        <v>-1</v>
      </c>
      <c r="H379" s="14" t="n"/>
      <c r="I379" s="14" t="inlineStr">
        <is>
          <t>16%</t>
        </is>
      </c>
      <c r="J379" s="14" t="n">
        <v>-0.1</v>
      </c>
      <c r="K379" s="14" t="n"/>
      <c r="L379" s="14" t="inlineStr">
        <is>
          <t>-107%</t>
        </is>
      </c>
      <c r="M379" s="14" t="inlineStr">
        <is>
          <t>-79%</t>
        </is>
      </c>
      <c r="N379" s="14" t="n"/>
      <c r="O379" s="14" t="n">
        <v>-151.1</v>
      </c>
      <c r="P379" s="14" t="inlineStr">
        <is>
          <t>62%</t>
        </is>
      </c>
      <c r="Q379" s="14" t="n">
        <v>1166</v>
      </c>
      <c r="R379" s="14" t="inlineStr">
        <is>
          <t>P/B 0.64 · P/S 0.7 · net cash 16% of mcap · op margin -107%</t>
        </is>
      </c>
      <c r="S379" s="14" t="inlineStr">
        <is>
          <t>FCF yield &gt;100% (check); new entity / merger: history not comparable</t>
        </is>
      </c>
      <c r="T379" s="14" t="inlineStr">
        <is>
          <t>Governance Discount</t>
        </is>
      </c>
    </row>
    <row r="380">
      <c r="A380" s="8" t="inlineStr">
        <is>
          <t>MLCI</t>
        </is>
      </c>
      <c r="B380" s="16" t="inlineStr">
        <is>
          <t>Mount Logan Capital In</t>
        </is>
      </c>
      <c r="C380" s="16" t="inlineStr">
        <is>
          <t>Financial Serv</t>
        </is>
      </c>
      <c r="D380" s="16" t="n">
        <v>36</v>
      </c>
      <c r="E380" s="16" t="n">
        <v>0.59</v>
      </c>
      <c r="F380" s="16" t="n">
        <v>-0.4</v>
      </c>
      <c r="G380" s="16" t="n">
        <v>-2.9</v>
      </c>
      <c r="H380" s="16" t="n"/>
      <c r="I380" s="16" t="inlineStr">
        <is>
          <t>-296%</t>
        </is>
      </c>
      <c r="J380" s="16" t="n">
        <v>-2.1</v>
      </c>
      <c r="K380" s="16" t="n"/>
      <c r="L380" s="16" t="inlineStr">
        <is>
          <t>115%</t>
        </is>
      </c>
      <c r="M380" s="16" t="inlineStr">
        <is>
          <t>-62%</t>
        </is>
      </c>
      <c r="N380" s="16" t="n"/>
      <c r="O380" s="16" t="n">
        <v>-12.8</v>
      </c>
      <c r="P380" s="16" t="inlineStr">
        <is>
          <t>10%</t>
        </is>
      </c>
      <c r="Q380" s="16" t="n">
        <v>100</v>
      </c>
      <c r="R380" s="16" t="inlineStr">
        <is>
          <t>P/B 0.59 · ROE -62% · div yld 3.8% (financial: book/earnings basis)</t>
        </is>
      </c>
      <c r="S380" s="16" t="inlineStr">
        <is>
          <t>FCF yield &gt;100% (check)</t>
        </is>
      </c>
      <c r="T380" s="16" t="inlineStr">
        <is>
          <t>Governance Discount</t>
        </is>
      </c>
    </row>
    <row r="381">
      <c r="A381" s="6" t="inlineStr">
        <is>
          <t>DCGO</t>
        </is>
      </c>
      <c r="B381" s="14" t="inlineStr">
        <is>
          <t>DocGo Inc.</t>
        </is>
      </c>
      <c r="C381" s="14" t="inlineStr">
        <is>
          <t>Healthcare</t>
        </is>
      </c>
      <c r="D381" s="14" t="n">
        <v>36</v>
      </c>
      <c r="E381" s="14" t="n">
        <v>0.3</v>
      </c>
      <c r="F381" s="14" t="n">
        <v>-0.2</v>
      </c>
      <c r="G381" s="14" t="n">
        <v>-0.2</v>
      </c>
      <c r="H381" s="14" t="inlineStr">
        <is>
          <t>-76%</t>
        </is>
      </c>
      <c r="I381" s="14" t="inlineStr">
        <is>
          <t>-2%</t>
        </is>
      </c>
      <c r="J381" s="14" t="n">
        <v>-0</v>
      </c>
      <c r="K381" s="14" t="inlineStr">
        <is>
          <t>-32%</t>
        </is>
      </c>
      <c r="L381" s="14" t="inlineStr">
        <is>
          <t>-38%</t>
        </is>
      </c>
      <c r="M381" s="14" t="inlineStr">
        <is>
          <t>-116%</t>
        </is>
      </c>
      <c r="N381" s="14" t="inlineStr">
        <is>
          <t>-0%</t>
        </is>
      </c>
      <c r="O381" s="14" t="n">
        <v>-325.2</v>
      </c>
      <c r="P381" s="14" t="inlineStr">
        <is>
          <t>2%</t>
        </is>
      </c>
      <c r="Q381" s="14" t="n">
        <v>302</v>
      </c>
      <c r="R381" s="14" t="inlineStr">
        <is>
          <t>P/B 0.30 · P/S 0.1 · FCF yld -76% · net debt 2% of mcap · rev -32% · op margin -38%</t>
        </is>
      </c>
      <c r="S381" s="14" t="inlineStr"/>
      <c r="T381" s="14" t="inlineStr">
        <is>
          <t>Governance Discount</t>
        </is>
      </c>
    </row>
    <row r="382">
      <c r="A382" s="8" t="inlineStr">
        <is>
          <t>HPP</t>
        </is>
      </c>
      <c r="B382" s="16" t="inlineStr">
        <is>
          <t>Hudson Pacific Propert</t>
        </is>
      </c>
      <c r="C382" s="16" t="inlineStr">
        <is>
          <t>Real Estate</t>
        </is>
      </c>
      <c r="D382" s="16" t="n">
        <v>637</v>
      </c>
      <c r="E382" s="16" t="n">
        <v>0.23</v>
      </c>
      <c r="F382" s="16" t="n">
        <v>-1.3</v>
      </c>
      <c r="G382" s="16" t="n">
        <v>-58.8</v>
      </c>
      <c r="H382" s="16" t="inlineStr">
        <is>
          <t>18%</t>
        </is>
      </c>
      <c r="I382" s="16" t="inlineStr">
        <is>
          <t>-574%</t>
        </is>
      </c>
      <c r="J382" s="16" t="n">
        <v>-50.1</v>
      </c>
      <c r="K382" s="16" t="n"/>
      <c r="L382" s="16" t="inlineStr">
        <is>
          <t>-0%</t>
        </is>
      </c>
      <c r="M382" s="16" t="inlineStr">
        <is>
          <t>-19%</t>
        </is>
      </c>
      <c r="N382" s="16" t="n"/>
      <c r="O382" s="16" t="n">
        <v>-0</v>
      </c>
      <c r="P382" s="16" t="inlineStr">
        <is>
          <t>44%</t>
        </is>
      </c>
      <c r="Q382" s="16" t="n">
        <v>10200</v>
      </c>
      <c r="R382" s="16" t="inlineStr">
        <is>
          <t>P/B 0.23 · P/S 0.8 · FCF yld 18% · net debt 574% of mcap · op margin -0% · interest cover -0.0× ⚠</t>
        </is>
      </c>
      <c r="S382" s="16" t="inlineStr">
        <is>
          <t>new entity / merger: history not comparable</t>
        </is>
      </c>
      <c r="T382" s="16" t="inlineStr">
        <is>
          <t>Governance Discount</t>
        </is>
      </c>
    </row>
    <row r="383">
      <c r="A383" s="6" t="inlineStr">
        <is>
          <t>CCZ</t>
        </is>
      </c>
      <c r="B383" s="14" t="inlineStr">
        <is>
          <t>Comcast Holdings Corp.</t>
        </is>
      </c>
      <c r="C383" s="14" t="inlineStr">
        <is>
          <t xml:space="preserve">Communication </t>
        </is>
      </c>
      <c r="D383" s="14" t="n">
        <v>15715</v>
      </c>
      <c r="E383" s="14" t="n"/>
      <c r="F383" s="14" t="n">
        <v>7.4</v>
      </c>
      <c r="G383" s="14" t="n">
        <v>4.8</v>
      </c>
      <c r="H383" s="14" t="inlineStr">
        <is>
          <t>25%</t>
        </is>
      </c>
      <c r="I383" s="14" t="n"/>
      <c r="J383" s="14" t="n">
        <v>2.4</v>
      </c>
      <c r="K383" s="14" t="inlineStr">
        <is>
          <t>1%</t>
        </is>
      </c>
      <c r="L383" s="14" t="inlineStr">
        <is>
          <t>15%</t>
        </is>
      </c>
      <c r="M383" s="14" t="inlineStr">
        <is>
          <t>12%</t>
        </is>
      </c>
      <c r="N383" s="14" t="inlineStr">
        <is>
          <t>-5%</t>
        </is>
      </c>
      <c r="O383" s="14" t="n">
        <v>4.2</v>
      </c>
      <c r="P383" s="14" t="inlineStr">
        <is>
          <t>55%</t>
        </is>
      </c>
      <c r="Q383" s="14" t="n">
        <v>15</v>
      </c>
      <c r="R383" s="14" t="inlineStr">
        <is>
          <t>EV/EBITDA 4.8× · FCF yld 25% · rev +1% · op margin 15% · buying back 5%/yr</t>
        </is>
      </c>
      <c r="S383" s="14" t="inlineStr">
        <is>
          <t>market-cap/share data inconsistent</t>
        </is>
      </c>
      <c r="T383" s="14" t="inlineStr">
        <is>
          <t>Governance Discount</t>
        </is>
      </c>
    </row>
    <row r="384">
      <c r="A384" s="8" t="inlineStr">
        <is>
          <t>MX</t>
        </is>
      </c>
      <c r="B384" s="16" t="inlineStr">
        <is>
          <t>MagnaChip Semiconducto</t>
        </is>
      </c>
      <c r="C384" s="16" t="inlineStr">
        <is>
          <t>Technology</t>
        </is>
      </c>
      <c r="D384" s="16" t="n">
        <v>118</v>
      </c>
      <c r="E384" s="16" t="n">
        <v>0.52</v>
      </c>
      <c r="F384" s="16" t="n">
        <v>-3.8</v>
      </c>
      <c r="G384" s="16" t="n">
        <v>-2.1</v>
      </c>
      <c r="H384" s="16" t="inlineStr">
        <is>
          <t>-17%</t>
        </is>
      </c>
      <c r="I384" s="16" t="inlineStr">
        <is>
          <t>38%</t>
        </is>
      </c>
      <c r="J384" s="16" t="n">
        <v>1.3</v>
      </c>
      <c r="K384" s="16" t="inlineStr">
        <is>
          <t>-19%</t>
        </is>
      </c>
      <c r="L384" s="16" t="inlineStr">
        <is>
          <t>-20%</t>
        </is>
      </c>
      <c r="M384" s="16" t="inlineStr">
        <is>
          <t>-13%</t>
        </is>
      </c>
      <c r="N384" s="16" t="inlineStr">
        <is>
          <t>-1%</t>
        </is>
      </c>
      <c r="O384" s="16" t="n">
        <v>-22.3</v>
      </c>
      <c r="P384" s="16" t="inlineStr">
        <is>
          <t>14%</t>
        </is>
      </c>
      <c r="Q384" s="16" t="n">
        <v>7118</v>
      </c>
      <c r="R384" s="16" t="inlineStr">
        <is>
          <t>P/B 0.52 · P/S 0.6 · FCF yld -17% · net cash 38% of mcap · rev -19% · op margin -20%</t>
        </is>
      </c>
      <c r="S384" s="16" t="inlineStr"/>
      <c r="T384" s="16" t="inlineStr">
        <is>
          <t>Governance Discount</t>
        </is>
      </c>
    </row>
    <row r="385">
      <c r="A385" s="6" t="inlineStr">
        <is>
          <t>NCMI</t>
        </is>
      </c>
      <c r="B385" s="14" t="inlineStr">
        <is>
          <t>National CineMedia, In</t>
        </is>
      </c>
      <c r="C385" s="14" t="inlineStr">
        <is>
          <t xml:space="preserve">Communication </t>
        </is>
      </c>
      <c r="D385" s="14" t="n">
        <v>203</v>
      </c>
      <c r="E385" s="14" t="n">
        <v>0.61</v>
      </c>
      <c r="F385" s="14" t="n">
        <v>-23.4</v>
      </c>
      <c r="G385" s="14" t="n">
        <v>6.2</v>
      </c>
      <c r="H385" s="14" t="inlineStr">
        <is>
          <t>10%</t>
        </is>
      </c>
      <c r="I385" s="14" t="inlineStr">
        <is>
          <t>10%</t>
        </is>
      </c>
      <c r="J385" s="14" t="n">
        <v>-0.7</v>
      </c>
      <c r="K385" s="14" t="inlineStr">
        <is>
          <t>6%</t>
        </is>
      </c>
      <c r="L385" s="14" t="inlineStr">
        <is>
          <t>-7%</t>
        </is>
      </c>
      <c r="M385" s="14" t="inlineStr">
        <is>
          <t>-2%</t>
        </is>
      </c>
      <c r="N385" s="14" t="inlineStr">
        <is>
          <t>-0%</t>
        </is>
      </c>
      <c r="O385" s="14" t="n">
        <v>-35.4</v>
      </c>
      <c r="P385" s="14" t="inlineStr">
        <is>
          <t>1%</t>
        </is>
      </c>
      <c r="Q385" s="14" t="n">
        <v>1616</v>
      </c>
      <c r="R385" s="14" t="inlineStr">
        <is>
          <t>P/B 0.61 · EV/EBITDA 6.2× · FCF yld 10% · net cash 10% of mcap · rev +6% · op margin -7%</t>
        </is>
      </c>
      <c r="S385" s="14" t="inlineStr"/>
      <c r="T385" s="14" t="inlineStr">
        <is>
          <t>Governance Discount</t>
        </is>
      </c>
    </row>
    <row r="386">
      <c r="A386" s="8" t="inlineStr">
        <is>
          <t>ORMP</t>
        </is>
      </c>
      <c r="B386" s="16" t="inlineStr">
        <is>
          <t>Oramed Pharmaceuticals</t>
        </is>
      </c>
      <c r="C386" s="16" t="inlineStr">
        <is>
          <t>Healthcare</t>
        </is>
      </c>
      <c r="D386" s="16" t="n">
        <v>190</v>
      </c>
      <c r="E386" s="16" t="n">
        <v>0.6</v>
      </c>
      <c r="F386" s="16" t="n">
        <v>1.1</v>
      </c>
      <c r="G386" s="16" t="n">
        <v>1.2</v>
      </c>
      <c r="H386" s="16" t="inlineStr">
        <is>
          <t>-3%</t>
        </is>
      </c>
      <c r="I386" s="16" t="inlineStr">
        <is>
          <t>26%</t>
        </is>
      </c>
      <c r="J386" s="16" t="n">
        <v>-0.1</v>
      </c>
      <c r="K386" s="16" t="n"/>
      <c r="L386" s="16" t="inlineStr">
        <is>
          <t>0%</t>
        </is>
      </c>
      <c r="M386" s="16" t="inlineStr">
        <is>
          <t>73%</t>
        </is>
      </c>
      <c r="N386" s="16" t="inlineStr">
        <is>
          <t>-0%</t>
        </is>
      </c>
      <c r="O386" s="16" t="n">
        <v>0</v>
      </c>
      <c r="P386" s="16" t="inlineStr">
        <is>
          <t>76%</t>
        </is>
      </c>
      <c r="Q386" s="16" t="n">
        <v>1274</v>
      </c>
      <c r="R386" s="16" t="inlineStr">
        <is>
          <t>P/B 0.60 · EV/EBITDA 1.2× · FCF yld -3% · net cash 26% of mcap · op margin 0%</t>
        </is>
      </c>
      <c r="S386" s="16" t="inlineStr"/>
      <c r="T386" s="16" t="inlineStr">
        <is>
          <t>Governance Discount</t>
        </is>
      </c>
    </row>
    <row r="387">
      <c r="A387" s="6" t="inlineStr">
        <is>
          <t>MPT</t>
        </is>
      </c>
      <c r="B387" s="14" t="inlineStr">
        <is>
          <t>Medical Properties Tru</t>
        </is>
      </c>
      <c r="C387" s="14" t="inlineStr">
        <is>
          <t>Real Estate</t>
        </is>
      </c>
      <c r="D387" s="14" t="n">
        <v>2132</v>
      </c>
      <c r="E387" s="14" t="n">
        <v>0.47</v>
      </c>
      <c r="F387" s="14" t="n">
        <v>-68.09999999999999</v>
      </c>
      <c r="G387" s="14" t="n">
        <v>10.9</v>
      </c>
      <c r="H387" s="14" t="inlineStr">
        <is>
          <t>11%</t>
        </is>
      </c>
      <c r="I387" s="14" t="inlineStr">
        <is>
          <t>-437%</t>
        </is>
      </c>
      <c r="J387" s="14" t="n">
        <v>8.9</v>
      </c>
      <c r="K387" s="14" t="inlineStr">
        <is>
          <t>10%</t>
        </is>
      </c>
      <c r="L387" s="14" t="inlineStr">
        <is>
          <t>57%</t>
        </is>
      </c>
      <c r="M387" s="14" t="inlineStr">
        <is>
          <t>-1%</t>
        </is>
      </c>
      <c r="N387" s="14" t="inlineStr">
        <is>
          <t>-0%</t>
        </is>
      </c>
      <c r="O387" s="14" t="n">
        <v>0.9</v>
      </c>
      <c r="P387" s="14" t="inlineStr">
        <is>
          <t>7%</t>
        </is>
      </c>
      <c r="Q387" s="14" t="n">
        <v>26131</v>
      </c>
      <c r="R387" s="14" t="inlineStr">
        <is>
          <t>P/B 0.47 · EV/EBITDA 10.9× · FCF yld 11% · net debt 437% of mcap · rev +10% · op margin 57% · interest cover 0.9× ⚠</t>
        </is>
      </c>
      <c r="S387" s="14" t="inlineStr"/>
      <c r="T387" s="14" t="inlineStr">
        <is>
          <t>Governance Discount</t>
        </is>
      </c>
    </row>
    <row r="388">
      <c r="A388" s="8" t="inlineStr">
        <is>
          <t>ICMB</t>
        </is>
      </c>
      <c r="B388" s="16" t="inlineStr">
        <is>
          <t>Investcorp Credit Mana</t>
        </is>
      </c>
      <c r="C388" s="16" t="inlineStr">
        <is>
          <t>Financial Serv</t>
        </is>
      </c>
      <c r="D388" s="16" t="n">
        <v>13</v>
      </c>
      <c r="E388" s="16" t="n">
        <v>0.24</v>
      </c>
      <c r="F388" s="16" t="n">
        <v>-1.2</v>
      </c>
      <c r="G388" s="16" t="n">
        <v>-14</v>
      </c>
      <c r="H388" s="16" t="inlineStr">
        <is>
          <t>93%</t>
        </is>
      </c>
      <c r="I388" s="16" t="inlineStr">
        <is>
          <t>-838%</t>
        </is>
      </c>
      <c r="J388" s="16" t="n">
        <v>-12.5</v>
      </c>
      <c r="K388" s="16" t="inlineStr">
        <is>
          <t>-81%</t>
        </is>
      </c>
      <c r="L388" s="16" t="inlineStr">
        <is>
          <t>-252%</t>
        </is>
      </c>
      <c r="M388" s="16" t="inlineStr">
        <is>
          <t>-14%</t>
        </is>
      </c>
      <c r="N388" s="16" t="inlineStr">
        <is>
          <t>0%</t>
        </is>
      </c>
      <c r="O388" s="16" t="n">
        <v>-1.1</v>
      </c>
      <c r="P388" s="16" t="inlineStr">
        <is>
          <t>6%</t>
        </is>
      </c>
      <c r="Q388" s="16" t="n">
        <v>64</v>
      </c>
      <c r="R388" s="16" t="inlineStr">
        <is>
          <t>P/B 0.24 · ROE -14% (financial: book/earnings basis)</t>
        </is>
      </c>
      <c r="S388" s="16" t="inlineStr">
        <is>
          <t>dividend yield &gt;25% (special or bad data)</t>
        </is>
      </c>
      <c r="T388" s="16" t="inlineStr">
        <is>
          <t>Governance Discount</t>
        </is>
      </c>
    </row>
    <row r="389">
      <c r="A389" s="6" t="inlineStr">
        <is>
          <t>QTRX</t>
        </is>
      </c>
      <c r="B389" s="14" t="inlineStr">
        <is>
          <t>Quanterix Corporation</t>
        </is>
      </c>
      <c r="C389" s="14" t="inlineStr">
        <is>
          <t>Healthcare</t>
        </is>
      </c>
      <c r="D389" s="14" t="n">
        <v>146</v>
      </c>
      <c r="E389" s="14" t="n">
        <v>0.62</v>
      </c>
      <c r="F389" s="14" t="n">
        <v>-1.2</v>
      </c>
      <c r="G389" s="14" t="n">
        <v>-1.3</v>
      </c>
      <c r="H389" s="14" t="inlineStr">
        <is>
          <t>-50%</t>
        </is>
      </c>
      <c r="I389" s="14" t="inlineStr">
        <is>
          <t>41%</t>
        </is>
      </c>
      <c r="J389" s="14" t="n">
        <v>0.1</v>
      </c>
      <c r="K389" s="14" t="inlineStr">
        <is>
          <t>23%</t>
        </is>
      </c>
      <c r="L389" s="14" t="inlineStr">
        <is>
          <t>-86%</t>
        </is>
      </c>
      <c r="M389" s="14" t="inlineStr">
        <is>
          <t>-44%</t>
        </is>
      </c>
      <c r="N389" s="14" t="inlineStr">
        <is>
          <t>21%</t>
        </is>
      </c>
      <c r="O389" s="14" t="n">
        <v>0</v>
      </c>
      <c r="P389" s="14" t="inlineStr">
        <is>
          <t>14%</t>
        </is>
      </c>
      <c r="Q389" s="14" t="n">
        <v>2985</v>
      </c>
      <c r="R389" s="14" t="inlineStr">
        <is>
          <t>P/B 0.62 · P/S 1.0 · FCF yld -50% · net cash 41% of mcap · rev +23% · op margin -86% · diluting 21%/yr</t>
        </is>
      </c>
      <c r="S389" s="14" t="inlineStr"/>
      <c r="T389" s="14" t="inlineStr">
        <is>
          <t>Governance Discount</t>
        </is>
      </c>
    </row>
    <row r="390">
      <c r="A390" s="8" t="inlineStr">
        <is>
          <t>CION</t>
        </is>
      </c>
      <c r="B390" s="16" t="inlineStr">
        <is>
          <t>CION Investment Corpor</t>
        </is>
      </c>
      <c r="C390" s="16" t="inlineStr">
        <is>
          <t>Financial Serv</t>
        </is>
      </c>
      <c r="D390" s="16" t="n">
        <v>357</v>
      </c>
      <c r="E390" s="16" t="n">
        <v>0.53</v>
      </c>
      <c r="F390" s="16" t="n">
        <v>26.6</v>
      </c>
      <c r="G390" s="16" t="n">
        <v>23.9</v>
      </c>
      <c r="H390" s="16" t="inlineStr">
        <is>
          <t>6%</t>
        </is>
      </c>
      <c r="I390" s="16" t="inlineStr">
        <is>
          <t>-279%</t>
        </is>
      </c>
      <c r="J390" s="16" t="n">
        <v>18.3</v>
      </c>
      <c r="K390" s="16" t="inlineStr">
        <is>
          <t>43%</t>
        </is>
      </c>
      <c r="L390" s="16" t="inlineStr">
        <is>
          <t>45%</t>
        </is>
      </c>
      <c r="M390" s="16" t="inlineStr">
        <is>
          <t>2%</t>
        </is>
      </c>
      <c r="N390" s="16" t="inlineStr">
        <is>
          <t>-6%</t>
        </is>
      </c>
      <c r="O390" s="16" t="n">
        <v>0.7</v>
      </c>
      <c r="P390" s="16" t="inlineStr">
        <is>
          <t>29%</t>
        </is>
      </c>
      <c r="Q390" s="16" t="n">
        <v>3633</v>
      </c>
      <c r="R390" s="16" t="inlineStr">
        <is>
          <t>P/B 0.53 · P/E 26.6 · ROE 2% · div yld 17.5% · buying back 6%/yr (financial: book/earnings basis)</t>
        </is>
      </c>
      <c r="S390" s="16" t="inlineStr"/>
      <c r="T390" s="16" t="inlineStr">
        <is>
          <t>Governance Discount</t>
        </is>
      </c>
    </row>
    <row r="391">
      <c r="A391" s="6" t="inlineStr">
        <is>
          <t>FINV</t>
        </is>
      </c>
      <c r="B391" s="14" t="inlineStr">
        <is>
          <t>FinVolution Group</t>
        </is>
      </c>
      <c r="C391" s="14" t="inlineStr">
        <is>
          <t>Financial Serv</t>
        </is>
      </c>
      <c r="D391" s="14" t="n">
        <v>802</v>
      </c>
      <c r="E391" s="14" t="n">
        <v>0.32</v>
      </c>
      <c r="F391" s="14" t="n">
        <v>2.8</v>
      </c>
      <c r="G391" s="14" t="n">
        <v>0.9</v>
      </c>
      <c r="H391" s="14" t="inlineStr">
        <is>
          <t>21%</t>
        </is>
      </c>
      <c r="I391" s="14" t="inlineStr">
        <is>
          <t>121%</t>
        </is>
      </c>
      <c r="J391" s="14" t="n">
        <v>-1.5</v>
      </c>
      <c r="K391" s="14" t="inlineStr">
        <is>
          <t>-5%</t>
        </is>
      </c>
      <c r="L391" s="14" t="inlineStr">
        <is>
          <t>18%</t>
        </is>
      </c>
      <c r="M391" s="14" t="inlineStr">
        <is>
          <t>5%</t>
        </is>
      </c>
      <c r="N391" s="14" t="inlineStr">
        <is>
          <t>-5%</t>
        </is>
      </c>
      <c r="O391" s="14" t="n">
        <v>0</v>
      </c>
      <c r="P391" s="14" t="inlineStr">
        <is>
          <t>1%</t>
        </is>
      </c>
      <c r="Q391" s="14" t="n">
        <v>2932</v>
      </c>
      <c r="R391" s="14" t="inlineStr">
        <is>
          <t>P/B 0.32 · P/E 2.8 · ROE 5% · div yld 9.5% · buying back 5%/yr (financial: book/earnings basis)</t>
        </is>
      </c>
      <c r="S391" s="14" t="inlineStr"/>
      <c r="T391" s="14" t="inlineStr">
        <is>
          <t>Governance Discount</t>
        </is>
      </c>
    </row>
    <row r="392">
      <c r="A392" s="8" t="inlineStr">
        <is>
          <t>ICG</t>
        </is>
      </c>
      <c r="B392" s="16" t="inlineStr">
        <is>
          <t>Intchains Group Limite</t>
        </is>
      </c>
      <c r="C392" s="16" t="inlineStr">
        <is>
          <t>Technology</t>
        </is>
      </c>
      <c r="D392" s="16" t="n">
        <v>30</v>
      </c>
      <c r="E392" s="16" t="n">
        <v>0.24</v>
      </c>
      <c r="F392" s="16" t="n">
        <v>-0.8</v>
      </c>
      <c r="G392" s="16" t="n">
        <v>0.4</v>
      </c>
      <c r="H392" s="16" t="inlineStr">
        <is>
          <t>0%</t>
        </is>
      </c>
      <c r="I392" s="16" t="inlineStr">
        <is>
          <t>228%</t>
        </is>
      </c>
      <c r="J392" s="16" t="n">
        <v>1.3</v>
      </c>
      <c r="K392" s="16" t="inlineStr">
        <is>
          <t>-80%</t>
        </is>
      </c>
      <c r="L392" s="16" t="inlineStr">
        <is>
          <t>-331%</t>
        </is>
      </c>
      <c r="M392" s="16" t="inlineStr">
        <is>
          <t>-30%</t>
        </is>
      </c>
      <c r="N392" s="16" t="inlineStr">
        <is>
          <t>0%</t>
        </is>
      </c>
      <c r="O392" s="16" t="n">
        <v>0</v>
      </c>
      <c r="P392" s="16" t="inlineStr">
        <is>
          <t>24%</t>
        </is>
      </c>
      <c r="Q392" s="16" t="n">
        <v>113</v>
      </c>
      <c r="R392" s="16" t="inlineStr">
        <is>
          <t>P/B 0.24 · EV/EBITDA 0.4× · FCF yld 0% · net cash 228% of mcap · rev -80% · op margin -331%</t>
        </is>
      </c>
      <c r="S392" s="16" t="inlineStr"/>
      <c r="T392" s="16" t="inlineStr">
        <is>
          <t>Governance Discount</t>
        </is>
      </c>
    </row>
    <row r="393">
      <c r="A393" s="6" t="inlineStr">
        <is>
          <t>CHGG</t>
        </is>
      </c>
      <c r="B393" s="14" t="inlineStr">
        <is>
          <t>Chegg, Inc.</t>
        </is>
      </c>
      <c r="C393" s="14" t="inlineStr">
        <is>
          <t>Consumer Defen</t>
        </is>
      </c>
      <c r="D393" s="14" t="n">
        <v>81</v>
      </c>
      <c r="E393" s="14" t="n">
        <v>0.6899999999999999</v>
      </c>
      <c r="F393" s="14" t="n">
        <v>-1.5</v>
      </c>
      <c r="G393" s="14" t="n">
        <v>2.8</v>
      </c>
      <c r="H393" s="14" t="inlineStr">
        <is>
          <t>-1%</t>
        </is>
      </c>
      <c r="I393" s="14" t="inlineStr">
        <is>
          <t>27%</t>
        </is>
      </c>
      <c r="J393" s="14" t="n">
        <v>0.2</v>
      </c>
      <c r="K393" s="14" t="inlineStr">
        <is>
          <t>-48%</t>
        </is>
      </c>
      <c r="L393" s="14" t="inlineStr">
        <is>
          <t>-1%</t>
        </is>
      </c>
      <c r="M393" s="14" t="inlineStr">
        <is>
          <t>-42%</t>
        </is>
      </c>
      <c r="N393" s="14" t="inlineStr">
        <is>
          <t>4%</t>
        </is>
      </c>
      <c r="O393" s="14" t="n">
        <v>-28</v>
      </c>
      <c r="P393" s="14" t="inlineStr">
        <is>
          <t>22%</t>
        </is>
      </c>
      <c r="Q393" s="14" t="n">
        <v>1033</v>
      </c>
      <c r="R393" s="14" t="inlineStr">
        <is>
          <t>P/B 0.69 · EV/EBITDA 2.8× · FCF yld -1% · net cash 27% of mcap · rev -48% · op margin -1% · diluting 4%/yr</t>
        </is>
      </c>
      <c r="S393" s="14" t="inlineStr"/>
      <c r="T393" s="14" t="inlineStr">
        <is>
          <t>Governance Discount</t>
        </is>
      </c>
    </row>
    <row r="394">
      <c r="A394" s="8" t="inlineStr">
        <is>
          <t>ZD</t>
        </is>
      </c>
      <c r="B394" s="16" t="inlineStr">
        <is>
          <t>Ziff Davis, Inc.</t>
        </is>
      </c>
      <c r="C394" s="16" t="inlineStr">
        <is>
          <t xml:space="preserve">Communication </t>
        </is>
      </c>
      <c r="D394" s="16" t="n">
        <v>2100</v>
      </c>
      <c r="E394" s="16" t="n">
        <v>0.9399999999999999</v>
      </c>
      <c r="F394" s="16" t="n">
        <v>3.2</v>
      </c>
      <c r="G394" s="16" t="n">
        <v>6.2</v>
      </c>
      <c r="H394" s="16" t="inlineStr">
        <is>
          <t>15%</t>
        </is>
      </c>
      <c r="I394" s="16" t="inlineStr">
        <is>
          <t>35%</t>
        </is>
      </c>
      <c r="J394" s="16" t="n">
        <v>-3.4</v>
      </c>
      <c r="K394" s="16" t="inlineStr">
        <is>
          <t>-8%</t>
        </is>
      </c>
      <c r="L394" s="16" t="inlineStr">
        <is>
          <t>6%</t>
        </is>
      </c>
      <c r="M394" s="16" t="inlineStr">
        <is>
          <t>34%</t>
        </is>
      </c>
      <c r="N394" s="16" t="inlineStr">
        <is>
          <t>-17%</t>
        </is>
      </c>
      <c r="O394" s="16" t="n">
        <v>1.6</v>
      </c>
      <c r="P394" s="16" t="inlineStr">
        <is>
          <t>91%</t>
        </is>
      </c>
      <c r="Q394" s="16" t="n">
        <v>36800</v>
      </c>
      <c r="R394" s="16" t="inlineStr">
        <is>
          <t>P/B 0.94 · EV/EBITDA 6.2× · FCF yld 15% · net cash 35% of mcap · rev -8% · op margin 6% · buying back 17%/yr</t>
        </is>
      </c>
      <c r="S394" s="16" t="inlineStr"/>
      <c r="T394" s="16" t="inlineStr">
        <is>
          <t>Call Intent</t>
        </is>
      </c>
    </row>
    <row r="395">
      <c r="A395" s="6" t="inlineStr">
        <is>
          <t>GAME</t>
        </is>
      </c>
      <c r="B395" s="14" t="inlineStr">
        <is>
          <t>GameSquare Holdings In</t>
        </is>
      </c>
      <c r="C395" s="14" t="inlineStr">
        <is>
          <t>Technology</t>
        </is>
      </c>
      <c r="D395" s="14" t="n">
        <v>41</v>
      </c>
      <c r="E395" s="14" t="n">
        <v>4.17</v>
      </c>
      <c r="F395" s="14" t="n">
        <v>-0.6</v>
      </c>
      <c r="G395" s="14" t="n">
        <v>-1.2</v>
      </c>
      <c r="H395" s="14" t="n"/>
      <c r="I395" s="14" t="inlineStr">
        <is>
          <t>-22%</t>
        </is>
      </c>
      <c r="J395" s="14" t="n">
        <v>-0.2</v>
      </c>
      <c r="K395" s="14" t="n"/>
      <c r="L395" s="14" t="inlineStr">
        <is>
          <t>-12%</t>
        </is>
      </c>
      <c r="M395" s="14" t="inlineStr">
        <is>
          <t>-170%</t>
        </is>
      </c>
      <c r="N395" s="14" t="n"/>
      <c r="O395" s="14" t="n">
        <v>-27.3</v>
      </c>
      <c r="P395" s="14" t="inlineStr">
        <is>
          <t>26%</t>
        </is>
      </c>
      <c r="Q395" s="14" t="n">
        <v>567</v>
      </c>
      <c r="R395" s="14" t="inlineStr">
        <is>
          <t>P/B 4.17 · P/S 0.6 · net debt 22% of mcap · op margin -12% · interest cover -27.3× ⚠</t>
        </is>
      </c>
      <c r="S395" s="14" t="inlineStr">
        <is>
          <t>FCF yield &gt;100% (check); new entity / merger: history not comparable</t>
        </is>
      </c>
      <c r="T395" s="14" t="inlineStr">
        <is>
          <t>Call Intent</t>
        </is>
      </c>
    </row>
    <row r="396">
      <c r="A396" s="8" t="inlineStr">
        <is>
          <t>NVGS</t>
        </is>
      </c>
      <c r="B396" s="16" t="inlineStr">
        <is>
          <t>Navigator Holdings Ltd</t>
        </is>
      </c>
      <c r="C396" s="16" t="inlineStr">
        <is>
          <t>Industrials</t>
        </is>
      </c>
      <c r="D396" s="16" t="n">
        <v>1413</v>
      </c>
      <c r="E396" s="16" t="n">
        <v>1.14</v>
      </c>
      <c r="F396" s="16" t="n">
        <v>10.4</v>
      </c>
      <c r="G396" s="16" t="n">
        <v>6.2</v>
      </c>
      <c r="H396" s="16" t="inlineStr">
        <is>
          <t>9%</t>
        </is>
      </c>
      <c r="I396" s="16" t="inlineStr">
        <is>
          <t>-46%</t>
        </is>
      </c>
      <c r="J396" s="16" t="n">
        <v>2</v>
      </c>
      <c r="K396" s="16" t="inlineStr">
        <is>
          <t>8%</t>
        </is>
      </c>
      <c r="L396" s="16" t="inlineStr">
        <is>
          <t>28%</t>
        </is>
      </c>
      <c r="M396" s="16" t="inlineStr">
        <is>
          <t>11%</t>
        </is>
      </c>
      <c r="N396" s="16" t="inlineStr">
        <is>
          <t>-10%</t>
        </is>
      </c>
      <c r="O396" s="16" t="n">
        <v>3.2</v>
      </c>
      <c r="P396" s="16" t="inlineStr">
        <is>
          <t>77%</t>
        </is>
      </c>
      <c r="Q396" s="16" t="n">
        <v>10489</v>
      </c>
      <c r="R396" s="16" t="inlineStr">
        <is>
          <t>P/B 1.14 · EV/EBITDA 6.2× · FCF yld 9% · net debt 46% of mcap · rev +8% · op margin 28% · buying back 10%/yr</t>
        </is>
      </c>
      <c r="S396" s="16" t="inlineStr"/>
      <c r="T396" s="16" t="inlineStr">
        <is>
          <t>Call Intent</t>
        </is>
      </c>
    </row>
    <row r="397">
      <c r="A397" s="6" t="inlineStr">
        <is>
          <t>JOYY</t>
        </is>
      </c>
      <c r="B397" s="14" t="inlineStr">
        <is>
          <t>JOYY, Inc. Sponsored A</t>
        </is>
      </c>
      <c r="C397" s="14" t="inlineStr">
        <is>
          <t xml:space="preserve">Communication </t>
        </is>
      </c>
      <c r="D397" s="14" t="n">
        <v>4150</v>
      </c>
      <c r="E397" s="14" t="n">
        <v>0.64</v>
      </c>
      <c r="F397" s="14" t="n">
        <v>18.8</v>
      </c>
      <c r="G397" s="14" t="n">
        <v>24.2</v>
      </c>
      <c r="H397" s="14" t="inlineStr">
        <is>
          <t>0%</t>
        </is>
      </c>
      <c r="I397" s="14" t="inlineStr">
        <is>
          <t>32%</t>
        </is>
      </c>
      <c r="J397" s="14" t="n">
        <v>-1.9</v>
      </c>
      <c r="K397" s="14" t="inlineStr">
        <is>
          <t>8%</t>
        </is>
      </c>
      <c r="L397" s="14" t="inlineStr">
        <is>
          <t>3%</t>
        </is>
      </c>
      <c r="M397" s="14" t="inlineStr">
        <is>
          <t>3%</t>
        </is>
      </c>
      <c r="N397" s="14" t="inlineStr">
        <is>
          <t>-4%</t>
        </is>
      </c>
      <c r="O397" s="14" t="n">
        <v>142.1</v>
      </c>
      <c r="P397" s="14" t="inlineStr">
        <is>
          <t>96%</t>
        </is>
      </c>
      <c r="Q397" s="14" t="n">
        <v>26651</v>
      </c>
      <c r="R397" s="14" t="inlineStr">
        <is>
          <t>P/B 0.64 · EV/EBITDA 24.2× · FCF yld 0% · net cash 32% of mcap · rev +8% · op margin 3% · buying back 4%/yr</t>
        </is>
      </c>
      <c r="S397" s="14" t="inlineStr"/>
      <c r="T397" s="14" t="inlineStr">
        <is>
          <t>Call Intent</t>
        </is>
      </c>
    </row>
    <row r="398">
      <c r="A398" s="8" t="inlineStr">
        <is>
          <t>NEXN</t>
        </is>
      </c>
      <c r="B398" s="16" t="inlineStr">
        <is>
          <t>Nexxen International L</t>
        </is>
      </c>
      <c r="C398" s="16" t="inlineStr">
        <is>
          <t xml:space="preserve">Communication </t>
        </is>
      </c>
      <c r="D398" s="16" t="n">
        <v>483</v>
      </c>
      <c r="E398" s="16" t="n">
        <v>1.02</v>
      </c>
      <c r="F398" s="16" t="n">
        <v>36.9</v>
      </c>
      <c r="G398" s="16" t="n">
        <v>4.3</v>
      </c>
      <c r="H398" s="16" t="inlineStr">
        <is>
          <t>18%</t>
        </is>
      </c>
      <c r="I398" s="16" t="inlineStr">
        <is>
          <t>20%</t>
        </is>
      </c>
      <c r="J398" s="16" t="n">
        <v>-1.1</v>
      </c>
      <c r="K398" s="16" t="inlineStr">
        <is>
          <t>3%</t>
        </is>
      </c>
      <c r="L398" s="16" t="inlineStr">
        <is>
          <t>5%</t>
        </is>
      </c>
      <c r="M398" s="16" t="inlineStr">
        <is>
          <t>3%</t>
        </is>
      </c>
      <c r="N398" s="16" t="inlineStr">
        <is>
          <t>-2%</t>
        </is>
      </c>
      <c r="O398" s="16" t="n">
        <v>0.1</v>
      </c>
      <c r="P398" s="16" t="inlineStr">
        <is>
          <t>54%</t>
        </is>
      </c>
      <c r="Q398" s="16" t="n">
        <v>3758</v>
      </c>
      <c r="R398" s="16" t="inlineStr">
        <is>
          <t>P/B 1.02 · EV/EBITDA 4.3× · FCF yld 18% · net cash 20% of mcap · rev +3% · op margin 5% · buying back 2%/yr</t>
        </is>
      </c>
      <c r="S398" s="16" t="inlineStr"/>
      <c r="T398" s="16" t="inlineStr">
        <is>
          <t>Call Intent</t>
        </is>
      </c>
    </row>
    <row r="399">
      <c r="A399" s="6" t="inlineStr">
        <is>
          <t>MRETF</t>
        </is>
      </c>
      <c r="B399" s="14" t="inlineStr">
        <is>
          <t>Martinrea Internationa</t>
        </is>
      </c>
      <c r="C399" s="14" t="inlineStr">
        <is>
          <t>Consumer Cycli</t>
        </is>
      </c>
      <c r="D399" s="14" t="n">
        <v>520</v>
      </c>
      <c r="E399" s="14" t="n">
        <v>0.46</v>
      </c>
      <c r="F399" s="14" t="n">
        <v>6</v>
      </c>
      <c r="G399" s="14" t="n">
        <v>3.2</v>
      </c>
      <c r="H399" s="14" t="inlineStr">
        <is>
          <t>22%</t>
        </is>
      </c>
      <c r="I399" s="14" t="inlineStr">
        <is>
          <t>-141%</t>
        </is>
      </c>
      <c r="J399" s="14" t="n">
        <v>1.9</v>
      </c>
      <c r="K399" s="14" t="inlineStr">
        <is>
          <t>-3%</t>
        </is>
      </c>
      <c r="L399" s="14" t="inlineStr">
        <is>
          <t>5%</t>
        </is>
      </c>
      <c r="M399" s="14" t="inlineStr">
        <is>
          <t>8%</t>
        </is>
      </c>
      <c r="N399" s="14" t="inlineStr">
        <is>
          <t>-3%</t>
        </is>
      </c>
      <c r="O399" s="14" t="n">
        <v>4.3</v>
      </c>
      <c r="P399" s="14" t="inlineStr">
        <is>
          <t>44%</t>
        </is>
      </c>
      <c r="Q399" s="14" t="n">
        <v>127</v>
      </c>
      <c r="R399" s="14" t="inlineStr">
        <is>
          <t>P/B 0.46 · EV/EBITDA 3.2× · FCF yld 22% · net debt 141% of mcap · rev -3% · op margin 5% · buying back 3%/yr</t>
        </is>
      </c>
      <c r="S399" s="14" t="inlineStr"/>
      <c r="T399" s="14" t="inlineStr">
        <is>
          <t>Call Intent</t>
        </is>
      </c>
    </row>
    <row r="400">
      <c r="A400" s="8" t="inlineStr">
        <is>
          <t>RNR</t>
        </is>
      </c>
      <c r="B400" s="16" t="inlineStr">
        <is>
          <t>RenaissanceRe Holdings</t>
        </is>
      </c>
      <c r="C400" s="16" t="inlineStr">
        <is>
          <t>Financial Serv</t>
        </is>
      </c>
      <c r="D400" s="16" t="n">
        <v>13720</v>
      </c>
      <c r="E400" s="16" t="n">
        <v>1.16</v>
      </c>
      <c r="F400" s="16" t="n">
        <v>5.6</v>
      </c>
      <c r="G400" s="16" t="n">
        <v>3.5</v>
      </c>
      <c r="H400" s="16" t="inlineStr">
        <is>
          <t>26%</t>
        </is>
      </c>
      <c r="I400" s="16" t="inlineStr">
        <is>
          <t>21%</t>
        </is>
      </c>
      <c r="J400" s="16" t="n">
        <v>0.2</v>
      </c>
      <c r="K400" s="16" t="inlineStr">
        <is>
          <t>-17%</t>
        </is>
      </c>
      <c r="L400" s="16" t="inlineStr">
        <is>
          <t>39%</t>
        </is>
      </c>
      <c r="M400" s="16" t="inlineStr">
        <is>
          <t>23%</t>
        </is>
      </c>
      <c r="N400" s="16" t="inlineStr">
        <is>
          <t>-13%</t>
        </is>
      </c>
      <c r="O400" s="16" t="n">
        <v>32.9</v>
      </c>
      <c r="P400" s="16" t="inlineStr">
        <is>
          <t>91%</t>
        </is>
      </c>
      <c r="Q400" s="16" t="n">
        <v>111453</v>
      </c>
      <c r="R400" s="16" t="inlineStr">
        <is>
          <t>P/B 1.16 · P/E 5.6 · ROE 23% · div yld 0.5% · buying back 13%/yr (financial: book/earnings basis)</t>
        </is>
      </c>
      <c r="S400" s="16" t="inlineStr"/>
      <c r="T400" s="16" t="inlineStr">
        <is>
          <t>Call Intent</t>
        </is>
      </c>
    </row>
    <row r="401">
      <c r="A401" s="6" t="inlineStr">
        <is>
          <t>ACT</t>
        </is>
      </c>
      <c r="B401" s="14" t="inlineStr">
        <is>
          <t>Enact Holdings Inc.</t>
        </is>
      </c>
      <c r="C401" s="14" t="inlineStr">
        <is>
          <t>Financial Serv</t>
        </is>
      </c>
      <c r="D401" s="14" t="n">
        <v>6641</v>
      </c>
      <c r="E401" s="14" t="n">
        <v>1.23</v>
      </c>
      <c r="F401" s="14" t="n">
        <v>10</v>
      </c>
      <c r="G401" s="14" t="n">
        <v>7.6</v>
      </c>
      <c r="H401" s="14" t="inlineStr">
        <is>
          <t>11%</t>
        </is>
      </c>
      <c r="I401" s="14" t="inlineStr">
        <is>
          <t>88%</t>
        </is>
      </c>
      <c r="J401" s="14" t="n">
        <v>0.3</v>
      </c>
      <c r="K401" s="14" t="inlineStr">
        <is>
          <t>2%</t>
        </is>
      </c>
      <c r="L401" s="14" t="inlineStr">
        <is>
          <t>69%</t>
        </is>
      </c>
      <c r="M401" s="14" t="inlineStr">
        <is>
          <t>13%</t>
        </is>
      </c>
      <c r="N401" s="14" t="inlineStr">
        <is>
          <t>-7%</t>
        </is>
      </c>
      <c r="O401" s="14" t="n">
        <v>17.3</v>
      </c>
      <c r="P401" s="14" t="inlineStr">
        <is>
          <t>81%</t>
        </is>
      </c>
      <c r="Q401" s="14" t="n">
        <v>17075</v>
      </c>
      <c r="R401" s="14" t="inlineStr">
        <is>
          <t>P/B 1.23 · P/E 10.0 · ROE 13% · div yld 1.9% · buying back 7%/yr (financial: book/earnings basis)</t>
        </is>
      </c>
      <c r="S401" s="14" t="inlineStr"/>
      <c r="T401" s="14" t="inlineStr">
        <is>
          <t>Call Intent</t>
        </is>
      </c>
    </row>
    <row r="402">
      <c r="A402" s="8" t="inlineStr">
        <is>
          <t>BPOP</t>
        </is>
      </c>
      <c r="B402" s="16" t="inlineStr">
        <is>
          <t>Popular, Inc.</t>
        </is>
      </c>
      <c r="C402" s="16" t="inlineStr">
        <is>
          <t>Financial Serv</t>
        </is>
      </c>
      <c r="D402" s="16" t="n">
        <v>10240</v>
      </c>
      <c r="E402" s="16" t="n">
        <v>1.59</v>
      </c>
      <c r="F402" s="16" t="n">
        <v>10.8</v>
      </c>
      <c r="G402" s="16" t="n">
        <v>9.699999999999999</v>
      </c>
      <c r="H402" s="16" t="inlineStr">
        <is>
          <t>8%</t>
        </is>
      </c>
      <c r="I402" s="16" t="inlineStr">
        <is>
          <t>229%</t>
        </is>
      </c>
      <c r="J402" s="16" t="n">
        <v>1.1</v>
      </c>
      <c r="K402" s="16" t="inlineStr">
        <is>
          <t>7%</t>
        </is>
      </c>
      <c r="L402" s="16" t="inlineStr">
        <is>
          <t>25%</t>
        </is>
      </c>
      <c r="M402" s="16" t="inlineStr">
        <is>
          <t>15%</t>
        </is>
      </c>
      <c r="N402" s="16" t="inlineStr">
        <is>
          <t>-6%</t>
        </is>
      </c>
      <c r="O402" s="16" t="n">
        <v>1</v>
      </c>
      <c r="P402" s="16" t="inlineStr">
        <is>
          <t>73%</t>
        </is>
      </c>
      <c r="Q402" s="16" t="n">
        <v>82353</v>
      </c>
      <c r="R402" s="16" t="inlineStr">
        <is>
          <t>P/B 1.59 · P/E 10.8 · ROE 15% · div yld 2.0% · buying back 6%/yr (financial: book/earnings basis)</t>
        </is>
      </c>
      <c r="S402" s="16" t="inlineStr"/>
      <c r="T402" s="16" t="inlineStr">
        <is>
          <t>Call Intent</t>
        </is>
      </c>
    </row>
    <row r="403">
      <c r="A403" s="6" t="inlineStr">
        <is>
          <t>BBUC</t>
        </is>
      </c>
      <c r="B403" s="14" t="inlineStr">
        <is>
          <t>Brookfield Business Co</t>
        </is>
      </c>
      <c r="C403" s="14" t="inlineStr">
        <is>
          <t>Industrials</t>
        </is>
      </c>
      <c r="D403" s="14" t="n">
        <v>5230</v>
      </c>
      <c r="E403" s="14" t="n">
        <v>0.96</v>
      </c>
      <c r="F403" s="14" t="n">
        <v>-3.7</v>
      </c>
      <c r="G403" s="14" t="n">
        <v>9.6</v>
      </c>
      <c r="H403" s="14" t="inlineStr">
        <is>
          <t>8%</t>
        </is>
      </c>
      <c r="I403" s="14" t="inlineStr">
        <is>
          <t>-528%</t>
        </is>
      </c>
      <c r="J403" s="14" t="n">
        <v>8.6</v>
      </c>
      <c r="K403" s="14" t="inlineStr">
        <is>
          <t>162%</t>
        </is>
      </c>
      <c r="L403" s="14" t="inlineStr">
        <is>
          <t>15%</t>
        </is>
      </c>
      <c r="M403" s="14" t="inlineStr">
        <is>
          <t>-18%</t>
        </is>
      </c>
      <c r="N403" s="14" t="n"/>
      <c r="O403" s="14" t="n">
        <v>2.8</v>
      </c>
      <c r="P403" s="14" t="inlineStr">
        <is>
          <t>2%</t>
        </is>
      </c>
      <c r="Q403" s="14" t="n">
        <v>10671</v>
      </c>
      <c r="R403" s="14" t="inlineStr">
        <is>
          <t>P/B 0.96 · EV/EBITDA 9.6× · FCF yld 8% · net debt 528% of mcap · rev +162% · op margin 15%</t>
        </is>
      </c>
      <c r="S403" s="14" t="inlineStr">
        <is>
          <t>share-count history inconsistent (foreign line)</t>
        </is>
      </c>
      <c r="T403" s="14" t="inlineStr">
        <is>
          <t>Call Intent</t>
        </is>
      </c>
    </row>
    <row r="404">
      <c r="A404" s="8" t="inlineStr">
        <is>
          <t>INMD</t>
        </is>
      </c>
      <c r="B404" s="16" t="inlineStr">
        <is>
          <t>InMode Ltd.</t>
        </is>
      </c>
      <c r="C404" s="16" t="inlineStr">
        <is>
          <t>Healthcare</t>
        </is>
      </c>
      <c r="D404" s="16" t="n">
        <v>821</v>
      </c>
      <c r="E404" s="16" t="n">
        <v>1.31</v>
      </c>
      <c r="F404" s="16" t="n">
        <v>11.4</v>
      </c>
      <c r="G404" s="16" t="n">
        <v>5</v>
      </c>
      <c r="H404" s="16" t="inlineStr">
        <is>
          <t>11%</t>
        </is>
      </c>
      <c r="I404" s="16" t="inlineStr">
        <is>
          <t>60%</t>
        </is>
      </c>
      <c r="J404" s="16" t="n">
        <v>-4.7</v>
      </c>
      <c r="K404" s="16" t="n"/>
      <c r="L404" s="16" t="inlineStr">
        <is>
          <t>18%</t>
        </is>
      </c>
      <c r="M404" s="16" t="inlineStr">
        <is>
          <t>12%</t>
        </is>
      </c>
      <c r="N404" s="16" t="inlineStr">
        <is>
          <t>-7%</t>
        </is>
      </c>
      <c r="O404" s="16" t="n">
        <v>0</v>
      </c>
      <c r="P404" s="16" t="inlineStr">
        <is>
          <t>39%</t>
        </is>
      </c>
      <c r="Q404" s="16" t="n">
        <v>9491</v>
      </c>
      <c r="R404" s="16" t="inlineStr">
        <is>
          <t>P/B 1.31 · EV/EBITDA 5.0× · FCF yld 11% · net cash 60% of mcap · op margin 18% · buying back 7%/yr</t>
        </is>
      </c>
      <c r="S404" s="16" t="inlineStr"/>
      <c r="T404" s="16" t="inlineStr">
        <is>
          <t>Call Intent</t>
        </is>
      </c>
    </row>
    <row r="405">
      <c r="A405" s="6" t="inlineStr">
        <is>
          <t>COO</t>
        </is>
      </c>
      <c r="B405" s="14" t="inlineStr">
        <is>
          <t xml:space="preserve">The Cooper Companies, </t>
        </is>
      </c>
      <c r="C405" s="14" t="inlineStr">
        <is>
          <t>Healthcare</t>
        </is>
      </c>
      <c r="D405" s="14" t="n">
        <v>10770</v>
      </c>
      <c r="E405" s="14" t="n">
        <v>1.29</v>
      </c>
      <c r="F405" s="14" t="n">
        <v>18.9</v>
      </c>
      <c r="G405" s="14" t="n">
        <v>14.6</v>
      </c>
      <c r="H405" s="14" t="inlineStr">
        <is>
          <t>6%</t>
        </is>
      </c>
      <c r="I405" s="14" t="inlineStr">
        <is>
          <t>-22%</t>
        </is>
      </c>
      <c r="J405" s="14" t="n">
        <v>2.6</v>
      </c>
      <c r="K405" s="14" t="inlineStr">
        <is>
          <t>6%</t>
        </is>
      </c>
      <c r="L405" s="14" t="inlineStr">
        <is>
          <t>13%</t>
        </is>
      </c>
      <c r="M405" s="14" t="inlineStr">
        <is>
          <t>7%</t>
        </is>
      </c>
      <c r="N405" s="14" t="inlineStr">
        <is>
          <t>-3%</t>
        </is>
      </c>
      <c r="O405" s="14" t="n">
        <v>5.8</v>
      </c>
      <c r="P405" s="14" t="inlineStr">
        <is>
          <t>11%</t>
        </is>
      </c>
      <c r="Q405" s="14" t="n">
        <v>168667</v>
      </c>
      <c r="R405" s="14" t="inlineStr">
        <is>
          <t>P/B 1.29 · EV/EBITDA 14.6× · FCF yld 6% · net debt 22% of mcap · rev +6% · op margin 13% · buying back 3%/yr</t>
        </is>
      </c>
      <c r="S405" s="14" t="inlineStr"/>
      <c r="T405" s="14" t="inlineStr">
        <is>
          <t>Call Intent</t>
        </is>
      </c>
    </row>
    <row r="406">
      <c r="A406" s="8" t="inlineStr">
        <is>
          <t>GNL</t>
        </is>
      </c>
      <c r="B406" s="16" t="inlineStr">
        <is>
          <t>Global Net Lease, Inc.</t>
        </is>
      </c>
      <c r="C406" s="16" t="inlineStr">
        <is>
          <t>Real Estate</t>
        </is>
      </c>
      <c r="D406" s="16" t="n">
        <v>1844</v>
      </c>
      <c r="E406" s="16" t="n">
        <v>1.22</v>
      </c>
      <c r="F406" s="16" t="n">
        <v>-32.2</v>
      </c>
      <c r="G406" s="16" t="n">
        <v>11.9</v>
      </c>
      <c r="H406" s="16" t="inlineStr">
        <is>
          <t>11%</t>
        </is>
      </c>
      <c r="I406" s="16" t="inlineStr">
        <is>
          <t>-124%</t>
        </is>
      </c>
      <c r="J406" s="16" t="n">
        <v>6.6</v>
      </c>
      <c r="K406" s="16" t="inlineStr">
        <is>
          <t>-30%</t>
        </is>
      </c>
      <c r="L406" s="16" t="inlineStr">
        <is>
          <t>25%</t>
        </is>
      </c>
      <c r="M406" s="16" t="inlineStr">
        <is>
          <t>-1%</t>
        </is>
      </c>
      <c r="N406" s="16" t="inlineStr">
        <is>
          <t>-5%</t>
        </is>
      </c>
      <c r="O406" s="16" t="n">
        <v>0.9</v>
      </c>
      <c r="P406" s="16" t="inlineStr">
        <is>
          <t>48%</t>
        </is>
      </c>
      <c r="Q406" s="16" t="n">
        <v>21888</v>
      </c>
      <c r="R406" s="16" t="inlineStr">
        <is>
          <t>P/B 1.22 · EV/EBITDA 11.9× · FCF yld 11% · net debt 124% of mcap · rev -30% · op margin 25% · buying back 5%/yr · interest cover 0.9× ⚠</t>
        </is>
      </c>
      <c r="S406" s="16" t="inlineStr"/>
      <c r="T406" s="16" t="inlineStr">
        <is>
          <t>Call Intent</t>
        </is>
      </c>
    </row>
    <row r="407">
      <c r="A407" s="6" t="inlineStr">
        <is>
          <t>TBB</t>
        </is>
      </c>
      <c r="B407" s="14" t="inlineStr">
        <is>
          <t>AT&amp;T Inc. 5.35% GLB NT</t>
        </is>
      </c>
      <c r="C407" s="14" t="inlineStr">
        <is>
          <t xml:space="preserve">Communication </t>
        </is>
      </c>
      <c r="D407" s="14" t="n">
        <v>157046</v>
      </c>
      <c r="E407" s="14" t="n">
        <v>1.42</v>
      </c>
      <c r="F407" s="14" t="n">
        <v>8.4</v>
      </c>
      <c r="G407" s="14" t="n">
        <v>5.9</v>
      </c>
      <c r="H407" s="14" t="inlineStr">
        <is>
          <t>10%</t>
        </is>
      </c>
      <c r="I407" s="14" t="inlineStr">
        <is>
          <t>-93%</t>
        </is>
      </c>
      <c r="J407" s="14" t="n">
        <v>2.7</v>
      </c>
      <c r="K407" s="14" t="inlineStr">
        <is>
          <t>3%</t>
        </is>
      </c>
      <c r="L407" s="14" t="inlineStr">
        <is>
          <t>20%</t>
        </is>
      </c>
      <c r="M407" s="14" t="inlineStr">
        <is>
          <t>19%</t>
        </is>
      </c>
      <c r="N407" s="14" t="inlineStr">
        <is>
          <t>-4%</t>
        </is>
      </c>
      <c r="O407" s="14" t="n">
        <v>3.6</v>
      </c>
      <c r="P407" s="14" t="inlineStr">
        <is>
          <t>2%</t>
        </is>
      </c>
      <c r="Q407" s="14" t="n">
        <v>2476</v>
      </c>
      <c r="R407" s="14" t="inlineStr">
        <is>
          <t>P/B 1.42 · EV/EBITDA 5.9× · FCF yld 10% · net debt 93% of mcap · rev +3% · op margin 20% · buying back 4%/yr</t>
        </is>
      </c>
      <c r="S407" s="14" t="inlineStr"/>
      <c r="T407" s="14" t="inlineStr">
        <is>
          <t>Call Intent</t>
        </is>
      </c>
    </row>
    <row r="408">
      <c r="A408" s="8" t="inlineStr">
        <is>
          <t>CALY</t>
        </is>
      </c>
      <c r="B408" s="16" t="inlineStr">
        <is>
          <t>Callaway Golf Company</t>
        </is>
      </c>
      <c r="C408" s="16" t="inlineStr">
        <is>
          <t>Consumer Cycli</t>
        </is>
      </c>
      <c r="D408" s="16" t="n">
        <v>2620</v>
      </c>
      <c r="E408" s="16" t="n">
        <v>1.21</v>
      </c>
      <c r="F408" s="16" t="n">
        <v>29.7</v>
      </c>
      <c r="G408" s="16" t="n">
        <v>8.199999999999999</v>
      </c>
      <c r="H408" s="16" t="inlineStr">
        <is>
          <t>11%</t>
        </is>
      </c>
      <c r="I408" s="16" t="inlineStr">
        <is>
          <t>1%</t>
        </is>
      </c>
      <c r="J408" s="16" t="n">
        <v>-0.1</v>
      </c>
      <c r="K408" s="16" t="inlineStr">
        <is>
          <t>-37%</t>
        </is>
      </c>
      <c r="L408" s="16" t="inlineStr">
        <is>
          <t>9%</t>
        </is>
      </c>
      <c r="M408" s="16" t="inlineStr">
        <is>
          <t>4%</t>
        </is>
      </c>
      <c r="N408" s="16" t="inlineStr">
        <is>
          <t>3%</t>
        </is>
      </c>
      <c r="O408" s="16" t="n">
        <v>2.7</v>
      </c>
      <c r="P408" s="16" t="inlineStr">
        <is>
          <t>52%</t>
        </is>
      </c>
      <c r="Q408" s="16" t="n">
        <v>31934</v>
      </c>
      <c r="R408" s="16" t="inlineStr">
        <is>
          <t>P/B 1.21 · EV/EBITDA 8.2× · FCF yld 11% · net cash 1% of mcap · rev -37% · op margin 9% · diluting 3%/yr</t>
        </is>
      </c>
      <c r="S408" s="16" t="inlineStr"/>
      <c r="T408" s="16" t="inlineStr">
        <is>
          <t>Call Intent</t>
        </is>
      </c>
    </row>
    <row r="409">
      <c r="A409" s="6" t="inlineStr">
        <is>
          <t>WAL</t>
        </is>
      </c>
      <c r="B409" s="14" t="inlineStr">
        <is>
          <t>Western Alliance Banco</t>
        </is>
      </c>
      <c r="C409" s="14" t="inlineStr">
        <is>
          <t>Financial Serv</t>
        </is>
      </c>
      <c r="D409" s="14" t="n">
        <v>8461</v>
      </c>
      <c r="E409" s="14" t="n">
        <v>1.08</v>
      </c>
      <c r="F409" s="14" t="n">
        <v>8.5</v>
      </c>
      <c r="G409" s="14" t="n">
        <v>7.1</v>
      </c>
      <c r="H409" s="14" t="inlineStr">
        <is>
          <t>-20%</t>
        </is>
      </c>
      <c r="I409" s="14" t="inlineStr">
        <is>
          <t>100%</t>
        </is>
      </c>
      <c r="J409" s="14" t="n">
        <v>1.1</v>
      </c>
      <c r="K409" s="14" t="inlineStr">
        <is>
          <t>1%</t>
        </is>
      </c>
      <c r="L409" s="14" t="inlineStr">
        <is>
          <t>24%</t>
        </is>
      </c>
      <c r="M409" s="14" t="inlineStr">
        <is>
          <t>13%</t>
        </is>
      </c>
      <c r="N409" s="14" t="inlineStr">
        <is>
          <t>-0%</t>
        </is>
      </c>
      <c r="O409" s="14" t="n">
        <v>0.7</v>
      </c>
      <c r="P409" s="14" t="inlineStr">
        <is>
          <t>37%</t>
        </is>
      </c>
      <c r="Q409" s="14" t="n">
        <v>81701</v>
      </c>
      <c r="R409" s="14" t="inlineStr">
        <is>
          <t>P/B 1.08 · P/E 8.5 · ROE 13% · div yld 2.2% (financial: book/earnings basis)</t>
        </is>
      </c>
      <c r="S409" s="14" t="inlineStr"/>
      <c r="T409" s="14" t="inlineStr">
        <is>
          <t>Call Intent</t>
        </is>
      </c>
    </row>
    <row r="410">
      <c r="A410" s="8" t="inlineStr">
        <is>
          <t>REXR</t>
        </is>
      </c>
      <c r="B410" s="16" t="inlineStr">
        <is>
          <t>Rexford Industrial Rea</t>
        </is>
      </c>
      <c r="C410" s="16" t="inlineStr">
        <is>
          <t>Real Estate</t>
        </is>
      </c>
      <c r="D410" s="16" t="n">
        <v>8764</v>
      </c>
      <c r="E410" s="16" t="n">
        <v>1.16</v>
      </c>
      <c r="F410" s="16" t="n">
        <v>-20.9</v>
      </c>
      <c r="G410" s="16" t="n">
        <v>5760.3</v>
      </c>
      <c r="H410" s="16" t="inlineStr">
        <is>
          <t>3%</t>
        </is>
      </c>
      <c r="I410" s="16" t="inlineStr">
        <is>
          <t>-38%</t>
        </is>
      </c>
      <c r="J410" s="16" t="n">
        <v>1593.8</v>
      </c>
      <c r="K410" s="16" t="inlineStr">
        <is>
          <t>-0%</t>
        </is>
      </c>
      <c r="L410" s="16" t="inlineStr">
        <is>
          <t>40%</t>
        </is>
      </c>
      <c r="M410" s="16" t="inlineStr">
        <is>
          <t>-5%</t>
        </is>
      </c>
      <c r="N410" s="16" t="inlineStr">
        <is>
          <t>-5%</t>
        </is>
      </c>
      <c r="O410" s="16" t="n">
        <v>3.6</v>
      </c>
      <c r="P410" s="16" t="inlineStr">
        <is>
          <t>51%</t>
        </is>
      </c>
      <c r="Q410" s="16" t="n">
        <v>100048</v>
      </c>
      <c r="R410" s="16" t="inlineStr">
        <is>
          <t>P/B 1.16 · P/S 8.9 · FCF yld 3% · net debt 38% of mcap · rev -0% · op margin 40% · buying back 5%/yr</t>
        </is>
      </c>
      <c r="S410" s="16" t="inlineStr"/>
      <c r="T410" s="16" t="inlineStr">
        <is>
          <t>Call Intent</t>
        </is>
      </c>
    </row>
    <row r="411">
      <c r="A411" s="6" t="inlineStr">
        <is>
          <t>NTR</t>
        </is>
      </c>
      <c r="B411" s="14" t="inlineStr">
        <is>
          <t>Nutrien Ltd.</t>
        </is>
      </c>
      <c r="C411" s="14" t="inlineStr">
        <is>
          <t>Basic Material</t>
        </is>
      </c>
      <c r="D411" s="14" t="n">
        <v>36175</v>
      </c>
      <c r="E411" s="14" t="n">
        <v>1.4</v>
      </c>
      <c r="F411" s="14" t="n">
        <v>15.2</v>
      </c>
      <c r="G411" s="14" t="n">
        <v>7.6</v>
      </c>
      <c r="H411" s="14" t="inlineStr">
        <is>
          <t>6%</t>
        </is>
      </c>
      <c r="I411" s="14" t="inlineStr">
        <is>
          <t>-33%</t>
        </is>
      </c>
      <c r="J411" s="14" t="n">
        <v>1.9</v>
      </c>
      <c r="K411" s="14" t="inlineStr">
        <is>
          <t>9%</t>
        </is>
      </c>
      <c r="L411" s="14" t="inlineStr">
        <is>
          <t>15%</t>
        </is>
      </c>
      <c r="M411" s="14" t="inlineStr">
        <is>
          <t>9%</t>
        </is>
      </c>
      <c r="N411" s="14" t="inlineStr">
        <is>
          <t>-2%</t>
        </is>
      </c>
      <c r="O411" s="14" t="n">
        <v>5.6</v>
      </c>
      <c r="P411" s="14" t="inlineStr">
        <is>
          <t>69%</t>
        </is>
      </c>
      <c r="Q411" s="14" t="n">
        <v>204653</v>
      </c>
      <c r="R411" s="14" t="inlineStr">
        <is>
          <t>P/B 1.40 · EV/EBITDA 7.6× · FCF yld 6% · net debt 33% of mcap · rev +9% · op margin 15%</t>
        </is>
      </c>
      <c r="S411" s="14" t="inlineStr"/>
      <c r="T411" s="14" t="inlineStr">
        <is>
          <t>Call Intent</t>
        </is>
      </c>
    </row>
    <row r="412">
      <c r="A412" s="8" t="inlineStr">
        <is>
          <t>BXC</t>
        </is>
      </c>
      <c r="B412" s="16" t="inlineStr">
        <is>
          <t>BlueLinx Holdings Inc.</t>
        </is>
      </c>
      <c r="C412" s="16" t="inlineStr">
        <is>
          <t>Industrials</t>
        </is>
      </c>
      <c r="D412" s="16" t="n">
        <v>636</v>
      </c>
      <c r="E412" s="16" t="n">
        <v>1.02</v>
      </c>
      <c r="F412" s="16" t="n">
        <v>-349</v>
      </c>
      <c r="G412" s="16" t="n">
        <v>13</v>
      </c>
      <c r="H412" s="16" t="inlineStr">
        <is>
          <t>9%</t>
        </is>
      </c>
      <c r="I412" s="16" t="inlineStr">
        <is>
          <t>-56%</t>
        </is>
      </c>
      <c r="J412" s="16" t="n">
        <v>4.7</v>
      </c>
      <c r="K412" s="16" t="inlineStr">
        <is>
          <t>2%</t>
        </is>
      </c>
      <c r="L412" s="16" t="inlineStr">
        <is>
          <t>1%</t>
        </is>
      </c>
      <c r="M412" s="16" t="inlineStr">
        <is>
          <t>-0%</t>
        </is>
      </c>
      <c r="N412" s="16" t="inlineStr">
        <is>
          <t>-1%</t>
        </is>
      </c>
      <c r="O412" s="16" t="n">
        <v>0.8</v>
      </c>
      <c r="P412" s="16" t="inlineStr">
        <is>
          <t>75%</t>
        </is>
      </c>
      <c r="Q412" s="16" t="n">
        <v>12753</v>
      </c>
      <c r="R412" s="16" t="inlineStr">
        <is>
          <t>P/B 1.02 · EV/EBITDA 13.0× · FCF yld 9% · net debt 56% of mcap · rev +2% · op margin 1% · interest cover 0.8× ⚠</t>
        </is>
      </c>
      <c r="S412" s="16" t="inlineStr"/>
      <c r="T412" s="16" t="inlineStr">
        <is>
          <t>Call Intent</t>
        </is>
      </c>
    </row>
    <row r="413">
      <c r="A413" s="6" t="inlineStr">
        <is>
          <t>VC</t>
        </is>
      </c>
      <c r="B413" s="14" t="inlineStr">
        <is>
          <t>Visteon Corporation</t>
        </is>
      </c>
      <c r="C413" s="14" t="inlineStr">
        <is>
          <t>Consumer Cycli</t>
        </is>
      </c>
      <c r="D413" s="14" t="n">
        <v>2480</v>
      </c>
      <c r="E413" s="14" t="n">
        <v>1.54</v>
      </c>
      <c r="F413" s="14" t="n">
        <v>16.6</v>
      </c>
      <c r="G413" s="14" t="n">
        <v>6.2</v>
      </c>
      <c r="H413" s="14" t="inlineStr">
        <is>
          <t>6%</t>
        </is>
      </c>
      <c r="I413" s="14" t="inlineStr">
        <is>
          <t>9%</t>
        </is>
      </c>
      <c r="J413" s="14" t="n">
        <v>-0.6</v>
      </c>
      <c r="K413" s="14" t="inlineStr">
        <is>
          <t>-1%</t>
        </is>
      </c>
      <c r="L413" s="14" t="inlineStr">
        <is>
          <t>7%</t>
        </is>
      </c>
      <c r="M413" s="14" t="inlineStr">
        <is>
          <t>10%</t>
        </is>
      </c>
      <c r="N413" s="14" t="inlineStr">
        <is>
          <t>-1%</t>
        </is>
      </c>
      <c r="O413" s="14" t="n">
        <v>39.7</v>
      </c>
      <c r="P413" s="14" t="inlineStr">
        <is>
          <t>22%</t>
        </is>
      </c>
      <c r="Q413" s="14" t="n">
        <v>48384</v>
      </c>
      <c r="R413" s="14" t="inlineStr">
        <is>
          <t>P/B 1.54 · EV/EBITDA 6.2× · FCF yld 6% · net cash 9% of mcap · rev -1% · op margin 7%</t>
        </is>
      </c>
      <c r="S413" s="14" t="inlineStr"/>
      <c r="T413" s="14" t="inlineStr">
        <is>
          <t>Call Intent</t>
        </is>
      </c>
    </row>
    <row r="414">
      <c r="A414" s="8" t="inlineStr">
        <is>
          <t>AER</t>
        </is>
      </c>
      <c r="B414" s="16" t="inlineStr">
        <is>
          <t>AerCap Holdings N.V.</t>
        </is>
      </c>
      <c r="C414" s="16" t="inlineStr">
        <is>
          <t>Industrials</t>
        </is>
      </c>
      <c r="D414" s="16" t="n">
        <v>22918</v>
      </c>
      <c r="E414" s="16" t="n">
        <v>1.24</v>
      </c>
      <c r="F414" s="16" t="n">
        <v>7</v>
      </c>
      <c r="G414" s="16" t="n">
        <v>8.5</v>
      </c>
      <c r="H414" s="16" t="inlineStr">
        <is>
          <t>-1%</t>
        </is>
      </c>
      <c r="I414" s="16" t="inlineStr">
        <is>
          <t>-179%</t>
        </is>
      </c>
      <c r="J414" s="16" t="n">
        <v>5.4</v>
      </c>
      <c r="K414" s="16" t="inlineStr">
        <is>
          <t>4%</t>
        </is>
      </c>
      <c r="L414" s="16" t="inlineStr">
        <is>
          <t>53%</t>
        </is>
      </c>
      <c r="M414" s="16" t="inlineStr">
        <is>
          <t>19%</t>
        </is>
      </c>
      <c r="N414" s="16" t="inlineStr">
        <is>
          <t>-11%</t>
        </is>
      </c>
      <c r="O414" s="16" t="n">
        <v>2.3</v>
      </c>
      <c r="P414" s="16" t="inlineStr">
        <is>
          <t>66%</t>
        </is>
      </c>
      <c r="Q414" s="16" t="n">
        <v>167428</v>
      </c>
      <c r="R414" s="16" t="inlineStr">
        <is>
          <t>P/B 1.24 · EV/EBITDA 8.5× · FCF yld -1% · net debt 179% of mcap · rev +4% · op margin 53% · buying back 11%/yr</t>
        </is>
      </c>
      <c r="S414" s="16" t="inlineStr"/>
      <c r="T414" s="16" t="inlineStr">
        <is>
          <t>Call Intent</t>
        </is>
      </c>
    </row>
    <row r="415">
      <c r="A415" s="6" t="inlineStr">
        <is>
          <t>HSDT</t>
        </is>
      </c>
      <c r="B415" s="14" t="inlineStr">
        <is>
          <t>Solana Company</t>
        </is>
      </c>
      <c r="C415" s="14" t="inlineStr">
        <is>
          <t>Financial Serv</t>
        </is>
      </c>
      <c r="D415" s="14" t="n">
        <v>176</v>
      </c>
      <c r="E415" s="14" t="n">
        <v>1.06</v>
      </c>
      <c r="F415" s="14" t="n">
        <v>-0.1</v>
      </c>
      <c r="G415" s="14" t="n">
        <v>-1.2</v>
      </c>
      <c r="H415" s="14" t="inlineStr">
        <is>
          <t>-16%</t>
        </is>
      </c>
      <c r="I415" s="14" t="inlineStr">
        <is>
          <t>2%</t>
        </is>
      </c>
      <c r="J415" s="14" t="n">
        <v>0</v>
      </c>
      <c r="K415" s="14" t="n"/>
      <c r="L415" s="14" t="inlineStr">
        <is>
          <t>-200%</t>
        </is>
      </c>
      <c r="M415" s="14" t="inlineStr">
        <is>
          <t>-123%</t>
        </is>
      </c>
      <c r="N415" s="14" t="n"/>
      <c r="O415" s="14" t="n">
        <v>-355.9</v>
      </c>
      <c r="P415" s="14" t="inlineStr">
        <is>
          <t>10%</t>
        </is>
      </c>
      <c r="Q415" s="14" t="n">
        <v>997</v>
      </c>
      <c r="R415" s="14" t="inlineStr">
        <is>
          <t>P/B 1.06 · ROE -123% (financial: book/earnings basis)</t>
        </is>
      </c>
      <c r="S415" s="14" t="inlineStr">
        <is>
          <t>revenue not comparable YoY (fair-value / one-off income?)</t>
        </is>
      </c>
      <c r="T415" s="14" t="inlineStr">
        <is>
          <t>Call Intent</t>
        </is>
      </c>
    </row>
    <row r="416">
      <c r="A416" s="8" t="inlineStr">
        <is>
          <t>LNWO</t>
        </is>
      </c>
      <c r="B416" s="16" t="inlineStr">
        <is>
          <t>Light &amp; Wonder, Inc.</t>
        </is>
      </c>
      <c r="C416" s="16" t="inlineStr">
        <is>
          <t>Consumer Cycli</t>
        </is>
      </c>
      <c r="D416" s="16" t="n">
        <v>6215</v>
      </c>
      <c r="E416" s="16" t="n">
        <v>20.58</v>
      </c>
      <c r="F416" s="16" t="n">
        <v>23.3</v>
      </c>
      <c r="G416" s="16" t="n">
        <v>10</v>
      </c>
      <c r="H416" s="16" t="inlineStr">
        <is>
          <t>9%</t>
        </is>
      </c>
      <c r="I416" s="16" t="inlineStr">
        <is>
          <t>-81%</t>
        </is>
      </c>
      <c r="J416" s="16" t="n">
        <v>4.5</v>
      </c>
      <c r="K416" s="16" t="inlineStr">
        <is>
          <t>5%</t>
        </is>
      </c>
      <c r="L416" s="16" t="inlineStr">
        <is>
          <t>27%</t>
        </is>
      </c>
      <c r="M416" s="16" t="inlineStr">
        <is>
          <t>69%</t>
        </is>
      </c>
      <c r="N416" s="16" t="inlineStr">
        <is>
          <t>-9%</t>
        </is>
      </c>
      <c r="O416" s="16" t="n">
        <v>2.7</v>
      </c>
      <c r="P416" s="16" t="inlineStr">
        <is>
          <t>17%</t>
        </is>
      </c>
      <c r="Q416" s="16" t="n">
        <v>1891</v>
      </c>
      <c r="R416" s="16" t="inlineStr">
        <is>
          <t>P/B 20.58 · EV/EBITDA 10.0× · FCF yld 9% · net debt 81% of mcap · rev +5% · op margin 27% · buying back 9%/yr</t>
        </is>
      </c>
      <c r="S416" s="16" t="inlineStr"/>
      <c r="T416" s="16" t="inlineStr">
        <is>
          <t>Call Intent</t>
        </is>
      </c>
    </row>
    <row r="417">
      <c r="A417" s="6" t="inlineStr">
        <is>
          <t>MBUU</t>
        </is>
      </c>
      <c r="B417" s="14" t="inlineStr">
        <is>
          <t>Malibu Boats, Inc.</t>
        </is>
      </c>
      <c r="C417" s="14" t="inlineStr">
        <is>
          <t>Consumer Cycli</t>
        </is>
      </c>
      <c r="D417" s="14" t="n">
        <v>460</v>
      </c>
      <c r="E417" s="14" t="n">
        <v>0.89</v>
      </c>
      <c r="F417" s="14" t="n">
        <v>315.4</v>
      </c>
      <c r="G417" s="14" t="n">
        <v>10.9</v>
      </c>
      <c r="H417" s="14" t="inlineStr">
        <is>
          <t>9%</t>
        </is>
      </c>
      <c r="I417" s="14" t="inlineStr">
        <is>
          <t>-26%</t>
        </is>
      </c>
      <c r="J417" s="14" t="n">
        <v>1.8</v>
      </c>
      <c r="K417" s="14" t="inlineStr">
        <is>
          <t>12%</t>
        </is>
      </c>
      <c r="L417" s="14" t="inlineStr">
        <is>
          <t>0%</t>
        </is>
      </c>
      <c r="M417" s="14" t="inlineStr">
        <is>
          <t>0%</t>
        </is>
      </c>
      <c r="N417" s="14" t="inlineStr">
        <is>
          <t>-3%</t>
        </is>
      </c>
      <c r="O417" s="14" t="n">
        <v>0.9</v>
      </c>
      <c r="P417" s="14" t="inlineStr">
        <is>
          <t>5%</t>
        </is>
      </c>
      <c r="Q417" s="14" t="n">
        <v>6289</v>
      </c>
      <c r="R417" s="14" t="inlineStr">
        <is>
          <t>P/B 0.89 · EV/EBITDA 10.9× · FCF yld 9% · net debt 26% of mcap · rev +12% · op margin 0% · buying back 3%/yr · interest cover 0.9× ⚠</t>
        </is>
      </c>
      <c r="S417" s="14" t="inlineStr"/>
      <c r="T417" s="14" t="inlineStr">
        <is>
          <t>Call Intent</t>
        </is>
      </c>
    </row>
    <row r="418">
      <c r="A418" s="8" t="inlineStr">
        <is>
          <t>R</t>
        </is>
      </c>
      <c r="B418" s="16" t="inlineStr">
        <is>
          <t>Ryder System, Inc.</t>
        </is>
      </c>
      <c r="C418" s="16" t="inlineStr">
        <is>
          <t>Industrials</t>
        </is>
      </c>
      <c r="D418" s="16" t="n">
        <v>9156</v>
      </c>
      <c r="E418" s="16" t="n">
        <v>3.18</v>
      </c>
      <c r="F418" s="16" t="n">
        <v>19.4</v>
      </c>
      <c r="G418" s="16" t="n">
        <v>6.7</v>
      </c>
      <c r="H418" s="16" t="inlineStr">
        <is>
          <t>8%</t>
        </is>
      </c>
      <c r="I418" s="16" t="inlineStr">
        <is>
          <t>-90%</t>
        </is>
      </c>
      <c r="J418" s="16" t="n">
        <v>3.2</v>
      </c>
      <c r="K418" s="16" t="inlineStr">
        <is>
          <t>1%</t>
        </is>
      </c>
      <c r="L418" s="16" t="inlineStr">
        <is>
          <t>7%</t>
        </is>
      </c>
      <c r="M418" s="16" t="inlineStr">
        <is>
          <t>17%</t>
        </is>
      </c>
      <c r="N418" s="16" t="inlineStr">
        <is>
          <t>-8%</t>
        </is>
      </c>
      <c r="O418" s="16" t="n">
        <v>2.4</v>
      </c>
      <c r="P418" s="16" t="inlineStr">
        <is>
          <t>64%</t>
        </is>
      </c>
      <c r="Q418" s="16" t="n">
        <v>82274</v>
      </c>
      <c r="R418" s="16" t="inlineStr">
        <is>
          <t>P/B 3.18 · EV/EBITDA 6.7× · FCF yld 8% · net debt 90% of mcap · rev +1% · op margin 7% · buying back 8%/yr</t>
        </is>
      </c>
      <c r="S418" s="16" t="inlineStr"/>
      <c r="T418" s="16" t="inlineStr">
        <is>
          <t>Call Intent</t>
        </is>
      </c>
    </row>
    <row r="419">
      <c r="A419" s="6" t="inlineStr">
        <is>
          <t>VIPS</t>
        </is>
      </c>
      <c r="B419" s="14" t="inlineStr">
        <is>
          <t>Vipshop Holdings Limit</t>
        </is>
      </c>
      <c r="C419" s="14" t="inlineStr">
        <is>
          <t>Consumer Cycli</t>
        </is>
      </c>
      <c r="D419" s="14" t="n">
        <v>6153</v>
      </c>
      <c r="E419" s="14" t="n">
        <v>0.92</v>
      </c>
      <c r="F419" s="14" t="n">
        <v>3.9</v>
      </c>
      <c r="G419" s="14" t="n">
        <v>1.5</v>
      </c>
      <c r="H419" s="14" t="inlineStr">
        <is>
          <t>0%</t>
        </is>
      </c>
      <c r="I419" s="14" t="inlineStr">
        <is>
          <t>52%</t>
        </is>
      </c>
      <c r="J419" s="14" t="n">
        <v>-1.1</v>
      </c>
      <c r="K419" s="14" t="inlineStr">
        <is>
          <t>-1%</t>
        </is>
      </c>
      <c r="L419" s="14" t="inlineStr">
        <is>
          <t>8%</t>
        </is>
      </c>
      <c r="M419" s="14" t="inlineStr">
        <is>
          <t>25%</t>
        </is>
      </c>
      <c r="N419" s="14" t="inlineStr">
        <is>
          <t>-5%</t>
        </is>
      </c>
      <c r="O419" s="14" t="n">
        <v>24.5</v>
      </c>
      <c r="P419" s="14" t="inlineStr">
        <is>
          <t>5%</t>
        </is>
      </c>
      <c r="Q419" s="14" t="n">
        <v>33737</v>
      </c>
      <c r="R419" s="14" t="inlineStr">
        <is>
          <t>P/B 0.92 · EV/EBITDA 1.5× · FCF yld 0% · net cash 52% of mcap · rev -1% · op margin 8% · buying back 5%/yr</t>
        </is>
      </c>
      <c r="S419" s="14" t="inlineStr"/>
      <c r="T419" s="14" t="inlineStr">
        <is>
          <t>Call Intent</t>
        </is>
      </c>
    </row>
    <row r="420">
      <c r="A420" s="8" t="inlineStr">
        <is>
          <t>CROX</t>
        </is>
      </c>
      <c r="B420" s="16" t="inlineStr">
        <is>
          <t>Crocs, Inc.</t>
        </is>
      </c>
      <c r="C420" s="16" t="inlineStr">
        <is>
          <t>Consumer Cycli</t>
        </is>
      </c>
      <c r="D420" s="16" t="n">
        <v>6013</v>
      </c>
      <c r="E420" s="16" t="n">
        <v>4.34</v>
      </c>
      <c r="F420" s="16" t="n">
        <v>10.7</v>
      </c>
      <c r="G420" s="16" t="n">
        <v>8.5</v>
      </c>
      <c r="H420" s="16" t="inlineStr">
        <is>
          <t>12%</t>
        </is>
      </c>
      <c r="I420" s="16" t="inlineStr">
        <is>
          <t>-25%</t>
        </is>
      </c>
      <c r="J420" s="16" t="n">
        <v>1.7</v>
      </c>
      <c r="K420" s="16" t="inlineStr">
        <is>
          <t>-2%</t>
        </is>
      </c>
      <c r="L420" s="16" t="inlineStr">
        <is>
          <t>21%</t>
        </is>
      </c>
      <c r="M420" s="16" t="inlineStr">
        <is>
          <t>43%</t>
        </is>
      </c>
      <c r="N420" s="16" t="inlineStr">
        <is>
          <t>-10%</t>
        </is>
      </c>
      <c r="O420" s="16" t="n">
        <v>319.6</v>
      </c>
      <c r="P420" s="16" t="inlineStr">
        <is>
          <t>77%</t>
        </is>
      </c>
      <c r="Q420" s="16" t="n">
        <v>141063</v>
      </c>
      <c r="R420" s="16" t="inlineStr">
        <is>
          <t>P/B 4.34 · EV/EBITDA 8.5× · FCF yld 12% · net debt 25% of mcap · rev -2% · op margin 21% · buying back 10%/yr</t>
        </is>
      </c>
      <c r="S420" s="16" t="inlineStr"/>
      <c r="T420" s="16" t="inlineStr">
        <is>
          <t>Call Intent</t>
        </is>
      </c>
    </row>
    <row r="421">
      <c r="A421" s="6" t="inlineStr">
        <is>
          <t>IVZ</t>
        </is>
      </c>
      <c r="B421" s="14" t="inlineStr">
        <is>
          <t>Invesco Ltd.</t>
        </is>
      </c>
      <c r="C421" s="14" t="inlineStr">
        <is>
          <t>Financial Serv</t>
        </is>
      </c>
      <c r="D421" s="14" t="n">
        <v>13642</v>
      </c>
      <c r="E421" s="14" t="n">
        <v>1.09</v>
      </c>
      <c r="F421" s="14" t="n">
        <v>-45.2</v>
      </c>
      <c r="G421" s="14" t="n">
        <v>9.6</v>
      </c>
      <c r="H421" s="14" t="inlineStr">
        <is>
          <t>14%</t>
        </is>
      </c>
      <c r="I421" s="14" t="inlineStr">
        <is>
          <t>-5%</t>
        </is>
      </c>
      <c r="J421" s="14" t="n">
        <v>0.5</v>
      </c>
      <c r="K421" s="14" t="inlineStr">
        <is>
          <t>12%</t>
        </is>
      </c>
      <c r="L421" s="14" t="inlineStr">
        <is>
          <t>-7%</t>
        </is>
      </c>
      <c r="M421" s="14" t="inlineStr">
        <is>
          <t>-1%</t>
        </is>
      </c>
      <c r="N421" s="14" t="inlineStr">
        <is>
          <t>0%</t>
        </is>
      </c>
      <c r="O421" s="14" t="n">
        <v>-5.1</v>
      </c>
      <c r="P421" s="14" t="inlineStr">
        <is>
          <t>78%</t>
        </is>
      </c>
      <c r="Q421" s="14" t="n">
        <v>145748</v>
      </c>
      <c r="R421" s="14" t="inlineStr">
        <is>
          <t>P/B 1.09 · ROE -1% · div yld 2.8% (financial: book/earnings basis)</t>
        </is>
      </c>
      <c r="S421" s="14" t="inlineStr"/>
      <c r="T421" s="14" t="inlineStr">
        <is>
          <t>Call Intent</t>
        </is>
      </c>
    </row>
    <row r="422">
      <c r="A422" s="8" t="inlineStr">
        <is>
          <t>ASO</t>
        </is>
      </c>
      <c r="B422" s="16" t="inlineStr">
        <is>
          <t>Academy Sports and Out</t>
        </is>
      </c>
      <c r="C422" s="16" t="inlineStr">
        <is>
          <t>Consumer Cycli</t>
        </is>
      </c>
      <c r="D422" s="16" t="n">
        <v>3009</v>
      </c>
      <c r="E422" s="16" t="n">
        <v>1.38</v>
      </c>
      <c r="F422" s="16" t="n">
        <v>7.8</v>
      </c>
      <c r="G422" s="16" t="n">
        <v>6.4</v>
      </c>
      <c r="H422" s="16" t="inlineStr">
        <is>
          <t>11%</t>
        </is>
      </c>
      <c r="I422" s="16" t="inlineStr">
        <is>
          <t>-56%</t>
        </is>
      </c>
      <c r="J422" s="16" t="n">
        <v>2.3</v>
      </c>
      <c r="K422" s="16" t="inlineStr">
        <is>
          <t>4%</t>
        </is>
      </c>
      <c r="L422" s="16" t="inlineStr">
        <is>
          <t>10%</t>
        </is>
      </c>
      <c r="M422" s="16" t="inlineStr">
        <is>
          <t>18%</t>
        </is>
      </c>
      <c r="N422" s="16" t="inlineStr">
        <is>
          <t>-6%</t>
        </is>
      </c>
      <c r="O422" s="16" t="n">
        <v>16.8</v>
      </c>
      <c r="P422" s="16" t="inlineStr">
        <is>
          <t>34%</t>
        </is>
      </c>
      <c r="Q422" s="16" t="n">
        <v>83612</v>
      </c>
      <c r="R422" s="16" t="inlineStr">
        <is>
          <t>P/B 1.38 · EV/EBITDA 6.4× · FCF yld 11% · net debt 56% of mcap · rev +4% · op margin 10% · buying back 6%/yr</t>
        </is>
      </c>
      <c r="S422" s="16" t="inlineStr"/>
      <c r="T422" s="16" t="inlineStr">
        <is>
          <t>Call Intent</t>
        </is>
      </c>
    </row>
    <row r="423">
      <c r="A423" s="6" t="inlineStr">
        <is>
          <t>PHIN</t>
        </is>
      </c>
      <c r="B423" s="14" t="inlineStr">
        <is>
          <t>PHINIA Inc.</t>
        </is>
      </c>
      <c r="C423" s="14" t="inlineStr">
        <is>
          <t>Consumer Cycli</t>
        </is>
      </c>
      <c r="D423" s="14" t="n">
        <v>2212</v>
      </c>
      <c r="E423" s="14" t="n">
        <v>1.44</v>
      </c>
      <c r="F423" s="14" t="n">
        <v>17.2</v>
      </c>
      <c r="G423" s="14" t="n">
        <v>6.6</v>
      </c>
      <c r="H423" s="14" t="inlineStr">
        <is>
          <t>14%</t>
        </is>
      </c>
      <c r="I423" s="14" t="inlineStr">
        <is>
          <t>-31%</t>
        </is>
      </c>
      <c r="J423" s="14" t="n">
        <v>1.6</v>
      </c>
      <c r="K423" s="14" t="inlineStr">
        <is>
          <t>8%</t>
        </is>
      </c>
      <c r="L423" s="14" t="inlineStr">
        <is>
          <t>9%</t>
        </is>
      </c>
      <c r="M423" s="14" t="inlineStr">
        <is>
          <t>9%</t>
        </is>
      </c>
      <c r="N423" s="14" t="inlineStr">
        <is>
          <t>-5%</t>
        </is>
      </c>
      <c r="O423" s="14" t="n">
        <v>3.9</v>
      </c>
      <c r="P423" s="14" t="inlineStr">
        <is>
          <t>26%</t>
        </is>
      </c>
      <c r="Q423" s="14" t="n">
        <v>22720</v>
      </c>
      <c r="R423" s="14" t="inlineStr">
        <is>
          <t>P/B 1.44 · EV/EBITDA 6.6× · FCF yld 14% · net debt 31% of mcap · rev +8% · op margin 9% · buying back 5%/yr</t>
        </is>
      </c>
      <c r="S423" s="14" t="inlineStr"/>
      <c r="T423" s="14" t="inlineStr">
        <is>
          <t>Call Intent</t>
        </is>
      </c>
    </row>
    <row r="424">
      <c r="A424" s="8" t="inlineStr">
        <is>
          <t>SHEL</t>
        </is>
      </c>
      <c r="B424" s="16" t="inlineStr">
        <is>
          <t>Shell plc</t>
        </is>
      </c>
      <c r="C424" s="16" t="inlineStr">
        <is>
          <t>Energy</t>
        </is>
      </c>
      <c r="D424" s="16" t="n">
        <v>264758</v>
      </c>
      <c r="E424" s="16" t="n">
        <v>1.46</v>
      </c>
      <c r="F424" s="16" t="n">
        <v>10.4</v>
      </c>
      <c r="G424" s="16" t="n">
        <v>4.5</v>
      </c>
      <c r="H424" s="16" t="inlineStr">
        <is>
          <t>11%</t>
        </is>
      </c>
      <c r="I424" s="16" t="inlineStr">
        <is>
          <t>-16%</t>
        </is>
      </c>
      <c r="J424" s="16" t="n">
        <v>0.6</v>
      </c>
      <c r="K424" s="16" t="inlineStr">
        <is>
          <t>9%</t>
        </is>
      </c>
      <c r="L424" s="16" t="inlineStr">
        <is>
          <t>13%</t>
        </is>
      </c>
      <c r="M424" s="16" t="inlineStr">
        <is>
          <t>15%</t>
        </is>
      </c>
      <c r="N424" s="16" t="inlineStr">
        <is>
          <t>-6%</t>
        </is>
      </c>
      <c r="O424" s="16" t="n">
        <v>7.7</v>
      </c>
      <c r="P424" s="16" t="inlineStr">
        <is>
          <t>86%</t>
        </is>
      </c>
      <c r="Q424" s="16" t="n">
        <v>614713</v>
      </c>
      <c r="R424" s="16" t="inlineStr">
        <is>
          <t>P/B 1.46 · EV/EBITDA 4.5× · FCF yld 11% · net debt 16% of mcap · rev +9% · op margin 13% · buying back 6%/yr</t>
        </is>
      </c>
      <c r="S424" s="16" t="inlineStr"/>
      <c r="T424" s="16" t="inlineStr">
        <is>
          <t>Call Intent</t>
        </is>
      </c>
    </row>
    <row r="425">
      <c r="A425" s="6" t="inlineStr">
        <is>
          <t>MPAA</t>
        </is>
      </c>
      <c r="B425" s="14" t="inlineStr">
        <is>
          <t>Motorcar Parts of Amer</t>
        </is>
      </c>
      <c r="C425" s="14" t="inlineStr">
        <is>
          <t>Consumer Cycli</t>
        </is>
      </c>
      <c r="D425" s="14" t="n">
        <v>201</v>
      </c>
      <c r="E425" s="14" t="n">
        <v>0.78</v>
      </c>
      <c r="F425" s="14" t="n">
        <v>-48.4</v>
      </c>
      <c r="G425" s="14" t="n">
        <v>7.7</v>
      </c>
      <c r="H425" s="14" t="inlineStr">
        <is>
          <t>-2%</t>
        </is>
      </c>
      <c r="I425" s="14" t="inlineStr">
        <is>
          <t>-90%</t>
        </is>
      </c>
      <c r="J425" s="14" t="n">
        <v>3.9</v>
      </c>
      <c r="K425" s="14" t="inlineStr">
        <is>
          <t>7%</t>
        </is>
      </c>
      <c r="L425" s="14" t="inlineStr">
        <is>
          <t>6%</t>
        </is>
      </c>
      <c r="M425" s="14" t="inlineStr">
        <is>
          <t>-2%</t>
        </is>
      </c>
      <c r="N425" s="14" t="inlineStr">
        <is>
          <t>-2%</t>
        </is>
      </c>
      <c r="O425" s="14" t="n">
        <v>1.1</v>
      </c>
      <c r="P425" s="14" t="inlineStr">
        <is>
          <t>15%</t>
        </is>
      </c>
      <c r="Q425" s="14" t="n">
        <v>1311</v>
      </c>
      <c r="R425" s="14" t="inlineStr">
        <is>
          <t>P/B 0.78 · EV/EBITDA 7.7× · FCF yld -2% · net debt 90% of mcap · rev +7% · op margin 6% · interest cover 1.1× ⚠</t>
        </is>
      </c>
      <c r="S425" s="14" t="inlineStr"/>
      <c r="T425" s="14" t="inlineStr">
        <is>
          <t>Call Intent</t>
        </is>
      </c>
    </row>
    <row r="426">
      <c r="A426" s="8" t="inlineStr">
        <is>
          <t>CNNE</t>
        </is>
      </c>
      <c r="B426" s="16" t="inlineStr">
        <is>
          <t>Cannae Holdings, Inc.</t>
        </is>
      </c>
      <c r="C426" s="16" t="inlineStr">
        <is>
          <t>Consumer Cycli</t>
        </is>
      </c>
      <c r="D426" s="16" t="n">
        <v>690</v>
      </c>
      <c r="E426" s="16" t="n">
        <v>0.72</v>
      </c>
      <c r="F426" s="16" t="n">
        <v>-5.2</v>
      </c>
      <c r="G426" s="16" t="n">
        <v>-18.1</v>
      </c>
      <c r="H426" s="16" t="inlineStr">
        <is>
          <t>-6%</t>
        </is>
      </c>
      <c r="I426" s="16" t="inlineStr">
        <is>
          <t>-18%</t>
        </is>
      </c>
      <c r="J426" s="16" t="n">
        <v>-2.7</v>
      </c>
      <c r="K426" s="16" t="inlineStr">
        <is>
          <t>-7%</t>
        </is>
      </c>
      <c r="L426" s="16" t="inlineStr">
        <is>
          <t>-28%</t>
        </is>
      </c>
      <c r="M426" s="16" t="inlineStr">
        <is>
          <t>-15%</t>
        </is>
      </c>
      <c r="N426" s="16" t="inlineStr">
        <is>
          <t>-28%</t>
        </is>
      </c>
      <c r="O426" s="16" t="n">
        <v>-14</v>
      </c>
      <c r="P426" s="16" t="inlineStr">
        <is>
          <t>61%</t>
        </is>
      </c>
      <c r="Q426" s="16" t="n">
        <v>7547</v>
      </c>
      <c r="R426" s="16" t="inlineStr">
        <is>
          <t>P/B 0.72 · P/S 1.7 · FCF yld -6% · net debt 18% of mcap · rev -7% · op margin -28% · buying back 28%/yr · interest cover -14.0× ⚠</t>
        </is>
      </c>
      <c r="S426" s="16" t="inlineStr"/>
      <c r="T426" s="16" t="inlineStr">
        <is>
          <t>Call Intent</t>
        </is>
      </c>
    </row>
    <row r="427">
      <c r="A427" s="6" t="inlineStr">
        <is>
          <t>NTGR</t>
        </is>
      </c>
      <c r="B427" s="14" t="inlineStr">
        <is>
          <t>NETGEAR, Inc.</t>
        </is>
      </c>
      <c r="C427" s="14" t="inlineStr">
        <is>
          <t>Technology</t>
        </is>
      </c>
      <c r="D427" s="14" t="n">
        <v>601</v>
      </c>
      <c r="E427" s="14" t="n">
        <v>1.32</v>
      </c>
      <c r="F427" s="14" t="n">
        <v>-15.3</v>
      </c>
      <c r="G427" s="14" t="n">
        <v>-28</v>
      </c>
      <c r="H427" s="14" t="inlineStr">
        <is>
          <t>-3%</t>
        </is>
      </c>
      <c r="I427" s="14" t="inlineStr">
        <is>
          <t>37%</t>
        </is>
      </c>
      <c r="J427" s="14" t="n">
        <v>7.7</v>
      </c>
      <c r="K427" s="14" t="inlineStr">
        <is>
          <t>-1%</t>
        </is>
      </c>
      <c r="L427" s="14" t="inlineStr">
        <is>
          <t>-4%</t>
        </is>
      </c>
      <c r="M427" s="14" t="inlineStr">
        <is>
          <t>-8%</t>
        </is>
      </c>
      <c r="N427" s="14" t="inlineStr">
        <is>
          <t>-6%</t>
        </is>
      </c>
      <c r="O427" s="14" t="n">
        <v>0</v>
      </c>
      <c r="P427" s="14" t="inlineStr">
        <is>
          <t>19%</t>
        </is>
      </c>
      <c r="Q427" s="14" t="n">
        <v>8184</v>
      </c>
      <c r="R427" s="14" t="inlineStr">
        <is>
          <t>P/B 1.32 · P/S 0.9 · FCF yld -3% · net cash 37% of mcap · rev -1% · op margin -4% · buying back 6%/yr</t>
        </is>
      </c>
      <c r="S427" s="14" t="inlineStr"/>
      <c r="T427" s="14" t="inlineStr">
        <is>
          <t>Call Intent</t>
        </is>
      </c>
    </row>
    <row r="428">
      <c r="A428" s="8" t="inlineStr">
        <is>
          <t>NOV</t>
        </is>
      </c>
      <c r="B428" s="16" t="inlineStr">
        <is>
          <t>NOV Inc.</t>
        </is>
      </c>
      <c r="C428" s="16" t="inlineStr">
        <is>
          <t>Energy</t>
        </is>
      </c>
      <c r="D428" s="16" t="n">
        <v>7342</v>
      </c>
      <c r="E428" s="16" t="n">
        <v>1.18</v>
      </c>
      <c r="F428" s="16" t="n">
        <v>78.2</v>
      </c>
      <c r="G428" s="16" t="n">
        <v>10.7</v>
      </c>
      <c r="H428" s="16" t="inlineStr">
        <is>
          <t>8%</t>
        </is>
      </c>
      <c r="I428" s="16" t="inlineStr">
        <is>
          <t>-16%</t>
        </is>
      </c>
      <c r="J428" s="16" t="n">
        <v>1.5</v>
      </c>
      <c r="K428" s="16" t="inlineStr">
        <is>
          <t>-2%</t>
        </is>
      </c>
      <c r="L428" s="16" t="inlineStr">
        <is>
          <t>6%</t>
        </is>
      </c>
      <c r="M428" s="16" t="inlineStr">
        <is>
          <t>2%</t>
        </is>
      </c>
      <c r="N428" s="16" t="inlineStr">
        <is>
          <t>-3%</t>
        </is>
      </c>
      <c r="O428" s="16" t="n">
        <v>5.9</v>
      </c>
      <c r="P428" s="16" t="inlineStr">
        <is>
          <t>86%</t>
        </is>
      </c>
      <c r="Q428" s="16" t="n">
        <v>74462</v>
      </c>
      <c r="R428" s="16" t="inlineStr">
        <is>
          <t>P/B 1.18 · EV/EBITDA 10.7× · FCF yld 8% · net debt 16% of mcap · rev -2% · op margin 6% · buying back 3%/yr</t>
        </is>
      </c>
      <c r="S428" s="16" t="inlineStr"/>
      <c r="T428" s="16" t="inlineStr">
        <is>
          <t>Call Intent</t>
        </is>
      </c>
    </row>
    <row r="429">
      <c r="A429" s="6" t="inlineStr">
        <is>
          <t>GRWG</t>
        </is>
      </c>
      <c r="B429" s="14" t="inlineStr">
        <is>
          <t>GrowGeneration Corp.</t>
        </is>
      </c>
      <c r="C429" s="14" t="inlineStr">
        <is>
          <t>Consumer Cycli</t>
        </is>
      </c>
      <c r="D429" s="14" t="n">
        <v>96</v>
      </c>
      <c r="E429" s="14" t="n">
        <v>1.07</v>
      </c>
      <c r="F429" s="14" t="n">
        <v>-5.9</v>
      </c>
      <c r="G429" s="14" t="n">
        <v>-11.6</v>
      </c>
      <c r="H429" s="14" t="inlineStr">
        <is>
          <t>-8%</t>
        </is>
      </c>
      <c r="I429" s="14" t="inlineStr">
        <is>
          <t>16%</t>
        </is>
      </c>
      <c r="J429" s="14" t="n">
        <v>-0.3</v>
      </c>
      <c r="K429" s="14" t="inlineStr">
        <is>
          <t>2%</t>
        </is>
      </c>
      <c r="L429" s="14" t="inlineStr">
        <is>
          <t>-11%</t>
        </is>
      </c>
      <c r="M429" s="14" t="inlineStr">
        <is>
          <t>-17%</t>
        </is>
      </c>
      <c r="N429" s="14" t="inlineStr">
        <is>
          <t>0%</t>
        </is>
      </c>
      <c r="O429" s="14" t="n">
        <v>0</v>
      </c>
      <c r="P429" s="14" t="inlineStr">
        <is>
          <t>43%</t>
        </is>
      </c>
      <c r="Q429" s="14" t="n">
        <v>584</v>
      </c>
      <c r="R429" s="14" t="inlineStr">
        <is>
          <t>P/B 1.07 · P/S 0.6 · FCF yld -8% · net cash 16% of mcap · rev +2% · op margin -11%</t>
        </is>
      </c>
      <c r="S429" s="14" t="inlineStr"/>
      <c r="T429" s="14" t="inlineStr">
        <is>
          <t>Call Intent</t>
        </is>
      </c>
    </row>
    <row r="430">
      <c r="A430" s="8" t="inlineStr">
        <is>
          <t>API</t>
        </is>
      </c>
      <c r="B430" s="16" t="inlineStr">
        <is>
          <t>Agora, Inc.</t>
        </is>
      </c>
      <c r="C430" s="16" t="inlineStr">
        <is>
          <t>Technology</t>
        </is>
      </c>
      <c r="D430" s="16" t="n">
        <v>392</v>
      </c>
      <c r="E430" s="16" t="n">
        <v>0.71</v>
      </c>
      <c r="F430" s="16" t="n">
        <v>34.7</v>
      </c>
      <c r="G430" s="16" t="n">
        <v>29.9</v>
      </c>
      <c r="H430" s="16" t="inlineStr">
        <is>
          <t>-5%</t>
        </is>
      </c>
      <c r="I430" s="16" t="inlineStr">
        <is>
          <t>62%</t>
        </is>
      </c>
      <c r="J430" s="16" t="n">
        <v>2.1</v>
      </c>
      <c r="K430" s="16" t="inlineStr">
        <is>
          <t>14%</t>
        </is>
      </c>
      <c r="L430" s="16" t="inlineStr">
        <is>
          <t>-4%</t>
        </is>
      </c>
      <c r="M430" s="16" t="inlineStr">
        <is>
          <t>2%</t>
        </is>
      </c>
      <c r="N430" s="16" t="inlineStr">
        <is>
          <t>-6%</t>
        </is>
      </c>
      <c r="O430" s="16" t="n">
        <v>-109.8</v>
      </c>
      <c r="P430" s="16" t="inlineStr">
        <is>
          <t>52%</t>
        </is>
      </c>
      <c r="Q430" s="16" t="n">
        <v>1647</v>
      </c>
      <c r="R430" s="16" t="inlineStr">
        <is>
          <t>P/B 0.71 · EV/EBITDA 29.9× · FCF yld -5% · net cash 62% of mcap · rev +14% · op margin -4% · buying back 6%/yr</t>
        </is>
      </c>
      <c r="S430" s="16" t="inlineStr"/>
      <c r="T430" s="16" t="inlineStr">
        <is>
          <t>Call Intent</t>
        </is>
      </c>
    </row>
    <row r="431">
      <c r="A431" s="6" t="inlineStr">
        <is>
          <t>KBH</t>
        </is>
      </c>
      <c r="B431" s="14" t="inlineStr">
        <is>
          <t>KB Home</t>
        </is>
      </c>
      <c r="C431" s="14" t="inlineStr">
        <is>
          <t>Consumer Cycli</t>
        </is>
      </c>
      <c r="D431" s="14" t="n">
        <v>2983</v>
      </c>
      <c r="E431" s="14" t="n">
        <v>0.78</v>
      </c>
      <c r="F431" s="14" t="n">
        <v>13.1</v>
      </c>
      <c r="G431" s="14" t="n">
        <v>15.5</v>
      </c>
      <c r="H431" s="14" t="inlineStr">
        <is>
          <t>12%</t>
        </is>
      </c>
      <c r="I431" s="14" t="inlineStr">
        <is>
          <t>-65%</t>
        </is>
      </c>
      <c r="J431" s="14" t="n">
        <v>6.2</v>
      </c>
      <c r="K431" s="14" t="inlineStr">
        <is>
          <t>-18%</t>
        </is>
      </c>
      <c r="L431" s="14" t="inlineStr">
        <is>
          <t>5%</t>
        </is>
      </c>
      <c r="M431" s="14" t="inlineStr">
        <is>
          <t>6%</t>
        </is>
      </c>
      <c r="N431" s="14" t="inlineStr">
        <is>
          <t>-12%</t>
        </is>
      </c>
      <c r="O431" s="14" t="n">
        <v>0</v>
      </c>
      <c r="P431" s="14" t="inlineStr">
        <is>
          <t>20%</t>
        </is>
      </c>
      <c r="Q431" s="14" t="n">
        <v>60184</v>
      </c>
      <c r="R431" s="14" t="inlineStr">
        <is>
          <t>P/B 0.78 · EV/EBITDA 15.5× · FCF yld 12% · net debt 65% of mcap · rev -18% · op margin 5% · buying back 12%/yr</t>
        </is>
      </c>
      <c r="S431" s="14" t="inlineStr"/>
      <c r="T431" s="14" t="inlineStr">
        <is>
          <t>Call Intent</t>
        </is>
      </c>
    </row>
    <row r="432">
      <c r="A432" s="8" t="inlineStr">
        <is>
          <t>GLRE</t>
        </is>
      </c>
      <c r="B432" s="16" t="inlineStr">
        <is>
          <t>Greenlight Capital Re,</t>
        </is>
      </c>
      <c r="C432" s="16" t="inlineStr">
        <is>
          <t>Financial Serv</t>
        </is>
      </c>
      <c r="D432" s="16" t="n">
        <v>496</v>
      </c>
      <c r="E432" s="16" t="n">
        <v>0.71</v>
      </c>
      <c r="F432" s="16" t="n">
        <v>10</v>
      </c>
      <c r="G432" s="16" t="n">
        <v>-1.8</v>
      </c>
      <c r="H432" s="16" t="inlineStr">
        <is>
          <t>40%</t>
        </is>
      </c>
      <c r="I432" s="16" t="inlineStr">
        <is>
          <t>120%</t>
        </is>
      </c>
      <c r="J432" s="16" t="n">
        <v>-10.7</v>
      </c>
      <c r="K432" s="16" t="inlineStr">
        <is>
          <t>0%</t>
        </is>
      </c>
      <c r="L432" s="16" t="inlineStr">
        <is>
          <t>8%</t>
        </is>
      </c>
      <c r="M432" s="16" t="inlineStr">
        <is>
          <t>7%</t>
        </is>
      </c>
      <c r="N432" s="16" t="inlineStr">
        <is>
          <t>-4%</t>
        </is>
      </c>
      <c r="O432" s="16" t="n">
        <v>24</v>
      </c>
      <c r="P432" s="16" t="inlineStr">
        <is>
          <t>43%</t>
        </is>
      </c>
      <c r="Q432" s="16" t="n">
        <v>2402</v>
      </c>
      <c r="R432" s="16" t="inlineStr">
        <is>
          <t>P/B 0.71 · P/E 10.0 · ROE 7% · buying back 4%/yr (financial: book/earnings basis)</t>
        </is>
      </c>
      <c r="S432" s="16" t="inlineStr"/>
      <c r="T432" s="16" t="inlineStr">
        <is>
          <t>Call Intent</t>
        </is>
      </c>
    </row>
    <row r="433">
      <c r="A433" s="6" t="inlineStr">
        <is>
          <t>TALO</t>
        </is>
      </c>
      <c r="B433" s="14" t="inlineStr">
        <is>
          <t>Talos Energy Inc.</t>
        </is>
      </c>
      <c r="C433" s="14" t="inlineStr">
        <is>
          <t>Energy</t>
        </is>
      </c>
      <c r="D433" s="14" t="n">
        <v>2768</v>
      </c>
      <c r="E433" s="14" t="n">
        <v>1.36</v>
      </c>
      <c r="F433" s="14" t="n">
        <v>-7.1</v>
      </c>
      <c r="G433" s="14" t="n">
        <v>5.2</v>
      </c>
      <c r="H433" s="14" t="inlineStr">
        <is>
          <t>12%</t>
        </is>
      </c>
      <c r="I433" s="14" t="inlineStr">
        <is>
          <t>-24%</t>
        </is>
      </c>
      <c r="J433" s="14" t="n">
        <v>1</v>
      </c>
      <c r="K433" s="14" t="inlineStr">
        <is>
          <t>2%</t>
        </is>
      </c>
      <c r="L433" s="14" t="inlineStr">
        <is>
          <t>3%</t>
        </is>
      </c>
      <c r="M433" s="14" t="inlineStr">
        <is>
          <t>-19%</t>
        </is>
      </c>
      <c r="N433" s="14" t="inlineStr">
        <is>
          <t>-4%</t>
        </is>
      </c>
      <c r="O433" s="14" t="n">
        <v>0.4</v>
      </c>
      <c r="P433" s="14" t="inlineStr">
        <is>
          <t>78%</t>
        </is>
      </c>
      <c r="Q433" s="14" t="n">
        <v>33070</v>
      </c>
      <c r="R433" s="14" t="inlineStr">
        <is>
          <t>P/B 1.36 · EV/EBITDA 5.2× · FCF yld 12% · net debt 24% of mcap · rev +2% · op margin 3% · buying back 4%/yr · interest cover 0.4× ⚠</t>
        </is>
      </c>
      <c r="S433" s="14" t="inlineStr"/>
      <c r="T433" s="14" t="inlineStr">
        <is>
          <t>Call Intent</t>
        </is>
      </c>
    </row>
    <row r="434">
      <c r="A434" s="8" t="inlineStr">
        <is>
          <t>PLGO</t>
        </is>
      </c>
      <c r="B434" s="16" t="inlineStr">
        <is>
          <t>Pelagos Insurance Capi</t>
        </is>
      </c>
      <c r="C434" s="16" t="inlineStr">
        <is>
          <t>Financial Serv</t>
        </is>
      </c>
      <c r="D434" s="16" t="n">
        <v>2042</v>
      </c>
      <c r="E434" s="16" t="n">
        <v>0.92</v>
      </c>
      <c r="F434" s="16" t="n">
        <v>5.8</v>
      </c>
      <c r="G434" s="16" t="n">
        <v>4.5</v>
      </c>
      <c r="H434" s="16" t="inlineStr">
        <is>
          <t>31%</t>
        </is>
      </c>
      <c r="I434" s="16" t="inlineStr">
        <is>
          <t>-10%</t>
        </is>
      </c>
      <c r="J434" s="16" t="n">
        <v>0.5</v>
      </c>
      <c r="K434" s="16" t="inlineStr">
        <is>
          <t>-15%</t>
        </is>
      </c>
      <c r="L434" s="16" t="inlineStr">
        <is>
          <t>21%</t>
        </is>
      </c>
      <c r="M434" s="16" t="inlineStr">
        <is>
          <t>17%</t>
        </is>
      </c>
      <c r="N434" s="16" t="n"/>
      <c r="O434" s="16" t="n">
        <v>8.1</v>
      </c>
      <c r="P434" s="16" t="inlineStr">
        <is>
          <t>74%</t>
        </is>
      </c>
      <c r="Q434" s="16" t="n">
        <v>10794</v>
      </c>
      <c r="R434" s="16" t="inlineStr">
        <is>
          <t>P/B 0.92 · P/E 5.8 · ROE 17% · div yld 2.5% (financial: book/earnings basis)</t>
        </is>
      </c>
      <c r="S434" s="16" t="inlineStr">
        <is>
          <t>share-count history inconsistent (foreign line)</t>
        </is>
      </c>
      <c r="T434" s="16" t="inlineStr">
        <is>
          <t>Call Intent</t>
        </is>
      </c>
    </row>
    <row r="435">
      <c r="A435" s="6" t="inlineStr">
        <is>
          <t>VST</t>
        </is>
      </c>
      <c r="B435" s="14" t="inlineStr">
        <is>
          <t>Vistra Corp.</t>
        </is>
      </c>
      <c r="C435" s="14" t="inlineStr">
        <is>
          <t>Utilities</t>
        </is>
      </c>
      <c r="D435" s="14" t="n">
        <v>47155</v>
      </c>
      <c r="E435" s="14" t="n">
        <v>8.6</v>
      </c>
      <c r="F435" s="14" t="n">
        <v>23.1</v>
      </c>
      <c r="G435" s="14" t="n">
        <v>10.2</v>
      </c>
      <c r="H435" s="14" t="inlineStr">
        <is>
          <t>3%</t>
        </is>
      </c>
      <c r="I435" s="14" t="inlineStr">
        <is>
          <t>-41%</t>
        </is>
      </c>
      <c r="J435" s="14" t="n">
        <v>3</v>
      </c>
      <c r="K435" s="14" t="inlineStr">
        <is>
          <t>-28%</t>
        </is>
      </c>
      <c r="L435" s="14" t="inlineStr">
        <is>
          <t>2%</t>
        </is>
      </c>
      <c r="M435" s="14" t="inlineStr">
        <is>
          <t>41%</t>
        </is>
      </c>
      <c r="N435" s="14" t="inlineStr">
        <is>
          <t>0%</t>
        </is>
      </c>
      <c r="O435" s="14" t="n">
        <v>0.3</v>
      </c>
      <c r="P435" s="14" t="inlineStr">
        <is>
          <t>9%</t>
        </is>
      </c>
      <c r="Q435" s="14" t="n">
        <v>645416</v>
      </c>
      <c r="R435" s="14" t="inlineStr">
        <is>
          <t>P/B 8.60 · EV/EBITDA 10.2× · FCF yld 3% · net debt 41% of mcap · rev -28% · op margin 2% · interest cover 0.3× ⚠</t>
        </is>
      </c>
      <c r="S435" s="14" t="inlineStr"/>
      <c r="T435" s="14" t="inlineStr">
        <is>
          <t>Call Intent</t>
        </is>
      </c>
    </row>
    <row r="436">
      <c r="A436" s="8" t="inlineStr">
        <is>
          <t>MTH</t>
        </is>
      </c>
      <c r="B436" s="16" t="inlineStr">
        <is>
          <t>Meritage Homes Corpora</t>
        </is>
      </c>
      <c r="C436" s="16" t="inlineStr">
        <is>
          <t>Consumer Cycli</t>
        </is>
      </c>
      <c r="D436" s="16" t="n">
        <v>4347</v>
      </c>
      <c r="E436" s="16" t="n">
        <v>0.86</v>
      </c>
      <c r="F436" s="16" t="n">
        <v>13.4</v>
      </c>
      <c r="G436" s="16" t="n">
        <v>10.5</v>
      </c>
      <c r="H436" s="16" t="inlineStr">
        <is>
          <t>10%</t>
        </is>
      </c>
      <c r="I436" s="16" t="inlineStr">
        <is>
          <t>-24%</t>
        </is>
      </c>
      <c r="J436" s="16" t="n">
        <v>2.1</v>
      </c>
      <c r="K436" s="16" t="inlineStr">
        <is>
          <t>-12%</t>
        </is>
      </c>
      <c r="L436" s="16" t="inlineStr">
        <is>
          <t>8%</t>
        </is>
      </c>
      <c r="M436" s="16" t="inlineStr">
        <is>
          <t>6%</t>
        </is>
      </c>
      <c r="N436" s="16" t="inlineStr">
        <is>
          <t>-7%</t>
        </is>
      </c>
      <c r="O436" s="16" t="n">
        <v>164.3</v>
      </c>
      <c r="P436" s="16" t="inlineStr">
        <is>
          <t>26%</t>
        </is>
      </c>
      <c r="Q436" s="16" t="n">
        <v>55975</v>
      </c>
      <c r="R436" s="16" t="inlineStr">
        <is>
          <t>P/B 0.86 · EV/EBITDA 10.5× · FCF yld 10% · net debt 24% of mcap · rev -12% · op margin 8% · buying back 7%/yr</t>
        </is>
      </c>
      <c r="S436" s="16" t="inlineStr"/>
      <c r="T436" s="16" t="inlineStr">
        <is>
          <t>Call Intent</t>
        </is>
      </c>
    </row>
    <row r="437">
      <c r="A437" s="6" t="inlineStr">
        <is>
          <t>SKYW</t>
        </is>
      </c>
      <c r="B437" s="14" t="inlineStr">
        <is>
          <t>SkyWest, Inc.</t>
        </is>
      </c>
      <c r="C437" s="14" t="inlineStr">
        <is>
          <t>Industrials</t>
        </is>
      </c>
      <c r="D437" s="14" t="n">
        <v>3928</v>
      </c>
      <c r="E437" s="14" t="n">
        <v>1.42</v>
      </c>
      <c r="F437" s="14" t="n">
        <v>9.699999999999999</v>
      </c>
      <c r="G437" s="14" t="n">
        <v>6.3</v>
      </c>
      <c r="H437" s="14" t="inlineStr">
        <is>
          <t>8%</t>
        </is>
      </c>
      <c r="I437" s="14" t="inlineStr">
        <is>
          <t>-43%</t>
        </is>
      </c>
      <c r="J437" s="14" t="n">
        <v>2.3</v>
      </c>
      <c r="K437" s="14" t="inlineStr">
        <is>
          <t>9%</t>
        </is>
      </c>
      <c r="L437" s="14" t="inlineStr">
        <is>
          <t>14%</t>
        </is>
      </c>
      <c r="M437" s="14" t="inlineStr">
        <is>
          <t>15%</t>
        </is>
      </c>
      <c r="N437" s="14" t="inlineStr">
        <is>
          <t>-3%</t>
        </is>
      </c>
      <c r="O437" s="14" t="n">
        <v>5.9</v>
      </c>
      <c r="P437" s="14" t="inlineStr">
        <is>
          <t>53%</t>
        </is>
      </c>
      <c r="Q437" s="14" t="n">
        <v>39457</v>
      </c>
      <c r="R437" s="14" t="inlineStr">
        <is>
          <t>P/B 1.42 · EV/EBITDA 6.3× · FCF yld 8% · net debt 43% of mcap · rev +9% · op margin 14% · buying back 3%/yr</t>
        </is>
      </c>
      <c r="S437" s="14" t="inlineStr"/>
      <c r="T437" s="14" t="inlineStr">
        <is>
          <t>Call Intent</t>
        </is>
      </c>
    </row>
    <row r="438">
      <c r="A438" s="8" t="inlineStr">
        <is>
          <t>LAD</t>
        </is>
      </c>
      <c r="B438" s="16" t="inlineStr">
        <is>
          <t>Lithia Motors, Inc.</t>
        </is>
      </c>
      <c r="C438" s="16" t="inlineStr">
        <is>
          <t>Consumer Cycli</t>
        </is>
      </c>
      <c r="D438" s="16" t="n">
        <v>6811</v>
      </c>
      <c r="E438" s="16" t="n">
        <v>1.06</v>
      </c>
      <c r="F438" s="16" t="n">
        <v>10.2</v>
      </c>
      <c r="G438" s="16" t="n">
        <v>16.3</v>
      </c>
      <c r="H438" s="16" t="inlineStr">
        <is>
          <t>-7%</t>
        </is>
      </c>
      <c r="I438" s="16" t="inlineStr">
        <is>
          <t>-238%</t>
        </is>
      </c>
      <c r="J438" s="16" t="n">
        <v>11.5</v>
      </c>
      <c r="K438" s="16" t="inlineStr">
        <is>
          <t>2%</t>
        </is>
      </c>
      <c r="L438" s="16" t="inlineStr">
        <is>
          <t>2%</t>
        </is>
      </c>
      <c r="M438" s="16" t="inlineStr">
        <is>
          <t>11%</t>
        </is>
      </c>
      <c r="N438" s="16" t="inlineStr">
        <is>
          <t>-15%</t>
        </is>
      </c>
      <c r="O438" s="16" t="n">
        <v>1.2</v>
      </c>
      <c r="P438" s="16" t="inlineStr">
        <is>
          <t>35%</t>
        </is>
      </c>
      <c r="Q438" s="16" t="n">
        <v>92230</v>
      </c>
      <c r="R438" s="16" t="inlineStr">
        <is>
          <t>P/B 1.06 · EV/EBITDA 16.3× · FCF yld -7% · net debt 238% of mcap · rev +2% · op margin 2% · buying back 15%/yr · interest cover 1.2× ⚠</t>
        </is>
      </c>
      <c r="S438" s="16" t="inlineStr"/>
      <c r="T438" s="16" t="inlineStr">
        <is>
          <t>Call Intent</t>
        </is>
      </c>
    </row>
    <row r="439">
      <c r="A439" s="6" t="inlineStr">
        <is>
          <t>AGCO</t>
        </is>
      </c>
      <c r="B439" s="14" t="inlineStr">
        <is>
          <t>AGCO Corporation</t>
        </is>
      </c>
      <c r="C439" s="14" t="inlineStr">
        <is>
          <t>Industrials</t>
        </is>
      </c>
      <c r="D439" s="14" t="n">
        <v>8685</v>
      </c>
      <c r="E439" s="14" t="n">
        <v>2.13</v>
      </c>
      <c r="F439" s="14" t="n">
        <v>16.7</v>
      </c>
      <c r="G439" s="14" t="n">
        <v>7.6</v>
      </c>
      <c r="H439" s="14" t="inlineStr">
        <is>
          <t>4%</t>
        </is>
      </c>
      <c r="I439" s="14" t="inlineStr">
        <is>
          <t>5%</t>
        </is>
      </c>
      <c r="J439" s="14" t="n">
        <v>-0.4</v>
      </c>
      <c r="K439" s="14" t="inlineStr">
        <is>
          <t>2%</t>
        </is>
      </c>
      <c r="L439" s="14" t="inlineStr">
        <is>
          <t>7%</t>
        </is>
      </c>
      <c r="M439" s="14" t="inlineStr">
        <is>
          <t>12%</t>
        </is>
      </c>
      <c r="N439" s="14" t="inlineStr">
        <is>
          <t>-5%</t>
        </is>
      </c>
      <c r="O439" s="14" t="n">
        <v>11</v>
      </c>
      <c r="P439" s="14" t="inlineStr">
        <is>
          <t>57%</t>
        </is>
      </c>
      <c r="Q439" s="14" t="n">
        <v>111764</v>
      </c>
      <c r="R439" s="14" t="inlineStr">
        <is>
          <t>P/B 2.13 · EV/EBITDA 7.6× · FCF yld 4% · net cash 5% of mcap · rev +2% · op margin 7% · buying back 5%/yr</t>
        </is>
      </c>
      <c r="S439" s="14" t="inlineStr"/>
      <c r="T439" s="14" t="inlineStr">
        <is>
          <t>Call Intent</t>
        </is>
      </c>
    </row>
    <row r="440">
      <c r="A440" s="8" t="inlineStr">
        <is>
          <t>BZ</t>
        </is>
      </c>
      <c r="B440" s="16" t="inlineStr">
        <is>
          <t>Kanzhun Limited</t>
        </is>
      </c>
      <c r="C440" s="16" t="inlineStr">
        <is>
          <t xml:space="preserve">Communication </t>
        </is>
      </c>
      <c r="D440" s="16" t="n">
        <v>6587</v>
      </c>
      <c r="E440" s="16" t="n">
        <v>2.1</v>
      </c>
      <c r="F440" s="16" t="n">
        <v>9.699999999999999</v>
      </c>
      <c r="G440" s="16" t="n">
        <v>6.3</v>
      </c>
      <c r="H440" s="16" t="inlineStr">
        <is>
          <t>10%</t>
        </is>
      </c>
      <c r="I440" s="16" t="inlineStr">
        <is>
          <t>47%</t>
        </is>
      </c>
      <c r="J440" s="16" t="n">
        <v>-0.4</v>
      </c>
      <c r="K440" s="16" t="inlineStr">
        <is>
          <t>12%</t>
        </is>
      </c>
      <c r="L440" s="16" t="inlineStr">
        <is>
          <t>33%</t>
        </is>
      </c>
      <c r="M440" s="16" t="inlineStr">
        <is>
          <t>23%</t>
        </is>
      </c>
      <c r="N440" s="16" t="inlineStr">
        <is>
          <t>3%</t>
        </is>
      </c>
      <c r="O440" s="16" t="n">
        <v>0</v>
      </c>
      <c r="P440" s="16" t="inlineStr">
        <is>
          <t>15%</t>
        </is>
      </c>
      <c r="Q440" s="16" t="n">
        <v>76831</v>
      </c>
      <c r="R440" s="16" t="inlineStr">
        <is>
          <t>P/B 2.10 · EV/EBITDA 6.3× · FCF yld 10% · net cash 47% of mcap · rev +12% · op margin 33% · diluting 3%/yr</t>
        </is>
      </c>
      <c r="S440" s="16" t="inlineStr"/>
      <c r="T440" s="16" t="inlineStr">
        <is>
          <t>Call Intent</t>
        </is>
      </c>
    </row>
    <row r="441">
      <c r="A441" s="6" t="inlineStr">
        <is>
          <t>DNOW</t>
        </is>
      </c>
      <c r="B441" s="14" t="inlineStr">
        <is>
          <t>Dnow Inc.</t>
        </is>
      </c>
      <c r="C441" s="14" t="inlineStr">
        <is>
          <t>Industrials</t>
        </is>
      </c>
      <c r="D441" s="14" t="n">
        <v>2875</v>
      </c>
      <c r="E441" s="14" t="n">
        <v>1.37</v>
      </c>
      <c r="F441" s="14" t="n">
        <v>-14.6</v>
      </c>
      <c r="G441" s="14" t="n">
        <v>-21.2</v>
      </c>
      <c r="H441" s="14" t="inlineStr">
        <is>
          <t>5%</t>
        </is>
      </c>
      <c r="I441" s="14" t="inlineStr">
        <is>
          <t>-18%</t>
        </is>
      </c>
      <c r="J441" s="14" t="n">
        <v>-3.3</v>
      </c>
      <c r="K441" s="14" t="inlineStr">
        <is>
          <t>70%</t>
        </is>
      </c>
      <c r="L441" s="14" t="inlineStr">
        <is>
          <t>-3%</t>
        </is>
      </c>
      <c r="M441" s="14" t="inlineStr">
        <is>
          <t>-10%</t>
        </is>
      </c>
      <c r="N441" s="14" t="inlineStr">
        <is>
          <t>72%</t>
        </is>
      </c>
      <c r="O441" s="14" t="n">
        <v>0</v>
      </c>
      <c r="P441" s="14" t="inlineStr">
        <is>
          <t>76%</t>
        </is>
      </c>
      <c r="Q441" s="14" t="n">
        <v>43011</v>
      </c>
      <c r="R441" s="14" t="inlineStr">
        <is>
          <t>P/B 1.37 · P/S 0.7 · FCF yld 5% · net debt 18% of mcap · rev +70% · op margin -3% · diluting 72%/yr</t>
        </is>
      </c>
      <c r="S441" s="14" t="inlineStr"/>
      <c r="T441" s="14" t="inlineStr">
        <is>
          <t>Call Intent</t>
        </is>
      </c>
    </row>
    <row r="442">
      <c r="A442" s="8" t="inlineStr">
        <is>
          <t>COLB</t>
        </is>
      </c>
      <c r="B442" s="16" t="inlineStr">
        <is>
          <t>Columbia Banking Syste</t>
        </is>
      </c>
      <c r="C442" s="16" t="inlineStr">
        <is>
          <t>Financial Serv</t>
        </is>
      </c>
      <c r="D442" s="16" t="n">
        <v>8279</v>
      </c>
      <c r="E442" s="16" t="n">
        <v>1.1</v>
      </c>
      <c r="F442" s="16" t="n">
        <v>11.5</v>
      </c>
      <c r="G442" s="16" t="n">
        <v>11.3</v>
      </c>
      <c r="H442" s="16" t="inlineStr">
        <is>
          <t>16%</t>
        </is>
      </c>
      <c r="I442" s="16" t="inlineStr">
        <is>
          <t>-51%</t>
        </is>
      </c>
      <c r="J442" s="16" t="n">
        <v>3.9</v>
      </c>
      <c r="K442" s="16" t="inlineStr">
        <is>
          <t>21%</t>
        </is>
      </c>
      <c r="L442" s="16" t="inlineStr">
        <is>
          <t>27%</t>
        </is>
      </c>
      <c r="M442" s="16" t="inlineStr">
        <is>
          <t>9%</t>
        </is>
      </c>
      <c r="N442" s="16" t="inlineStr">
        <is>
          <t>36%</t>
        </is>
      </c>
      <c r="O442" s="16" t="n">
        <v>1</v>
      </c>
      <c r="P442" s="16" t="inlineStr">
        <is>
          <t>55%</t>
        </is>
      </c>
      <c r="Q442" s="16" t="n">
        <v>86729</v>
      </c>
      <c r="R442" s="16" t="inlineStr">
        <is>
          <t>P/B 1.10 · P/E 11.5 · ROE 9% · div yld 5.1% · diluting 36%/yr (financial: book/earnings basis)</t>
        </is>
      </c>
      <c r="S442" s="16" t="inlineStr"/>
      <c r="T442" s="16" t="inlineStr">
        <is>
          <t>Call Intent</t>
        </is>
      </c>
    </row>
    <row r="443">
      <c r="A443" s="6" t="inlineStr">
        <is>
          <t>PERI</t>
        </is>
      </c>
      <c r="B443" s="14" t="inlineStr">
        <is>
          <t>Perion Network Ltd.</t>
        </is>
      </c>
      <c r="C443" s="14" t="inlineStr">
        <is>
          <t xml:space="preserve">Communication </t>
        </is>
      </c>
      <c r="D443" s="14" t="n">
        <v>357</v>
      </c>
      <c r="E443" s="14" t="n">
        <v>0.57</v>
      </c>
      <c r="F443" s="14" t="n">
        <v>-25.6</v>
      </c>
      <c r="G443" s="14" t="n">
        <v>41.5</v>
      </c>
      <c r="H443" s="14" t="inlineStr">
        <is>
          <t>10%</t>
        </is>
      </c>
      <c r="I443" s="14" t="inlineStr">
        <is>
          <t>69%</t>
        </is>
      </c>
      <c r="J443" s="14" t="n">
        <v>-5.6</v>
      </c>
      <c r="K443" s="14" t="inlineStr">
        <is>
          <t>3%</t>
        </is>
      </c>
      <c r="L443" s="14" t="inlineStr">
        <is>
          <t>-4%</t>
        </is>
      </c>
      <c r="M443" s="14" t="inlineStr">
        <is>
          <t>-2%</t>
        </is>
      </c>
      <c r="N443" s="14" t="inlineStr">
        <is>
          <t>-12%</t>
        </is>
      </c>
      <c r="O443" s="14" t="n">
        <v>0</v>
      </c>
      <c r="P443" s="14" t="inlineStr">
        <is>
          <t>28%</t>
        </is>
      </c>
      <c r="Q443" s="14" t="n">
        <v>4378</v>
      </c>
      <c r="R443" s="14" t="inlineStr">
        <is>
          <t>P/B 0.57 · EV/EBITDA 41.5× · FCF yld 10% · net cash 69% of mcap · rev +3% · op margin -4% · buying back 12%/yr</t>
        </is>
      </c>
      <c r="S443" s="14" t="inlineStr"/>
      <c r="T443" s="14" t="inlineStr">
        <is>
          <t>Call Intent</t>
        </is>
      </c>
    </row>
    <row r="444">
      <c r="A444" s="8" t="inlineStr">
        <is>
          <t>FIBK</t>
        </is>
      </c>
      <c r="B444" s="16" t="inlineStr">
        <is>
          <t>First Interstate BancS</t>
        </is>
      </c>
      <c r="C444" s="16" t="inlineStr">
        <is>
          <t>Financial Serv</t>
        </is>
      </c>
      <c r="D444" s="16" t="n">
        <v>3539</v>
      </c>
      <c r="E444" s="16" t="n">
        <v>1.07</v>
      </c>
      <c r="F444" s="16" t="n">
        <v>11.1</v>
      </c>
      <c r="G444" s="16" t="n">
        <v>-8.6</v>
      </c>
      <c r="H444" s="16" t="inlineStr">
        <is>
          <t>7%</t>
        </is>
      </c>
      <c r="I444" s="16" t="inlineStr">
        <is>
          <t>214%</t>
        </is>
      </c>
      <c r="J444" s="16" t="n">
        <v>-16</v>
      </c>
      <c r="K444" s="16" t="inlineStr">
        <is>
          <t>-33%</t>
        </is>
      </c>
      <c r="L444" s="16" t="inlineStr">
        <is>
          <t>44%</t>
        </is>
      </c>
      <c r="M444" s="16" t="inlineStr">
        <is>
          <t>10%</t>
        </is>
      </c>
      <c r="N444" s="16" t="inlineStr">
        <is>
          <t>-6%</t>
        </is>
      </c>
      <c r="O444" s="16" t="n">
        <v>1.4</v>
      </c>
      <c r="P444" s="16" t="inlineStr">
        <is>
          <t>64%</t>
        </is>
      </c>
      <c r="Q444" s="16" t="n">
        <v>40381</v>
      </c>
      <c r="R444" s="16" t="inlineStr">
        <is>
          <t>P/B 1.07 · P/E 11.1 · ROE 10% · div yld 5.2% · buying back 6%/yr (financial: book/earnings basis)</t>
        </is>
      </c>
      <c r="S444" s="16" t="inlineStr"/>
      <c r="T444" s="16" t="inlineStr">
        <is>
          <t>Call Intent</t>
        </is>
      </c>
    </row>
    <row r="445">
      <c r="A445" s="6" t="inlineStr">
        <is>
          <t>WD</t>
        </is>
      </c>
      <c r="B445" s="14" t="inlineStr">
        <is>
          <t>Walker &amp; Dunlop, Inc.</t>
        </is>
      </c>
      <c r="C445" s="14" t="inlineStr">
        <is>
          <t>Financial Serv</t>
        </is>
      </c>
      <c r="D445" s="14" t="n">
        <v>1266</v>
      </c>
      <c r="E445" s="14" t="n">
        <v>0.74</v>
      </c>
      <c r="F445" s="14" t="n">
        <v>31.7</v>
      </c>
      <c r="G445" s="14" t="n">
        <v>9.699999999999999</v>
      </c>
      <c r="H445" s="14" t="n"/>
      <c r="I445" s="14" t="inlineStr">
        <is>
          <t>-161%</t>
        </is>
      </c>
      <c r="J445" s="14" t="n">
        <v>6</v>
      </c>
      <c r="K445" s="14" t="inlineStr">
        <is>
          <t>6%</t>
        </is>
      </c>
      <c r="L445" s="14" t="inlineStr">
        <is>
          <t>12%</t>
        </is>
      </c>
      <c r="M445" s="14" t="inlineStr">
        <is>
          <t>2%</t>
        </is>
      </c>
      <c r="N445" s="14" t="inlineStr">
        <is>
          <t>-0%</t>
        </is>
      </c>
      <c r="O445" s="14" t="n">
        <v>3.3</v>
      </c>
      <c r="P445" s="14" t="inlineStr">
        <is>
          <t>0%</t>
        </is>
      </c>
      <c r="Q445" s="14" t="n">
        <v>14032</v>
      </c>
      <c r="R445" s="14" t="inlineStr">
        <is>
          <t>P/B 0.74 · P/E 31.7 · ROE 2% · div yld 7.3% (financial: book/earnings basis)</t>
        </is>
      </c>
      <c r="S445" s="14" t="inlineStr">
        <is>
          <t>FCF yield &gt;100% (check)</t>
        </is>
      </c>
      <c r="T445" s="14" t="inlineStr">
        <is>
          <t>Call Intent</t>
        </is>
      </c>
    </row>
    <row r="446">
      <c r="A446" s="8" t="inlineStr">
        <is>
          <t>WHF</t>
        </is>
      </c>
      <c r="B446" s="16" t="inlineStr">
        <is>
          <t>WhiteHorse Finance, In</t>
        </is>
      </c>
      <c r="C446" s="16" t="inlineStr">
        <is>
          <t>Financial Serv</t>
        </is>
      </c>
      <c r="D446" s="16" t="n">
        <v>154</v>
      </c>
      <c r="E446" s="16" t="n">
        <v>0.61</v>
      </c>
      <c r="F446" s="16" t="n">
        <v>9.1</v>
      </c>
      <c r="G446" s="16" t="n">
        <v>16.2</v>
      </c>
      <c r="H446" s="16" t="inlineStr">
        <is>
          <t>44%</t>
        </is>
      </c>
      <c r="I446" s="16" t="inlineStr">
        <is>
          <t>-193%</t>
        </is>
      </c>
      <c r="J446" s="16" t="n">
        <v>10.7</v>
      </c>
      <c r="K446" s="16" t="inlineStr">
        <is>
          <t>34%</t>
        </is>
      </c>
      <c r="L446" s="16" t="inlineStr">
        <is>
          <t>47%</t>
        </is>
      </c>
      <c r="M446" s="16" t="inlineStr">
        <is>
          <t>7%</t>
        </is>
      </c>
      <c r="N446" s="16" t="inlineStr">
        <is>
          <t>-7%</t>
        </is>
      </c>
      <c r="O446" s="16" t="n">
        <v>1.1</v>
      </c>
      <c r="P446" s="16" t="inlineStr">
        <is>
          <t>61%</t>
        </is>
      </c>
      <c r="Q446" s="16" t="n">
        <v>573</v>
      </c>
      <c r="R446" s="16" t="inlineStr">
        <is>
          <t>P/B 0.61 · P/E 9.1 · ROE 7% · div yld 14.7% · buying back 7%/yr (financial: book/earnings basis)</t>
        </is>
      </c>
      <c r="S446" s="16" t="inlineStr"/>
      <c r="T446" s="16" t="inlineStr">
        <is>
          <t>Call Intent</t>
        </is>
      </c>
    </row>
    <row r="447">
      <c r="A447" s="6" t="inlineStr">
        <is>
          <t>ONB</t>
        </is>
      </c>
      <c r="B447" s="14" t="inlineStr">
        <is>
          <t>Old National Bancorp</t>
        </is>
      </c>
      <c r="C447" s="14" t="inlineStr">
        <is>
          <t>Financial Serv</t>
        </is>
      </c>
      <c r="D447" s="14" t="n">
        <v>9555</v>
      </c>
      <c r="E447" s="14" t="n">
        <v>1.11</v>
      </c>
      <c r="F447" s="14" t="n">
        <v>10.9</v>
      </c>
      <c r="G447" s="14" t="n">
        <v>12.5</v>
      </c>
      <c r="H447" s="14" t="inlineStr">
        <is>
          <t>10%</t>
        </is>
      </c>
      <c r="I447" s="14" t="inlineStr">
        <is>
          <t>83%</t>
        </is>
      </c>
      <c r="J447" s="14" t="n">
        <v>5.1</v>
      </c>
      <c r="K447" s="14" t="inlineStr">
        <is>
          <t>25%</t>
        </is>
      </c>
      <c r="L447" s="14" t="inlineStr">
        <is>
          <t>29%</t>
        </is>
      </c>
      <c r="M447" s="14" t="inlineStr">
        <is>
          <t>10%</t>
        </is>
      </c>
      <c r="N447" s="14" t="inlineStr">
        <is>
          <t>13%</t>
        </is>
      </c>
      <c r="O447" s="14" t="n">
        <v>0.9</v>
      </c>
      <c r="P447" s="14" t="inlineStr">
        <is>
          <t>70%</t>
        </is>
      </c>
      <c r="Q447" s="14" t="n">
        <v>98555</v>
      </c>
      <c r="R447" s="14" t="inlineStr">
        <is>
          <t>P/B 1.11 · P/E 10.9 · ROE 10% · div yld 2.3% · diluting 13%/yr (financial: book/earnings basis)</t>
        </is>
      </c>
      <c r="S447" s="14" t="inlineStr"/>
      <c r="T447" s="14" t="inlineStr">
        <is>
          <t>Call Intent</t>
        </is>
      </c>
    </row>
    <row r="448">
      <c r="A448" s="8" t="inlineStr">
        <is>
          <t>ONBPO</t>
        </is>
      </c>
      <c r="B448" s="16" t="inlineStr">
        <is>
          <t>Old National Bancorp</t>
        </is>
      </c>
      <c r="C448" s="16" t="inlineStr">
        <is>
          <t>Financial Serv</t>
        </is>
      </c>
      <c r="D448" s="16" t="n">
        <v>10232</v>
      </c>
      <c r="E448" s="16" t="n">
        <v>1.19</v>
      </c>
      <c r="F448" s="16" t="n">
        <v>10.9</v>
      </c>
      <c r="G448" s="16" t="n">
        <v>12.5</v>
      </c>
      <c r="H448" s="16" t="inlineStr">
        <is>
          <t>10%</t>
        </is>
      </c>
      <c r="I448" s="16" t="inlineStr">
        <is>
          <t>77%</t>
        </is>
      </c>
      <c r="J448" s="16" t="n">
        <v>5.1</v>
      </c>
      <c r="K448" s="16" t="inlineStr">
        <is>
          <t>25%</t>
        </is>
      </c>
      <c r="L448" s="16" t="inlineStr">
        <is>
          <t>29%</t>
        </is>
      </c>
      <c r="M448" s="16" t="inlineStr">
        <is>
          <t>10%</t>
        </is>
      </c>
      <c r="N448" s="16" t="inlineStr">
        <is>
          <t>13%</t>
        </is>
      </c>
      <c r="O448" s="16" t="n">
        <v>0.9</v>
      </c>
      <c r="P448" s="16" t="inlineStr">
        <is>
          <t>29%</t>
        </is>
      </c>
      <c r="Q448" s="16" t="n">
        <v>137</v>
      </c>
      <c r="R448" s="16" t="inlineStr">
        <is>
          <t>P/B 1.19 · P/E 10.9 · ROE 10% · div yld 2.3% · diluting 13%/yr (financial: book/earnings basis)</t>
        </is>
      </c>
      <c r="S448" s="16" t="inlineStr"/>
      <c r="T448" s="16" t="inlineStr">
        <is>
          <t>Call Intent</t>
        </is>
      </c>
    </row>
    <row r="449">
      <c r="A449" s="6" t="inlineStr">
        <is>
          <t>ONBPP</t>
        </is>
      </c>
      <c r="B449" s="14" t="inlineStr">
        <is>
          <t>Old National Bancorp</t>
        </is>
      </c>
      <c r="C449" s="14" t="inlineStr">
        <is>
          <t>Financial Serv</t>
        </is>
      </c>
      <c r="D449" s="14" t="n">
        <v>10290</v>
      </c>
      <c r="E449" s="14" t="n">
        <v>1.2</v>
      </c>
      <c r="F449" s="14" t="n">
        <v>10.9</v>
      </c>
      <c r="G449" s="14" t="n">
        <v>12.5</v>
      </c>
      <c r="H449" s="14" t="inlineStr">
        <is>
          <t>10%</t>
        </is>
      </c>
      <c r="I449" s="14" t="inlineStr">
        <is>
          <t>77%</t>
        </is>
      </c>
      <c r="J449" s="14" t="n">
        <v>5.1</v>
      </c>
      <c r="K449" s="14" t="inlineStr">
        <is>
          <t>25%</t>
        </is>
      </c>
      <c r="L449" s="14" t="inlineStr">
        <is>
          <t>29%</t>
        </is>
      </c>
      <c r="M449" s="14" t="inlineStr">
        <is>
          <t>10%</t>
        </is>
      </c>
      <c r="N449" s="14" t="inlineStr">
        <is>
          <t>13%</t>
        </is>
      </c>
      <c r="O449" s="14" t="n">
        <v>0.9</v>
      </c>
      <c r="P449" s="14" t="inlineStr">
        <is>
          <t>51%</t>
        </is>
      </c>
      <c r="Q449" s="14" t="n">
        <v>205</v>
      </c>
      <c r="R449" s="14" t="inlineStr">
        <is>
          <t>P/B 1.20 · P/E 10.9 · ROE 10% · div yld 2.3% · diluting 13%/yr (financial: book/earnings basis)</t>
        </is>
      </c>
      <c r="S449" s="14" t="inlineStr"/>
      <c r="T449" s="14" t="inlineStr">
        <is>
          <t>Call Intent</t>
        </is>
      </c>
    </row>
    <row r="450">
      <c r="A450" s="8" t="inlineStr">
        <is>
          <t>EXXRF</t>
        </is>
      </c>
      <c r="B450" s="16" t="inlineStr">
        <is>
          <t>Exor N.V.</t>
        </is>
      </c>
      <c r="C450" s="16" t="inlineStr">
        <is>
          <t>Financial Serv</t>
        </is>
      </c>
      <c r="D450" s="16" t="n">
        <v>16714</v>
      </c>
      <c r="E450" s="16" t="n">
        <v>0.48</v>
      </c>
      <c r="F450" s="16" t="n">
        <v>-4</v>
      </c>
      <c r="G450" s="16" t="n">
        <v>45.1</v>
      </c>
      <c r="H450" s="16" t="inlineStr">
        <is>
          <t>12%</t>
        </is>
      </c>
      <c r="I450" s="16" t="inlineStr">
        <is>
          <t>-16%</t>
        </is>
      </c>
      <c r="J450" s="16" t="n">
        <v>3.9</v>
      </c>
      <c r="K450" s="16" t="n"/>
      <c r="L450" s="16" t="inlineStr">
        <is>
          <t>103%</t>
        </is>
      </c>
      <c r="M450" s="16" t="inlineStr">
        <is>
          <t>-11%</t>
        </is>
      </c>
      <c r="N450" s="16" t="inlineStr">
        <is>
          <t>-4%</t>
        </is>
      </c>
      <c r="O450" s="16" t="n">
        <v>-37</v>
      </c>
      <c r="P450" s="16" t="inlineStr">
        <is>
          <t>33%</t>
        </is>
      </c>
      <c r="Q450" s="16" t="n">
        <v>569</v>
      </c>
      <c r="R450" s="16" t="inlineStr">
        <is>
          <t>P/B 0.48 · ROE -11% · div yld 0.7% · buying back 4%/yr (financial: book/earnings basis)</t>
        </is>
      </c>
      <c r="S450" s="16" t="inlineStr"/>
      <c r="T450" s="16" t="inlineStr">
        <is>
          <t>Call Intent</t>
        </is>
      </c>
    </row>
    <row r="451">
      <c r="A451" s="6" t="inlineStr">
        <is>
          <t>TSN</t>
        </is>
      </c>
      <c r="B451" s="14" t="inlineStr">
        <is>
          <t>Tyson Foods, Inc.</t>
        </is>
      </c>
      <c r="C451" s="14" t="inlineStr">
        <is>
          <t>Consumer Defen</t>
        </is>
      </c>
      <c r="D451" s="14" t="n">
        <v>18155</v>
      </c>
      <c r="E451" s="14" t="n">
        <v>1</v>
      </c>
      <c r="F451" s="14" t="n">
        <v>30.8</v>
      </c>
      <c r="G451" s="14" t="n">
        <v>9.800000000000001</v>
      </c>
      <c r="H451" s="14" t="inlineStr">
        <is>
          <t>6%</t>
        </is>
      </c>
      <c r="I451" s="14" t="inlineStr">
        <is>
          <t>-40%</t>
        </is>
      </c>
      <c r="J451" s="14" t="n">
        <v>2.8</v>
      </c>
      <c r="K451" s="14" t="inlineStr">
        <is>
          <t>4%</t>
        </is>
      </c>
      <c r="L451" s="14" t="inlineStr">
        <is>
          <t>2%</t>
        </is>
      </c>
      <c r="M451" s="14" t="inlineStr">
        <is>
          <t>3%</t>
        </is>
      </c>
      <c r="N451" s="14" t="inlineStr">
        <is>
          <t>-1%</t>
        </is>
      </c>
      <c r="O451" s="14" t="n">
        <v>3.4</v>
      </c>
      <c r="P451" s="14" t="inlineStr">
        <is>
          <t>3%</t>
        </is>
      </c>
      <c r="Q451" s="14" t="n">
        <v>174618</v>
      </c>
      <c r="R451" s="14" t="inlineStr">
        <is>
          <t>P/B 1.00 · EV/EBITDA 9.8× · FCF yld 6% · net debt 40% of mcap · rev +4% · op margin 2%</t>
        </is>
      </c>
      <c r="S451" s="14" t="inlineStr"/>
      <c r="T451" s="14" t="inlineStr">
        <is>
          <t>Call Intent</t>
        </is>
      </c>
    </row>
    <row r="452">
      <c r="A452" s="8" t="inlineStr">
        <is>
          <t>YALA</t>
        </is>
      </c>
      <c r="B452" s="16" t="inlineStr">
        <is>
          <t>Yalla Group Limited</t>
        </is>
      </c>
      <c r="C452" s="16" t="inlineStr">
        <is>
          <t>Technology</t>
        </is>
      </c>
      <c r="D452" s="16" t="n">
        <v>848</v>
      </c>
      <c r="E452" s="16" t="n">
        <v>0.99</v>
      </c>
      <c r="F452" s="16" t="n">
        <v>6.1</v>
      </c>
      <c r="G452" s="16" t="n">
        <v>4.2</v>
      </c>
      <c r="H452" s="16" t="inlineStr">
        <is>
          <t>0%</t>
        </is>
      </c>
      <c r="I452" s="16" t="inlineStr">
        <is>
          <t>97%</t>
        </is>
      </c>
      <c r="J452" s="16" t="n">
        <v>-2</v>
      </c>
      <c r="K452" s="16" t="inlineStr">
        <is>
          <t>-4%</t>
        </is>
      </c>
      <c r="L452" s="16" t="inlineStr">
        <is>
          <t>31%</t>
        </is>
      </c>
      <c r="M452" s="16" t="inlineStr">
        <is>
          <t>17%</t>
        </is>
      </c>
      <c r="N452" s="16" t="inlineStr">
        <is>
          <t>-3%</t>
        </is>
      </c>
      <c r="O452" s="16" t="n">
        <v>0</v>
      </c>
      <c r="P452" s="16" t="inlineStr">
        <is>
          <t>17%</t>
        </is>
      </c>
      <c r="Q452" s="16" t="n">
        <v>1776</v>
      </c>
      <c r="R452" s="16" t="inlineStr">
        <is>
          <t>P/B 0.99 · EV/EBITDA 4.2× · FCF yld 0% · net cash 97% of mcap · rev -4% · op margin 31% · buying back 3%/yr</t>
        </is>
      </c>
      <c r="S452" s="16" t="inlineStr"/>
      <c r="T452" s="16" t="inlineStr">
        <is>
          <t>Call Intent</t>
        </is>
      </c>
    </row>
    <row r="453">
      <c r="A453" s="6" t="inlineStr">
        <is>
          <t>ZH</t>
        </is>
      </c>
      <c r="B453" s="14" t="inlineStr">
        <is>
          <t>Zhihu Inc.</t>
        </is>
      </c>
      <c r="C453" s="14" t="inlineStr">
        <is>
          <t xml:space="preserve">Communication </t>
        </is>
      </c>
      <c r="D453" s="14" t="n">
        <v>280</v>
      </c>
      <c r="E453" s="14" t="n">
        <v>0.51</v>
      </c>
      <c r="F453" s="14" t="n">
        <v>-2.5</v>
      </c>
      <c r="G453" s="14" t="n">
        <v>2.9</v>
      </c>
      <c r="H453" s="14" t="inlineStr">
        <is>
          <t>0%</t>
        </is>
      </c>
      <c r="I453" s="14" t="inlineStr">
        <is>
          <t>223%</t>
        </is>
      </c>
      <c r="J453" s="14" t="n">
        <v>8.699999999999999</v>
      </c>
      <c r="K453" s="14" t="inlineStr">
        <is>
          <t>-16%</t>
        </is>
      </c>
      <c r="L453" s="14" t="inlineStr">
        <is>
          <t>-19%</t>
        </is>
      </c>
      <c r="M453" s="14" t="inlineStr">
        <is>
          <t>-8%</t>
        </is>
      </c>
      <c r="N453" s="14" t="inlineStr">
        <is>
          <t>-5%</t>
        </is>
      </c>
      <c r="O453" s="14" t="n">
        <v>0</v>
      </c>
      <c r="P453" s="14" t="inlineStr">
        <is>
          <t>31%</t>
        </is>
      </c>
      <c r="Q453" s="14" t="n">
        <v>925</v>
      </c>
      <c r="R453" s="14" t="inlineStr">
        <is>
          <t>P/B 0.51 · EV/EBITDA 2.9× · FCF yld 0% · net cash 223% of mcap · rev -16% · op margin -19% · buying back 5%/yr</t>
        </is>
      </c>
      <c r="S453" s="14" t="inlineStr"/>
      <c r="T453" s="14" t="inlineStr">
        <is>
          <t>Call Intent</t>
        </is>
      </c>
    </row>
    <row r="454">
      <c r="A454" s="8" t="inlineStr">
        <is>
          <t>ATHM</t>
        </is>
      </c>
      <c r="B454" s="16" t="inlineStr">
        <is>
          <t>Autohome Inc.</t>
        </is>
      </c>
      <c r="C454" s="16" t="inlineStr">
        <is>
          <t xml:space="preserve">Communication </t>
        </is>
      </c>
      <c r="D454" s="16" t="n">
        <v>616</v>
      </c>
      <c r="E454" s="16" t="n">
        <v>0.19</v>
      </c>
      <c r="F454" s="16" t="n">
        <v>5.9</v>
      </c>
      <c r="G454" s="16" t="n">
        <v>1.4</v>
      </c>
      <c r="H454" s="16" t="inlineStr">
        <is>
          <t>19%</t>
        </is>
      </c>
      <c r="I454" s="16" t="inlineStr">
        <is>
          <t>442%</t>
        </is>
      </c>
      <c r="J454" s="16" t="n">
        <v>-2.4</v>
      </c>
      <c r="K454" s="16" t="inlineStr">
        <is>
          <t>-19%</t>
        </is>
      </c>
      <c r="L454" s="16" t="inlineStr">
        <is>
          <t>5%</t>
        </is>
      </c>
      <c r="M454" s="16" t="inlineStr">
        <is>
          <t>5%</t>
        </is>
      </c>
      <c r="N454" s="16" t="inlineStr">
        <is>
          <t>-2%</t>
        </is>
      </c>
      <c r="O454" s="16" t="n">
        <v>0</v>
      </c>
      <c r="P454" s="16" t="inlineStr">
        <is>
          <t>41%</t>
        </is>
      </c>
      <c r="Q454" s="16" t="n">
        <v>16596</v>
      </c>
      <c r="R454" s="16" t="inlineStr">
        <is>
          <t>P/B 0.19 · EV/EBITDA 1.4× · FCF yld 19% · net cash 442% of mcap · rev -19% · op margin 5%</t>
        </is>
      </c>
      <c r="S454" s="16" t="inlineStr"/>
      <c r="T454" s="16" t="inlineStr">
        <is>
          <t>Call Intent</t>
        </is>
      </c>
    </row>
    <row r="455">
      <c r="A455" s="6" t="inlineStr">
        <is>
          <t>FMCQF</t>
        </is>
      </c>
      <c r="B455" s="14" t="inlineStr">
        <is>
          <t>Fresenius Medical Care</t>
        </is>
      </c>
      <c r="C455" s="14" t="inlineStr">
        <is>
          <t>Healthcare</t>
        </is>
      </c>
      <c r="D455" s="14" t="n">
        <v>11849</v>
      </c>
      <c r="E455" s="14" t="n">
        <v>0.83</v>
      </c>
      <c r="F455" s="14" t="n">
        <v>11.9</v>
      </c>
      <c r="G455" s="14" t="n">
        <v>5.8</v>
      </c>
      <c r="H455" s="14" t="inlineStr">
        <is>
          <t>17%</t>
        </is>
      </c>
      <c r="I455" s="14" t="inlineStr">
        <is>
          <t>-91%</t>
        </is>
      </c>
      <c r="J455" s="14" t="n">
        <v>2.8</v>
      </c>
      <c r="K455" s="14" t="inlineStr">
        <is>
          <t>-0%</t>
        </is>
      </c>
      <c r="L455" s="14" t="inlineStr">
        <is>
          <t>11%</t>
        </is>
      </c>
      <c r="M455" s="14" t="inlineStr">
        <is>
          <t>7%</t>
        </is>
      </c>
      <c r="N455" s="14" t="inlineStr">
        <is>
          <t>-9%</t>
        </is>
      </c>
      <c r="O455" s="14" t="n">
        <v>5.4</v>
      </c>
      <c r="P455" s="14" t="inlineStr">
        <is>
          <t>15%</t>
        </is>
      </c>
      <c r="Q455" s="14" t="n">
        <v>1</v>
      </c>
      <c r="R455" s="14" t="inlineStr">
        <is>
          <t>P/B 0.83 · EV/EBITDA 5.8× · FCF yld 17% · net debt 91% of mcap · rev -0% · op margin 11% · buying back 9%/yr</t>
        </is>
      </c>
      <c r="S455" s="14" t="inlineStr"/>
      <c r="T455" s="14" t="inlineStr">
        <is>
          <t>Call Intent</t>
        </is>
      </c>
    </row>
    <row r="456">
      <c r="A456" s="8" t="inlineStr">
        <is>
          <t>FMS</t>
        </is>
      </c>
      <c r="B456" s="16" t="inlineStr">
        <is>
          <t>Fresenius Medical Care</t>
        </is>
      </c>
      <c r="C456" s="16" t="inlineStr">
        <is>
          <t>Healthcare</t>
        </is>
      </c>
      <c r="D456" s="16" t="n">
        <v>12110</v>
      </c>
      <c r="E456" s="16" t="n">
        <v>0.85</v>
      </c>
      <c r="F456" s="16" t="n">
        <v>11.9</v>
      </c>
      <c r="G456" s="16" t="n">
        <v>5.8</v>
      </c>
      <c r="H456" s="16" t="inlineStr">
        <is>
          <t>17%</t>
        </is>
      </c>
      <c r="I456" s="16" t="inlineStr">
        <is>
          <t>-89%</t>
        </is>
      </c>
      <c r="J456" s="16" t="n">
        <v>2.8</v>
      </c>
      <c r="K456" s="16" t="inlineStr">
        <is>
          <t>-0%</t>
        </is>
      </c>
      <c r="L456" s="16" t="inlineStr">
        <is>
          <t>11%</t>
        </is>
      </c>
      <c r="M456" s="16" t="inlineStr">
        <is>
          <t>7%</t>
        </is>
      </c>
      <c r="N456" s="16" t="inlineStr">
        <is>
          <t>-8%</t>
        </is>
      </c>
      <c r="O456" s="16" t="n">
        <v>5.4</v>
      </c>
      <c r="P456" s="16" t="inlineStr">
        <is>
          <t>33%</t>
        </is>
      </c>
      <c r="Q456" s="16" t="n">
        <v>16181</v>
      </c>
      <c r="R456" s="16" t="inlineStr">
        <is>
          <t>P/B 0.85 · EV/EBITDA 5.8× · FCF yld 17% · net debt 89% of mcap · rev -0% · op margin 11% · buying back 8%/yr</t>
        </is>
      </c>
      <c r="S456" s="16" t="inlineStr"/>
      <c r="T456" s="16" t="inlineStr">
        <is>
          <t>Call Intent</t>
        </is>
      </c>
    </row>
    <row r="457">
      <c r="A457" s="6" t="inlineStr">
        <is>
          <t>MSFT</t>
        </is>
      </c>
      <c r="B457" s="14" t="inlineStr">
        <is>
          <t>Microsoft Corporation</t>
        </is>
      </c>
      <c r="C457" s="14" t="inlineStr">
        <is>
          <t>Technology</t>
        </is>
      </c>
      <c r="D457" s="14" t="n">
        <v>3699129</v>
      </c>
      <c r="E457" s="14" t="n">
        <v>8.93</v>
      </c>
      <c r="F457" s="14" t="n">
        <v>27.8</v>
      </c>
      <c r="G457" s="14" t="n">
        <v>18.4</v>
      </c>
      <c r="H457" s="14" t="inlineStr">
        <is>
          <t>2%</t>
        </is>
      </c>
      <c r="I457" s="14" t="inlineStr">
        <is>
          <t>-1%</t>
        </is>
      </c>
      <c r="J457" s="14" t="n">
        <v>0.5</v>
      </c>
      <c r="K457" s="14" t="inlineStr">
        <is>
          <t>17%</t>
        </is>
      </c>
      <c r="L457" s="14" t="inlineStr">
        <is>
          <t>47%</t>
        </is>
      </c>
      <c r="M457" s="14" t="inlineStr">
        <is>
          <t>33%</t>
        </is>
      </c>
      <c r="N457" s="14" t="inlineStr">
        <is>
          <t>-0%</t>
        </is>
      </c>
      <c r="O457" s="14" t="n">
        <v>50.9</v>
      </c>
      <c r="P457" s="14" t="inlineStr">
        <is>
          <t>73%</t>
        </is>
      </c>
      <c r="Q457" s="14" t="n">
        <v>17420916</v>
      </c>
      <c r="R457" s="14" t="inlineStr">
        <is>
          <t>P/B 8.93 · EV/EBITDA 18.4× · FCF yld 2% · net debt 1% of mcap · rev +17% · op margin 47%</t>
        </is>
      </c>
      <c r="S457" s="14" t="inlineStr"/>
      <c r="T457" s="14" t="inlineStr">
        <is>
          <t>Political Trades</t>
        </is>
      </c>
    </row>
    <row r="458">
      <c r="A458" s="8" t="inlineStr">
        <is>
          <t>AAPL</t>
        </is>
      </c>
      <c r="B458" s="16" t="inlineStr">
        <is>
          <t>Apple Inc.</t>
        </is>
      </c>
      <c r="C458" s="16" t="inlineStr">
        <is>
          <t>Technology</t>
        </is>
      </c>
      <c r="D458" s="16" t="n">
        <v>4942295</v>
      </c>
      <c r="E458" s="16" t="n">
        <v>45.97</v>
      </c>
      <c r="F458" s="16" t="n">
        <v>38.4</v>
      </c>
      <c r="G458" s="16" t="n">
        <v>29.6</v>
      </c>
      <c r="H458" s="16" t="inlineStr">
        <is>
          <t>3%</t>
        </is>
      </c>
      <c r="I458" s="16" t="inlineStr">
        <is>
          <t>-0%</t>
        </is>
      </c>
      <c r="J458" s="16" t="n">
        <v>0.3</v>
      </c>
      <c r="K458" s="16" t="inlineStr">
        <is>
          <t>13%</t>
        </is>
      </c>
      <c r="L458" s="16" t="inlineStr">
        <is>
          <t>33%</t>
        </is>
      </c>
      <c r="M458" s="16" t="inlineStr">
        <is>
          <t>137%</t>
        </is>
      </c>
      <c r="N458" s="16" t="inlineStr">
        <is>
          <t>-2%</t>
        </is>
      </c>
      <c r="O458" s="16" t="n">
        <v>0</v>
      </c>
      <c r="P458" s="16" t="inlineStr">
        <is>
          <t>91%</t>
        </is>
      </c>
      <c r="Q458" s="16" t="n">
        <v>17583014</v>
      </c>
      <c r="R458" s="16" t="inlineStr">
        <is>
          <t>P/B 45.97 · EV/EBITDA 29.6× · FCF yld 3% · net debt 0% of mcap · rev +13% · op margin 33%</t>
        </is>
      </c>
      <c r="S458" s="16" t="inlineStr"/>
      <c r="T458" s="16" t="inlineStr">
        <is>
          <t>Political Trades</t>
        </is>
      </c>
    </row>
    <row r="459">
      <c r="A459" s="6" t="inlineStr">
        <is>
          <t>META</t>
        </is>
      </c>
      <c r="B459" s="14" t="inlineStr">
        <is>
          <t>Meta Platforms, Inc.</t>
        </is>
      </c>
      <c r="C459" s="14" t="inlineStr">
        <is>
          <t xml:space="preserve">Communication </t>
        </is>
      </c>
      <c r="D459" s="14" t="n">
        <v>1927072</v>
      </c>
      <c r="E459" s="14" t="n">
        <v>7.38</v>
      </c>
      <c r="F459" s="14" t="n">
        <v>27.8</v>
      </c>
      <c r="G459" s="14" t="n">
        <v>18.6</v>
      </c>
      <c r="H459" s="14" t="inlineStr">
        <is>
          <t>2%</t>
        </is>
      </c>
      <c r="I459" s="14" t="inlineStr">
        <is>
          <t>-1%</t>
        </is>
      </c>
      <c r="J459" s="14" t="n">
        <v>0.9</v>
      </c>
      <c r="K459" s="14" t="inlineStr">
        <is>
          <t>28%</t>
        </is>
      </c>
      <c r="L459" s="14" t="inlineStr">
        <is>
          <t>38%</t>
        </is>
      </c>
      <c r="M459" s="14" t="inlineStr">
        <is>
          <t>30%</t>
        </is>
      </c>
      <c r="N459" s="14" t="inlineStr">
        <is>
          <t>-0%</t>
        </is>
      </c>
      <c r="O459" s="14" t="n">
        <v>38.1</v>
      </c>
      <c r="P459" s="14" t="inlineStr">
        <is>
          <t>97%</t>
        </is>
      </c>
      <c r="Q459" s="14" t="n">
        <v>14070704</v>
      </c>
      <c r="R459" s="14" t="inlineStr">
        <is>
          <t>P/B 7.38 · EV/EBITDA 18.6× · FCF yld 2% · net debt 1% of mcap · rev +28% · op margin 38%</t>
        </is>
      </c>
      <c r="S459" s="14" t="inlineStr"/>
      <c r="T459" s="14" t="inlineStr">
        <is>
          <t>Political Trades</t>
        </is>
      </c>
    </row>
    <row r="460">
      <c r="A460" s="8" t="inlineStr">
        <is>
          <t>GOOGL</t>
        </is>
      </c>
      <c r="B460" s="16" t="inlineStr">
        <is>
          <t>Alphabet Inc.</t>
        </is>
      </c>
      <c r="C460" s="16" t="inlineStr">
        <is>
          <t xml:space="preserve">Communication </t>
        </is>
      </c>
      <c r="D460" s="16" t="n">
        <v>4126924</v>
      </c>
      <c r="E460" s="16" t="n">
        <v>6.44</v>
      </c>
      <c r="F460" s="16" t="n">
        <v>16.7</v>
      </c>
      <c r="G460" s="16" t="n">
        <v>12.7</v>
      </c>
      <c r="H460" s="16" t="inlineStr">
        <is>
          <t>1%</t>
        </is>
      </c>
      <c r="I460" s="16" t="inlineStr">
        <is>
          <t>3%</t>
        </is>
      </c>
      <c r="J460" s="16" t="n">
        <v>0.2</v>
      </c>
      <c r="K460" s="16" t="inlineStr">
        <is>
          <t>20%</t>
        </is>
      </c>
      <c r="L460" s="16" t="inlineStr">
        <is>
          <t>33%</t>
        </is>
      </c>
      <c r="M460" s="16" t="inlineStr">
        <is>
          <t>51%</t>
        </is>
      </c>
      <c r="N460" s="16" t="inlineStr">
        <is>
          <t>1%</t>
        </is>
      </c>
      <c r="O460" s="16" t="n">
        <v>84.3</v>
      </c>
      <c r="P460" s="16" t="inlineStr">
        <is>
          <t>61%</t>
        </is>
      </c>
      <c r="Q460" s="16" t="n">
        <v>10325365</v>
      </c>
      <c r="R460" s="16" t="inlineStr">
        <is>
          <t>P/B 6.44 · EV/EBITDA 12.7× · FCF yld 1% · net cash 3% of mcap · rev +20% · op margin 33%</t>
        </is>
      </c>
      <c r="S460" s="16" t="inlineStr"/>
      <c r="T460" s="16" t="inlineStr">
        <is>
          <t>Political Trades</t>
        </is>
      </c>
    </row>
    <row r="461">
      <c r="A461" s="6" t="inlineStr">
        <is>
          <t>SPCX</t>
        </is>
      </c>
      <c r="B461" s="14" t="inlineStr">
        <is>
          <t>Space Exploration Tech</t>
        </is>
      </c>
      <c r="C461" s="14" t="inlineStr">
        <is>
          <t>Industrials</t>
        </is>
      </c>
      <c r="D461" s="14" t="n">
        <v>2007453</v>
      </c>
      <c r="E461" s="14" t="n">
        <v>15.78</v>
      </c>
      <c r="F461" s="14" t="n">
        <v>-96.40000000000001</v>
      </c>
      <c r="G461" s="14" t="n">
        <v>456.3</v>
      </c>
      <c r="H461" s="14" t="inlineStr">
        <is>
          <t>-1%</t>
        </is>
      </c>
      <c r="I461" s="14" t="inlineStr">
        <is>
          <t>3%</t>
        </is>
      </c>
      <c r="J461" s="14" t="n">
        <v>-13</v>
      </c>
      <c r="K461" s="14" t="n"/>
      <c r="L461" s="14" t="inlineStr">
        <is>
          <t>-12%</t>
        </is>
      </c>
      <c r="M461" s="14" t="inlineStr">
        <is>
          <t>-8%</t>
        </is>
      </c>
      <c r="N461" s="14" t="n"/>
      <c r="O461" s="14" t="n">
        <v>-1.2</v>
      </c>
      <c r="P461" s="14" t="inlineStr">
        <is>
          <t>39%</t>
        </is>
      </c>
      <c r="Q461" s="14" t="n">
        <v>17123355</v>
      </c>
      <c r="R461" s="14" t="inlineStr">
        <is>
          <t>P/B 15.78 · P/S 118.1 · FCF yld -1% · net cash 3% of mcap · op margin -12%</t>
        </is>
      </c>
      <c r="S461" s="14" t="inlineStr"/>
      <c r="T461" s="14" t="inlineStr">
        <is>
          <t>Political Trades</t>
        </is>
      </c>
    </row>
    <row r="462">
      <c r="A462" s="8" t="inlineStr">
        <is>
          <t>IBM</t>
        </is>
      </c>
      <c r="B462" s="16" t="inlineStr">
        <is>
          <t>International Business</t>
        </is>
      </c>
      <c r="C462" s="16" t="inlineStr">
        <is>
          <t>Technology</t>
        </is>
      </c>
      <c r="D462" s="16" t="n">
        <v>222447</v>
      </c>
      <c r="E462" s="16" t="n">
        <v>6.46</v>
      </c>
      <c r="F462" s="16" t="n">
        <v>20.4</v>
      </c>
      <c r="G462" s="16" t="n">
        <v>17.1</v>
      </c>
      <c r="H462" s="16" t="inlineStr">
        <is>
          <t>6%</t>
        </is>
      </c>
      <c r="I462" s="16" t="inlineStr">
        <is>
          <t>-26%</t>
        </is>
      </c>
      <c r="J462" s="16" t="n">
        <v>3.6</v>
      </c>
      <c r="K462" s="16" t="inlineStr">
        <is>
          <t>8%</t>
        </is>
      </c>
      <c r="L462" s="16" t="inlineStr">
        <is>
          <t>18%</t>
        </is>
      </c>
      <c r="M462" s="16" t="inlineStr">
        <is>
          <t>34%</t>
        </is>
      </c>
      <c r="N462" s="16" t="inlineStr">
        <is>
          <t>1%</t>
        </is>
      </c>
      <c r="O462" s="16" t="n">
        <v>6.4</v>
      </c>
      <c r="P462" s="16" t="inlineStr">
        <is>
          <t>28%</t>
        </is>
      </c>
      <c r="Q462" s="16" t="n">
        <v>2236491</v>
      </c>
      <c r="R462" s="16" t="inlineStr">
        <is>
          <t>P/B 6.46 · EV/EBITDA 17.1× · FCF yld 6% · net debt 26% of mcap · rev +8% · op margin 18%</t>
        </is>
      </c>
      <c r="S462" s="16" t="inlineStr"/>
      <c r="T462" s="16" t="inlineStr">
        <is>
          <t>Political Trades</t>
        </is>
      </c>
    </row>
    <row r="463">
      <c r="A463" s="6" t="inlineStr">
        <is>
          <t>UNH</t>
        </is>
      </c>
      <c r="B463" s="14" t="inlineStr">
        <is>
          <t>UnitedHealth Group Inc</t>
        </is>
      </c>
      <c r="C463" s="14" t="inlineStr">
        <is>
          <t>Healthcare</t>
        </is>
      </c>
      <c r="D463" s="14" t="n">
        <v>337212</v>
      </c>
      <c r="E463" s="14" t="n">
        <v>3.43</v>
      </c>
      <c r="F463" s="14" t="n">
        <v>23.8</v>
      </c>
      <c r="G463" s="14" t="n">
        <v>14.8</v>
      </c>
      <c r="H463" s="14" t="inlineStr">
        <is>
          <t>7%</t>
        </is>
      </c>
      <c r="I463" s="14" t="inlineStr">
        <is>
          <t>-12%</t>
        </is>
      </c>
      <c r="J463" s="14" t="n">
        <v>1.7</v>
      </c>
      <c r="K463" s="14" t="inlineStr">
        <is>
          <t>6%</t>
        </is>
      </c>
      <c r="L463" s="14" t="inlineStr">
        <is>
          <t>5%</t>
        </is>
      </c>
      <c r="M463" s="14" t="inlineStr">
        <is>
          <t>15%</t>
        </is>
      </c>
      <c r="N463" s="14" t="inlineStr">
        <is>
          <t>-0%</t>
        </is>
      </c>
      <c r="O463" s="14" t="n">
        <v>5.6</v>
      </c>
      <c r="P463" s="14" t="inlineStr">
        <is>
          <t>56%</t>
        </is>
      </c>
      <c r="Q463" s="14" t="n">
        <v>2136335</v>
      </c>
      <c r="R463" s="14" t="inlineStr">
        <is>
          <t>P/B 3.43 · EV/EBITDA 14.8× · FCF yld 7% · net debt 12% of mcap · rev +6% · op margin 5%</t>
        </is>
      </c>
      <c r="S463" s="14" t="inlineStr"/>
      <c r="T463" s="14" t="inlineStr">
        <is>
          <t>Political Trades</t>
        </is>
      </c>
    </row>
    <row r="464">
      <c r="A464" s="8" t="inlineStr">
        <is>
          <t>AVGO</t>
        </is>
      </c>
      <c r="B464" s="16" t="inlineStr">
        <is>
          <t>Broadcom Inc.</t>
        </is>
      </c>
      <c r="C464" s="16" t="inlineStr">
        <is>
          <t>Technology</t>
        </is>
      </c>
      <c r="D464" s="16" t="n">
        <v>1694355</v>
      </c>
      <c r="E464" s="16" t="n">
        <v>17</v>
      </c>
      <c r="F464" s="16" t="n">
        <v>44</v>
      </c>
      <c r="G464" s="16" t="n">
        <v>33</v>
      </c>
      <c r="H464" s="16" t="inlineStr">
        <is>
          <t>2%</t>
        </is>
      </c>
      <c r="I464" s="16" t="inlineStr">
        <is>
          <t>-2%</t>
        </is>
      </c>
      <c r="J464" s="16" t="n">
        <v>0.7</v>
      </c>
      <c r="K464" s="16" t="inlineStr">
        <is>
          <t>32%</t>
        </is>
      </c>
      <c r="L464" s="16" t="inlineStr">
        <is>
          <t>48%</t>
        </is>
      </c>
      <c r="M464" s="16" t="inlineStr">
        <is>
          <t>44%</t>
        </is>
      </c>
      <c r="N464" s="16" t="inlineStr">
        <is>
          <t>1%</t>
        </is>
      </c>
      <c r="O464" s="16" t="n">
        <v>14.2</v>
      </c>
      <c r="P464" s="16" t="inlineStr">
        <is>
          <t>32%</t>
        </is>
      </c>
      <c r="Q464" s="16" t="n">
        <v>9186123</v>
      </c>
      <c r="R464" s="16" t="inlineStr">
        <is>
          <t>P/B 17.00 · EV/EBITDA 33.0× · FCF yld 2% · net debt 2% of mcap · rev +32% · op margin 48%</t>
        </is>
      </c>
      <c r="S464" s="16" t="inlineStr"/>
      <c r="T464" s="16" t="inlineStr">
        <is>
          <t>Political Trades</t>
        </is>
      </c>
    </row>
    <row r="465">
      <c r="A465" s="6" t="inlineStr">
        <is>
          <t>ACN</t>
        </is>
      </c>
      <c r="B465" s="14" t="inlineStr">
        <is>
          <t>Accenture plc</t>
        </is>
      </c>
      <c r="C465" s="14" t="inlineStr">
        <is>
          <t>Technology</t>
        </is>
      </c>
      <c r="D465" s="14" t="n">
        <v>113160</v>
      </c>
      <c r="E465" s="14" t="n">
        <v>3.55</v>
      </c>
      <c r="F465" s="14" t="n">
        <v>14.6</v>
      </c>
      <c r="G465" s="14" t="n">
        <v>8.800000000000001</v>
      </c>
      <c r="H465" s="14" t="inlineStr">
        <is>
          <t>11%</t>
        </is>
      </c>
      <c r="I465" s="14" t="inlineStr">
        <is>
          <t>2%</t>
        </is>
      </c>
      <c r="J465" s="14" t="n">
        <v>-0.1</v>
      </c>
      <c r="K465" s="14" t="inlineStr">
        <is>
          <t>7%</t>
        </is>
      </c>
      <c r="L465" s="14" t="inlineStr">
        <is>
          <t>15%</t>
        </is>
      </c>
      <c r="M465" s="14" t="inlineStr">
        <is>
          <t>25%</t>
        </is>
      </c>
      <c r="N465" s="14" t="inlineStr">
        <is>
          <t>-2%</t>
        </is>
      </c>
      <c r="O465" s="14" t="n">
        <v>40.9</v>
      </c>
      <c r="P465" s="14" t="inlineStr">
        <is>
          <t>39%</t>
        </is>
      </c>
      <c r="Q465" s="14" t="n">
        <v>1380355</v>
      </c>
      <c r="R465" s="14" t="inlineStr">
        <is>
          <t>P/B 3.55 · EV/EBITDA 8.8× · FCF yld 11% · net cash 2% of mcap · rev +7% · op margin 15%</t>
        </is>
      </c>
      <c r="S465" s="14" t="inlineStr"/>
      <c r="T465" s="14" t="inlineStr">
        <is>
          <t>Political Trades</t>
        </is>
      </c>
    </row>
    <row r="466">
      <c r="A466" s="8" t="inlineStr">
        <is>
          <t>MU</t>
        </is>
      </c>
      <c r="B466" s="16" t="inlineStr">
        <is>
          <t>Micron Technology, Inc</t>
        </is>
      </c>
      <c r="C466" s="16" t="inlineStr">
        <is>
          <t>Technology</t>
        </is>
      </c>
      <c r="D466" s="16" t="n">
        <v>1216816</v>
      </c>
      <c r="E466" s="16" t="n">
        <v>12.08</v>
      </c>
      <c r="F466" s="16" t="n">
        <v>23.9</v>
      </c>
      <c r="G466" s="16" t="n">
        <v>17.4</v>
      </c>
      <c r="H466" s="16" t="inlineStr">
        <is>
          <t>2%</t>
        </is>
      </c>
      <c r="I466" s="16" t="inlineStr">
        <is>
          <t>2%</t>
        </is>
      </c>
      <c r="J466" s="16" t="n">
        <v>-0.3</v>
      </c>
      <c r="K466" s="16" t="inlineStr">
        <is>
          <t>86%</t>
        </is>
      </c>
      <c r="L466" s="16" t="inlineStr">
        <is>
          <t>66%</t>
        </is>
      </c>
      <c r="M466" s="16" t="inlineStr">
        <is>
          <t>71%</t>
        </is>
      </c>
      <c r="N466" s="16" t="inlineStr">
        <is>
          <t>2%</t>
        </is>
      </c>
      <c r="O466" s="16" t="n">
        <v>258</v>
      </c>
      <c r="P466" s="16" t="inlineStr">
        <is>
          <t>84%</t>
        </is>
      </c>
      <c r="Q466" s="16" t="n">
        <v>46343373</v>
      </c>
      <c r="R466" s="16" t="inlineStr">
        <is>
          <t>P/B 12.08 · EV/EBITDA 17.4× · FCF yld 2% · net cash 2% of mcap · rev +86% · op margin 66%</t>
        </is>
      </c>
      <c r="S466" s="16" t="inlineStr"/>
      <c r="T466" s="16" t="inlineStr">
        <is>
          <t>Political Trades</t>
        </is>
      </c>
    </row>
    <row r="467">
      <c r="A467" s="6" t="inlineStr">
        <is>
          <t>ADBE</t>
        </is>
      </c>
      <c r="B467" s="14" t="inlineStr">
        <is>
          <t>Adobe Inc.</t>
        </is>
      </c>
      <c r="C467" s="14" t="inlineStr">
        <is>
          <t>Technology</t>
        </is>
      </c>
      <c r="D467" s="14" t="n">
        <v>95416</v>
      </c>
      <c r="E467" s="14" t="n">
        <v>8.109999999999999</v>
      </c>
      <c r="F467" s="14" t="n">
        <v>13.3</v>
      </c>
      <c r="G467" s="14" t="n">
        <v>9.6</v>
      </c>
      <c r="H467" s="14" t="inlineStr">
        <is>
          <t>11%</t>
        </is>
      </c>
      <c r="I467" s="14" t="inlineStr">
        <is>
          <t>-1%</t>
        </is>
      </c>
      <c r="J467" s="14" t="n">
        <v>0.2</v>
      </c>
      <c r="K467" s="14" t="inlineStr">
        <is>
          <t>11%</t>
        </is>
      </c>
      <c r="L467" s="14" t="inlineStr">
        <is>
          <t>36%</t>
        </is>
      </c>
      <c r="M467" s="14" t="inlineStr">
        <is>
          <t>63%</t>
        </is>
      </c>
      <c r="N467" s="14" t="inlineStr">
        <is>
          <t>-7%</t>
        </is>
      </c>
      <c r="O467" s="14" t="n">
        <v>35.7</v>
      </c>
      <c r="P467" s="14" t="inlineStr">
        <is>
          <t>29%</t>
        </is>
      </c>
      <c r="Q467" s="14" t="n">
        <v>1459062</v>
      </c>
      <c r="R467" s="14" t="inlineStr">
        <is>
          <t>P/B 8.11 · EV/EBITDA 9.6× · FCF yld 11% · net debt 1% of mcap · rev +11% · op margin 36% · buying back 7%/yr</t>
        </is>
      </c>
      <c r="S467" s="14" t="inlineStr"/>
      <c r="T467" s="14" t="inlineStr">
        <is>
          <t>Political Trades</t>
        </is>
      </c>
    </row>
    <row r="468">
      <c r="A468" s="8" t="inlineStr">
        <is>
          <t>HD</t>
        </is>
      </c>
      <c r="B468" s="16" t="inlineStr">
        <is>
          <t>The Home Depot, Inc.</t>
        </is>
      </c>
      <c r="C468" s="16" t="inlineStr">
        <is>
          <t>Consumer Cycli</t>
        </is>
      </c>
      <c r="D468" s="16" t="n">
        <v>298617</v>
      </c>
      <c r="E468" s="16" t="n">
        <v>17.97</v>
      </c>
      <c r="F468" s="16" t="n">
        <v>20.8</v>
      </c>
      <c r="G468" s="16" t="n">
        <v>14.9</v>
      </c>
      <c r="H468" s="16" t="inlineStr">
        <is>
          <t>5%</t>
        </is>
      </c>
      <c r="I468" s="16" t="inlineStr">
        <is>
          <t>-20%</t>
        </is>
      </c>
      <c r="J468" s="16" t="n">
        <v>2.5</v>
      </c>
      <c r="K468" s="16" t="inlineStr">
        <is>
          <t>2%</t>
        </is>
      </c>
      <c r="L468" s="16" t="inlineStr">
        <is>
          <t>12%</t>
        </is>
      </c>
      <c r="M468" s="16" t="inlineStr">
        <is>
          <t>103%</t>
        </is>
      </c>
      <c r="N468" s="16" t="inlineStr">
        <is>
          <t>0%</t>
        </is>
      </c>
      <c r="O468" s="16" t="n">
        <v>8.699999999999999</v>
      </c>
      <c r="P468" s="16" t="inlineStr">
        <is>
          <t>8%</t>
        </is>
      </c>
      <c r="Q468" s="16" t="n">
        <v>1349537</v>
      </c>
      <c r="R468" s="16" t="inlineStr">
        <is>
          <t>P/B 17.97 · EV/EBITDA 14.9× · FCF yld 5% · net debt 20% of mcap · rev +2% · op margin 12%</t>
        </is>
      </c>
      <c r="S468" s="16" t="inlineStr"/>
      <c r="T468" s="16" t="inlineStr">
        <is>
          <t>Political Trades</t>
        </is>
      </c>
    </row>
    <row r="469">
      <c r="A469" s="6" t="inlineStr">
        <is>
          <t>AMZN</t>
        </is>
      </c>
      <c r="B469" s="14" t="inlineStr">
        <is>
          <t>Amazon.com, Inc.</t>
        </is>
      </c>
      <c r="C469" s="14" t="inlineStr">
        <is>
          <t>Consumer Cycli</t>
        </is>
      </c>
      <c r="D469" s="14" t="n">
        <v>2688791</v>
      </c>
      <c r="E469" s="14" t="n">
        <v>4.87</v>
      </c>
      <c r="F469" s="14" t="n">
        <v>19.8</v>
      </c>
      <c r="G469" s="14" t="n">
        <v>11.1</v>
      </c>
      <c r="H469" s="14" t="inlineStr">
        <is>
          <t>-0%</t>
        </is>
      </c>
      <c r="I469" s="14" t="inlineStr">
        <is>
          <t>-4%</t>
        </is>
      </c>
      <c r="J469" s="14" t="n">
        <v>0.6</v>
      </c>
      <c r="K469" s="14" t="inlineStr">
        <is>
          <t>16%</t>
        </is>
      </c>
      <c r="L469" s="14" t="inlineStr">
        <is>
          <t>12%</t>
        </is>
      </c>
      <c r="M469" s="14" t="inlineStr">
        <is>
          <t>30%</t>
        </is>
      </c>
      <c r="N469" s="14" t="inlineStr">
        <is>
          <t>1%</t>
        </is>
      </c>
      <c r="O469" s="14" t="n">
        <v>28.1</v>
      </c>
      <c r="P469" s="14" t="inlineStr">
        <is>
          <t>59%</t>
        </is>
      </c>
      <c r="Q469" s="14" t="n">
        <v>11264234</v>
      </c>
      <c r="R469" s="14" t="inlineStr">
        <is>
          <t>P/B 4.87 · EV/EBITDA 11.1× · FCF yld -0% · net debt 4% of mcap · rev +16% · op margin 12%</t>
        </is>
      </c>
      <c r="S469" s="14" t="inlineStr"/>
      <c r="T469" s="14" t="inlineStr">
        <is>
          <t>Political Trades</t>
        </is>
      </c>
    </row>
    <row r="470">
      <c r="A470" s="8" t="inlineStr">
        <is>
          <t>PEP</t>
        </is>
      </c>
      <c r="B470" s="16" t="inlineStr">
        <is>
          <t>PepsiCo, Inc.</t>
        </is>
      </c>
      <c r="C470" s="16" t="inlineStr">
        <is>
          <t>Consumer Defen</t>
        </is>
      </c>
      <c r="D470" s="16" t="n">
        <v>177676</v>
      </c>
      <c r="E470" s="16" t="n">
        <v>8.039999999999999</v>
      </c>
      <c r="F470" s="16" t="n">
        <v>17</v>
      </c>
      <c r="G470" s="16" t="n">
        <v>11.8</v>
      </c>
      <c r="H470" s="16" t="inlineStr">
        <is>
          <t>5%</t>
        </is>
      </c>
      <c r="I470" s="16" t="inlineStr">
        <is>
          <t>-24%</t>
        </is>
      </c>
      <c r="J470" s="16" t="n">
        <v>2.3</v>
      </c>
      <c r="K470" s="16" t="n"/>
      <c r="L470" s="16" t="inlineStr">
        <is>
          <t>15%</t>
        </is>
      </c>
      <c r="M470" s="16" t="inlineStr">
        <is>
          <t>50%</t>
        </is>
      </c>
      <c r="N470" s="16" t="inlineStr">
        <is>
          <t>-0%</t>
        </is>
      </c>
      <c r="O470" s="16" t="n">
        <v>12.9</v>
      </c>
      <c r="P470" s="16" t="inlineStr">
        <is>
          <t>5%</t>
        </is>
      </c>
      <c r="Q470" s="16" t="n">
        <v>1116250</v>
      </c>
      <c r="R470" s="16" t="inlineStr">
        <is>
          <t>P/B 8.04 · EV/EBITDA 11.8× · FCF yld 5% · net debt 24% of mcap · op margin 15%</t>
        </is>
      </c>
      <c r="S470" s="16" t="inlineStr"/>
      <c r="T470" s="16" t="inlineStr">
        <is>
          <t>Political Trades</t>
        </is>
      </c>
    </row>
    <row r="471">
      <c r="A471" s="6" t="inlineStr">
        <is>
          <t>UBER</t>
        </is>
      </c>
      <c r="B471" s="14" t="inlineStr">
        <is>
          <t>Uber Technologies, Inc</t>
        </is>
      </c>
      <c r="C471" s="14" t="inlineStr">
        <is>
          <t>Technology</t>
        </is>
      </c>
      <c r="D471" s="14" t="n">
        <v>141591</v>
      </c>
      <c r="E471" s="14" t="n">
        <v>5.18</v>
      </c>
      <c r="F471" s="14" t="n">
        <v>15</v>
      </c>
      <c r="G471" s="14" t="n">
        <v>18.9</v>
      </c>
      <c r="H471" s="14" t="inlineStr">
        <is>
          <t>7%</t>
        </is>
      </c>
      <c r="I471" s="14" t="inlineStr">
        <is>
          <t>-7%</t>
        </is>
      </c>
      <c r="J471" s="14" t="n">
        <v>1.2</v>
      </c>
      <c r="K471" s="14" t="inlineStr">
        <is>
          <t>17%</t>
        </is>
      </c>
      <c r="L471" s="14" t="inlineStr">
        <is>
          <t>12%</t>
        </is>
      </c>
      <c r="M471" s="14" t="inlineStr">
        <is>
          <t>36%</t>
        </is>
      </c>
      <c r="N471" s="14" t="inlineStr">
        <is>
          <t>-3%</t>
        </is>
      </c>
      <c r="O471" s="14" t="n">
        <v>14.9</v>
      </c>
      <c r="P471" s="14" t="inlineStr">
        <is>
          <t>12%</t>
        </is>
      </c>
      <c r="Q471" s="14" t="n">
        <v>1364762</v>
      </c>
      <c r="R471" s="14" t="inlineStr">
        <is>
          <t>P/B 5.18 · EV/EBITDA 18.9× · FCF yld 7% · net debt 7% of mcap · rev +17% · op margin 12% · buying back 3%/yr</t>
        </is>
      </c>
      <c r="S471" s="14" t="inlineStr"/>
      <c r="T471" s="14" t="inlineStr">
        <is>
          <t>Political Trades</t>
        </is>
      </c>
    </row>
    <row r="472">
      <c r="A472" s="8" t="inlineStr">
        <is>
          <t>PAYX</t>
        </is>
      </c>
      <c r="B472" s="16" t="inlineStr">
        <is>
          <t>Paychex, Inc.</t>
        </is>
      </c>
      <c r="C472" s="16" t="inlineStr">
        <is>
          <t>Industrials</t>
        </is>
      </c>
      <c r="D472" s="16" t="n">
        <v>37934</v>
      </c>
      <c r="E472" s="16" t="n">
        <v>9.449999999999999</v>
      </c>
      <c r="F472" s="16" t="n">
        <v>21</v>
      </c>
      <c r="G472" s="16" t="n">
        <v>12.4</v>
      </c>
      <c r="H472" s="16" t="inlineStr">
        <is>
          <t>5%</t>
        </is>
      </c>
      <c r="I472" s="16" t="inlineStr">
        <is>
          <t>-8%</t>
        </is>
      </c>
      <c r="J472" s="16" t="n">
        <v>-0.2</v>
      </c>
      <c r="K472" s="16" t="inlineStr">
        <is>
          <t>12%</t>
        </is>
      </c>
      <c r="L472" s="16" t="inlineStr">
        <is>
          <t>39%</t>
        </is>
      </c>
      <c r="M472" s="16" t="inlineStr">
        <is>
          <t>47%</t>
        </is>
      </c>
      <c r="N472" s="16" t="inlineStr">
        <is>
          <t>-0%</t>
        </is>
      </c>
      <c r="O472" s="16" t="n">
        <v>19</v>
      </c>
      <c r="P472" s="16" t="inlineStr">
        <is>
          <t>47%</t>
        </is>
      </c>
      <c r="Q472" s="16" t="n">
        <v>330526</v>
      </c>
      <c r="R472" s="16" t="inlineStr">
        <is>
          <t>P/B 9.45 · EV/EBITDA 12.4× · FCF yld 5% · net debt 8% of mcap · rev +12% · op margin 39%</t>
        </is>
      </c>
      <c r="S472" s="16" t="inlineStr"/>
      <c r="T472" s="16" t="inlineStr">
        <is>
          <t>Political Trades</t>
        </is>
      </c>
    </row>
    <row r="473">
      <c r="A473" s="6" t="inlineStr">
        <is>
          <t>T</t>
        </is>
      </c>
      <c r="B473" s="14" t="inlineStr">
        <is>
          <t>AT&amp;T Inc.</t>
        </is>
      </c>
      <c r="C473" s="14" t="inlineStr">
        <is>
          <t xml:space="preserve">Communication </t>
        </is>
      </c>
      <c r="D473" s="14" t="n">
        <v>174658</v>
      </c>
      <c r="E473" s="14" t="n">
        <v>1.58</v>
      </c>
      <c r="F473" s="14" t="n">
        <v>8.4</v>
      </c>
      <c r="G473" s="14" t="n">
        <v>5.9</v>
      </c>
      <c r="H473" s="14" t="inlineStr">
        <is>
          <t>10%</t>
        </is>
      </c>
      <c r="I473" s="14" t="inlineStr">
        <is>
          <t>-83%</t>
        </is>
      </c>
      <c r="J473" s="14" t="n">
        <v>2.7</v>
      </c>
      <c r="K473" s="14" t="inlineStr">
        <is>
          <t>3%</t>
        </is>
      </c>
      <c r="L473" s="14" t="inlineStr">
        <is>
          <t>20%</t>
        </is>
      </c>
      <c r="M473" s="14" t="inlineStr">
        <is>
          <t>19%</t>
        </is>
      </c>
      <c r="N473" s="14" t="inlineStr">
        <is>
          <t>-4%</t>
        </is>
      </c>
      <c r="O473" s="14" t="n">
        <v>3.6</v>
      </c>
      <c r="P473" s="14" t="inlineStr">
        <is>
          <t>59%</t>
        </is>
      </c>
      <c r="Q473" s="14" t="n">
        <v>1405031</v>
      </c>
      <c r="R473" s="14" t="inlineStr">
        <is>
          <t>P/B 1.58 · EV/EBITDA 5.9× · FCF yld 10% · net debt 83% of mcap · rev +3% · op margin 20% · buying back 4%/yr</t>
        </is>
      </c>
      <c r="S473" s="14" t="inlineStr"/>
      <c r="T473" s="14" t="inlineStr">
        <is>
          <t>Political Trades</t>
        </is>
      </c>
    </row>
    <row r="474">
      <c r="A474" s="8" t="inlineStr">
        <is>
          <t>LLY</t>
        </is>
      </c>
      <c r="B474" s="16" t="inlineStr">
        <is>
          <t>Eli Lilly and Company</t>
        </is>
      </c>
      <c r="C474" s="16" t="inlineStr">
        <is>
          <t>Healthcare</t>
        </is>
      </c>
      <c r="D474" s="16" t="n">
        <v>1089166</v>
      </c>
      <c r="E474" s="16" t="n">
        <v>32.15</v>
      </c>
      <c r="F474" s="16" t="n">
        <v>38.7</v>
      </c>
      <c r="G474" s="16" t="n">
        <v>26.2</v>
      </c>
      <c r="H474" s="16" t="inlineStr">
        <is>
          <t>2%</t>
        </is>
      </c>
      <c r="I474" s="16" t="inlineStr">
        <is>
          <t>-4%</t>
        </is>
      </c>
      <c r="J474" s="16" t="n">
        <v>1.1</v>
      </c>
      <c r="K474" s="16" t="inlineStr">
        <is>
          <t>50%</t>
        </is>
      </c>
      <c r="L474" s="16" t="inlineStr">
        <is>
          <t>50%</t>
        </is>
      </c>
      <c r="M474" s="16" t="inlineStr">
        <is>
          <t>93%</t>
        </is>
      </c>
      <c r="N474" s="16" t="inlineStr">
        <is>
          <t>-1%</t>
        </is>
      </c>
      <c r="O474" s="16" t="n">
        <v>40.4</v>
      </c>
      <c r="P474" s="16" t="inlineStr">
        <is>
          <t>77%</t>
        </is>
      </c>
      <c r="Q474" s="16" t="n">
        <v>3264063</v>
      </c>
      <c r="R474" s="16" t="inlineStr">
        <is>
          <t>P/B 32.15 · EV/EBITDA 26.2× · FCF yld 2% · net debt 4% of mcap · rev +50% · op margin 50%</t>
        </is>
      </c>
      <c r="S474" s="16" t="inlineStr"/>
      <c r="T474" s="16" t="inlineStr">
        <is>
          <t>Political Trades</t>
        </is>
      </c>
    </row>
    <row r="475">
      <c r="A475" s="6" t="inlineStr">
        <is>
          <t>MRVL</t>
        </is>
      </c>
      <c r="B475" s="14" t="inlineStr">
        <is>
          <t>Marvell Technology, In</t>
        </is>
      </c>
      <c r="C475" s="14" t="inlineStr">
        <is>
          <t>Technology</t>
        </is>
      </c>
      <c r="D475" s="14" t="n">
        <v>227975</v>
      </c>
      <c r="E475" s="14" t="n">
        <v>16.22</v>
      </c>
      <c r="F475" s="14" t="n">
        <v>84.90000000000001</v>
      </c>
      <c r="G475" s="14" t="n">
        <v>48.2</v>
      </c>
      <c r="H475" s="14" t="inlineStr">
        <is>
          <t>1%</t>
        </is>
      </c>
      <c r="I475" s="14" t="inlineStr">
        <is>
          <t>-1%</t>
        </is>
      </c>
      <c r="J475" s="14" t="n">
        <v>0.3</v>
      </c>
      <c r="K475" s="14" t="inlineStr">
        <is>
          <t>37%</t>
        </is>
      </c>
      <c r="L475" s="14" t="inlineStr">
        <is>
          <t>17%</t>
        </is>
      </c>
      <c r="M475" s="14" t="inlineStr">
        <is>
          <t>16%</t>
        </is>
      </c>
      <c r="N475" s="14" t="inlineStr">
        <is>
          <t>1%</t>
        </is>
      </c>
      <c r="O475" s="14" t="n">
        <v>7.3</v>
      </c>
      <c r="P475" s="14" t="inlineStr">
        <is>
          <t>73%</t>
        </is>
      </c>
      <c r="Q475" s="14" t="n">
        <v>9320126</v>
      </c>
      <c r="R475" s="14" t="inlineStr">
        <is>
          <t>P/B 16.22 · EV/EBITDA 48.2× · FCF yld 1% · net debt 1% of mcap · rev +37% · op margin 17%</t>
        </is>
      </c>
      <c r="S475" s="14" t="inlineStr"/>
      <c r="T475" s="14" t="inlineStr">
        <is>
          <t>Political Trades</t>
        </is>
      </c>
    </row>
    <row r="476">
      <c r="A476" s="8" t="inlineStr">
        <is>
          <t>BSX</t>
        </is>
      </c>
      <c r="B476" s="16" t="inlineStr">
        <is>
          <t>Boston Scientific Corp</t>
        </is>
      </c>
      <c r="C476" s="16" t="inlineStr">
        <is>
          <t>Healthcare</t>
        </is>
      </c>
      <c r="D476" s="16" t="n">
        <v>66589</v>
      </c>
      <c r="E476" s="16" t="n">
        <v>2.67</v>
      </c>
      <c r="F476" s="16" t="n">
        <v>17.8</v>
      </c>
      <c r="G476" s="16" t="n">
        <v>13.8</v>
      </c>
      <c r="H476" s="16" t="inlineStr">
        <is>
          <t>5%</t>
        </is>
      </c>
      <c r="I476" s="16" t="inlineStr">
        <is>
          <t>-18%</t>
        </is>
      </c>
      <c r="J476" s="16" t="n">
        <v>2.1</v>
      </c>
      <c r="K476" s="16" t="inlineStr">
        <is>
          <t>14%</t>
        </is>
      </c>
      <c r="L476" s="16" t="inlineStr">
        <is>
          <t>21%</t>
        </is>
      </c>
      <c r="M476" s="16" t="inlineStr">
        <is>
          <t>15%</t>
        </is>
      </c>
      <c r="N476" s="16" t="inlineStr">
        <is>
          <t>-1%</t>
        </is>
      </c>
      <c r="O476" s="16" t="n">
        <v>12.4</v>
      </c>
      <c r="P476" s="16" t="inlineStr">
        <is>
          <t>4%</t>
        </is>
      </c>
      <c r="Q476" s="16" t="n">
        <v>942247</v>
      </c>
      <c r="R476" s="16" t="inlineStr">
        <is>
          <t>P/B 2.67 · EV/EBITDA 13.8× · FCF yld 5% · net debt 18% of mcap · rev +14% · op margin 21%</t>
        </is>
      </c>
      <c r="S476" s="16" t="inlineStr"/>
      <c r="T476" s="16" t="inlineStr">
        <is>
          <t>Political Trades</t>
        </is>
      </c>
    </row>
    <row r="477">
      <c r="A477" s="6" t="inlineStr">
        <is>
          <t>PLTR</t>
        </is>
      </c>
      <c r="B477" s="14" t="inlineStr">
        <is>
          <t xml:space="preserve">Palantir Technologies </t>
        </is>
      </c>
      <c r="C477" s="14" t="inlineStr">
        <is>
          <t>Technology</t>
        </is>
      </c>
      <c r="D477" s="14" t="n">
        <v>440891</v>
      </c>
      <c r="E477" s="14" t="n">
        <v>45.11</v>
      </c>
      <c r="F477" s="14" t="n">
        <v>152.3</v>
      </c>
      <c r="G477" s="14" t="n">
        <v>141.5</v>
      </c>
      <c r="H477" s="14" t="inlineStr">
        <is>
          <t>1%</t>
        </is>
      </c>
      <c r="I477" s="14" t="inlineStr">
        <is>
          <t>2%</t>
        </is>
      </c>
      <c r="J477" s="14" t="n">
        <v>-0.6</v>
      </c>
      <c r="K477" s="14" t="inlineStr">
        <is>
          <t>79%</t>
        </is>
      </c>
      <c r="L477" s="14" t="inlineStr">
        <is>
          <t>43%</t>
        </is>
      </c>
      <c r="M477" s="14" t="inlineStr">
        <is>
          <t>37%</t>
        </is>
      </c>
      <c r="N477" s="14" t="inlineStr">
        <is>
          <t>0%</t>
        </is>
      </c>
      <c r="O477" s="14" t="n">
        <v>0</v>
      </c>
      <c r="P477" s="14" t="inlineStr">
        <is>
          <t>85%</t>
        </is>
      </c>
      <c r="Q477" s="14" t="n">
        <v>7442631</v>
      </c>
      <c r="R477" s="14" t="inlineStr">
        <is>
          <t>P/B 45.11 · EV/EBITDA 141.5× · FCF yld 1% · net cash 2% of mcap · rev +79% · op margin 43%</t>
        </is>
      </c>
      <c r="S477" s="14" t="inlineStr"/>
      <c r="T477" s="14" t="inlineStr">
        <is>
          <t>Political Trades</t>
        </is>
      </c>
    </row>
    <row r="478">
      <c r="A478" s="8" t="inlineStr">
        <is>
          <t>CARR</t>
        </is>
      </c>
      <c r="B478" s="16" t="inlineStr">
        <is>
          <t>Carrier Global Corpora</t>
        </is>
      </c>
      <c r="C478" s="16" t="inlineStr">
        <is>
          <t>Industrials</t>
        </is>
      </c>
      <c r="D478" s="16" t="n">
        <v>45874</v>
      </c>
      <c r="E478" s="16" t="n">
        <v>3.49</v>
      </c>
      <c r="F478" s="16" t="n">
        <v>38</v>
      </c>
      <c r="G478" s="16" t="n">
        <v>20.6</v>
      </c>
      <c r="H478" s="16" t="inlineStr">
        <is>
          <t>4%</t>
        </is>
      </c>
      <c r="I478" s="16" t="inlineStr">
        <is>
          <t>-24%</t>
        </is>
      </c>
      <c r="J478" s="16" t="n">
        <v>4</v>
      </c>
      <c r="K478" s="16" t="inlineStr">
        <is>
          <t>-2%</t>
        </is>
      </c>
      <c r="L478" s="16" t="inlineStr">
        <is>
          <t>7%</t>
        </is>
      </c>
      <c r="M478" s="16" t="inlineStr">
        <is>
          <t>9%</t>
        </is>
      </c>
      <c r="N478" s="16" t="inlineStr">
        <is>
          <t>-3%</t>
        </is>
      </c>
      <c r="O478" s="16" t="n">
        <v>4.7</v>
      </c>
      <c r="P478" s="16" t="inlineStr">
        <is>
          <t>20%</t>
        </is>
      </c>
      <c r="Q478" s="16" t="n">
        <v>362345</v>
      </c>
      <c r="R478" s="16" t="inlineStr">
        <is>
          <t>P/B 3.49 · EV/EBITDA 20.6× · FCF yld 4% · net debt 24% of mcap · rev -2% · op margin 7% · buying back 3%/yr</t>
        </is>
      </c>
      <c r="S478" s="16" t="inlineStr"/>
      <c r="T478" s="16" t="inlineStr">
        <is>
          <t>Political Trades</t>
        </is>
      </c>
    </row>
    <row r="479">
      <c r="A479" s="6" t="inlineStr">
        <is>
          <t>WDAY</t>
        </is>
      </c>
      <c r="B479" s="14" t="inlineStr">
        <is>
          <t>Workday, Inc.</t>
        </is>
      </c>
      <c r="C479" s="14" t="inlineStr">
        <is>
          <t>Technology</t>
        </is>
      </c>
      <c r="D479" s="14" t="n">
        <v>50536</v>
      </c>
      <c r="E479" s="14" t="n">
        <v>5.69</v>
      </c>
      <c r="F479" s="14" t="n">
        <v>38.8</v>
      </c>
      <c r="G479" s="14" t="n">
        <v>32.1</v>
      </c>
      <c r="H479" s="14" t="inlineStr">
        <is>
          <t>6%</t>
        </is>
      </c>
      <c r="I479" s="14" t="inlineStr">
        <is>
          <t>6%</t>
        </is>
      </c>
      <c r="J479" s="14" t="n">
        <v>1.9</v>
      </c>
      <c r="K479" s="14" t="inlineStr">
        <is>
          <t>14%</t>
        </is>
      </c>
      <c r="L479" s="14" t="inlineStr">
        <is>
          <t>12%</t>
        </is>
      </c>
      <c r="M479" s="14" t="inlineStr">
        <is>
          <t>17%</t>
        </is>
      </c>
      <c r="N479" s="14" t="inlineStr">
        <is>
          <t>1%</t>
        </is>
      </c>
      <c r="O479" s="14" t="n">
        <v>11</v>
      </c>
      <c r="P479" s="14" t="inlineStr">
        <is>
          <t>59%</t>
        </is>
      </c>
      <c r="Q479" s="14" t="n">
        <v>935983</v>
      </c>
      <c r="R479" s="14" t="inlineStr">
        <is>
          <t>P/B 5.69 · EV/EBITDA 32.1× · FCF yld 6% · net cash 6% of mcap · rev +14% · op margin 12%</t>
        </is>
      </c>
      <c r="S479" s="14" t="inlineStr"/>
      <c r="T479" s="14" t="inlineStr">
        <is>
          <t>Political Trades</t>
        </is>
      </c>
    </row>
    <row r="480">
      <c r="A480" s="8" t="inlineStr">
        <is>
          <t>PYPL</t>
        </is>
      </c>
      <c r="B480" s="16" t="inlineStr">
        <is>
          <t>PayPal Holdings, Inc.</t>
        </is>
      </c>
      <c r="C480" s="16" t="inlineStr">
        <is>
          <t>Financial Serv</t>
        </is>
      </c>
      <c r="D480" s="16" t="n">
        <v>44997</v>
      </c>
      <c r="E480" s="16" t="n">
        <v>2.27</v>
      </c>
      <c r="F480" s="16" t="n">
        <v>9.9</v>
      </c>
      <c r="G480" s="16" t="n">
        <v>6.8</v>
      </c>
      <c r="H480" s="16" t="inlineStr">
        <is>
          <t>15%</t>
        </is>
      </c>
      <c r="I480" s="16" t="inlineStr">
        <is>
          <t>-7%</t>
        </is>
      </c>
      <c r="J480" s="16" t="n">
        <v>0.8</v>
      </c>
      <c r="K480" s="16" t="inlineStr">
        <is>
          <t>6%</t>
        </is>
      </c>
      <c r="L480" s="16" t="inlineStr">
        <is>
          <t>19%</t>
        </is>
      </c>
      <c r="M480" s="16" t="inlineStr">
        <is>
          <t>24%</t>
        </is>
      </c>
      <c r="N480" s="16" t="inlineStr">
        <is>
          <t>-8%</t>
        </is>
      </c>
      <c r="O480" s="16" t="n">
        <v>18.3</v>
      </c>
      <c r="P480" s="16" t="inlineStr">
        <is>
          <t>35%</t>
        </is>
      </c>
      <c r="Q480" s="16" t="n">
        <v>791387</v>
      </c>
      <c r="R480" s="16" t="inlineStr">
        <is>
          <t>P/B 2.27 · P/E 9.9 · ROE 24% · div yld 1.1% · buying back 8%/yr (financial: book/earnings basis)</t>
        </is>
      </c>
      <c r="S480" s="16" t="inlineStr"/>
      <c r="T480" s="16" t="inlineStr">
        <is>
          <t>Political Trades</t>
        </is>
      </c>
    </row>
    <row r="481">
      <c r="A481" s="6" t="inlineStr">
        <is>
          <t>HUBB</t>
        </is>
      </c>
      <c r="B481" s="14" t="inlineStr">
        <is>
          <t>Hubbell Incorporated</t>
        </is>
      </c>
      <c r="C481" s="14" t="inlineStr">
        <is>
          <t>Industrials</t>
        </is>
      </c>
      <c r="D481" s="14" t="n">
        <v>24654</v>
      </c>
      <c r="E481" s="14" t="n">
        <v>6.28</v>
      </c>
      <c r="F481" s="14" t="n">
        <v>27.6</v>
      </c>
      <c r="G481" s="14" t="n">
        <v>20.1</v>
      </c>
      <c r="H481" s="14" t="inlineStr">
        <is>
          <t>4%</t>
        </is>
      </c>
      <c r="I481" s="14" t="inlineStr">
        <is>
          <t>-20%</t>
        </is>
      </c>
      <c r="J481" s="14" t="n">
        <v>3.4</v>
      </c>
      <c r="K481" s="14" t="inlineStr">
        <is>
          <t>11%</t>
        </is>
      </c>
      <c r="L481" s="14" t="inlineStr">
        <is>
          <t>20%</t>
        </is>
      </c>
      <c r="M481" s="14" t="inlineStr">
        <is>
          <t>24%</t>
        </is>
      </c>
      <c r="N481" s="14" t="inlineStr">
        <is>
          <t>-1%</t>
        </is>
      </c>
      <c r="O481" s="14" t="n">
        <v>13</v>
      </c>
      <c r="P481" s="14" t="inlineStr">
        <is>
          <t>39%</t>
        </is>
      </c>
      <c r="Q481" s="14" t="n">
        <v>272499</v>
      </c>
      <c r="R481" s="14" t="inlineStr">
        <is>
          <t>P/B 6.28 · EV/EBITDA 20.1× · FCF yld 4% · net debt 20% of mcap · rev +11% · op margin 20%</t>
        </is>
      </c>
      <c r="S481" s="14" t="inlineStr"/>
      <c r="T481" s="14" t="inlineStr">
        <is>
          <t>Political Trades</t>
        </is>
      </c>
    </row>
    <row r="482">
      <c r="A482" s="8" t="inlineStr">
        <is>
          <t>MLM</t>
        </is>
      </c>
      <c r="B482" s="16" t="inlineStr">
        <is>
          <t>Martin Marietta Materi</t>
        </is>
      </c>
      <c r="C482" s="16" t="inlineStr">
        <is>
          <t>Basic Material</t>
        </is>
      </c>
      <c r="D482" s="16" t="n">
        <v>29626</v>
      </c>
      <c r="E482" s="16" t="n">
        <v>2.57</v>
      </c>
      <c r="F482" s="16" t="n">
        <v>12.1</v>
      </c>
      <c r="G482" s="16" t="n">
        <v>16.9</v>
      </c>
      <c r="H482" s="16" t="inlineStr">
        <is>
          <t>3%</t>
        </is>
      </c>
      <c r="I482" s="16" t="inlineStr">
        <is>
          <t>-20%</t>
        </is>
      </c>
      <c r="J482" s="16" t="n">
        <v>2.8</v>
      </c>
      <c r="K482" s="16" t="inlineStr">
        <is>
          <t>0%</t>
        </is>
      </c>
      <c r="L482" s="16" t="inlineStr">
        <is>
          <t>21%</t>
        </is>
      </c>
      <c r="M482" s="16" t="inlineStr">
        <is>
          <t>23%</t>
        </is>
      </c>
      <c r="N482" s="16" t="inlineStr">
        <is>
          <t>-0%</t>
        </is>
      </c>
      <c r="O482" s="16" t="n">
        <v>6.1</v>
      </c>
      <c r="P482" s="16" t="inlineStr">
        <is>
          <t>2%</t>
        </is>
      </c>
      <c r="Q482" s="16" t="n">
        <v>315988</v>
      </c>
      <c r="R482" s="16" t="inlineStr">
        <is>
          <t>P/B 2.57 · EV/EBITDA 16.9× · FCF yld 3% · net debt 20% of mcap · rev +0% · op margin 21%</t>
        </is>
      </c>
      <c r="S482" s="16" t="inlineStr"/>
      <c r="T482" s="16" t="inlineStr">
        <is>
          <t>Political Trades</t>
        </is>
      </c>
    </row>
    <row r="483">
      <c r="A483" s="6" t="inlineStr">
        <is>
          <t>QCOM</t>
        </is>
      </c>
      <c r="B483" s="14" t="inlineStr">
        <is>
          <t>QUALCOMM Incorporated</t>
        </is>
      </c>
      <c r="C483" s="14" t="inlineStr">
        <is>
          <t>Technology</t>
        </is>
      </c>
      <c r="D483" s="14" t="n">
        <v>207050</v>
      </c>
      <c r="E483" s="14" t="n">
        <v>7.49</v>
      </c>
      <c r="F483" s="14" t="n">
        <v>22.5</v>
      </c>
      <c r="G483" s="14" t="n">
        <v>16.2</v>
      </c>
      <c r="H483" s="14" t="inlineStr">
        <is>
          <t>5%</t>
        </is>
      </c>
      <c r="I483" s="14" t="inlineStr">
        <is>
          <t>-3%</t>
        </is>
      </c>
      <c r="J483" s="14" t="n">
        <v>0.8</v>
      </c>
      <c r="K483" s="14" t="inlineStr">
        <is>
          <t>5%</t>
        </is>
      </c>
      <c r="L483" s="14" t="inlineStr">
        <is>
          <t>23%</t>
        </is>
      </c>
      <c r="M483" s="14" t="inlineStr">
        <is>
          <t>37%</t>
        </is>
      </c>
      <c r="N483" s="14" t="inlineStr">
        <is>
          <t>-4%</t>
        </is>
      </c>
      <c r="O483" s="14" t="n">
        <v>14.9</v>
      </c>
      <c r="P483" s="14" t="inlineStr">
        <is>
          <t>55%</t>
        </is>
      </c>
      <c r="Q483" s="14" t="n">
        <v>3280843</v>
      </c>
      <c r="R483" s="14" t="inlineStr">
        <is>
          <t>P/B 7.49 · EV/EBITDA 16.2× · FCF yld 5% · net debt 3% of mcap · rev +5% · op margin 23% · buying back 4%/yr</t>
        </is>
      </c>
      <c r="S483" s="14" t="inlineStr"/>
      <c r="T483" s="14" t="inlineStr">
        <is>
          <t>Political Trades</t>
        </is>
      </c>
    </row>
    <row r="484">
      <c r="A484" s="8" t="inlineStr">
        <is>
          <t>MCD</t>
        </is>
      </c>
      <c r="B484" s="16" t="inlineStr">
        <is>
          <t>McDonald's Corporation</t>
        </is>
      </c>
      <c r="C484" s="16" t="inlineStr">
        <is>
          <t>Consumer Cycli</t>
        </is>
      </c>
      <c r="D484" s="16" t="n">
        <v>168070</v>
      </c>
      <c r="E484" s="16" t="n"/>
      <c r="F484" s="16" t="n">
        <v>19.2</v>
      </c>
      <c r="G484" s="16" t="n">
        <v>14.8</v>
      </c>
      <c r="H484" s="16" t="inlineStr">
        <is>
          <t>5%</t>
        </is>
      </c>
      <c r="I484" s="16" t="n"/>
      <c r="J484" s="16" t="n">
        <v>3.6</v>
      </c>
      <c r="K484" s="16" t="inlineStr">
        <is>
          <t>6%</t>
        </is>
      </c>
      <c r="L484" s="16" t="inlineStr">
        <is>
          <t>46%</t>
        </is>
      </c>
      <c r="M484" s="16" t="inlineStr">
        <is>
          <t>-561%</t>
        </is>
      </c>
      <c r="N484" s="16" t="inlineStr">
        <is>
          <t>-1%</t>
        </is>
      </c>
      <c r="O484" s="16" t="n">
        <v>7.8</v>
      </c>
      <c r="P484" s="16" t="inlineStr">
        <is>
          <t>1%</t>
        </is>
      </c>
      <c r="Q484" s="16" t="n">
        <v>1093080</v>
      </c>
      <c r="R484" s="16" t="inlineStr">
        <is>
          <t>EV/EBITDA 14.8× · FCF yld 5% · rev +6% · op margin 46%</t>
        </is>
      </c>
      <c r="S484" s="16" t="inlineStr">
        <is>
          <t>negative equity</t>
        </is>
      </c>
      <c r="T484" s="16" t="inlineStr">
        <is>
          <t>Political Trades</t>
        </is>
      </c>
    </row>
    <row r="485">
      <c r="A485" s="6" t="inlineStr">
        <is>
          <t>BA</t>
        </is>
      </c>
      <c r="B485" s="14" t="inlineStr">
        <is>
          <t>The Boeing Company</t>
        </is>
      </c>
      <c r="C485" s="14" t="inlineStr">
        <is>
          <t>Industrials</t>
        </is>
      </c>
      <c r="D485" s="14" t="n">
        <v>160050</v>
      </c>
      <c r="E485" s="14" t="n">
        <v>26.24</v>
      </c>
      <c r="F485" s="14" t="n">
        <v>74.8</v>
      </c>
      <c r="G485" s="14" t="n">
        <v>28.2</v>
      </c>
      <c r="H485" s="14" t="inlineStr">
        <is>
          <t>-0%</t>
        </is>
      </c>
      <c r="I485" s="14" t="inlineStr">
        <is>
          <t>-16%</t>
        </is>
      </c>
      <c r="J485" s="14" t="n">
        <v>5.6</v>
      </c>
      <c r="K485" s="14" t="inlineStr">
        <is>
          <t>25%</t>
        </is>
      </c>
      <c r="L485" s="14" t="inlineStr">
        <is>
          <t>-5%</t>
        </is>
      </c>
      <c r="M485" s="14" t="inlineStr">
        <is>
          <t>105%</t>
        </is>
      </c>
      <c r="N485" s="14" t="inlineStr">
        <is>
          <t>5%</t>
        </is>
      </c>
      <c r="O485" s="14" t="n">
        <v>-2</v>
      </c>
      <c r="P485" s="14" t="inlineStr">
        <is>
          <t>33%</t>
        </is>
      </c>
      <c r="Q485" s="14" t="n">
        <v>1245277</v>
      </c>
      <c r="R485" s="14" t="inlineStr">
        <is>
          <t>P/B 26.24 · EV/EBITDA 28.2× · FCF yld -0% · net debt 16% of mcap · rev +25% · op margin -5% · diluting 5%/yr · interest cover -2.0× ⚠</t>
        </is>
      </c>
      <c r="S485" s="14" t="inlineStr"/>
      <c r="T485" s="14" t="inlineStr">
        <is>
          <t>Political Trades</t>
        </is>
      </c>
    </row>
    <row r="486">
      <c r="A486" s="8" t="inlineStr">
        <is>
          <t>INTU</t>
        </is>
      </c>
      <c r="B486" s="16" t="inlineStr">
        <is>
          <t>Intuit Inc.</t>
        </is>
      </c>
      <c r="C486" s="16" t="inlineStr">
        <is>
          <t>Technology</t>
        </is>
      </c>
      <c r="D486" s="16" t="n">
        <v>78861</v>
      </c>
      <c r="E486" s="16" t="n">
        <v>3.82</v>
      </c>
      <c r="F486" s="16" t="n">
        <v>17.5</v>
      </c>
      <c r="G486" s="16" t="n">
        <v>11.3</v>
      </c>
      <c r="H486" s="16" t="inlineStr">
        <is>
          <t>11%</t>
        </is>
      </c>
      <c r="I486" s="16" t="inlineStr">
        <is>
          <t>-0%</t>
        </is>
      </c>
      <c r="J486" s="16" t="n">
        <v>0.5</v>
      </c>
      <c r="K486" s="16" t="inlineStr">
        <is>
          <t>17%</t>
        </is>
      </c>
      <c r="L486" s="16" t="inlineStr">
        <is>
          <t>29%</t>
        </is>
      </c>
      <c r="M486" s="16" t="inlineStr">
        <is>
          <t>23%</t>
        </is>
      </c>
      <c r="N486" s="16" t="inlineStr">
        <is>
          <t>-1%</t>
        </is>
      </c>
      <c r="O486" s="16" t="n">
        <v>16.6</v>
      </c>
      <c r="P486" s="16" t="inlineStr">
        <is>
          <t>8%</t>
        </is>
      </c>
      <c r="Q486" s="16" t="n">
        <v>1438138</v>
      </c>
      <c r="R486" s="16" t="inlineStr">
        <is>
          <t>P/B 3.82 · EV/EBITDA 11.3× · FCF yld 11% · net debt 0% of mcap · rev +17% · op margin 29%</t>
        </is>
      </c>
      <c r="S486" s="16" t="inlineStr"/>
      <c r="T486" s="16" t="inlineStr">
        <is>
          <t>Political Trades</t>
        </is>
      </c>
    </row>
    <row r="487">
      <c r="A487" s="6" t="inlineStr">
        <is>
          <t>TDG</t>
        </is>
      </c>
      <c r="B487" s="14" t="inlineStr">
        <is>
          <t>TransDigm Group Incorp</t>
        </is>
      </c>
      <c r="C487" s="14" t="inlineStr">
        <is>
          <t>Industrials</t>
        </is>
      </c>
      <c r="D487" s="14" t="n">
        <v>62346</v>
      </c>
      <c r="E487" s="14" t="n"/>
      <c r="F487" s="14" t="n">
        <v>33.6</v>
      </c>
      <c r="G487" s="14" t="n">
        <v>18.6</v>
      </c>
      <c r="H487" s="14" t="inlineStr">
        <is>
          <t>3%</t>
        </is>
      </c>
      <c r="I487" s="14" t="n"/>
      <c r="J487" s="14" t="n">
        <v>6.1</v>
      </c>
      <c r="K487" s="14" t="inlineStr">
        <is>
          <t>13%</t>
        </is>
      </c>
      <c r="L487" s="14" t="inlineStr">
        <is>
          <t>46%</t>
        </is>
      </c>
      <c r="M487" s="14" t="inlineStr">
        <is>
          <t>-21%</t>
        </is>
      </c>
      <c r="N487" s="14" t="inlineStr">
        <is>
          <t>0%</t>
        </is>
      </c>
      <c r="O487" s="14" t="n">
        <v>2.4</v>
      </c>
      <c r="P487" s="14" t="inlineStr">
        <is>
          <t>11%</t>
        </is>
      </c>
      <c r="Q487" s="14" t="n">
        <v>446347</v>
      </c>
      <c r="R487" s="14" t="inlineStr">
        <is>
          <t>EV/EBITDA 18.6× · FCF yld 3% · rev +13% · op margin 46%</t>
        </is>
      </c>
      <c r="S487" s="14" t="inlineStr">
        <is>
          <t>negative equity</t>
        </is>
      </c>
      <c r="T487" s="14" t="inlineStr">
        <is>
          <t>Political Trades</t>
        </is>
      </c>
    </row>
    <row r="488">
      <c r="A488" s="8" t="inlineStr">
        <is>
          <t>TTD</t>
        </is>
      </c>
      <c r="B488" s="16" t="inlineStr">
        <is>
          <t>The Trade Desk, Inc.</t>
        </is>
      </c>
      <c r="C488" s="16" t="inlineStr">
        <is>
          <t xml:space="preserve">Communication </t>
        </is>
      </c>
      <c r="D488" s="16" t="n">
        <v>5962</v>
      </c>
      <c r="E488" s="16" t="n">
        <v>2.32</v>
      </c>
      <c r="F488" s="16" t="n">
        <v>15.2</v>
      </c>
      <c r="G488" s="16" t="n">
        <v>6.6</v>
      </c>
      <c r="H488" s="16" t="inlineStr">
        <is>
          <t>14%</t>
        </is>
      </c>
      <c r="I488" s="16" t="inlineStr">
        <is>
          <t>18%</t>
        </is>
      </c>
      <c r="J488" s="16" t="n">
        <v>-0.9</v>
      </c>
      <c r="K488" s="16" t="inlineStr">
        <is>
          <t>12%</t>
        </is>
      </c>
      <c r="L488" s="16" t="inlineStr">
        <is>
          <t>20%</t>
        </is>
      </c>
      <c r="M488" s="16" t="inlineStr">
        <is>
          <t>16%</t>
        </is>
      </c>
      <c r="N488" s="16" t="inlineStr">
        <is>
          <t>-5%</t>
        </is>
      </c>
      <c r="O488" s="16" t="n">
        <v>47.9</v>
      </c>
      <c r="P488" s="16" t="inlineStr">
        <is>
          <t>0%</t>
        </is>
      </c>
      <c r="Q488" s="16" t="n">
        <v>286491</v>
      </c>
      <c r="R488" s="16" t="inlineStr">
        <is>
          <t>P/B 2.32 · EV/EBITDA 6.6× · FCF yld 14% · net cash 18% of mcap · rev +12% · op margin 20% · buying back 5%/yr</t>
        </is>
      </c>
      <c r="S488" s="16" t="inlineStr"/>
      <c r="T488" s="16" t="inlineStr">
        <is>
          <t>Political Trades</t>
        </is>
      </c>
    </row>
    <row r="489">
      <c r="A489" s="6" t="inlineStr">
        <is>
          <t>KO</t>
        </is>
      </c>
      <c r="B489" s="14" t="inlineStr">
        <is>
          <t>The Coca-Cola Company</t>
        </is>
      </c>
      <c r="C489" s="14" t="inlineStr">
        <is>
          <t>Consumer Defen</t>
        </is>
      </c>
      <c r="D489" s="14" t="n">
        <v>379915</v>
      </c>
      <c r="E489" s="14" t="n">
        <v>10.51</v>
      </c>
      <c r="F489" s="14" t="n">
        <v>26.4</v>
      </c>
      <c r="G489" s="14" t="n">
        <v>20.6</v>
      </c>
      <c r="H489" s="14" t="inlineStr">
        <is>
          <t>4%</t>
        </is>
      </c>
      <c r="I489" s="14" t="inlineStr">
        <is>
          <t>-7%</t>
        </is>
      </c>
      <c r="J489" s="14" t="n">
        <v>1.5</v>
      </c>
      <c r="K489" s="14" t="inlineStr">
        <is>
          <t>7%</t>
        </is>
      </c>
      <c r="L489" s="14" t="inlineStr">
        <is>
          <t>30%</t>
        </is>
      </c>
      <c r="M489" s="14" t="inlineStr">
        <is>
          <t>43%</t>
        </is>
      </c>
      <c r="N489" s="14" t="inlineStr">
        <is>
          <t>-0%</t>
        </is>
      </c>
      <c r="O489" s="14" t="n">
        <v>9.5</v>
      </c>
      <c r="P489" s="14" t="inlineStr">
        <is>
          <t>85%</t>
        </is>
      </c>
      <c r="Q489" s="14" t="n">
        <v>1503293</v>
      </c>
      <c r="R489" s="14" t="inlineStr">
        <is>
          <t>P/B 10.51 · EV/EBITDA 20.6× · FCF yld 4% · net debt 7% of mcap · rev +7% · op margin 30%</t>
        </is>
      </c>
      <c r="S489" s="14" t="inlineStr"/>
      <c r="T489" s="14" t="inlineStr">
        <is>
          <t>Political Trades</t>
        </is>
      </c>
    </row>
    <row r="490">
      <c r="A490" s="8" t="inlineStr">
        <is>
          <t>AXP</t>
        </is>
      </c>
      <c r="B490" s="16" t="inlineStr">
        <is>
          <t>American Express Compa</t>
        </is>
      </c>
      <c r="C490" s="16" t="inlineStr">
        <is>
          <t>Financial Serv</t>
        </is>
      </c>
      <c r="D490" s="16" t="n">
        <v>204737</v>
      </c>
      <c r="E490" s="16" t="n">
        <v>5.97</v>
      </c>
      <c r="F490" s="16" t="n">
        <v>18.3</v>
      </c>
      <c r="G490" s="16" t="n">
        <v>8.800000000000001</v>
      </c>
      <c r="H490" s="16" t="inlineStr">
        <is>
          <t>7%</t>
        </is>
      </c>
      <c r="I490" s="16" t="inlineStr">
        <is>
          <t>-7%</t>
        </is>
      </c>
      <c r="J490" s="16" t="n">
        <v>0.6</v>
      </c>
      <c r="K490" s="16" t="inlineStr">
        <is>
          <t>9%</t>
        </is>
      </c>
      <c r="L490" s="16" t="inlineStr">
        <is>
          <t>27%</t>
        </is>
      </c>
      <c r="M490" s="16" t="inlineStr">
        <is>
          <t>34%</t>
        </is>
      </c>
      <c r="N490" s="16" t="inlineStr">
        <is>
          <t>-3%</t>
        </is>
      </c>
      <c r="O490" s="16" t="n">
        <v>2.8</v>
      </c>
      <c r="P490" s="16" t="inlineStr">
        <is>
          <t>13%</t>
        </is>
      </c>
      <c r="Q490" s="16" t="n">
        <v>889397</v>
      </c>
      <c r="R490" s="16" t="inlineStr">
        <is>
          <t>P/B 5.97 · P/E 18.3 · ROE 34% · div yld 1.2% · buying back 3%/yr (financial: book/earnings basis)</t>
        </is>
      </c>
      <c r="S490" s="16" t="inlineStr"/>
      <c r="T490" s="16" t="inlineStr">
        <is>
          <t>Political Trades</t>
        </is>
      </c>
    </row>
    <row r="491">
      <c r="A491" s="6" t="inlineStr">
        <is>
          <t>TXN</t>
        </is>
      </c>
      <c r="B491" s="14" t="inlineStr">
        <is>
          <t>Texas Instruments Inco</t>
        </is>
      </c>
      <c r="C491" s="14" t="inlineStr">
        <is>
          <t>Technology</t>
        </is>
      </c>
      <c r="D491" s="14" t="n">
        <v>247645</v>
      </c>
      <c r="E491" s="14" t="n">
        <v>13.75</v>
      </c>
      <c r="F491" s="14" t="n">
        <v>41.2</v>
      </c>
      <c r="G491" s="14" t="n">
        <v>28.5</v>
      </c>
      <c r="H491" s="14" t="inlineStr">
        <is>
          <t>2%</t>
        </is>
      </c>
      <c r="I491" s="14" t="inlineStr">
        <is>
          <t>-3%</t>
        </is>
      </c>
      <c r="J491" s="14" t="n">
        <v>1.1</v>
      </c>
      <c r="K491" s="14" t="inlineStr">
        <is>
          <t>17%</t>
        </is>
      </c>
      <c r="L491" s="14" t="inlineStr">
        <is>
          <t>37%</t>
        </is>
      </c>
      <c r="M491" s="14" t="inlineStr">
        <is>
          <t>36%</t>
        </is>
      </c>
      <c r="N491" s="14" t="inlineStr">
        <is>
          <t>1%</t>
        </is>
      </c>
      <c r="O491" s="14" t="n">
        <v>12.9</v>
      </c>
      <c r="P491" s="14" t="inlineStr">
        <is>
          <t>65%</t>
        </is>
      </c>
      <c r="Q491" s="14" t="n">
        <v>2125756</v>
      </c>
      <c r="R491" s="14" t="inlineStr">
        <is>
          <t>P/B 13.75 · EV/EBITDA 28.5× · FCF yld 2% · net debt 3% of mcap · rev +17% · op margin 37%</t>
        </is>
      </c>
      <c r="S491" s="14" t="inlineStr"/>
      <c r="T491" s="14" t="inlineStr">
        <is>
          <t>Political Trades</t>
        </is>
      </c>
    </row>
    <row r="492">
      <c r="A492" s="8" t="inlineStr">
        <is>
          <t>ADP</t>
        </is>
      </c>
      <c r="B492" s="16" t="inlineStr">
        <is>
          <t>Automatic Data Process</t>
        </is>
      </c>
      <c r="C492" s="16" t="inlineStr">
        <is>
          <t>Technology</t>
        </is>
      </c>
      <c r="D492" s="16" t="n">
        <v>106633</v>
      </c>
      <c r="E492" s="16" t="n">
        <v>16.79</v>
      </c>
      <c r="F492" s="16" t="n">
        <v>24.2</v>
      </c>
      <c r="G492" s="16" t="n">
        <v>16.8</v>
      </c>
      <c r="H492" s="16" t="inlineStr">
        <is>
          <t>5%</t>
        </is>
      </c>
      <c r="I492" s="16" t="inlineStr">
        <is>
          <t>-1%</t>
        </is>
      </c>
      <c r="J492" s="16" t="n">
        <v>0.2</v>
      </c>
      <c r="K492" s="16" t="inlineStr">
        <is>
          <t>7%</t>
        </is>
      </c>
      <c r="L492" s="16" t="inlineStr">
        <is>
          <t>19%</t>
        </is>
      </c>
      <c r="M492" s="16" t="inlineStr">
        <is>
          <t>70%</t>
        </is>
      </c>
      <c r="N492" s="16" t="inlineStr">
        <is>
          <t>-1%</t>
        </is>
      </c>
      <c r="O492" s="16" t="n">
        <v>8.9</v>
      </c>
      <c r="P492" s="16" t="inlineStr">
        <is>
          <t>74%</t>
        </is>
      </c>
      <c r="Q492" s="16" t="n">
        <v>677305</v>
      </c>
      <c r="R492" s="16" t="inlineStr">
        <is>
          <t>P/B 16.79 · EV/EBITDA 16.8× · FCF yld 5% · net debt 1% of mcap · rev +7% · op margin 19%</t>
        </is>
      </c>
      <c r="S492" s="16" t="inlineStr"/>
      <c r="T492" s="16" t="inlineStr">
        <is>
          <t>Political Trades</t>
        </is>
      </c>
    </row>
    <row r="493">
      <c r="A493" s="6" t="inlineStr">
        <is>
          <t>ORCL</t>
        </is>
      </c>
      <c r="B493" s="14" t="inlineStr">
        <is>
          <t>Oracle Corporation</t>
        </is>
      </c>
      <c r="C493" s="14" t="inlineStr">
        <is>
          <t>Technology</t>
        </is>
      </c>
      <c r="D493" s="14" t="n">
        <v>424834</v>
      </c>
      <c r="E493" s="14" t="n">
        <v>11.04</v>
      </c>
      <c r="F493" s="14" t="n">
        <v>22.4</v>
      </c>
      <c r="G493" s="14" t="n">
        <v>14.2</v>
      </c>
      <c r="H493" s="14" t="inlineStr">
        <is>
          <t>-7%</t>
        </is>
      </c>
      <c r="I493" s="14" t="inlineStr">
        <is>
          <t>-29%</t>
        </is>
      </c>
      <c r="J493" s="14" t="n">
        <v>3.2</v>
      </c>
      <c r="K493" s="14" t="inlineStr">
        <is>
          <t>11%</t>
        </is>
      </c>
      <c r="L493" s="14" t="inlineStr">
        <is>
          <t>32%</t>
        </is>
      </c>
      <c r="M493" s="14" t="inlineStr">
        <is>
          <t>43%</t>
        </is>
      </c>
      <c r="N493" s="14" t="inlineStr">
        <is>
          <t>2%</t>
        </is>
      </c>
      <c r="O493" s="14" t="n">
        <v>4.6</v>
      </c>
      <c r="P493" s="14" t="inlineStr">
        <is>
          <t>16%</t>
        </is>
      </c>
      <c r="Q493" s="14" t="n">
        <v>4520320</v>
      </c>
      <c r="R493" s="14" t="inlineStr">
        <is>
          <t>P/B 11.04 · EV/EBITDA 14.2× · FCF yld -7% · net debt 29% of mcap · rev +11% · op margin 32%</t>
        </is>
      </c>
      <c r="S493" s="14" t="inlineStr"/>
      <c r="T493" s="14" t="inlineStr">
        <is>
          <t>Political Trades</t>
        </is>
      </c>
    </row>
    <row r="494">
      <c r="A494" s="8" t="inlineStr">
        <is>
          <t>PGR</t>
        </is>
      </c>
      <c r="B494" s="16" t="inlineStr">
        <is>
          <t>The Progressive Corpor</t>
        </is>
      </c>
      <c r="C494" s="16" t="inlineStr">
        <is>
          <t>Financial Serv</t>
        </is>
      </c>
      <c r="D494" s="16" t="n">
        <v>119809</v>
      </c>
      <c r="E494" s="16" t="n">
        <v>3.39</v>
      </c>
      <c r="F494" s="16" t="n">
        <v>10.2</v>
      </c>
      <c r="G494" s="16" t="n">
        <v>8.199999999999999</v>
      </c>
      <c r="H494" s="16" t="inlineStr">
        <is>
          <t>14%</t>
        </is>
      </c>
      <c r="I494" s="16" t="inlineStr">
        <is>
          <t>72%</t>
        </is>
      </c>
      <c r="J494" s="16" t="n">
        <v>0.5</v>
      </c>
      <c r="K494" s="16" t="inlineStr">
        <is>
          <t>11%</t>
        </is>
      </c>
      <c r="L494" s="16" t="inlineStr">
        <is>
          <t>16%</t>
        </is>
      </c>
      <c r="M494" s="16" t="inlineStr">
        <is>
          <t>35%</t>
        </is>
      </c>
      <c r="N494" s="16" t="inlineStr">
        <is>
          <t>-1%</t>
        </is>
      </c>
      <c r="O494" s="16" t="n">
        <v>49.8</v>
      </c>
      <c r="P494" s="16" t="inlineStr">
        <is>
          <t>29%</t>
        </is>
      </c>
      <c r="Q494" s="16" t="n">
        <v>613052</v>
      </c>
      <c r="R494" s="16" t="inlineStr">
        <is>
          <t>P/B 3.39 · P/E 10.2 · ROE 35% · div yld 6.8% (financial: book/earnings basis)</t>
        </is>
      </c>
      <c r="S494" s="16" t="inlineStr"/>
      <c r="T494" s="16" t="inlineStr">
        <is>
          <t>Political Trades</t>
        </is>
      </c>
    </row>
    <row r="495">
      <c r="A495" s="6" t="inlineStr">
        <is>
          <t>CVX</t>
        </is>
      </c>
      <c r="B495" s="14" t="inlineStr">
        <is>
          <t>Chevron Corporation</t>
        </is>
      </c>
      <c r="C495" s="14" t="inlineStr">
        <is>
          <t>Energy</t>
        </is>
      </c>
      <c r="D495" s="14" t="n">
        <v>410628</v>
      </c>
      <c r="E495" s="14" t="n">
        <v>2.16</v>
      </c>
      <c r="F495" s="14" t="n">
        <v>19.6</v>
      </c>
      <c r="G495" s="14" t="n">
        <v>7.8</v>
      </c>
      <c r="H495" s="14" t="inlineStr">
        <is>
          <t>7%</t>
        </is>
      </c>
      <c r="I495" s="14" t="inlineStr">
        <is>
          <t>-7%</t>
        </is>
      </c>
      <c r="J495" s="14" t="n">
        <v>0.5</v>
      </c>
      <c r="K495" s="14" t="inlineStr">
        <is>
          <t>11%</t>
        </is>
      </c>
      <c r="L495" s="14" t="inlineStr">
        <is>
          <t>16%</t>
        </is>
      </c>
      <c r="M495" s="14" t="inlineStr">
        <is>
          <t>11%</t>
        </is>
      </c>
      <c r="N495" s="14" t="inlineStr">
        <is>
          <t>15%</t>
        </is>
      </c>
      <c r="O495" s="14" t="n">
        <v>23.1</v>
      </c>
      <c r="P495" s="14" t="inlineStr">
        <is>
          <t>84%</t>
        </is>
      </c>
      <c r="Q495" s="14" t="n">
        <v>1867317</v>
      </c>
      <c r="R495" s="14" t="inlineStr">
        <is>
          <t>P/B 2.16 · EV/EBITDA 7.8× · FCF yld 7% · net debt 7% of mcap · rev +11% · op margin 16% · diluting 15%/yr</t>
        </is>
      </c>
      <c r="S495" s="14" t="inlineStr"/>
      <c r="T495" s="14" t="inlineStr">
        <is>
          <t>Political Trades</t>
        </is>
      </c>
    </row>
    <row r="496">
      <c r="A496" s="8" t="inlineStr">
        <is>
          <t>CB</t>
        </is>
      </c>
      <c r="B496" s="16" t="inlineStr">
        <is>
          <t>Chubb Limited</t>
        </is>
      </c>
      <c r="C496" s="16" t="inlineStr">
        <is>
          <t>Financial Serv</t>
        </is>
      </c>
      <c r="D496" s="16" t="n">
        <v>130175</v>
      </c>
      <c r="E496" s="16" t="n">
        <v>1.73</v>
      </c>
      <c r="F496" s="16" t="n">
        <v>11.8</v>
      </c>
      <c r="G496" s="16" t="n">
        <v>11.8</v>
      </c>
      <c r="H496" s="16" t="inlineStr">
        <is>
          <t>12%</t>
        </is>
      </c>
      <c r="I496" s="16" t="inlineStr">
        <is>
          <t>-8%</t>
        </is>
      </c>
      <c r="J496" s="16" t="n">
        <v>1.3</v>
      </c>
      <c r="K496" s="16" t="inlineStr">
        <is>
          <t>8%</t>
        </is>
      </c>
      <c r="L496" s="16" t="inlineStr">
        <is>
          <t>18%</t>
        </is>
      </c>
      <c r="M496" s="16" t="inlineStr">
        <is>
          <t>15%</t>
        </is>
      </c>
      <c r="N496" s="16" t="inlineStr">
        <is>
          <t>-3%</t>
        </is>
      </c>
      <c r="O496" s="16" t="n">
        <v>14.1</v>
      </c>
      <c r="P496" s="16" t="inlineStr">
        <is>
          <t>72%</t>
        </is>
      </c>
      <c r="Q496" s="16" t="n">
        <v>592353</v>
      </c>
      <c r="R496" s="16" t="inlineStr">
        <is>
          <t>P/B 1.73 · P/E 11.8 · ROE 15% · div yld 1.2% · buying back 3%/yr (financial: book/earnings basis)</t>
        </is>
      </c>
      <c r="S496" s="16" t="inlineStr"/>
      <c r="T496" s="16" t="inlineStr">
        <is>
          <t>Political Trades</t>
        </is>
      </c>
    </row>
    <row r="497">
      <c r="A497" s="6" t="inlineStr">
        <is>
          <t>GS</t>
        </is>
      </c>
      <c r="B497" s="14" t="inlineStr">
        <is>
          <t>The Goldman Sachs Grou</t>
        </is>
      </c>
      <c r="C497" s="14" t="inlineStr">
        <is>
          <t>Financial Serv</t>
        </is>
      </c>
      <c r="D497" s="14" t="n">
        <v>277142</v>
      </c>
      <c r="E497" s="14" t="n">
        <v>2.26</v>
      </c>
      <c r="F497" s="14" t="n">
        <v>14.3</v>
      </c>
      <c r="G497" s="14" t="n">
        <v>26.5</v>
      </c>
      <c r="H497" s="14" t="inlineStr">
        <is>
          <t>-15%</t>
        </is>
      </c>
      <c r="I497" s="14" t="inlineStr">
        <is>
          <t>2%</t>
        </is>
      </c>
      <c r="J497" s="14" t="n">
        <v>17.7</v>
      </c>
      <c r="K497" s="14" t="inlineStr">
        <is>
          <t>-7%</t>
        </is>
      </c>
      <c r="L497" s="14" t="inlineStr">
        <is>
          <t>25%</t>
        </is>
      </c>
      <c r="M497" s="14" t="inlineStr">
        <is>
          <t>17%</t>
        </is>
      </c>
      <c r="N497" s="14" t="inlineStr">
        <is>
          <t>-4%</t>
        </is>
      </c>
      <c r="O497" s="14" t="n">
        <v>0.4</v>
      </c>
      <c r="P497" s="14" t="inlineStr">
        <is>
          <t>48%</t>
        </is>
      </c>
      <c r="Q497" s="14" t="n">
        <v>1984998</v>
      </c>
      <c r="R497" s="14" t="inlineStr">
        <is>
          <t>P/B 2.26 · P/E 14.3 · ROE 17% · div yld 1.9% · buying back 4%/yr (financial: book/earnings basis)</t>
        </is>
      </c>
      <c r="S497" s="14" t="inlineStr"/>
      <c r="T497" s="14" t="inlineStr">
        <is>
          <t>Political Trades</t>
        </is>
      </c>
    </row>
    <row r="498">
      <c r="A498" s="8" t="inlineStr">
        <is>
          <t>AMGN</t>
        </is>
      </c>
      <c r="B498" s="16" t="inlineStr">
        <is>
          <t>Amgen Inc.</t>
        </is>
      </c>
      <c r="C498" s="16" t="inlineStr">
        <is>
          <t>Healthcare</t>
        </is>
      </c>
      <c r="D498" s="16" t="n">
        <v>218974</v>
      </c>
      <c r="E498" s="16" t="n">
        <v>18.73</v>
      </c>
      <c r="F498" s="16" t="n">
        <v>25.2</v>
      </c>
      <c r="G498" s="16" t="n">
        <v>16</v>
      </c>
      <c r="H498" s="16" t="inlineStr">
        <is>
          <t>5%</t>
        </is>
      </c>
      <c r="I498" s="16" t="inlineStr">
        <is>
          <t>-20%</t>
        </is>
      </c>
      <c r="J498" s="16" t="n">
        <v>2.6</v>
      </c>
      <c r="K498" s="16" t="inlineStr">
        <is>
          <t>9%</t>
        </is>
      </c>
      <c r="L498" s="16" t="inlineStr">
        <is>
          <t>33%</t>
        </is>
      </c>
      <c r="M498" s="16" t="inlineStr">
        <is>
          <t>89%</t>
        </is>
      </c>
      <c r="N498" s="16" t="inlineStr">
        <is>
          <t>1%</t>
        </is>
      </c>
      <c r="O498" s="16" t="n">
        <v>4.7</v>
      </c>
      <c r="P498" s="16" t="inlineStr">
        <is>
          <t>77%</t>
        </is>
      </c>
      <c r="Q498" s="16" t="n">
        <v>1119221</v>
      </c>
      <c r="R498" s="16" t="inlineStr">
        <is>
          <t>P/B 18.73 · EV/EBITDA 16.0× · FCF yld 5% · net debt 20% of mcap · rev +9% · op margin 33%</t>
        </is>
      </c>
      <c r="S498" s="16" t="inlineStr"/>
      <c r="T498" s="16" t="inlineStr">
        <is>
          <t>Political Trades</t>
        </is>
      </c>
    </row>
    <row r="499">
      <c r="A499" s="6" t="inlineStr">
        <is>
          <t>PWR</t>
        </is>
      </c>
      <c r="B499" s="14" t="inlineStr">
        <is>
          <t>Quanta Services, Inc.</t>
        </is>
      </c>
      <c r="C499" s="14" t="inlineStr">
        <is>
          <t>Industrials</t>
        </is>
      </c>
      <c r="D499" s="14" t="n">
        <v>95780</v>
      </c>
      <c r="E499" s="14" t="n">
        <v>9.94</v>
      </c>
      <c r="F499" s="14" t="n">
        <v>72.09999999999999</v>
      </c>
      <c r="G499" s="14" t="n">
        <v>33.5</v>
      </c>
      <c r="H499" s="14" t="inlineStr">
        <is>
          <t>3%</t>
        </is>
      </c>
      <c r="I499" s="14" t="inlineStr">
        <is>
          <t>-6%</t>
        </is>
      </c>
      <c r="J499" s="14" t="n">
        <v>2</v>
      </c>
      <c r="K499" s="14" t="inlineStr">
        <is>
          <t>26%</t>
        </is>
      </c>
      <c r="L499" s="14" t="inlineStr">
        <is>
          <t>6%</t>
        </is>
      </c>
      <c r="M499" s="14" t="inlineStr">
        <is>
          <t>15%</t>
        </is>
      </c>
      <c r="N499" s="14" t="inlineStr">
        <is>
          <t>1%</t>
        </is>
      </c>
      <c r="O499" s="14" t="n">
        <v>6.9</v>
      </c>
      <c r="P499" s="14" t="inlineStr">
        <is>
          <t>62%</t>
        </is>
      </c>
      <c r="Q499" s="14" t="n">
        <v>741581</v>
      </c>
      <c r="R499" s="14" t="inlineStr">
        <is>
          <t>P/B 9.94 · EV/EBITDA 33.5× · FCF yld 3% · net debt 6% of mcap · rev +26% · op margin 6%</t>
        </is>
      </c>
      <c r="S499" s="14" t="inlineStr"/>
      <c r="T499" s="14" t="inlineStr">
        <is>
          <t>Political Trades</t>
        </is>
      </c>
    </row>
    <row r="500">
      <c r="A500" s="8" t="inlineStr">
        <is>
          <t>TER</t>
        </is>
      </c>
      <c r="B500" s="16" t="inlineStr">
        <is>
          <t>Teradyne, Inc.</t>
        </is>
      </c>
      <c r="C500" s="16" t="inlineStr">
        <is>
          <t>Technology</t>
        </is>
      </c>
      <c r="D500" s="16" t="n">
        <v>60183</v>
      </c>
      <c r="E500" s="16" t="n">
        <v>17.51</v>
      </c>
      <c r="F500" s="16" t="n">
        <v>52.8</v>
      </c>
      <c r="G500" s="16" t="n">
        <v>41.7</v>
      </c>
      <c r="H500" s="16" t="inlineStr">
        <is>
          <t>1%</t>
        </is>
      </c>
      <c r="I500" s="16" t="inlineStr">
        <is>
          <t>0%</t>
        </is>
      </c>
      <c r="J500" s="16" t="n">
        <v>-0.2</v>
      </c>
      <c r="K500" s="16" t="inlineStr">
        <is>
          <t>58%</t>
        </is>
      </c>
      <c r="L500" s="16" t="inlineStr">
        <is>
          <t>31%</t>
        </is>
      </c>
      <c r="M500" s="16" t="inlineStr">
        <is>
          <t>38%</t>
        </is>
      </c>
      <c r="N500" s="16" t="inlineStr">
        <is>
          <t>-2%</t>
        </is>
      </c>
      <c r="O500" s="16" t="n">
        <v>106.3</v>
      </c>
      <c r="P500" s="16" t="inlineStr">
        <is>
          <t>71%</t>
        </is>
      </c>
      <c r="Q500" s="16" t="n">
        <v>1442318</v>
      </c>
      <c r="R500" s="16" t="inlineStr">
        <is>
          <t>P/B 17.51 · EV/EBITDA 41.7× · FCF yld 1% · net cash 0% of mcap · rev +58% · op margin 31% · buying back 2%/yr</t>
        </is>
      </c>
      <c r="S500" s="16" t="inlineStr"/>
      <c r="T500" s="16" t="inlineStr">
        <is>
          <t>Political Trades</t>
        </is>
      </c>
    </row>
    <row r="501">
      <c r="A501" s="6" t="inlineStr">
        <is>
          <t>URI</t>
        </is>
      </c>
      <c r="B501" s="14" t="inlineStr">
        <is>
          <t>United Rentals, Inc.</t>
        </is>
      </c>
      <c r="C501" s="14" t="inlineStr">
        <is>
          <t>Industrials</t>
        </is>
      </c>
      <c r="D501" s="14" t="n">
        <v>65607</v>
      </c>
      <c r="E501" s="14" t="n">
        <v>7.11</v>
      </c>
      <c r="F501" s="14" t="n">
        <v>25.1</v>
      </c>
      <c r="G501" s="14" t="n">
        <v>11.8</v>
      </c>
      <c r="H501" s="14" t="inlineStr">
        <is>
          <t>1%</t>
        </is>
      </c>
      <c r="I501" s="14" t="inlineStr">
        <is>
          <t>-23%</t>
        </is>
      </c>
      <c r="J501" s="14" t="n">
        <v>2.3</v>
      </c>
      <c r="K501" s="14" t="inlineStr">
        <is>
          <t>7%</t>
        </is>
      </c>
      <c r="L501" s="14" t="inlineStr">
        <is>
          <t>25%</t>
        </is>
      </c>
      <c r="M501" s="14" t="inlineStr">
        <is>
          <t>29%</t>
        </is>
      </c>
      <c r="N501" s="14" t="inlineStr">
        <is>
          <t>-2%</t>
        </is>
      </c>
      <c r="O501" s="14" t="n">
        <v>5.8</v>
      </c>
      <c r="P501" s="14" t="inlineStr">
        <is>
          <t>74%</t>
        </is>
      </c>
      <c r="Q501" s="14" t="n">
        <v>504294</v>
      </c>
      <c r="R501" s="14" t="inlineStr">
        <is>
          <t>P/B 7.11 · EV/EBITDA 11.8× · FCF yld 1% · net debt 23% of mcap · rev +7% · op margin 25% · buying back 2%/yr</t>
        </is>
      </c>
      <c r="S501" s="14" t="inlineStr"/>
      <c r="T501" s="14" t="inlineStr">
        <is>
          <t>Political Trades</t>
        </is>
      </c>
    </row>
    <row r="502">
      <c r="A502" s="8" t="inlineStr">
        <is>
          <t>PANW</t>
        </is>
      </c>
      <c r="B502" s="16" t="inlineStr">
        <is>
          <t>Palo Alto Networks, In</t>
        </is>
      </c>
      <c r="C502" s="16" t="inlineStr">
        <is>
          <t>Technology</t>
        </is>
      </c>
      <c r="D502" s="16" t="n">
        <v>315580</v>
      </c>
      <c r="E502" s="16" t="n">
        <v>11.41</v>
      </c>
      <c r="F502" s="16" t="n">
        <v>848.2</v>
      </c>
      <c r="G502" s="16" t="n">
        <v>598</v>
      </c>
      <c r="H502" s="16" t="inlineStr">
        <is>
          <t>1%</t>
        </is>
      </c>
      <c r="I502" s="16" t="inlineStr">
        <is>
          <t>0%</t>
        </is>
      </c>
      <c r="J502" s="16" t="n">
        <v>-0</v>
      </c>
      <c r="K502" s="16" t="inlineStr">
        <is>
          <t>15%</t>
        </is>
      </c>
      <c r="L502" s="16" t="inlineStr">
        <is>
          <t>6%</t>
        </is>
      </c>
      <c r="M502" s="16" t="inlineStr">
        <is>
          <t>2%</t>
        </is>
      </c>
      <c r="N502" s="16" t="inlineStr">
        <is>
          <t>1%</t>
        </is>
      </c>
      <c r="O502" s="16" t="n">
        <v>0</v>
      </c>
      <c r="P502" s="16" t="inlineStr">
        <is>
          <t>96%</t>
        </is>
      </c>
      <c r="Q502" s="16" t="n">
        <v>2866285</v>
      </c>
      <c r="R502" s="16" t="inlineStr">
        <is>
          <t>P/B 11.41 · P/S 27.7 · FCF yld 1% · net cash 0% of mcap · rev +15% · op margin 6%</t>
        </is>
      </c>
      <c r="S502" s="16" t="inlineStr"/>
      <c r="T502" s="16" t="inlineStr">
        <is>
          <t>Political Trades</t>
        </is>
      </c>
    </row>
    <row r="503">
      <c r="A503" s="6" t="inlineStr">
        <is>
          <t>PG</t>
        </is>
      </c>
      <c r="B503" s="14" t="inlineStr">
        <is>
          <t>The Procter &amp; Gamble C</t>
        </is>
      </c>
      <c r="C503" s="14" t="inlineStr">
        <is>
          <t>Consumer Defen</t>
        </is>
      </c>
      <c r="D503" s="14" t="n">
        <v>350258</v>
      </c>
      <c r="E503" s="14" t="n">
        <v>6.43</v>
      </c>
      <c r="F503" s="14" t="n">
        <v>21.8</v>
      </c>
      <c r="G503" s="14" t="n">
        <v>17.7</v>
      </c>
      <c r="H503" s="14" t="inlineStr">
        <is>
          <t>5%</t>
        </is>
      </c>
      <c r="I503" s="14" t="inlineStr">
        <is>
          <t>-7%</t>
        </is>
      </c>
      <c r="J503" s="14" t="n">
        <v>1.2</v>
      </c>
      <c r="K503" s="14" t="inlineStr">
        <is>
          <t>1%</t>
        </is>
      </c>
      <c r="L503" s="14" t="inlineStr">
        <is>
          <t>23%</t>
        </is>
      </c>
      <c r="M503" s="14" t="inlineStr">
        <is>
          <t>30%</t>
        </is>
      </c>
      <c r="N503" s="14" t="inlineStr">
        <is>
          <t>-1%</t>
        </is>
      </c>
      <c r="O503" s="14" t="n">
        <v>22.5</v>
      </c>
      <c r="P503" s="14" t="inlineStr">
        <is>
          <t>33%</t>
        </is>
      </c>
      <c r="Q503" s="14" t="n">
        <v>1311285</v>
      </c>
      <c r="R503" s="14" t="inlineStr">
        <is>
          <t>P/B 6.43 · EV/EBITDA 17.7× · FCF yld 5% · net debt 7% of mcap · rev +1% · op margin 23%</t>
        </is>
      </c>
      <c r="S503" s="14" t="inlineStr"/>
      <c r="T503" s="14" t="inlineStr">
        <is>
          <t>Political Trades</t>
        </is>
      </c>
    </row>
    <row r="504">
      <c r="A504" s="8" t="inlineStr">
        <is>
          <t>NFE</t>
        </is>
      </c>
      <c r="B504" s="16" t="inlineStr">
        <is>
          <t>New Fortress Energy In</t>
        </is>
      </c>
      <c r="C504" s="16" t="inlineStr">
        <is>
          <t>Energy</t>
        </is>
      </c>
      <c r="D504" s="16" t="n">
        <v>41</v>
      </c>
      <c r="E504" s="16" t="n"/>
      <c r="F504" s="16" t="n">
        <v>-0</v>
      </c>
      <c r="G504" s="16" t="n">
        <v>-12.2</v>
      </c>
      <c r="H504" s="16" t="n"/>
      <c r="I504" s="16" t="n"/>
      <c r="J504" s="16" t="n">
        <v>-12.1</v>
      </c>
      <c r="K504" s="16" t="inlineStr">
        <is>
          <t>-38%</t>
        </is>
      </c>
      <c r="L504" s="16" t="inlineStr">
        <is>
          <t>-22%</t>
        </is>
      </c>
      <c r="M504" s="16" t="inlineStr">
        <is>
          <t>-1738%</t>
        </is>
      </c>
      <c r="N504" s="16" t="inlineStr">
        <is>
          <t>4%</t>
        </is>
      </c>
      <c r="O504" s="16" t="n">
        <v>-0.3</v>
      </c>
      <c r="P504" s="16" t="inlineStr">
        <is>
          <t>0%</t>
        </is>
      </c>
      <c r="Q504" s="16" t="n">
        <v>741</v>
      </c>
      <c r="R504" s="16" t="inlineStr">
        <is>
          <t>P/S 0.0 · rev -38% · op margin -22% · diluting 4%/yr</t>
        </is>
      </c>
      <c r="S504" s="16" t="inlineStr">
        <is>
          <t>negative equity; FCF yield &gt;100% (check)</t>
        </is>
      </c>
      <c r="T504" s="16" t="inlineStr">
        <is>
          <t>Re-Rate Catalysts</t>
        </is>
      </c>
    </row>
    <row r="505">
      <c r="A505" s="6" t="inlineStr">
        <is>
          <t>UGI</t>
        </is>
      </c>
      <c r="B505" s="14" t="inlineStr">
        <is>
          <t>UGI Corporation</t>
        </is>
      </c>
      <c r="C505" s="14" t="inlineStr">
        <is>
          <t>Utilities</t>
        </is>
      </c>
      <c r="D505" s="14" t="n">
        <v>7868</v>
      </c>
      <c r="E505" s="14" t="n">
        <v>1.51</v>
      </c>
      <c r="F505" s="14" t="n">
        <v>11.8</v>
      </c>
      <c r="G505" s="14" t="n">
        <v>9.199999999999999</v>
      </c>
      <c r="H505" s="14" t="inlineStr">
        <is>
          <t>2%</t>
        </is>
      </c>
      <c r="I505" s="14" t="inlineStr">
        <is>
          <t>-79%</t>
        </is>
      </c>
      <c r="J505" s="14" t="n">
        <v>4.1</v>
      </c>
      <c r="K505" s="14" t="inlineStr">
        <is>
          <t>1%</t>
        </is>
      </c>
      <c r="L505" s="14" t="inlineStr">
        <is>
          <t>14%</t>
        </is>
      </c>
      <c r="M505" s="14" t="inlineStr">
        <is>
          <t>13%</t>
        </is>
      </c>
      <c r="N505" s="14" t="inlineStr">
        <is>
          <t>2%</t>
        </is>
      </c>
      <c r="O505" s="14" t="n">
        <v>4.8</v>
      </c>
      <c r="P505" s="14" t="inlineStr">
        <is>
          <t>52%</t>
        </is>
      </c>
      <c r="Q505" s="14" t="n">
        <v>69983</v>
      </c>
      <c r="R505" s="14" t="inlineStr">
        <is>
          <t>P/B 1.51 · EV/EBITDA 9.2× · FCF yld 2% · net debt 79% of mcap · rev +1% · op margin 14%</t>
        </is>
      </c>
      <c r="S505" s="14" t="inlineStr"/>
      <c r="T505" s="14" t="inlineStr">
        <is>
          <t>Re-Rate Catalysts</t>
        </is>
      </c>
    </row>
    <row r="506">
      <c r="A506" s="8" t="inlineStr">
        <is>
          <t>GTE</t>
        </is>
      </c>
      <c r="B506" s="16" t="inlineStr">
        <is>
          <t>Gran Tierra Energy Inc</t>
        </is>
      </c>
      <c r="C506" s="16" t="inlineStr">
        <is>
          <t>Energy</t>
        </is>
      </c>
      <c r="D506" s="16" t="n">
        <v>354</v>
      </c>
      <c r="E506" s="16" t="n">
        <v>2.67</v>
      </c>
      <c r="F506" s="16" t="n">
        <v>-1.4</v>
      </c>
      <c r="G506" s="16" t="n">
        <v>21.3</v>
      </c>
      <c r="H506" s="16" t="inlineStr">
        <is>
          <t>76%</t>
        </is>
      </c>
      <c r="I506" s="16" t="inlineStr">
        <is>
          <t>-140%</t>
        </is>
      </c>
      <c r="J506" s="16" t="n">
        <v>12.4</v>
      </c>
      <c r="K506" s="16" t="inlineStr">
        <is>
          <t>2%</t>
        </is>
      </c>
      <c r="L506" s="16" t="inlineStr">
        <is>
          <t>2%</t>
        </is>
      </c>
      <c r="M506" s="16" t="inlineStr">
        <is>
          <t>-122%</t>
        </is>
      </c>
      <c r="N506" s="16" t="inlineStr">
        <is>
          <t>0%</t>
        </is>
      </c>
      <c r="O506" s="16" t="n">
        <v>0.1</v>
      </c>
      <c r="P506" s="16" t="inlineStr">
        <is>
          <t>82%</t>
        </is>
      </c>
      <c r="Q506" s="16" t="n">
        <v>7101</v>
      </c>
      <c r="R506" s="16" t="inlineStr">
        <is>
          <t>P/B 2.67 · EV/EBITDA 21.3× · FCF yld 76% · net debt 140% of mcap · rev +2% · op margin 2% · interest cover 0.1× ⚠</t>
        </is>
      </c>
      <c r="S506" s="16" t="inlineStr"/>
      <c r="T506" s="16" t="inlineStr">
        <is>
          <t>Re-Rate Catalysts</t>
        </is>
      </c>
    </row>
    <row r="507">
      <c r="A507" s="6" t="inlineStr">
        <is>
          <t>KOS</t>
        </is>
      </c>
      <c r="B507" s="14" t="inlineStr">
        <is>
          <t>Kosmos Energy Ltd.</t>
        </is>
      </c>
      <c r="C507" s="14" t="inlineStr">
        <is>
          <t>Energy</t>
        </is>
      </c>
      <c r="D507" s="14" t="n">
        <v>1301</v>
      </c>
      <c r="E507" s="14" t="n">
        <v>1.84</v>
      </c>
      <c r="F507" s="14" t="n">
        <v>-2.2</v>
      </c>
      <c r="G507" s="14" t="n">
        <v>19</v>
      </c>
      <c r="H507" s="14" t="inlineStr">
        <is>
          <t>-1%</t>
        </is>
      </c>
      <c r="I507" s="14" t="inlineStr">
        <is>
          <t>-202%</t>
        </is>
      </c>
      <c r="J507" s="14" t="n">
        <v>12.7</v>
      </c>
      <c r="K507" s="14" t="inlineStr">
        <is>
          <t>10%</t>
        </is>
      </c>
      <c r="L507" s="14" t="inlineStr">
        <is>
          <t>20%</t>
        </is>
      </c>
      <c r="M507" s="14" t="inlineStr">
        <is>
          <t>-82%</t>
        </is>
      </c>
      <c r="N507" s="14" t="inlineStr">
        <is>
          <t>26%</t>
        </is>
      </c>
      <c r="O507" s="14" t="n">
        <v>1.5</v>
      </c>
      <c r="P507" s="14" t="inlineStr">
        <is>
          <t>74%</t>
        </is>
      </c>
      <c r="Q507" s="14" t="n">
        <v>36949</v>
      </c>
      <c r="R507" s="14" t="inlineStr">
        <is>
          <t>P/B 1.84 · EV/EBITDA 19.0× · FCF yld -1% · net debt 202% of mcap · rev +10% · op margin 20% · diluting 26%/yr · interest cover 1.5× ⚠</t>
        </is>
      </c>
      <c r="S507" s="14" t="inlineStr"/>
      <c r="T507" s="14" t="inlineStr">
        <is>
          <t>Re-Rate Catalysts</t>
        </is>
      </c>
    </row>
    <row r="508">
      <c r="A508" s="8" t="inlineStr">
        <is>
          <t>TIPT</t>
        </is>
      </c>
      <c r="B508" s="16" t="inlineStr">
        <is>
          <t>Tiptree Inc.</t>
        </is>
      </c>
      <c r="C508" s="16" t="inlineStr">
        <is>
          <t>Financial Serv</t>
        </is>
      </c>
      <c r="D508" s="16" t="n">
        <v>650</v>
      </c>
      <c r="E508" s="16" t="n">
        <v>0.72</v>
      </c>
      <c r="F508" s="16" t="n">
        <v>1.7</v>
      </c>
      <c r="G508" s="16" t="n">
        <v>1.7</v>
      </c>
      <c r="H508" s="16" t="inlineStr">
        <is>
          <t>25%</t>
        </is>
      </c>
      <c r="I508" s="16" t="inlineStr">
        <is>
          <t>169%</t>
        </is>
      </c>
      <c r="J508" s="16" t="n">
        <v>5.6</v>
      </c>
      <c r="K508" s="16" t="n"/>
      <c r="L508" s="16" t="inlineStr">
        <is>
          <t>14%</t>
        </is>
      </c>
      <c r="M508" s="16" t="inlineStr">
        <is>
          <t>68%</t>
        </is>
      </c>
      <c r="N508" s="16" t="inlineStr">
        <is>
          <t>-3%</t>
        </is>
      </c>
      <c r="O508" s="16" t="n">
        <v>6.7</v>
      </c>
      <c r="P508" s="16" t="inlineStr">
        <is>
          <t>16%</t>
        </is>
      </c>
      <c r="Q508" s="16" t="n">
        <v>4158</v>
      </c>
      <c r="R508" s="16" t="inlineStr">
        <is>
          <t>P/B 0.72 · P/E 1.7 · ROE 68% · div yld 1.4% · buying back 3%/yr (financial: book/earnings basis)</t>
        </is>
      </c>
      <c r="S508" s="16" t="inlineStr"/>
      <c r="T508" s="16" t="inlineStr">
        <is>
          <t>Re-Rate Catalysts</t>
        </is>
      </c>
    </row>
    <row r="509">
      <c r="A509" s="6" t="inlineStr">
        <is>
          <t>SOLV</t>
        </is>
      </c>
      <c r="B509" s="14" t="inlineStr">
        <is>
          <t>Solventum Corporation</t>
        </is>
      </c>
      <c r="C509" s="14" t="inlineStr">
        <is>
          <t>Healthcare</t>
        </is>
      </c>
      <c r="D509" s="14" t="n">
        <v>15445</v>
      </c>
      <c r="E509" s="14" t="n">
        <v>3.22</v>
      </c>
      <c r="F509" s="14" t="n">
        <v>10.7</v>
      </c>
      <c r="G509" s="14" t="n">
        <v>7.8</v>
      </c>
      <c r="H509" s="14" t="inlineStr">
        <is>
          <t>-1%</t>
        </is>
      </c>
      <c r="I509" s="14" t="inlineStr">
        <is>
          <t>-32%</t>
        </is>
      </c>
      <c r="J509" s="14" t="n">
        <v>1.9</v>
      </c>
      <c r="K509" s="14" t="inlineStr">
        <is>
          <t>-1%</t>
        </is>
      </c>
      <c r="L509" s="14" t="inlineStr">
        <is>
          <t>25%</t>
        </is>
      </c>
      <c r="M509" s="14" t="inlineStr">
        <is>
          <t>29%</t>
        </is>
      </c>
      <c r="N509" s="14" t="inlineStr">
        <is>
          <t>-0%</t>
        </is>
      </c>
      <c r="O509" s="14" t="n">
        <v>7.8</v>
      </c>
      <c r="P509" s="14" t="inlineStr">
        <is>
          <t>84%</t>
        </is>
      </c>
      <c r="Q509" s="14" t="n">
        <v>135660</v>
      </c>
      <c r="R509" s="14" t="inlineStr">
        <is>
          <t>P/B 3.22 · EV/EBITDA 7.8× · FCF yld -1% · net debt 32% of mcap · rev -1% · op margin 25%</t>
        </is>
      </c>
      <c r="S509" s="14" t="inlineStr"/>
      <c r="T509" s="14" t="inlineStr">
        <is>
          <t>Re-Rate Catalysts</t>
        </is>
      </c>
    </row>
    <row r="510">
      <c r="A510" s="8" t="inlineStr">
        <is>
          <t>PLTK</t>
        </is>
      </c>
      <c r="B510" s="16" t="inlineStr">
        <is>
          <t>Playtika Holding Corp.</t>
        </is>
      </c>
      <c r="C510" s="16" t="inlineStr">
        <is>
          <t>Technology</t>
        </is>
      </c>
      <c r="D510" s="16" t="n">
        <v>858</v>
      </c>
      <c r="E510" s="16" t="n"/>
      <c r="F510" s="16" t="n">
        <v>-3</v>
      </c>
      <c r="G510" s="16" t="n">
        <v>11.4</v>
      </c>
      <c r="H510" s="16" t="inlineStr">
        <is>
          <t>50%</t>
        </is>
      </c>
      <c r="I510" s="16" t="n"/>
      <c r="J510" s="16" t="n">
        <v>8.1</v>
      </c>
      <c r="K510" s="16" t="inlineStr">
        <is>
          <t>6%</t>
        </is>
      </c>
      <c r="L510" s="16" t="inlineStr">
        <is>
          <t>1%</t>
        </is>
      </c>
      <c r="M510" s="16" t="inlineStr">
        <is>
          <t>83%</t>
        </is>
      </c>
      <c r="N510" s="16" t="inlineStr">
        <is>
          <t>2%</t>
        </is>
      </c>
      <c r="O510" s="16" t="n">
        <v>0.1</v>
      </c>
      <c r="P510" s="16" t="inlineStr">
        <is>
          <t>7%</t>
        </is>
      </c>
      <c r="Q510" s="16" t="n">
        <v>3529</v>
      </c>
      <c r="R510" s="16" t="inlineStr">
        <is>
          <t>EV/EBITDA 11.4× · FCF yld 50% · rev +6% · op margin 1%</t>
        </is>
      </c>
      <c r="S510" s="16" t="inlineStr">
        <is>
          <t>negative equity</t>
        </is>
      </c>
      <c r="T510" s="16" t="inlineStr">
        <is>
          <t>Re-Rate Catalysts</t>
        </is>
      </c>
    </row>
    <row r="511">
      <c r="A511" s="6" t="inlineStr">
        <is>
          <t>LRHC</t>
        </is>
      </c>
      <c r="B511" s="14" t="inlineStr">
        <is>
          <t>La Rosa Holdings Corp.</t>
        </is>
      </c>
      <c r="C511" s="14" t="inlineStr">
        <is>
          <t>Real Estate</t>
        </is>
      </c>
      <c r="D511" s="14" t="n">
        <v>1</v>
      </c>
      <c r="E511" s="14" t="n"/>
      <c r="F511" s="14" t="n">
        <v>-0</v>
      </c>
      <c r="G511" s="14" t="n">
        <v>-0.8</v>
      </c>
      <c r="H511" s="14" t="n"/>
      <c r="I511" s="14" t="n"/>
      <c r="J511" s="14" t="n">
        <v>-0.8</v>
      </c>
      <c r="K511" s="14" t="n"/>
      <c r="L511" s="14" t="inlineStr">
        <is>
          <t>-19%</t>
        </is>
      </c>
      <c r="M511" s="14" t="inlineStr">
        <is>
          <t>636%</t>
        </is>
      </c>
      <c r="N511" s="14" t="n"/>
      <c r="O511" s="14" t="n">
        <v>59.5</v>
      </c>
      <c r="P511" s="14" t="inlineStr">
        <is>
          <t>0%</t>
        </is>
      </c>
      <c r="Q511" s="14" t="n">
        <v>382</v>
      </c>
      <c r="R511" s="14" t="inlineStr">
        <is>
          <t>P/S 0.0 · op margin -19%</t>
        </is>
      </c>
      <c r="S511" s="14" t="inlineStr">
        <is>
          <t>negative equity; FCF yield &gt;100% (check); new entity / merger: history not comparable</t>
        </is>
      </c>
      <c r="T511" s="14" t="inlineStr">
        <is>
          <t>Re-Rate Catalysts</t>
        </is>
      </c>
    </row>
    <row r="512">
      <c r="A512" s="8" t="inlineStr">
        <is>
          <t>NRG</t>
        </is>
      </c>
      <c r="B512" s="16" t="inlineStr">
        <is>
          <t>NRG Energy, Inc.</t>
        </is>
      </c>
      <c r="C512" s="16" t="inlineStr">
        <is>
          <t>Utilities</t>
        </is>
      </c>
      <c r="D512" s="16" t="n">
        <v>21396</v>
      </c>
      <c r="E512" s="16" t="n">
        <v>4.41</v>
      </c>
      <c r="F512" s="16" t="n">
        <v>26.3</v>
      </c>
      <c r="G512" s="16" t="n">
        <v>10.5</v>
      </c>
      <c r="H512" s="16" t="inlineStr">
        <is>
          <t>2%</t>
        </is>
      </c>
      <c r="I512" s="16" t="inlineStr">
        <is>
          <t>-109%</t>
        </is>
      </c>
      <c r="J512" s="16" t="n">
        <v>5.5</v>
      </c>
      <c r="K512" s="16" t="inlineStr">
        <is>
          <t>25%</t>
        </is>
      </c>
      <c r="L512" s="16" t="inlineStr">
        <is>
          <t>5%</t>
        </is>
      </c>
      <c r="M512" s="16" t="inlineStr">
        <is>
          <t>25%</t>
        </is>
      </c>
      <c r="N512" s="16" t="inlineStr">
        <is>
          <t>7%</t>
        </is>
      </c>
      <c r="O512" s="16" t="n">
        <v>-15.3</v>
      </c>
      <c r="P512" s="16" t="inlineStr">
        <is>
          <t>1%</t>
        </is>
      </c>
      <c r="Q512" s="16" t="n">
        <v>282071</v>
      </c>
      <c r="R512" s="16" t="inlineStr">
        <is>
          <t>P/B 4.41 · EV/EBITDA 10.5× · FCF yld 2% · net debt 109% of mcap · rev +25% · op margin 5% · diluting 7%/yr · interest cover -15.3× ⚠</t>
        </is>
      </c>
      <c r="S512" s="16" t="inlineStr"/>
      <c r="T512" s="16" t="inlineStr">
        <is>
          <t>Re-Rate Catalysts</t>
        </is>
      </c>
    </row>
    <row r="513">
      <c r="A513" s="6" t="inlineStr">
        <is>
          <t>GBCS</t>
        </is>
      </c>
      <c r="B513" s="14" t="inlineStr">
        <is>
          <t>Selectis Health, Inc.</t>
        </is>
      </c>
      <c r="C513" s="14" t="inlineStr">
        <is>
          <t>Healthcare</t>
        </is>
      </c>
      <c r="D513" s="14" t="n">
        <v>18</v>
      </c>
      <c r="E513" s="14" t="n">
        <v>2.22</v>
      </c>
      <c r="F513" s="14" t="n">
        <v>1.2</v>
      </c>
      <c r="G513" s="14" t="n">
        <v>1.4</v>
      </c>
      <c r="H513" s="14" t="inlineStr">
        <is>
          <t>-17%</t>
        </is>
      </c>
      <c r="I513" s="14" t="inlineStr">
        <is>
          <t>-52%</t>
        </is>
      </c>
      <c r="J513" s="14" t="n">
        <v>0.5</v>
      </c>
      <c r="K513" s="14" t="inlineStr">
        <is>
          <t>-21%</t>
        </is>
      </c>
      <c r="L513" s="14" t="inlineStr">
        <is>
          <t>-12%</t>
        </is>
      </c>
      <c r="M513" s="14" t="inlineStr">
        <is>
          <t>-1607%</t>
        </is>
      </c>
      <c r="N513" s="14" t="inlineStr">
        <is>
          <t>13%</t>
        </is>
      </c>
      <c r="O513" s="14" t="n">
        <v>-1.9</v>
      </c>
      <c r="P513" s="14" t="inlineStr">
        <is>
          <t>99%</t>
        </is>
      </c>
      <c r="Q513" s="14" t="n">
        <v>25</v>
      </c>
      <c r="R513" s="14" t="inlineStr">
        <is>
          <t>P/B 2.22 · EV/EBITDA 1.4× · FCF yld -17% · net debt 52% of mcap · rev -21% · op margin -12% · diluting 13%/yr · interest cover -1.9× ⚠</t>
        </is>
      </c>
      <c r="S513" s="14" t="inlineStr"/>
      <c r="T513" s="14" t="inlineStr">
        <is>
          <t>Re-Rate Catalysts</t>
        </is>
      </c>
    </row>
    <row r="514">
      <c r="A514" s="8" t="inlineStr">
        <is>
          <t>KALV</t>
        </is>
      </c>
      <c r="B514" s="16" t="inlineStr">
        <is>
          <t>KalVista Pharmaceutica</t>
        </is>
      </c>
      <c r="C514" s="16" t="inlineStr">
        <is>
          <t>Healthcare</t>
        </is>
      </c>
      <c r="D514" s="16" t="n">
        <v>1438</v>
      </c>
      <c r="E514" s="16" t="n"/>
      <c r="F514" s="16" t="n">
        <v>-8.4</v>
      </c>
      <c r="G514" s="16" t="n">
        <v>-12.7</v>
      </c>
      <c r="H514" s="16" t="inlineStr">
        <is>
          <t>-4%</t>
        </is>
      </c>
      <c r="I514" s="16" t="n"/>
      <c r="J514" s="16" t="n">
        <v>-0.5</v>
      </c>
      <c r="K514" s="16" t="n"/>
      <c r="L514" s="16" t="inlineStr">
        <is>
          <t>-121%</t>
        </is>
      </c>
      <c r="M514" s="16" t="inlineStr">
        <is>
          <t>-1057%</t>
        </is>
      </c>
      <c r="N514" s="16" t="inlineStr">
        <is>
          <t>15%</t>
        </is>
      </c>
      <c r="O514" s="16" t="n">
        <v>-6.2</v>
      </c>
      <c r="P514" s="16" t="inlineStr">
        <is>
          <t>100%</t>
        </is>
      </c>
      <c r="Q514" s="16" t="n">
        <v>95500</v>
      </c>
      <c r="R514" s="16" t="inlineStr">
        <is>
          <t>P/S 12.4 · FCF yld -4% · op margin -121% · diluting 15%/yr</t>
        </is>
      </c>
      <c r="S514" s="16" t="inlineStr">
        <is>
          <t>negative equity</t>
        </is>
      </c>
      <c r="T514" s="16" t="inlineStr">
        <is>
          <t>Re-Rate Catalysts</t>
        </is>
      </c>
    </row>
    <row r="515">
      <c r="A515" s="6" t="inlineStr">
        <is>
          <t>CLRO</t>
        </is>
      </c>
      <c r="B515" s="14" t="inlineStr">
        <is>
          <t>ClearOne, Inc.</t>
        </is>
      </c>
      <c r="C515" s="14" t="inlineStr">
        <is>
          <t>Technology</t>
        </is>
      </c>
      <c r="D515" s="14" t="n">
        <v>12</v>
      </c>
      <c r="E515" s="14" t="n"/>
      <c r="F515" s="14" t="n">
        <v>-0.4</v>
      </c>
      <c r="G515" s="14" t="n">
        <v>-3.3</v>
      </c>
      <c r="H515" s="14" t="inlineStr">
        <is>
          <t>-54%</t>
        </is>
      </c>
      <c r="I515" s="14" t="n"/>
      <c r="J515" s="14" t="n">
        <v>-0.1</v>
      </c>
      <c r="K515" s="14" t="n"/>
      <c r="L515" s="14" t="inlineStr">
        <is>
          <t>0%</t>
        </is>
      </c>
      <c r="M515" s="14" t="inlineStr">
        <is>
          <t>-2771%</t>
        </is>
      </c>
      <c r="N515" s="14" t="n"/>
      <c r="O515" s="14" t="n">
        <v>-49.5</v>
      </c>
      <c r="P515" s="14" t="inlineStr">
        <is>
          <t>12%</t>
        </is>
      </c>
      <c r="Q515" s="14" t="n">
        <v>13768</v>
      </c>
      <c r="R515" s="14" t="inlineStr">
        <is>
          <t>P/S 0.0 · FCF yld -54% · op margin 0%</t>
        </is>
      </c>
      <c r="S515" s="14" t="inlineStr">
        <is>
          <t>negative equity</t>
        </is>
      </c>
      <c r="T515" s="14" t="inlineStr">
        <is>
          <t>Tail Odds</t>
        </is>
      </c>
    </row>
    <row r="516">
      <c r="A516" s="8" t="inlineStr">
        <is>
          <t>FWDI</t>
        </is>
      </c>
      <c r="B516" s="16" t="inlineStr">
        <is>
          <t>Forward Industries, In</t>
        </is>
      </c>
      <c r="C516" s="16" t="inlineStr">
        <is>
          <t>Financial Serv</t>
        </is>
      </c>
      <c r="D516" s="16" t="n">
        <v>601</v>
      </c>
      <c r="E516" s="16" t="n">
        <v>1.27</v>
      </c>
      <c r="F516" s="16" t="n">
        <v>-0.7</v>
      </c>
      <c r="G516" s="16" t="n">
        <v>-1.4</v>
      </c>
      <c r="H516" s="16" t="inlineStr">
        <is>
          <t>-3%</t>
        </is>
      </c>
      <c r="I516" s="16" t="inlineStr">
        <is>
          <t>-18%</t>
        </is>
      </c>
      <c r="J516" s="16" t="n">
        <v>-0.2</v>
      </c>
      <c r="K516" s="16" t="inlineStr">
        <is>
          <t>95%</t>
        </is>
      </c>
      <c r="L516" s="16" t="inlineStr">
        <is>
          <t>-112%</t>
        </is>
      </c>
      <c r="M516" s="16" t="inlineStr">
        <is>
          <t>-131%</t>
        </is>
      </c>
      <c r="N516" s="16" t="n"/>
      <c r="O516" s="16" t="n">
        <v>-101</v>
      </c>
      <c r="P516" s="16" t="inlineStr">
        <is>
          <t>16%</t>
        </is>
      </c>
      <c r="Q516" s="16" t="n">
        <v>12763</v>
      </c>
      <c r="R516" s="16" t="inlineStr">
        <is>
          <t>P/B 1.27 · ROE -131% (financial: book/earnings basis)</t>
        </is>
      </c>
      <c r="S516" s="16" t="inlineStr"/>
      <c r="T516" s="16" t="inlineStr">
        <is>
          <t>Tail Odds</t>
        </is>
      </c>
    </row>
    <row r="517">
      <c r="A517" s="6" t="inlineStr">
        <is>
          <t>EXOZ</t>
        </is>
      </c>
      <c r="B517" s="14" t="inlineStr">
        <is>
          <t>eXoZymes, Inc.</t>
        </is>
      </c>
      <c r="C517" s="14" t="inlineStr">
        <is>
          <t>Healthcare</t>
        </is>
      </c>
      <c r="D517" s="14" t="n">
        <v>59</v>
      </c>
      <c r="E517" s="14" t="n">
        <v>16.23</v>
      </c>
      <c r="F517" s="14" t="n">
        <v>-5.2</v>
      </c>
      <c r="G517" s="14" t="n">
        <v>-5.1</v>
      </c>
      <c r="H517" s="14" t="inlineStr">
        <is>
          <t>-12%</t>
        </is>
      </c>
      <c r="I517" s="14" t="inlineStr">
        <is>
          <t>8%</t>
        </is>
      </c>
      <c r="J517" s="14" t="n">
        <v>0.4</v>
      </c>
      <c r="K517" s="14" t="n"/>
      <c r="L517" s="14" t="inlineStr">
        <is>
          <t>0%</t>
        </is>
      </c>
      <c r="M517" s="14" t="inlineStr">
        <is>
          <t>-292%</t>
        </is>
      </c>
      <c r="N517" s="14" t="inlineStr">
        <is>
          <t>3%</t>
        </is>
      </c>
      <c r="O517" s="14" t="n">
        <v>0</v>
      </c>
      <c r="P517" s="14" t="inlineStr">
        <is>
          <t>15%</t>
        </is>
      </c>
      <c r="Q517" s="14" t="n">
        <v>55</v>
      </c>
      <c r="R517" s="14" t="inlineStr">
        <is>
          <t>P/B 16.23 · P/S 0.0 · FCF yld -12% · net cash 8% of mcap · op margin 0% · diluting 3%/yr</t>
        </is>
      </c>
      <c r="S517" s="14" t="inlineStr"/>
      <c r="T517" s="14" t="inlineStr">
        <is>
          <t>Tail Odds</t>
        </is>
      </c>
    </row>
    <row r="518">
      <c r="A518" s="8" t="inlineStr">
        <is>
          <t>ADTX</t>
        </is>
      </c>
      <c r="B518" s="16" t="inlineStr">
        <is>
          <t>Aditxt, Inc.</t>
        </is>
      </c>
      <c r="C518" s="16" t="inlineStr">
        <is>
          <t>Healthcare</t>
        </is>
      </c>
      <c r="D518" s="16" t="n">
        <v>4</v>
      </c>
      <c r="E518" s="16" t="n"/>
      <c r="F518" s="16" t="n">
        <v>-0</v>
      </c>
      <c r="G518" s="16" t="n">
        <v>-0.2</v>
      </c>
      <c r="H518" s="16" t="n"/>
      <c r="I518" s="16" t="n"/>
      <c r="J518" s="16" t="n">
        <v>-0.1</v>
      </c>
      <c r="K518" s="16" t="inlineStr">
        <is>
          <t>-74%</t>
        </is>
      </c>
      <c r="L518" s="16" t="inlineStr">
        <is>
          <t>-127821%</t>
        </is>
      </c>
      <c r="M518" s="16" t="inlineStr">
        <is>
          <t>926%</t>
        </is>
      </c>
      <c r="N518" s="16" t="n"/>
      <c r="O518" s="16" t="n">
        <v>-8.800000000000001</v>
      </c>
      <c r="P518" s="16" t="inlineStr">
        <is>
          <t>0%</t>
        </is>
      </c>
      <c r="Q518" s="16" t="n">
        <v>1235</v>
      </c>
      <c r="R518" s="16" t="inlineStr">
        <is>
          <t>P/S 362.0 · rev -74%</t>
        </is>
      </c>
      <c r="S518" s="16" t="inlineStr">
        <is>
          <t>market-cap/share data inconsistent; FCF yield &gt;100% (check)</t>
        </is>
      </c>
      <c r="T518" s="16" t="inlineStr">
        <is>
          <t>Tail Odds</t>
        </is>
      </c>
    </row>
    <row r="519">
      <c r="A519" s="6" t="inlineStr">
        <is>
          <t>AMS</t>
        </is>
      </c>
      <c r="B519" s="14" t="inlineStr">
        <is>
          <t>American Shared Hospit</t>
        </is>
      </c>
      <c r="C519" s="14" t="inlineStr">
        <is>
          <t>Healthcare</t>
        </is>
      </c>
      <c r="D519" s="14" t="n">
        <v>10</v>
      </c>
      <c r="E519" s="14" t="n">
        <v>0.42</v>
      </c>
      <c r="F519" s="14" t="n">
        <v>-5.8</v>
      </c>
      <c r="G519" s="14" t="n">
        <v>7.7</v>
      </c>
      <c r="H519" s="14" t="inlineStr">
        <is>
          <t>36%</t>
        </is>
      </c>
      <c r="I519" s="14" t="inlineStr">
        <is>
          <t>-146%</t>
        </is>
      </c>
      <c r="J519" s="14" t="n">
        <v>4.5</v>
      </c>
      <c r="K519" s="14" t="inlineStr">
        <is>
          <t>4%</t>
        </is>
      </c>
      <c r="L519" s="14" t="inlineStr">
        <is>
          <t>-8%</t>
        </is>
      </c>
      <c r="M519" s="14" t="inlineStr">
        <is>
          <t>-7%</t>
        </is>
      </c>
      <c r="N519" s="14" t="inlineStr">
        <is>
          <t>4%</t>
        </is>
      </c>
      <c r="O519" s="14" t="n">
        <v>-2.5</v>
      </c>
      <c r="P519" s="14" t="inlineStr">
        <is>
          <t>11%</t>
        </is>
      </c>
      <c r="Q519" s="14" t="n">
        <v>132</v>
      </c>
      <c r="R519" s="14" t="inlineStr">
        <is>
          <t>P/B 0.42 · EV/EBITDA 7.7× · FCF yld 36% · net debt 146% of mcap · rev +4% · op margin -8% · diluting 4%/yr · interest cover -2.5× ⚠</t>
        </is>
      </c>
      <c r="S519" s="14" t="inlineStr"/>
      <c r="T519" s="14" t="inlineStr">
        <is>
          <t>Tail Odds</t>
        </is>
      </c>
    </row>
    <row r="520">
      <c r="A520" s="8" t="inlineStr">
        <is>
          <t>DRIO</t>
        </is>
      </c>
      <c r="B520" s="16" t="inlineStr">
        <is>
          <t>DarioHealth Corp.</t>
        </is>
      </c>
      <c r="C520" s="16" t="inlineStr">
        <is>
          <t>Healthcare</t>
        </is>
      </c>
      <c r="D520" s="16" t="n">
        <v>51</v>
      </c>
      <c r="E520" s="16" t="n">
        <v>0.92</v>
      </c>
      <c r="F520" s="16" t="n">
        <v>9.9</v>
      </c>
      <c r="G520" s="16" t="n">
        <v>-2.5</v>
      </c>
      <c r="H520" s="16" t="inlineStr">
        <is>
          <t>-50%</t>
        </is>
      </c>
      <c r="I520" s="16" t="inlineStr">
        <is>
          <t>-36%</t>
        </is>
      </c>
      <c r="J520" s="16" t="n">
        <v>-0.9</v>
      </c>
      <c r="K520" s="16" t="inlineStr">
        <is>
          <t>-23%</t>
        </is>
      </c>
      <c r="L520" s="16" t="inlineStr">
        <is>
          <t>-329%</t>
        </is>
      </c>
      <c r="M520" s="16" t="inlineStr">
        <is>
          <t>104%</t>
        </is>
      </c>
      <c r="N520" s="16" t="n"/>
      <c r="O520" s="16" t="n">
        <v>-12.4</v>
      </c>
      <c r="P520" s="16" t="inlineStr">
        <is>
          <t>9%</t>
        </is>
      </c>
      <c r="Q520" s="16" t="n">
        <v>138</v>
      </c>
      <c r="R520" s="16" t="inlineStr">
        <is>
          <t>P/B 0.92 · P/S 2.4 · FCF yld -50% · net debt 36% of mcap · rev -23% · op margin -329% · interest cover -12.4× ⚠</t>
        </is>
      </c>
      <c r="S520" s="16" t="inlineStr"/>
      <c r="T520" s="16" t="inlineStr">
        <is>
          <t>Tail Odds</t>
        </is>
      </c>
    </row>
    <row r="521">
      <c r="A521" s="6" t="inlineStr">
        <is>
          <t>BTAI</t>
        </is>
      </c>
      <c r="B521" s="14" t="inlineStr">
        <is>
          <t xml:space="preserve">BioXcel Therapeutics, </t>
        </is>
      </c>
      <c r="C521" s="14" t="inlineStr">
        <is>
          <t>Healthcare</t>
        </is>
      </c>
      <c r="D521" s="14" t="n">
        <v>2</v>
      </c>
      <c r="E521" s="14" t="n"/>
      <c r="F521" s="14" t="n">
        <v>-0</v>
      </c>
      <c r="G521" s="14" t="n">
        <v>-1.8</v>
      </c>
      <c r="H521" s="14" t="n"/>
      <c r="I521" s="14" t="n"/>
      <c r="J521" s="14" t="n">
        <v>-1.7</v>
      </c>
      <c r="K521" s="14" t="inlineStr">
        <is>
          <t>-15%</t>
        </is>
      </c>
      <c r="L521" s="14" t="inlineStr">
        <is>
          <t>-6014%</t>
        </is>
      </c>
      <c r="M521" s="14" t="inlineStr">
        <is>
          <t>70%</t>
        </is>
      </c>
      <c r="N521" s="14" t="inlineStr">
        <is>
          <t>56%</t>
        </is>
      </c>
      <c r="O521" s="14" t="n">
        <v>-2.6</v>
      </c>
      <c r="P521" s="14" t="inlineStr">
        <is>
          <t>31%</t>
        </is>
      </c>
      <c r="Q521" s="14" t="n">
        <v>174</v>
      </c>
      <c r="R521" s="14" t="inlineStr">
        <is>
          <t>P/S 3.1 · rev -15% · diluting 56%/yr</t>
        </is>
      </c>
      <c r="S521" s="14" t="inlineStr">
        <is>
          <t>market-cap/share data inconsistent; FCF yield &gt;100% (check)</t>
        </is>
      </c>
      <c r="T521" s="14" t="inlineStr">
        <is>
          <t>Tail Odds</t>
        </is>
      </c>
    </row>
    <row r="522">
      <c r="A522" s="8" t="inlineStr">
        <is>
          <t>GURE</t>
        </is>
      </c>
      <c r="B522" s="16" t="inlineStr">
        <is>
          <t>Gulf Resources, Inc.</t>
        </is>
      </c>
      <c r="C522" s="16" t="inlineStr">
        <is>
          <t>Basic Material</t>
        </is>
      </c>
      <c r="D522" s="16" t="n">
        <v>5</v>
      </c>
      <c r="E522" s="16" t="n"/>
      <c r="F522" s="16" t="n">
        <v>-0.1</v>
      </c>
      <c r="G522" s="16" t="n">
        <v>-0.6</v>
      </c>
      <c r="H522" s="16" t="inlineStr">
        <is>
          <t>24%</t>
        </is>
      </c>
      <c r="I522" s="16" t="n"/>
      <c r="J522" s="16" t="n">
        <v>-0.4</v>
      </c>
      <c r="K522" s="16" t="inlineStr">
        <is>
          <t>229%</t>
        </is>
      </c>
      <c r="L522" s="16" t="inlineStr">
        <is>
          <t>-20%</t>
        </is>
      </c>
      <c r="M522" s="16" t="inlineStr">
        <is>
          <t>-37%</t>
        </is>
      </c>
      <c r="N522" s="16" t="n"/>
      <c r="O522" s="16" t="n">
        <v>-11.1</v>
      </c>
      <c r="P522" s="16" t="inlineStr">
        <is>
          <t>13%</t>
        </is>
      </c>
      <c r="Q522" s="16" t="n">
        <v>33</v>
      </c>
      <c r="R522" s="16" t="inlineStr">
        <is>
          <t>P/S 0.2 · FCF yld 24% · rev +229% · op margin -20%</t>
        </is>
      </c>
      <c r="S522" s="16" t="inlineStr">
        <is>
          <t>market-cap/share data inconsistent; share-count history inconsistent (foreign line)</t>
        </is>
      </c>
      <c r="T522" s="16" t="inlineStr">
        <is>
          <t>Tail Odds</t>
        </is>
      </c>
    </row>
    <row r="523">
      <c r="A523" s="6" t="inlineStr">
        <is>
          <t>PLAG</t>
        </is>
      </c>
      <c r="B523" s="14" t="inlineStr">
        <is>
          <t xml:space="preserve">Planet Green Holdings </t>
        </is>
      </c>
      <c r="C523" s="14" t="inlineStr">
        <is>
          <t>Industrials</t>
        </is>
      </c>
      <c r="D523" s="14" t="n">
        <v>10</v>
      </c>
      <c r="E523" s="14" t="n"/>
      <c r="F523" s="14" t="n">
        <v>-0.2</v>
      </c>
      <c r="G523" s="14" t="n">
        <v>-0.6</v>
      </c>
      <c r="H523" s="14" t="n"/>
      <c r="I523" s="14" t="n"/>
      <c r="J523" s="14" t="n">
        <v>0</v>
      </c>
      <c r="K523" s="14" t="inlineStr">
        <is>
          <t>69%</t>
        </is>
      </c>
      <c r="L523" s="14" t="inlineStr">
        <is>
          <t>-202%</t>
        </is>
      </c>
      <c r="M523" s="14" t="inlineStr">
        <is>
          <t>1440%</t>
        </is>
      </c>
      <c r="N523" s="14" t="inlineStr">
        <is>
          <t>95%</t>
        </is>
      </c>
      <c r="O523" s="14" t="n">
        <v>-117.2</v>
      </c>
      <c r="P523" s="14" t="inlineStr">
        <is>
          <t>4%</t>
        </is>
      </c>
      <c r="Q523" s="14" t="n">
        <v>3479</v>
      </c>
      <c r="R523" s="14" t="inlineStr">
        <is>
          <t>P/S 1.2 · rev +69% · op margin -202% · diluting 95%/yr</t>
        </is>
      </c>
      <c r="S523" s="14" t="inlineStr">
        <is>
          <t>negative equity; FCF yield &gt;100% (check)</t>
        </is>
      </c>
      <c r="T523" s="14" t="inlineStr">
        <is>
          <t>Tail Odds</t>
        </is>
      </c>
    </row>
    <row r="524">
      <c r="A524" s="8" t="inlineStr">
        <is>
          <t>EMAT</t>
        </is>
      </c>
      <c r="B524" s="16" t="inlineStr">
        <is>
          <t>Evolution Metals &amp; Tec</t>
        </is>
      </c>
      <c r="C524" s="16" t="inlineStr">
        <is>
          <t>Basic Material</t>
        </is>
      </c>
      <c r="D524" s="16" t="n">
        <v>2011</v>
      </c>
      <c r="E524" s="16" t="n"/>
      <c r="F524" s="16" t="n">
        <v>-3.3</v>
      </c>
      <c r="G524" s="16" t="n">
        <v>-108.1</v>
      </c>
      <c r="H524" s="16" t="inlineStr">
        <is>
          <t>-1%</t>
        </is>
      </c>
      <c r="I524" s="16" t="n"/>
      <c r="J524" s="16" t="n">
        <v>-1.2</v>
      </c>
      <c r="K524" s="16" t="n"/>
      <c r="L524" s="16" t="inlineStr">
        <is>
          <t>-548%</t>
        </is>
      </c>
      <c r="M524" s="16" t="inlineStr">
        <is>
          <t>3278%</t>
        </is>
      </c>
      <c r="N524" s="16" t="inlineStr">
        <is>
          <t>37%</t>
        </is>
      </c>
      <c r="O524" s="16" t="n">
        <v>-12.6</v>
      </c>
      <c r="P524" s="16" t="inlineStr">
        <is>
          <t>6%</t>
        </is>
      </c>
      <c r="Q524" s="16" t="n">
        <v>1869</v>
      </c>
      <c r="R524" s="16" t="inlineStr">
        <is>
          <t>P/S 569.7 · FCF yld -1% · diluting 37%/yr</t>
        </is>
      </c>
      <c r="S524" s="16" t="inlineStr">
        <is>
          <t>negative equity</t>
        </is>
      </c>
      <c r="T524" s="16" t="inlineStr">
        <is>
          <t>Tail Odds</t>
        </is>
      </c>
    </row>
    <row r="525">
      <c r="A525" s="6" t="inlineStr">
        <is>
          <t>TSEOF</t>
        </is>
      </c>
      <c r="B525" s="14" t="inlineStr">
        <is>
          <t>Trinseo PLC</t>
        </is>
      </c>
      <c r="C525" s="14" t="inlineStr">
        <is>
          <t>Basic Material</t>
        </is>
      </c>
      <c r="D525" s="14" t="n">
        <v>0</v>
      </c>
      <c r="E525" s="14" t="n"/>
      <c r="F525" s="14" t="n">
        <v>-0</v>
      </c>
      <c r="G525" s="14" t="n">
        <v>1.3</v>
      </c>
      <c r="H525" s="14" t="n"/>
      <c r="I525" s="14" t="n"/>
      <c r="J525" s="14" t="n">
        <v>1.3</v>
      </c>
      <c r="K525" s="14" t="inlineStr">
        <is>
          <t>-9%</t>
        </is>
      </c>
      <c r="L525" s="14" t="inlineStr">
        <is>
          <t>-7%</t>
        </is>
      </c>
      <c r="M525" s="14" t="inlineStr">
        <is>
          <t>53%</t>
        </is>
      </c>
      <c r="N525" s="14" t="inlineStr">
        <is>
          <t>3%</t>
        </is>
      </c>
      <c r="O525" s="14" t="n">
        <v>-0.7</v>
      </c>
      <c r="P525" s="14" t="inlineStr">
        <is>
          <t>0%</t>
        </is>
      </c>
      <c r="Q525" s="14" t="n">
        <v>3</v>
      </c>
      <c r="R525" s="14" t="inlineStr">
        <is>
          <t>EV/EBITDA 1.3× · rev -9% · op margin -7% · diluting 3%/yr</t>
        </is>
      </c>
      <c r="S525" s="14" t="inlineStr">
        <is>
          <t>negative equity; FCF yield &gt;100% (check)</t>
        </is>
      </c>
      <c r="T525" s="14" t="inlineStr">
        <is>
          <t>Tail Odds</t>
        </is>
      </c>
    </row>
    <row r="526">
      <c r="A526" s="8" t="inlineStr">
        <is>
          <t>JTAI</t>
        </is>
      </c>
      <c r="B526" s="16" t="inlineStr">
        <is>
          <t>Jet.AI Inc.</t>
        </is>
      </c>
      <c r="C526" s="16" t="inlineStr">
        <is>
          <t>Technology</t>
        </is>
      </c>
      <c r="D526" s="16" t="n">
        <v>1</v>
      </c>
      <c r="E526" s="16" t="n"/>
      <c r="F526" s="16" t="n">
        <v>0</v>
      </c>
      <c r="G526" s="16" t="n">
        <v>-1.8</v>
      </c>
      <c r="H526" s="16" t="n"/>
      <c r="I526" s="16" t="n"/>
      <c r="J526" s="16" t="n">
        <v>-2</v>
      </c>
      <c r="K526" s="16" t="inlineStr">
        <is>
          <t>-18%</t>
        </is>
      </c>
      <c r="L526" s="16" t="inlineStr">
        <is>
          <t>-95%</t>
        </is>
      </c>
      <c r="M526" s="16" t="inlineStr">
        <is>
          <t>19%</t>
        </is>
      </c>
      <c r="N526" s="16" t="n"/>
      <c r="O526" s="16" t="n">
        <v>0</v>
      </c>
      <c r="P526" s="16" t="inlineStr">
        <is>
          <t>2%</t>
        </is>
      </c>
      <c r="Q526" s="16" t="n">
        <v>1907</v>
      </c>
      <c r="R526" s="16" t="inlineStr">
        <is>
          <t>P/S 0.1 · rev -18% · op margin -95%</t>
        </is>
      </c>
      <c r="S526" s="16" t="inlineStr">
        <is>
          <t>market-cap/share data inconsistent; FCF yield &gt;100% (check)</t>
        </is>
      </c>
      <c r="T526" s="16" t="inlineStr">
        <is>
          <t>Tail Odds</t>
        </is>
      </c>
    </row>
    <row r="527">
      <c r="A527" s="6" t="inlineStr">
        <is>
          <t>OBAI</t>
        </is>
      </c>
      <c r="B527" s="14" t="inlineStr">
        <is>
          <t>Our Bond, Inc.</t>
        </is>
      </c>
      <c r="C527" s="14" t="inlineStr">
        <is>
          <t>Technology</t>
        </is>
      </c>
      <c r="D527" s="14" t="n">
        <v>4</v>
      </c>
      <c r="E527" s="14" t="n"/>
      <c r="F527" s="14" t="n">
        <v>-0.3</v>
      </c>
      <c r="G527" s="14" t="n">
        <v>-0.9</v>
      </c>
      <c r="H527" s="14" t="n"/>
      <c r="I527" s="14" t="n"/>
      <c r="J527" s="14" t="n">
        <v>-0.6</v>
      </c>
      <c r="K527" s="14" t="n"/>
      <c r="L527" s="14" t="inlineStr">
        <is>
          <t>-152%</t>
        </is>
      </c>
      <c r="M527" s="14" t="inlineStr">
        <is>
          <t>134%</t>
        </is>
      </c>
      <c r="N527" s="14" t="inlineStr">
        <is>
          <t>45%</t>
        </is>
      </c>
      <c r="O527" s="14" t="n">
        <v>-9.199999999999999</v>
      </c>
      <c r="P527" s="14" t="inlineStr">
        <is>
          <t>0%</t>
        </is>
      </c>
      <c r="Q527" s="14" t="n">
        <v>2236</v>
      </c>
      <c r="R527" s="14" t="inlineStr">
        <is>
          <t>P/S 0.3 · op margin -152% · diluting 45%/yr</t>
        </is>
      </c>
      <c r="S527" s="14" t="inlineStr">
        <is>
          <t>FCF yield &gt;100% (check)</t>
        </is>
      </c>
      <c r="T527" s="14" t="inlineStr">
        <is>
          <t>Tail Odds</t>
        </is>
      </c>
    </row>
    <row r="528">
      <c r="A528" s="8" t="inlineStr">
        <is>
          <t>EDGM</t>
        </is>
      </c>
      <c r="B528" s="16" t="inlineStr">
        <is>
          <t>EdgeMode, Inc.</t>
        </is>
      </c>
      <c r="C528" s="16" t="inlineStr">
        <is>
          <t>Technology</t>
        </is>
      </c>
      <c r="D528" s="16" t="n">
        <v>1</v>
      </c>
      <c r="E528" s="16" t="n"/>
      <c r="F528" s="16" t="n">
        <v>-0.1</v>
      </c>
      <c r="G528" s="16" t="n">
        <v>-0.3</v>
      </c>
      <c r="H528" s="16" t="n"/>
      <c r="I528" s="16" t="n"/>
      <c r="J528" s="16" t="n">
        <v>-0.2</v>
      </c>
      <c r="K528" s="16" t="n"/>
      <c r="L528" s="16" t="inlineStr">
        <is>
          <t>0%</t>
        </is>
      </c>
      <c r="M528" s="16" t="inlineStr">
        <is>
          <t>64%</t>
        </is>
      </c>
      <c r="N528" s="16" t="inlineStr">
        <is>
          <t>87%</t>
        </is>
      </c>
      <c r="O528" s="16" t="n">
        <v>-3.2</v>
      </c>
      <c r="P528" s="16" t="inlineStr">
        <is>
          <t>0%</t>
        </is>
      </c>
      <c r="Q528" s="16" t="n">
        <v>11</v>
      </c>
      <c r="R528" s="16" t="inlineStr">
        <is>
          <t>P/S 0.0 · op margin 0% · diluting 87%/yr</t>
        </is>
      </c>
      <c r="S528" s="16" t="inlineStr">
        <is>
          <t>FCF yield &gt;100% (check)</t>
        </is>
      </c>
      <c r="T528" s="16" t="inlineStr">
        <is>
          <t>Tail Odds</t>
        </is>
      </c>
    </row>
    <row r="529">
      <c r="A529" s="6" t="inlineStr">
        <is>
          <t>AIRE</t>
        </is>
      </c>
      <c r="B529" s="14" t="inlineStr">
        <is>
          <t>reAlpha Tech Corp.</t>
        </is>
      </c>
      <c r="C529" s="14" t="inlineStr">
        <is>
          <t>Technology</t>
        </is>
      </c>
      <c r="D529" s="14" t="n">
        <v>8</v>
      </c>
      <c r="E529" s="14" t="n">
        <v>0.8100000000000001</v>
      </c>
      <c r="F529" s="14" t="n">
        <v>-0.4</v>
      </c>
      <c r="G529" s="14" t="n">
        <v>-0.2</v>
      </c>
      <c r="H529" s="14" t="n"/>
      <c r="I529" s="14" t="inlineStr">
        <is>
          <t>40%</t>
        </is>
      </c>
      <c r="J529" s="14" t="n">
        <v>0.2</v>
      </c>
      <c r="K529" s="14" t="n"/>
      <c r="L529" s="14" t="inlineStr">
        <is>
          <t>-447%</t>
        </is>
      </c>
      <c r="M529" s="14" t="inlineStr">
        <is>
          <t>-184%</t>
        </is>
      </c>
      <c r="N529" s="14" t="n"/>
      <c r="O529" s="14" t="n">
        <v>-56.6</v>
      </c>
      <c r="P529" s="14" t="inlineStr">
        <is>
          <t>0%</t>
        </is>
      </c>
      <c r="Q529" s="14" t="n">
        <v>160</v>
      </c>
      <c r="R529" s="14" t="inlineStr">
        <is>
          <t>P/B 0.81 · P/S 1.8 · net cash 40% of mcap · op margin -447%</t>
        </is>
      </c>
      <c r="S529" s="14" t="inlineStr">
        <is>
          <t>FCF yield &gt;100% (check); new entity / merger: history not comparable</t>
        </is>
      </c>
      <c r="T529" s="14" t="inlineStr">
        <is>
          <t>Tail Odds</t>
        </is>
      </c>
    </row>
    <row r="530">
      <c r="A530" s="8" t="inlineStr">
        <is>
          <t>MOVE</t>
        </is>
      </c>
      <c r="B530" s="16" t="inlineStr">
        <is>
          <t>Corvex, Inc.</t>
        </is>
      </c>
      <c r="C530" s="16" t="inlineStr">
        <is>
          <t>Technology</t>
        </is>
      </c>
      <c r="D530" s="16" t="n">
        <v>8</v>
      </c>
      <c r="E530" s="16" t="n"/>
      <c r="F530" s="16" t="n">
        <v>-0.9</v>
      </c>
      <c r="G530" s="16" t="n">
        <v>-0.1</v>
      </c>
      <c r="H530" s="16" t="n"/>
      <c r="I530" s="16" t="n"/>
      <c r="J530" s="16" t="n">
        <v>0.3</v>
      </c>
      <c r="K530" s="16" t="n"/>
      <c r="L530" s="16" t="inlineStr">
        <is>
          <t>-610%</t>
        </is>
      </c>
      <c r="M530" s="16" t="inlineStr">
        <is>
          <t>-10%</t>
        </is>
      </c>
      <c r="N530" s="16" t="n"/>
      <c r="O530" s="16" t="n">
        <v>-8.199999999999999</v>
      </c>
      <c r="P530" s="16" t="inlineStr">
        <is>
          <t>32%</t>
        </is>
      </c>
      <c r="Q530" s="16" t="n">
        <v>2917</v>
      </c>
      <c r="R530" s="16" t="inlineStr">
        <is>
          <t>P/S 2.0</t>
        </is>
      </c>
      <c r="S530" s="16" t="inlineStr">
        <is>
          <t>market-cap/share data inconsistent; FCF yield &gt;100% (check); revenue not comparable YoY (fair-value / one-off income?)</t>
        </is>
      </c>
      <c r="T530" s="16" t="inlineStr">
        <is>
          <t>Tail Odds</t>
        </is>
      </c>
    </row>
    <row r="531">
      <c r="A531" s="6" t="inlineStr">
        <is>
          <t>DTCX</t>
        </is>
      </c>
      <c r="B531" s="14" t="inlineStr">
        <is>
          <t>Datacentrex, Inc.</t>
        </is>
      </c>
      <c r="C531" s="14" t="inlineStr">
        <is>
          <t>Technology</t>
        </is>
      </c>
      <c r="D531" s="14" t="n">
        <v>79</v>
      </c>
      <c r="E531" s="14" t="n">
        <v>1.06</v>
      </c>
      <c r="F531" s="14" t="n">
        <v>-4.5</v>
      </c>
      <c r="G531" s="14" t="n">
        <v>-16.8</v>
      </c>
      <c r="H531" s="14" t="inlineStr">
        <is>
          <t>-49%</t>
        </is>
      </c>
      <c r="I531" s="14" t="inlineStr">
        <is>
          <t>65%</t>
        </is>
      </c>
      <c r="J531" s="14" t="n">
        <v>33.7</v>
      </c>
      <c r="K531" s="14" t="n"/>
      <c r="L531" s="14" t="inlineStr">
        <is>
          <t>-130%</t>
        </is>
      </c>
      <c r="M531" s="14" t="inlineStr">
        <is>
          <t>-25%</t>
        </is>
      </c>
      <c r="N531" s="14" t="n"/>
      <c r="O531" s="14" t="n">
        <v>-104.7</v>
      </c>
      <c r="P531" s="14" t="inlineStr">
        <is>
          <t>12%</t>
        </is>
      </c>
      <c r="Q531" s="14" t="n">
        <v>481</v>
      </c>
      <c r="R531" s="14" t="inlineStr">
        <is>
          <t>P/B 1.06 · P/S 7.0 · FCF yld -49% · net cash 65% of mcap · op margin -130%</t>
        </is>
      </c>
      <c r="S531" s="14" t="inlineStr">
        <is>
          <t>revenue not comparable YoY (fair-value / one-off income?)</t>
        </is>
      </c>
      <c r="T531" s="14" t="inlineStr">
        <is>
          <t>Tail Odds</t>
        </is>
      </c>
    </row>
    <row r="532">
      <c r="A532" s="8" t="inlineStr">
        <is>
          <t>SCOR</t>
        </is>
      </c>
      <c r="B532" s="16" t="inlineStr">
        <is>
          <t>comScore Inc.</t>
        </is>
      </c>
      <c r="C532" s="16" t="inlineStr">
        <is>
          <t>Technology</t>
        </is>
      </c>
      <c r="D532" s="16" t="n">
        <v>72</v>
      </c>
      <c r="E532" s="16" t="n">
        <v>0.4</v>
      </c>
      <c r="F532" s="16" t="n">
        <v>0.7</v>
      </c>
      <c r="G532" s="16" t="n">
        <v>7.7</v>
      </c>
      <c r="H532" s="16" t="inlineStr">
        <is>
          <t>19%</t>
        </is>
      </c>
      <c r="I532" s="16" t="inlineStr">
        <is>
          <t>23%</t>
        </is>
      </c>
      <c r="J532" s="16" t="n">
        <v>-2.2</v>
      </c>
      <c r="K532" s="16" t="n"/>
      <c r="L532" s="16" t="inlineStr">
        <is>
          <t>-2%</t>
        </is>
      </c>
      <c r="M532" s="16" t="inlineStr">
        <is>
          <t>-9%</t>
        </is>
      </c>
      <c r="N532" s="16" t="n"/>
      <c r="O532" s="16" t="n">
        <v>-3.1</v>
      </c>
      <c r="P532" s="16" t="inlineStr">
        <is>
          <t>3%</t>
        </is>
      </c>
      <c r="Q532" s="16" t="n">
        <v>166</v>
      </c>
      <c r="R532" s="16" t="inlineStr">
        <is>
          <t>P/B 0.40 · EV/EBITDA 7.7× · FCF yld 19% · net cash 23% of mcap · op margin -2%</t>
        </is>
      </c>
      <c r="S532" s="16" t="inlineStr">
        <is>
          <t>P/E vs earnings-yield sign mismatch; new entity / merger: history not comparable</t>
        </is>
      </c>
      <c r="T532" s="16" t="inlineStr">
        <is>
          <t>Tail Odds</t>
        </is>
      </c>
    </row>
    <row r="533">
      <c r="A533" s="6" t="inlineStr">
        <is>
          <t>NXTT</t>
        </is>
      </c>
      <c r="B533" s="14" t="inlineStr">
        <is>
          <t>Next Technology Holdin</t>
        </is>
      </c>
      <c r="C533" s="14" t="inlineStr">
        <is>
          <t>Technology</t>
        </is>
      </c>
      <c r="D533" s="14" t="n">
        <v>8</v>
      </c>
      <c r="E533" s="14" t="n"/>
      <c r="F533" s="14" t="n">
        <v>-0</v>
      </c>
      <c r="G533" s="14" t="n">
        <v>0.4</v>
      </c>
      <c r="H533" s="14" t="inlineStr">
        <is>
          <t>-61%</t>
        </is>
      </c>
      <c r="I533" s="14" t="n"/>
      <c r="J533" s="14" t="n">
        <v>0.4</v>
      </c>
      <c r="K533" s="14" t="n"/>
      <c r="L533" s="14" t="inlineStr">
        <is>
          <t>-704%</t>
        </is>
      </c>
      <c r="M533" s="14" t="inlineStr">
        <is>
          <t>-60%</t>
        </is>
      </c>
      <c r="N533" s="14" t="n"/>
      <c r="O533" s="14" t="n">
        <v>0</v>
      </c>
      <c r="P533" s="14" t="inlineStr">
        <is>
          <t>0%</t>
        </is>
      </c>
      <c r="Q533" s="14" t="n">
        <v>598</v>
      </c>
      <c r="R533" s="14" t="inlineStr">
        <is>
          <t>EV/EBITDA 0.4× · FCF yld -61%</t>
        </is>
      </c>
      <c r="S533" s="14" t="inlineStr">
        <is>
          <t>market-cap/share data inconsistent; revenue not comparable YoY (fair-value / one-off income?)</t>
        </is>
      </c>
      <c r="T533" s="14" t="inlineStr">
        <is>
          <t>Tail Odds</t>
        </is>
      </c>
    </row>
    <row r="534">
      <c r="A534" s="8" t="inlineStr">
        <is>
          <t>LUCK</t>
        </is>
      </c>
      <c r="B534" s="16" t="inlineStr">
        <is>
          <t>Lucky Strike Entertain</t>
        </is>
      </c>
      <c r="C534" s="16" t="inlineStr">
        <is>
          <t>Consumer Cycli</t>
        </is>
      </c>
      <c r="D534" s="16" t="n">
        <v>726</v>
      </c>
      <c r="E534" s="16" t="n"/>
      <c r="F534" s="16" t="n">
        <v>-16.2</v>
      </c>
      <c r="G534" s="16" t="n">
        <v>13.4</v>
      </c>
      <c r="H534" s="16" t="inlineStr">
        <is>
          <t>-36%</t>
        </is>
      </c>
      <c r="I534" s="16" t="n"/>
      <c r="J534" s="16" t="n">
        <v>10.9</v>
      </c>
      <c r="K534" s="16" t="inlineStr">
        <is>
          <t>5%</t>
        </is>
      </c>
      <c r="L534" s="16" t="inlineStr">
        <is>
          <t>11%</t>
        </is>
      </c>
      <c r="M534" s="16" t="inlineStr">
        <is>
          <t>18%</t>
        </is>
      </c>
      <c r="N534" s="16" t="inlineStr">
        <is>
          <t>-10%</t>
        </is>
      </c>
      <c r="O534" s="16" t="n">
        <v>0.7</v>
      </c>
      <c r="P534" s="16" t="inlineStr">
        <is>
          <t>1%</t>
        </is>
      </c>
      <c r="Q534" s="16" t="n">
        <v>563</v>
      </c>
      <c r="R534" s="16" t="inlineStr">
        <is>
          <t>EV/EBITDA 13.4× · FCF yld -36% · rev +5% · op margin 11% · buying back 10%/yr</t>
        </is>
      </c>
      <c r="S534" s="16" t="inlineStr">
        <is>
          <t>negative equity</t>
        </is>
      </c>
      <c r="T534" s="16" t="inlineStr">
        <is>
          <t>Tail Odds</t>
        </is>
      </c>
    </row>
    <row r="535">
      <c r="A535" s="6" t="inlineStr">
        <is>
          <t>XTNT</t>
        </is>
      </c>
      <c r="B535" s="14" t="inlineStr">
        <is>
          <t>Xtant Medical Holdings</t>
        </is>
      </c>
      <c r="C535" s="14" t="inlineStr">
        <is>
          <t>Healthcare</t>
        </is>
      </c>
      <c r="D535" s="14" t="n">
        <v>53</v>
      </c>
      <c r="E535" s="14" t="n">
        <v>1.33</v>
      </c>
      <c r="F535" s="14" t="n">
        <v>-4.5</v>
      </c>
      <c r="G535" s="14" t="n">
        <v>-28.1</v>
      </c>
      <c r="H535" s="14" t="inlineStr">
        <is>
          <t>-1%</t>
        </is>
      </c>
      <c r="I535" s="14" t="inlineStr">
        <is>
          <t>-30%</t>
        </is>
      </c>
      <c r="J535" s="14" t="n">
        <v>-6.6</v>
      </c>
      <c r="K535" s="14" t="inlineStr">
        <is>
          <t>-14%</t>
        </is>
      </c>
      <c r="L535" s="14" t="inlineStr">
        <is>
          <t>-10%</t>
        </is>
      </c>
      <c r="M535" s="14" t="inlineStr">
        <is>
          <t>-23%</t>
        </is>
      </c>
      <c r="N535" s="14" t="inlineStr">
        <is>
          <t>-6%</t>
        </is>
      </c>
      <c r="O535" s="14" t="n">
        <v>-3.8</v>
      </c>
      <c r="P535" s="14" t="inlineStr">
        <is>
          <t>16%</t>
        </is>
      </c>
      <c r="Q535" s="14" t="n">
        <v>466</v>
      </c>
      <c r="R535" s="14" t="inlineStr">
        <is>
          <t>P/B 1.33 · P/S 0.5 · FCF yld -1% · net debt 30% of mcap · rev -14% · op margin -10% · buying back 6%/yr · interest cover -3.8× ⚠</t>
        </is>
      </c>
      <c r="S535" s="14" t="inlineStr"/>
      <c r="T535" s="14" t="inlineStr">
        <is>
          <t>Tail Odds</t>
        </is>
      </c>
    </row>
    <row r="536">
      <c r="A536" s="8" t="inlineStr">
        <is>
          <t>RITE</t>
        </is>
      </c>
      <c r="B536" s="16" t="inlineStr">
        <is>
          <t>MineralRite Corporatio</t>
        </is>
      </c>
      <c r="C536" s="16" t="inlineStr">
        <is>
          <t>Basic Material</t>
        </is>
      </c>
      <c r="D536" s="16" t="n">
        <v>9</v>
      </c>
      <c r="E536" s="16" t="n"/>
      <c r="F536" s="16" t="n">
        <v>-17.5</v>
      </c>
      <c r="G536" s="16" t="n">
        <v>-16.3</v>
      </c>
      <c r="H536" s="16" t="n"/>
      <c r="I536" s="16" t="n"/>
      <c r="J536" s="16" t="n">
        <v>-0.1</v>
      </c>
      <c r="K536" s="16" t="n"/>
      <c r="L536" s="16" t="inlineStr">
        <is>
          <t>0%</t>
        </is>
      </c>
      <c r="M536" s="16" t="inlineStr">
        <is>
          <t>-0%</t>
        </is>
      </c>
      <c r="N536" s="16" t="inlineStr">
        <is>
          <t>43%</t>
        </is>
      </c>
      <c r="O536" s="16" t="n">
        <v>-225.6</v>
      </c>
      <c r="P536" s="16" t="inlineStr">
        <is>
          <t>2%</t>
        </is>
      </c>
      <c r="Q536" s="16" t="n">
        <v>16</v>
      </c>
      <c r="R536" s="16" t="inlineStr">
        <is>
          <t>P/S 0.0 · op margin 0% · diluting 43%/yr</t>
        </is>
      </c>
      <c r="S536" s="16" t="inlineStr">
        <is>
          <t>market-cap/share data inconsistent; FCF yield &gt;100% (check)</t>
        </is>
      </c>
      <c r="T536" s="16" t="inlineStr">
        <is>
          <t>Tail Odds</t>
        </is>
      </c>
    </row>
    <row r="537">
      <c r="A537" s="6" t="inlineStr">
        <is>
          <t>AUMN</t>
        </is>
      </c>
      <c r="B537" s="14" t="inlineStr">
        <is>
          <t>Golden Minerals Compan</t>
        </is>
      </c>
      <c r="C537" s="14" t="inlineStr">
        <is>
          <t>Basic Material</t>
        </is>
      </c>
      <c r="D537" s="14" t="n">
        <v>3</v>
      </c>
      <c r="E537" s="14" t="n">
        <v>1.81</v>
      </c>
      <c r="F537" s="14" t="n">
        <v>0.9</v>
      </c>
      <c r="G537" s="14" t="n">
        <v>-0.3</v>
      </c>
      <c r="H537" s="14" t="n"/>
      <c r="I537" s="14" t="inlineStr">
        <is>
          <t>72%</t>
        </is>
      </c>
      <c r="J537" s="14" t="n">
        <v>0.9</v>
      </c>
      <c r="K537" s="14" t="n"/>
      <c r="L537" s="14" t="inlineStr">
        <is>
          <t>0%</t>
        </is>
      </c>
      <c r="M537" s="14" t="inlineStr">
        <is>
          <t>-1116%</t>
        </is>
      </c>
      <c r="N537" s="14" t="inlineStr">
        <is>
          <t>12%</t>
        </is>
      </c>
      <c r="O537" s="14" t="n">
        <v>0</v>
      </c>
      <c r="P537" s="14" t="inlineStr">
        <is>
          <t>20%</t>
        </is>
      </c>
      <c r="Q537" s="14" t="n">
        <v>5</v>
      </c>
      <c r="R537" s="14" t="inlineStr">
        <is>
          <t>P/B 1.81 · P/S 0.0 · net cash 72% of mcap · op margin 0% · diluting 12%/yr</t>
        </is>
      </c>
      <c r="S537" s="14" t="inlineStr">
        <is>
          <t>FCF yield &gt;100% (check)</t>
        </is>
      </c>
      <c r="T537" s="14" t="inlineStr">
        <is>
          <t>Tail Odds</t>
        </is>
      </c>
    </row>
    <row r="538">
      <c r="A538" s="8" t="inlineStr">
        <is>
          <t>AIRI</t>
        </is>
      </c>
      <c r="B538" s="16" t="inlineStr">
        <is>
          <t>Air Industries Group</t>
        </is>
      </c>
      <c r="C538" s="16" t="inlineStr">
        <is>
          <t>Industrials</t>
        </is>
      </c>
      <c r="D538" s="16" t="n">
        <v>12</v>
      </c>
      <c r="E538" s="16" t="n">
        <v>0.68</v>
      </c>
      <c r="F538" s="16" t="n">
        <v>-7.1</v>
      </c>
      <c r="G538" s="16" t="n">
        <v>11</v>
      </c>
      <c r="H538" s="16" t="inlineStr">
        <is>
          <t>-37%</t>
        </is>
      </c>
      <c r="I538" s="16" t="inlineStr">
        <is>
          <t>-204%</t>
        </is>
      </c>
      <c r="J538" s="16" t="n">
        <v>7.3</v>
      </c>
      <c r="K538" s="16" t="inlineStr">
        <is>
          <t>-11%</t>
        </is>
      </c>
      <c r="L538" s="16" t="inlineStr">
        <is>
          <t>-1%</t>
        </is>
      </c>
      <c r="M538" s="16" t="inlineStr">
        <is>
          <t>-9%</t>
        </is>
      </c>
      <c r="N538" s="16" t="inlineStr">
        <is>
          <t>29%</t>
        </is>
      </c>
      <c r="O538" s="16" t="n">
        <v>-0.3</v>
      </c>
      <c r="P538" s="16" t="inlineStr">
        <is>
          <t>15%</t>
        </is>
      </c>
      <c r="Q538" s="16" t="n">
        <v>89</v>
      </c>
      <c r="R538" s="16" t="inlineStr">
        <is>
          <t>P/B 0.68 · EV/EBITDA 11.0× · FCF yld -37% · net debt 204% of mcap · rev -11% · op margin -1% · diluting 29%/yr · interest cover -0.3× ⚠</t>
        </is>
      </c>
      <c r="S538" s="16" t="inlineStr"/>
      <c r="T538" s="16" t="inlineStr">
        <is>
          <t>Tail Odds</t>
        </is>
      </c>
    </row>
    <row r="539">
      <c r="A539" s="6" t="inlineStr">
        <is>
          <t>YUM</t>
        </is>
      </c>
      <c r="B539" s="14" t="inlineStr">
        <is>
          <t>Yum! Brands, Inc.</t>
        </is>
      </c>
      <c r="C539" s="14" t="inlineStr">
        <is>
          <t>Consumer Cycli</t>
        </is>
      </c>
      <c r="D539" s="14" t="n">
        <v>38623</v>
      </c>
      <c r="E539" s="14" t="n"/>
      <c r="F539" s="14" t="n">
        <v>17.5</v>
      </c>
      <c r="G539" s="14" t="n">
        <v>17.5</v>
      </c>
      <c r="H539" s="14" t="inlineStr">
        <is>
          <t>4%</t>
        </is>
      </c>
      <c r="I539" s="14" t="n"/>
      <c r="J539" s="14" t="n">
        <v>4</v>
      </c>
      <c r="K539" s="14" t="inlineStr">
        <is>
          <t>10%</t>
        </is>
      </c>
      <c r="L539" s="14" t="inlineStr">
        <is>
          <t>31%</t>
        </is>
      </c>
      <c r="M539" s="14" t="inlineStr">
        <is>
          <t>-30%</t>
        </is>
      </c>
      <c r="N539" s="14" t="inlineStr">
        <is>
          <t>-1%</t>
        </is>
      </c>
      <c r="O539" s="14" t="n">
        <v>5.3</v>
      </c>
      <c r="P539" s="14" t="inlineStr">
        <is>
          <t>16%</t>
        </is>
      </c>
      <c r="Q539" s="14" t="n">
        <v>342516</v>
      </c>
      <c r="R539" s="14" t="inlineStr">
        <is>
          <t>EV/EBITDA 17.5× · FCF yld 4% · rev +10% · op margin 31%</t>
        </is>
      </c>
      <c r="S539" s="14" t="inlineStr">
        <is>
          <t>negative equity</t>
        </is>
      </c>
      <c r="T539" s="14" t="inlineStr">
        <is>
          <t>Tail Odds</t>
        </is>
      </c>
    </row>
    <row r="540">
      <c r="A540" s="8" t="inlineStr">
        <is>
          <t>CVV</t>
        </is>
      </c>
      <c r="B540" s="16" t="inlineStr">
        <is>
          <t>CVD Equipment Corporat</t>
        </is>
      </c>
      <c r="C540" s="16" t="inlineStr">
        <is>
          <t>Industrials</t>
        </is>
      </c>
      <c r="D540" s="16" t="n">
        <v>31</v>
      </c>
      <c r="E540" s="16" t="n">
        <v>0.86</v>
      </c>
      <c r="F540" s="16" t="n">
        <v>3.1</v>
      </c>
      <c r="G540" s="16" t="n">
        <v>-2.1</v>
      </c>
      <c r="H540" s="16" t="inlineStr">
        <is>
          <t>2%</t>
        </is>
      </c>
      <c r="I540" s="16" t="inlineStr">
        <is>
          <t>76%</t>
        </is>
      </c>
      <c r="J540" s="16" t="n">
        <v>6.9</v>
      </c>
      <c r="K540" s="16" t="inlineStr">
        <is>
          <t>-44%</t>
        </is>
      </c>
      <c r="L540" s="16" t="inlineStr">
        <is>
          <t>-26%</t>
        </is>
      </c>
      <c r="M540" s="16" t="inlineStr">
        <is>
          <t>36%</t>
        </is>
      </c>
      <c r="N540" s="16" t="inlineStr">
        <is>
          <t>1%</t>
        </is>
      </c>
      <c r="O540" s="16" t="n">
        <v>-611</v>
      </c>
      <c r="P540" s="16" t="inlineStr">
        <is>
          <t>25%</t>
        </is>
      </c>
      <c r="Q540" s="16" t="n">
        <v>577</v>
      </c>
      <c r="R540" s="16" t="inlineStr">
        <is>
          <t>P/B 0.86 · P/S 1.9 · FCF yld 2% · net cash 76% of mcap · rev -44% · op margin -26%</t>
        </is>
      </c>
      <c r="S540" s="16" t="inlineStr"/>
      <c r="T540" s="16" t="inlineStr">
        <is>
          <t>Tail Odds</t>
        </is>
      </c>
    </row>
    <row r="541">
      <c r="A541" s="6" t="inlineStr">
        <is>
          <t>XCUR</t>
        </is>
      </c>
      <c r="B541" s="14" t="inlineStr">
        <is>
          <t>Exicure, Inc.</t>
        </is>
      </c>
      <c r="C541" s="14" t="inlineStr">
        <is>
          <t>Healthcare</t>
        </is>
      </c>
      <c r="D541" s="14" t="n">
        <v>8</v>
      </c>
      <c r="E541" s="14" t="n">
        <v>8.09</v>
      </c>
      <c r="F541" s="14" t="n">
        <v>-1</v>
      </c>
      <c r="G541" s="14" t="n">
        <v>-0.7</v>
      </c>
      <c r="H541" s="14" t="inlineStr">
        <is>
          <t>-81%</t>
        </is>
      </c>
      <c r="I541" s="14" t="inlineStr">
        <is>
          <t>22%</t>
        </is>
      </c>
      <c r="J541" s="14" t="n">
        <v>0.2</v>
      </c>
      <c r="K541" s="14" t="n"/>
      <c r="L541" s="14" t="inlineStr">
        <is>
          <t>0%</t>
        </is>
      </c>
      <c r="M541" s="14" t="inlineStr">
        <is>
          <t>-238%</t>
        </is>
      </c>
      <c r="N541" s="14" t="inlineStr">
        <is>
          <t>1%</t>
        </is>
      </c>
      <c r="O541" s="14" t="n">
        <v>-7304</v>
      </c>
      <c r="P541" s="14" t="inlineStr">
        <is>
          <t>2%</t>
        </is>
      </c>
      <c r="Q541" s="14" t="n">
        <v>499</v>
      </c>
      <c r="R541" s="14" t="inlineStr">
        <is>
          <t>P/B 8.09 · P/S 0.0 · FCF yld -81% · net cash 22% of mcap · op margin 0%</t>
        </is>
      </c>
      <c r="S541" s="14" t="inlineStr"/>
      <c r="T541" s="14" t="inlineStr">
        <is>
          <t>Tail Odds</t>
        </is>
      </c>
    </row>
    <row r="542">
      <c r="A542" s="8" t="inlineStr">
        <is>
          <t>KALA</t>
        </is>
      </c>
      <c r="B542" s="16" t="inlineStr">
        <is>
          <t>KALA BIO, Inc.</t>
        </is>
      </c>
      <c r="C542" s="16" t="inlineStr">
        <is>
          <t>Healthcare</t>
        </is>
      </c>
      <c r="D542" s="16" t="n">
        <v>11</v>
      </c>
      <c r="E542" s="16" t="n"/>
      <c r="F542" s="16" t="n">
        <v>-0</v>
      </c>
      <c r="G542" s="16" t="n">
        <v>-1.2</v>
      </c>
      <c r="H542" s="16" t="n"/>
      <c r="I542" s="16" t="n"/>
      <c r="J542" s="16" t="n">
        <v>0</v>
      </c>
      <c r="K542" s="16" t="n"/>
      <c r="L542" s="16" t="inlineStr">
        <is>
          <t>0%</t>
        </is>
      </c>
      <c r="M542" s="16" t="inlineStr">
        <is>
          <t>-222%</t>
        </is>
      </c>
      <c r="N542" s="16" t="inlineStr">
        <is>
          <t>-43%</t>
        </is>
      </c>
      <c r="O542" s="16" t="n">
        <v>-19</v>
      </c>
      <c r="P542" s="16" t="inlineStr">
        <is>
          <t>0%</t>
        </is>
      </c>
      <c r="Q542" s="16" t="n">
        <v>150</v>
      </c>
      <c r="R542" s="16" t="inlineStr">
        <is>
          <t>P/S 0.0 · op margin 0% · buying back 43%/yr</t>
        </is>
      </c>
      <c r="S542" s="16" t="inlineStr">
        <is>
          <t>market-cap/share data inconsistent; FCF yield &gt;100% (check)</t>
        </is>
      </c>
      <c r="T542" s="16" t="inlineStr">
        <is>
          <t>Tail Odds</t>
        </is>
      </c>
    </row>
    <row r="543">
      <c r="A543" s="6" t="inlineStr">
        <is>
          <t>SND</t>
        </is>
      </c>
      <c r="B543" s="14" t="inlineStr">
        <is>
          <t>Smart Sand, Inc.</t>
        </is>
      </c>
      <c r="C543" s="14" t="inlineStr">
        <is>
          <t>Energy</t>
        </is>
      </c>
      <c r="D543" s="14" t="n">
        <v>216</v>
      </c>
      <c r="E543" s="14" t="n">
        <v>0.91</v>
      </c>
      <c r="F543" s="14" t="n">
        <v>18.7</v>
      </c>
      <c r="G543" s="14" t="n">
        <v>7.9</v>
      </c>
      <c r="H543" s="14" t="inlineStr">
        <is>
          <t>16%</t>
        </is>
      </c>
      <c r="I543" s="14" t="inlineStr">
        <is>
          <t>-15%</t>
        </is>
      </c>
      <c r="J543" s="14" t="n">
        <v>1</v>
      </c>
      <c r="K543" s="14" t="inlineStr">
        <is>
          <t>27%</t>
        </is>
      </c>
      <c r="L543" s="14" t="inlineStr">
        <is>
          <t>2%</t>
        </is>
      </c>
      <c r="M543" s="14" t="inlineStr">
        <is>
          <t>4%</t>
        </is>
      </c>
      <c r="N543" s="14" t="inlineStr">
        <is>
          <t>5%</t>
        </is>
      </c>
      <c r="O543" s="14" t="n">
        <v>5.6</v>
      </c>
      <c r="P543" s="14" t="inlineStr">
        <is>
          <t>77%</t>
        </is>
      </c>
      <c r="Q543" s="14" t="n">
        <v>1786</v>
      </c>
      <c r="R543" s="14" t="inlineStr">
        <is>
          <t>P/B 0.91 · EV/EBITDA 7.9× · FCF yld 16% · net debt 15% of mcap · rev +27% · op margin 2% · diluting 5%/yr</t>
        </is>
      </c>
      <c r="S543" s="14" t="inlineStr"/>
      <c r="T543" s="14" t="inlineStr">
        <is>
          <t>Asymmetry Assembly</t>
        </is>
      </c>
    </row>
    <row r="544">
      <c r="A544" s="8" t="inlineStr">
        <is>
          <t>MSGM</t>
        </is>
      </c>
      <c r="B544" s="16" t="inlineStr">
        <is>
          <t>Motorsport Games Inc.</t>
        </is>
      </c>
      <c r="C544" s="16" t="inlineStr">
        <is>
          <t>Technology</t>
        </is>
      </c>
      <c r="D544" s="16" t="n">
        <v>23</v>
      </c>
      <c r="E544" s="16" t="n">
        <v>5.92</v>
      </c>
      <c r="F544" s="16" t="n">
        <v>9.9</v>
      </c>
      <c r="G544" s="16" t="n">
        <v>-17.2</v>
      </c>
      <c r="H544" s="16" t="inlineStr">
        <is>
          <t>28%</t>
        </is>
      </c>
      <c r="I544" s="16" t="inlineStr">
        <is>
          <t>11%</t>
        </is>
      </c>
      <c r="J544" s="16" t="n">
        <v>2.1</v>
      </c>
      <c r="K544" s="16" t="inlineStr">
        <is>
          <t>79%</t>
        </is>
      </c>
      <c r="L544" s="16" t="inlineStr">
        <is>
          <t>10%</t>
        </is>
      </c>
      <c r="M544" s="16" t="inlineStr">
        <is>
          <t>40%</t>
        </is>
      </c>
      <c r="N544" s="16" t="inlineStr">
        <is>
          <t>7%</t>
        </is>
      </c>
      <c r="O544" s="16" t="n">
        <v>73.90000000000001</v>
      </c>
      <c r="P544" s="16" t="inlineStr">
        <is>
          <t>62%</t>
        </is>
      </c>
      <c r="Q544" s="16" t="n">
        <v>283</v>
      </c>
      <c r="R544" s="16" t="inlineStr">
        <is>
          <t>P/B 5.92 · P/S 1.6 · FCF yld 28% · net cash 11% of mcap · rev +79% · op margin 10% · diluting 7%/yr</t>
        </is>
      </c>
      <c r="S544" s="16" t="inlineStr"/>
      <c r="T544" s="16" t="inlineStr">
        <is>
          <t>Asymmetry Assembly</t>
        </is>
      </c>
    </row>
    <row r="545">
      <c r="A545" s="6" t="inlineStr">
        <is>
          <t>OFIX</t>
        </is>
      </c>
      <c r="B545" s="14" t="inlineStr">
        <is>
          <t>Orthofix Medical Inc.</t>
        </is>
      </c>
      <c r="C545" s="14" t="inlineStr">
        <is>
          <t>Healthcare</t>
        </is>
      </c>
      <c r="D545" s="14" t="n">
        <v>369</v>
      </c>
      <c r="E545" s="14" t="n">
        <v>0.86</v>
      </c>
      <c r="F545" s="14" t="n">
        <v>-5.9</v>
      </c>
      <c r="G545" s="14" t="n">
        <v>4.7</v>
      </c>
      <c r="H545" s="14" t="inlineStr">
        <is>
          <t>-7%</t>
        </is>
      </c>
      <c r="I545" s="14" t="inlineStr">
        <is>
          <t>-35%</t>
        </is>
      </c>
      <c r="J545" s="14" t="n">
        <v>1.2</v>
      </c>
      <c r="K545" s="14" t="inlineStr">
        <is>
          <t>3%</t>
        </is>
      </c>
      <c r="L545" s="14" t="inlineStr">
        <is>
          <t>-3%</t>
        </is>
      </c>
      <c r="M545" s="14" t="inlineStr">
        <is>
          <t>-14%</t>
        </is>
      </c>
      <c r="N545" s="14" t="inlineStr">
        <is>
          <t>4%</t>
        </is>
      </c>
      <c r="O545" s="14" t="n">
        <v>-1.2</v>
      </c>
      <c r="P545" s="14" t="inlineStr">
        <is>
          <t>8%</t>
        </is>
      </c>
      <c r="Q545" s="14" t="n">
        <v>3674</v>
      </c>
      <c r="R545" s="14" t="inlineStr">
        <is>
          <t>P/B 0.86 · EV/EBITDA 4.7× · FCF yld -7% · net debt 35% of mcap · rev +3% · op margin -3% · diluting 4%/yr · interest cover -1.2× ⚠</t>
        </is>
      </c>
      <c r="S545" s="14" t="inlineStr"/>
      <c r="T545" s="14" t="inlineStr">
        <is>
          <t>Asymmetry Assembly</t>
        </is>
      </c>
    </row>
    <row r="546">
      <c r="A546" s="8" t="inlineStr">
        <is>
          <t>OBDC</t>
        </is>
      </c>
      <c r="B546" s="16" t="inlineStr">
        <is>
          <t>Blue Owl Capital Corpo</t>
        </is>
      </c>
      <c r="C546" s="16" t="inlineStr">
        <is>
          <t>Financial Serv</t>
        </is>
      </c>
      <c r="D546" s="16" t="n">
        <v>5442</v>
      </c>
      <c r="E546" s="16" t="n">
        <v>0.77</v>
      </c>
      <c r="F546" s="16" t="n">
        <v>19.7</v>
      </c>
      <c r="G546" s="16" t="n">
        <v>13.8</v>
      </c>
      <c r="H546" s="16" t="inlineStr">
        <is>
          <t>21%</t>
        </is>
      </c>
      <c r="I546" s="16" t="inlineStr">
        <is>
          <t>-108%</t>
        </is>
      </c>
      <c r="J546" s="16" t="n">
        <v>7.2</v>
      </c>
      <c r="K546" s="16" t="inlineStr">
        <is>
          <t>13%</t>
        </is>
      </c>
      <c r="L546" s="16" t="inlineStr">
        <is>
          <t>49%</t>
        </is>
      </c>
      <c r="M546" s="16" t="inlineStr">
        <is>
          <t>4%</t>
        </is>
      </c>
      <c r="N546" s="16" t="inlineStr">
        <is>
          <t>-3%</t>
        </is>
      </c>
      <c r="O546" s="16" t="n">
        <v>1.3</v>
      </c>
      <c r="P546" s="16" t="inlineStr">
        <is>
          <t>14%</t>
        </is>
      </c>
      <c r="Q546" s="16" t="n">
        <v>39206</v>
      </c>
      <c r="R546" s="16" t="inlineStr">
        <is>
          <t>P/B 0.77 · P/E 19.7 · ROE 4% · div yld 9.7% · buying back 3%/yr (financial: book/earnings basis)</t>
        </is>
      </c>
      <c r="S546" s="16" t="inlineStr"/>
      <c r="T546" s="16" t="inlineStr">
        <is>
          <t>Asymmetry Assembly</t>
        </is>
      </c>
    </row>
    <row r="547">
      <c r="A547" s="6" t="inlineStr">
        <is>
          <t>ACCS</t>
        </is>
      </c>
      <c r="B547" s="14" t="inlineStr">
        <is>
          <t>ACCESS Newswire Inc.</t>
        </is>
      </c>
      <c r="C547" s="14" t="inlineStr">
        <is>
          <t xml:space="preserve">Communication </t>
        </is>
      </c>
      <c r="D547" s="14" t="n">
        <v>19</v>
      </c>
      <c r="E547" s="14" t="n">
        <v>0.64</v>
      </c>
      <c r="F547" s="14" t="n">
        <v>-11.2</v>
      </c>
      <c r="G547" s="14" t="n">
        <v>14.9</v>
      </c>
      <c r="H547" s="14" t="inlineStr">
        <is>
          <t>3%</t>
        </is>
      </c>
      <c r="I547" s="14" t="inlineStr">
        <is>
          <t>4%</t>
        </is>
      </c>
      <c r="J547" s="14" t="n">
        <v>-0.6</v>
      </c>
      <c r="K547" s="14" t="inlineStr">
        <is>
          <t>15%</t>
        </is>
      </c>
      <c r="L547" s="14" t="inlineStr">
        <is>
          <t>-7%</t>
        </is>
      </c>
      <c r="M547" s="14" t="inlineStr">
        <is>
          <t>-6%</t>
        </is>
      </c>
      <c r="N547" s="14" t="inlineStr">
        <is>
          <t>0%</t>
        </is>
      </c>
      <c r="O547" s="14" t="n">
        <v>-6.8</v>
      </c>
      <c r="P547" s="14" t="inlineStr">
        <is>
          <t>2%</t>
        </is>
      </c>
      <c r="Q547" s="14" t="n">
        <v>109</v>
      </c>
      <c r="R547" s="14" t="inlineStr">
        <is>
          <t>P/B 0.64 · EV/EBITDA 14.9× · FCF yld 3% · net cash 4% of mcap · rev +15% · op margin -7%</t>
        </is>
      </c>
      <c r="S547" s="14" t="inlineStr"/>
      <c r="T547" s="14" t="inlineStr">
        <is>
          <t>Asymmetry Assembly</t>
        </is>
      </c>
    </row>
    <row r="548">
      <c r="A548" s="8" t="inlineStr">
        <is>
          <t>BDCO</t>
        </is>
      </c>
      <c r="B548" s="16" t="inlineStr">
        <is>
          <t>Blue Dolphin Energy Co</t>
        </is>
      </c>
      <c r="C548" s="16" t="inlineStr">
        <is>
          <t>Energy</t>
        </is>
      </c>
      <c r="D548" s="16" t="n">
        <v>206</v>
      </c>
      <c r="E548" s="16" t="n">
        <v>3.44</v>
      </c>
      <c r="F548" s="16" t="n">
        <v>7</v>
      </c>
      <c r="G548" s="16" t="n">
        <v>4.8</v>
      </c>
      <c r="H548" s="16" t="inlineStr">
        <is>
          <t>22%</t>
        </is>
      </c>
      <c r="I548" s="16" t="inlineStr">
        <is>
          <t>-4%</t>
        </is>
      </c>
      <c r="J548" s="16" t="n">
        <v>0.2</v>
      </c>
      <c r="K548" s="16" t="inlineStr">
        <is>
          <t>23%</t>
        </is>
      </c>
      <c r="L548" s="16" t="inlineStr">
        <is>
          <t>10%</t>
        </is>
      </c>
      <c r="M548" s="16" t="inlineStr">
        <is>
          <t>67%</t>
        </is>
      </c>
      <c r="N548" s="16" t="inlineStr">
        <is>
          <t>0%</t>
        </is>
      </c>
      <c r="O548" s="16" t="n">
        <v>7.5</v>
      </c>
      <c r="P548" s="16" t="inlineStr">
        <is>
          <t>54%</t>
        </is>
      </c>
      <c r="Q548" s="16" t="n">
        <v>459</v>
      </c>
      <c r="R548" s="16" t="inlineStr">
        <is>
          <t>P/B 3.44 · EV/EBITDA 4.8× · FCF yld 22% · net debt 4% of mcap · rev +23% · op margin 10%</t>
        </is>
      </c>
      <c r="S548" s="16" t="inlineStr"/>
      <c r="T548" s="16" t="inlineStr">
        <is>
          <t>Asymmetry Assembly</t>
        </is>
      </c>
    </row>
    <row r="549">
      <c r="A549" s="6" t="inlineStr">
        <is>
          <t>PAL</t>
        </is>
      </c>
      <c r="B549" s="14" t="inlineStr">
        <is>
          <t>Proficient Auto Logist</t>
        </is>
      </c>
      <c r="C549" s="14" t="inlineStr">
        <is>
          <t>Industrials</t>
        </is>
      </c>
      <c r="D549" s="14" t="n">
        <v>109</v>
      </c>
      <c r="E549" s="14" t="n">
        <v>0.36</v>
      </c>
      <c r="F549" s="14" t="n">
        <v>-2.8</v>
      </c>
      <c r="G549" s="14" t="n">
        <v>4.7</v>
      </c>
      <c r="H549" s="14" t="inlineStr">
        <is>
          <t>16%</t>
        </is>
      </c>
      <c r="I549" s="14" t="inlineStr">
        <is>
          <t>-68%</t>
        </is>
      </c>
      <c r="J549" s="14" t="n">
        <v>1.9</v>
      </c>
      <c r="K549" s="14" t="inlineStr">
        <is>
          <t>7%</t>
        </is>
      </c>
      <c r="L549" s="14" t="inlineStr">
        <is>
          <t>2%</t>
        </is>
      </c>
      <c r="M549" s="14" t="inlineStr">
        <is>
          <t>-12%</t>
        </is>
      </c>
      <c r="N549" s="14" t="inlineStr">
        <is>
          <t>1%</t>
        </is>
      </c>
      <c r="O549" s="14" t="n">
        <v>1.4</v>
      </c>
      <c r="P549" s="14" t="inlineStr">
        <is>
          <t>5%</t>
        </is>
      </c>
      <c r="Q549" s="14" t="n">
        <v>2107</v>
      </c>
      <c r="R549" s="14" t="inlineStr">
        <is>
          <t>P/B 0.36 · EV/EBITDA 4.7× · FCF yld 16% · net debt 68% of mcap · rev +7% · op margin 2% · interest cover 1.4× ⚠</t>
        </is>
      </c>
      <c r="S549" s="14" t="inlineStr"/>
      <c r="T549" s="14" t="inlineStr">
        <is>
          <t>Asymmetry Assembly</t>
        </is>
      </c>
    </row>
    <row r="550">
      <c r="A550" s="8" t="inlineStr">
        <is>
          <t>CWBC</t>
        </is>
      </c>
      <c r="B550" s="16" t="inlineStr">
        <is>
          <t>Community West Bancsha</t>
        </is>
      </c>
      <c r="C550" s="16" t="inlineStr">
        <is>
          <t>Financial Serv</t>
        </is>
      </c>
      <c r="D550" s="16" t="n">
        <v>542</v>
      </c>
      <c r="E550" s="16" t="n">
        <v>0.89</v>
      </c>
      <c r="F550" s="16" t="n">
        <v>13.7</v>
      </c>
      <c r="G550" s="16" t="n">
        <v>14.1</v>
      </c>
      <c r="H550" s="16" t="inlineStr">
        <is>
          <t>9%</t>
        </is>
      </c>
      <c r="I550" s="16" t="inlineStr">
        <is>
          <t>73%</t>
        </is>
      </c>
      <c r="J550" s="16" t="n">
        <v>3.5</v>
      </c>
      <c r="K550" s="16" t="inlineStr">
        <is>
          <t>5%</t>
        </is>
      </c>
      <c r="L550" s="16" t="inlineStr">
        <is>
          <t>26%</t>
        </is>
      </c>
      <c r="M550" s="16" t="inlineStr">
        <is>
          <t>8%</t>
        </is>
      </c>
      <c r="N550" s="16" t="inlineStr">
        <is>
          <t>22%</t>
        </is>
      </c>
      <c r="O550" s="16" t="n">
        <v>1</v>
      </c>
      <c r="P550" s="16" t="inlineStr">
        <is>
          <t>71%</t>
        </is>
      </c>
      <c r="Q550" s="16" t="n">
        <v>8096</v>
      </c>
      <c r="R550" s="16" t="inlineStr">
        <is>
          <t>P/B 0.89 · P/E 13.7 · ROE 8% · div yld 1.9% · diluting 22%/yr (financial: book/earnings basis)</t>
        </is>
      </c>
      <c r="S550" s="16" t="inlineStr"/>
      <c r="T550" s="16" t="inlineStr">
        <is>
          <t>Asymmetry Assembly</t>
        </is>
      </c>
    </row>
    <row r="551">
      <c r="A551" s="6" t="inlineStr">
        <is>
          <t>SLRC</t>
        </is>
      </c>
      <c r="B551" s="14" t="inlineStr">
        <is>
          <t>SLR Investment Corp.</t>
        </is>
      </c>
      <c r="C551" s="14" t="inlineStr">
        <is>
          <t>Financial Serv</t>
        </is>
      </c>
      <c r="D551" s="14" t="n">
        <v>643</v>
      </c>
      <c r="E551" s="14" t="n">
        <v>0.65</v>
      </c>
      <c r="F551" s="14" t="n">
        <v>8.699999999999999</v>
      </c>
      <c r="G551" s="14" t="n">
        <v>12.8</v>
      </c>
      <c r="H551" s="14" t="inlineStr">
        <is>
          <t>20%</t>
        </is>
      </c>
      <c r="I551" s="14" t="inlineStr">
        <is>
          <t>50%</t>
        </is>
      </c>
      <c r="J551" s="14" t="n">
        <v>6.8</v>
      </c>
      <c r="K551" s="14" t="inlineStr">
        <is>
          <t>8%</t>
        </is>
      </c>
      <c r="L551" s="14" t="inlineStr">
        <is>
          <t>60%</t>
        </is>
      </c>
      <c r="M551" s="14" t="inlineStr">
        <is>
          <t>7%</t>
        </is>
      </c>
      <c r="N551" s="14" t="inlineStr">
        <is>
          <t>1%</t>
        </is>
      </c>
      <c r="O551" s="14" t="n">
        <v>1.6</v>
      </c>
      <c r="P551" s="14" t="inlineStr">
        <is>
          <t>0%</t>
        </is>
      </c>
      <c r="Q551" s="14" t="n">
        <v>4556</v>
      </c>
      <c r="R551" s="14" t="inlineStr">
        <is>
          <t>P/B 0.65 · P/E 8.7 · ROE 7% · div yld 12.2% (financial: book/earnings basis)</t>
        </is>
      </c>
      <c r="S551" s="14" t="inlineStr"/>
      <c r="T551" s="14" t="inlineStr">
        <is>
          <t>Asymmetry Assembly</t>
        </is>
      </c>
    </row>
    <row r="552">
      <c r="A552" s="8" t="inlineStr">
        <is>
          <t>BXSL</t>
        </is>
      </c>
      <c r="B552" s="16" t="inlineStr">
        <is>
          <t>Blackstone Secured Len</t>
        </is>
      </c>
      <c r="C552" s="16" t="inlineStr">
        <is>
          <t>Financial Serv</t>
        </is>
      </c>
      <c r="D552" s="16" t="n">
        <v>5724</v>
      </c>
      <c r="E552" s="16" t="n">
        <v>0.96</v>
      </c>
      <c r="F552" s="16" t="n">
        <v>19.4</v>
      </c>
      <c r="G552" s="16" t="n">
        <v>17.4</v>
      </c>
      <c r="H552" s="16" t="inlineStr">
        <is>
          <t>3%</t>
        </is>
      </c>
      <c r="I552" s="16" t="inlineStr">
        <is>
          <t>-127%</t>
        </is>
      </c>
      <c r="J552" s="16" t="n">
        <v>9.699999999999999</v>
      </c>
      <c r="K552" s="16" t="inlineStr">
        <is>
          <t>5%</t>
        </is>
      </c>
      <c r="L552" s="16" t="inlineStr">
        <is>
          <t>56%</t>
        </is>
      </c>
      <c r="M552" s="16" t="inlineStr">
        <is>
          <t>5%</t>
        </is>
      </c>
      <c r="N552" s="16" t="inlineStr">
        <is>
          <t>2%</t>
        </is>
      </c>
      <c r="O552" s="16" t="n">
        <v>1</v>
      </c>
      <c r="P552" s="16" t="inlineStr">
        <is>
          <t>35%</t>
        </is>
      </c>
      <c r="Q552" s="16" t="n">
        <v>38917</v>
      </c>
      <c r="R552" s="16" t="inlineStr">
        <is>
          <t>P/B 0.96 · P/E 19.4 · ROE 5% · div yld 12.5% (financial: book/earnings basis)</t>
        </is>
      </c>
      <c r="S552" s="16" t="inlineStr"/>
      <c r="T552" s="16" t="inlineStr">
        <is>
          <t>Asymmetry Assembly</t>
        </is>
      </c>
    </row>
    <row r="553">
      <c r="A553" s="6" t="inlineStr">
        <is>
          <t>NPB</t>
        </is>
      </c>
      <c r="B553" s="14" t="inlineStr">
        <is>
          <t>Northpointe Bancshares</t>
        </is>
      </c>
      <c r="C553" s="14" t="inlineStr">
        <is>
          <t>Financial Serv</t>
        </is>
      </c>
      <c r="D553" s="14" t="n">
        <v>539</v>
      </c>
      <c r="E553" s="14" t="n">
        <v>0.88</v>
      </c>
      <c r="F553" s="14" t="n">
        <v>6.6</v>
      </c>
      <c r="G553" s="14" t="n">
        <v>26</v>
      </c>
      <c r="H553" s="14" t="inlineStr">
        <is>
          <t>18%</t>
        </is>
      </c>
      <c r="I553" s="14" t="inlineStr">
        <is>
          <t>-201%</t>
        </is>
      </c>
      <c r="J553" s="14" t="n">
        <v>17.4</v>
      </c>
      <c r="K553" s="14" t="inlineStr">
        <is>
          <t>5%</t>
        </is>
      </c>
      <c r="L553" s="14" t="inlineStr">
        <is>
          <t>14%</t>
        </is>
      </c>
      <c r="M553" s="14" t="inlineStr">
        <is>
          <t>15%</t>
        </is>
      </c>
      <c r="N553" s="14" t="inlineStr">
        <is>
          <t>0%</t>
        </is>
      </c>
      <c r="O553" s="14" t="n">
        <v>0.2</v>
      </c>
      <c r="P553" s="14" t="inlineStr">
        <is>
          <t>5%</t>
        </is>
      </c>
      <c r="Q553" s="14" t="n">
        <v>3134</v>
      </c>
      <c r="R553" s="14" t="inlineStr">
        <is>
          <t>P/B 0.88 · P/E 6.6 · ROE 15% · div yld 0.6% (financial: book/earnings basis)</t>
        </is>
      </c>
      <c r="S553" s="14" t="inlineStr"/>
      <c r="T553" s="14" t="inlineStr">
        <is>
          <t>Asymmetry Assembly</t>
        </is>
      </c>
    </row>
    <row r="554">
      <c r="A554" s="8" t="inlineStr">
        <is>
          <t>FBLA</t>
        </is>
      </c>
      <c r="B554" s="16" t="inlineStr">
        <is>
          <t>FB Bancorp, Inc. Commo</t>
        </is>
      </c>
      <c r="C554" s="16" t="inlineStr">
        <is>
          <t>Financial Serv</t>
        </is>
      </c>
      <c r="D554" s="16" t="n">
        <v>261</v>
      </c>
      <c r="E554" s="16" t="n">
        <v>0.92</v>
      </c>
      <c r="F554" s="16" t="n">
        <v>-911.3</v>
      </c>
      <c r="G554" s="16" t="n">
        <v>59.7</v>
      </c>
      <c r="H554" s="16" t="inlineStr">
        <is>
          <t>11%</t>
        </is>
      </c>
      <c r="I554" s="16" t="inlineStr">
        <is>
          <t>89%</t>
        </is>
      </c>
      <c r="J554" s="16" t="n">
        <v>17.2</v>
      </c>
      <c r="K554" s="16" t="inlineStr">
        <is>
          <t>-26%</t>
        </is>
      </c>
      <c r="L554" s="16" t="inlineStr">
        <is>
          <t>6%</t>
        </is>
      </c>
      <c r="M554" s="16" t="inlineStr">
        <is>
          <t>-0%</t>
        </is>
      </c>
      <c r="N554" s="16" t="inlineStr">
        <is>
          <t>-19%</t>
        </is>
      </c>
      <c r="O554" s="16" t="n">
        <v>0.2</v>
      </c>
      <c r="P554" s="16" t="inlineStr">
        <is>
          <t>95%</t>
        </is>
      </c>
      <c r="Q554" s="16" t="n">
        <v>1453</v>
      </c>
      <c r="R554" s="16" t="inlineStr">
        <is>
          <t>P/B 0.92 · ROE -0% · buying back 19%/yr (financial: book/earnings basis)</t>
        </is>
      </c>
      <c r="S554" s="16" t="inlineStr"/>
      <c r="T554" s="16" t="inlineStr">
        <is>
          <t>Asymmetry Assembly</t>
        </is>
      </c>
    </row>
    <row r="555">
      <c r="A555" s="6" t="inlineStr">
        <is>
          <t>FRST</t>
        </is>
      </c>
      <c r="B555" s="14" t="inlineStr">
        <is>
          <t>Primis Financial Corp</t>
        </is>
      </c>
      <c r="C555" s="14" t="inlineStr">
        <is>
          <t>Financial Serv</t>
        </is>
      </c>
      <c r="D555" s="14" t="n">
        <v>388</v>
      </c>
      <c r="E555" s="14" t="n">
        <v>0.89</v>
      </c>
      <c r="F555" s="14" t="n">
        <v>7.2</v>
      </c>
      <c r="G555" s="14" t="n">
        <v>10.4</v>
      </c>
      <c r="H555" s="14" t="inlineStr">
        <is>
          <t>-11%</t>
        </is>
      </c>
      <c r="I555" s="14" t="inlineStr">
        <is>
          <t>-113%</t>
        </is>
      </c>
      <c r="J555" s="14" t="n">
        <v>5.5</v>
      </c>
      <c r="K555" s="14" t="inlineStr">
        <is>
          <t>16%</t>
        </is>
      </c>
      <c r="L555" s="14" t="inlineStr">
        <is>
          <t>22%</t>
        </is>
      </c>
      <c r="M555" s="14" t="inlineStr">
        <is>
          <t>13%</t>
        </is>
      </c>
      <c r="N555" s="14" t="inlineStr">
        <is>
          <t>0%</t>
        </is>
      </c>
      <c r="O555" s="14" t="n">
        <v>0.8</v>
      </c>
      <c r="P555" s="14" t="inlineStr">
        <is>
          <t>82%</t>
        </is>
      </c>
      <c r="Q555" s="14" t="n">
        <v>3202</v>
      </c>
      <c r="R555" s="14" t="inlineStr">
        <is>
          <t>P/B 0.89 · P/E 7.2 · ROE 13% · div yld 2.6% (financial: book/earnings basis)</t>
        </is>
      </c>
      <c r="S555" s="14" t="inlineStr"/>
      <c r="T555" s="14" t="inlineStr">
        <is>
          <t>Asymmetry Assembly</t>
        </is>
      </c>
    </row>
    <row r="556">
      <c r="A556" s="8" t="inlineStr">
        <is>
          <t>OTF</t>
        </is>
      </c>
      <c r="B556" s="16" t="inlineStr">
        <is>
          <t>Blue Owl Technology Fi</t>
        </is>
      </c>
      <c r="C556" s="16" t="inlineStr">
        <is>
          <t>Financial Serv</t>
        </is>
      </c>
      <c r="D556" s="16" t="n">
        <v>4793</v>
      </c>
      <c r="E556" s="16" t="n">
        <v>0.64</v>
      </c>
      <c r="F556" s="16" t="n">
        <v>8</v>
      </c>
      <c r="G556" s="16" t="n">
        <v>17.7</v>
      </c>
      <c r="H556" s="16" t="inlineStr">
        <is>
          <t>-6%</t>
        </is>
      </c>
      <c r="I556" s="16" t="inlineStr">
        <is>
          <t>-149%</t>
        </is>
      </c>
      <c r="J556" s="16" t="n">
        <v>10.6</v>
      </c>
      <c r="K556" s="16" t="inlineStr">
        <is>
          <t>81%</t>
        </is>
      </c>
      <c r="L556" s="16" t="inlineStr">
        <is>
          <t>48%</t>
        </is>
      </c>
      <c r="M556" s="16" t="inlineStr">
        <is>
          <t>5%</t>
        </is>
      </c>
      <c r="N556" s="16" t="inlineStr">
        <is>
          <t>96%</t>
        </is>
      </c>
      <c r="O556" s="16" t="n">
        <v>1.6</v>
      </c>
      <c r="P556" s="16" t="inlineStr">
        <is>
          <t>12%</t>
        </is>
      </c>
      <c r="Q556" s="16" t="n">
        <v>25390</v>
      </c>
      <c r="R556" s="16" t="inlineStr">
        <is>
          <t>P/B 0.64 · P/E 8.0 · ROE 5% · div yld 12.1% · diluting 96%/yr (financial: book/earnings basis)</t>
        </is>
      </c>
      <c r="S556" s="16" t="inlineStr"/>
      <c r="T556" s="16" t="inlineStr">
        <is>
          <t>Asymmetry Assembly</t>
        </is>
      </c>
    </row>
    <row r="557">
      <c r="A557" s="6" t="inlineStr">
        <is>
          <t>BXMT</t>
        </is>
      </c>
      <c r="B557" s="14" t="inlineStr">
        <is>
          <t>Blackstone Mortgage Tr</t>
        </is>
      </c>
      <c r="C557" s="14" t="inlineStr">
        <is>
          <t>Real Estate</t>
        </is>
      </c>
      <c r="D557" s="14" t="n">
        <v>2146</v>
      </c>
      <c r="E557" s="14" t="n">
        <v>0.66</v>
      </c>
      <c r="F557" s="14" t="n">
        <v>156.8</v>
      </c>
      <c r="G557" s="14" t="n">
        <v>15.8</v>
      </c>
      <c r="H557" s="14" t="inlineStr">
        <is>
          <t>6%</t>
        </is>
      </c>
      <c r="I557" s="14" t="inlineStr">
        <is>
          <t>-717%</t>
        </is>
      </c>
      <c r="J557" s="14" t="n">
        <v>13.9</v>
      </c>
      <c r="K557" s="14" t="inlineStr">
        <is>
          <t>-4%</t>
        </is>
      </c>
      <c r="L557" s="14" t="inlineStr">
        <is>
          <t>57%</t>
        </is>
      </c>
      <c r="M557" s="14" t="inlineStr">
        <is>
          <t>0%</t>
        </is>
      </c>
      <c r="N557" s="14" t="inlineStr">
        <is>
          <t>-2%</t>
        </is>
      </c>
      <c r="O557" s="14" t="n">
        <v>0.9</v>
      </c>
      <c r="P557" s="14" t="inlineStr">
        <is>
          <t>0%</t>
        </is>
      </c>
      <c r="Q557" s="14" t="n">
        <v>25025</v>
      </c>
      <c r="R557" s="14" t="inlineStr">
        <is>
          <t>P/B 0.66 · EV/EBITDA 15.8× · FCF yld 6% · net debt 717% of mcap · rev -4% · op margin 57% · interest cover 0.9× ⚠</t>
        </is>
      </c>
      <c r="S557" s="14" t="inlineStr"/>
      <c r="T557" s="14" t="inlineStr">
        <is>
          <t>Asymmetry Assembly</t>
        </is>
      </c>
    </row>
    <row r="558">
      <c r="A558" s="8" t="inlineStr">
        <is>
          <t>LCNB</t>
        </is>
      </c>
      <c r="B558" s="16" t="inlineStr">
        <is>
          <t>LCNB Corp.</t>
        </is>
      </c>
      <c r="C558" s="16" t="inlineStr">
        <is>
          <t>Financial Serv</t>
        </is>
      </c>
      <c r="D558" s="16" t="n">
        <v>265</v>
      </c>
      <c r="E558" s="16" t="n">
        <v>0.95</v>
      </c>
      <c r="F558" s="16" t="n">
        <v>10.7</v>
      </c>
      <c r="G558" s="16" t="n">
        <v>10.6</v>
      </c>
      <c r="H558" s="16" t="inlineStr">
        <is>
          <t>14%</t>
        </is>
      </c>
      <c r="I558" s="16" t="inlineStr">
        <is>
          <t>49%</t>
        </is>
      </c>
      <c r="J558" s="16" t="n">
        <v>2.6</v>
      </c>
      <c r="K558" s="16" t="inlineStr">
        <is>
          <t>-2%</t>
        </is>
      </c>
      <c r="L558" s="16" t="inlineStr">
        <is>
          <t>24%</t>
        </is>
      </c>
      <c r="M558" s="16" t="inlineStr">
        <is>
          <t>9%</t>
        </is>
      </c>
      <c r="N558" s="16" t="inlineStr">
        <is>
          <t>1%</t>
        </is>
      </c>
      <c r="O558" s="16" t="n">
        <v>1.1</v>
      </c>
      <c r="P558" s="16" t="inlineStr">
        <is>
          <t>61%</t>
        </is>
      </c>
      <c r="Q558" s="16" t="n">
        <v>682</v>
      </c>
      <c r="R558" s="16" t="inlineStr">
        <is>
          <t>P/B 0.95 · P/E 10.7 · ROE 9% · div yld 4.8% (financial: book/earnings basis)</t>
        </is>
      </c>
      <c r="S558" s="16" t="inlineStr"/>
      <c r="T558" s="16" t="inlineStr">
        <is>
          <t>Asymmetry Assembly</t>
        </is>
      </c>
    </row>
    <row r="559">
      <c r="A559" s="6" t="inlineStr">
        <is>
          <t>LUMN</t>
        </is>
      </c>
      <c r="B559" s="14" t="inlineStr">
        <is>
          <t>Lumen Technologies, In</t>
        </is>
      </c>
      <c r="C559" s="14" t="inlineStr">
        <is>
          <t xml:space="preserve">Communication </t>
        </is>
      </c>
      <c r="D559" s="14" t="n">
        <v>6450</v>
      </c>
      <c r="E559" s="14" t="n"/>
      <c r="F559" s="14" t="n">
        <v>-6</v>
      </c>
      <c r="G559" s="14" t="n">
        <v>8</v>
      </c>
      <c r="H559" s="14" t="inlineStr">
        <is>
          <t>13%</t>
        </is>
      </c>
      <c r="I559" s="14" t="n"/>
      <c r="J559" s="14" t="n">
        <v>5.2</v>
      </c>
      <c r="K559" s="14" t="inlineStr">
        <is>
          <t>-8%</t>
        </is>
      </c>
      <c r="L559" s="14" t="inlineStr">
        <is>
          <t>-3%</t>
        </is>
      </c>
      <c r="M559" s="14" t="inlineStr">
        <is>
          <t>-52%</t>
        </is>
      </c>
      <c r="N559" s="14" t="inlineStr">
        <is>
          <t>1%</t>
        </is>
      </c>
      <c r="O559" s="14" t="n">
        <v>-0.4</v>
      </c>
      <c r="P559" s="14" t="inlineStr">
        <is>
          <t>12%</t>
        </is>
      </c>
      <c r="Q559" s="14" t="n">
        <v>85327</v>
      </c>
      <c r="R559" s="14" t="inlineStr">
        <is>
          <t>EV/EBITDA 8.0× · FCF yld 13% · rev -8% · op margin -3%</t>
        </is>
      </c>
      <c r="S559" s="14" t="inlineStr">
        <is>
          <t>negative equity</t>
        </is>
      </c>
      <c r="T559" s="14" t="inlineStr">
        <is>
          <t>Distressed Stub Progress</t>
        </is>
      </c>
    </row>
    <row r="560">
      <c r="A560" s="8" t="inlineStr">
        <is>
          <t>CCO</t>
        </is>
      </c>
      <c r="B560" s="16" t="inlineStr">
        <is>
          <t xml:space="preserve">Clear Channel Outdoor </t>
        </is>
      </c>
      <c r="C560" s="16" t="inlineStr">
        <is>
          <t xml:space="preserve">Communication </t>
        </is>
      </c>
      <c r="D560" s="16" t="n">
        <v>1214</v>
      </c>
      <c r="E560" s="16" t="n"/>
      <c r="F560" s="16" t="n">
        <v>-5.5</v>
      </c>
      <c r="G560" s="16" t="n">
        <v>4.8</v>
      </c>
      <c r="H560" s="16" t="inlineStr">
        <is>
          <t>6%</t>
        </is>
      </c>
      <c r="I560" s="16" t="n"/>
      <c r="J560" s="16" t="n">
        <v>0</v>
      </c>
      <c r="K560" s="16" t="inlineStr">
        <is>
          <t>9%</t>
        </is>
      </c>
      <c r="L560" s="16" t="inlineStr">
        <is>
          <t>20%</t>
        </is>
      </c>
      <c r="M560" s="16" t="inlineStr">
        <is>
          <t>9%</t>
        </is>
      </c>
      <c r="N560" s="16" t="inlineStr">
        <is>
          <t>2%</t>
        </is>
      </c>
      <c r="O560" s="16" t="n">
        <v>1.7</v>
      </c>
      <c r="P560" s="16" t="inlineStr">
        <is>
          <t>95%</t>
        </is>
      </c>
      <c r="Q560" s="16" t="n">
        <v>18380</v>
      </c>
      <c r="R560" s="16" t="inlineStr">
        <is>
          <t>EV/EBITDA 4.8× · FCF yld 6% · rev +9% · op margin 20% · diluting 2%/yr</t>
        </is>
      </c>
      <c r="S560" s="16" t="inlineStr">
        <is>
          <t>negative equity</t>
        </is>
      </c>
      <c r="T560" s="16" t="inlineStr">
        <is>
          <t>Distressed Stub Progress</t>
        </is>
      </c>
    </row>
    <row r="561">
      <c r="A561" s="6" t="inlineStr">
        <is>
          <t>NOTVQ</t>
        </is>
      </c>
      <c r="B561" s="14" t="inlineStr">
        <is>
          <t>Inotiv, Inc.</t>
        </is>
      </c>
      <c r="C561" s="14" t="inlineStr">
        <is>
          <t>Healthcare</t>
        </is>
      </c>
      <c r="D561" s="14" t="n">
        <v>0</v>
      </c>
      <c r="E561" s="14" t="n"/>
      <c r="F561" s="14" t="n">
        <v>-0</v>
      </c>
      <c r="G561" s="14" t="n">
        <v>46.4</v>
      </c>
      <c r="H561" s="14" t="n"/>
      <c r="I561" s="14" t="n"/>
      <c r="J561" s="14" t="n">
        <v>46.3</v>
      </c>
      <c r="K561" s="14" t="inlineStr">
        <is>
          <t>6%</t>
        </is>
      </c>
      <c r="L561" s="14" t="inlineStr">
        <is>
          <t>-9%</t>
        </is>
      </c>
      <c r="M561" s="14" t="inlineStr">
        <is>
          <t>-75%</t>
        </is>
      </c>
      <c r="N561" s="14" t="inlineStr">
        <is>
          <t>2%</t>
        </is>
      </c>
      <c r="O561" s="14" t="n">
        <v>-0.8</v>
      </c>
      <c r="P561" s="14" t="inlineStr">
        <is>
          <t>0%</t>
        </is>
      </c>
      <c r="Q561" s="14" t="n">
        <v>221</v>
      </c>
      <c r="R561" s="14" t="inlineStr">
        <is>
          <t>EV/EBITDA 46.4× · rev +6% · op margin -9%</t>
        </is>
      </c>
      <c r="S561" s="14" t="inlineStr">
        <is>
          <t>market-cap/share data inconsistent; FCF yield &gt;100% (check)</t>
        </is>
      </c>
      <c r="T561" s="14" t="inlineStr">
        <is>
          <t>Distressed Stub Progress</t>
        </is>
      </c>
    </row>
    <row r="562">
      <c r="A562" s="8" t="inlineStr">
        <is>
          <t>NEO</t>
        </is>
      </c>
      <c r="B562" s="16" t="inlineStr">
        <is>
          <t>NeoGenomics, Inc.</t>
        </is>
      </c>
      <c r="C562" s="16" t="inlineStr">
        <is>
          <t>Healthcare</t>
        </is>
      </c>
      <c r="D562" s="16" t="n">
        <v>480</v>
      </c>
      <c r="E562" s="16" t="n">
        <v>0.61</v>
      </c>
      <c r="F562" s="16" t="n">
        <v>-9.300000000000001</v>
      </c>
      <c r="G562" s="16" t="n">
        <v>60.1</v>
      </c>
      <c r="H562" s="16" t="inlineStr">
        <is>
          <t>-2%</t>
        </is>
      </c>
      <c r="I562" s="16" t="inlineStr">
        <is>
          <t>-63%</t>
        </is>
      </c>
      <c r="J562" s="16" t="n">
        <v>23.5</v>
      </c>
      <c r="K562" s="16" t="inlineStr">
        <is>
          <t>11%</t>
        </is>
      </c>
      <c r="L562" s="16" t="inlineStr">
        <is>
          <t>-9%</t>
        </is>
      </c>
      <c r="M562" s="16" t="inlineStr">
        <is>
          <t>-6%</t>
        </is>
      </c>
      <c r="N562" s="16" t="inlineStr">
        <is>
          <t>2%</t>
        </is>
      </c>
      <c r="O562" s="16" t="n">
        <v>-25.6</v>
      </c>
      <c r="P562" s="16" t="inlineStr">
        <is>
          <t>89%</t>
        </is>
      </c>
      <c r="Q562" s="16" t="n">
        <v>46134</v>
      </c>
      <c r="R562" s="16" t="inlineStr">
        <is>
          <t>P/B 0.61 · EV/EBITDA 60.1× · FCF yld -2% · net debt 63% of mcap · rev +11% · op margin -9% · diluting 2%/yr · interest cover -25.6× ⚠</t>
        </is>
      </c>
      <c r="S562" s="16" t="inlineStr"/>
      <c r="T562" s="16" t="inlineStr">
        <is>
          <t>Distressed Stub Progress</t>
        </is>
      </c>
    </row>
    <row r="563">
      <c r="A563" s="6" t="inlineStr">
        <is>
          <t>REAL</t>
        </is>
      </c>
      <c r="B563" s="14" t="inlineStr">
        <is>
          <t>The RealReal, Inc.</t>
        </is>
      </c>
      <c r="C563" s="14" t="inlineStr">
        <is>
          <t>Consumer Cycli</t>
        </is>
      </c>
      <c r="D563" s="14" t="n">
        <v>1110</v>
      </c>
      <c r="E563" s="14" t="n"/>
      <c r="F563" s="14" t="n">
        <v>-13.1</v>
      </c>
      <c r="G563" s="14" t="n">
        <v>-126.2</v>
      </c>
      <c r="H563" s="14" t="inlineStr">
        <is>
          <t>3%</t>
        </is>
      </c>
      <c r="I563" s="14" t="n"/>
      <c r="J563" s="14" t="n">
        <v>-30</v>
      </c>
      <c r="K563" s="14" t="inlineStr">
        <is>
          <t>18%</t>
        </is>
      </c>
      <c r="L563" s="14" t="inlineStr">
        <is>
          <t>-1%</t>
        </is>
      </c>
      <c r="M563" s="14" t="inlineStr">
        <is>
          <t>21%</t>
        </is>
      </c>
      <c r="N563" s="14" t="inlineStr">
        <is>
          <t>1%</t>
        </is>
      </c>
      <c r="O563" s="14" t="n">
        <v>-0.2</v>
      </c>
      <c r="P563" s="14" t="inlineStr">
        <is>
          <t>12%</t>
        </is>
      </c>
      <c r="Q563" s="14" t="n">
        <v>28157</v>
      </c>
      <c r="R563" s="14" t="inlineStr">
        <is>
          <t>P/S 1.5 · FCF yld 3% · rev +18% · op margin -1%</t>
        </is>
      </c>
      <c r="S563" s="14" t="inlineStr">
        <is>
          <t>negative equity</t>
        </is>
      </c>
      <c r="T563" s="14" t="inlineStr">
        <is>
          <t>Distressed Stub Progress</t>
        </is>
      </c>
    </row>
    <row r="564">
      <c r="A564" s="8" t="inlineStr">
        <is>
          <t>SPCE</t>
        </is>
      </c>
      <c r="B564" s="16" t="inlineStr">
        <is>
          <t>Virgin Galactic Holdin</t>
        </is>
      </c>
      <c r="C564" s="16" t="inlineStr">
        <is>
          <t>Industrials</t>
        </is>
      </c>
      <c r="D564" s="16" t="n">
        <v>413</v>
      </c>
      <c r="E564" s="16" t="n">
        <v>1.04</v>
      </c>
      <c r="F564" s="16" t="n">
        <v>-0.9</v>
      </c>
      <c r="G564" s="16" t="n">
        <v>-2.2</v>
      </c>
      <c r="H564" s="16" t="inlineStr">
        <is>
          <t>-97%</t>
        </is>
      </c>
      <c r="I564" s="16" t="inlineStr">
        <is>
          <t>-2%</t>
        </is>
      </c>
      <c r="J564" s="16" t="n">
        <v>-0.4</v>
      </c>
      <c r="K564" s="16" t="n"/>
      <c r="L564" s="16" t="inlineStr">
        <is>
          <t>-24588%</t>
        </is>
      </c>
      <c r="M564" s="16" t="inlineStr">
        <is>
          <t>-89%</t>
        </is>
      </c>
      <c r="N564" s="16" t="n"/>
      <c r="O564" s="16" t="n">
        <v>-25.2</v>
      </c>
      <c r="P564" s="16" t="inlineStr">
        <is>
          <t>16%</t>
        </is>
      </c>
      <c r="Q564" s="16" t="n">
        <v>77191</v>
      </c>
      <c r="R564" s="16" t="inlineStr">
        <is>
          <t>P/B 1.04 · P/S 385.9 · FCF yld -97% · net debt 2% of mcap</t>
        </is>
      </c>
      <c r="S564" s="16" t="inlineStr">
        <is>
          <t>new entity / merger: history not comparable</t>
        </is>
      </c>
      <c r="T564" s="16" t="inlineStr">
        <is>
          <t>Distressed Stub Progress</t>
        </is>
      </c>
    </row>
    <row r="565">
      <c r="A565" s="6" t="inlineStr">
        <is>
          <t>IEP</t>
        </is>
      </c>
      <c r="B565" s="14" t="inlineStr">
        <is>
          <t>Icahn Enterprises L.P.</t>
        </is>
      </c>
      <c r="C565" s="14" t="inlineStr">
        <is>
          <t>Energy</t>
        </is>
      </c>
      <c r="D565" s="14" t="n">
        <v>4755</v>
      </c>
      <c r="E565" s="14" t="n">
        <v>2.62</v>
      </c>
      <c r="F565" s="14" t="n">
        <v>-9.6</v>
      </c>
      <c r="G565" s="14" t="n">
        <v>25</v>
      </c>
      <c r="H565" s="14" t="inlineStr">
        <is>
          <t>-5%</t>
        </is>
      </c>
      <c r="I565" s="14" t="inlineStr">
        <is>
          <t>-98%</t>
        </is>
      </c>
      <c r="J565" s="14" t="n">
        <v>13.3</v>
      </c>
      <c r="K565" s="14" t="inlineStr">
        <is>
          <t>10%</t>
        </is>
      </c>
      <c r="L565" s="14" t="inlineStr">
        <is>
          <t>-3%</t>
        </is>
      </c>
      <c r="M565" s="14" t="inlineStr">
        <is>
          <t>-22%</t>
        </is>
      </c>
      <c r="N565" s="14" t="inlineStr">
        <is>
          <t>23%</t>
        </is>
      </c>
      <c r="O565" s="14" t="n">
        <v>-0.7</v>
      </c>
      <c r="P565" s="14" t="inlineStr">
        <is>
          <t>20%</t>
        </is>
      </c>
      <c r="Q565" s="14" t="n">
        <v>6889</v>
      </c>
      <c r="R565" s="14" t="inlineStr">
        <is>
          <t>P/B 2.62 · EV/EBITDA 25.0× · FCF yld -5% · net debt 98% of mcap · rev +10% · op margin -3% · diluting 23%/yr · interest cover -0.7× ⚠</t>
        </is>
      </c>
      <c r="S565" s="14" t="inlineStr">
        <is>
          <t>dividend yield &gt;25% (special or bad data)</t>
        </is>
      </c>
      <c r="T565" s="14" t="inlineStr">
        <is>
          <t>Distressed Stub Progress</t>
        </is>
      </c>
    </row>
    <row r="566">
      <c r="A566" s="8" t="inlineStr">
        <is>
          <t>STEM</t>
        </is>
      </c>
      <c r="B566" s="16" t="inlineStr">
        <is>
          <t>Stem, Inc.</t>
        </is>
      </c>
      <c r="C566" s="16" t="inlineStr">
        <is>
          <t>Utilities</t>
        </is>
      </c>
      <c r="D566" s="16" t="n">
        <v>35</v>
      </c>
      <c r="E566" s="16" t="n"/>
      <c r="F566" s="16" t="n">
        <v>-0.4</v>
      </c>
      <c r="G566" s="16" t="n">
        <v>-64.2</v>
      </c>
      <c r="H566" s="16" t="inlineStr">
        <is>
          <t>17%</t>
        </is>
      </c>
      <c r="I566" s="16" t="n"/>
      <c r="J566" s="16" t="n">
        <v>-58.1</v>
      </c>
      <c r="K566" s="16" t="inlineStr">
        <is>
          <t>-5%</t>
        </is>
      </c>
      <c r="L566" s="16" t="inlineStr">
        <is>
          <t>-30%</t>
        </is>
      </c>
      <c r="M566" s="16" t="inlineStr">
        <is>
          <t>29%</t>
        </is>
      </c>
      <c r="N566" s="16" t="inlineStr">
        <is>
          <t>7%</t>
        </is>
      </c>
      <c r="O566" s="16" t="n">
        <v>-1.5</v>
      </c>
      <c r="P566" s="16" t="inlineStr">
        <is>
          <t>0%</t>
        </is>
      </c>
      <c r="Q566" s="16" t="n">
        <v>506</v>
      </c>
      <c r="R566" s="16" t="inlineStr">
        <is>
          <t>P/S 0.2 · FCF yld 17% · rev -5% · op margin -30% · diluting 7%/yr</t>
        </is>
      </c>
      <c r="S566" s="16" t="inlineStr">
        <is>
          <t>negative equity</t>
        </is>
      </c>
      <c r="T566" s="16" t="inlineStr">
        <is>
          <t>Distressed Stub Progress</t>
        </is>
      </c>
    </row>
    <row r="567">
      <c r="A567" s="6" t="inlineStr">
        <is>
          <t>LXU</t>
        </is>
      </c>
      <c r="B567" s="14" t="inlineStr">
        <is>
          <t>LSB Industries, Inc.</t>
        </is>
      </c>
      <c r="C567" s="14" t="inlineStr">
        <is>
          <t>Basic Material</t>
        </is>
      </c>
      <c r="D567" s="14" t="n">
        <v>757</v>
      </c>
      <c r="E567" s="14" t="n">
        <v>1.4</v>
      </c>
      <c r="F567" s="14" t="n">
        <v>20.7</v>
      </c>
      <c r="G567" s="14" t="n">
        <v>7.9</v>
      </c>
      <c r="H567" s="14" t="inlineStr">
        <is>
          <t>22%</t>
        </is>
      </c>
      <c r="I567" s="14" t="inlineStr">
        <is>
          <t>-35%</t>
        </is>
      </c>
      <c r="J567" s="14" t="n">
        <v>3</v>
      </c>
      <c r="K567" s="14" t="inlineStr">
        <is>
          <t>22%</t>
        </is>
      </c>
      <c r="L567" s="14" t="inlineStr">
        <is>
          <t>10%</t>
        </is>
      </c>
      <c r="M567" s="14" t="inlineStr">
        <is>
          <t>7%</t>
        </is>
      </c>
      <c r="N567" s="14" t="inlineStr">
        <is>
          <t>1%</t>
        </is>
      </c>
      <c r="O567" s="14" t="n">
        <v>2.4</v>
      </c>
      <c r="P567" s="14" t="inlineStr">
        <is>
          <t>30%</t>
        </is>
      </c>
      <c r="Q567" s="14" t="n">
        <v>8860</v>
      </c>
      <c r="R567" s="14" t="inlineStr">
        <is>
          <t>P/B 1.40 · EV/EBITDA 7.9× · FCF yld 22% · net debt 35% of mcap · rev +22% · op margin 10%</t>
        </is>
      </c>
      <c r="S567" s="14" t="inlineStr"/>
      <c r="T567" s="14" t="inlineStr">
        <is>
          <t>Distressed Stub Progress</t>
        </is>
      </c>
    </row>
    <row r="568">
      <c r="A568" s="8" t="inlineStr">
        <is>
          <t>SKLZ</t>
        </is>
      </c>
      <c r="B568" s="16" t="inlineStr">
        <is>
          <t>Skillz Inc.</t>
        </is>
      </c>
      <c r="C568" s="16" t="inlineStr">
        <is>
          <t>Technology</t>
        </is>
      </c>
      <c r="D568" s="16" t="n">
        <v>138</v>
      </c>
      <c r="E568" s="16" t="n">
        <v>1.69</v>
      </c>
      <c r="F568" s="16" t="n">
        <v>-1.7</v>
      </c>
      <c r="G568" s="16" t="n">
        <v>-1.8</v>
      </c>
      <c r="H568" s="16" t="inlineStr">
        <is>
          <t>-41%</t>
        </is>
      </c>
      <c r="I568" s="16" t="inlineStr">
        <is>
          <t>23%</t>
        </is>
      </c>
      <c r="J568" s="16" t="n">
        <v>0.5</v>
      </c>
      <c r="K568" s="16" t="inlineStr">
        <is>
          <t>25%</t>
        </is>
      </c>
      <c r="L568" s="16" t="inlineStr">
        <is>
          <t>-71%</t>
        </is>
      </c>
      <c r="M568" s="16" t="inlineStr">
        <is>
          <t>-78%</t>
        </is>
      </c>
      <c r="N568" s="16" t="inlineStr">
        <is>
          <t>4%</t>
        </is>
      </c>
      <c r="O568" s="16" t="n">
        <v>-12</v>
      </c>
      <c r="P568" s="16" t="inlineStr">
        <is>
          <t>37%</t>
        </is>
      </c>
      <c r="Q568" s="16" t="n">
        <v>11470</v>
      </c>
      <c r="R568" s="16" t="inlineStr">
        <is>
          <t>P/B 1.69 · P/S 1.2 · FCF yld -41% · net cash 23% of mcap · rev +25% · op margin -71% · diluting 4%/yr</t>
        </is>
      </c>
      <c r="S568" s="16" t="inlineStr"/>
      <c r="T568" s="16" t="inlineStr">
        <is>
          <t>Distressed Stub Progress</t>
        </is>
      </c>
    </row>
    <row r="569">
      <c r="A569" s="6" t="inlineStr">
        <is>
          <t>MOS</t>
        </is>
      </c>
      <c r="B569" s="14" t="inlineStr">
        <is>
          <t>The Mosaic Company</t>
        </is>
      </c>
      <c r="C569" s="14" t="inlineStr">
        <is>
          <t>Basic Material</t>
        </is>
      </c>
      <c r="D569" s="14" t="n">
        <v>7930</v>
      </c>
      <c r="E569" s="14" t="n">
        <v>0.6899999999999999</v>
      </c>
      <c r="F569" s="14" t="n">
        <v>122.4</v>
      </c>
      <c r="G569" s="14" t="n">
        <v>7.8</v>
      </c>
      <c r="H569" s="14" t="inlineStr">
        <is>
          <t>-12%</t>
        </is>
      </c>
      <c r="I569" s="14" t="inlineStr">
        <is>
          <t>-70%</t>
        </is>
      </c>
      <c r="J569" s="14" t="n">
        <v>3.3</v>
      </c>
      <c r="K569" s="14" t="inlineStr">
        <is>
          <t>6%</t>
        </is>
      </c>
      <c r="L569" s="14" t="inlineStr">
        <is>
          <t>1%</t>
        </is>
      </c>
      <c r="M569" s="14" t="inlineStr">
        <is>
          <t>0%</t>
        </is>
      </c>
      <c r="N569" s="14" t="inlineStr">
        <is>
          <t>-0%</t>
        </is>
      </c>
      <c r="O569" s="14" t="n">
        <v>0.7</v>
      </c>
      <c r="P569" s="14" t="inlineStr">
        <is>
          <t>30%</t>
        </is>
      </c>
      <c r="Q569" s="14" t="n">
        <v>214504</v>
      </c>
      <c r="R569" s="14" t="inlineStr">
        <is>
          <t>P/B 0.69 · EV/EBITDA 7.8× · FCF yld -12% · net debt 70% of mcap · rev +6% · op margin 1% · interest cover 0.7× ⚠</t>
        </is>
      </c>
      <c r="S569" s="14" t="inlineStr"/>
      <c r="T569" s="14" t="inlineStr">
        <is>
          <t>Distressed Stub Progress</t>
        </is>
      </c>
    </row>
    <row r="570">
      <c r="A570" s="8" t="inlineStr">
        <is>
          <t>BDN</t>
        </is>
      </c>
      <c r="B570" s="16" t="inlineStr">
        <is>
          <t>Brandywine Realty Trus</t>
        </is>
      </c>
      <c r="C570" s="16" t="inlineStr">
        <is>
          <t>Real Estate</t>
        </is>
      </c>
      <c r="D570" s="16" t="n">
        <v>499</v>
      </c>
      <c r="E570" s="16" t="n">
        <v>0.72</v>
      </c>
      <c r="F570" s="16" t="n">
        <v>-3.5</v>
      </c>
      <c r="G570" s="16" t="n">
        <v>16.2</v>
      </c>
      <c r="H570" s="16" t="inlineStr">
        <is>
          <t>10%</t>
        </is>
      </c>
      <c r="I570" s="16" t="inlineStr">
        <is>
          <t>-523%</t>
        </is>
      </c>
      <c r="J570" s="16" t="n">
        <v>13.6</v>
      </c>
      <c r="K570" s="16" t="inlineStr">
        <is>
          <t>1%</t>
        </is>
      </c>
      <c r="L570" s="16" t="inlineStr">
        <is>
          <t>13%</t>
        </is>
      </c>
      <c r="M570" s="16" t="inlineStr">
        <is>
          <t>-19%</t>
        </is>
      </c>
      <c r="N570" s="16" t="inlineStr">
        <is>
          <t>0%</t>
        </is>
      </c>
      <c r="O570" s="16" t="n">
        <v>0.4</v>
      </c>
      <c r="P570" s="16" t="inlineStr">
        <is>
          <t>20%</t>
        </is>
      </c>
      <c r="Q570" s="16" t="n">
        <v>5453</v>
      </c>
      <c r="R570" s="16" t="inlineStr">
        <is>
          <t>P/B 0.72 · EV/EBITDA 16.2× · FCF yld 10% · net debt 523% of mcap · rev +1% · op margin 13% · interest cover 0.4× ⚠</t>
        </is>
      </c>
      <c r="S570" s="16" t="inlineStr"/>
      <c r="T570" s="16" t="inlineStr">
        <is>
          <t>Distressed Stub Progress</t>
        </is>
      </c>
    </row>
    <row r="571">
      <c r="A571" s="6" t="inlineStr">
        <is>
          <t>KW</t>
        </is>
      </c>
      <c r="B571" s="14" t="inlineStr">
        <is>
          <t>Kennedy-Wilson Holding</t>
        </is>
      </c>
      <c r="C571" s="14" t="inlineStr">
        <is>
          <t>Real Estate</t>
        </is>
      </c>
      <c r="D571" s="14" t="n">
        <v>1521</v>
      </c>
      <c r="E571" s="14" t="n">
        <v>1</v>
      </c>
      <c r="F571" s="14" t="n">
        <v>54.9</v>
      </c>
      <c r="G571" s="14" t="n">
        <v>13.7</v>
      </c>
      <c r="H571" s="14" t="inlineStr">
        <is>
          <t>-2%</t>
        </is>
      </c>
      <c r="I571" s="14" t="inlineStr">
        <is>
          <t>-307%</t>
        </is>
      </c>
      <c r="J571" s="14" t="n">
        <v>10.3</v>
      </c>
      <c r="K571" s="14" t="inlineStr">
        <is>
          <t>-6%</t>
        </is>
      </c>
      <c r="L571" s="14" t="inlineStr">
        <is>
          <t>7%</t>
        </is>
      </c>
      <c r="M571" s="14" t="inlineStr">
        <is>
          <t>4%</t>
        </is>
      </c>
      <c r="N571" s="14" t="inlineStr">
        <is>
          <t>1%</t>
        </is>
      </c>
      <c r="O571" s="14" t="n">
        <v>0.1</v>
      </c>
      <c r="P571" s="14" t="inlineStr">
        <is>
          <t>96%</t>
        </is>
      </c>
      <c r="Q571" s="14" t="n">
        <v>14985</v>
      </c>
      <c r="R571" s="14" t="inlineStr">
        <is>
          <t>P/B 1.00 · EV/EBITDA 13.7× · FCF yld -2% · net debt 307% of mcap · rev -6% · op margin 7% · interest cover 0.1× ⚠</t>
        </is>
      </c>
      <c r="S571" s="14" t="inlineStr"/>
      <c r="T571" s="14" t="inlineStr">
        <is>
          <t>Distressed Stub Progress</t>
        </is>
      </c>
    </row>
    <row r="572">
      <c r="A572" s="8" t="inlineStr">
        <is>
          <t>MRVI</t>
        </is>
      </c>
      <c r="B572" s="16" t="inlineStr">
        <is>
          <t>Maravai LifeSciences H</t>
        </is>
      </c>
      <c r="C572" s="16" t="inlineStr">
        <is>
          <t>Healthcare</t>
        </is>
      </c>
      <c r="D572" s="16" t="n">
        <v>2003</v>
      </c>
      <c r="E572" s="16" t="n">
        <v>9.789999999999999</v>
      </c>
      <c r="F572" s="16" t="n">
        <v>-13.7</v>
      </c>
      <c r="G572" s="16" t="n">
        <v>-37.5</v>
      </c>
      <c r="H572" s="16" t="inlineStr">
        <is>
          <t>-2%</t>
        </is>
      </c>
      <c r="I572" s="16" t="inlineStr">
        <is>
          <t>-5%</t>
        </is>
      </c>
      <c r="J572" s="16" t="n">
        <v>-1.9</v>
      </c>
      <c r="K572" s="16" t="inlineStr">
        <is>
          <t>-3%</t>
        </is>
      </c>
      <c r="L572" s="16" t="inlineStr">
        <is>
          <t>46%</t>
        </is>
      </c>
      <c r="M572" s="16" t="inlineStr">
        <is>
          <t>-35%</t>
        </is>
      </c>
      <c r="N572" s="16" t="inlineStr">
        <is>
          <t>3%</t>
        </is>
      </c>
      <c r="O572" s="16" t="n">
        <v>4</v>
      </c>
      <c r="P572" s="16" t="inlineStr">
        <is>
          <t>68%</t>
        </is>
      </c>
      <c r="Q572" s="16" t="n">
        <v>23605</v>
      </c>
      <c r="R572" s="16" t="inlineStr">
        <is>
          <t>P/B 9.79 · P/S 9.7 · FCF yld -2% · net debt 5% of mcap · rev -3% · op margin 46% · diluting 3%/yr</t>
        </is>
      </c>
      <c r="S572" s="16" t="inlineStr"/>
      <c r="T572" s="16" t="inlineStr">
        <is>
          <t>Distressed Stub Progress</t>
        </is>
      </c>
    </row>
    <row r="573">
      <c r="A573" s="6" t="inlineStr">
        <is>
          <t>CARG</t>
        </is>
      </c>
      <c r="B573" s="14" t="inlineStr">
        <is>
          <t>CarGurus, Inc.</t>
        </is>
      </c>
      <c r="C573" s="14" t="inlineStr">
        <is>
          <t xml:space="preserve">Communication </t>
        </is>
      </c>
      <c r="D573" s="14" t="n">
        <v>2891</v>
      </c>
      <c r="E573" s="14" t="n">
        <v>10.93</v>
      </c>
      <c r="F573" s="14" t="n">
        <v>16.4</v>
      </c>
      <c r="G573" s="14" t="n">
        <v>10.9</v>
      </c>
      <c r="H573" s="14" t="inlineStr">
        <is>
          <t>10%</t>
        </is>
      </c>
      <c r="I573" s="14" t="inlineStr">
        <is>
          <t>-2%</t>
        </is>
      </c>
      <c r="J573" s="14" t="n">
        <v>0.2</v>
      </c>
      <c r="K573" s="14" t="inlineStr">
        <is>
          <t>6%</t>
        </is>
      </c>
      <c r="L573" s="14" t="inlineStr">
        <is>
          <t>25%</t>
        </is>
      </c>
      <c r="M573" s="14" t="inlineStr">
        <is>
          <t>56%</t>
        </is>
      </c>
      <c r="N573" s="14" t="inlineStr">
        <is>
          <t>-9%</t>
        </is>
      </c>
      <c r="O573" s="14" t="n">
        <v>0</v>
      </c>
      <c r="P573" s="14" t="inlineStr">
        <is>
          <t>24%</t>
        </is>
      </c>
      <c r="Q573" s="14" t="n">
        <v>37055</v>
      </c>
      <c r="R573" s="14" t="inlineStr">
        <is>
          <t>P/B 10.93 · EV/EBITDA 10.9× · FCF yld 10% · net debt 2% of mcap · rev +6% · op margin 25% · buying back 9%/yr</t>
        </is>
      </c>
      <c r="S573" s="14" t="inlineStr"/>
      <c r="T573" s="14" t="inlineStr">
        <is>
          <t>Distressed Stub Progress</t>
        </is>
      </c>
    </row>
    <row r="574">
      <c r="A574" s="8" t="inlineStr">
        <is>
          <t>WOLF</t>
        </is>
      </c>
      <c r="B574" s="16" t="inlineStr">
        <is>
          <t>Wolfspeed Inc.</t>
        </is>
      </c>
      <c r="C574" s="16" t="inlineStr">
        <is>
          <t>Technology</t>
        </is>
      </c>
      <c r="D574" s="16" t="n">
        <v>1442</v>
      </c>
      <c r="E574" s="16" t="n">
        <v>1.41</v>
      </c>
      <c r="F574" s="16" t="n">
        <v>-1.3</v>
      </c>
      <c r="G574" s="16" t="n">
        <v>-3.4</v>
      </c>
      <c r="H574" s="16" t="inlineStr">
        <is>
          <t>-25%</t>
        </is>
      </c>
      <c r="I574" s="16" t="inlineStr">
        <is>
          <t>-46%</t>
        </is>
      </c>
      <c r="J574" s="16" t="n">
        <v>-1.5</v>
      </c>
      <c r="K574" s="16" t="inlineStr">
        <is>
          <t>-4%</t>
        </is>
      </c>
      <c r="L574" s="16" t="inlineStr">
        <is>
          <t>-79%</t>
        </is>
      </c>
      <c r="M574" s="16" t="inlineStr">
        <is>
          <t>-283%</t>
        </is>
      </c>
      <c r="N574" s="16" t="inlineStr">
        <is>
          <t>-17%</t>
        </is>
      </c>
      <c r="O574" s="16" t="n">
        <v>-3.5</v>
      </c>
      <c r="P574" s="16" t="inlineStr">
        <is>
          <t>27%</t>
        </is>
      </c>
      <c r="Q574" s="16" t="n">
        <v>182644</v>
      </c>
      <c r="R574" s="16" t="inlineStr">
        <is>
          <t>P/B 1.41 · P/S 2.1 · FCF yld -25% · net debt 46% of mcap · rev -4% · op margin -79% · buying back 17%/yr · interest cover -3.5× ⚠</t>
        </is>
      </c>
      <c r="S574" s="16" t="inlineStr"/>
      <c r="T574" s="16" t="inlineStr">
        <is>
          <t>Distressed Stub Progress</t>
        </is>
      </c>
    </row>
    <row r="575">
      <c r="A575" s="6" t="inlineStr">
        <is>
          <t>NUVB</t>
        </is>
      </c>
      <c r="B575" s="14" t="inlineStr">
        <is>
          <t>Nuvation Bio Inc.</t>
        </is>
      </c>
      <c r="C575" s="14" t="inlineStr">
        <is>
          <t>Healthcare</t>
        </is>
      </c>
      <c r="D575" s="14" t="n">
        <v>2052</v>
      </c>
      <c r="E575" s="14" t="n">
        <v>8.08</v>
      </c>
      <c r="F575" s="14" t="n">
        <v>-13.3</v>
      </c>
      <c r="G575" s="14" t="n">
        <v>-15.5</v>
      </c>
      <c r="H575" s="14" t="inlineStr">
        <is>
          <t>-4%</t>
        </is>
      </c>
      <c r="I575" s="14" t="inlineStr">
        <is>
          <t>20%</t>
        </is>
      </c>
      <c r="J575" s="14" t="n">
        <v>0.1</v>
      </c>
      <c r="K575" s="14" t="n"/>
      <c r="L575" s="14" t="inlineStr">
        <is>
          <t>-81%</t>
        </is>
      </c>
      <c r="M575" s="14" t="inlineStr">
        <is>
          <t>-50%</t>
        </is>
      </c>
      <c r="N575" s="14" t="inlineStr">
        <is>
          <t>2%</t>
        </is>
      </c>
      <c r="O575" s="14" t="n">
        <v>-5.2</v>
      </c>
      <c r="P575" s="14" t="inlineStr">
        <is>
          <t>43%</t>
        </is>
      </c>
      <c r="Q575" s="14" t="n">
        <v>36151</v>
      </c>
      <c r="R575" s="14" t="inlineStr">
        <is>
          <t>P/B 8.08 · P/S 11.8 · FCF yld -4% · net cash 20% of mcap · op margin -81% · diluting 2%/yr</t>
        </is>
      </c>
      <c r="S575" s="14" t="inlineStr">
        <is>
          <t>revenue not comparable YoY (fair-value / one-off income?)</t>
        </is>
      </c>
      <c r="T575" s="14" t="inlineStr">
        <is>
          <t>Distressed Stub Progress</t>
        </is>
      </c>
    </row>
    <row r="576">
      <c r="A576" s="8" t="inlineStr">
        <is>
          <t>ABUS</t>
        </is>
      </c>
      <c r="B576" s="16" t="inlineStr">
        <is>
          <t>Arbutus Biopharma Corp</t>
        </is>
      </c>
      <c r="C576" s="16" t="inlineStr">
        <is>
          <t>Healthcare</t>
        </is>
      </c>
      <c r="D576" s="16" t="n">
        <v>968</v>
      </c>
      <c r="E576" s="16" t="n">
        <v>3.74</v>
      </c>
      <c r="F576" s="16" t="n">
        <v>6.2</v>
      </c>
      <c r="G576" s="16" t="n">
        <v>6.2</v>
      </c>
      <c r="H576" s="16" t="inlineStr">
        <is>
          <t>-3%</t>
        </is>
      </c>
      <c r="I576" s="16" t="inlineStr">
        <is>
          <t>9%</t>
        </is>
      </c>
      <c r="J576" s="16" t="n">
        <v>-0.1</v>
      </c>
      <c r="K576" s="16" t="n"/>
      <c r="L576" s="16" t="inlineStr">
        <is>
          <t>81%</t>
        </is>
      </c>
      <c r="M576" s="16" t="inlineStr">
        <is>
          <t>91%</t>
        </is>
      </c>
      <c r="N576" s="16" t="inlineStr">
        <is>
          <t>3%</t>
        </is>
      </c>
      <c r="O576" s="16" t="n">
        <v>1937.1</v>
      </c>
      <c r="P576" s="16" t="inlineStr">
        <is>
          <t>72%</t>
        </is>
      </c>
      <c r="Q576" s="16" t="n">
        <v>14165</v>
      </c>
      <c r="R576" s="16" t="inlineStr">
        <is>
          <t>P/B 3.74 · EV/EBITDA 6.2× · FCF yld -3% · net cash 9% of mcap · op margin 81% · diluting 3%/yr</t>
        </is>
      </c>
      <c r="S576" s="16" t="inlineStr">
        <is>
          <t>revenue not comparable YoY (fair-value / one-off income?)</t>
        </is>
      </c>
      <c r="T576" s="16" t="inlineStr">
        <is>
          <t>Distressed Stub Progress</t>
        </is>
      </c>
    </row>
    <row r="577">
      <c r="A577" s="6" t="inlineStr">
        <is>
          <t>ORI</t>
        </is>
      </c>
      <c r="B577" s="14" t="inlineStr">
        <is>
          <t>Old Republic Internati</t>
        </is>
      </c>
      <c r="C577" s="14" t="inlineStr">
        <is>
          <t>Financial Serv</t>
        </is>
      </c>
      <c r="D577" s="14" t="n">
        <v>9443</v>
      </c>
      <c r="E577" s="14" t="n">
        <v>1.55</v>
      </c>
      <c r="F577" s="14" t="n">
        <v>8.199999999999999</v>
      </c>
      <c r="G577" s="14" t="n">
        <v>7.5</v>
      </c>
      <c r="H577" s="14" t="inlineStr">
        <is>
          <t>14%</t>
        </is>
      </c>
      <c r="I577" s="14" t="inlineStr">
        <is>
          <t>4%</t>
        </is>
      </c>
      <c r="J577" s="14" t="n">
        <v>1.2</v>
      </c>
      <c r="K577" s="14" t="inlineStr">
        <is>
          <t>12%</t>
        </is>
      </c>
      <c r="L577" s="14" t="inlineStr">
        <is>
          <t>15%</t>
        </is>
      </c>
      <c r="M577" s="14" t="inlineStr">
        <is>
          <t>19%</t>
        </is>
      </c>
      <c r="N577" s="14" t="inlineStr">
        <is>
          <t>-1%</t>
        </is>
      </c>
      <c r="O577" s="14" t="n">
        <v>18.6</v>
      </c>
      <c r="P577" s="14" t="inlineStr">
        <is>
          <t>21%</t>
        </is>
      </c>
      <c r="Q577" s="14" t="n">
        <v>53479</v>
      </c>
      <c r="R577" s="14" t="inlineStr">
        <is>
          <t>P/B 1.55 · P/E 8.2 · ROE 19% · div yld 9.7% (financial: book/earnings basis)</t>
        </is>
      </c>
      <c r="S577" s="14" t="inlineStr"/>
      <c r="T577" s="14" t="inlineStr">
        <is>
          <t>Distressed Stub Progress</t>
        </is>
      </c>
    </row>
    <row r="578">
      <c r="A578" s="8" t="inlineStr">
        <is>
          <t>EEFT</t>
        </is>
      </c>
      <c r="B578" s="16" t="inlineStr">
        <is>
          <t>Euronet Worldwide, Inc</t>
        </is>
      </c>
      <c r="C578" s="16" t="inlineStr">
        <is>
          <t>Technology</t>
        </is>
      </c>
      <c r="D578" s="16" t="n">
        <v>2492</v>
      </c>
      <c r="E578" s="16" t="n">
        <v>2.03</v>
      </c>
      <c r="F578" s="16" t="n">
        <v>9</v>
      </c>
      <c r="G578" s="16" t="n">
        <v>3.1</v>
      </c>
      <c r="H578" s="16" t="inlineStr">
        <is>
          <t>4%</t>
        </is>
      </c>
      <c r="I578" s="16" t="inlineStr">
        <is>
          <t>-65%</t>
        </is>
      </c>
      <c r="J578" s="16" t="n">
        <v>1.2</v>
      </c>
      <c r="K578" s="16" t="inlineStr">
        <is>
          <t>6%</t>
        </is>
      </c>
      <c r="L578" s="16" t="inlineStr">
        <is>
          <t>12%</t>
        </is>
      </c>
      <c r="M578" s="16" t="inlineStr">
        <is>
          <t>23%</t>
        </is>
      </c>
      <c r="N578" s="16" t="inlineStr">
        <is>
          <t>8%</t>
        </is>
      </c>
      <c r="O578" s="16" t="n">
        <v>7.1</v>
      </c>
      <c r="P578" s="16" t="inlineStr">
        <is>
          <t>11%</t>
        </is>
      </c>
      <c r="Q578" s="16" t="n">
        <v>44565</v>
      </c>
      <c r="R578" s="16" t="inlineStr">
        <is>
          <t>P/B 2.03 · EV/EBITDA 3.1× · FCF yld 4% · net debt 65% of mcap · rev +6% · op margin 12% · diluting 8%/yr</t>
        </is>
      </c>
      <c r="S578" s="16" t="inlineStr"/>
      <c r="T578" s="16" t="inlineStr">
        <is>
          <t>Distressed Stub Progress</t>
        </is>
      </c>
    </row>
    <row r="579">
      <c r="A579" s="6" t="inlineStr">
        <is>
          <t>KRNY</t>
        </is>
      </c>
      <c r="B579" s="14" t="inlineStr">
        <is>
          <t>Kearny Financial Corp.</t>
        </is>
      </c>
      <c r="C579" s="14" t="inlineStr">
        <is>
          <t>Financial Serv</t>
        </is>
      </c>
      <c r="D579" s="14" t="n">
        <v>596</v>
      </c>
      <c r="E579" s="14" t="n">
        <v>0.78</v>
      </c>
      <c r="F579" s="14" t="n">
        <v>16.2</v>
      </c>
      <c r="G579" s="14" t="n">
        <v>31.3</v>
      </c>
      <c r="H579" s="14" t="inlineStr">
        <is>
          <t>6%</t>
        </is>
      </c>
      <c r="I579" s="14" t="inlineStr">
        <is>
          <t>8%</t>
        </is>
      </c>
      <c r="J579" s="14" t="n">
        <v>20</v>
      </c>
      <c r="K579" s="14" t="inlineStr">
        <is>
          <t>-2%</t>
        </is>
      </c>
      <c r="L579" s="14" t="inlineStr">
        <is>
          <t>14%</t>
        </is>
      </c>
      <c r="M579" s="14" t="inlineStr">
        <is>
          <t>5%</t>
        </is>
      </c>
      <c r="N579" s="14" t="inlineStr">
        <is>
          <t>1%</t>
        </is>
      </c>
      <c r="O579" s="14" t="n">
        <v>0.3</v>
      </c>
      <c r="P579" s="14" t="inlineStr">
        <is>
          <t>81%</t>
        </is>
      </c>
      <c r="Q579" s="14" t="n">
        <v>5403</v>
      </c>
      <c r="R579" s="14" t="inlineStr">
        <is>
          <t>P/B 0.78 · P/E 16.2 · ROE 5% · div yld 4.7% (financial: book/earnings basis)</t>
        </is>
      </c>
      <c r="S579" s="14" t="inlineStr"/>
      <c r="T579" s="14" t="inlineStr">
        <is>
          <t>Distressed Stub Progress</t>
        </is>
      </c>
    </row>
    <row r="580">
      <c r="A580" s="8" t="inlineStr">
        <is>
          <t>BBW</t>
        </is>
      </c>
      <c r="B580" s="16" t="inlineStr">
        <is>
          <t>Build-A-Bear Workshop,</t>
        </is>
      </c>
      <c r="C580" s="16" t="inlineStr">
        <is>
          <t>Consumer Cycli</t>
        </is>
      </c>
      <c r="D580" s="16" t="n">
        <v>329</v>
      </c>
      <c r="E580" s="16" t="n">
        <v>2.07</v>
      </c>
      <c r="F580" s="16" t="n">
        <v>6.5</v>
      </c>
      <c r="G580" s="16" t="n">
        <v>5.5</v>
      </c>
      <c r="H580" s="16" t="inlineStr">
        <is>
          <t>8%</t>
        </is>
      </c>
      <c r="I580" s="16" t="inlineStr">
        <is>
          <t>-38%</t>
        </is>
      </c>
      <c r="J580" s="16" t="n">
        <v>1.5</v>
      </c>
      <c r="K580" s="16" t="inlineStr">
        <is>
          <t>-1%</t>
        </is>
      </c>
      <c r="L580" s="16" t="inlineStr">
        <is>
          <t>13%</t>
        </is>
      </c>
      <c r="M580" s="16" t="inlineStr">
        <is>
          <t>33%</t>
        </is>
      </c>
      <c r="N580" s="16" t="inlineStr">
        <is>
          <t>-5%</t>
        </is>
      </c>
      <c r="O580" s="16" t="n">
        <v>0</v>
      </c>
      <c r="P580" s="16" t="inlineStr">
        <is>
          <t>4%</t>
        </is>
      </c>
      <c r="Q580" s="16" t="n">
        <v>13680</v>
      </c>
      <c r="R580" s="16" t="inlineStr">
        <is>
          <t>P/B 2.07 · EV/EBITDA 5.5× · FCF yld 8% · net debt 38% of mcap · rev -1% · op margin 13% · buying back 5%/yr</t>
        </is>
      </c>
      <c r="S580" s="16" t="inlineStr"/>
      <c r="T580" s="16" t="inlineStr">
        <is>
          <t>Distressed Stub Progress</t>
        </is>
      </c>
    </row>
    <row r="581">
      <c r="A581" s="6" t="inlineStr">
        <is>
          <t>MGM</t>
        </is>
      </c>
      <c r="B581" s="14" t="inlineStr">
        <is>
          <t>MGM Resorts Internatio</t>
        </is>
      </c>
      <c r="C581" s="14" t="inlineStr">
        <is>
          <t>Consumer Cycli</t>
        </is>
      </c>
      <c r="D581" s="14" t="n">
        <v>9717</v>
      </c>
      <c r="E581" s="14" t="n">
        <v>3.87</v>
      </c>
      <c r="F581" s="14" t="n">
        <v>22.6</v>
      </c>
      <c r="G581" s="14" t="n">
        <v>18.5</v>
      </c>
      <c r="H581" s="14" t="inlineStr">
        <is>
          <t>18%</t>
        </is>
      </c>
      <c r="I581" s="14" t="inlineStr">
        <is>
          <t>-281%</t>
        </is>
      </c>
      <c r="J581" s="14" t="n">
        <v>13.7</v>
      </c>
      <c r="K581" s="14" t="inlineStr">
        <is>
          <t>3%</t>
        </is>
      </c>
      <c r="L581" s="14" t="inlineStr">
        <is>
          <t>6%</t>
        </is>
      </c>
      <c r="M581" s="14" t="inlineStr">
        <is>
          <t>17%</t>
        </is>
      </c>
      <c r="N581" s="14" t="inlineStr">
        <is>
          <t>-6%</t>
        </is>
      </c>
      <c r="O581" s="14" t="n">
        <v>2.5</v>
      </c>
      <c r="P581" s="14" t="inlineStr">
        <is>
          <t>42%</t>
        </is>
      </c>
      <c r="Q581" s="14" t="n">
        <v>132917</v>
      </c>
      <c r="R581" s="14" t="inlineStr">
        <is>
          <t>P/B 3.87 · EV/EBITDA 18.5× · FCF yld 18% · net debt 281% of mcap · rev +3% · op margin 6% · buying back 6%/yr</t>
        </is>
      </c>
      <c r="S581" s="14" t="inlineStr"/>
      <c r="T581" s="14" t="inlineStr">
        <is>
          <t>Distressed Stub Progress</t>
        </is>
      </c>
    </row>
    <row r="582">
      <c r="A582" s="8" t="inlineStr">
        <is>
          <t>FNF</t>
        </is>
      </c>
      <c r="B582" s="16" t="inlineStr">
        <is>
          <t>Fidelity National Fina</t>
        </is>
      </c>
      <c r="C582" s="16" t="inlineStr">
        <is>
          <t>Financial Serv</t>
        </is>
      </c>
      <c r="D582" s="16" t="n">
        <v>11377</v>
      </c>
      <c r="E582" s="16" t="n">
        <v>1.53</v>
      </c>
      <c r="F582" s="16" t="n">
        <v>14.6</v>
      </c>
      <c r="G582" s="16" t="n">
        <v>4</v>
      </c>
      <c r="H582" s="16" t="inlineStr">
        <is>
          <t>51%</t>
        </is>
      </c>
      <c r="I582" s="16" t="inlineStr">
        <is>
          <t>467%</t>
        </is>
      </c>
      <c r="J582" s="16" t="n">
        <v>0.4</v>
      </c>
      <c r="K582" s="16" t="inlineStr">
        <is>
          <t>15%</t>
        </is>
      </c>
      <c r="L582" s="16" t="inlineStr">
        <is>
          <t>13%</t>
        </is>
      </c>
      <c r="M582" s="16" t="inlineStr">
        <is>
          <t>10%</t>
        </is>
      </c>
      <c r="N582" s="16" t="inlineStr">
        <is>
          <t>-2%</t>
        </is>
      </c>
      <c r="O582" s="16" t="n">
        <v>8.199999999999999</v>
      </c>
      <c r="P582" s="16" t="inlineStr">
        <is>
          <t>1%</t>
        </is>
      </c>
      <c r="Q582" s="16" t="n">
        <v>74340</v>
      </c>
      <c r="R582" s="16" t="inlineStr">
        <is>
          <t>P/B 1.53 · P/E 14.6 · ROE 10% · div yld 4.9% · buying back 2%/yr (financial: book/earnings basis)</t>
        </is>
      </c>
      <c r="S582" s="16" t="inlineStr"/>
      <c r="T582" s="16" t="inlineStr">
        <is>
          <t>Distressed Stub Progress</t>
        </is>
      </c>
    </row>
    <row r="583">
      <c r="A583" s="6" t="inlineStr">
        <is>
          <t>DTI</t>
        </is>
      </c>
      <c r="B583" s="14" t="inlineStr">
        <is>
          <t>Drilling Tools Interna</t>
        </is>
      </c>
      <c r="C583" s="14" t="inlineStr">
        <is>
          <t>Energy</t>
        </is>
      </c>
      <c r="D583" s="14" t="n">
        <v>85</v>
      </c>
      <c r="E583" s="14" t="n">
        <v>0.71</v>
      </c>
      <c r="F583" s="14" t="n">
        <v>-29.9</v>
      </c>
      <c r="G583" s="14" t="n">
        <v>4.5</v>
      </c>
      <c r="H583" s="14" t="inlineStr">
        <is>
          <t>-12%</t>
        </is>
      </c>
      <c r="I583" s="14" t="inlineStr">
        <is>
          <t>-90%</t>
        </is>
      </c>
      <c r="J583" s="14" t="n">
        <v>2.2</v>
      </c>
      <c r="K583" s="14" t="inlineStr">
        <is>
          <t>-5%</t>
        </is>
      </c>
      <c r="L583" s="14" t="inlineStr">
        <is>
          <t>4%</t>
        </is>
      </c>
      <c r="M583" s="14" t="inlineStr">
        <is>
          <t>-2%</t>
        </is>
      </c>
      <c r="N583" s="14" t="inlineStr">
        <is>
          <t>-1%</t>
        </is>
      </c>
      <c r="O583" s="14" t="n">
        <v>1.5</v>
      </c>
      <c r="P583" s="14" t="inlineStr">
        <is>
          <t>25%</t>
        </is>
      </c>
      <c r="Q583" s="14" t="n">
        <v>611</v>
      </c>
      <c r="R583" s="14" t="inlineStr">
        <is>
          <t>P/B 0.71 · EV/EBITDA 4.5× · FCF yld -12% · net debt 90% of mcap · rev -5% · op margin 4% · interest cover 1.5× ⚠</t>
        </is>
      </c>
      <c r="S583" s="14" t="inlineStr"/>
      <c r="T583" s="14" t="inlineStr">
        <is>
          <t>Distressed Stub Progress</t>
        </is>
      </c>
    </row>
    <row r="584">
      <c r="A584" s="8" t="inlineStr">
        <is>
          <t>CCK</t>
        </is>
      </c>
      <c r="B584" s="16" t="inlineStr">
        <is>
          <t>Crown Holdings, Inc.</t>
        </is>
      </c>
      <c r="C584" s="16" t="inlineStr">
        <is>
          <t>Consumer Cycli</t>
        </is>
      </c>
      <c r="D584" s="16" t="n">
        <v>12055</v>
      </c>
      <c r="E584" s="16" t="n">
        <v>4.2</v>
      </c>
      <c r="F584" s="16" t="n">
        <v>15.8</v>
      </c>
      <c r="G584" s="16" t="n">
        <v>8.4</v>
      </c>
      <c r="H584" s="16" t="inlineStr">
        <is>
          <t>10%</t>
        </is>
      </c>
      <c r="I584" s="16" t="inlineStr">
        <is>
          <t>-47%</t>
        </is>
      </c>
      <c r="J584" s="16" t="n">
        <v>2.7</v>
      </c>
      <c r="K584" s="16" t="inlineStr">
        <is>
          <t>10%</t>
        </is>
      </c>
      <c r="L584" s="16" t="inlineStr">
        <is>
          <t>14%</t>
        </is>
      </c>
      <c r="M584" s="16" t="inlineStr">
        <is>
          <t>27%</t>
        </is>
      </c>
      <c r="N584" s="16" t="inlineStr">
        <is>
          <t>-5%</t>
        </is>
      </c>
      <c r="O584" s="16" t="n">
        <v>4.6</v>
      </c>
      <c r="P584" s="16" t="inlineStr">
        <is>
          <t>64%</t>
        </is>
      </c>
      <c r="Q584" s="16" t="n">
        <v>115425</v>
      </c>
      <c r="R584" s="16" t="inlineStr">
        <is>
          <t>P/B 4.20 · EV/EBITDA 8.4× · FCF yld 10% · net debt 47% of mcap · rev +10% · op margin 14% · buying back 5%/yr</t>
        </is>
      </c>
      <c r="S584" s="16" t="inlineStr"/>
      <c r="T584" s="16" t="inlineStr">
        <is>
          <t>Distressed Stub Progress</t>
        </is>
      </c>
    </row>
    <row r="585">
      <c r="A585" s="6" t="inlineStr">
        <is>
          <t>CCOI</t>
        </is>
      </c>
      <c r="B585" s="14" t="inlineStr">
        <is>
          <t xml:space="preserve">Cogent Communications </t>
        </is>
      </c>
      <c r="C585" s="14" t="inlineStr">
        <is>
          <t xml:space="preserve">Communication </t>
        </is>
      </c>
      <c r="D585" s="14" t="n">
        <v>439</v>
      </c>
      <c r="E585" s="14" t="n"/>
      <c r="F585" s="14" t="n">
        <v>-4.7</v>
      </c>
      <c r="G585" s="14" t="n">
        <v>7.5</v>
      </c>
      <c r="H585" s="14" t="inlineStr">
        <is>
          <t>-35%</t>
        </is>
      </c>
      <c r="I585" s="14" t="n"/>
      <c r="J585" s="14" t="n">
        <v>6.5</v>
      </c>
      <c r="K585" s="14" t="inlineStr">
        <is>
          <t>17%</t>
        </is>
      </c>
      <c r="L585" s="14" t="inlineStr">
        <is>
          <t>5%</t>
        </is>
      </c>
      <c r="M585" s="14" t="inlineStr">
        <is>
          <t>141%</t>
        </is>
      </c>
      <c r="N585" s="14" t="inlineStr">
        <is>
          <t>2%</t>
        </is>
      </c>
      <c r="O585" s="14" t="n">
        <v>0.3</v>
      </c>
      <c r="P585" s="14" t="inlineStr">
        <is>
          <t>1%</t>
        </is>
      </c>
      <c r="Q585" s="14" t="n">
        <v>13840</v>
      </c>
      <c r="R585" s="14" t="inlineStr">
        <is>
          <t>EV/EBITDA 7.5× · FCF yld -35% · rev +17% · op margin 5%</t>
        </is>
      </c>
      <c r="S585" s="14" t="inlineStr">
        <is>
          <t>negative equity</t>
        </is>
      </c>
      <c r="T585" s="14" t="inlineStr">
        <is>
          <t>Distressed Stub Progress</t>
        </is>
      </c>
    </row>
    <row r="586">
      <c r="A586" s="8" t="inlineStr">
        <is>
          <t>CHRS</t>
        </is>
      </c>
      <c r="B586" s="16" t="inlineStr">
        <is>
          <t>Coherus Oncology, Inc.</t>
        </is>
      </c>
      <c r="C586" s="16" t="inlineStr">
        <is>
          <t>Healthcare</t>
        </is>
      </c>
      <c r="D586" s="16" t="n">
        <v>192</v>
      </c>
      <c r="E586" s="16" t="n">
        <v>3.16</v>
      </c>
      <c r="F586" s="16" t="n">
        <v>-1.2</v>
      </c>
      <c r="G586" s="16" t="n">
        <v>-1</v>
      </c>
      <c r="H586" s="16" t="n"/>
      <c r="I586" s="16" t="inlineStr">
        <is>
          <t>35%</t>
        </is>
      </c>
      <c r="J586" s="16" t="n">
        <v>0.3</v>
      </c>
      <c r="K586" s="16" t="inlineStr">
        <is>
          <t>-64%</t>
        </is>
      </c>
      <c r="L586" s="16" t="inlineStr">
        <is>
          <t>-307%</t>
        </is>
      </c>
      <c r="M586" s="16" t="inlineStr">
        <is>
          <t>-182%</t>
        </is>
      </c>
      <c r="N586" s="16" t="inlineStr">
        <is>
          <t>33%</t>
        </is>
      </c>
      <c r="O586" s="16" t="n">
        <v>-17.2</v>
      </c>
      <c r="P586" s="16" t="inlineStr">
        <is>
          <t>10%</t>
        </is>
      </c>
      <c r="Q586" s="16" t="n">
        <v>1319</v>
      </c>
      <c r="R586" s="16" t="inlineStr">
        <is>
          <t>P/B 3.16 · P/S 3.7 · net cash 35% of mcap · rev -64% · op margin -307% · diluting 33%/yr</t>
        </is>
      </c>
      <c r="S586" s="16" t="inlineStr">
        <is>
          <t>FCF yield &gt;100% (check)</t>
        </is>
      </c>
      <c r="T586" s="16" t="inlineStr">
        <is>
          <t>Distressed Stub Progress</t>
        </is>
      </c>
    </row>
    <row r="587">
      <c r="A587" s="6" t="inlineStr">
        <is>
          <t>EVC</t>
        </is>
      </c>
      <c r="B587" s="14" t="inlineStr">
        <is>
          <t>Entravision Communicat</t>
        </is>
      </c>
      <c r="C587" s="14" t="inlineStr">
        <is>
          <t xml:space="preserve">Communication </t>
        </is>
      </c>
      <c r="D587" s="14" t="n">
        <v>723</v>
      </c>
      <c r="E587" s="14" t="n">
        <v>8.65</v>
      </c>
      <c r="F587" s="14" t="n">
        <v>198</v>
      </c>
      <c r="G587" s="14" t="n">
        <v>24.1</v>
      </c>
      <c r="H587" s="14" t="inlineStr">
        <is>
          <t>7%</t>
        </is>
      </c>
      <c r="I587" s="14" t="inlineStr">
        <is>
          <t>-17%</t>
        </is>
      </c>
      <c r="J587" s="14" t="n">
        <v>3.6</v>
      </c>
      <c r="K587" s="14" t="inlineStr">
        <is>
          <t>71%</t>
        </is>
      </c>
      <c r="L587" s="14" t="inlineStr">
        <is>
          <t>8%</t>
        </is>
      </c>
      <c r="M587" s="14" t="inlineStr">
        <is>
          <t>7%</t>
        </is>
      </c>
      <c r="N587" s="14" t="inlineStr">
        <is>
          <t>13%</t>
        </is>
      </c>
      <c r="O587" s="14" t="n">
        <v>4.1</v>
      </c>
      <c r="P587" s="14" t="inlineStr">
        <is>
          <t>50%</t>
        </is>
      </c>
      <c r="Q587" s="14" t="n">
        <v>14964</v>
      </c>
      <c r="R587" s="14" t="inlineStr">
        <is>
          <t>P/B 8.65 · EV/EBITDA 24.1× · FCF yld 7% · net debt 17% of mcap · rev +71% · op margin 8% · diluting 13%/yr</t>
        </is>
      </c>
      <c r="S587" s="14" t="inlineStr"/>
      <c r="T587" s="14" t="inlineStr">
        <is>
          <t>Hidden Asset Realisation</t>
        </is>
      </c>
    </row>
    <row r="588">
      <c r="A588" s="8" t="inlineStr">
        <is>
          <t>LMNR</t>
        </is>
      </c>
      <c r="B588" s="16" t="inlineStr">
        <is>
          <t>Limoneira Company</t>
        </is>
      </c>
      <c r="C588" s="16" t="inlineStr">
        <is>
          <t>Consumer Defen</t>
        </is>
      </c>
      <c r="D588" s="16" t="n">
        <v>225</v>
      </c>
      <c r="E588" s="16" t="n">
        <v>1.58</v>
      </c>
      <c r="F588" s="16" t="n">
        <v>-5.1</v>
      </c>
      <c r="G588" s="16" t="n">
        <v>-8.4</v>
      </c>
      <c r="H588" s="16" t="inlineStr">
        <is>
          <t>-14%</t>
        </is>
      </c>
      <c r="I588" s="16" t="inlineStr">
        <is>
          <t>-47%</t>
        </is>
      </c>
      <c r="J588" s="16" t="n">
        <v>-2.7</v>
      </c>
      <c r="K588" s="16" t="inlineStr">
        <is>
          <t>-25%</t>
        </is>
      </c>
      <c r="L588" s="16" t="inlineStr">
        <is>
          <t>-22%</t>
        </is>
      </c>
      <c r="M588" s="16" t="inlineStr">
        <is>
          <t>-27%</t>
        </is>
      </c>
      <c r="N588" s="16" t="inlineStr">
        <is>
          <t>1%</t>
        </is>
      </c>
      <c r="O588" s="16" t="n">
        <v>-9.1</v>
      </c>
      <c r="P588" s="16" t="inlineStr">
        <is>
          <t>20%</t>
        </is>
      </c>
      <c r="Q588" s="16" t="n">
        <v>1242</v>
      </c>
      <c r="R588" s="16" t="inlineStr">
        <is>
          <t>P/B 1.58 · P/S 1.7 · FCF yld -14% · net debt 47% of mcap · rev -25% · op margin -22% · interest cover -9.1× ⚠</t>
        </is>
      </c>
      <c r="S588" s="16" t="inlineStr"/>
      <c r="T588" s="16" t="inlineStr">
        <is>
          <t>Hidden Asset Realisation</t>
        </is>
      </c>
    </row>
    <row r="589">
      <c r="A589" s="6" t="inlineStr">
        <is>
          <t>MDIA</t>
        </is>
      </c>
      <c r="B589" s="14" t="inlineStr">
        <is>
          <t>MediaCo Holding Inc.</t>
        </is>
      </c>
      <c r="C589" s="14" t="inlineStr">
        <is>
          <t xml:space="preserve">Communication </t>
        </is>
      </c>
      <c r="D589" s="14" t="n">
        <v>84</v>
      </c>
      <c r="E589" s="14" t="n">
        <v>2.93</v>
      </c>
      <c r="F589" s="14" t="n">
        <v>-1.4</v>
      </c>
      <c r="G589" s="14" t="n">
        <v>-4.6</v>
      </c>
      <c r="H589" s="14" t="inlineStr">
        <is>
          <t>-1%</t>
        </is>
      </c>
      <c r="I589" s="14" t="inlineStr">
        <is>
          <t>-129%</t>
        </is>
      </c>
      <c r="J589" s="14" t="n">
        <v>-2.6</v>
      </c>
      <c r="K589" s="14" t="inlineStr">
        <is>
          <t>14%</t>
        </is>
      </c>
      <c r="L589" s="14" t="inlineStr">
        <is>
          <t>-14%</t>
        </is>
      </c>
      <c r="M589" s="14" t="inlineStr">
        <is>
          <t>-138%</t>
        </is>
      </c>
      <c r="N589" s="14" t="inlineStr">
        <is>
          <t>4%</t>
        </is>
      </c>
      <c r="O589" s="14" t="n">
        <v>-1.2</v>
      </c>
      <c r="P589" s="14" t="inlineStr">
        <is>
          <t>50%</t>
        </is>
      </c>
      <c r="Q589" s="14" t="n">
        <v>92</v>
      </c>
      <c r="R589" s="14" t="inlineStr">
        <is>
          <t>P/B 2.93 · P/S 0.6 · FCF yld -1% · net debt 129% of mcap · rev +14% · op margin -14% · diluting 4%/yr · interest cover -1.2× ⚠</t>
        </is>
      </c>
      <c r="S589" s="14" t="inlineStr"/>
      <c r="T589" s="14" t="inlineStr">
        <is>
          <t>Hidden Asset Realisation</t>
        </is>
      </c>
    </row>
    <row r="590">
      <c r="A590" s="8" t="inlineStr">
        <is>
          <t>SGA</t>
        </is>
      </c>
      <c r="B590" s="16" t="inlineStr">
        <is>
          <t>Saga Communications, I</t>
        </is>
      </c>
      <c r="C590" s="16" t="inlineStr">
        <is>
          <t xml:space="preserve">Communication </t>
        </is>
      </c>
      <c r="D590" s="16" t="n">
        <v>55</v>
      </c>
      <c r="E590" s="16" t="n">
        <v>0.37</v>
      </c>
      <c r="F590" s="16" t="n">
        <v>-6.2</v>
      </c>
      <c r="G590" s="16" t="n">
        <v>-5.5</v>
      </c>
      <c r="H590" s="16" t="inlineStr">
        <is>
          <t>-2%</t>
        </is>
      </c>
      <c r="I590" s="16" t="inlineStr">
        <is>
          <t>41%</t>
        </is>
      </c>
      <c r="J590" s="16" t="n">
        <v>1.8</v>
      </c>
      <c r="K590" s="16" t="inlineStr">
        <is>
          <t>-7%</t>
        </is>
      </c>
      <c r="L590" s="16" t="inlineStr">
        <is>
          <t>7%</t>
        </is>
      </c>
      <c r="M590" s="16" t="inlineStr">
        <is>
          <t>-6%</t>
        </is>
      </c>
      <c r="N590" s="16" t="inlineStr">
        <is>
          <t>-1%</t>
        </is>
      </c>
      <c r="O590" s="16" t="n">
        <v>18.8</v>
      </c>
      <c r="P590" s="16" t="inlineStr">
        <is>
          <t>9%</t>
        </is>
      </c>
      <c r="Q590" s="16" t="n">
        <v>141</v>
      </c>
      <c r="R590" s="16" t="inlineStr">
        <is>
          <t>P/B 0.37 · P/S 0.5 · FCF yld -2% · net cash 41% of mcap · rev -7% · op margin 7%</t>
        </is>
      </c>
      <c r="S590" s="16" t="inlineStr"/>
      <c r="T590" s="16" t="inlineStr">
        <is>
          <t>Hidden Asset Realisation</t>
        </is>
      </c>
    </row>
    <row r="591">
      <c r="A591" s="6" t="inlineStr">
        <is>
          <t>BBGI</t>
        </is>
      </c>
      <c r="B591" s="14" t="inlineStr">
        <is>
          <t>Beasley Broadcast Grou</t>
        </is>
      </c>
      <c r="C591" s="14" t="inlineStr">
        <is>
          <t xml:space="preserve">Communication </t>
        </is>
      </c>
      <c r="D591" s="14" t="n">
        <v>30</v>
      </c>
      <c r="E591" s="14" t="n">
        <v>0.77</v>
      </c>
      <c r="F591" s="14" t="n">
        <v>-0.2</v>
      </c>
      <c r="G591" s="14" t="n">
        <v>-0.9</v>
      </c>
      <c r="H591" s="14" t="inlineStr">
        <is>
          <t>-94%</t>
        </is>
      </c>
      <c r="I591" s="14" t="inlineStr">
        <is>
          <t>-571%</t>
        </is>
      </c>
      <c r="J591" s="14" t="n">
        <v>-0.8</v>
      </c>
      <c r="K591" s="14" t="inlineStr">
        <is>
          <t>-12%</t>
        </is>
      </c>
      <c r="L591" s="14" t="inlineStr">
        <is>
          <t>-4%</t>
        </is>
      </c>
      <c r="M591" s="14" t="inlineStr">
        <is>
          <t>-903%</t>
        </is>
      </c>
      <c r="N591" s="14" t="inlineStr">
        <is>
          <t>0%</t>
        </is>
      </c>
      <c r="O591" s="14" t="n">
        <v>-0.6</v>
      </c>
      <c r="P591" s="14" t="inlineStr">
        <is>
          <t>51%</t>
        </is>
      </c>
      <c r="Q591" s="14" t="n">
        <v>740</v>
      </c>
      <c r="R591" s="14" t="inlineStr">
        <is>
          <t>P/B 0.77 · P/S 0.2 · FCF yld -94% · net debt 571% of mcap · rev -12% · op margin -4% · interest cover -0.6× ⚠</t>
        </is>
      </c>
      <c r="S591" s="14" t="inlineStr"/>
      <c r="T591" s="14" t="inlineStr">
        <is>
          <t>Hidden Asset Realisation</t>
        </is>
      </c>
    </row>
    <row r="592">
      <c r="A592" s="8" t="inlineStr">
        <is>
          <t>TSQ</t>
        </is>
      </c>
      <c r="B592" s="16" t="inlineStr">
        <is>
          <t>Townsquare Media, Inc.</t>
        </is>
      </c>
      <c r="C592" s="16" t="inlineStr">
        <is>
          <t xml:space="preserve">Communication </t>
        </is>
      </c>
      <c r="D592" s="16" t="n">
        <v>86</v>
      </c>
      <c r="E592" s="16" t="n"/>
      <c r="F592" s="16" t="n">
        <v>-1.8</v>
      </c>
      <c r="G592" s="16" t="n">
        <v>5.4</v>
      </c>
      <c r="H592" s="16" t="inlineStr">
        <is>
          <t>17%</t>
        </is>
      </c>
      <c r="I592" s="16" t="n"/>
      <c r="J592" s="16" t="n">
        <v>4.6</v>
      </c>
      <c r="K592" s="16" t="inlineStr">
        <is>
          <t>-5%</t>
        </is>
      </c>
      <c r="L592" s="16" t="inlineStr">
        <is>
          <t>6%</t>
        </is>
      </c>
      <c r="M592" s="16" t="inlineStr">
        <is>
          <t>95%</t>
        </is>
      </c>
      <c r="N592" s="16" t="inlineStr">
        <is>
          <t>8%</t>
        </is>
      </c>
      <c r="O592" s="16" t="n">
        <v>0.5</v>
      </c>
      <c r="P592" s="16" t="inlineStr">
        <is>
          <t>23%</t>
        </is>
      </c>
      <c r="Q592" s="16" t="n">
        <v>352</v>
      </c>
      <c r="R592" s="16" t="inlineStr">
        <is>
          <t>EV/EBITDA 5.4× · FCF yld 17% · rev -5% · op margin 6% · diluting 8%/yr</t>
        </is>
      </c>
      <c r="S592" s="16" t="inlineStr">
        <is>
          <t>negative equity</t>
        </is>
      </c>
      <c r="T592" s="16" t="inlineStr">
        <is>
          <t>Hidden Asset Realisation</t>
        </is>
      </c>
    </row>
    <row r="593">
      <c r="A593" s="6" t="inlineStr">
        <is>
          <t>BTQ</t>
        </is>
      </c>
      <c r="B593" s="14" t="inlineStr">
        <is>
          <t>BTQ Technologies Corp.</t>
        </is>
      </c>
      <c r="C593" s="14" t="inlineStr">
        <is>
          <t>Technology</t>
        </is>
      </c>
      <c r="D593" s="14" t="n">
        <v>396</v>
      </c>
      <c r="E593" s="14" t="n">
        <v>23.98</v>
      </c>
      <c r="F593" s="14" t="n">
        <v>-9.300000000000001</v>
      </c>
      <c r="G593" s="14" t="n">
        <v>-9.1</v>
      </c>
      <c r="H593" s="14" t="inlineStr">
        <is>
          <t>-5%</t>
        </is>
      </c>
      <c r="I593" s="14" t="inlineStr">
        <is>
          <t>2%</t>
        </is>
      </c>
      <c r="J593" s="14" t="n">
        <v>0.1</v>
      </c>
      <c r="K593" s="14" t="n"/>
      <c r="L593" s="14" t="inlineStr">
        <is>
          <t>0%</t>
        </is>
      </c>
      <c r="M593" s="14" t="inlineStr">
        <is>
          <t>-207%</t>
        </is>
      </c>
      <c r="N593" s="14" t="inlineStr">
        <is>
          <t>7%</t>
        </is>
      </c>
      <c r="O593" s="14" t="n">
        <v>-945.5</v>
      </c>
      <c r="P593" s="14" t="inlineStr">
        <is>
          <t>5%</t>
        </is>
      </c>
      <c r="Q593" s="14" t="n">
        <v>8656</v>
      </c>
      <c r="R593" s="14" t="inlineStr">
        <is>
          <t>P/B 23.98 · P/S 0.0 · FCF yld -5% · net cash 2% of mcap · op margin 0% · diluting 7%/yr</t>
        </is>
      </c>
      <c r="S593" s="14" t="inlineStr"/>
      <c r="T593" s="14" t="inlineStr">
        <is>
          <t>Hidden Asset Realisation</t>
        </is>
      </c>
    </row>
    <row r="594">
      <c r="A594" s="8" t="inlineStr">
        <is>
          <t>LOGC</t>
        </is>
      </c>
      <c r="B594" s="16" t="inlineStr">
        <is>
          <t>ContextLogic Inc.</t>
        </is>
      </c>
      <c r="C594" s="16" t="inlineStr">
        <is>
          <t>Consumer Cycli</t>
        </is>
      </c>
      <c r="D594" s="16" t="n">
        <v>682</v>
      </c>
      <c r="E594" s="16" t="n">
        <v>2.34</v>
      </c>
      <c r="F594" s="16" t="n">
        <v>-41.3</v>
      </c>
      <c r="G594" s="16" t="n">
        <v>1180.5</v>
      </c>
      <c r="H594" s="16" t="inlineStr">
        <is>
          <t>-4%</t>
        </is>
      </c>
      <c r="I594" s="16" t="inlineStr">
        <is>
          <t>-30%</t>
        </is>
      </c>
      <c r="J594" s="16" t="n">
        <v>268.9</v>
      </c>
      <c r="K594" s="16" t="inlineStr">
        <is>
          <t>104%</t>
        </is>
      </c>
      <c r="L594" s="16" t="inlineStr">
        <is>
          <t>-27%</t>
        </is>
      </c>
      <c r="M594" s="16" t="inlineStr">
        <is>
          <t>-2%</t>
        </is>
      </c>
      <c r="N594" s="16" t="inlineStr">
        <is>
          <t>72%</t>
        </is>
      </c>
      <c r="O594" s="16" t="n">
        <v>-3.6</v>
      </c>
      <c r="P594" s="16" t="inlineStr">
        <is>
          <t>96%</t>
        </is>
      </c>
      <c r="Q594" s="16" t="n">
        <v>2035</v>
      </c>
      <c r="R594" s="16" t="inlineStr">
        <is>
          <t>P/B 2.34 · P/S 10.3 · FCF yld -4% · net debt 30% of mcap · rev +104% · op margin -27% · diluting 72%/yr · interest cover -3.6× ⚠</t>
        </is>
      </c>
      <c r="S594" s="16" t="inlineStr"/>
      <c r="T594" s="16" t="inlineStr">
        <is>
          <t>Hidden Asset Realisation</t>
        </is>
      </c>
    </row>
    <row r="595">
      <c r="A595" s="6" t="inlineStr">
        <is>
          <t>PCYO</t>
        </is>
      </c>
      <c r="B595" s="14" t="inlineStr">
        <is>
          <t>Pure Cycle Corporation</t>
        </is>
      </c>
      <c r="C595" s="14" t="inlineStr">
        <is>
          <t>Utilities</t>
        </is>
      </c>
      <c r="D595" s="14" t="n">
        <v>266</v>
      </c>
      <c r="E595" s="14" t="n">
        <v>1.75</v>
      </c>
      <c r="F595" s="14" t="n">
        <v>18</v>
      </c>
      <c r="G595" s="14" t="n">
        <v>13.6</v>
      </c>
      <c r="H595" s="14" t="inlineStr">
        <is>
          <t>2%</t>
        </is>
      </c>
      <c r="I595" s="14" t="inlineStr">
        <is>
          <t>-2%</t>
        </is>
      </c>
      <c r="J595" s="14" t="n">
        <v>0.3</v>
      </c>
      <c r="K595" s="14" t="inlineStr">
        <is>
          <t>2%</t>
        </is>
      </c>
      <c r="L595" s="14" t="inlineStr">
        <is>
          <t>38%</t>
        </is>
      </c>
      <c r="M595" s="14" t="inlineStr">
        <is>
          <t>10%</t>
        </is>
      </c>
      <c r="N595" s="14" t="inlineStr">
        <is>
          <t>-0%</t>
        </is>
      </c>
      <c r="O595" s="14" t="n">
        <v>25.4</v>
      </c>
      <c r="P595" s="14" t="inlineStr">
        <is>
          <t>48%</t>
        </is>
      </c>
      <c r="Q595" s="14" t="n">
        <v>799</v>
      </c>
      <c r="R595" s="14" t="inlineStr">
        <is>
          <t>P/B 1.75 · EV/EBITDA 13.6× · FCF yld 2% · net debt 2% of mcap · rev +2% · op margin 38%</t>
        </is>
      </c>
      <c r="S595" s="14" t="inlineStr"/>
      <c r="T595" s="14" t="inlineStr">
        <is>
          <t>Hidden Asset Realisation</t>
        </is>
      </c>
    </row>
    <row r="596">
      <c r="A596" s="8" t="inlineStr">
        <is>
          <t>IPI</t>
        </is>
      </c>
      <c r="B596" s="16" t="inlineStr">
        <is>
          <t>Intrepid Potash, Inc.</t>
        </is>
      </c>
      <c r="C596" s="16" t="inlineStr">
        <is>
          <t>Basic Material</t>
        </is>
      </c>
      <c r="D596" s="16" t="n">
        <v>500</v>
      </c>
      <c r="E596" s="16" t="n">
        <v>0.97</v>
      </c>
      <c r="F596" s="16" t="n">
        <v>18.5</v>
      </c>
      <c r="G596" s="16" t="n">
        <v>6</v>
      </c>
      <c r="H596" s="16" t="inlineStr">
        <is>
          <t>6%</t>
        </is>
      </c>
      <c r="I596" s="16" t="inlineStr">
        <is>
          <t>36%</t>
        </is>
      </c>
      <c r="J596" s="16" t="n">
        <v>-3.5</v>
      </c>
      <c r="K596" s="16" t="inlineStr">
        <is>
          <t>5%</t>
        </is>
      </c>
      <c r="L596" s="16" t="inlineStr">
        <is>
          <t>4%</t>
        </is>
      </c>
      <c r="M596" s="16" t="inlineStr">
        <is>
          <t>5%</t>
        </is>
      </c>
      <c r="N596" s="16" t="inlineStr">
        <is>
          <t>1%</t>
        </is>
      </c>
      <c r="O596" s="16" t="n">
        <v>209</v>
      </c>
      <c r="P596" s="16" t="inlineStr">
        <is>
          <t>53%</t>
        </is>
      </c>
      <c r="Q596" s="16" t="n">
        <v>7766</v>
      </c>
      <c r="R596" s="16" t="inlineStr">
        <is>
          <t>P/B 0.97 · EV/EBITDA 6.0× · FCF yld 6% · net cash 36% of mcap · rev +5% · op margin 4%</t>
        </is>
      </c>
      <c r="S596" s="16" t="inlineStr"/>
      <c r="T596" s="16" t="inlineStr">
        <is>
          <t>Hidden Asset Realisation</t>
        </is>
      </c>
    </row>
    <row r="597">
      <c r="A597" s="6" t="inlineStr">
        <is>
          <t>CMP</t>
        </is>
      </c>
      <c r="B597" s="14" t="inlineStr">
        <is>
          <t>Compass Minerals Inter</t>
        </is>
      </c>
      <c r="C597" s="14" t="inlineStr">
        <is>
          <t>Basic Material</t>
        </is>
      </c>
      <c r="D597" s="14" t="n">
        <v>976</v>
      </c>
      <c r="E597" s="14" t="n">
        <v>3.71</v>
      </c>
      <c r="F597" s="14" t="n">
        <v>52.9</v>
      </c>
      <c r="G597" s="14" t="n">
        <v>7.9</v>
      </c>
      <c r="H597" s="14" t="inlineStr">
        <is>
          <t>8%</t>
        </is>
      </c>
      <c r="I597" s="14" t="inlineStr">
        <is>
          <t>-69%</t>
        </is>
      </c>
      <c r="J597" s="14" t="n">
        <v>3.2</v>
      </c>
      <c r="K597" s="14" t="inlineStr">
        <is>
          <t>6%</t>
        </is>
      </c>
      <c r="L597" s="14" t="inlineStr">
        <is>
          <t>9%</t>
        </is>
      </c>
      <c r="M597" s="14" t="inlineStr">
        <is>
          <t>7%</t>
        </is>
      </c>
      <c r="N597" s="14" t="inlineStr">
        <is>
          <t>2%</t>
        </is>
      </c>
      <c r="O597" s="14" t="n">
        <v>1.7</v>
      </c>
      <c r="P597" s="14" t="inlineStr">
        <is>
          <t>38%</t>
        </is>
      </c>
      <c r="Q597" s="14" t="n">
        <v>11861</v>
      </c>
      <c r="R597" s="14" t="inlineStr">
        <is>
          <t>P/B 3.71 · EV/EBITDA 7.9× · FCF yld 8% · net debt 69% of mcap · rev +6% · op margin 9%</t>
        </is>
      </c>
      <c r="S597" s="14" t="inlineStr"/>
      <c r="T597" s="14" t="inlineStr">
        <is>
          <t>Hidden Asset Realisation</t>
        </is>
      </c>
    </row>
    <row r="598">
      <c r="A598" s="8" t="inlineStr">
        <is>
          <t>VNOM</t>
        </is>
      </c>
      <c r="B598" s="16" t="inlineStr">
        <is>
          <t>Viper Energy, Inc.</t>
        </is>
      </c>
      <c r="C598" s="16" t="inlineStr">
        <is>
          <t>Energy</t>
        </is>
      </c>
      <c r="D598" s="16" t="n">
        <v>15020</v>
      </c>
      <c r="E598" s="16" t="n">
        <v>2.98</v>
      </c>
      <c r="F598" s="16" t="n">
        <v>293.4</v>
      </c>
      <c r="G598" s="16" t="n">
        <v>15.2</v>
      </c>
      <c r="H598" s="16" t="inlineStr">
        <is>
          <t>1%</t>
        </is>
      </c>
      <c r="I598" s="16" t="inlineStr">
        <is>
          <t>-11%</t>
        </is>
      </c>
      <c r="J598" s="16" t="n">
        <v>1.5</v>
      </c>
      <c r="K598" s="16" t="inlineStr">
        <is>
          <t>103%</t>
        </is>
      </c>
      <c r="L598" s="16" t="inlineStr">
        <is>
          <t>49%</t>
        </is>
      </c>
      <c r="M598" s="16" t="inlineStr">
        <is>
          <t>1%</t>
        </is>
      </c>
      <c r="N598" s="16" t="inlineStr">
        <is>
          <t>54%</t>
        </is>
      </c>
      <c r="O598" s="16" t="n">
        <v>8.1</v>
      </c>
      <c r="P598" s="16" t="inlineStr">
        <is>
          <t>41%</t>
        </is>
      </c>
      <c r="Q598" s="16" t="n">
        <v>71655</v>
      </c>
      <c r="R598" s="16" t="inlineStr">
        <is>
          <t>P/B 2.98 · EV/EBITDA 15.2× · FCF yld 1% · net debt 11% of mcap · rev +103% · op margin 49% · diluting 54%/yr</t>
        </is>
      </c>
      <c r="S598" s="16" t="inlineStr"/>
      <c r="T598" s="16" t="inlineStr">
        <is>
          <t>Hidden Asset Realisation</t>
        </is>
      </c>
    </row>
    <row r="599">
      <c r="A599" s="6" t="inlineStr">
        <is>
          <t>KRP</t>
        </is>
      </c>
      <c r="B599" s="14" t="inlineStr">
        <is>
          <t>Kimbell Royalty Partne</t>
        </is>
      </c>
      <c r="C599" s="14" t="inlineStr">
        <is>
          <t>Energy</t>
        </is>
      </c>
      <c r="D599" s="14" t="n">
        <v>1430</v>
      </c>
      <c r="E599" s="14" t="n">
        <v>1.95</v>
      </c>
      <c r="F599" s="14" t="n">
        <v>17.1</v>
      </c>
      <c r="G599" s="14" t="n">
        <v>8.800000000000001</v>
      </c>
      <c r="H599" s="14" t="inlineStr">
        <is>
          <t>17%</t>
        </is>
      </c>
      <c r="I599" s="14" t="inlineStr">
        <is>
          <t>-31%</t>
        </is>
      </c>
      <c r="J599" s="14" t="n">
        <v>2.1</v>
      </c>
      <c r="K599" s="14" t="inlineStr">
        <is>
          <t>14%</t>
        </is>
      </c>
      <c r="L599" s="14" t="inlineStr">
        <is>
          <t>42%</t>
        </is>
      </c>
      <c r="M599" s="14" t="inlineStr">
        <is>
          <t>13%</t>
        </is>
      </c>
      <c r="N599" s="14" t="inlineStr">
        <is>
          <t>-3%</t>
        </is>
      </c>
      <c r="O599" s="14" t="n">
        <v>8.1</v>
      </c>
      <c r="P599" s="14" t="inlineStr">
        <is>
          <t>71%</t>
        </is>
      </c>
      <c r="Q599" s="14" t="n">
        <v>12080</v>
      </c>
      <c r="R599" s="14" t="inlineStr">
        <is>
          <t>P/B 1.95 · EV/EBITDA 8.8× · FCF yld 17% · net debt 31% of mcap · rev +14% · op margin 42% · buying back 3%/yr</t>
        </is>
      </c>
      <c r="S599" s="14" t="inlineStr"/>
      <c r="T599" s="14" t="inlineStr">
        <is>
          <t>Hidden Asset Realisation</t>
        </is>
      </c>
    </row>
    <row r="600">
      <c r="A600" s="8" t="inlineStr">
        <is>
          <t>SATS</t>
        </is>
      </c>
      <c r="B600" s="16" t="inlineStr">
        <is>
          <t>EchoStar Corporation</t>
        </is>
      </c>
      <c r="C600" s="16" t="inlineStr">
        <is>
          <t xml:space="preserve">Communication </t>
        </is>
      </c>
      <c r="D600" s="16" t="n">
        <v>25069</v>
      </c>
      <c r="E600" s="16" t="n">
        <v>1.77</v>
      </c>
      <c r="F600" s="16" t="n">
        <v>-4.4</v>
      </c>
      <c r="G600" s="16" t="n">
        <v>-7.7</v>
      </c>
      <c r="H600" s="16" t="inlineStr">
        <is>
          <t>-1%</t>
        </is>
      </c>
      <c r="I600" s="16" t="inlineStr">
        <is>
          <t>-68%</t>
        </is>
      </c>
      <c r="J600" s="16" t="n">
        <v>-3.1</v>
      </c>
      <c r="K600" s="16" t="inlineStr">
        <is>
          <t>-5%</t>
        </is>
      </c>
      <c r="L600" s="16" t="inlineStr">
        <is>
          <t>7%</t>
        </is>
      </c>
      <c r="M600" s="16" t="inlineStr">
        <is>
          <t>-70%</t>
        </is>
      </c>
      <c r="N600" s="16" t="inlineStr">
        <is>
          <t>22%</t>
        </is>
      </c>
      <c r="O600" s="16" t="n">
        <v>0.5</v>
      </c>
      <c r="P600" s="16" t="inlineStr">
        <is>
          <t>51%</t>
        </is>
      </c>
      <c r="Q600" s="16" t="n">
        <v>653635</v>
      </c>
      <c r="R600" s="16" t="inlineStr">
        <is>
          <t>P/B 1.77 · P/S 1.7 · FCF yld -1% · net debt 68% of mcap · rev -5% · op margin 7% · diluting 22%/yr · interest cover 0.5× ⚠</t>
        </is>
      </c>
      <c r="S600" s="16" t="inlineStr"/>
      <c r="T600" s="16" t="inlineStr">
        <is>
          <t>Hidden Asset Realisation</t>
        </is>
      </c>
    </row>
    <row r="601">
      <c r="A601" s="6" t="inlineStr">
        <is>
          <t>TILE</t>
        </is>
      </c>
      <c r="B601" s="14" t="inlineStr">
        <is>
          <t>Interface, Inc.</t>
        </is>
      </c>
      <c r="C601" s="14" t="inlineStr">
        <is>
          <t>Consumer Cycli</t>
        </is>
      </c>
      <c r="D601" s="14" t="n">
        <v>2035</v>
      </c>
      <c r="E601" s="14" t="n">
        <v>3</v>
      </c>
      <c r="F601" s="14" t="n">
        <v>13.9</v>
      </c>
      <c r="G601" s="14" t="n">
        <v>9.699999999999999</v>
      </c>
      <c r="H601" s="14" t="inlineStr">
        <is>
          <t>6%</t>
        </is>
      </c>
      <c r="I601" s="14" t="inlineStr">
        <is>
          <t>-10%</t>
        </is>
      </c>
      <c r="J601" s="14" t="n">
        <v>0.9</v>
      </c>
      <c r="K601" s="14" t="inlineStr">
        <is>
          <t>7%</t>
        </is>
      </c>
      <c r="L601" s="14" t="inlineStr">
        <is>
          <t>14%</t>
        </is>
      </c>
      <c r="M601" s="14" t="inlineStr">
        <is>
          <t>19%</t>
        </is>
      </c>
      <c r="N601" s="14" t="inlineStr">
        <is>
          <t>-1%</t>
        </is>
      </c>
      <c r="O601" s="14" t="n">
        <v>12.5</v>
      </c>
      <c r="P601" s="14" t="inlineStr">
        <is>
          <t>66%</t>
        </is>
      </c>
      <c r="Q601" s="14" t="n">
        <v>18725</v>
      </c>
      <c r="R601" s="14" t="inlineStr">
        <is>
          <t>P/B 3.00 · EV/EBITDA 9.7× · FCF yld 6% · net debt 10% of mcap · rev +7% · op margin 14%</t>
        </is>
      </c>
      <c r="S601" s="14" t="inlineStr"/>
      <c r="T601" s="14" t="inlineStr">
        <is>
          <t>Hidden Asset Realisation</t>
        </is>
      </c>
    </row>
    <row r="602">
      <c r="A602" s="8" t="inlineStr">
        <is>
          <t>CCI</t>
        </is>
      </c>
      <c r="B602" s="16" t="inlineStr">
        <is>
          <t>Crown Castle Inc.</t>
        </is>
      </c>
      <c r="C602" s="16" t="inlineStr">
        <is>
          <t>Real Estate</t>
        </is>
      </c>
      <c r="D602" s="16" t="n">
        <v>31119</v>
      </c>
      <c r="E602" s="16" t="n"/>
      <c r="F602" s="16" t="n">
        <v>28.6</v>
      </c>
      <c r="G602" s="16" t="n">
        <v>19.6</v>
      </c>
      <c r="H602" s="16" t="inlineStr">
        <is>
          <t>8%</t>
        </is>
      </c>
      <c r="I602" s="16" t="n"/>
      <c r="J602" s="16" t="n">
        <v>8.199999999999999</v>
      </c>
      <c r="K602" s="16" t="inlineStr">
        <is>
          <t>-23%</t>
        </is>
      </c>
      <c r="L602" s="16" t="inlineStr">
        <is>
          <t>48%</t>
        </is>
      </c>
      <c r="M602" s="16" t="inlineStr">
        <is>
          <t>-52%</t>
        </is>
      </c>
      <c r="N602" s="16" t="inlineStr">
        <is>
          <t>-1%</t>
        </is>
      </c>
      <c r="O602" s="16" t="n">
        <v>2.1</v>
      </c>
      <c r="P602" s="16" t="inlineStr">
        <is>
          <t>5%</t>
        </is>
      </c>
      <c r="Q602" s="16" t="n">
        <v>278770</v>
      </c>
      <c r="R602" s="16" t="inlineStr">
        <is>
          <t>EV/EBITDA 19.6× · FCF yld 8% · rev -23% · op margin 48%</t>
        </is>
      </c>
      <c r="S602" s="16" t="inlineStr">
        <is>
          <t>negative equity</t>
        </is>
      </c>
      <c r="T602" s="16" t="inlineStr">
        <is>
          <t>Hidden Asset Realisation</t>
        </is>
      </c>
    </row>
    <row r="603">
      <c r="A603" s="6" t="inlineStr">
        <is>
          <t>CTGO</t>
        </is>
      </c>
      <c r="B603" s="14" t="inlineStr">
        <is>
          <t>Contango Ore, Inc.</t>
        </is>
      </c>
      <c r="C603" s="14" t="inlineStr">
        <is>
          <t>Basic Material</t>
        </is>
      </c>
      <c r="D603" s="14" t="n">
        <v>601</v>
      </c>
      <c r="E603" s="14" t="n">
        <v>1.87</v>
      </c>
      <c r="F603" s="14" t="n">
        <v>-6.6</v>
      </c>
      <c r="G603" s="14" t="n">
        <v>-19</v>
      </c>
      <c r="H603" s="14" t="inlineStr">
        <is>
          <t>4%</t>
        </is>
      </c>
      <c r="I603" s="14" t="inlineStr">
        <is>
          <t>11%</t>
        </is>
      </c>
      <c r="J603" s="14" t="n">
        <v>2.3</v>
      </c>
      <c r="K603" s="14" t="n"/>
      <c r="L603" s="14" t="inlineStr">
        <is>
          <t>0%</t>
        </is>
      </c>
      <c r="M603" s="14" t="inlineStr">
        <is>
          <t>-34%</t>
        </is>
      </c>
      <c r="N603" s="14" t="inlineStr">
        <is>
          <t>22%</t>
        </is>
      </c>
      <c r="O603" s="14" t="n">
        <v>9.1</v>
      </c>
      <c r="P603" s="14" t="inlineStr">
        <is>
          <t>21%</t>
        </is>
      </c>
      <c r="Q603" s="14" t="n">
        <v>9039</v>
      </c>
      <c r="R603" s="14" t="inlineStr">
        <is>
          <t>P/B 1.87 · P/S 0.0 · FCF yld 4% · net cash 11% of mcap · op margin 0% · diluting 22%/yr</t>
        </is>
      </c>
      <c r="S603" s="14" t="inlineStr"/>
      <c r="T603" s="14" t="inlineStr">
        <is>
          <t>Hidden Asset Realisation</t>
        </is>
      </c>
    </row>
    <row r="604">
      <c r="A604" s="8" t="inlineStr">
        <is>
          <t>WULF</t>
        </is>
      </c>
      <c r="B604" s="16" t="inlineStr">
        <is>
          <t>TeraWulf Inc.</t>
        </is>
      </c>
      <c r="C604" s="16" t="inlineStr">
        <is>
          <t>Financial Serv</t>
        </is>
      </c>
      <c r="D604" s="16" t="n">
        <v>8508</v>
      </c>
      <c r="E604" s="16" t="n">
        <v>57.77</v>
      </c>
      <c r="F604" s="16" t="n">
        <v>-3.7</v>
      </c>
      <c r="G604" s="16" t="n">
        <v>-12.1</v>
      </c>
      <c r="H604" s="16" t="inlineStr">
        <is>
          <t>-31%</t>
        </is>
      </c>
      <c r="I604" s="16" t="inlineStr">
        <is>
          <t>-31%</t>
        </is>
      </c>
      <c r="J604" s="16" t="n">
        <v>-3</v>
      </c>
      <c r="K604" s="16" t="inlineStr">
        <is>
          <t>15%</t>
        </is>
      </c>
      <c r="L604" s="16" t="inlineStr">
        <is>
          <t>-228%</t>
        </is>
      </c>
      <c r="M604" s="16" t="inlineStr">
        <is>
          <t>-1709%</t>
        </is>
      </c>
      <c r="N604" s="16" t="inlineStr">
        <is>
          <t>26%</t>
        </is>
      </c>
      <c r="O604" s="16" t="n">
        <v>-1.9</v>
      </c>
      <c r="P604" s="16" t="inlineStr">
        <is>
          <t>35%</t>
        </is>
      </c>
      <c r="Q604" s="16" t="n">
        <v>536721</v>
      </c>
      <c r="R604" s="16" t="inlineStr">
        <is>
          <t>P/B 57.77 · ROE -1709% · diluting 26%/yr (financial: book/earnings basis)</t>
        </is>
      </c>
      <c r="S604" s="16" t="inlineStr"/>
      <c r="T604" s="16" t="inlineStr">
        <is>
          <t>Hidden Asset Realisation</t>
        </is>
      </c>
    </row>
    <row r="605">
      <c r="A605" s="6" t="inlineStr">
        <is>
          <t>NI</t>
        </is>
      </c>
      <c r="B605" s="14" t="inlineStr">
        <is>
          <t>NiSource Inc</t>
        </is>
      </c>
      <c r="C605" s="14" t="inlineStr">
        <is>
          <t>Utilities</t>
        </is>
      </c>
      <c r="D605" s="14" t="n">
        <v>18825</v>
      </c>
      <c r="E605" s="14" t="n">
        <v>1.97</v>
      </c>
      <c r="F605" s="14" t="n">
        <v>20.6</v>
      </c>
      <c r="G605" s="14" t="n">
        <v>11.3</v>
      </c>
      <c r="H605" s="14" t="inlineStr">
        <is>
          <t>-6%</t>
        </is>
      </c>
      <c r="I605" s="14" t="inlineStr">
        <is>
          <t>-93%</t>
        </is>
      </c>
      <c r="J605" s="14" t="n">
        <v>5.5</v>
      </c>
      <c r="K605" s="14" t="inlineStr">
        <is>
          <t>12%</t>
        </is>
      </c>
      <c r="L605" s="14" t="inlineStr">
        <is>
          <t>27%</t>
        </is>
      </c>
      <c r="M605" s="14" t="inlineStr">
        <is>
          <t>10%</t>
        </is>
      </c>
      <c r="N605" s="14" t="inlineStr">
        <is>
          <t>2%</t>
        </is>
      </c>
      <c r="O605" s="14" t="n">
        <v>2.4</v>
      </c>
      <c r="P605" s="14" t="inlineStr">
        <is>
          <t>2%</t>
        </is>
      </c>
      <c r="Q605" s="14" t="n">
        <v>193896</v>
      </c>
      <c r="R605" s="14" t="inlineStr">
        <is>
          <t>P/B 1.97 · EV/EBITDA 11.3× · FCF yld -6% · net debt 93% of mcap · rev +12% · op margin 27%</t>
        </is>
      </c>
      <c r="S605" s="14" t="inlineStr"/>
      <c r="T605" s="14" t="inlineStr">
        <is>
          <t>Hidden Asset Realisation</t>
        </is>
      </c>
    </row>
    <row r="606">
      <c r="A606" s="8" t="inlineStr">
        <is>
          <t>NOG</t>
        </is>
      </c>
      <c r="B606" s="16" t="inlineStr">
        <is>
          <t xml:space="preserve">Northern Oil and Gas, </t>
        </is>
      </c>
      <c r="C606" s="16" t="inlineStr">
        <is>
          <t>Energy</t>
        </is>
      </c>
      <c r="D606" s="16" t="n">
        <v>2531</v>
      </c>
      <c r="E606" s="16" t="n">
        <v>1.27</v>
      </c>
      <c r="F606" s="16" t="n">
        <v>-4.5</v>
      </c>
      <c r="G606" s="16" t="n">
        <v>16.2</v>
      </c>
      <c r="H606" s="16" t="inlineStr">
        <is>
          <t>-33%</t>
        </is>
      </c>
      <c r="I606" s="16" t="inlineStr">
        <is>
          <t>-106%</t>
        </is>
      </c>
      <c r="J606" s="16" t="n">
        <v>8.300000000000001</v>
      </c>
      <c r="K606" s="16" t="inlineStr">
        <is>
          <t>0%</t>
        </is>
      </c>
      <c r="L606" s="16" t="inlineStr">
        <is>
          <t>32%</t>
        </is>
      </c>
      <c r="M606" s="16" t="inlineStr">
        <is>
          <t>-24%</t>
        </is>
      </c>
      <c r="N606" s="16" t="inlineStr">
        <is>
          <t>9%</t>
        </is>
      </c>
      <c r="O606" s="16" t="n">
        <v>4.2</v>
      </c>
      <c r="P606" s="16" t="inlineStr">
        <is>
          <t>44%</t>
        </is>
      </c>
      <c r="Q606" s="16" t="n">
        <v>65702</v>
      </c>
      <c r="R606" s="16" t="inlineStr">
        <is>
          <t>P/B 1.27 · EV/EBITDA 16.2× · FCF yld -33% · net debt 106% of mcap · rev +0% · op margin 32% · diluting 9%/yr</t>
        </is>
      </c>
      <c r="S606" s="16" t="inlineStr"/>
      <c r="T606" s="16" t="inlineStr">
        <is>
          <t>Hidden Asset Realisation</t>
        </is>
      </c>
    </row>
    <row r="607">
      <c r="A607" s="6" t="inlineStr">
        <is>
          <t>JELD</t>
        </is>
      </c>
      <c r="B607" s="14" t="inlineStr">
        <is>
          <t>JELD-WEN Holding, Inc.</t>
        </is>
      </c>
      <c r="C607" s="14" t="inlineStr">
        <is>
          <t>Industrials</t>
        </is>
      </c>
      <c r="D607" s="14" t="n">
        <v>159</v>
      </c>
      <c r="E607" s="14" t="n"/>
      <c r="F607" s="14" t="n">
        <v>-0.3</v>
      </c>
      <c r="G607" s="14" t="n">
        <v>-7.4</v>
      </c>
      <c r="H607" s="14" t="n"/>
      <c r="I607" s="14" t="n"/>
      <c r="J607" s="14" t="n">
        <v>-6.7</v>
      </c>
      <c r="K607" s="14" t="inlineStr">
        <is>
          <t>-8%</t>
        </is>
      </c>
      <c r="L607" s="14" t="inlineStr">
        <is>
          <t>-8%</t>
        </is>
      </c>
      <c r="M607" s="14" t="inlineStr">
        <is>
          <t>-1054%</t>
        </is>
      </c>
      <c r="N607" s="14" t="inlineStr">
        <is>
          <t>1%</t>
        </is>
      </c>
      <c r="O607" s="14" t="n">
        <v>-3.4</v>
      </c>
      <c r="P607" s="14" t="inlineStr">
        <is>
          <t>21%</t>
        </is>
      </c>
      <c r="Q607" s="14" t="n">
        <v>3144</v>
      </c>
      <c r="R607" s="14" t="inlineStr">
        <is>
          <t>P/S 0.1 · rev -8% · op margin -8%</t>
        </is>
      </c>
      <c r="S607" s="14" t="inlineStr">
        <is>
          <t>negative equity; FCF yield &gt;100% (check)</t>
        </is>
      </c>
      <c r="T607" s="14" t="inlineStr">
        <is>
          <t>Hidden Asset Realisation</t>
        </is>
      </c>
    </row>
    <row r="608">
      <c r="A608" s="8" t="inlineStr">
        <is>
          <t>BRID</t>
        </is>
      </c>
      <c r="B608" s="16" t="inlineStr">
        <is>
          <t>Bridgford Foods Corpor</t>
        </is>
      </c>
      <c r="C608" s="16" t="inlineStr">
        <is>
          <t>Consumer Defen</t>
        </is>
      </c>
      <c r="D608" s="16" t="n">
        <v>53</v>
      </c>
      <c r="E608" s="16" t="n">
        <v>0.49</v>
      </c>
      <c r="F608" s="16" t="n">
        <v>-3.6</v>
      </c>
      <c r="G608" s="16" t="n">
        <v>-4.7</v>
      </c>
      <c r="H608" s="16" t="inlineStr">
        <is>
          <t>-12%</t>
        </is>
      </c>
      <c r="I608" s="16" t="inlineStr">
        <is>
          <t>-18%</t>
        </is>
      </c>
      <c r="J608" s="16" t="n">
        <v>-0.7</v>
      </c>
      <c r="K608" s="16" t="n"/>
      <c r="L608" s="16" t="inlineStr">
        <is>
          <t>-9%</t>
        </is>
      </c>
      <c r="M608" s="16" t="inlineStr">
        <is>
          <t>-13%</t>
        </is>
      </c>
      <c r="N608" s="16" t="inlineStr">
        <is>
          <t>0%</t>
        </is>
      </c>
      <c r="O608" s="16" t="n">
        <v>-42</v>
      </c>
      <c r="P608" s="16" t="inlineStr">
        <is>
          <t>7%</t>
        </is>
      </c>
      <c r="Q608" s="16" t="n">
        <v>28</v>
      </c>
      <c r="R608" s="16" t="inlineStr">
        <is>
          <t>P/B 0.49 · P/S 0.2 · FCF yld -12% · net debt 18% of mcap · op margin -9% · interest cover -42.0× ⚠</t>
        </is>
      </c>
      <c r="S608" s="16" t="inlineStr"/>
      <c r="T608" s="16" t="inlineStr">
        <is>
          <t>Hidden Asset Realisation</t>
        </is>
      </c>
    </row>
    <row r="609">
      <c r="A609" s="6" t="inlineStr">
        <is>
          <t>HBB</t>
        </is>
      </c>
      <c r="B609" s="14" t="inlineStr">
        <is>
          <t xml:space="preserve">Hamilton Beach Brands </t>
        </is>
      </c>
      <c r="C609" s="14" t="inlineStr">
        <is>
          <t>Consumer Cycli</t>
        </is>
      </c>
      <c r="D609" s="14" t="n">
        <v>462</v>
      </c>
      <c r="E609" s="14" t="n">
        <v>2.13</v>
      </c>
      <c r="F609" s="14" t="n">
        <v>8.199999999999999</v>
      </c>
      <c r="G609" s="14" t="n">
        <v>5.5</v>
      </c>
      <c r="H609" s="14" t="inlineStr">
        <is>
          <t>21%</t>
        </is>
      </c>
      <c r="I609" s="14" t="inlineStr">
        <is>
          <t>3%</t>
        </is>
      </c>
      <c r="J609" s="14" t="n">
        <v>-0.1</v>
      </c>
      <c r="K609" s="14" t="inlineStr">
        <is>
          <t>-3%</t>
        </is>
      </c>
      <c r="L609" s="14" t="inlineStr">
        <is>
          <t>13%</t>
        </is>
      </c>
      <c r="M609" s="14" t="inlineStr">
        <is>
          <t>31%</t>
        </is>
      </c>
      <c r="N609" s="14" t="inlineStr">
        <is>
          <t>-0%</t>
        </is>
      </c>
      <c r="O609" s="14" t="n">
        <v>132.8</v>
      </c>
      <c r="P609" s="14" t="inlineStr">
        <is>
          <t>99%</t>
        </is>
      </c>
      <c r="Q609" s="14" t="n">
        <v>1871</v>
      </c>
      <c r="R609" s="14" t="inlineStr">
        <is>
          <t>P/B 2.13 · EV/EBITDA 5.5× · FCF yld 21% · net cash 3% of mcap · rev -3% · op margin 13%</t>
        </is>
      </c>
      <c r="S609" s="14" t="inlineStr"/>
      <c r="T609" s="14" t="inlineStr">
        <is>
          <t>Hidden Asset Realisation</t>
        </is>
      </c>
    </row>
    <row r="610">
      <c r="A610" s="8" t="inlineStr">
        <is>
          <t>LXFR</t>
        </is>
      </c>
      <c r="B610" s="16" t="inlineStr">
        <is>
          <t>Luxfer Holdings PLC</t>
        </is>
      </c>
      <c r="C610" s="16" t="inlineStr">
        <is>
          <t>Industrials</t>
        </is>
      </c>
      <c r="D610" s="16" t="n">
        <v>462</v>
      </c>
      <c r="E610" s="16" t="n">
        <v>2.07</v>
      </c>
      <c r="F610" s="16" t="n">
        <v>57.5</v>
      </c>
      <c r="G610" s="16" t="n">
        <v>16</v>
      </c>
      <c r="H610" s="16" t="inlineStr">
        <is>
          <t>4%</t>
        </is>
      </c>
      <c r="I610" s="16" t="inlineStr">
        <is>
          <t>-10%</t>
        </is>
      </c>
      <c r="J610" s="16" t="n">
        <v>1.5</v>
      </c>
      <c r="K610" s="16" t="inlineStr">
        <is>
          <t>-10%</t>
        </is>
      </c>
      <c r="L610" s="16" t="inlineStr">
        <is>
          <t>10%</t>
        </is>
      </c>
      <c r="M610" s="16" t="inlineStr">
        <is>
          <t>4%</t>
        </is>
      </c>
      <c r="N610" s="16" t="inlineStr">
        <is>
          <t>0%</t>
        </is>
      </c>
      <c r="O610" s="16" t="n">
        <v>11.4</v>
      </c>
      <c r="P610" s="16" t="inlineStr">
        <is>
          <t>73%</t>
        </is>
      </c>
      <c r="Q610" s="16" t="n">
        <v>4924</v>
      </c>
      <c r="R610" s="16" t="inlineStr">
        <is>
          <t>P/B 2.07 · EV/EBITDA 16.0× · FCF yld 4% · net debt 10% of mcap · rev -10% · op margin 10%</t>
        </is>
      </c>
      <c r="S610" s="16" t="inlineStr"/>
      <c r="T610" s="16" t="inlineStr">
        <is>
          <t>Hidden Asset Realisation</t>
        </is>
      </c>
    </row>
    <row r="611">
      <c r="A611" s="6" t="inlineStr">
        <is>
          <t>ATAI</t>
        </is>
      </c>
      <c r="B611" s="14" t="inlineStr">
        <is>
          <t>Atai Beckley Inc.</t>
        </is>
      </c>
      <c r="C611" s="14" t="inlineStr">
        <is>
          <t>Healthcare</t>
        </is>
      </c>
      <c r="D611" s="14" t="n">
        <v>2719</v>
      </c>
      <c r="E611" s="14" t="n">
        <v>15.42</v>
      </c>
      <c r="F611" s="14" t="n">
        <v>-2.5</v>
      </c>
      <c r="G611" s="14" t="n">
        <v>-3.8</v>
      </c>
      <c r="H611" s="14" t="inlineStr">
        <is>
          <t>-5%</t>
        </is>
      </c>
      <c r="I611" s="14" t="inlineStr">
        <is>
          <t>8%</t>
        </is>
      </c>
      <c r="J611" s="14" t="n">
        <v>0.2</v>
      </c>
      <c r="K611" s="14" t="inlineStr">
        <is>
          <t>94%</t>
        </is>
      </c>
      <c r="L611" s="14" t="inlineStr">
        <is>
          <t>-3274%</t>
        </is>
      </c>
      <c r="M611" s="14" t="inlineStr">
        <is>
          <t>-353%</t>
        </is>
      </c>
      <c r="N611" s="14" t="inlineStr">
        <is>
          <t>84%</t>
        </is>
      </c>
      <c r="O611" s="14" t="n">
        <v>0</v>
      </c>
      <c r="P611" s="14" t="inlineStr">
        <is>
          <t>98%</t>
        </is>
      </c>
      <c r="Q611" s="14" t="n">
        <v>84201</v>
      </c>
      <c r="R611" s="14" t="inlineStr">
        <is>
          <t>P/B 15.42 · P/S 607.9 · FCF yld -5% · net cash 8% of mcap · rev +94% · diluting 84%/yr</t>
        </is>
      </c>
      <c r="S611" s="14" t="inlineStr">
        <is>
          <t>dividend yield &gt;25% (special or bad data)</t>
        </is>
      </c>
      <c r="T611" s="14" t="inlineStr">
        <is>
          <t>Hidden Asset Realisation</t>
        </is>
      </c>
    </row>
    <row r="612">
      <c r="A612" s="8" t="inlineStr">
        <is>
          <t>RNAC</t>
        </is>
      </c>
      <c r="B612" s="16" t="inlineStr">
        <is>
          <t>Cartesian Therapeutics</t>
        </is>
      </c>
      <c r="C612" s="16" t="inlineStr">
        <is>
          <t>Healthcare</t>
        </is>
      </c>
      <c r="D612" s="16" t="n">
        <v>227</v>
      </c>
      <c r="E612" s="16" t="n"/>
      <c r="F612" s="16" t="n">
        <v>-1.3</v>
      </c>
      <c r="G612" s="16" t="n">
        <v>-0.9</v>
      </c>
      <c r="H612" s="16" t="inlineStr">
        <is>
          <t>-34%</t>
        </is>
      </c>
      <c r="I612" s="16" t="n"/>
      <c r="J612" s="16" t="n">
        <v>0.5</v>
      </c>
      <c r="K612" s="16" t="inlineStr">
        <is>
          <t>44%</t>
        </is>
      </c>
      <c r="L612" s="16" t="inlineStr">
        <is>
          <t>-6680%</t>
        </is>
      </c>
      <c r="M612" s="16" t="inlineStr">
        <is>
          <t>141%</t>
        </is>
      </c>
      <c r="N612" s="16" t="inlineStr">
        <is>
          <t>13%</t>
        </is>
      </c>
      <c r="O612" s="16" t="n">
        <v>-115.8</v>
      </c>
      <c r="P612" s="16" t="inlineStr">
        <is>
          <t>39%</t>
        </is>
      </c>
      <c r="Q612" s="16" t="n">
        <v>1753</v>
      </c>
      <c r="R612" s="16" t="inlineStr">
        <is>
          <t>P/S 157.0 · FCF yld -34% · rev +44% · diluting 13%/yr</t>
        </is>
      </c>
      <c r="S612" s="16" t="inlineStr">
        <is>
          <t>negative equity</t>
        </is>
      </c>
      <c r="T612" s="16" t="inlineStr">
        <is>
          <t>Hidden Asset Realisation</t>
        </is>
      </c>
    </row>
    <row r="613">
      <c r="A613" s="6" t="inlineStr">
        <is>
          <t>IRDM</t>
        </is>
      </c>
      <c r="B613" s="14" t="inlineStr">
        <is>
          <t>Iridium Communications</t>
        </is>
      </c>
      <c r="C613" s="14" t="inlineStr">
        <is>
          <t xml:space="preserve">Communication </t>
        </is>
      </c>
      <c r="D613" s="14" t="n">
        <v>5154</v>
      </c>
      <c r="E613" s="14" t="n">
        <v>10.91</v>
      </c>
      <c r="F613" s="14" t="n">
        <v>55</v>
      </c>
      <c r="G613" s="14" t="n">
        <v>15.8</v>
      </c>
      <c r="H613" s="14" t="inlineStr">
        <is>
          <t>6%</t>
        </is>
      </c>
      <c r="I613" s="14" t="inlineStr">
        <is>
          <t>-31%</t>
        </is>
      </c>
      <c r="J613" s="14" t="n">
        <v>3.7</v>
      </c>
      <c r="K613" s="14" t="inlineStr">
        <is>
          <t>3%</t>
        </is>
      </c>
      <c r="L613" s="14" t="inlineStr">
        <is>
          <t>24%</t>
        </is>
      </c>
      <c r="M613" s="14" t="inlineStr">
        <is>
          <t>20%</t>
        </is>
      </c>
      <c r="N613" s="14" t="inlineStr">
        <is>
          <t>0%</t>
        </is>
      </c>
      <c r="O613" s="14" t="n">
        <v>2.3</v>
      </c>
      <c r="P613" s="14" t="inlineStr">
        <is>
          <t>79%</t>
        </is>
      </c>
      <c r="Q613" s="14" t="n">
        <v>96416</v>
      </c>
      <c r="R613" s="14" t="inlineStr">
        <is>
          <t>P/B 10.91 · EV/EBITDA 15.8× · FCF yld 6% · net debt 31% of mcap · rev +3% · op margin 24%</t>
        </is>
      </c>
      <c r="S613" s="14" t="inlineStr"/>
      <c r="T613" s="14" t="inlineStr">
        <is>
          <t>Hidden Asset Realisation</t>
        </is>
      </c>
    </row>
    <row r="614">
      <c r="A614" s="8" t="inlineStr">
        <is>
          <t>SBET</t>
        </is>
      </c>
      <c r="B614" s="16" t="inlineStr">
        <is>
          <t>Sharplink, Inc.</t>
        </is>
      </c>
      <c r="C614" s="16" t="inlineStr">
        <is>
          <t>Financial Serv</t>
        </is>
      </c>
      <c r="D614" s="16" t="n">
        <v>1969</v>
      </c>
      <c r="E614" s="16" t="n">
        <v>1.4</v>
      </c>
      <c r="F614" s="16" t="n">
        <v>-1.2</v>
      </c>
      <c r="G614" s="16" t="n">
        <v>-3</v>
      </c>
      <c r="H614" s="16" t="inlineStr">
        <is>
          <t>-2%</t>
        </is>
      </c>
      <c r="I614" s="16" t="inlineStr">
        <is>
          <t>3%</t>
        </is>
      </c>
      <c r="J614" s="16" t="n">
        <v>0.1</v>
      </c>
      <c r="K614" s="16" t="n"/>
      <c r="L614" s="16" t="inlineStr">
        <is>
          <t>194%</t>
        </is>
      </c>
      <c r="M614" s="16" t="inlineStr">
        <is>
          <t>-79%</t>
        </is>
      </c>
      <c r="N614" s="16" t="n"/>
      <c r="O614" s="16" t="n">
        <v>0</v>
      </c>
      <c r="P614" s="16" t="inlineStr">
        <is>
          <t>37%</t>
        </is>
      </c>
      <c r="Q614" s="16" t="n">
        <v>90511</v>
      </c>
      <c r="R614" s="16" t="inlineStr">
        <is>
          <t>P/B 1.40 · ROE -79% (financial: book/earnings basis)</t>
        </is>
      </c>
      <c r="S614" s="16" t="inlineStr">
        <is>
          <t>revenue not comparable YoY (fair-value / one-off income?)</t>
        </is>
      </c>
      <c r="T614" s="16" t="inlineStr">
        <is>
          <t>Without Valuation</t>
        </is>
      </c>
    </row>
    <row r="615">
      <c r="A615" s="6" t="inlineStr">
        <is>
          <t>PRGO</t>
        </is>
      </c>
      <c r="B615" s="14" t="inlineStr">
        <is>
          <t>Perrigo Company plc</t>
        </is>
      </c>
      <c r="C615" s="14" t="inlineStr">
        <is>
          <t>Healthcare</t>
        </is>
      </c>
      <c r="D615" s="14" t="n">
        <v>1948</v>
      </c>
      <c r="E615" s="14" t="n">
        <v>0.77</v>
      </c>
      <c r="F615" s="14" t="n">
        <v>-1.1</v>
      </c>
      <c r="G615" s="14" t="n">
        <v>-3.9</v>
      </c>
      <c r="H615" s="14" t="inlineStr">
        <is>
          <t>9%</t>
        </is>
      </c>
      <c r="I615" s="14" t="inlineStr">
        <is>
          <t>-149%</t>
        </is>
      </c>
      <c r="J615" s="14" t="n">
        <v>-2.4</v>
      </c>
      <c r="K615" s="14" t="inlineStr">
        <is>
          <t>-4%</t>
        </is>
      </c>
      <c r="L615" s="14" t="inlineStr">
        <is>
          <t>5%</t>
        </is>
      </c>
      <c r="M615" s="14" t="inlineStr">
        <is>
          <t>-56%</t>
        </is>
      </c>
      <c r="N615" s="14" t="inlineStr">
        <is>
          <t>1%</t>
        </is>
      </c>
      <c r="O615" s="14" t="n">
        <v>1.3</v>
      </c>
      <c r="P615" s="14" t="inlineStr">
        <is>
          <t>36%</t>
        </is>
      </c>
      <c r="Q615" s="14" t="n">
        <v>44573</v>
      </c>
      <c r="R615" s="14" t="inlineStr">
        <is>
          <t>P/B 0.77 · P/S 0.5 · FCF yld 9% · net debt 149% of mcap · rev -4% · op margin 5% · interest cover 1.3× ⚠</t>
        </is>
      </c>
      <c r="S615" s="14" t="inlineStr"/>
      <c r="T615" s="14" t="inlineStr">
        <is>
          <t>Without Valuation</t>
        </is>
      </c>
    </row>
    <row r="616">
      <c r="A616" s="8" t="inlineStr">
        <is>
          <t>NUS</t>
        </is>
      </c>
      <c r="B616" s="16" t="inlineStr">
        <is>
          <t>Nu Skin Enterprises, I</t>
        </is>
      </c>
      <c r="C616" s="16" t="inlineStr">
        <is>
          <t>Consumer Defen</t>
        </is>
      </c>
      <c r="D616" s="16" t="n">
        <v>229</v>
      </c>
      <c r="E616" s="16" t="n">
        <v>0.42</v>
      </c>
      <c r="F616" s="16" t="n">
        <v>-1</v>
      </c>
      <c r="G616" s="16" t="n">
        <v>7.6</v>
      </c>
      <c r="H616" s="16" t="inlineStr">
        <is>
          <t>5%</t>
        </is>
      </c>
      <c r="I616" s="16" t="inlineStr">
        <is>
          <t>-32%</t>
        </is>
      </c>
      <c r="J616" s="16" t="n">
        <v>1.9</v>
      </c>
      <c r="K616" s="16" t="inlineStr">
        <is>
          <t>-15%</t>
        </is>
      </c>
      <c r="L616" s="16" t="inlineStr">
        <is>
          <t>-1%</t>
        </is>
      </c>
      <c r="M616" s="16" t="inlineStr">
        <is>
          <t>-29%</t>
        </is>
      </c>
      <c r="N616" s="16" t="inlineStr">
        <is>
          <t>-2%</t>
        </is>
      </c>
      <c r="O616" s="16" t="n">
        <v>-0.5</v>
      </c>
      <c r="P616" s="16" t="inlineStr">
        <is>
          <t>3%</t>
        </is>
      </c>
      <c r="Q616" s="16" t="n">
        <v>3142</v>
      </c>
      <c r="R616" s="16" t="inlineStr">
        <is>
          <t>P/B 0.42 · EV/EBITDA 7.6× · FCF yld 5% · net debt 32% of mcap · rev -15% · op margin -1% · interest cover -0.5× ⚠</t>
        </is>
      </c>
      <c r="S616" s="16" t="inlineStr"/>
      <c r="T616" s="16" t="inlineStr">
        <is>
          <t>Without Valuation</t>
        </is>
      </c>
    </row>
    <row r="617">
      <c r="A617" s="6" t="inlineStr">
        <is>
          <t>ACM</t>
        </is>
      </c>
      <c r="B617" s="14" t="inlineStr">
        <is>
          <t>Aecom</t>
        </is>
      </c>
      <c r="C617" s="14" t="inlineStr">
        <is>
          <t>Industrials</t>
        </is>
      </c>
      <c r="D617" s="14" t="n">
        <v>8004</v>
      </c>
      <c r="E617" s="14" t="n">
        <v>3.53</v>
      </c>
      <c r="F617" s="14" t="n">
        <v>28</v>
      </c>
      <c r="G617" s="14" t="n">
        <v>-896.8</v>
      </c>
      <c r="H617" s="14" t="inlineStr">
        <is>
          <t>3%</t>
        </is>
      </c>
      <c r="I617" s="14" t="inlineStr">
        <is>
          <t>-29%</t>
        </is>
      </c>
      <c r="J617" s="14" t="n">
        <v>-906.3</v>
      </c>
      <c r="K617" s="14" t="inlineStr">
        <is>
          <t>-0%</t>
        </is>
      </c>
      <c r="L617" s="14" t="inlineStr">
        <is>
          <t>4%</t>
        </is>
      </c>
      <c r="M617" s="14" t="inlineStr">
        <is>
          <t>13%</t>
        </is>
      </c>
      <c r="N617" s="14" t="inlineStr">
        <is>
          <t>-3%</t>
        </is>
      </c>
      <c r="O617" s="14" t="n">
        <v>3.2</v>
      </c>
      <c r="P617" s="14" t="inlineStr">
        <is>
          <t>3%</t>
        </is>
      </c>
      <c r="Q617" s="14" t="n">
        <v>133131</v>
      </c>
      <c r="R617" s="14" t="inlineStr">
        <is>
          <t>P/B 3.53 · P/S 0.5 · FCF yld 3% · net debt 29% of mcap · rev -0% · op margin 4% · buying back 3%/yr</t>
        </is>
      </c>
      <c r="S617" s="14" t="inlineStr"/>
      <c r="T617" s="14" t="inlineStr">
        <is>
          <t>Without Valuation</t>
        </is>
      </c>
    </row>
    <row r="618">
      <c r="A618" s="8" t="inlineStr">
        <is>
          <t>GWRE</t>
        </is>
      </c>
      <c r="B618" s="16" t="inlineStr">
        <is>
          <t>Guidewire Software, In</t>
        </is>
      </c>
      <c r="C618" s="16" t="inlineStr">
        <is>
          <t>Technology</t>
        </is>
      </c>
      <c r="D618" s="16" t="n">
        <v>12767</v>
      </c>
      <c r="E618" s="16" t="n">
        <v>9.69</v>
      </c>
      <c r="F618" s="16" t="n">
        <v>93.2</v>
      </c>
      <c r="G618" s="16" t="n">
        <v>61.1</v>
      </c>
      <c r="H618" s="16" t="inlineStr">
        <is>
          <t>2%</t>
        </is>
      </c>
      <c r="I618" s="16" t="inlineStr">
        <is>
          <t>0%</t>
        </is>
      </c>
      <c r="J618" s="16" t="n">
        <v>1.5</v>
      </c>
      <c r="K618" s="16" t="inlineStr">
        <is>
          <t>24%</t>
        </is>
      </c>
      <c r="L618" s="16" t="inlineStr">
        <is>
          <t>10%</t>
        </is>
      </c>
      <c r="M618" s="16" t="inlineStr">
        <is>
          <t>10%</t>
        </is>
      </c>
      <c r="N618" s="16" t="inlineStr">
        <is>
          <t>3%</t>
        </is>
      </c>
      <c r="O618" s="16" t="n">
        <v>11.3</v>
      </c>
      <c r="P618" s="16" t="inlineStr">
        <is>
          <t>33%</t>
        </is>
      </c>
      <c r="Q618" s="16" t="n">
        <v>249320</v>
      </c>
      <c r="R618" s="16" t="inlineStr">
        <is>
          <t>P/B 9.69 · EV/EBITDA 61.1× · FCF yld 2% · net cash 0% of mcap · rev +24% · op margin 10% · diluting 3%/yr</t>
        </is>
      </c>
      <c r="S618" s="16" t="inlineStr"/>
      <c r="T618" s="16" t="inlineStr">
        <is>
          <t>Recent 30d</t>
        </is>
      </c>
    </row>
    <row r="619">
      <c r="A619" s="6" t="inlineStr">
        <is>
          <t>PHGE</t>
        </is>
      </c>
      <c r="B619" s="14" t="inlineStr">
        <is>
          <t>BiomX Inc.</t>
        </is>
      </c>
      <c r="C619" s="14" t="inlineStr">
        <is>
          <t>Industrials</t>
        </is>
      </c>
      <c r="D619" s="14" t="n">
        <v>2</v>
      </c>
      <c r="E619" s="14" t="n">
        <v>0.17</v>
      </c>
      <c r="F619" s="14" t="n">
        <v>-0</v>
      </c>
      <c r="G619" s="14" t="n">
        <v>-0.2</v>
      </c>
      <c r="H619" s="14" t="n"/>
      <c r="I619" s="14" t="inlineStr">
        <is>
          <t>-149%</t>
        </is>
      </c>
      <c r="J619" s="14" t="n">
        <v>-0.1</v>
      </c>
      <c r="K619" s="14" t="n"/>
      <c r="L619" s="14" t="inlineStr">
        <is>
          <t>-6759%</t>
        </is>
      </c>
      <c r="M619" s="14" t="inlineStr">
        <is>
          <t>-948%</t>
        </is>
      </c>
      <c r="N619" s="14" t="n"/>
      <c r="O619" s="14" t="n">
        <v>-27.3</v>
      </c>
      <c r="P619" s="14" t="inlineStr">
        <is>
          <t>1%</t>
        </is>
      </c>
      <c r="Q619" s="14" t="n">
        <v>10868</v>
      </c>
      <c r="R619" s="14" t="inlineStr">
        <is>
          <t>P/B 0.17 · P/S 5.7 · net debt 149% of mcap · interest cover -27.3× ⚠</t>
        </is>
      </c>
      <c r="S619" s="14" t="inlineStr">
        <is>
          <t>FCF yield &gt;100% (check)</t>
        </is>
      </c>
      <c r="T619" s="14" t="inlineStr">
        <is>
          <t>Recent 30d</t>
        </is>
      </c>
    </row>
    <row r="620">
      <c r="A620" s="8" t="inlineStr">
        <is>
          <t>CHPT</t>
        </is>
      </c>
      <c r="B620" s="16" t="inlineStr">
        <is>
          <t xml:space="preserve">ChargePoint Holdings, </t>
        </is>
      </c>
      <c r="C620" s="16" t="inlineStr">
        <is>
          <t>Consumer Cycli</t>
        </is>
      </c>
      <c r="D620" s="16" t="n">
        <v>242</v>
      </c>
      <c r="E620" s="16" t="n">
        <v>6.3</v>
      </c>
      <c r="F620" s="16" t="n">
        <v>-1.3</v>
      </c>
      <c r="G620" s="16" t="n">
        <v>-2.9</v>
      </c>
      <c r="H620" s="16" t="inlineStr">
        <is>
          <t>-29%</t>
        </is>
      </c>
      <c r="I620" s="16" t="inlineStr">
        <is>
          <t>-63%</t>
        </is>
      </c>
      <c r="J620" s="16" t="n">
        <v>-1.1</v>
      </c>
      <c r="K620" s="16" t="inlineStr">
        <is>
          <t>-10%</t>
        </is>
      </c>
      <c r="L620" s="16" t="inlineStr">
        <is>
          <t>-42%</t>
        </is>
      </c>
      <c r="M620" s="16" t="inlineStr">
        <is>
          <t>-4852%</t>
        </is>
      </c>
      <c r="N620" s="16" t="inlineStr">
        <is>
          <t>8%</t>
        </is>
      </c>
      <c r="O620" s="16" t="n">
        <v>-16.2</v>
      </c>
      <c r="P620" s="16" t="inlineStr">
        <is>
          <t>60%</t>
        </is>
      </c>
      <c r="Q620" s="16" t="n">
        <v>13044</v>
      </c>
      <c r="R620" s="16" t="inlineStr">
        <is>
          <t>P/B 6.30 · P/S 0.5 · FCF yld -29% · net debt 63% of mcap · rev -10% · op margin -42% · diluting 8%/yr · interest cover -16.2× ⚠</t>
        </is>
      </c>
      <c r="S620" s="16" t="inlineStr"/>
      <c r="T620" s="16" t="inlineStr">
        <is>
          <t>Recent 30d</t>
        </is>
      </c>
    </row>
    <row r="621">
      <c r="A621" s="6" t="inlineStr">
        <is>
          <t>PCSA</t>
        </is>
      </c>
      <c r="B621" s="14" t="inlineStr">
        <is>
          <t>Processa Pharmaceutica</t>
        </is>
      </c>
      <c r="C621" s="14" t="inlineStr">
        <is>
          <t>Healthcare</t>
        </is>
      </c>
      <c r="D621" s="14" t="n">
        <v>5</v>
      </c>
      <c r="E621" s="14" t="n"/>
      <c r="F621" s="14" t="n">
        <v>-0.3</v>
      </c>
      <c r="G621" s="14" t="n">
        <v>-0.4</v>
      </c>
      <c r="H621" s="14" t="n"/>
      <c r="I621" s="14" t="n"/>
      <c r="J621" s="14" t="n">
        <v>0</v>
      </c>
      <c r="K621" s="14" t="n"/>
      <c r="L621" s="14" t="inlineStr">
        <is>
          <t>0%</t>
        </is>
      </c>
      <c r="M621" s="14" t="inlineStr">
        <is>
          <t>-394%</t>
        </is>
      </c>
      <c r="N621" s="14" t="n"/>
      <c r="O621" s="14" t="n">
        <v>-6419.4</v>
      </c>
      <c r="P621" s="14" t="inlineStr">
        <is>
          <t>2%</t>
        </is>
      </c>
      <c r="Q621" s="14" t="n">
        <v>353</v>
      </c>
      <c r="R621" s="14" t="inlineStr">
        <is>
          <t>P/S 0.0 · op margin 0%</t>
        </is>
      </c>
      <c r="S621" s="14" t="inlineStr">
        <is>
          <t>negative equity; FCF yield &gt;100% (check)</t>
        </is>
      </c>
      <c r="T621" s="14" t="inlineStr">
        <is>
          <t>Recent 30d</t>
        </is>
      </c>
    </row>
    <row r="622">
      <c r="A622" s="8" t="inlineStr">
        <is>
          <t>BTU</t>
        </is>
      </c>
      <c r="B622" s="16" t="inlineStr">
        <is>
          <t>Peabody Energy Corpora</t>
        </is>
      </c>
      <c r="C622" s="16" t="inlineStr">
        <is>
          <t>Energy</t>
        </is>
      </c>
      <c r="D622" s="16" t="n">
        <v>3257</v>
      </c>
      <c r="E622" s="16" t="n">
        <v>1</v>
      </c>
      <c r="F622" s="16" t="n">
        <v>-17.6</v>
      </c>
      <c r="G622" s="16" t="n">
        <v>11</v>
      </c>
      <c r="H622" s="16" t="inlineStr">
        <is>
          <t>14%</t>
        </is>
      </c>
      <c r="I622" s="16" t="inlineStr">
        <is>
          <t>3%</t>
        </is>
      </c>
      <c r="J622" s="16" t="n">
        <v>-0.4</v>
      </c>
      <c r="K622" s="16" t="inlineStr">
        <is>
          <t>-1%</t>
        </is>
      </c>
      <c r="L622" s="16" t="inlineStr">
        <is>
          <t>-4%</t>
        </is>
      </c>
      <c r="M622" s="16" t="inlineStr">
        <is>
          <t>-5%</t>
        </is>
      </c>
      <c r="N622" s="16" t="inlineStr">
        <is>
          <t>0%</t>
        </is>
      </c>
      <c r="O622" s="16" t="n">
        <v>-3.3</v>
      </c>
      <c r="P622" s="16" t="inlineStr">
        <is>
          <t>32%</t>
        </is>
      </c>
      <c r="Q622" s="16" t="n">
        <v>77305</v>
      </c>
      <c r="R622" s="16" t="inlineStr">
        <is>
          <t>P/B 1.00 · EV/EBITDA 11.0× · FCF yld 14% · net cash 3% of mcap · rev -1% · op margin -4%</t>
        </is>
      </c>
      <c r="S622" s="16" t="inlineStr"/>
      <c r="T622" s="16" t="inlineStr">
        <is>
          <t>Recent 30d</t>
        </is>
      </c>
    </row>
    <row r="623">
      <c r="A623" s="6" t="inlineStr">
        <is>
          <t>RC</t>
        </is>
      </c>
      <c r="B623" s="14" t="inlineStr">
        <is>
          <t>Ready Capital Corporat</t>
        </is>
      </c>
      <c r="C623" s="14" t="inlineStr">
        <is>
          <t>Real Estate</t>
        </is>
      </c>
      <c r="D623" s="14" t="n">
        <v>260</v>
      </c>
      <c r="E623" s="14" t="n">
        <v>0.21</v>
      </c>
      <c r="F623" s="14" t="n">
        <v>-0.4</v>
      </c>
      <c r="G623" s="14" t="n">
        <v>-16.5</v>
      </c>
      <c r="H623" s="14" t="n"/>
      <c r="I623" s="14" t="inlineStr">
        <is>
          <t>-1743%</t>
        </is>
      </c>
      <c r="J623" s="14" t="n">
        <v>-15.7</v>
      </c>
      <c r="K623" s="14" t="n"/>
      <c r="L623" s="14" t="inlineStr">
        <is>
          <t>-108%</t>
        </is>
      </c>
      <c r="M623" s="14" t="inlineStr">
        <is>
          <t>-38%</t>
        </is>
      </c>
      <c r="N623" s="14" t="inlineStr">
        <is>
          <t>0%</t>
        </is>
      </c>
      <c r="O623" s="14" t="n">
        <v>-1.1</v>
      </c>
      <c r="P623" s="14" t="inlineStr">
        <is>
          <t>6%</t>
        </is>
      </c>
      <c r="Q623" s="14" t="n">
        <v>2208</v>
      </c>
      <c r="R623" s="14" t="inlineStr">
        <is>
          <t>P/B 0.21 · P/S 0.6 · net debt 1743% of mcap · op margin -108% · interest cover -1.1× ⚠</t>
        </is>
      </c>
      <c r="S623" s="14" t="inlineStr">
        <is>
          <t>FCF yield &gt;100% (check); revenue not comparable YoY (fair-value / one-off income?)</t>
        </is>
      </c>
      <c r="T623" s="14" t="inlineStr">
        <is>
          <t>Recent 30d</t>
        </is>
      </c>
    </row>
    <row r="624">
      <c r="A624" s="8" t="inlineStr">
        <is>
          <t>KWY</t>
        </is>
      </c>
      <c r="B624" s="16" t="inlineStr">
        <is>
          <t>Kingsway Corporation</t>
        </is>
      </c>
      <c r="C624" s="16" t="inlineStr">
        <is>
          <t>Financial Serv</t>
        </is>
      </c>
      <c r="D624" s="16" t="n">
        <v>270</v>
      </c>
      <c r="E624" s="16" t="n">
        <v>9.289999999999999</v>
      </c>
      <c r="F624" s="16" t="n">
        <v>-30.3</v>
      </c>
      <c r="G624" s="16" t="n">
        <v>43.4</v>
      </c>
      <c r="H624" s="16" t="inlineStr">
        <is>
          <t>-0%</t>
        </is>
      </c>
      <c r="I624" s="16" t="inlineStr">
        <is>
          <t>-8%</t>
        </is>
      </c>
      <c r="J624" s="16" t="n">
        <v>8.199999999999999</v>
      </c>
      <c r="K624" s="16" t="n"/>
      <c r="L624" s="16" t="inlineStr">
        <is>
          <t>-7%</t>
        </is>
      </c>
      <c r="M624" s="16" t="inlineStr">
        <is>
          <t>-24%</t>
        </is>
      </c>
      <c r="N624" s="16" t="inlineStr">
        <is>
          <t>5%</t>
        </is>
      </c>
      <c r="O624" s="16" t="n">
        <v>-1.8</v>
      </c>
      <c r="P624" s="16" t="inlineStr">
        <is>
          <t>11%</t>
        </is>
      </c>
      <c r="Q624" s="16" t="n">
        <v>586</v>
      </c>
      <c r="R624" s="16" t="inlineStr">
        <is>
          <t>P/B 9.29 · ROE -24% · diluting 5%/yr (financial: book/earnings basis)</t>
        </is>
      </c>
      <c r="S624" s="16" t="inlineStr"/>
      <c r="T624" s="16" t="inlineStr">
        <is>
          <t>Recent 30d</t>
        </is>
      </c>
    </row>
    <row r="625">
      <c r="A625" s="6" t="inlineStr">
        <is>
          <t>RNTX</t>
        </is>
      </c>
      <c r="B625" s="14" t="inlineStr">
        <is>
          <t>Rein Therapeutics Inc.</t>
        </is>
      </c>
      <c r="C625" s="14" t="inlineStr">
        <is>
          <t>Healthcare</t>
        </is>
      </c>
      <c r="D625" s="14" t="n">
        <v>22</v>
      </c>
      <c r="E625" s="14" t="n">
        <v>2.12</v>
      </c>
      <c r="F625" s="14" t="n">
        <v>-0.4</v>
      </c>
      <c r="G625" s="14" t="n">
        <v>-0.6</v>
      </c>
      <c r="H625" s="14" t="inlineStr">
        <is>
          <t>-87%</t>
        </is>
      </c>
      <c r="I625" s="14" t="inlineStr">
        <is>
          <t>188%</t>
        </is>
      </c>
      <c r="J625" s="14" t="n">
        <v>0.4</v>
      </c>
      <c r="K625" s="14" t="n"/>
      <c r="L625" s="14" t="inlineStr">
        <is>
          <t>0%</t>
        </is>
      </c>
      <c r="M625" s="14" t="inlineStr">
        <is>
          <t>-234%</t>
        </is>
      </c>
      <c r="N625" s="14" t="inlineStr">
        <is>
          <t>25%</t>
        </is>
      </c>
      <c r="O625" s="14" t="n">
        <v>0</v>
      </c>
      <c r="P625" s="14" t="inlineStr">
        <is>
          <t>5%</t>
        </is>
      </c>
      <c r="Q625" s="14" t="n">
        <v>383</v>
      </c>
      <c r="R625" s="14" t="inlineStr">
        <is>
          <t>P/B 2.12 · P/S 0.0 · FCF yld -87% · net cash 188% of mcap · op margin 0% · diluting 25%/yr</t>
        </is>
      </c>
      <c r="S625" s="14" t="inlineStr"/>
      <c r="T625" s="14" t="inlineStr">
        <is>
          <t>Recent 30d</t>
        </is>
      </c>
    </row>
    <row r="626">
      <c r="A626" s="8" t="inlineStr">
        <is>
          <t>BAH</t>
        </is>
      </c>
      <c r="B626" s="16" t="inlineStr">
        <is>
          <t>Booz Allen Hamilton Ho</t>
        </is>
      </c>
      <c r="C626" s="16" t="inlineStr">
        <is>
          <t>Industrials</t>
        </is>
      </c>
      <c r="D626" s="16" t="n">
        <v>9267</v>
      </c>
      <c r="E626" s="16" t="n">
        <v>9.039999999999999</v>
      </c>
      <c r="F626" s="16" t="n">
        <v>11.9</v>
      </c>
      <c r="G626" s="16" t="n">
        <v>10.1</v>
      </c>
      <c r="H626" s="16" t="inlineStr">
        <is>
          <t>12%</t>
        </is>
      </c>
      <c r="I626" s="16" t="inlineStr">
        <is>
          <t>6%</t>
        </is>
      </c>
      <c r="J626" s="16" t="n">
        <v>2.9</v>
      </c>
      <c r="K626" s="16" t="inlineStr">
        <is>
          <t>2%</t>
        </is>
      </c>
      <c r="L626" s="16" t="inlineStr">
        <is>
          <t>10%</t>
        </is>
      </c>
      <c r="M626" s="16" t="inlineStr">
        <is>
          <t>72%</t>
        </is>
      </c>
      <c r="N626" s="16" t="inlineStr">
        <is>
          <t>-4%</t>
        </is>
      </c>
      <c r="O626" s="16" t="n">
        <v>11.1</v>
      </c>
      <c r="P626" s="16" t="inlineStr">
        <is>
          <t>35%</t>
        </is>
      </c>
      <c r="Q626" s="16" t="n">
        <v>160303</v>
      </c>
      <c r="R626" s="16" t="inlineStr">
        <is>
          <t>P/B 9.04 · EV/EBITDA 10.1× · FCF yld 12% · net cash 6% of mcap · rev +2% · op margin 10% · buying back 4%/yr</t>
        </is>
      </c>
      <c r="S626" s="16" t="inlineStr"/>
      <c r="T626" s="16" t="inlineStr">
        <is>
          <t>Recent 30d</t>
        </is>
      </c>
    </row>
    <row r="627">
      <c r="A627" s="6" t="inlineStr">
        <is>
          <t>VNRX</t>
        </is>
      </c>
      <c r="B627" s="14" t="inlineStr">
        <is>
          <t>VolitionRX Ltd</t>
        </is>
      </c>
      <c r="C627" s="14" t="inlineStr">
        <is>
          <t>Healthcare</t>
        </is>
      </c>
      <c r="D627" s="14" t="n">
        <v>2</v>
      </c>
      <c r="E627" s="14" t="n"/>
      <c r="F627" s="14" t="n">
        <v>-0.1</v>
      </c>
      <c r="G627" s="14" t="n">
        <v>-0.7</v>
      </c>
      <c r="H627" s="14" t="n"/>
      <c r="I627" s="14" t="n"/>
      <c r="J627" s="14" t="n">
        <v>-0.5</v>
      </c>
      <c r="K627" s="14" t="inlineStr">
        <is>
          <t>86%</t>
        </is>
      </c>
      <c r="L627" s="14" t="inlineStr">
        <is>
          <t>-787%</t>
        </is>
      </c>
      <c r="M627" s="14" t="inlineStr">
        <is>
          <t>77%</t>
        </is>
      </c>
      <c r="N627" s="14" t="inlineStr">
        <is>
          <t>78%</t>
        </is>
      </c>
      <c r="O627" s="14" t="n">
        <v>-5.9</v>
      </c>
      <c r="P627" s="14" t="inlineStr">
        <is>
          <t>0%</t>
        </is>
      </c>
      <c r="Q627" s="14" t="n">
        <v>284</v>
      </c>
      <c r="R627" s="14" t="inlineStr">
        <is>
          <t>P/S 0.8 · rev +86% · diluting 78%/yr</t>
        </is>
      </c>
      <c r="S627" s="14" t="inlineStr">
        <is>
          <t>FCF yield &gt;100% (check)</t>
        </is>
      </c>
      <c r="T627" s="14" t="inlineStr">
        <is>
          <t>Recent 30d</t>
        </is>
      </c>
    </row>
    <row r="628">
      <c r="A628" s="8" t="inlineStr">
        <is>
          <t>SWZ</t>
        </is>
      </c>
      <c r="B628" s="16" t="inlineStr">
        <is>
          <t>Total Return Securitie</t>
        </is>
      </c>
      <c r="C628" s="16" t="inlineStr">
        <is>
          <t>Financial Serv</t>
        </is>
      </c>
      <c r="D628" s="16" t="n">
        <v>76</v>
      </c>
      <c r="E628" s="16" t="n">
        <v>0.79</v>
      </c>
      <c r="F628" s="16" t="n">
        <v>11.5</v>
      </c>
      <c r="G628" s="16" t="n">
        <v>11.2</v>
      </c>
      <c r="H628" s="16" t="inlineStr">
        <is>
          <t>1%</t>
        </is>
      </c>
      <c r="I628" s="16" t="inlineStr">
        <is>
          <t>19%</t>
        </is>
      </c>
      <c r="J628" s="16" t="n">
        <v>-0</v>
      </c>
      <c r="K628" s="16" t="inlineStr">
        <is>
          <t>-68%</t>
        </is>
      </c>
      <c r="L628" s="16" t="inlineStr">
        <is>
          <t>45%</t>
        </is>
      </c>
      <c r="M628" s="16" t="inlineStr">
        <is>
          <t>6%</t>
        </is>
      </c>
      <c r="N628" s="16" t="inlineStr">
        <is>
          <t>-0%</t>
        </is>
      </c>
      <c r="O628" s="16" t="n">
        <v>0</v>
      </c>
      <c r="P628" s="16" t="inlineStr">
        <is>
          <t>6%</t>
        </is>
      </c>
      <c r="Q628" s="16" t="n">
        <v>322</v>
      </c>
      <c r="R628" s="16" t="inlineStr">
        <is>
          <t>P/B 0.79 · P/E 11.5 · ROE 6% (financial: book/earnings basis)</t>
        </is>
      </c>
      <c r="S628" s="16" t="inlineStr"/>
      <c r="T628" s="16" t="inlineStr">
        <is>
          <t>Recent 30d</t>
        </is>
      </c>
    </row>
    <row r="629">
      <c r="A629" s="6" t="inlineStr">
        <is>
          <t>FOX</t>
        </is>
      </c>
      <c r="B629" s="14" t="inlineStr">
        <is>
          <t>Fox Corporation</t>
        </is>
      </c>
      <c r="C629" s="14" t="inlineStr">
        <is>
          <t xml:space="preserve">Communication </t>
        </is>
      </c>
      <c r="D629" s="14" t="n">
        <v>24854</v>
      </c>
      <c r="E629" s="14" t="n">
        <v>2.27</v>
      </c>
      <c r="F629" s="14" t="n">
        <v>14.6</v>
      </c>
      <c r="G629" s="14" t="n">
        <v>9.300000000000001</v>
      </c>
      <c r="H629" s="14" t="inlineStr">
        <is>
          <t>6%</t>
        </is>
      </c>
      <c r="I629" s="14" t="inlineStr">
        <is>
          <t>-16%</t>
        </is>
      </c>
      <c r="J629" s="14" t="n">
        <v>1.1</v>
      </c>
      <c r="K629" s="14" t="inlineStr">
        <is>
          <t>9%</t>
        </is>
      </c>
      <c r="L629" s="14" t="inlineStr">
        <is>
          <t>24%</t>
        </is>
      </c>
      <c r="M629" s="14" t="inlineStr">
        <is>
          <t>15%</t>
        </is>
      </c>
      <c r="N629" s="14" t="inlineStr">
        <is>
          <t>-5%</t>
        </is>
      </c>
      <c r="O629" s="14" t="n">
        <v>12.9</v>
      </c>
      <c r="P629" s="14" t="inlineStr">
        <is>
          <t>52%</t>
        </is>
      </c>
      <c r="Q629" s="14" t="n">
        <v>88609</v>
      </c>
      <c r="R629" s="14" t="inlineStr">
        <is>
          <t>P/B 2.27 · EV/EBITDA 9.3× · FCF yld 6% · net debt 16% of mcap · rev +9% · op margin 24% · buying back 5%/yr</t>
        </is>
      </c>
      <c r="S629" s="14" t="inlineStr"/>
      <c r="T629" s="14" t="inlineStr">
        <is>
          <t>Recent 30d</t>
        </is>
      </c>
    </row>
    <row r="630">
      <c r="A630" s="8" t="inlineStr">
        <is>
          <t>MYSZ</t>
        </is>
      </c>
      <c r="B630" s="16" t="inlineStr">
        <is>
          <t>My Size, Inc.</t>
        </is>
      </c>
      <c r="C630" s="16" t="inlineStr">
        <is>
          <t>Technology</t>
        </is>
      </c>
      <c r="D630" s="16" t="n">
        <v>1</v>
      </c>
      <c r="E630" s="16" t="n">
        <v>0.42</v>
      </c>
      <c r="F630" s="16" t="n">
        <v>-0.1</v>
      </c>
      <c r="G630" s="16" t="n">
        <v>-0.2</v>
      </c>
      <c r="H630" s="16" t="n"/>
      <c r="I630" s="16" t="inlineStr">
        <is>
          <t>-61%</t>
        </is>
      </c>
      <c r="J630" s="16" t="n">
        <v>-0.1</v>
      </c>
      <c r="K630" s="16" t="inlineStr">
        <is>
          <t>67%</t>
        </is>
      </c>
      <c r="L630" s="16" t="inlineStr">
        <is>
          <t>-48%</t>
        </is>
      </c>
      <c r="M630" s="16" t="inlineStr">
        <is>
          <t>-161%</t>
        </is>
      </c>
      <c r="N630" s="16" t="n"/>
      <c r="O630" s="16" t="n">
        <v>-181.4</v>
      </c>
      <c r="P630" s="16" t="inlineStr">
        <is>
          <t>1%</t>
        </is>
      </c>
      <c r="Q630" s="16" t="n">
        <v>270</v>
      </c>
      <c r="R630" s="16" t="inlineStr">
        <is>
          <t>P/B 0.42 · P/S 0.1 · net debt 61% of mcap · rev +67% · op margin -48% · interest cover -181.4× ⚠</t>
        </is>
      </c>
      <c r="S630" s="16" t="inlineStr">
        <is>
          <t>FCF yield &gt;100% (check); share-count history inconsistent (foreign line)</t>
        </is>
      </c>
      <c r="T630" s="16" t="inlineStr">
        <is>
          <t>Recent 30d</t>
        </is>
      </c>
    </row>
    <row r="631">
      <c r="A631" s="6" t="inlineStr">
        <is>
          <t>PRPL</t>
        </is>
      </c>
      <c r="B631" s="14" t="inlineStr">
        <is>
          <t>Purple Innovation, Inc</t>
        </is>
      </c>
      <c r="C631" s="14" t="inlineStr">
        <is>
          <t>Consumer Cycli</t>
        </is>
      </c>
      <c r="D631" s="14" t="n">
        <v>11</v>
      </c>
      <c r="E631" s="14" t="n"/>
      <c r="F631" s="14" t="n">
        <v>-0.2</v>
      </c>
      <c r="G631" s="14" t="n">
        <v>17.7</v>
      </c>
      <c r="H631" s="14" t="inlineStr">
        <is>
          <t>-85%</t>
        </is>
      </c>
      <c r="I631" s="14" t="n"/>
      <c r="J631" s="14" t="n">
        <v>16.7</v>
      </c>
      <c r="K631" s="14" t="inlineStr">
        <is>
          <t>-1%</t>
        </is>
      </c>
      <c r="L631" s="14" t="inlineStr">
        <is>
          <t>-8%</t>
        </is>
      </c>
      <c r="M631" s="14" t="inlineStr">
        <is>
          <t>108%</t>
        </is>
      </c>
      <c r="N631" s="14" t="inlineStr">
        <is>
          <t>1%</t>
        </is>
      </c>
      <c r="O631" s="14" t="n">
        <v>-1.1</v>
      </c>
      <c r="P631" s="14" t="inlineStr">
        <is>
          <t>1%</t>
        </is>
      </c>
      <c r="Q631" s="14" t="n">
        <v>75</v>
      </c>
      <c r="R631" s="14" t="inlineStr">
        <is>
          <t>EV/EBITDA 17.7× · FCF yld -85% · rev -1% · op margin -8%</t>
        </is>
      </c>
      <c r="S631" s="14" t="inlineStr">
        <is>
          <t>negative equity</t>
        </is>
      </c>
      <c r="T631" s="14" t="inlineStr">
        <is>
          <t>Recent 30d</t>
        </is>
      </c>
    </row>
    <row r="632">
      <c r="A632" s="8" t="inlineStr">
        <is>
          <t>COSM</t>
        </is>
      </c>
      <c r="B632" s="16" t="inlineStr">
        <is>
          <t>Cosmos Health Inc.</t>
        </is>
      </c>
      <c r="C632" s="16" t="inlineStr">
        <is>
          <t>Healthcare</t>
        </is>
      </c>
      <c r="D632" s="16" t="n">
        <v>21</v>
      </c>
      <c r="E632" s="16" t="n">
        <v>1.01</v>
      </c>
      <c r="F632" s="16" t="n">
        <v>-0.6</v>
      </c>
      <c r="G632" s="16" t="n">
        <v>-1.9</v>
      </c>
      <c r="H632" s="16" t="inlineStr">
        <is>
          <t>-51%</t>
        </is>
      </c>
      <c r="I632" s="16" t="inlineStr">
        <is>
          <t>-67%</t>
        </is>
      </c>
      <c r="J632" s="16" t="n">
        <v>-0.7</v>
      </c>
      <c r="K632" s="16" t="inlineStr">
        <is>
          <t>34%</t>
        </is>
      </c>
      <c r="L632" s="16" t="inlineStr">
        <is>
          <t>-25%</t>
        </is>
      </c>
      <c r="M632" s="16" t="inlineStr">
        <is>
          <t>-119%</t>
        </is>
      </c>
      <c r="N632" s="16" t="n"/>
      <c r="O632" s="16" t="n">
        <v>-5.2</v>
      </c>
      <c r="P632" s="16" t="inlineStr">
        <is>
          <t>19%</t>
        </is>
      </c>
      <c r="Q632" s="16" t="n">
        <v>2916</v>
      </c>
      <c r="R632" s="16" t="inlineStr">
        <is>
          <t>P/B 1.01 · P/S 0.3 · FCF yld -51% · net debt 67% of mcap · rev +34% · op margin -25% · interest cover -5.2× ⚠</t>
        </is>
      </c>
      <c r="S632" s="16" t="inlineStr">
        <is>
          <t>share-count history inconsistent (foreign line)</t>
        </is>
      </c>
      <c r="T632" s="16" t="inlineStr">
        <is>
          <t>Recent 30d</t>
        </is>
      </c>
    </row>
    <row r="633">
      <c r="A633" s="6" t="inlineStr">
        <is>
          <t>PSIX</t>
        </is>
      </c>
      <c r="B633" s="14" t="inlineStr">
        <is>
          <t>Power Solutions Intern</t>
        </is>
      </c>
      <c r="C633" s="14" t="inlineStr">
        <is>
          <t>Industrials</t>
        </is>
      </c>
      <c r="D633" s="14" t="n">
        <v>1062</v>
      </c>
      <c r="E633" s="14" t="n">
        <v>5.23</v>
      </c>
      <c r="F633" s="14" t="n">
        <v>15.7</v>
      </c>
      <c r="G633" s="14" t="n">
        <v>11.9</v>
      </c>
      <c r="H633" s="14" t="inlineStr">
        <is>
          <t>6%</t>
        </is>
      </c>
      <c r="I633" s="14" t="inlineStr">
        <is>
          <t>-6%</t>
        </is>
      </c>
      <c r="J633" s="14" t="n">
        <v>0.7</v>
      </c>
      <c r="K633" s="14" t="inlineStr">
        <is>
          <t>-2%</t>
        </is>
      </c>
      <c r="L633" s="14" t="inlineStr">
        <is>
          <t>13%</t>
        </is>
      </c>
      <c r="M633" s="14" t="inlineStr">
        <is>
          <t>37%</t>
        </is>
      </c>
      <c r="N633" s="14" t="inlineStr">
        <is>
          <t>0%</t>
        </is>
      </c>
      <c r="O633" s="14" t="n">
        <v>13.4</v>
      </c>
      <c r="P633" s="14" t="inlineStr">
        <is>
          <t>22%</t>
        </is>
      </c>
      <c r="Q633" s="14" t="n">
        <v>23514</v>
      </c>
      <c r="R633" s="14" t="inlineStr">
        <is>
          <t>P/B 5.23 · EV/EBITDA 11.9× · FCF yld 6% · net debt 6% of mcap · rev -2% · op margin 13%</t>
        </is>
      </c>
      <c r="S633" s="14" t="inlineStr"/>
      <c r="T633" s="14" t="inlineStr">
        <is>
          <t>Recent 30d</t>
        </is>
      </c>
    </row>
    <row r="634">
      <c r="A634" s="8" t="inlineStr">
        <is>
          <t>NXGL</t>
        </is>
      </c>
      <c r="B634" s="16" t="inlineStr">
        <is>
          <t>NEXGEL, Inc.</t>
        </is>
      </c>
      <c r="C634" s="16" t="inlineStr">
        <is>
          <t>Healthcare</t>
        </is>
      </c>
      <c r="D634" s="16" t="n">
        <v>2</v>
      </c>
      <c r="E634" s="16" t="n">
        <v>0.45</v>
      </c>
      <c r="F634" s="16" t="n">
        <v>-0.4</v>
      </c>
      <c r="G634" s="16" t="n">
        <v>-4.4</v>
      </c>
      <c r="H634" s="16" t="n"/>
      <c r="I634" s="16" t="inlineStr">
        <is>
          <t>-310%</t>
        </is>
      </c>
      <c r="J634" s="16" t="n">
        <v>-3.3</v>
      </c>
      <c r="K634" s="16" t="inlineStr">
        <is>
          <t>3%</t>
        </is>
      </c>
      <c r="L634" s="16" t="inlineStr">
        <is>
          <t>-45%</t>
        </is>
      </c>
      <c r="M634" s="16" t="inlineStr">
        <is>
          <t>-133%</t>
        </is>
      </c>
      <c r="N634" s="16" t="inlineStr">
        <is>
          <t>18%</t>
        </is>
      </c>
      <c r="O634" s="16" t="n">
        <v>-2.5</v>
      </c>
      <c r="P634" s="16" t="inlineStr">
        <is>
          <t>1%</t>
        </is>
      </c>
      <c r="Q634" s="16" t="n">
        <v>156</v>
      </c>
      <c r="R634" s="16" t="inlineStr">
        <is>
          <t>P/B 0.45 · P/S 0.2 · net debt 310% of mcap · rev +3% · op margin -45% · diluting 18%/yr · interest cover -2.5× ⚠</t>
        </is>
      </c>
      <c r="S634" s="16" t="inlineStr">
        <is>
          <t>FCF yield &gt;100% (check)</t>
        </is>
      </c>
      <c r="T634" s="16" t="inlineStr">
        <is>
          <t>Recent 30d</t>
        </is>
      </c>
    </row>
    <row r="635">
      <c r="A635" s="6" t="inlineStr">
        <is>
          <t>VTS</t>
        </is>
      </c>
      <c r="B635" s="14" t="inlineStr">
        <is>
          <t>Vitesse Energy, Inc.</t>
        </is>
      </c>
      <c r="C635" s="14" t="inlineStr">
        <is>
          <t>Energy</t>
        </is>
      </c>
      <c r="D635" s="14" t="n">
        <v>715</v>
      </c>
      <c r="E635" s="14" t="n">
        <v>1.15</v>
      </c>
      <c r="F635" s="14" t="n">
        <v>-54</v>
      </c>
      <c r="G635" s="14" t="n">
        <v>10</v>
      </c>
      <c r="H635" s="14" t="inlineStr">
        <is>
          <t>9%</t>
        </is>
      </c>
      <c r="I635" s="14" t="inlineStr">
        <is>
          <t>-23%</t>
        </is>
      </c>
      <c r="J635" s="14" t="n">
        <v>1.9</v>
      </c>
      <c r="K635" s="14" t="inlineStr">
        <is>
          <t>9%</t>
        </is>
      </c>
      <c r="L635" s="14" t="inlineStr">
        <is>
          <t>7%</t>
        </is>
      </c>
      <c r="M635" s="14" t="inlineStr">
        <is>
          <t>-2%</t>
        </is>
      </c>
      <c r="N635" s="14" t="inlineStr">
        <is>
          <t>5%</t>
        </is>
      </c>
      <c r="O635" s="14" t="n">
        <v>1.2</v>
      </c>
      <c r="P635" s="14" t="inlineStr">
        <is>
          <t>21%</t>
        </is>
      </c>
      <c r="Q635" s="14" t="n">
        <v>8978</v>
      </c>
      <c r="R635" s="14" t="inlineStr">
        <is>
          <t>P/B 1.15 · EV/EBITDA 10.0× · FCF yld 9% · net debt 23% of mcap · rev +9% · op margin 7% · diluting 5%/yr · interest cover 1.2× ⚠</t>
        </is>
      </c>
      <c r="S635" s="14" t="inlineStr"/>
      <c r="T635" s="14" t="inlineStr">
        <is>
          <t>Recent 30d</t>
        </is>
      </c>
    </row>
    <row r="636">
      <c r="A636" s="8" t="inlineStr">
        <is>
          <t>DNUT</t>
        </is>
      </c>
      <c r="B636" s="16" t="inlineStr">
        <is>
          <t>Krispy Kreme, Inc.</t>
        </is>
      </c>
      <c r="C636" s="16" t="inlineStr">
        <is>
          <t>Consumer Defen</t>
        </is>
      </c>
      <c r="D636" s="16" t="n">
        <v>522</v>
      </c>
      <c r="E636" s="16" t="n">
        <v>0.84</v>
      </c>
      <c r="F636" s="16" t="n">
        <v>-5.5</v>
      </c>
      <c r="G636" s="16" t="n">
        <v>9.300000000000001</v>
      </c>
      <c r="H636" s="16" t="inlineStr">
        <is>
          <t>7%</t>
        </is>
      </c>
      <c r="I636" s="16" t="inlineStr">
        <is>
          <t>-86%</t>
        </is>
      </c>
      <c r="J636" s="16" t="n">
        <v>4.3</v>
      </c>
      <c r="K636" s="16" t="inlineStr">
        <is>
          <t>-5%</t>
        </is>
      </c>
      <c r="L636" s="16" t="inlineStr">
        <is>
          <t>-1%</t>
        </is>
      </c>
      <c r="M636" s="16" t="inlineStr">
        <is>
          <t>-15%</t>
        </is>
      </c>
      <c r="N636" s="16" t="inlineStr">
        <is>
          <t>1%</t>
        </is>
      </c>
      <c r="O636" s="16" t="n">
        <v>-0.2</v>
      </c>
      <c r="P636" s="16" t="inlineStr">
        <is>
          <t>7%</t>
        </is>
      </c>
      <c r="Q636" s="16" t="n">
        <v>8217</v>
      </c>
      <c r="R636" s="16" t="inlineStr">
        <is>
          <t>P/B 0.84 · EV/EBITDA 9.3× · FCF yld 7% · net debt 86% of mcap · rev -5% · op margin -1% · interest cover -0.2× ⚠</t>
        </is>
      </c>
      <c r="S636" s="16" t="inlineStr"/>
      <c r="T636" s="16" t="inlineStr">
        <is>
          <t>Recent 30d</t>
        </is>
      </c>
    </row>
    <row r="637">
      <c r="A637" s="6" t="inlineStr">
        <is>
          <t>NRDY</t>
        </is>
      </c>
      <c r="B637" s="14" t="inlineStr">
        <is>
          <t>Nerdy, Inc.</t>
        </is>
      </c>
      <c r="C637" s="14" t="inlineStr">
        <is>
          <t>Technology</t>
        </is>
      </c>
      <c r="D637" s="14" t="n">
        <v>71</v>
      </c>
      <c r="E637" s="14" t="n">
        <v>4.12</v>
      </c>
      <c r="F637" s="14" t="n">
        <v>-2.3</v>
      </c>
      <c r="G637" s="14" t="n">
        <v>-1.3</v>
      </c>
      <c r="H637" s="14" t="inlineStr">
        <is>
          <t>-25%</t>
        </is>
      </c>
      <c r="I637" s="14" t="inlineStr">
        <is>
          <t>26%</t>
        </is>
      </c>
      <c r="J637" s="14" t="n">
        <v>0.5</v>
      </c>
      <c r="K637" s="14" t="inlineStr">
        <is>
          <t>-0%</t>
        </is>
      </c>
      <c r="L637" s="14" t="inlineStr">
        <is>
          <t>-21%</t>
        </is>
      </c>
      <c r="M637" s="14" t="inlineStr">
        <is>
          <t>-152%</t>
        </is>
      </c>
      <c r="N637" s="14" t="inlineStr">
        <is>
          <t>5%</t>
        </is>
      </c>
      <c r="O637" s="14" t="n">
        <v>-28.3</v>
      </c>
      <c r="P637" s="14" t="inlineStr">
        <is>
          <t>1%</t>
        </is>
      </c>
      <c r="Q637" s="14" t="n">
        <v>347</v>
      </c>
      <c r="R637" s="14" t="inlineStr">
        <is>
          <t>P/B 4.12 · P/S 0.4 · FCF yld -25% · net cash 26% of mcap · rev -0% · op margin -21% · diluting 5%/yr</t>
        </is>
      </c>
      <c r="S637" s="14" t="inlineStr"/>
      <c r="T637" s="14" t="inlineStr">
        <is>
          <t>Recent 30d</t>
        </is>
      </c>
    </row>
    <row r="638">
      <c r="A638" s="8" t="inlineStr">
        <is>
          <t>STE</t>
        </is>
      </c>
      <c r="B638" s="16" t="inlineStr">
        <is>
          <t>STERIS plc</t>
        </is>
      </c>
      <c r="C638" s="16" t="inlineStr">
        <is>
          <t>Healthcare</t>
        </is>
      </c>
      <c r="D638" s="16" t="n">
        <v>20398</v>
      </c>
      <c r="E638" s="16" t="n">
        <v>2.85</v>
      </c>
      <c r="F638" s="16" t="n">
        <v>25.6</v>
      </c>
      <c r="G638" s="16" t="n">
        <v>12.2</v>
      </c>
      <c r="H638" s="16" t="inlineStr">
        <is>
          <t>5%</t>
        </is>
      </c>
      <c r="I638" s="16" t="inlineStr">
        <is>
          <t>-8%</t>
        </is>
      </c>
      <c r="J638" s="16" t="n">
        <v>0.9</v>
      </c>
      <c r="K638" s="16" t="inlineStr">
        <is>
          <t>14%</t>
        </is>
      </c>
      <c r="L638" s="16" t="inlineStr">
        <is>
          <t>19%</t>
        </is>
      </c>
      <c r="M638" s="16" t="inlineStr">
        <is>
          <t>11%</t>
        </is>
      </c>
      <c r="N638" s="16" t="inlineStr">
        <is>
          <t>-0%</t>
        </is>
      </c>
      <c r="O638" s="16" t="n">
        <v>18.8</v>
      </c>
      <c r="P638" s="16" t="inlineStr">
        <is>
          <t>19%</t>
        </is>
      </c>
      <c r="Q638" s="16" t="n">
        <v>162153</v>
      </c>
      <c r="R638" s="16" t="inlineStr">
        <is>
          <t>P/B 2.85 · EV/EBITDA 12.2× · FCF yld 5% · net debt 8% of mcap · rev +14% · op margin 19%</t>
        </is>
      </c>
      <c r="S638" s="16" t="inlineStr"/>
      <c r="T638" s="16" t="inlineStr">
        <is>
          <t>Recent 30d</t>
        </is>
      </c>
    </row>
    <row r="639">
      <c r="A639" s="6" t="inlineStr">
        <is>
          <t>RBRK</t>
        </is>
      </c>
      <c r="B639" s="14" t="inlineStr">
        <is>
          <t>Rubrik, Inc.</t>
        </is>
      </c>
      <c r="C639" s="14" t="inlineStr">
        <is>
          <t>Technology</t>
        </is>
      </c>
      <c r="D639" s="14" t="n">
        <v>23270</v>
      </c>
      <c r="E639" s="14" t="n"/>
      <c r="F639" s="14" t="n">
        <v>-89.90000000000001</v>
      </c>
      <c r="G639" s="14" t="n">
        <v>-132.4</v>
      </c>
      <c r="H639" s="14" t="inlineStr">
        <is>
          <t>1%</t>
        </is>
      </c>
      <c r="I639" s="14" t="n"/>
      <c r="J639" s="14" t="n">
        <v>-3.9</v>
      </c>
      <c r="K639" s="14" t="inlineStr">
        <is>
          <t>48%</t>
        </is>
      </c>
      <c r="L639" s="14" t="inlineStr">
        <is>
          <t>-18%</t>
        </is>
      </c>
      <c r="M639" s="14" t="inlineStr">
        <is>
          <t>50%</t>
        </is>
      </c>
      <c r="N639" s="14" t="inlineStr">
        <is>
          <t>8%</t>
        </is>
      </c>
      <c r="O639" s="14" t="n">
        <v>-65</v>
      </c>
      <c r="P639" s="14" t="inlineStr">
        <is>
          <t>98%</t>
        </is>
      </c>
      <c r="Q639" s="14" t="n">
        <v>415269</v>
      </c>
      <c r="R639" s="14" t="inlineStr">
        <is>
          <t>P/S 15.2 · FCF yld 1% · rev +48% · op margin -18% · diluting 8%/yr</t>
        </is>
      </c>
      <c r="S639" s="14" t="inlineStr">
        <is>
          <t>negative equity</t>
        </is>
      </c>
      <c r="T639" s="14" t="inlineStr">
        <is>
          <t>Recent 30d</t>
        </is>
      </c>
    </row>
    <row r="640">
      <c r="A640" s="8" t="inlineStr">
        <is>
          <t>MDLN</t>
        </is>
      </c>
      <c r="B640" s="16" t="inlineStr">
        <is>
          <t>Medline Inc.</t>
        </is>
      </c>
      <c r="C640" s="16" t="inlineStr">
        <is>
          <t>Healthcare</t>
        </is>
      </c>
      <c r="D640" s="16" t="n">
        <v>29033</v>
      </c>
      <c r="E640" s="16" t="n">
        <v>2.51</v>
      </c>
      <c r="F640" s="16" t="n">
        <v>39.6</v>
      </c>
      <c r="G640" s="16" t="n">
        <v>15.4</v>
      </c>
      <c r="H640" s="16" t="inlineStr">
        <is>
          <t>7%</t>
        </is>
      </c>
      <c r="I640" s="16" t="inlineStr">
        <is>
          <t>-34%</t>
        </is>
      </c>
      <c r="J640" s="16" t="n">
        <v>4</v>
      </c>
      <c r="K640" s="16" t="n"/>
      <c r="L640" s="16" t="inlineStr">
        <is>
          <t>6%</t>
        </is>
      </c>
      <c r="M640" s="16" t="inlineStr">
        <is>
          <t>5%</t>
        </is>
      </c>
      <c r="N640" s="16" t="inlineStr">
        <is>
          <t>9%</t>
        </is>
      </c>
      <c r="O640" s="16" t="n">
        <v>2.5</v>
      </c>
      <c r="P640" s="16" t="inlineStr">
        <is>
          <t>15%</t>
        </is>
      </c>
      <c r="Q640" s="16" t="n">
        <v>314111</v>
      </c>
      <c r="R640" s="16" t="inlineStr">
        <is>
          <t>P/B 2.51 · EV/EBITDA 15.4× · FCF yld 7% · net debt 34% of mcap · op margin 6% · diluting 9%/yr</t>
        </is>
      </c>
      <c r="S640" s="16" t="inlineStr"/>
      <c r="T640" s="16" t="inlineStr">
        <is>
          <t>Recent 30d</t>
        </is>
      </c>
    </row>
    <row r="641">
      <c r="A641" s="6" t="inlineStr">
        <is>
          <t>TORO</t>
        </is>
      </c>
      <c r="B641" s="14" t="inlineStr">
        <is>
          <t>Toro Corp.</t>
        </is>
      </c>
      <c r="C641" s="14" t="inlineStr">
        <is>
          <t>Industrials</t>
        </is>
      </c>
      <c r="D641" s="14" t="n">
        <v>201</v>
      </c>
      <c r="E641" s="14" t="n">
        <v>0.63</v>
      </c>
      <c r="F641" s="14" t="n">
        <v>62</v>
      </c>
      <c r="G641" s="14" t="n">
        <v>6.5</v>
      </c>
      <c r="H641" s="14" t="inlineStr">
        <is>
          <t>-45%</t>
        </is>
      </c>
      <c r="I641" s="14" t="inlineStr">
        <is>
          <t>41%</t>
        </is>
      </c>
      <c r="J641" s="14" t="n">
        <v>-4.6</v>
      </c>
      <c r="K641" s="14" t="inlineStr">
        <is>
          <t>-0%</t>
        </is>
      </c>
      <c r="L641" s="14" t="inlineStr">
        <is>
          <t>-21%</t>
        </is>
      </c>
      <c r="M641" s="14" t="inlineStr">
        <is>
          <t>2%</t>
        </is>
      </c>
      <c r="N641" s="14" t="inlineStr">
        <is>
          <t>3%</t>
        </is>
      </c>
      <c r="O641" s="14" t="n">
        <v>0</v>
      </c>
      <c r="P641" s="14" t="inlineStr">
        <is>
          <t>51%</t>
        </is>
      </c>
      <c r="Q641" s="14" t="n">
        <v>233</v>
      </c>
      <c r="R641" s="14" t="inlineStr">
        <is>
          <t>P/B 0.63 · EV/EBITDA 6.5× · FCF yld -45% · net cash 41% of mcap · rev -0% · op margin -21% · diluting 3%/yr</t>
        </is>
      </c>
      <c r="S641" s="14" t="inlineStr">
        <is>
          <t>dividend yield &gt;25% (special or bad data)</t>
        </is>
      </c>
      <c r="T641" s="14" t="inlineStr">
        <is>
          <t>Recent 30d</t>
        </is>
      </c>
    </row>
    <row r="642">
      <c r="A642" s="8" t="inlineStr">
        <is>
          <t>DOMO</t>
        </is>
      </c>
      <c r="B642" s="16" t="inlineStr">
        <is>
          <t>Domo, Inc.</t>
        </is>
      </c>
      <c r="C642" s="16" t="inlineStr">
        <is>
          <t>Technology</t>
        </is>
      </c>
      <c r="D642" s="16" t="n">
        <v>154</v>
      </c>
      <c r="E642" s="16" t="n"/>
      <c r="F642" s="16" t="n">
        <v>-3.6</v>
      </c>
      <c r="G642" s="16" t="n">
        <v>-28</v>
      </c>
      <c r="H642" s="16" t="inlineStr">
        <is>
          <t>-6%</t>
        </is>
      </c>
      <c r="I642" s="16" t="n"/>
      <c r="J642" s="16" t="n">
        <v>-12.3</v>
      </c>
      <c r="K642" s="16" t="inlineStr">
        <is>
          <t>-0%</t>
        </is>
      </c>
      <c r="L642" s="16" t="inlineStr">
        <is>
          <t>-10%</t>
        </is>
      </c>
      <c r="M642" s="16" t="inlineStr">
        <is>
          <t>22%</t>
        </is>
      </c>
      <c r="N642" s="16" t="inlineStr">
        <is>
          <t>6%</t>
        </is>
      </c>
      <c r="O642" s="16" t="n">
        <v>-1.7</v>
      </c>
      <c r="P642" s="16" t="inlineStr">
        <is>
          <t>11%</t>
        </is>
      </c>
      <c r="Q642" s="16" t="n">
        <v>6660</v>
      </c>
      <c r="R642" s="16" t="inlineStr">
        <is>
          <t>P/S 0.5 · FCF yld -6% · rev -0% · op margin -10% · diluting 6%/yr</t>
        </is>
      </c>
      <c r="S642" s="16" t="inlineStr">
        <is>
          <t>negative equity</t>
        </is>
      </c>
      <c r="T642" s="16" t="inlineStr">
        <is>
          <t>Recent 30d</t>
        </is>
      </c>
    </row>
    <row r="643">
      <c r="A643" s="6" t="inlineStr">
        <is>
          <t>VOD.L</t>
        </is>
      </c>
      <c r="B643" s="14" t="inlineStr">
        <is>
          <t>Vodafone Group Plc</t>
        </is>
      </c>
      <c r="C643" s="14" t="inlineStr">
        <is>
          <t xml:space="preserve">Communication </t>
        </is>
      </c>
      <c r="D643" s="14" t="n">
        <v>28520</v>
      </c>
      <c r="E643" s="14" t="n">
        <v>0.63</v>
      </c>
      <c r="F643" s="14" t="n">
        <v>-73.40000000000001</v>
      </c>
      <c r="G643" s="14" t="n">
        <v>5</v>
      </c>
      <c r="H643" s="14" t="inlineStr">
        <is>
          <t>26%</t>
        </is>
      </c>
      <c r="I643" s="14" t="inlineStr">
        <is>
          <t>-122%</t>
        </is>
      </c>
      <c r="J643" s="14" t="n">
        <v>2.8</v>
      </c>
      <c r="K643" s="14" t="inlineStr">
        <is>
          <t>16%</t>
        </is>
      </c>
      <c r="L643" s="14" t="inlineStr">
        <is>
          <t>9%</t>
        </is>
      </c>
      <c r="M643" s="14" t="inlineStr">
        <is>
          <t>-1%</t>
        </is>
      </c>
      <c r="N643" s="14" t="inlineStr">
        <is>
          <t>-8%</t>
        </is>
      </c>
      <c r="O643" s="14" t="n">
        <v>0</v>
      </c>
      <c r="P643" s="14" t="inlineStr">
        <is>
          <t>83%</t>
        </is>
      </c>
      <c r="Q643" s="14" t="n">
        <v>10649554</v>
      </c>
      <c r="R643" s="14" t="inlineStr">
        <is>
          <t>P/B 0.63 · EV/EBITDA 5.0× · FCF yld 26% · net debt 122% of mcap · rev +16% · op margin 9% · buying back 8%/yr</t>
        </is>
      </c>
      <c r="S643" s="14" t="inlineStr"/>
      <c r="T643" s="14" t="inlineStr">
        <is>
          <t>Foreign Markets</t>
        </is>
      </c>
    </row>
    <row r="644">
      <c r="A644" s="8" t="inlineStr">
        <is>
          <t>7201.T</t>
        </is>
      </c>
      <c r="B644" s="16" t="inlineStr">
        <is>
          <t>Nissan Motor Co., Ltd.</t>
        </is>
      </c>
      <c r="C644" s="16" t="inlineStr">
        <is>
          <t>Consumer Cycli</t>
        </is>
      </c>
      <c r="D644" s="16" t="n">
        <v>1091920</v>
      </c>
      <c r="E644" s="16" t="n">
        <v>0.22</v>
      </c>
      <c r="F644" s="16" t="n">
        <v>-2.6</v>
      </c>
      <c r="G644" s="16" t="n">
        <v>15.9</v>
      </c>
      <c r="H644" s="16" t="inlineStr">
        <is>
          <t>-62%</t>
        </is>
      </c>
      <c r="I644" s="16" t="inlineStr">
        <is>
          <t>-317%</t>
        </is>
      </c>
      <c r="J644" s="16" t="n">
        <v>13.7</v>
      </c>
      <c r="K644" s="16" t="inlineStr">
        <is>
          <t>-3%</t>
        </is>
      </c>
      <c r="L644" s="16" t="inlineStr">
        <is>
          <t>1%</t>
        </is>
      </c>
      <c r="M644" s="16" t="inlineStr">
        <is>
          <t>-9%</t>
        </is>
      </c>
      <c r="N644" s="16" t="inlineStr">
        <is>
          <t>-4%</t>
        </is>
      </c>
      <c r="O644" s="16" t="n">
        <v>1.3</v>
      </c>
      <c r="P644" s="16" t="inlineStr">
        <is>
          <t>12%</t>
        </is>
      </c>
      <c r="Q644" s="16" t="n">
        <v>11026550</v>
      </c>
      <c r="R644" s="16" t="inlineStr">
        <is>
          <t>P/B 0.22 · EV/EBITDA 15.9× · FCF yld -62% · net debt 317% of mcap · rev -3% · op margin 1% · buying back 4%/yr · interest cover 1.3× ⚠</t>
        </is>
      </c>
      <c r="S644" s="16" t="inlineStr"/>
      <c r="T644" s="16" t="inlineStr">
        <is>
          <t>Foreign Markets</t>
        </is>
      </c>
    </row>
    <row r="645">
      <c r="A645" s="6" t="inlineStr">
        <is>
          <t>005490.KS</t>
        </is>
      </c>
      <c r="B645" s="14" t="inlineStr">
        <is>
          <t>POSCO Holdings Inc.</t>
        </is>
      </c>
      <c r="C645" s="14" t="inlineStr">
        <is>
          <t>Basic Material</t>
        </is>
      </c>
      <c r="D645" s="14" t="n">
        <v>23555873</v>
      </c>
      <c r="E645" s="14" t="n">
        <v>0.41</v>
      </c>
      <c r="F645" s="14" t="n">
        <v>17.5</v>
      </c>
      <c r="G645" s="14" t="n">
        <v>7.9</v>
      </c>
      <c r="H645" s="14" t="inlineStr">
        <is>
          <t>-9%</t>
        </is>
      </c>
      <c r="I645" s="14" t="inlineStr">
        <is>
          <t>-74%</t>
        </is>
      </c>
      <c r="J645" s="14" t="n">
        <v>4.1</v>
      </c>
      <c r="K645" s="14" t="inlineStr">
        <is>
          <t>0%</t>
        </is>
      </c>
      <c r="L645" s="14" t="inlineStr">
        <is>
          <t>3%</t>
        </is>
      </c>
      <c r="M645" s="14" t="inlineStr">
        <is>
          <t>2%</t>
        </is>
      </c>
      <c r="N645" s="14" t="inlineStr">
        <is>
          <t>9%</t>
        </is>
      </c>
      <c r="O645" s="14" t="n">
        <v>1.9</v>
      </c>
      <c r="P645" s="14" t="inlineStr">
        <is>
          <t>19%</t>
        </is>
      </c>
      <c r="Q645" s="14" t="n">
        <v>148724429</v>
      </c>
      <c r="R645" s="14" t="inlineStr">
        <is>
          <t>P/B 0.41 · EV/EBITDA 7.9× · FCF yld -9% · net debt 74% of mcap · rev +0% · op margin 3% · diluting 9%/yr</t>
        </is>
      </c>
      <c r="S645" s="14" t="inlineStr"/>
      <c r="T645" s="14" t="inlineStr">
        <is>
          <t>Foreign Markets</t>
        </is>
      </c>
    </row>
    <row r="646">
      <c r="A646" s="8" t="inlineStr">
        <is>
          <t>105560.KS</t>
        </is>
      </c>
      <c r="B646" s="16" t="inlineStr">
        <is>
          <t>KB Financial Group Inc</t>
        </is>
      </c>
      <c r="C646" s="16" t="inlineStr">
        <is>
          <t>Financial Serv</t>
        </is>
      </c>
      <c r="D646" s="16" t="n">
        <v>60811578</v>
      </c>
      <c r="E646" s="16" t="n">
        <v>1</v>
      </c>
      <c r="F646" s="16" t="n">
        <v>10</v>
      </c>
      <c r="G646" s="16" t="n">
        <v>22.1</v>
      </c>
      <c r="H646" s="16" t="inlineStr">
        <is>
          <t>-24%</t>
        </is>
      </c>
      <c r="I646" s="16" t="inlineStr">
        <is>
          <t>-260%</t>
        </is>
      </c>
      <c r="J646" s="16" t="n">
        <v>16</v>
      </c>
      <c r="K646" s="16" t="inlineStr">
        <is>
          <t>40%</t>
        </is>
      </c>
      <c r="L646" s="16" t="inlineStr">
        <is>
          <t>17%</t>
        </is>
      </c>
      <c r="M646" s="16" t="inlineStr">
        <is>
          <t>11%</t>
        </is>
      </c>
      <c r="N646" s="16" t="inlineStr">
        <is>
          <t>-3%</t>
        </is>
      </c>
      <c r="O646" s="16" t="n">
        <v>0.2</v>
      </c>
      <c r="P646" s="16" t="inlineStr">
        <is>
          <t>75%</t>
        </is>
      </c>
      <c r="Q646" s="16" t="n">
        <v>260978799</v>
      </c>
      <c r="R646" s="16" t="inlineStr">
        <is>
          <t>P/B 1.00 · P/E 10.0 · ROE 11% · div yld 4.8% · buying back 3%/yr (financial: book/earnings basis)</t>
        </is>
      </c>
      <c r="S646" s="16" t="inlineStr"/>
      <c r="T646" s="16" t="inlineStr">
        <is>
          <t>Foreign Markets</t>
        </is>
      </c>
    </row>
    <row r="647">
      <c r="A647" s="6" t="inlineStr">
        <is>
          <t>ESAB</t>
        </is>
      </c>
      <c r="B647" s="14" t="inlineStr">
        <is>
          <t>ESAB Corporation</t>
        </is>
      </c>
      <c r="C647" s="14" t="inlineStr">
        <is>
          <t>Industrials</t>
        </is>
      </c>
      <c r="D647" s="14" t="n">
        <v>4234</v>
      </c>
      <c r="E647" s="14" t="n">
        <v>1.67</v>
      </c>
      <c r="F647" s="14" t="n">
        <v>24.8</v>
      </c>
      <c r="G647" s="14" t="n">
        <v>14.3</v>
      </c>
      <c r="H647" s="14" t="inlineStr">
        <is>
          <t>5%</t>
        </is>
      </c>
      <c r="I647" s="14" t="inlineStr">
        <is>
          <t>-52%</t>
        </is>
      </c>
      <c r="J647" s="14" t="n">
        <v>5</v>
      </c>
      <c r="K647" s="14" t="inlineStr">
        <is>
          <t>10%</t>
        </is>
      </c>
      <c r="L647" s="14" t="inlineStr">
        <is>
          <t>15%</t>
        </is>
      </c>
      <c r="M647" s="14" t="inlineStr">
        <is>
          <t>8%</t>
        </is>
      </c>
      <c r="N647" s="14" t="inlineStr">
        <is>
          <t>0%</t>
        </is>
      </c>
      <c r="O647" s="14" t="n">
        <v>6.7</v>
      </c>
      <c r="P647" s="14" t="inlineStr">
        <is>
          <t>6%</t>
        </is>
      </c>
      <c r="Q647" s="14" t="n">
        <v>53017</v>
      </c>
      <c r="R647" s="14" t="inlineStr">
        <is>
          <t>P/B 1.67 · EV/EBITDA 14.3× · FCF yld 5% · net debt 52% of mcap · rev +10% · op margin 15%</t>
        </is>
      </c>
      <c r="S647" s="14" t="inlineStr"/>
      <c r="T647" s="14" t="inlineStr">
        <is>
          <t>Turnaround Signal</t>
        </is>
      </c>
    </row>
    <row r="648">
      <c r="A648" s="8" t="inlineStr">
        <is>
          <t>PROP</t>
        </is>
      </c>
      <c r="B648" s="16" t="inlineStr">
        <is>
          <t>Prairie Operating Co.</t>
        </is>
      </c>
      <c r="C648" s="16" t="inlineStr">
        <is>
          <t>Energy</t>
        </is>
      </c>
      <c r="D648" s="16" t="n">
        <v>40</v>
      </c>
      <c r="E648" s="16" t="n"/>
      <c r="F648" s="16" t="n">
        <v>-0.6</v>
      </c>
      <c r="G648" s="16" t="n">
        <v>-16.9</v>
      </c>
      <c r="H648" s="16" t="inlineStr">
        <is>
          <t>-86%</t>
        </is>
      </c>
      <c r="I648" s="16" t="n"/>
      <c r="J648" s="16" t="n">
        <v>-15.6</v>
      </c>
      <c r="K648" s="16" t="inlineStr">
        <is>
          <t>283%</t>
        </is>
      </c>
      <c r="L648" s="16" t="inlineStr">
        <is>
          <t>35%</t>
        </is>
      </c>
      <c r="M648" s="16" t="inlineStr">
        <is>
          <t>-39%</t>
        </is>
      </c>
      <c r="N648" s="16" t="n"/>
      <c r="O648" s="16" t="n">
        <v>3.3</v>
      </c>
      <c r="P648" s="16" t="inlineStr">
        <is>
          <t>1%</t>
        </is>
      </c>
      <c r="Q648" s="16" t="n">
        <v>913</v>
      </c>
      <c r="R648" s="16" t="inlineStr">
        <is>
          <t>P/S 0.1 · FCF yld -86% · rev +283% · op margin 35%</t>
        </is>
      </c>
      <c r="S648" s="16" t="inlineStr">
        <is>
          <t>market-cap/share data inconsistent</t>
        </is>
      </c>
      <c r="T648" s="16" t="inlineStr">
        <is>
          <t>Turnaround Signal</t>
        </is>
      </c>
    </row>
    <row r="649">
      <c r="A649" s="6" t="inlineStr">
        <is>
          <t>KLIC</t>
        </is>
      </c>
      <c r="B649" s="14" t="inlineStr">
        <is>
          <t>Kulicke and Soffa Indu</t>
        </is>
      </c>
      <c r="C649" s="14" t="inlineStr">
        <is>
          <t>Technology</t>
        </is>
      </c>
      <c r="D649" s="14" t="n">
        <v>4735</v>
      </c>
      <c r="E649" s="14" t="n">
        <v>5.19</v>
      </c>
      <c r="F649" s="14" t="n">
        <v>40.8</v>
      </c>
      <c r="G649" s="14" t="n">
        <v>27.5</v>
      </c>
      <c r="H649" s="14" t="inlineStr">
        <is>
          <t>1%</t>
        </is>
      </c>
      <c r="I649" s="14" t="inlineStr">
        <is>
          <t>10%</t>
        </is>
      </c>
      <c r="J649" s="14" t="n">
        <v>-2.1</v>
      </c>
      <c r="K649" s="14" t="inlineStr">
        <is>
          <t>11%</t>
        </is>
      </c>
      <c r="L649" s="14" t="inlineStr">
        <is>
          <t>13%</t>
        </is>
      </c>
      <c r="M649" s="14" t="inlineStr">
        <is>
          <t>14%</t>
        </is>
      </c>
      <c r="N649" s="14" t="inlineStr">
        <is>
          <t>-1%</t>
        </is>
      </c>
      <c r="O649" s="14" t="n">
        <v>848.9</v>
      </c>
      <c r="P649" s="14" t="inlineStr">
        <is>
          <t>55%</t>
        </is>
      </c>
      <c r="Q649" s="14" t="n">
        <v>88399</v>
      </c>
      <c r="R649" s="14" t="inlineStr">
        <is>
          <t>P/B 5.19 · EV/EBITDA 27.5× · FCF yld 1% · net cash 10% of mcap · rev +11% · op margin 13%</t>
        </is>
      </c>
      <c r="S649" s="14" t="inlineStr"/>
      <c r="T649" s="14" t="inlineStr">
        <is>
          <t>Turnaround Signal</t>
        </is>
      </c>
    </row>
    <row r="650">
      <c r="A650" s="8" t="inlineStr">
        <is>
          <t>DH</t>
        </is>
      </c>
      <c r="B650" s="16" t="inlineStr">
        <is>
          <t xml:space="preserve">Definitive Healthcare </t>
        </is>
      </c>
      <c r="C650" s="16" t="inlineStr">
        <is>
          <t>Healthcare</t>
        </is>
      </c>
      <c r="D650" s="16" t="n">
        <v>94</v>
      </c>
      <c r="E650" s="16" t="n">
        <v>0.65</v>
      </c>
      <c r="F650" s="16" t="n">
        <v>-0.6</v>
      </c>
      <c r="G650" s="16" t="n">
        <v>-0.5</v>
      </c>
      <c r="H650" s="16" t="inlineStr">
        <is>
          <t>27%</t>
        </is>
      </c>
      <c r="I650" s="16" t="inlineStr">
        <is>
          <t>18%</t>
        </is>
      </c>
      <c r="J650" s="16" t="n">
        <v>0</v>
      </c>
      <c r="K650" s="16" t="inlineStr">
        <is>
          <t>-5%</t>
        </is>
      </c>
      <c r="L650" s="16" t="inlineStr">
        <is>
          <t>67%</t>
        </is>
      </c>
      <c r="M650" s="16" t="inlineStr">
        <is>
          <t>-79%</t>
        </is>
      </c>
      <c r="N650" s="16" t="inlineStr">
        <is>
          <t>-1%</t>
        </is>
      </c>
      <c r="O650" s="16" t="n">
        <v>14.1</v>
      </c>
      <c r="P650" s="16" t="inlineStr">
        <is>
          <t>8%</t>
        </is>
      </c>
      <c r="Q650" s="16" t="n">
        <v>488</v>
      </c>
      <c r="R650" s="16" t="inlineStr">
        <is>
          <t>P/B 0.65 · P/S 0.4 · FCF yld 27% · net cash 18% of mcap · rev -5% · op margin 67%</t>
        </is>
      </c>
      <c r="S650" s="16" t="inlineStr"/>
      <c r="T650" s="16" t="inlineStr">
        <is>
          <t>Turnaround Signal</t>
        </is>
      </c>
    </row>
    <row r="651">
      <c r="A651" s="6" t="inlineStr">
        <is>
          <t>RPD</t>
        </is>
      </c>
      <c r="B651" s="14" t="inlineStr">
        <is>
          <t>Rapid7, Inc.</t>
        </is>
      </c>
      <c r="C651" s="14" t="inlineStr">
        <is>
          <t>Technology</t>
        </is>
      </c>
      <c r="D651" s="14" t="n">
        <v>873</v>
      </c>
      <c r="E651" s="14" t="n">
        <v>4.44</v>
      </c>
      <c r="F651" s="14" t="n">
        <v>42.9</v>
      </c>
      <c r="G651" s="14" t="n">
        <v>18.1</v>
      </c>
      <c r="H651" s="14" t="inlineStr">
        <is>
          <t>16%</t>
        </is>
      </c>
      <c r="I651" s="14" t="inlineStr">
        <is>
          <t>-30%</t>
        </is>
      </c>
      <c r="J651" s="14" t="n">
        <v>6.9</v>
      </c>
      <c r="K651" s="14" t="inlineStr">
        <is>
          <t>0%</t>
        </is>
      </c>
      <c r="L651" s="14" t="inlineStr">
        <is>
          <t>1%</t>
        </is>
      </c>
      <c r="M651" s="14" t="inlineStr">
        <is>
          <t>12%</t>
        </is>
      </c>
      <c r="N651" s="14" t="inlineStr">
        <is>
          <t>5%</t>
        </is>
      </c>
      <c r="O651" s="14" t="n">
        <v>1</v>
      </c>
      <c r="P651" s="14" t="inlineStr">
        <is>
          <t>53%</t>
        </is>
      </c>
      <c r="Q651" s="14" t="n">
        <v>30448</v>
      </c>
      <c r="R651" s="14" t="inlineStr">
        <is>
          <t>P/B 4.44 · EV/EBITDA 18.1× · FCF yld 16% · net debt 30% of mcap · rev +0% · op margin 1% · diluting 5%/yr · interest cover 1.0× ⚠</t>
        </is>
      </c>
      <c r="S651" s="14" t="inlineStr"/>
      <c r="T651" s="14" t="inlineStr">
        <is>
          <t>Turnaround Signal</t>
        </is>
      </c>
    </row>
    <row r="652">
      <c r="A652" s="8" t="inlineStr">
        <is>
          <t>FTHM</t>
        </is>
      </c>
      <c r="B652" s="16" t="inlineStr">
        <is>
          <t>Fathom Holdings Inc.</t>
        </is>
      </c>
      <c r="C652" s="16" t="inlineStr">
        <is>
          <t>Real Estate</t>
        </is>
      </c>
      <c r="D652" s="16" t="n">
        <v>18</v>
      </c>
      <c r="E652" s="16" t="n">
        <v>0.76</v>
      </c>
      <c r="F652" s="16" t="n">
        <v>-0.7</v>
      </c>
      <c r="G652" s="16" t="n">
        <v>-2.5</v>
      </c>
      <c r="H652" s="16" t="inlineStr">
        <is>
          <t>-78%</t>
        </is>
      </c>
      <c r="I652" s="16" t="inlineStr">
        <is>
          <t>-43%</t>
        </is>
      </c>
      <c r="J652" s="16" t="n">
        <v>-1.5</v>
      </c>
      <c r="K652" s="16" t="inlineStr">
        <is>
          <t>4%</t>
        </is>
      </c>
      <c r="L652" s="16" t="inlineStr">
        <is>
          <t>-5%</t>
        </is>
      </c>
      <c r="M652" s="16" t="inlineStr">
        <is>
          <t>-76%</t>
        </is>
      </c>
      <c r="N652" s="16" t="inlineStr">
        <is>
          <t>22%</t>
        </is>
      </c>
      <c r="O652" s="16" t="n">
        <v>-36.7</v>
      </c>
      <c r="P652" s="16" t="inlineStr">
        <is>
          <t>8%</t>
        </is>
      </c>
      <c r="Q652" s="16" t="n">
        <v>693</v>
      </c>
      <c r="R652" s="16" t="inlineStr">
        <is>
          <t>P/B 0.76 · P/S 0.0 · FCF yld -78% · net debt 43% of mcap · rev +4% · op margin -5% · diluting 22%/yr · interest cover -36.7× ⚠</t>
        </is>
      </c>
      <c r="S652" s="16" t="inlineStr"/>
      <c r="T652" s="16" t="inlineStr">
        <is>
          <t>Turnaround Signal</t>
        </is>
      </c>
    </row>
    <row r="653">
      <c r="A653" s="6" t="inlineStr">
        <is>
          <t>OPRT</t>
        </is>
      </c>
      <c r="B653" s="14" t="inlineStr">
        <is>
          <t>Oportun Financial Corp</t>
        </is>
      </c>
      <c r="C653" s="14" t="inlineStr">
        <is>
          <t>Financial Serv</t>
        </is>
      </c>
      <c r="D653" s="14" t="n">
        <v>376</v>
      </c>
      <c r="E653" s="14" t="n">
        <v>0.92</v>
      </c>
      <c r="F653" s="14" t="n">
        <v>20.9</v>
      </c>
      <c r="G653" s="14" t="n">
        <v>37.5</v>
      </c>
      <c r="H653" s="14" t="n"/>
      <c r="I653" s="14" t="inlineStr">
        <is>
          <t>-671%</t>
        </is>
      </c>
      <c r="J653" s="14" t="n">
        <v>32.5</v>
      </c>
      <c r="K653" s="14" t="inlineStr">
        <is>
          <t>12%</t>
        </is>
      </c>
      <c r="L653" s="14" t="inlineStr">
        <is>
          <t>6%</t>
        </is>
      </c>
      <c r="M653" s="14" t="inlineStr">
        <is>
          <t>5%</t>
        </is>
      </c>
      <c r="N653" s="14" t="inlineStr">
        <is>
          <t>2%</t>
        </is>
      </c>
      <c r="O653" s="14" t="n">
        <v>0.2</v>
      </c>
      <c r="P653" s="14" t="inlineStr">
        <is>
          <t>96%</t>
        </is>
      </c>
      <c r="Q653" s="14" t="n">
        <v>4288</v>
      </c>
      <c r="R653" s="14" t="inlineStr">
        <is>
          <t>P/B 0.92 · P/E 20.9 · ROE 5% · diluting 2%/yr (financial: book/earnings basis)</t>
        </is>
      </c>
      <c r="S653" s="14" t="inlineStr">
        <is>
          <t>FCF yield &gt;100% (check)</t>
        </is>
      </c>
      <c r="T653" s="14" t="inlineStr">
        <is>
          <t>Turnaround Signal</t>
        </is>
      </c>
    </row>
    <row r="654">
      <c r="A654" s="8" t="inlineStr">
        <is>
          <t>SHC</t>
        </is>
      </c>
      <c r="B654" s="16" t="inlineStr">
        <is>
          <t>Sotera Health Company</t>
        </is>
      </c>
      <c r="C654" s="16" t="inlineStr">
        <is>
          <t>Healthcare</t>
        </is>
      </c>
      <c r="D654" s="16" t="n">
        <v>5235</v>
      </c>
      <c r="E654" s="16" t="n">
        <v>7.86</v>
      </c>
      <c r="F654" s="16" t="n">
        <v>31.8</v>
      </c>
      <c r="G654" s="16" t="n">
        <v>13.2</v>
      </c>
      <c r="H654" s="16" t="inlineStr">
        <is>
          <t>2%</t>
        </is>
      </c>
      <c r="I654" s="16" t="inlineStr">
        <is>
          <t>-37%</t>
        </is>
      </c>
      <c r="J654" s="16" t="n">
        <v>3.5</v>
      </c>
      <c r="K654" s="16" t="inlineStr">
        <is>
          <t>8%</t>
        </is>
      </c>
      <c r="L654" s="16" t="inlineStr">
        <is>
          <t>36%</t>
        </is>
      </c>
      <c r="M654" s="16" t="inlineStr">
        <is>
          <t>27%</t>
        </is>
      </c>
      <c r="N654" s="16" t="inlineStr">
        <is>
          <t>1%</t>
        </is>
      </c>
      <c r="O654" s="16" t="n">
        <v>3.1</v>
      </c>
      <c r="P654" s="16" t="inlineStr">
        <is>
          <t>78%</t>
        </is>
      </c>
      <c r="Q654" s="16" t="n">
        <v>52515</v>
      </c>
      <c r="R654" s="16" t="inlineStr">
        <is>
          <t>P/B 7.86 · EV/EBITDA 13.2× · FCF yld 2% · net debt 37% of mcap · rev +8% · op margin 36%</t>
        </is>
      </c>
      <c r="S654" s="16" t="inlineStr"/>
      <c r="T654" s="16" t="inlineStr">
        <is>
          <t>Turnaround Signal</t>
        </is>
      </c>
    </row>
    <row r="655">
      <c r="A655" s="6" t="inlineStr">
        <is>
          <t>EVCM</t>
        </is>
      </c>
      <c r="B655" s="14" t="inlineStr">
        <is>
          <t>EverCommerce Inc.</t>
        </is>
      </c>
      <c r="C655" s="14" t="inlineStr">
        <is>
          <t>Technology</t>
        </is>
      </c>
      <c r="D655" s="14" t="n">
        <v>1435</v>
      </c>
      <c r="E655" s="14" t="n">
        <v>2.01</v>
      </c>
      <c r="F655" s="14" t="n">
        <v>44.7</v>
      </c>
      <c r="G655" s="14" t="n">
        <v>13.9</v>
      </c>
      <c r="H655" s="14" t="inlineStr">
        <is>
          <t>6%</t>
        </is>
      </c>
      <c r="I655" s="14" t="inlineStr">
        <is>
          <t>-28%</t>
        </is>
      </c>
      <c r="J655" s="14" t="n">
        <v>3</v>
      </c>
      <c r="K655" s="14" t="inlineStr">
        <is>
          <t>-7%</t>
        </is>
      </c>
      <c r="L655" s="14" t="inlineStr">
        <is>
          <t>11%</t>
        </is>
      </c>
      <c r="M655" s="14" t="inlineStr">
        <is>
          <t>5%</t>
        </is>
      </c>
      <c r="N655" s="14" t="inlineStr">
        <is>
          <t>-3%</t>
        </is>
      </c>
      <c r="O655" s="14" t="n">
        <v>2</v>
      </c>
      <c r="P655" s="14" t="inlineStr">
        <is>
          <t>23%</t>
        </is>
      </c>
      <c r="Q655" s="14" t="n">
        <v>1317</v>
      </c>
      <c r="R655" s="14" t="inlineStr">
        <is>
          <t>P/B 2.01 · EV/EBITDA 13.9× · FCF yld 6% · net debt 28% of mcap · rev -7% · op margin 11% · buying back 3%/yr</t>
        </is>
      </c>
      <c r="S655" s="14" t="inlineStr"/>
      <c r="T655" s="14" t="inlineStr">
        <is>
          <t>Turnaround Signal</t>
        </is>
      </c>
    </row>
    <row r="656">
      <c r="A656" s="8" t="inlineStr">
        <is>
          <t>PD</t>
        </is>
      </c>
      <c r="B656" s="16" t="inlineStr">
        <is>
          <t>PagerDuty, Inc.</t>
        </is>
      </c>
      <c r="C656" s="16" t="inlineStr">
        <is>
          <t>Technology</t>
        </is>
      </c>
      <c r="D656" s="16" t="n">
        <v>1357</v>
      </c>
      <c r="E656" s="16" t="n">
        <v>4.23</v>
      </c>
      <c r="F656" s="16" t="n">
        <v>7.3</v>
      </c>
      <c r="G656" s="16" t="n">
        <v>26.9</v>
      </c>
      <c r="H656" s="16" t="inlineStr">
        <is>
          <t>9%</t>
        </is>
      </c>
      <c r="I656" s="16" t="inlineStr">
        <is>
          <t>10%</t>
        </is>
      </c>
      <c r="J656" s="16" t="n">
        <v>3.2</v>
      </c>
      <c r="K656" s="16" t="inlineStr">
        <is>
          <t>8%</t>
        </is>
      </c>
      <c r="L656" s="16" t="inlineStr">
        <is>
          <t>6%</t>
        </is>
      </c>
      <c r="M656" s="16" t="inlineStr">
        <is>
          <t>71%</t>
        </is>
      </c>
      <c r="N656" s="16" t="inlineStr">
        <is>
          <t>1%</t>
        </is>
      </c>
      <c r="O656" s="16" t="n">
        <v>4.8</v>
      </c>
      <c r="P656" s="16" t="inlineStr">
        <is>
          <t>82%</t>
        </is>
      </c>
      <c r="Q656" s="16" t="n">
        <v>26758</v>
      </c>
      <c r="R656" s="16" t="inlineStr">
        <is>
          <t>P/B 4.23 · EV/EBITDA 26.9× · FCF yld 9% · net cash 10% of mcap · rev +8% · op margin 6%</t>
        </is>
      </c>
      <c r="S656" s="16" t="inlineStr"/>
      <c r="T656" s="16" t="inlineStr">
        <is>
          <t>Turnaround Signal</t>
        </is>
      </c>
    </row>
    <row r="657">
      <c r="A657" s="6" t="inlineStr">
        <is>
          <t>AZIO</t>
        </is>
      </c>
      <c r="B657" s="14" t="inlineStr">
        <is>
          <t>Azio AI Holdings, Inc.</t>
        </is>
      </c>
      <c r="C657" s="14" t="inlineStr">
        <is>
          <t>Technology</t>
        </is>
      </c>
      <c r="D657" s="14" t="n">
        <v>17</v>
      </c>
      <c r="E657" s="14" t="n"/>
      <c r="F657" s="14" t="n">
        <v>-0.5</v>
      </c>
      <c r="G657" s="14" t="n">
        <v>-1.1</v>
      </c>
      <c r="H657" s="14" t="inlineStr">
        <is>
          <t>-82%</t>
        </is>
      </c>
      <c r="I657" s="14" t="n"/>
      <c r="J657" s="14" t="n">
        <v>-0.4</v>
      </c>
      <c r="K657" s="14" t="n"/>
      <c r="L657" s="14" t="inlineStr">
        <is>
          <t>-286%</t>
        </is>
      </c>
      <c r="M657" s="14" t="inlineStr">
        <is>
          <t>443%</t>
        </is>
      </c>
      <c r="N657" s="14" t="n"/>
      <c r="O657" s="14" t="n">
        <v>0</v>
      </c>
      <c r="P657" s="14" t="inlineStr">
        <is>
          <t>22%</t>
        </is>
      </c>
      <c r="Q657" s="14" t="n">
        <v>807</v>
      </c>
      <c r="R657" s="14" t="inlineStr">
        <is>
          <t>P/S 1.8 · FCF yld -82% · op margin -286%</t>
        </is>
      </c>
      <c r="S657" s="14" t="inlineStr">
        <is>
          <t>negative equity</t>
        </is>
      </c>
      <c r="T657" s="14" t="inlineStr">
        <is>
          <t>Turnaround Signal</t>
        </is>
      </c>
    </row>
    <row r="658">
      <c r="A658" s="8" t="inlineStr">
        <is>
          <t>ENSC</t>
        </is>
      </c>
      <c r="B658" s="16" t="inlineStr">
        <is>
          <t>Ensysce Biosciences, I</t>
        </is>
      </c>
      <c r="C658" s="16" t="inlineStr">
        <is>
          <t>Healthcare</t>
        </is>
      </c>
      <c r="D658" s="16" t="n">
        <v>6</v>
      </c>
      <c r="E658" s="16" t="n"/>
      <c r="F658" s="16" t="n">
        <v>-0.2</v>
      </c>
      <c r="G658" s="16" t="n">
        <v>-0.5</v>
      </c>
      <c r="H658" s="16" t="n"/>
      <c r="I658" s="16" t="n"/>
      <c r="J658" s="16" t="n">
        <v>0</v>
      </c>
      <c r="K658" s="16" t="n"/>
      <c r="L658" s="16" t="inlineStr">
        <is>
          <t>-1087%</t>
        </is>
      </c>
      <c r="M658" s="16" t="inlineStr">
        <is>
          <t>-1532%</t>
        </is>
      </c>
      <c r="N658" s="16" t="n"/>
      <c r="O658" s="16" t="n">
        <v>-791.6</v>
      </c>
      <c r="P658" s="16" t="inlineStr">
        <is>
          <t>7%</t>
        </is>
      </c>
      <c r="Q658" s="16" t="n">
        <v>4748</v>
      </c>
      <c r="R658" s="16" t="inlineStr">
        <is>
          <t>P/S 5.5</t>
        </is>
      </c>
      <c r="S658" s="16" t="inlineStr">
        <is>
          <t>negative equity; FCF yield &gt;100% (check)</t>
        </is>
      </c>
      <c r="T658" s="16" t="inlineStr">
        <is>
          <t>Turnaround Signal</t>
        </is>
      </c>
    </row>
    <row r="659">
      <c r="A659" s="6" t="inlineStr">
        <is>
          <t>JACK</t>
        </is>
      </c>
      <c r="B659" s="14" t="inlineStr">
        <is>
          <t>Jack in the Box Inc.</t>
        </is>
      </c>
      <c r="C659" s="14" t="inlineStr">
        <is>
          <t>Consumer Cycli</t>
        </is>
      </c>
      <c r="D659" s="14" t="n">
        <v>255</v>
      </c>
      <c r="E659" s="14" t="n"/>
      <c r="F659" s="14" t="n">
        <v>7.7</v>
      </c>
      <c r="G659" s="14" t="n">
        <v>13.1</v>
      </c>
      <c r="H659" s="14" t="inlineStr">
        <is>
          <t>5%</t>
        </is>
      </c>
      <c r="I659" s="14" t="n"/>
      <c r="J659" s="14" t="n">
        <v>11.9</v>
      </c>
      <c r="K659" s="14" t="n"/>
      <c r="L659" s="14" t="inlineStr">
        <is>
          <t>14%</t>
        </is>
      </c>
      <c r="M659" s="14" t="inlineStr">
        <is>
          <t>-4%</t>
        </is>
      </c>
      <c r="N659" s="14" t="inlineStr">
        <is>
          <t>1%</t>
        </is>
      </c>
      <c r="O659" s="14" t="n">
        <v>2.2</v>
      </c>
      <c r="P659" s="14" t="inlineStr">
        <is>
          <t>30%</t>
        </is>
      </c>
      <c r="Q659" s="14" t="n">
        <v>11999</v>
      </c>
      <c r="R659" s="14" t="inlineStr">
        <is>
          <t>EV/EBITDA 13.1× · FCF yld 5% · op margin 14%</t>
        </is>
      </c>
      <c r="S659" s="14" t="inlineStr">
        <is>
          <t>negative equity</t>
        </is>
      </c>
      <c r="T659" s="14" t="inlineStr">
        <is>
          <t>Turnaround Signal</t>
        </is>
      </c>
    </row>
    <row r="660">
      <c r="A660" s="8" t="inlineStr">
        <is>
          <t>WEN</t>
        </is>
      </c>
      <c r="B660" s="16" t="inlineStr">
        <is>
          <t>The Wendy's Company</t>
        </is>
      </c>
      <c r="C660" s="16" t="inlineStr">
        <is>
          <t>Consumer Cycli</t>
        </is>
      </c>
      <c r="D660" s="16" t="n">
        <v>1284</v>
      </c>
      <c r="E660" s="16" t="n">
        <v>10.66</v>
      </c>
      <c r="F660" s="16" t="n">
        <v>10.2</v>
      </c>
      <c r="G660" s="16" t="n">
        <v>10.3</v>
      </c>
      <c r="H660" s="16" t="inlineStr">
        <is>
          <t>21%</t>
        </is>
      </c>
      <c r="I660" s="16" t="inlineStr">
        <is>
          <t>-291%</t>
        </is>
      </c>
      <c r="J660" s="16" t="n">
        <v>7.6</v>
      </c>
      <c r="K660" s="16" t="inlineStr">
        <is>
          <t>-1%</t>
        </is>
      </c>
      <c r="L660" s="16" t="inlineStr">
        <is>
          <t>13%</t>
        </is>
      </c>
      <c r="M660" s="16" t="inlineStr">
        <is>
          <t>109%</t>
        </is>
      </c>
      <c r="N660" s="16" t="inlineStr">
        <is>
          <t>-1%</t>
        </is>
      </c>
      <c r="O660" s="16" t="n">
        <v>2.2</v>
      </c>
      <c r="P660" s="16" t="inlineStr">
        <is>
          <t>17%</t>
        </is>
      </c>
      <c r="Q660" s="16" t="n">
        <v>96453</v>
      </c>
      <c r="R660" s="16" t="inlineStr">
        <is>
          <t>P/B 10.66 · EV/EBITDA 10.3× · FCF yld 21% · net debt 291% of mcap · rev -1% · op margin 13%</t>
        </is>
      </c>
      <c r="S660" s="16" t="inlineStr"/>
      <c r="T660" s="16" t="inlineStr">
        <is>
          <t>Turnaround Signal</t>
        </is>
      </c>
    </row>
    <row r="661">
      <c r="A661" s="6" t="inlineStr">
        <is>
          <t>KD</t>
        </is>
      </c>
      <c r="B661" s="14" t="inlineStr">
        <is>
          <t>Kyndryl Holdings, Inc.</t>
        </is>
      </c>
      <c r="C661" s="14" t="inlineStr">
        <is>
          <t>Technology</t>
        </is>
      </c>
      <c r="D661" s="14" t="n">
        <v>2719</v>
      </c>
      <c r="E661" s="14" t="n">
        <v>2.28</v>
      </c>
      <c r="F661" s="14" t="n">
        <v>8.199999999999999</v>
      </c>
      <c r="G661" s="14" t="n">
        <v>2.4</v>
      </c>
      <c r="H661" s="14" t="inlineStr">
        <is>
          <t>6%</t>
        </is>
      </c>
      <c r="I661" s="14" t="inlineStr">
        <is>
          <t>-151%</t>
        </is>
      </c>
      <c r="J661" s="14" t="n">
        <v>1.2</v>
      </c>
      <c r="K661" s="14" t="inlineStr">
        <is>
          <t>-1%</t>
        </is>
      </c>
      <c r="L661" s="14" t="inlineStr">
        <is>
          <t>3%</t>
        </is>
      </c>
      <c r="M661" s="14" t="inlineStr">
        <is>
          <t>29%</t>
        </is>
      </c>
      <c r="N661" s="14" t="inlineStr">
        <is>
          <t>2%</t>
        </is>
      </c>
      <c r="O661" s="14" t="n">
        <v>5.6</v>
      </c>
      <c r="P661" s="14" t="inlineStr">
        <is>
          <t>10%</t>
        </is>
      </c>
      <c r="Q661" s="14" t="n">
        <v>50743</v>
      </c>
      <c r="R661" s="14" t="inlineStr">
        <is>
          <t>P/B 2.28 · EV/EBITDA 2.4× · FCF yld 6% · net debt 151% of mcap · rev -1% · op margin 3%</t>
        </is>
      </c>
      <c r="S661" s="14" t="inlineStr"/>
      <c r="T661" s="14" t="inlineStr">
        <is>
          <t>Turnaround Signal</t>
        </is>
      </c>
    </row>
    <row r="662">
      <c r="A662" s="8" t="inlineStr">
        <is>
          <t>XPOF</t>
        </is>
      </c>
      <c r="B662" s="16" t="inlineStr">
        <is>
          <t>Xponential Fitness, In</t>
        </is>
      </c>
      <c r="C662" s="16" t="inlineStr">
        <is>
          <t>Consumer Cycli</t>
        </is>
      </c>
      <c r="D662" s="16" t="n">
        <v>140</v>
      </c>
      <c r="E662" s="16" t="n"/>
      <c r="F662" s="16" t="n">
        <v>-2.5</v>
      </c>
      <c r="G662" s="16" t="n">
        <v>121.6</v>
      </c>
      <c r="H662" s="16" t="inlineStr">
        <is>
          <t>-6%</t>
        </is>
      </c>
      <c r="I662" s="16" t="n"/>
      <c r="J662" s="16" t="n">
        <v>95.09999999999999</v>
      </c>
      <c r="K662" s="16" t="inlineStr">
        <is>
          <t>-9%</t>
        </is>
      </c>
      <c r="L662" s="16" t="inlineStr">
        <is>
          <t>22%</t>
        </is>
      </c>
      <c r="M662" s="16" t="inlineStr">
        <is>
          <t>15%</t>
        </is>
      </c>
      <c r="N662" s="16" t="inlineStr">
        <is>
          <t>20%</t>
        </is>
      </c>
      <c r="O662" s="16" t="n">
        <v>1.2</v>
      </c>
      <c r="P662" s="16" t="inlineStr">
        <is>
          <t>3%</t>
        </is>
      </c>
      <c r="Q662" s="16" t="n">
        <v>2924</v>
      </c>
      <c r="R662" s="16" t="inlineStr">
        <is>
          <t>EV/EBITDA 121.6× · FCF yld -6% · rev -9% · op margin 22% · diluting 20%/yr</t>
        </is>
      </c>
      <c r="S662" s="16" t="inlineStr">
        <is>
          <t>negative equity</t>
        </is>
      </c>
      <c r="T662" s="16" t="inlineStr">
        <is>
          <t>Turnaround Signal</t>
        </is>
      </c>
    </row>
    <row r="663">
      <c r="A663" s="6" t="inlineStr">
        <is>
          <t>CW</t>
        </is>
      </c>
      <c r="B663" s="14" t="inlineStr">
        <is>
          <t>Curtiss-Wright Corpora</t>
        </is>
      </c>
      <c r="C663" s="14" t="inlineStr">
        <is>
          <t>Industrials</t>
        </is>
      </c>
      <c r="D663" s="14" t="n">
        <v>20299</v>
      </c>
      <c r="E663" s="14" t="n">
        <v>7.33</v>
      </c>
      <c r="F663" s="14" t="n">
        <v>37.3</v>
      </c>
      <c r="G663" s="14" t="n">
        <v>25.2</v>
      </c>
      <c r="H663" s="14" t="inlineStr">
        <is>
          <t>3%</t>
        </is>
      </c>
      <c r="I663" s="14" t="inlineStr">
        <is>
          <t>-3%</t>
        </is>
      </c>
      <c r="J663" s="14" t="n">
        <v>0.8</v>
      </c>
      <c r="K663" s="14" t="inlineStr">
        <is>
          <t>11%</t>
        </is>
      </c>
      <c r="L663" s="14" t="inlineStr">
        <is>
          <t>19%</t>
        </is>
      </c>
      <c r="M663" s="14" t="inlineStr">
        <is>
          <t>21%</t>
        </is>
      </c>
      <c r="N663" s="14" t="inlineStr">
        <is>
          <t>-2%</t>
        </is>
      </c>
      <c r="O663" s="14" t="n">
        <v>16.3</v>
      </c>
      <c r="P663" s="14" t="inlineStr">
        <is>
          <t>16%</t>
        </is>
      </c>
      <c r="Q663" s="14" t="n">
        <v>181680</v>
      </c>
      <c r="R663" s="14" t="inlineStr">
        <is>
          <t>P/B 7.33 · EV/EBITDA 25.2× · FCF yld 3% · net debt 3% of mcap · rev +11% · op margin 19%</t>
        </is>
      </c>
      <c r="S663" s="14" t="inlineStr"/>
      <c r="T663" s="14" t="inlineStr">
        <is>
          <t>Turnaround Signal</t>
        </is>
      </c>
    </row>
    <row r="664">
      <c r="A664" s="8" t="inlineStr">
        <is>
          <t>AIOT</t>
        </is>
      </c>
      <c r="B664" s="16" t="inlineStr">
        <is>
          <t>PowerFleet, Inc.</t>
        </is>
      </c>
      <c r="C664" s="16" t="inlineStr">
        <is>
          <t>Technology</t>
        </is>
      </c>
      <c r="D664" s="16" t="n">
        <v>395</v>
      </c>
      <c r="E664" s="16" t="n">
        <v>0.8100000000000001</v>
      </c>
      <c r="F664" s="16" t="n">
        <v>-21.2</v>
      </c>
      <c r="G664" s="16" t="n">
        <v>10.2</v>
      </c>
      <c r="H664" s="16" t="inlineStr">
        <is>
          <t>2%</t>
        </is>
      </c>
      <c r="I664" s="16" t="inlineStr">
        <is>
          <t>-65%</t>
        </is>
      </c>
      <c r="J664" s="16" t="n">
        <v>4.1</v>
      </c>
      <c r="K664" s="16" t="inlineStr">
        <is>
          <t>93%</t>
        </is>
      </c>
      <c r="L664" s="16" t="inlineStr">
        <is>
          <t>5%</t>
        </is>
      </c>
      <c r="M664" s="16" t="inlineStr">
        <is>
          <t>-4%</t>
        </is>
      </c>
      <c r="N664" s="16" t="inlineStr">
        <is>
          <t>25%</t>
        </is>
      </c>
      <c r="O664" s="16" t="n">
        <v>0.8</v>
      </c>
      <c r="P664" s="16" t="inlineStr">
        <is>
          <t>5%</t>
        </is>
      </c>
      <c r="Q664" s="16" t="n">
        <v>5222</v>
      </c>
      <c r="R664" s="16" t="inlineStr">
        <is>
          <t>P/B 0.81 · EV/EBITDA 10.2× · FCF yld 2% · net debt 65% of mcap · rev +93% · op margin 5% · diluting 25%/yr · interest cover 0.8× ⚠</t>
        </is>
      </c>
      <c r="S664" s="16" t="inlineStr"/>
      <c r="T664" s="16" t="inlineStr">
        <is>
          <t>Turnaround Signal</t>
        </is>
      </c>
    </row>
    <row r="665">
      <c r="A665" s="6" t="inlineStr">
        <is>
          <t>CRTO</t>
        </is>
      </c>
      <c r="B665" s="14" t="inlineStr">
        <is>
          <t>Criteo S.A.</t>
        </is>
      </c>
      <c r="C665" s="14" t="inlineStr">
        <is>
          <t xml:space="preserve">Communication </t>
        </is>
      </c>
      <c r="D665" s="14" t="n">
        <v>841</v>
      </c>
      <c r="E665" s="14" t="n">
        <v>0.75</v>
      </c>
      <c r="F665" s="14" t="n">
        <v>8.199999999999999</v>
      </c>
      <c r="G665" s="14" t="n">
        <v>2.9</v>
      </c>
      <c r="H665" s="14" t="inlineStr">
        <is>
          <t>21%</t>
        </is>
      </c>
      <c r="I665" s="14" t="inlineStr">
        <is>
          <t>16%</t>
        </is>
      </c>
      <c r="J665" s="14" t="n">
        <v>-0.4</v>
      </c>
      <c r="K665" s="14" t="inlineStr">
        <is>
          <t>-4%</t>
        </is>
      </c>
      <c r="L665" s="14" t="inlineStr">
        <is>
          <t>8%</t>
        </is>
      </c>
      <c r="M665" s="14" t="inlineStr">
        <is>
          <t>9%</t>
        </is>
      </c>
      <c r="N665" s="14" t="inlineStr">
        <is>
          <t>-8%</t>
        </is>
      </c>
      <c r="O665" s="14" t="n">
        <v>54.6</v>
      </c>
      <c r="P665" s="14" t="inlineStr">
        <is>
          <t>12%</t>
        </is>
      </c>
      <c r="Q665" s="14" t="n">
        <v>6720</v>
      </c>
      <c r="R665" s="14" t="inlineStr">
        <is>
          <t>P/B 0.75 · EV/EBITDA 2.9× · FCF yld 21% · net cash 16% of mcap · rev -4% · op margin 8% · buying back 8%/yr</t>
        </is>
      </c>
      <c r="S665" s="14" t="inlineStr"/>
      <c r="T665" s="14" t="inlineStr">
        <is>
          <t>Turnaround Signal</t>
        </is>
      </c>
    </row>
    <row r="666">
      <c r="A666" s="8" t="inlineStr">
        <is>
          <t>ANGI</t>
        </is>
      </c>
      <c r="B666" s="16" t="inlineStr">
        <is>
          <t>Angi Inc.</t>
        </is>
      </c>
      <c r="C666" s="16" t="inlineStr">
        <is>
          <t xml:space="preserve">Communication </t>
        </is>
      </c>
      <c r="D666" s="16" t="n">
        <v>216</v>
      </c>
      <c r="E666" s="16" t="n">
        <v>0.31</v>
      </c>
      <c r="F666" s="16" t="n">
        <v>-0.9</v>
      </c>
      <c r="G666" s="16" t="n">
        <v>-2.8</v>
      </c>
      <c r="H666" s="16" t="inlineStr">
        <is>
          <t>-3%</t>
        </is>
      </c>
      <c r="I666" s="16" t="inlineStr">
        <is>
          <t>-97%</t>
        </is>
      </c>
      <c r="J666" s="16" t="n">
        <v>-1.4</v>
      </c>
      <c r="K666" s="16" t="inlineStr">
        <is>
          <t>-9%</t>
        </is>
      </c>
      <c r="L666" s="16" t="inlineStr">
        <is>
          <t>-19%</t>
        </is>
      </c>
      <c r="M666" s="16" t="inlineStr">
        <is>
          <t>-25%</t>
        </is>
      </c>
      <c r="N666" s="16" t="inlineStr">
        <is>
          <t>-18%</t>
        </is>
      </c>
      <c r="O666" s="16" t="n">
        <v>-9.199999999999999</v>
      </c>
      <c r="P666" s="16" t="inlineStr">
        <is>
          <t>9%</t>
        </is>
      </c>
      <c r="Q666" s="16" t="n">
        <v>5032</v>
      </c>
      <c r="R666" s="16" t="inlineStr">
        <is>
          <t>P/B 0.31 · P/S 0.2 · FCF yld -3% · net debt 97% of mcap · rev -9% · op margin -19% · buying back 18%/yr · interest cover -9.2× ⚠</t>
        </is>
      </c>
      <c r="S666" s="16" t="inlineStr"/>
      <c r="T666" s="16" t="inlineStr">
        <is>
          <t>Turnaround Signal</t>
        </is>
      </c>
    </row>
    <row r="667">
      <c r="A667" s="6" t="inlineStr">
        <is>
          <t>KMPB</t>
        </is>
      </c>
      <c r="B667" s="14" t="inlineStr">
        <is>
          <t>Kemper Corporation 5.8</t>
        </is>
      </c>
      <c r="C667" s="14" t="inlineStr">
        <is>
          <t>Financial Serv</t>
        </is>
      </c>
      <c r="D667" s="14" t="n">
        <v>1728</v>
      </c>
      <c r="E667" s="14" t="n">
        <v>0.79</v>
      </c>
      <c r="F667" s="14" t="n">
        <v>-3.1</v>
      </c>
      <c r="G667" s="14" t="n">
        <v>-5.6</v>
      </c>
      <c r="H667" s="14" t="inlineStr">
        <is>
          <t>31%</t>
        </is>
      </c>
      <c r="I667" s="14" t="inlineStr">
        <is>
          <t>-55%</t>
        </is>
      </c>
      <c r="J667" s="14" t="n">
        <v>-2.1</v>
      </c>
      <c r="K667" s="14" t="inlineStr">
        <is>
          <t>-4%</t>
        </is>
      </c>
      <c r="L667" s="14" t="inlineStr">
        <is>
          <t>-11%</t>
        </is>
      </c>
      <c r="M667" s="14" t="inlineStr">
        <is>
          <t>-19%</t>
        </is>
      </c>
      <c r="N667" s="14" t="inlineStr">
        <is>
          <t>-9%</t>
        </is>
      </c>
      <c r="O667" s="14" t="n">
        <v>-14.4</v>
      </c>
      <c r="P667" s="14" t="inlineStr">
        <is>
          <t>96%</t>
        </is>
      </c>
      <c r="Q667" s="14" t="n">
        <v>324</v>
      </c>
      <c r="R667" s="14" t="inlineStr">
        <is>
          <t>P/B 0.79 · ROE -19% · div yld 5.0% · buying back 9%/yr (financial: book/earnings basis)</t>
        </is>
      </c>
      <c r="S667" s="14" t="inlineStr"/>
      <c r="T667" s="14" t="inlineStr">
        <is>
          <t>Turnaround Signal</t>
        </is>
      </c>
    </row>
    <row r="668">
      <c r="A668" s="8" t="inlineStr">
        <is>
          <t>BBY</t>
        </is>
      </c>
      <c r="B668" s="16" t="inlineStr">
        <is>
          <t>Best Buy Co., Inc.</t>
        </is>
      </c>
      <c r="C668" s="16" t="inlineStr">
        <is>
          <t>Consumer Cycli</t>
        </is>
      </c>
      <c r="D668" s="16" t="n">
        <v>19714</v>
      </c>
      <c r="E668" s="16" t="n">
        <v>7.43</v>
      </c>
      <c r="F668" s="16" t="n">
        <v>15.1</v>
      </c>
      <c r="G668" s="16" t="n">
        <v>8.1</v>
      </c>
      <c r="H668" s="16" t="inlineStr">
        <is>
          <t>9%</t>
        </is>
      </c>
      <c r="I668" s="16" t="inlineStr">
        <is>
          <t>-14%</t>
        </is>
      </c>
      <c r="J668" s="16" t="n">
        <v>0.7</v>
      </c>
      <c r="K668" s="16" t="inlineStr">
        <is>
          <t>-2%</t>
        </is>
      </c>
      <c r="L668" s="16" t="inlineStr">
        <is>
          <t>4%</t>
        </is>
      </c>
      <c r="M668" s="16" t="inlineStr">
        <is>
          <t>43%</t>
        </is>
      </c>
      <c r="N668" s="16" t="inlineStr">
        <is>
          <t>-2%</t>
        </is>
      </c>
      <c r="O668" s="16" t="n">
        <v>40.9</v>
      </c>
      <c r="P668" s="16" t="inlineStr">
        <is>
          <t>93%</t>
        </is>
      </c>
      <c r="Q668" s="16" t="n">
        <v>386396</v>
      </c>
      <c r="R668" s="16" t="inlineStr">
        <is>
          <t>P/B 7.43 · EV/EBITDA 8.1× · FCF yld 9% · net debt 14% of mcap · rev -2% · op margin 4% · buying back 2%/yr</t>
        </is>
      </c>
      <c r="S668" s="16" t="inlineStr"/>
      <c r="T668" s="16" t="inlineStr">
        <is>
          <t>Turnaround Signal</t>
        </is>
      </c>
    </row>
    <row r="669">
      <c r="A669" s="6" t="inlineStr">
        <is>
          <t>BXBL</t>
        </is>
      </c>
      <c r="B669" s="14" t="inlineStr">
        <is>
          <t>BOXABL Inc.</t>
        </is>
      </c>
      <c r="C669" s="14" t="inlineStr">
        <is>
          <t>Consumer Cycli</t>
        </is>
      </c>
      <c r="D669" s="14" t="n">
        <v>1446</v>
      </c>
      <c r="E669" s="14" t="n"/>
      <c r="F669" s="14" t="n"/>
      <c r="G669" s="14" t="n"/>
      <c r="H669" s="14" t="n"/>
      <c r="I669" s="14" t="n"/>
      <c r="J669" s="14" t="n"/>
      <c r="K669" s="14" t="n"/>
      <c r="L669" s="14" t="n"/>
      <c r="M669" s="14" t="n"/>
      <c r="N669" s="14" t="n"/>
      <c r="O669" s="14" t="n"/>
      <c r="P669" s="14" t="inlineStr">
        <is>
          <t>8%</t>
        </is>
      </c>
      <c r="Q669" s="14" t="n">
        <v>1449</v>
      </c>
      <c r="R669" s="14" t="inlineStr"/>
      <c r="S669" s="14" t="inlineStr"/>
      <c r="T669" s="14" t="inlineStr">
        <is>
          <t>Turnaround Signal</t>
        </is>
      </c>
    </row>
    <row r="670">
      <c r="A670" s="8" t="inlineStr">
        <is>
          <t>CYAB</t>
        </is>
      </c>
      <c r="B670" s="16" t="inlineStr">
        <is>
          <t>Cyabra, Inc. Common St</t>
        </is>
      </c>
      <c r="C670" s="16" t="inlineStr">
        <is>
          <t>Technology</t>
        </is>
      </c>
      <c r="D670" s="16" t="n">
        <v>5</v>
      </c>
      <c r="E670" s="16" t="n"/>
      <c r="F670" s="16" t="n">
        <v>-0</v>
      </c>
      <c r="G670" s="16" t="n">
        <v>-0.3</v>
      </c>
      <c r="H670" s="16" t="n"/>
      <c r="I670" s="16" t="n"/>
      <c r="J670" s="16" t="n">
        <v>-0.1</v>
      </c>
      <c r="K670" s="16" t="inlineStr">
        <is>
          <t>30%</t>
        </is>
      </c>
      <c r="L670" s="16" t="inlineStr">
        <is>
          <t>-305%</t>
        </is>
      </c>
      <c r="M670" s="16" t="inlineStr">
        <is>
          <t>122%</t>
        </is>
      </c>
      <c r="N670" s="16" t="inlineStr">
        <is>
          <t>-0%</t>
        </is>
      </c>
      <c r="O670" s="16" t="n">
        <v>-76.3</v>
      </c>
      <c r="P670" s="16" t="inlineStr">
        <is>
          <t>0%</t>
        </is>
      </c>
      <c r="Q670" s="16" t="n">
        <v>1186</v>
      </c>
      <c r="R670" s="16" t="inlineStr">
        <is>
          <t>P/S 0.8 · rev +30% · op margin -305%</t>
        </is>
      </c>
      <c r="S670" s="16" t="inlineStr">
        <is>
          <t>FCF yield &gt;100% (check)</t>
        </is>
      </c>
      <c r="T670" s="16" t="inlineStr">
        <is>
          <t>Turnaround Signal</t>
        </is>
      </c>
    </row>
    <row r="671">
      <c r="A671" s="6" t="inlineStr">
        <is>
          <t>HIMS</t>
        </is>
      </c>
      <c r="B671" s="14" t="inlineStr">
        <is>
          <t>Hims &amp; Hers Health, In</t>
        </is>
      </c>
      <c r="C671" s="14" t="inlineStr">
        <is>
          <t>Healthcare</t>
        </is>
      </c>
      <c r="D671" s="14" t="n">
        <v>6596</v>
      </c>
      <c r="E671" s="14" t="n">
        <v>20.35</v>
      </c>
      <c r="F671" s="14" t="n">
        <v>-47.3</v>
      </c>
      <c r="G671" s="14" t="n">
        <v>-95.3</v>
      </c>
      <c r="H671" s="14" t="inlineStr">
        <is>
          <t>1%</t>
        </is>
      </c>
      <c r="I671" s="14" t="inlineStr">
        <is>
          <t>-11%</t>
        </is>
      </c>
      <c r="J671" s="14" t="n">
        <v>-12.3</v>
      </c>
      <c r="K671" s="14" t="inlineStr">
        <is>
          <t>28%</t>
        </is>
      </c>
      <c r="L671" s="14" t="inlineStr">
        <is>
          <t>-4%</t>
        </is>
      </c>
      <c r="M671" s="14" t="inlineStr">
        <is>
          <t>-30%</t>
        </is>
      </c>
      <c r="N671" s="14" t="inlineStr">
        <is>
          <t>-10%</t>
        </is>
      </c>
      <c r="O671" s="14" t="n">
        <v>0</v>
      </c>
      <c r="P671" s="14" t="inlineStr">
        <is>
          <t>31%</t>
        </is>
      </c>
      <c r="Q671" s="14" t="n">
        <v>445253</v>
      </c>
      <c r="R671" s="14" t="inlineStr">
        <is>
          <t>P/B 20.35 · P/S 2.5 · FCF yld 1% · net debt 11% of mcap · rev +28% · op margin -4% · buying back 10%/yr</t>
        </is>
      </c>
      <c r="S671" s="14" t="inlineStr"/>
      <c r="T671" s="14" t="inlineStr">
        <is>
          <t>Turnaround Signal</t>
        </is>
      </c>
    </row>
    <row r="672">
      <c r="A672" s="8" t="inlineStr">
        <is>
          <t>OMEX</t>
        </is>
      </c>
      <c r="B672" s="16" t="inlineStr">
        <is>
          <t>Odyssey Marine Explora</t>
        </is>
      </c>
      <c r="C672" s="16" t="inlineStr">
        <is>
          <t>Basic Material</t>
        </is>
      </c>
      <c r="D672" s="16" t="n">
        <v>43</v>
      </c>
      <c r="E672" s="16" t="n"/>
      <c r="F672" s="16" t="n">
        <v>-0.9</v>
      </c>
      <c r="G672" s="16" t="n">
        <v>-1.3</v>
      </c>
      <c r="H672" s="16" t="n"/>
      <c r="I672" s="16" t="n"/>
      <c r="J672" s="16" t="n">
        <v>-0.2</v>
      </c>
      <c r="K672" s="16" t="inlineStr">
        <is>
          <t>-70%</t>
        </is>
      </c>
      <c r="L672" s="16" t="inlineStr">
        <is>
          <t>-11370%</t>
        </is>
      </c>
      <c r="M672" s="16" t="inlineStr">
        <is>
          <t>100%</t>
        </is>
      </c>
      <c r="N672" s="16" t="inlineStr">
        <is>
          <t>91%</t>
        </is>
      </c>
      <c r="O672" s="16" t="n">
        <v>-7.2</v>
      </c>
      <c r="P672" s="16" t="inlineStr">
        <is>
          <t>4%</t>
        </is>
      </c>
      <c r="Q672" s="16" t="n">
        <v>360</v>
      </c>
      <c r="R672" s="16" t="inlineStr">
        <is>
          <t>P/S 231.5 · rev -70% · diluting 91%/yr</t>
        </is>
      </c>
      <c r="S672" s="16" t="inlineStr">
        <is>
          <t>FCF yield &gt;100% (check)</t>
        </is>
      </c>
      <c r="T672" s="16" t="inlineStr">
        <is>
          <t>Turnaround Signal</t>
        </is>
      </c>
    </row>
    <row r="673">
      <c r="A673" s="6" t="inlineStr">
        <is>
          <t>DRCT</t>
        </is>
      </c>
      <c r="B673" s="14" t="inlineStr">
        <is>
          <t>Direct Digital Holding</t>
        </is>
      </c>
      <c r="C673" s="14" t="inlineStr">
        <is>
          <t xml:space="preserve">Communication </t>
        </is>
      </c>
      <c r="D673" s="14" t="n">
        <v>1</v>
      </c>
      <c r="E673" s="14" t="n"/>
      <c r="F673" s="14" t="n">
        <v>-0</v>
      </c>
      <c r="G673" s="14" t="n">
        <v>-0.8</v>
      </c>
      <c r="H673" s="14" t="n"/>
      <c r="I673" s="14" t="n"/>
      <c r="J673" s="14" t="n">
        <v>-0.8</v>
      </c>
      <c r="K673" s="14" t="inlineStr">
        <is>
          <t>-15%</t>
        </is>
      </c>
      <c r="L673" s="14" t="inlineStr">
        <is>
          <t>-47%</t>
        </is>
      </c>
      <c r="M673" s="14" t="inlineStr">
        <is>
          <t>571%</t>
        </is>
      </c>
      <c r="N673" s="14" t="n"/>
      <c r="O673" s="14" t="n">
        <v>-8.199999999999999</v>
      </c>
      <c r="P673" s="14" t="inlineStr">
        <is>
          <t>0%</t>
        </is>
      </c>
      <c r="Q673" s="14" t="n">
        <v>217</v>
      </c>
      <c r="R673" s="14" t="inlineStr">
        <is>
          <t>P/S 0.0 · rev -15% · op margin -47%</t>
        </is>
      </c>
      <c r="S673" s="14" t="inlineStr">
        <is>
          <t>negative equity; FCF yield &gt;100% (check)</t>
        </is>
      </c>
      <c r="T673" s="14" t="inlineStr">
        <is>
          <t>Turnaround Signal</t>
        </is>
      </c>
    </row>
    <row r="674">
      <c r="A674" s="8" t="inlineStr">
        <is>
          <t>SOC</t>
        </is>
      </c>
      <c r="B674" s="16" t="inlineStr">
        <is>
          <t>Sable Offshore Corp.</t>
        </is>
      </c>
      <c r="C674" s="16" t="inlineStr">
        <is>
          <t>Energy</t>
        </is>
      </c>
      <c r="D674" s="16" t="n">
        <v>823</v>
      </c>
      <c r="E674" s="16" t="n">
        <v>2.08</v>
      </c>
      <c r="F674" s="16" t="n">
        <v>-1.2</v>
      </c>
      <c r="G674" s="16" t="n">
        <v>-7</v>
      </c>
      <c r="H674" s="16" t="inlineStr">
        <is>
          <t>-72%</t>
        </is>
      </c>
      <c r="I674" s="16" t="inlineStr">
        <is>
          <t>-115%</t>
        </is>
      </c>
      <c r="J674" s="16" t="n">
        <v>-3.8</v>
      </c>
      <c r="K674" s="16" t="n"/>
      <c r="L674" s="16" t="inlineStr">
        <is>
          <t>-293%</t>
        </is>
      </c>
      <c r="M674" s="16" t="inlineStr">
        <is>
          <t>-102%</t>
        </is>
      </c>
      <c r="N674" s="16" t="inlineStr">
        <is>
          <t>68%</t>
        </is>
      </c>
      <c r="O674" s="16" t="n">
        <v>-3.3</v>
      </c>
      <c r="P674" s="16" t="inlineStr">
        <is>
          <t>7%</t>
        </is>
      </c>
      <c r="Q674" s="16" t="n">
        <v>41534</v>
      </c>
      <c r="R674" s="16" t="inlineStr">
        <is>
          <t>P/B 2.08 · P/S 5.7 · FCF yld -72% · net debt 115% of mcap · op margin -293% · diluting 68%/yr · interest cover -3.3× ⚠</t>
        </is>
      </c>
      <c r="S674" s="16" t="inlineStr"/>
      <c r="T674" s="16" t="inlineStr">
        <is>
          <t>Turnaround Signal</t>
        </is>
      </c>
    </row>
    <row r="675">
      <c r="A675" s="6" t="inlineStr">
        <is>
          <t>AMZE</t>
        </is>
      </c>
      <c r="B675" s="14" t="inlineStr">
        <is>
          <t>Amaze Holdings, Inc.</t>
        </is>
      </c>
      <c r="C675" s="14" t="inlineStr">
        <is>
          <t>Technology</t>
        </is>
      </c>
      <c r="D675" s="14" t="n">
        <v>1</v>
      </c>
      <c r="E675" s="14" t="n">
        <v>0.11</v>
      </c>
      <c r="F675" s="14" t="n">
        <v>-0</v>
      </c>
      <c r="G675" s="14" t="n">
        <v>-0.1</v>
      </c>
      <c r="H675" s="14" t="n"/>
      <c r="I675" s="14" t="inlineStr">
        <is>
          <t>-352%</t>
        </is>
      </c>
      <c r="J675" s="14" t="n">
        <v>-0.1</v>
      </c>
      <c r="K675" s="14" t="inlineStr">
        <is>
          <t>102%</t>
        </is>
      </c>
      <c r="L675" s="14" t="inlineStr">
        <is>
          <t>-1124%</t>
        </is>
      </c>
      <c r="M675" s="14" t="inlineStr">
        <is>
          <t>-240%</t>
        </is>
      </c>
      <c r="N675" s="14" t="inlineStr">
        <is>
          <t>-48%</t>
        </is>
      </c>
      <c r="O675" s="14" t="n">
        <v>-24.2</v>
      </c>
      <c r="P675" s="14" t="inlineStr">
        <is>
          <t>0%</t>
        </is>
      </c>
      <c r="Q675" s="14" t="n">
        <v>732</v>
      </c>
      <c r="R675" s="14" t="inlineStr">
        <is>
          <t>P/B 0.11 · P/S 0.5 · net debt 352% of mcap · rev +102% · buying back 48%/yr · interest cover -24.2× ⚠</t>
        </is>
      </c>
      <c r="S675" s="14" t="inlineStr">
        <is>
          <t>FCF yield &gt;100% (check)</t>
        </is>
      </c>
      <c r="T675" s="14" t="inlineStr">
        <is>
          <t>Turnaround Signal</t>
        </is>
      </c>
    </row>
    <row r="676">
      <c r="A676" s="8" t="inlineStr">
        <is>
          <t>ALOY</t>
        </is>
      </c>
      <c r="B676" s="16" t="inlineStr">
        <is>
          <t>REalloys Inc.</t>
        </is>
      </c>
      <c r="C676" s="16" t="inlineStr">
        <is>
          <t>Basic Material</t>
        </is>
      </c>
      <c r="D676" s="16" t="n">
        <v>593</v>
      </c>
      <c r="E676" s="16" t="n">
        <v>3.11</v>
      </c>
      <c r="F676" s="16" t="n">
        <v>-2.8</v>
      </c>
      <c r="G676" s="16" t="n">
        <v>-3.5</v>
      </c>
      <c r="H676" s="16" t="inlineStr">
        <is>
          <t>-5%</t>
        </is>
      </c>
      <c r="I676" s="16" t="inlineStr">
        <is>
          <t>21%</t>
        </is>
      </c>
      <c r="J676" s="16" t="n">
        <v>0.9</v>
      </c>
      <c r="K676" s="16" t="inlineStr">
        <is>
          <t>62%</t>
        </is>
      </c>
      <c r="L676" s="16" t="inlineStr">
        <is>
          <t>-4460%</t>
        </is>
      </c>
      <c r="M676" s="16" t="inlineStr">
        <is>
          <t>-193%</t>
        </is>
      </c>
      <c r="N676" s="16" t="n"/>
      <c r="O676" s="16" t="n">
        <v>-13.1</v>
      </c>
      <c r="P676" s="16" t="inlineStr">
        <is>
          <t>13%</t>
        </is>
      </c>
      <c r="Q676" s="16" t="n">
        <v>23401</v>
      </c>
      <c r="R676" s="16" t="inlineStr">
        <is>
          <t>P/B 3.11 · P/S 209.2 · FCF yld -5% · net cash 21% of mcap · rev +62%</t>
        </is>
      </c>
      <c r="S676" s="16" t="inlineStr"/>
      <c r="T676" s="16" t="inlineStr">
        <is>
          <t>Turnaround Signal</t>
        </is>
      </c>
    </row>
    <row r="677">
      <c r="A677" s="6" t="inlineStr">
        <is>
          <t>SHOP</t>
        </is>
      </c>
      <c r="B677" s="14" t="inlineStr">
        <is>
          <t>Shopify Inc.</t>
        </is>
      </c>
      <c r="C677" s="14" t="inlineStr">
        <is>
          <t>Technology</t>
        </is>
      </c>
      <c r="D677" s="14" t="n">
        <v>185649</v>
      </c>
      <c r="E677" s="14" t="n">
        <v>14.64</v>
      </c>
      <c r="F677" s="14" t="n">
        <v>96.59999999999999</v>
      </c>
      <c r="G677" s="14" t="n">
        <v>-353</v>
      </c>
      <c r="H677" s="14" t="inlineStr">
        <is>
          <t>1%</t>
        </is>
      </c>
      <c r="I677" s="14" t="inlineStr">
        <is>
          <t>3%</t>
        </is>
      </c>
      <c r="J677" s="14" t="n">
        <v>2.8</v>
      </c>
      <c r="K677" s="14" t="inlineStr">
        <is>
          <t>33%</t>
        </is>
      </c>
      <c r="L677" s="14" t="inlineStr">
        <is>
          <t>14%</t>
        </is>
      </c>
      <c r="M677" s="14" t="inlineStr">
        <is>
          <t>15%</t>
        </is>
      </c>
      <c r="N677" s="14" t="inlineStr">
        <is>
          <t>-1%</t>
        </is>
      </c>
      <c r="O677" s="14" t="n">
        <v>0</v>
      </c>
      <c r="P677" s="14" t="inlineStr">
        <is>
          <t>56%</t>
        </is>
      </c>
      <c r="Q677" s="14" t="n">
        <v>1354669</v>
      </c>
      <c r="R677" s="14" t="inlineStr">
        <is>
          <t>P/B 14.64 · P/S 14.1 · FCF yld 1% · net cash 3% of mcap · rev +33% · op margin 14%</t>
        </is>
      </c>
      <c r="S677" s="14" t="inlineStr"/>
      <c r="T677" s="14" t="inlineStr">
        <is>
          <t>Turnaround Signal</t>
        </is>
      </c>
    </row>
    <row r="678">
      <c r="A678" s="8" t="inlineStr">
        <is>
          <t>DLB</t>
        </is>
      </c>
      <c r="B678" s="16" t="inlineStr">
        <is>
          <t>Dolby Laboratories, In</t>
        </is>
      </c>
      <c r="C678" s="16" t="inlineStr">
        <is>
          <t>Technology</t>
        </is>
      </c>
      <c r="D678" s="16" t="n">
        <v>5523</v>
      </c>
      <c r="E678" s="16" t="n">
        <v>2.14</v>
      </c>
      <c r="F678" s="16" t="n">
        <v>24.6</v>
      </c>
      <c r="G678" s="16" t="n">
        <v>13.3</v>
      </c>
      <c r="H678" s="16" t="inlineStr">
        <is>
          <t>6%</t>
        </is>
      </c>
      <c r="I678" s="16" t="inlineStr">
        <is>
          <t>11%</t>
        </is>
      </c>
      <c r="J678" s="16" t="n">
        <v>-1.7</v>
      </c>
      <c r="K678" s="16" t="inlineStr">
        <is>
          <t>3%</t>
        </is>
      </c>
      <c r="L678" s="16" t="inlineStr">
        <is>
          <t>18%</t>
        </is>
      </c>
      <c r="M678" s="16" t="inlineStr">
        <is>
          <t>9%</t>
        </is>
      </c>
      <c r="N678" s="16" t="inlineStr">
        <is>
          <t>-2%</t>
        </is>
      </c>
      <c r="O678" s="16" t="n">
        <v>59.6</v>
      </c>
      <c r="P678" s="16" t="inlineStr">
        <is>
          <t>40%</t>
        </is>
      </c>
      <c r="Q678" s="16" t="n">
        <v>54991</v>
      </c>
      <c r="R678" s="16" t="inlineStr">
        <is>
          <t>P/B 2.14 · EV/EBITDA 13.3× · FCF yld 6% · net cash 11% of mcap · rev +3% · op margin 18% · buying back 2%/yr</t>
        </is>
      </c>
      <c r="S678" s="16" t="inlineStr"/>
      <c r="T678" s="16" t="inlineStr">
        <is>
          <t>Turnaround Signal</t>
        </is>
      </c>
    </row>
    <row r="679">
      <c r="A679" s="6" t="inlineStr">
        <is>
          <t>PCOR</t>
        </is>
      </c>
      <c r="B679" s="14" t="inlineStr">
        <is>
          <t xml:space="preserve">Procore Technologies, </t>
        </is>
      </c>
      <c r="C679" s="14" t="inlineStr">
        <is>
          <t>Technology</t>
        </is>
      </c>
      <c r="D679" s="14" t="n">
        <v>7787</v>
      </c>
      <c r="E679" s="14" t="n">
        <v>6.09</v>
      </c>
      <c r="F679" s="14" t="n">
        <v>-196.8</v>
      </c>
      <c r="G679" s="14" t="n">
        <v>120.3</v>
      </c>
      <c r="H679" s="14" t="inlineStr">
        <is>
          <t>4%</t>
        </is>
      </c>
      <c r="I679" s="14" t="inlineStr">
        <is>
          <t>8%</t>
        </is>
      </c>
      <c r="J679" s="14" t="n">
        <v>-7.2</v>
      </c>
      <c r="K679" s="14" t="inlineStr">
        <is>
          <t>15%</t>
        </is>
      </c>
      <c r="L679" s="14" t="inlineStr">
        <is>
          <t>-4%</t>
        </is>
      </c>
      <c r="M679" s="14" t="inlineStr">
        <is>
          <t>-3%</t>
        </is>
      </c>
      <c r="N679" s="14" t="inlineStr">
        <is>
          <t>2%</t>
        </is>
      </c>
      <c r="O679" s="14" t="n">
        <v>-30.9</v>
      </c>
      <c r="P679" s="14" t="inlineStr">
        <is>
          <t>31%</t>
        </is>
      </c>
      <c r="Q679" s="14" t="n">
        <v>157055</v>
      </c>
      <c r="R679" s="14" t="inlineStr">
        <is>
          <t>P/B 6.09 · EV/EBITDA 120.3× · FCF yld 4% · net cash 8% of mcap · rev +15% · op margin -4% · diluting 2%/yr</t>
        </is>
      </c>
      <c r="S679" s="14" t="inlineStr"/>
      <c r="T679" s="14" t="inlineStr">
        <is>
          <t>Turnaround Signal</t>
        </is>
      </c>
    </row>
    <row r="680">
      <c r="A680" s="8" t="inlineStr">
        <is>
          <t>MIRM</t>
        </is>
      </c>
      <c r="B680" s="16" t="inlineStr">
        <is>
          <t>Mirum Pharmaceuticals,</t>
        </is>
      </c>
      <c r="C680" s="16" t="inlineStr">
        <is>
          <t>Healthcare</t>
        </is>
      </c>
      <c r="D680" s="16" t="n">
        <v>5460</v>
      </c>
      <c r="E680" s="16" t="n"/>
      <c r="F680" s="16" t="n">
        <v>-6.2</v>
      </c>
      <c r="G680" s="16" t="n">
        <v>-7.6</v>
      </c>
      <c r="H680" s="16" t="inlineStr">
        <is>
          <t>-8%</t>
        </is>
      </c>
      <c r="I680" s="16" t="n"/>
      <c r="J680" s="16" t="n">
        <v>-0.6</v>
      </c>
      <c r="K680" s="16" t="inlineStr">
        <is>
          <t>44%</t>
        </is>
      </c>
      <c r="L680" s="16" t="inlineStr">
        <is>
          <t>-17%</t>
        </is>
      </c>
      <c r="M680" s="16" t="inlineStr">
        <is>
          <t>-410%</t>
        </is>
      </c>
      <c r="N680" s="16" t="inlineStr">
        <is>
          <t>27%</t>
        </is>
      </c>
      <c r="O680" s="16" t="n">
        <v>-8</v>
      </c>
      <c r="P680" s="16" t="inlineStr">
        <is>
          <t>39%</t>
        </is>
      </c>
      <c r="Q680" s="16" t="n">
        <v>70521</v>
      </c>
      <c r="R680" s="16" t="inlineStr">
        <is>
          <t>P/S 8.9 · FCF yld -8% · rev +44% · op margin -17% · diluting 27%/yr</t>
        </is>
      </c>
      <c r="S680" s="16" t="inlineStr">
        <is>
          <t>negative equity</t>
        </is>
      </c>
      <c r="T680" s="16" t="inlineStr">
        <is>
          <t>Turnaround Signal</t>
        </is>
      </c>
    </row>
    <row r="681">
      <c r="A681" s="6" t="inlineStr">
        <is>
          <t>PUMP</t>
        </is>
      </c>
      <c r="B681" s="14" t="inlineStr">
        <is>
          <t>ProPetro Holding Corp.</t>
        </is>
      </c>
      <c r="C681" s="14" t="inlineStr">
        <is>
          <t>Energy</t>
        </is>
      </c>
      <c r="D681" s="14" t="n">
        <v>1243</v>
      </c>
      <c r="E681" s="14" t="n">
        <v>1.3</v>
      </c>
      <c r="F681" s="14" t="n">
        <v>-86.8</v>
      </c>
      <c r="G681" s="14" t="n">
        <v>7.6</v>
      </c>
      <c r="H681" s="14" t="inlineStr">
        <is>
          <t>-2%</t>
        </is>
      </c>
      <c r="I681" s="14" t="inlineStr">
        <is>
          <t>-6%</t>
        </is>
      </c>
      <c r="J681" s="14" t="n">
        <v>0.4</v>
      </c>
      <c r="K681" s="14" t="inlineStr">
        <is>
          <t>-15%</t>
        </is>
      </c>
      <c r="L681" s="14" t="inlineStr">
        <is>
          <t>-1%</t>
        </is>
      </c>
      <c r="M681" s="14" t="inlineStr">
        <is>
          <t>-1%</t>
        </is>
      </c>
      <c r="N681" s="14" t="inlineStr">
        <is>
          <t>18%</t>
        </is>
      </c>
      <c r="O681" s="14" t="n">
        <v>-1.4</v>
      </c>
      <c r="P681" s="14" t="inlineStr">
        <is>
          <t>39%</t>
        </is>
      </c>
      <c r="Q681" s="14" t="n">
        <v>43994</v>
      </c>
      <c r="R681" s="14" t="inlineStr">
        <is>
          <t>P/B 1.30 · EV/EBITDA 7.6× · FCF yld -2% · net debt 6% of mcap · rev -15% · op margin -1% · diluting 18%/yr</t>
        </is>
      </c>
      <c r="S681" s="14" t="inlineStr"/>
      <c r="T681" s="14" t="inlineStr">
        <is>
          <t>Turnaround Signal</t>
        </is>
      </c>
    </row>
    <row r="682">
      <c r="A682" s="8" t="inlineStr">
        <is>
          <t>LION</t>
        </is>
      </c>
      <c r="B682" s="16" t="inlineStr">
        <is>
          <t>Lionsgate Studios Corp</t>
        </is>
      </c>
      <c r="C682" s="16" t="inlineStr">
        <is>
          <t>Technology</t>
        </is>
      </c>
      <c r="D682" s="16" t="n">
        <v>3287</v>
      </c>
      <c r="E682" s="16" t="n"/>
      <c r="F682" s="16" t="n">
        <v>-27.2</v>
      </c>
      <c r="G682" s="16" t="n">
        <v>5.7</v>
      </c>
      <c r="H682" s="16" t="inlineStr">
        <is>
          <t>3%</t>
        </is>
      </c>
      <c r="I682" s="16" t="n"/>
      <c r="J682" s="16" t="n">
        <v>2.9</v>
      </c>
      <c r="K682" s="16" t="inlineStr">
        <is>
          <t>-8%</t>
        </is>
      </c>
      <c r="L682" s="16" t="inlineStr">
        <is>
          <t>5%</t>
        </is>
      </c>
      <c r="M682" s="16" t="inlineStr">
        <is>
          <t>10%</t>
        </is>
      </c>
      <c r="N682" s="16" t="inlineStr">
        <is>
          <t>7%</t>
        </is>
      </c>
      <c r="O682" s="16" t="n">
        <v>0.7</v>
      </c>
      <c r="P682" s="16" t="inlineStr">
        <is>
          <t>48%</t>
        </is>
      </c>
      <c r="Q682" s="16" t="n">
        <v>34661</v>
      </c>
      <c r="R682" s="16" t="inlineStr">
        <is>
          <t>EV/EBITDA 5.7× · FCF yld 3% · rev -8% · op margin 5% · diluting 7%/yr</t>
        </is>
      </c>
      <c r="S682" s="16" t="inlineStr">
        <is>
          <t>negative equity</t>
        </is>
      </c>
      <c r="T682" s="16" t="inlineStr">
        <is>
          <t>Turnaround Signal</t>
        </is>
      </c>
    </row>
    <row r="683">
      <c r="A683" s="6" t="inlineStr">
        <is>
          <t>SDEV</t>
        </is>
      </c>
      <c r="B683" s="14" t="inlineStr">
        <is>
          <t>Stablecoin Development</t>
        </is>
      </c>
      <c r="C683" s="14" t="inlineStr">
        <is>
          <t>Healthcare</t>
        </is>
      </c>
      <c r="D683" s="14" t="n">
        <v>58</v>
      </c>
      <c r="E683" s="14" t="n">
        <v>0.46</v>
      </c>
      <c r="F683" s="14" t="n">
        <v>0.1</v>
      </c>
      <c r="G683" s="14" t="n">
        <v>-7.4</v>
      </c>
      <c r="H683" s="14" t="inlineStr">
        <is>
          <t>-21%</t>
        </is>
      </c>
      <c r="I683" s="14" t="inlineStr">
        <is>
          <t>12%</t>
        </is>
      </c>
      <c r="J683" s="14" t="n">
        <v>1.1</v>
      </c>
      <c r="K683" s="14" t="n"/>
      <c r="L683" s="14" t="inlineStr">
        <is>
          <t>-141%</t>
        </is>
      </c>
      <c r="M683" s="14" t="inlineStr">
        <is>
          <t>790%</t>
        </is>
      </c>
      <c r="N683" s="14" t="n"/>
      <c r="O683" s="14" t="n">
        <v>-29.3</v>
      </c>
      <c r="P683" s="14" t="inlineStr">
        <is>
          <t>26%</t>
        </is>
      </c>
      <c r="Q683" s="14" t="n">
        <v>1022</v>
      </c>
      <c r="R683" s="14" t="inlineStr">
        <is>
          <t>P/B 0.46 · P/S 12.1 · FCF yld -21% · net cash 12% of mcap · op margin -141%</t>
        </is>
      </c>
      <c r="S683" s="14" t="inlineStr">
        <is>
          <t>dividend yield &gt;25% (special or bad data)</t>
        </is>
      </c>
      <c r="T683" s="14" t="inlineStr">
        <is>
          <t>Turnaround Signal</t>
        </is>
      </c>
    </row>
    <row r="684">
      <c r="A684" s="8" t="inlineStr">
        <is>
          <t>BYND</t>
        </is>
      </c>
      <c r="B684" s="16" t="inlineStr">
        <is>
          <t>Beyond Meat, Inc.</t>
        </is>
      </c>
      <c r="C684" s="16" t="inlineStr">
        <is>
          <t>Consumer Defen</t>
        </is>
      </c>
      <c r="D684" s="16" t="n">
        <v>170</v>
      </c>
      <c r="E684" s="16" t="n">
        <v>3</v>
      </c>
      <c r="F684" s="16" t="n">
        <v>-0.5</v>
      </c>
      <c r="G684" s="16" t="n">
        <v>-3.4</v>
      </c>
      <c r="H684" s="16" t="inlineStr">
        <is>
          <t>-73%</t>
        </is>
      </c>
      <c r="I684" s="16" t="inlineStr">
        <is>
          <t>-139%</t>
        </is>
      </c>
      <c r="J684" s="16" t="n">
        <v>-2</v>
      </c>
      <c r="K684" s="16" t="inlineStr">
        <is>
          <t>-14%</t>
        </is>
      </c>
      <c r="L684" s="16" t="inlineStr">
        <is>
          <t>-83%</t>
        </is>
      </c>
      <c r="M684" s="16" t="inlineStr">
        <is>
          <t>-155%</t>
        </is>
      </c>
      <c r="N684" s="16" t="n"/>
      <c r="O684" s="16" t="n">
        <v>-8.800000000000001</v>
      </c>
      <c r="P684" s="16" t="inlineStr">
        <is>
          <t>0%</t>
        </is>
      </c>
      <c r="Q684" s="16" t="n">
        <v>12564</v>
      </c>
      <c r="R684" s="16" t="inlineStr">
        <is>
          <t>P/B 3.00 · P/S 0.7 · FCF yld -73% · net debt 139% of mcap · rev -14% · op margin -83% · interest cover -8.8× ⚠</t>
        </is>
      </c>
      <c r="S684" s="16" t="inlineStr">
        <is>
          <t>P/E vs earnings-yield sign mismatch</t>
        </is>
      </c>
      <c r="T684" s="16" t="inlineStr">
        <is>
          <t>Turnaround Signal</t>
        </is>
      </c>
    </row>
    <row r="685">
      <c r="A685" s="6" t="inlineStr">
        <is>
          <t>NINE</t>
        </is>
      </c>
      <c r="B685" s="14" t="inlineStr">
        <is>
          <t>Nine Energy Service, I</t>
        </is>
      </c>
      <c r="C685" s="14" t="inlineStr">
        <is>
          <t>Energy</t>
        </is>
      </c>
      <c r="D685" s="14" t="n">
        <v>127</v>
      </c>
      <c r="E685" s="14" t="n">
        <v>0.98</v>
      </c>
      <c r="F685" s="14" t="n">
        <v>1.4</v>
      </c>
      <c r="G685" s="14" t="n">
        <v>1.6</v>
      </c>
      <c r="H685" s="14" t="inlineStr">
        <is>
          <t>-34%</t>
        </is>
      </c>
      <c r="I685" s="14" t="inlineStr">
        <is>
          <t>-87%</t>
        </is>
      </c>
      <c r="J685" s="14" t="n">
        <v>0.7</v>
      </c>
      <c r="K685" s="14" t="n"/>
      <c r="L685" s="14" t="inlineStr">
        <is>
          <t>-3%</t>
        </is>
      </c>
      <c r="M685" s="14" t="inlineStr">
        <is>
          <t>515%</t>
        </is>
      </c>
      <c r="N685" s="14" t="n"/>
      <c r="O685" s="14" t="n">
        <v>-0.5</v>
      </c>
      <c r="P685" s="14" t="inlineStr">
        <is>
          <t>31%</t>
        </is>
      </c>
      <c r="Q685" s="14" t="n">
        <v>688</v>
      </c>
      <c r="R685" s="14" t="inlineStr">
        <is>
          <t>P/B 0.98 · EV/EBITDA 1.6× · FCF yld -34% · net debt 87% of mcap · op margin -3% · interest cover -0.5× ⚠</t>
        </is>
      </c>
      <c r="S685" s="14" t="inlineStr"/>
      <c r="T685" s="14" t="inlineStr">
        <is>
          <t>Turnaround Signal</t>
        </is>
      </c>
    </row>
    <row r="686">
      <c r="A686" s="8" t="inlineStr">
        <is>
          <t>OGN</t>
        </is>
      </c>
      <c r="B686" s="16" t="inlineStr">
        <is>
          <t>Organon &amp; Co.</t>
        </is>
      </c>
      <c r="C686" s="16" t="inlineStr">
        <is>
          <t>Healthcare</t>
        </is>
      </c>
      <c r="D686" s="16" t="n">
        <v>3604</v>
      </c>
      <c r="E686" s="16" t="n">
        <v>3.58</v>
      </c>
      <c r="F686" s="16" t="n">
        <v>17.4</v>
      </c>
      <c r="G686" s="16" t="n">
        <v>8.4</v>
      </c>
      <c r="H686" s="16" t="inlineStr">
        <is>
          <t>14%</t>
        </is>
      </c>
      <c r="I686" s="16" t="inlineStr">
        <is>
          <t>-206%</t>
        </is>
      </c>
      <c r="J686" s="16" t="n">
        <v>5.7</v>
      </c>
      <c r="K686" s="16" t="inlineStr">
        <is>
          <t>-2%</t>
        </is>
      </c>
      <c r="L686" s="16" t="inlineStr">
        <is>
          <t>19%</t>
        </is>
      </c>
      <c r="M686" s="16" t="inlineStr">
        <is>
          <t>23%</t>
        </is>
      </c>
      <c r="N686" s="16" t="inlineStr">
        <is>
          <t>4%</t>
        </is>
      </c>
      <c r="O686" s="16" t="n">
        <v>2.5</v>
      </c>
      <c r="P686" s="16" t="inlineStr">
        <is>
          <t>99%</t>
        </is>
      </c>
      <c r="Q686" s="16" t="n">
        <v>38325</v>
      </c>
      <c r="R686" s="16" t="inlineStr">
        <is>
          <t>P/B 3.58 · EV/EBITDA 8.4× · FCF yld 14% · net debt 206% of mcap · rev -2% · op margin 19% · diluting 4%/yr</t>
        </is>
      </c>
      <c r="S686" s="16" t="inlineStr"/>
      <c r="T686" s="16" t="inlineStr">
        <is>
          <t>Turnaround Signal</t>
        </is>
      </c>
    </row>
    <row r="687">
      <c r="A687" s="6" t="inlineStr">
        <is>
          <t>BZFDW</t>
        </is>
      </c>
      <c r="B687" s="14" t="inlineStr">
        <is>
          <t>BuzzFeed, Inc.</t>
        </is>
      </c>
      <c r="C687" s="14" t="inlineStr">
        <is>
          <t xml:space="preserve">Communication </t>
        </is>
      </c>
      <c r="D687" s="14" t="n">
        <v>14</v>
      </c>
      <c r="E687" s="14" t="n"/>
      <c r="F687" s="14" t="n">
        <v>-0.7</v>
      </c>
      <c r="G687" s="14" t="n">
        <v>-1.8</v>
      </c>
      <c r="H687" s="14" t="inlineStr">
        <is>
          <t>-51%</t>
        </is>
      </c>
      <c r="I687" s="14" t="n"/>
      <c r="J687" s="14" t="n">
        <v>-0.8</v>
      </c>
      <c r="K687" s="14" t="inlineStr">
        <is>
          <t>-5%</t>
        </is>
      </c>
      <c r="L687" s="14" t="inlineStr">
        <is>
          <t>-14%</t>
        </is>
      </c>
      <c r="M687" s="14" t="inlineStr">
        <is>
          <t>-116%</t>
        </is>
      </c>
      <c r="N687" s="14" t="inlineStr">
        <is>
          <t>45%</t>
        </is>
      </c>
      <c r="O687" s="14" t="n">
        <v>-4.1</v>
      </c>
      <c r="P687" s="14" t="inlineStr">
        <is>
          <t>0%</t>
        </is>
      </c>
      <c r="Q687" s="14" t="n">
        <v>0</v>
      </c>
      <c r="R687" s="14" t="inlineStr">
        <is>
          <t>P/S 0.2 · FCF yld -51% · rev -5% · op margin -14% · diluting 45%/yr</t>
        </is>
      </c>
      <c r="S687" s="14" t="inlineStr">
        <is>
          <t>market-cap/share data inconsistent</t>
        </is>
      </c>
      <c r="T687" s="14" t="inlineStr">
        <is>
          <t>Turnaround Signal</t>
        </is>
      </c>
    </row>
    <row r="688">
      <c r="A688" s="8" t="inlineStr">
        <is>
          <t>CLVT</t>
        </is>
      </c>
      <c r="B688" s="16" t="inlineStr">
        <is>
          <t>Clarivate Plc</t>
        </is>
      </c>
      <c r="C688" s="16" t="inlineStr">
        <is>
          <t>Technology</t>
        </is>
      </c>
      <c r="D688" s="16" t="n">
        <v>1215</v>
      </c>
      <c r="E688" s="16" t="n">
        <v>0.27</v>
      </c>
      <c r="F688" s="16" t="n">
        <v>-3.6</v>
      </c>
      <c r="G688" s="16" t="n">
        <v>10.9</v>
      </c>
      <c r="H688" s="16" t="inlineStr">
        <is>
          <t>28%</t>
        </is>
      </c>
      <c r="I688" s="16" t="inlineStr">
        <is>
          <t>-332%</t>
        </is>
      </c>
      <c r="J688" s="16" t="n">
        <v>8.4</v>
      </c>
      <c r="K688" s="16" t="inlineStr">
        <is>
          <t>-3%</t>
        </is>
      </c>
      <c r="L688" s="16" t="inlineStr">
        <is>
          <t>-4%</t>
        </is>
      </c>
      <c r="M688" s="16" t="inlineStr">
        <is>
          <t>-7%</t>
        </is>
      </c>
      <c r="N688" s="16" t="inlineStr">
        <is>
          <t>-6%</t>
        </is>
      </c>
      <c r="O688" s="16" t="n">
        <v>-0.3</v>
      </c>
      <c r="P688" s="16" t="inlineStr">
        <is>
          <t>10%</t>
        </is>
      </c>
      <c r="Q688" s="16" t="n">
        <v>11462</v>
      </c>
      <c r="R688" s="16" t="inlineStr">
        <is>
          <t>P/B 0.27 · EV/EBITDA 10.9× · FCF yld 28% · net debt 332% of mcap · rev -3% · op margin -4% · buying back 6%/yr · interest cover -0.3× ⚠</t>
        </is>
      </c>
      <c r="S688" s="16" t="inlineStr"/>
      <c r="T688" s="16" t="inlineStr">
        <is>
          <t>Turnaround Signal</t>
        </is>
      </c>
    </row>
    <row r="689">
      <c r="A689" s="6" t="inlineStr">
        <is>
          <t>TGT</t>
        </is>
      </c>
      <c r="B689" s="14" t="inlineStr">
        <is>
          <t>Target Corporation</t>
        </is>
      </c>
      <c r="C689" s="14" t="inlineStr">
        <is>
          <t>Consumer Defen</t>
        </is>
      </c>
      <c r="D689" s="14" t="n">
        <v>71808</v>
      </c>
      <c r="E689" s="14" t="n">
        <v>4.02</v>
      </c>
      <c r="F689" s="14" t="n">
        <v>16.1</v>
      </c>
      <c r="G689" s="14" t="n">
        <v>9.9</v>
      </c>
      <c r="H689" s="14" t="inlineStr">
        <is>
          <t>6%</t>
        </is>
      </c>
      <c r="I689" s="14" t="inlineStr">
        <is>
          <t>-19%</t>
        </is>
      </c>
      <c r="J689" s="14" t="n">
        <v>1.6</v>
      </c>
      <c r="K689" s="14" t="inlineStr">
        <is>
          <t>2%</t>
        </is>
      </c>
      <c r="L689" s="14" t="inlineStr">
        <is>
          <t>6%</t>
        </is>
      </c>
      <c r="M689" s="14" t="inlineStr">
        <is>
          <t>27%</t>
        </is>
      </c>
      <c r="N689" s="14" t="inlineStr">
        <is>
          <t>0%</t>
        </is>
      </c>
      <c r="O689" s="14" t="n">
        <v>14</v>
      </c>
      <c r="P689" s="14" t="inlineStr">
        <is>
          <t>86%</t>
        </is>
      </c>
      <c r="Q689" s="14" t="n">
        <v>726596</v>
      </c>
      <c r="R689" s="14" t="inlineStr">
        <is>
          <t>P/B 4.02 · EV/EBITDA 9.9× · FCF yld 6% · net debt 19% of mcap · rev +2% · op margin 6%</t>
        </is>
      </c>
      <c r="S689" s="14" t="inlineStr"/>
      <c r="T689" s="14" t="inlineStr">
        <is>
          <t>Single-Measure Best</t>
        </is>
      </c>
    </row>
    <row r="690">
      <c r="A690" s="8" t="inlineStr">
        <is>
          <t>DCO</t>
        </is>
      </c>
      <c r="B690" s="16" t="inlineStr">
        <is>
          <t>Ducommun Incorporated</t>
        </is>
      </c>
      <c r="C690" s="16" t="inlineStr">
        <is>
          <t>Industrials</t>
        </is>
      </c>
      <c r="D690" s="16" t="n">
        <v>2526</v>
      </c>
      <c r="E690" s="16" t="n">
        <v>3.66</v>
      </c>
      <c r="F690" s="16" t="n">
        <v>-94.8</v>
      </c>
      <c r="G690" s="16" t="n">
        <v>492.7</v>
      </c>
      <c r="H690" s="16" t="inlineStr">
        <is>
          <t>-1%</t>
        </is>
      </c>
      <c r="I690" s="16" t="inlineStr">
        <is>
          <t>-12%</t>
        </is>
      </c>
      <c r="J690" s="16" t="n">
        <v>50.4</v>
      </c>
      <c r="K690" s="16" t="inlineStr">
        <is>
          <t>9%</t>
        </is>
      </c>
      <c r="L690" s="16" t="inlineStr">
        <is>
          <t>10%</t>
        </is>
      </c>
      <c r="M690" s="16" t="inlineStr">
        <is>
          <t>-4%</t>
        </is>
      </c>
      <c r="N690" s="16" t="inlineStr">
        <is>
          <t>2%</t>
        </is>
      </c>
      <c r="O690" s="16" t="n">
        <v>15.1</v>
      </c>
      <c r="P690" s="16" t="inlineStr">
        <is>
          <t>66%</t>
        </is>
      </c>
      <c r="Q690" s="16" t="n">
        <v>43681</v>
      </c>
      <c r="R690" s="16" t="inlineStr">
        <is>
          <t>P/B 3.66 · P/S 3.0 · FCF yld -1% · net debt 12% of mcap · rev +9% · op margin 10% · diluting 2%/yr</t>
        </is>
      </c>
      <c r="S690" s="16" t="inlineStr"/>
      <c r="T690" s="16" t="inlineStr">
        <is>
          <t>Single-Measure Best</t>
        </is>
      </c>
    </row>
    <row r="691">
      <c r="A691" s="6" t="inlineStr">
        <is>
          <t>UNP</t>
        </is>
      </c>
      <c r="B691" s="14" t="inlineStr">
        <is>
          <t>Union Pacific Corporat</t>
        </is>
      </c>
      <c r="C691" s="14" t="inlineStr">
        <is>
          <t>Industrials</t>
        </is>
      </c>
      <c r="D691" s="14" t="n">
        <v>163905</v>
      </c>
      <c r="E691" s="14" t="n">
        <v>7.93</v>
      </c>
      <c r="F691" s="14" t="n">
        <v>22.3</v>
      </c>
      <c r="G691" s="14" t="n">
        <v>14.5</v>
      </c>
      <c r="H691" s="14" t="inlineStr">
        <is>
          <t>4%</t>
        </is>
      </c>
      <c r="I691" s="14" t="inlineStr">
        <is>
          <t>-18%</t>
        </is>
      </c>
      <c r="J691" s="14" t="n">
        <v>2.2</v>
      </c>
      <c r="K691" s="14" t="inlineStr">
        <is>
          <t>4%</t>
        </is>
      </c>
      <c r="L691" s="14" t="inlineStr">
        <is>
          <t>40%</t>
        </is>
      </c>
      <c r="M691" s="14" t="inlineStr">
        <is>
          <t>39%</t>
        </is>
      </c>
      <c r="N691" s="14" t="inlineStr">
        <is>
          <t>-0%</t>
        </is>
      </c>
      <c r="O691" s="14" t="n">
        <v>7.9</v>
      </c>
      <c r="P691" s="14" t="inlineStr">
        <is>
          <t>60%</t>
        </is>
      </c>
      <c r="Q691" s="14" t="n">
        <v>781356</v>
      </c>
      <c r="R691" s="14" t="inlineStr">
        <is>
          <t>P/B 7.93 · EV/EBITDA 14.5× · FCF yld 4% · net debt 18% of mcap · rev +4% · op margin 40%</t>
        </is>
      </c>
      <c r="S691" s="14" t="inlineStr"/>
      <c r="T691" s="14" t="inlineStr">
        <is>
          <t>Single-Measure Best</t>
        </is>
      </c>
    </row>
    <row r="692">
      <c r="A692" s="8" t="inlineStr">
        <is>
          <t>ISRG</t>
        </is>
      </c>
      <c r="B692" s="16" t="inlineStr">
        <is>
          <t>Intuitive Surgical, In</t>
        </is>
      </c>
      <c r="C692" s="16" t="inlineStr">
        <is>
          <t>Healthcare</t>
        </is>
      </c>
      <c r="D692" s="16" t="n">
        <v>140965</v>
      </c>
      <c r="E692" s="16" t="n">
        <v>7.76</v>
      </c>
      <c r="F692" s="16" t="n">
        <v>44.9</v>
      </c>
      <c r="G692" s="16" t="n">
        <v>30.6</v>
      </c>
      <c r="H692" s="16" t="inlineStr">
        <is>
          <t>2%</t>
        </is>
      </c>
      <c r="I692" s="16" t="inlineStr">
        <is>
          <t>4%</t>
        </is>
      </c>
      <c r="J692" s="16" t="n">
        <v>-0.6</v>
      </c>
      <c r="K692" s="16" t="inlineStr">
        <is>
          <t>21%</t>
        </is>
      </c>
      <c r="L692" s="16" t="inlineStr">
        <is>
          <t>31%</t>
        </is>
      </c>
      <c r="M692" s="16" t="inlineStr">
        <is>
          <t>18%</t>
        </is>
      </c>
      <c r="N692" s="16" t="inlineStr">
        <is>
          <t>-2%</t>
        </is>
      </c>
      <c r="O692" s="16" t="n">
        <v>0</v>
      </c>
      <c r="P692" s="16" t="inlineStr">
        <is>
          <t>26%</t>
        </is>
      </c>
      <c r="Q692" s="16" t="n">
        <v>1151087</v>
      </c>
      <c r="R692" s="16" t="inlineStr">
        <is>
          <t>P/B 7.76 · EV/EBITDA 30.6× · FCF yld 2% · net cash 4% of mcap · rev +21% · op margin 31%</t>
        </is>
      </c>
      <c r="S692" s="16" t="inlineStr"/>
      <c r="T692" s="16" t="inlineStr">
        <is>
          <t>Single-Measure Best</t>
        </is>
      </c>
    </row>
    <row r="693">
      <c r="A693" s="6" t="inlineStr">
        <is>
          <t>NXT</t>
        </is>
      </c>
      <c r="B693" s="14" t="inlineStr">
        <is>
          <t>Nextpower Inc.</t>
        </is>
      </c>
      <c r="C693" s="14" t="inlineStr">
        <is>
          <t>Energy</t>
        </is>
      </c>
      <c r="D693" s="14" t="n">
        <v>12710</v>
      </c>
      <c r="E693" s="14" t="n">
        <v>5.91</v>
      </c>
      <c r="F693" s="14" t="n">
        <v>20.6</v>
      </c>
      <c r="G693" s="14" t="n">
        <v>15</v>
      </c>
      <c r="H693" s="14" t="inlineStr">
        <is>
          <t>4%</t>
        </is>
      </c>
      <c r="I693" s="14" t="inlineStr">
        <is>
          <t>7%</t>
        </is>
      </c>
      <c r="J693" s="14" t="n">
        <v>-1.6</v>
      </c>
      <c r="K693" s="14" t="inlineStr">
        <is>
          <t>20%</t>
        </is>
      </c>
      <c r="L693" s="14" t="inlineStr">
        <is>
          <t>19%</t>
        </is>
      </c>
      <c r="M693" s="14" t="inlineStr">
        <is>
          <t>26%</t>
        </is>
      </c>
      <c r="N693" s="14" t="inlineStr">
        <is>
          <t>2%</t>
        </is>
      </c>
      <c r="O693" s="14" t="n">
        <v>424.6</v>
      </c>
      <c r="P693" s="14" t="inlineStr">
        <is>
          <t>16%</t>
        </is>
      </c>
      <c r="Q693" s="14" t="n">
        <v>236644</v>
      </c>
      <c r="R693" s="14" t="inlineStr">
        <is>
          <t>P/B 5.91 · EV/EBITDA 15.0× · FCF yld 4% · net cash 7% of mcap · rev +20% · op margin 19%</t>
        </is>
      </c>
      <c r="S693" s="14" t="inlineStr"/>
      <c r="T693" s="14" t="inlineStr">
        <is>
          <t>Single-Measure Best</t>
        </is>
      </c>
    </row>
    <row r="694">
      <c r="A694" s="8" t="inlineStr">
        <is>
          <t>ATEC</t>
        </is>
      </c>
      <c r="B694" s="16" t="inlineStr">
        <is>
          <t>Alphatec Holdings, Inc</t>
        </is>
      </c>
      <c r="C694" s="16" t="inlineStr">
        <is>
          <t>Healthcare</t>
        </is>
      </c>
      <c r="D694" s="16" t="n">
        <v>1564</v>
      </c>
      <c r="E694" s="16" t="n"/>
      <c r="F694" s="16" t="n">
        <v>-13.9</v>
      </c>
      <c r="G694" s="16" t="n">
        <v>150.6</v>
      </c>
      <c r="H694" s="16" t="inlineStr">
        <is>
          <t>0%</t>
        </is>
      </c>
      <c r="I694" s="16" t="n"/>
      <c r="J694" s="16" t="n">
        <v>36.1</v>
      </c>
      <c r="K694" s="16" t="inlineStr">
        <is>
          <t>19%</t>
        </is>
      </c>
      <c r="L694" s="16" t="inlineStr">
        <is>
          <t>-6%</t>
        </is>
      </c>
      <c r="M694" s="16" t="inlineStr">
        <is>
          <t>-819%</t>
        </is>
      </c>
      <c r="N694" s="16" t="inlineStr">
        <is>
          <t>4%</t>
        </is>
      </c>
      <c r="O694" s="16" t="n">
        <v>-1.1</v>
      </c>
      <c r="P694" s="16" t="inlineStr">
        <is>
          <t>20%</t>
        </is>
      </c>
      <c r="Q694" s="16" t="n">
        <v>25670</v>
      </c>
      <c r="R694" s="16" t="inlineStr">
        <is>
          <t>EV/EBITDA 150.6× · FCF yld 0% · rev +19% · op margin -6% · diluting 4%/yr</t>
        </is>
      </c>
      <c r="S694" s="16" t="inlineStr">
        <is>
          <t>negative equity</t>
        </is>
      </c>
      <c r="T694" s="16" t="inlineStr">
        <is>
          <t>Single-Measure Best</t>
        </is>
      </c>
    </row>
    <row r="695">
      <c r="A695" s="6" t="inlineStr">
        <is>
          <t>CLX</t>
        </is>
      </c>
      <c r="B695" s="14" t="inlineStr">
        <is>
          <t>The Clorox Company</t>
        </is>
      </c>
      <c r="C695" s="14" t="inlineStr">
        <is>
          <t>Consumer Defen</t>
        </is>
      </c>
      <c r="D695" s="14" t="n">
        <v>10324</v>
      </c>
      <c r="E695" s="14" t="n"/>
      <c r="F695" s="14" t="n">
        <v>17.5</v>
      </c>
      <c r="G695" s="14" t="n">
        <v>16.9</v>
      </c>
      <c r="H695" s="14" t="inlineStr">
        <is>
          <t>4%</t>
        </is>
      </c>
      <c r="I695" s="14" t="n"/>
      <c r="J695" s="14" t="n">
        <v>5.8</v>
      </c>
      <c r="K695" s="14" t="inlineStr">
        <is>
          <t>-6%</t>
        </is>
      </c>
      <c r="L695" s="14" t="inlineStr">
        <is>
          <t>25%</t>
        </is>
      </c>
      <c r="M695" s="14" t="inlineStr">
        <is>
          <t>-1894%</t>
        </is>
      </c>
      <c r="N695" s="14" t="inlineStr">
        <is>
          <t>-2%</t>
        </is>
      </c>
      <c r="O695" s="14" t="n">
        <v>12.8</v>
      </c>
      <c r="P695" s="14" t="inlineStr">
        <is>
          <t>6%</t>
        </is>
      </c>
      <c r="Q695" s="14" t="n">
        <v>233814</v>
      </c>
      <c r="R695" s="14" t="inlineStr">
        <is>
          <t>EV/EBITDA 16.9× · FCF yld 4% · rev -6% · op margin 25% · buying back 2%/yr</t>
        </is>
      </c>
      <c r="S695" s="14" t="inlineStr">
        <is>
          <t>negative equity</t>
        </is>
      </c>
      <c r="T695" s="14" t="inlineStr">
        <is>
          <t>Single-Measure Best</t>
        </is>
      </c>
    </row>
    <row r="696">
      <c r="A696" s="8" t="inlineStr">
        <is>
          <t>WHLRP</t>
        </is>
      </c>
      <c r="B696" s="16" t="inlineStr">
        <is>
          <t>Wheeler Real Estate In</t>
        </is>
      </c>
      <c r="C696" s="16" t="inlineStr">
        <is>
          <t>Real Estate</t>
        </is>
      </c>
      <c r="D696" s="16" t="n">
        <v>8</v>
      </c>
      <c r="E696" s="16" t="n"/>
      <c r="F696" s="16" t="n">
        <v>0</v>
      </c>
      <c r="G696" s="16" t="n">
        <v>5.7</v>
      </c>
      <c r="H696" s="16" t="n"/>
      <c r="I696" s="16" t="n"/>
      <c r="J696" s="16" t="n">
        <v>5.7</v>
      </c>
      <c r="K696" s="16" t="inlineStr">
        <is>
          <t>-7%</t>
        </is>
      </c>
      <c r="L696" s="16" t="inlineStr">
        <is>
          <t>36%</t>
        </is>
      </c>
      <c r="M696" s="16" t="inlineStr">
        <is>
          <t>26%</t>
        </is>
      </c>
      <c r="N696" s="16" t="n"/>
      <c r="O696" s="16" t="n">
        <v>1.1</v>
      </c>
      <c r="P696" s="16" t="inlineStr">
        <is>
          <t>73%</t>
        </is>
      </c>
      <c r="Q696" s="16" t="n">
        <v>53</v>
      </c>
      <c r="R696" s="16" t="inlineStr">
        <is>
          <t>EV/EBITDA 5.7× · rev -7% · op margin 36%</t>
        </is>
      </c>
      <c r="S696" s="16" t="inlineStr">
        <is>
          <t>market-cap/share data inconsistent; FCF yield &gt;100% (check)</t>
        </is>
      </c>
      <c r="T696" s="16" t="inlineStr">
        <is>
          <t>Single-Measure Best</t>
        </is>
      </c>
    </row>
    <row r="697">
      <c r="A697" s="6" t="inlineStr">
        <is>
          <t>ATPC</t>
        </is>
      </c>
      <c r="B697" s="14" t="inlineStr">
        <is>
          <t>Agape ATP Corporation</t>
        </is>
      </c>
      <c r="C697" s="14" t="inlineStr">
        <is>
          <t>Consumer Defen</t>
        </is>
      </c>
      <c r="D697" s="14" t="n">
        <v>2</v>
      </c>
      <c r="E697" s="14" t="n">
        <v>0.1</v>
      </c>
      <c r="F697" s="14" t="n">
        <v>-1.9</v>
      </c>
      <c r="G697" s="14" t="n">
        <v>-1</v>
      </c>
      <c r="H697" s="14" t="inlineStr">
        <is>
          <t>-43%</t>
        </is>
      </c>
      <c r="I697" s="14" t="inlineStr">
        <is>
          <t>-1%</t>
        </is>
      </c>
      <c r="J697" s="14" t="n">
        <v>-0</v>
      </c>
      <c r="K697" s="14" t="inlineStr">
        <is>
          <t>-27%</t>
        </is>
      </c>
      <c r="L697" s="14" t="inlineStr">
        <is>
          <t>-296%</t>
        </is>
      </c>
      <c r="M697" s="14" t="inlineStr">
        <is>
          <t>-5%</t>
        </is>
      </c>
      <c r="N697" s="14" t="inlineStr">
        <is>
          <t>0%</t>
        </is>
      </c>
      <c r="O697" s="14" t="n">
        <v>0</v>
      </c>
      <c r="P697" s="14" t="inlineStr">
        <is>
          <t>1%</t>
        </is>
      </c>
      <c r="Q697" s="14" t="n">
        <v>6357</v>
      </c>
      <c r="R697" s="14" t="inlineStr">
        <is>
          <t>P/B 0.10 · P/S 2.1 · FCF yld -43% · net debt 1% of mcap · rev -27% · op margin -296%</t>
        </is>
      </c>
      <c r="S697" s="14" t="inlineStr"/>
      <c r="T697" s="14" t="inlineStr">
        <is>
          <t>Single-Measure Best</t>
        </is>
      </c>
    </row>
    <row r="698">
      <c r="A698" s="8" t="inlineStr">
        <is>
          <t>GTN-A</t>
        </is>
      </c>
      <c r="B698" s="16" t="inlineStr">
        <is>
          <t>Gray Media, Inc.</t>
        </is>
      </c>
      <c r="C698" s="16" t="inlineStr">
        <is>
          <t xml:space="preserve">Communication </t>
        </is>
      </c>
      <c r="D698" s="16" t="n">
        <v>278</v>
      </c>
      <c r="E698" s="16" t="n">
        <v>0.1</v>
      </c>
      <c r="F698" s="16" t="n">
        <v>-9.800000000000001</v>
      </c>
      <c r="G698" s="16" t="n">
        <v>7.8</v>
      </c>
      <c r="H698" s="16" t="inlineStr">
        <is>
          <t>32%</t>
        </is>
      </c>
      <c r="I698" s="16" t="inlineStr">
        <is>
          <t>-2055%</t>
        </is>
      </c>
      <c r="J698" s="16" t="n">
        <v>7.3</v>
      </c>
      <c r="K698" s="16" t="inlineStr">
        <is>
          <t>-11%</t>
        </is>
      </c>
      <c r="L698" s="16" t="inlineStr">
        <is>
          <t>14%</t>
        </is>
      </c>
      <c r="M698" s="16" t="inlineStr">
        <is>
          <t>-1%</t>
        </is>
      </c>
      <c r="N698" s="16" t="inlineStr">
        <is>
          <t>3%</t>
        </is>
      </c>
      <c r="O698" s="16" t="n">
        <v>1.8</v>
      </c>
      <c r="P698" s="16" t="inlineStr">
        <is>
          <t>0%</t>
        </is>
      </c>
      <c r="Q698" s="16" t="n">
        <v>17</v>
      </c>
      <c r="R698" s="16" t="inlineStr">
        <is>
          <t>P/B 0.10 · EV/EBITDA 7.8× · FCF yld 32% · net debt 2055% of mcap · rev -11% · op margin 14% · diluting 3%/yr</t>
        </is>
      </c>
      <c r="S698" s="16" t="inlineStr"/>
      <c r="T698" s="16" t="inlineStr">
        <is>
          <t>Single-Measure Best</t>
        </is>
      </c>
    </row>
    <row r="699">
      <c r="A699" s="6" t="inlineStr">
        <is>
          <t>BJDX</t>
        </is>
      </c>
      <c r="B699" s="14" t="inlineStr">
        <is>
          <t>Bluejay Diagnostics, I</t>
        </is>
      </c>
      <c r="C699" s="14" t="inlineStr">
        <is>
          <t>Healthcare</t>
        </is>
      </c>
      <c r="D699" s="14" t="n">
        <v>1</v>
      </c>
      <c r="E699" s="14" t="n">
        <v>0.1</v>
      </c>
      <c r="F699" s="14" t="n">
        <v>-0.1</v>
      </c>
      <c r="G699" s="14" t="n">
        <v>1.2</v>
      </c>
      <c r="H699" s="14" t="n"/>
      <c r="I699" s="14" t="inlineStr">
        <is>
          <t>981%</t>
        </is>
      </c>
      <c r="J699" s="14" t="n">
        <v>1.3</v>
      </c>
      <c r="K699" s="14" t="n"/>
      <c r="L699" s="14" t="inlineStr">
        <is>
          <t>0%</t>
        </is>
      </c>
      <c r="M699" s="14" t="inlineStr">
        <is>
          <t>-125%</t>
        </is>
      </c>
      <c r="N699" s="14" t="n"/>
      <c r="O699" s="14" t="n">
        <v>-19027.8</v>
      </c>
      <c r="P699" s="14" t="inlineStr">
        <is>
          <t>1%</t>
        </is>
      </c>
      <c r="Q699" s="14" t="n">
        <v>4577</v>
      </c>
      <c r="R699" s="14" t="inlineStr">
        <is>
          <t>P/B 0.10 · EV/EBITDA 1.2× · net cash 981% of mcap · op margin 0%</t>
        </is>
      </c>
      <c r="S699" s="14" t="inlineStr">
        <is>
          <t>FCF yield &gt;100% (check)</t>
        </is>
      </c>
      <c r="T699" s="14" t="inlineStr">
        <is>
          <t>Single-Measure Best</t>
        </is>
      </c>
    </row>
    <row r="700">
      <c r="A700" s="8" t="inlineStr">
        <is>
          <t>GWAV</t>
        </is>
      </c>
      <c r="B700" s="16" t="inlineStr">
        <is>
          <t>Greenwave Technology S</t>
        </is>
      </c>
      <c r="C700" s="16" t="inlineStr">
        <is>
          <t>Industrials</t>
        </is>
      </c>
      <c r="D700" s="16" t="n">
        <v>2</v>
      </c>
      <c r="E700" s="16" t="n">
        <v>0.1</v>
      </c>
      <c r="F700" s="16" t="n">
        <v>-0.1</v>
      </c>
      <c r="G700" s="16" t="n">
        <v>-2.3</v>
      </c>
      <c r="H700" s="16" t="n"/>
      <c r="I700" s="16" t="inlineStr">
        <is>
          <t>-555%</t>
        </is>
      </c>
      <c r="J700" s="16" t="n">
        <v>-2</v>
      </c>
      <c r="K700" s="16" t="inlineStr">
        <is>
          <t>72%</t>
        </is>
      </c>
      <c r="L700" s="16" t="inlineStr">
        <is>
          <t>-26%</t>
        </is>
      </c>
      <c r="M700" s="16" t="inlineStr">
        <is>
          <t>-64%</t>
        </is>
      </c>
      <c r="N700" s="16" t="inlineStr">
        <is>
          <t>51%</t>
        </is>
      </c>
      <c r="O700" s="16" t="n">
        <v>-10.2</v>
      </c>
      <c r="P700" s="16" t="inlineStr">
        <is>
          <t>2%</t>
        </is>
      </c>
      <c r="Q700" s="16" t="n">
        <v>225</v>
      </c>
      <c r="R700" s="16" t="inlineStr">
        <is>
          <t>P/B 0.10 · P/S 0.0 · net debt 555% of mcap · rev +72% · op margin -26% · diluting 51%/yr · interest cover -10.2× ⚠</t>
        </is>
      </c>
      <c r="S700" s="16" t="inlineStr">
        <is>
          <t>FCF yield &gt;100% (check)</t>
        </is>
      </c>
      <c r="T700" s="16" t="inlineStr">
        <is>
          <t>Single-Measure Best</t>
        </is>
      </c>
    </row>
    <row r="701">
      <c r="A701" s="6" t="inlineStr">
        <is>
          <t>AIOS</t>
        </is>
      </c>
      <c r="B701" s="14" t="inlineStr">
        <is>
          <t>AIOS Tech Inc.</t>
        </is>
      </c>
      <c r="C701" s="14" t="inlineStr">
        <is>
          <t>Technology</t>
        </is>
      </c>
      <c r="D701" s="14" t="n">
        <v>3</v>
      </c>
      <c r="E701" s="14" t="n"/>
      <c r="F701" s="14" t="n">
        <v>-0</v>
      </c>
      <c r="G701" s="14" t="n">
        <v>0</v>
      </c>
      <c r="H701" s="14" t="inlineStr">
        <is>
          <t>60%</t>
        </is>
      </c>
      <c r="I701" s="14" t="n"/>
      <c r="J701" s="14" t="n">
        <v>-0</v>
      </c>
      <c r="K701" s="14" t="n"/>
      <c r="L701" s="14" t="inlineStr">
        <is>
          <t>3%</t>
        </is>
      </c>
      <c r="M701" s="14" t="inlineStr">
        <is>
          <t>-880%</t>
        </is>
      </c>
      <c r="N701" s="14" t="n"/>
      <c r="O701" s="14" t="n">
        <v>0</v>
      </c>
      <c r="P701" s="14" t="inlineStr">
        <is>
          <t>9%</t>
        </is>
      </c>
      <c r="Q701" s="14" t="n">
        <v>773</v>
      </c>
      <c r="R701" s="14" t="inlineStr">
        <is>
          <t>EV/EBITDA 0.0× · FCF yld 60% · op margin 3%</t>
        </is>
      </c>
      <c r="S701" s="14" t="inlineStr">
        <is>
          <t>market-cap/share data inconsistent</t>
        </is>
      </c>
      <c r="T701" s="14" t="inlineStr">
        <is>
          <t>Single-Measure Best</t>
        </is>
      </c>
    </row>
    <row r="702">
      <c r="A702" s="8" t="inlineStr">
        <is>
          <t>RENX</t>
        </is>
      </c>
      <c r="B702" s="16" t="inlineStr">
        <is>
          <t>RenX Enterprises Corp.</t>
        </is>
      </c>
      <c r="C702" s="16" t="inlineStr">
        <is>
          <t>Real Estate</t>
        </is>
      </c>
      <c r="D702" s="16" t="n">
        <v>1</v>
      </c>
      <c r="E702" s="16" t="n"/>
      <c r="F702" s="16" t="n">
        <v>-0</v>
      </c>
      <c r="G702" s="16" t="n">
        <v>-1.9</v>
      </c>
      <c r="H702" s="16" t="n"/>
      <c r="I702" s="16" t="n"/>
      <c r="J702" s="16" t="n">
        <v>-1.8</v>
      </c>
      <c r="K702" s="16" t="n"/>
      <c r="L702" s="16" t="inlineStr">
        <is>
          <t>-53%</t>
        </is>
      </c>
      <c r="M702" s="16" t="inlineStr">
        <is>
          <t>-701%</t>
        </is>
      </c>
      <c r="N702" s="16" t="n"/>
      <c r="O702" s="16" t="n">
        <v>-1.1</v>
      </c>
      <c r="P702" s="16" t="inlineStr">
        <is>
          <t>1%</t>
        </is>
      </c>
      <c r="Q702" s="16" t="n">
        <v>248</v>
      </c>
      <c r="R702" s="16" t="inlineStr">
        <is>
          <t>P/S 0.1 · op margin -53%</t>
        </is>
      </c>
      <c r="S702" s="16" t="inlineStr">
        <is>
          <t>market-cap/share data inconsistent; FCF yield &gt;100% (check); revenue not comparable YoY (fair-value / one-off income?)</t>
        </is>
      </c>
      <c r="T702" s="16" t="inlineStr">
        <is>
          <t>Single-Measure Best</t>
        </is>
      </c>
    </row>
    <row r="703">
      <c r="A703" s="6" t="inlineStr">
        <is>
          <t>SUGP</t>
        </is>
      </c>
      <c r="B703" s="14" t="inlineStr">
        <is>
          <t>SU Group Holdings Limi</t>
        </is>
      </c>
      <c r="C703" s="14" t="inlineStr">
        <is>
          <t>Industrials</t>
        </is>
      </c>
      <c r="D703" s="14" t="n">
        <v>1</v>
      </c>
      <c r="E703" s="14" t="n">
        <v>0.12</v>
      </c>
      <c r="F703" s="14" t="n">
        <v>-0.3</v>
      </c>
      <c r="G703" s="14" t="n">
        <v>0.5</v>
      </c>
      <c r="H703" s="14" t="n"/>
      <c r="I703" s="14" t="inlineStr">
        <is>
          <t>174%</t>
        </is>
      </c>
      <c r="J703" s="14" t="n">
        <v>1.3</v>
      </c>
      <c r="K703" s="14" t="n"/>
      <c r="L703" s="14" t="inlineStr">
        <is>
          <t>-13%</t>
        </is>
      </c>
      <c r="M703" s="14" t="inlineStr">
        <is>
          <t>-18%</t>
        </is>
      </c>
      <c r="N703" s="14" t="n"/>
      <c r="O703" s="14" t="n">
        <v>-232.5</v>
      </c>
      <c r="P703" s="14" t="inlineStr">
        <is>
          <t>0%</t>
        </is>
      </c>
      <c r="Q703" s="14" t="n">
        <v>1797</v>
      </c>
      <c r="R703" s="14" t="inlineStr">
        <is>
          <t>P/B 0.12 · EV/EBITDA 0.5× · net cash 174% of mcap · op margin -13%</t>
        </is>
      </c>
      <c r="S703" s="14" t="inlineStr">
        <is>
          <t>FCF yield &gt;100% (check)</t>
        </is>
      </c>
      <c r="T703" s="14" t="inlineStr">
        <is>
          <t>Single-Measure Best</t>
        </is>
      </c>
    </row>
    <row r="704">
      <c r="A704" s="8" t="inlineStr">
        <is>
          <t>OMH</t>
        </is>
      </c>
      <c r="B704" s="16" t="inlineStr">
        <is>
          <t>Ohmyhome Limited</t>
        </is>
      </c>
      <c r="C704" s="16" t="inlineStr">
        <is>
          <t>Real Estate</t>
        </is>
      </c>
      <c r="D704" s="16" t="n">
        <v>1</v>
      </c>
      <c r="E704" s="16" t="n">
        <v>0.44</v>
      </c>
      <c r="F704" s="16" t="n">
        <v>-0.2</v>
      </c>
      <c r="G704" s="16" t="n">
        <v>0.6</v>
      </c>
      <c r="H704" s="16" t="n"/>
      <c r="I704" s="16" t="inlineStr">
        <is>
          <t>278%</t>
        </is>
      </c>
      <c r="J704" s="16" t="n">
        <v>0.9</v>
      </c>
      <c r="K704" s="16" t="inlineStr">
        <is>
          <t>-49%</t>
        </is>
      </c>
      <c r="L704" s="16" t="inlineStr">
        <is>
          <t>-41%</t>
        </is>
      </c>
      <c r="M704" s="16" t="inlineStr">
        <is>
          <t>-126%</t>
        </is>
      </c>
      <c r="N704" s="16" t="inlineStr">
        <is>
          <t>-10%</t>
        </is>
      </c>
      <c r="O704" s="16" t="n">
        <v>2513.6</v>
      </c>
      <c r="P704" s="16" t="inlineStr">
        <is>
          <t>0%</t>
        </is>
      </c>
      <c r="Q704" s="16" t="n">
        <v>57169</v>
      </c>
      <c r="R704" s="16" t="inlineStr">
        <is>
          <t>P/B 0.44 · EV/EBITDA 0.6× · net cash 278% of mcap · rev -49% · op margin -41% · buying back 10%/yr</t>
        </is>
      </c>
      <c r="S704" s="16" t="inlineStr">
        <is>
          <t>FCF yield &gt;100% (check)</t>
        </is>
      </c>
      <c r="T704" s="16" t="inlineStr">
        <is>
          <t>Single-Measure Best</t>
        </is>
      </c>
    </row>
    <row r="705">
      <c r="A705" s="6" t="inlineStr">
        <is>
          <t>TK</t>
        </is>
      </c>
      <c r="B705" s="14" t="inlineStr">
        <is>
          <t>Teekay Corporation</t>
        </is>
      </c>
      <c r="C705" s="14" t="inlineStr">
        <is>
          <t>Energy</t>
        </is>
      </c>
      <c r="D705" s="14" t="n">
        <v>1178</v>
      </c>
      <c r="E705" s="14" t="n">
        <v>1.55</v>
      </c>
      <c r="F705" s="14" t="n">
        <v>4.9</v>
      </c>
      <c r="G705" s="14" t="n">
        <v>0.6</v>
      </c>
      <c r="H705" s="14" t="inlineStr">
        <is>
          <t>28%</t>
        </is>
      </c>
      <c r="I705" s="14" t="inlineStr">
        <is>
          <t>104%</t>
        </is>
      </c>
      <c r="J705" s="14" t="n">
        <v>-1</v>
      </c>
      <c r="K705" s="14" t="inlineStr">
        <is>
          <t>49%</t>
        </is>
      </c>
      <c r="L705" s="14" t="inlineStr">
        <is>
          <t>36%</t>
        </is>
      </c>
      <c r="M705" s="14" t="inlineStr">
        <is>
          <t>32%</t>
        </is>
      </c>
      <c r="N705" s="14" t="inlineStr">
        <is>
          <t>3%</t>
        </is>
      </c>
      <c r="O705" s="14" t="n">
        <v>418.7</v>
      </c>
      <c r="P705" s="14" t="inlineStr">
        <is>
          <t>80%</t>
        </is>
      </c>
      <c r="Q705" s="14" t="n">
        <v>8073</v>
      </c>
      <c r="R705" s="14" t="inlineStr">
        <is>
          <t>P/B 1.55 · EV/EBITDA 0.6× · FCF yld 28% · net cash 104% of mcap · rev +49% · op margin 36% · diluting 3%/yr</t>
        </is>
      </c>
      <c r="S705" s="14" t="inlineStr"/>
      <c r="T705" s="14" t="inlineStr">
        <is>
          <t>Single-Measure Best</t>
        </is>
      </c>
    </row>
    <row r="706">
      <c r="A706" s="8" t="inlineStr">
        <is>
          <t>CTRM</t>
        </is>
      </c>
      <c r="B706" s="16" t="inlineStr">
        <is>
          <t>Castor Maritime Inc.</t>
        </is>
      </c>
      <c r="C706" s="16" t="inlineStr">
        <is>
          <t>Industrials</t>
        </is>
      </c>
      <c r="D706" s="16" t="n">
        <v>21</v>
      </c>
      <c r="E706" s="16" t="n"/>
      <c r="F706" s="16" t="n">
        <v>0.2</v>
      </c>
      <c r="G706" s="16" t="n">
        <v>0.6</v>
      </c>
      <c r="H706" s="16" t="n"/>
      <c r="I706" s="16" t="n"/>
      <c r="J706" s="16" t="n">
        <v>0.4</v>
      </c>
      <c r="K706" s="16" t="inlineStr">
        <is>
          <t>33%</t>
        </is>
      </c>
      <c r="L706" s="16" t="inlineStr">
        <is>
          <t>11%</t>
        </is>
      </c>
      <c r="M706" s="16" t="inlineStr">
        <is>
          <t>16%</t>
        </is>
      </c>
      <c r="N706" s="16" t="inlineStr">
        <is>
          <t>10%</t>
        </is>
      </c>
      <c r="O706" s="16" t="n">
        <v>2.8</v>
      </c>
      <c r="P706" s="16" t="inlineStr">
        <is>
          <t>47%</t>
        </is>
      </c>
      <c r="Q706" s="16" t="n">
        <v>115</v>
      </c>
      <c r="R706" s="16" t="inlineStr">
        <is>
          <t>EV/EBITDA 0.6× · rev +33% · op margin 11% · diluting 10%/yr</t>
        </is>
      </c>
      <c r="S706" s="16" t="inlineStr">
        <is>
          <t>market-cap/share data inconsistent; FCF yield &gt;100% (check)</t>
        </is>
      </c>
      <c r="T706" s="16" t="inlineStr">
        <is>
          <t>Single-Measure Best</t>
        </is>
      </c>
    </row>
    <row r="707">
      <c r="A707" s="6" t="inlineStr">
        <is>
          <t>KIDZ</t>
        </is>
      </c>
      <c r="B707" s="14" t="inlineStr">
        <is>
          <t>KIDZ AI Inc.</t>
        </is>
      </c>
      <c r="C707" s="14" t="inlineStr">
        <is>
          <t>Consumer Defen</t>
        </is>
      </c>
      <c r="D707" s="14" t="n">
        <v>1</v>
      </c>
      <c r="E707" s="14" t="n"/>
      <c r="F707" s="14" t="n">
        <v>-0.2</v>
      </c>
      <c r="G707" s="14" t="n">
        <v>0.6</v>
      </c>
      <c r="H707" s="14" t="n"/>
      <c r="I707" s="14" t="n"/>
      <c r="J707" s="14" t="n">
        <v>0.8</v>
      </c>
      <c r="K707" s="14" t="inlineStr">
        <is>
          <t>-17%</t>
        </is>
      </c>
      <c r="L707" s="14" t="inlineStr">
        <is>
          <t>-129%</t>
        </is>
      </c>
      <c r="M707" s="14" t="inlineStr">
        <is>
          <t>-168%</t>
        </is>
      </c>
      <c r="N707" s="14" t="inlineStr">
        <is>
          <t>59%</t>
        </is>
      </c>
      <c r="O707" s="14" t="n">
        <v>-8.199999999999999</v>
      </c>
      <c r="P707" s="14" t="inlineStr">
        <is>
          <t>0%</t>
        </is>
      </c>
      <c r="Q707" s="14" t="n">
        <v>24215</v>
      </c>
      <c r="R707" s="14" t="inlineStr">
        <is>
          <t>EV/EBITDA 0.6× · rev -17% · op margin -129% · diluting 59%/yr</t>
        </is>
      </c>
      <c r="S707" s="14" t="inlineStr">
        <is>
          <t>market-cap/share data inconsistent; FCF yield &gt;100% (check)</t>
        </is>
      </c>
      <c r="T707" s="14" t="inlineStr">
        <is>
          <t>Single-Measure Best</t>
        </is>
      </c>
    </row>
    <row r="708">
      <c r="A708" s="8" t="inlineStr">
        <is>
          <t>NKLR</t>
        </is>
      </c>
      <c r="B708" s="16" t="inlineStr">
        <is>
          <t>Terra Innovatum Global</t>
        </is>
      </c>
      <c r="C708" s="16" t="inlineStr">
        <is>
          <t>Utilities</t>
        </is>
      </c>
      <c r="D708" s="16" t="n">
        <v>435</v>
      </c>
      <c r="E708" s="16" t="n"/>
      <c r="F708" s="16" t="n">
        <v>0.8</v>
      </c>
      <c r="G708" s="16" t="n">
        <v>0.6</v>
      </c>
      <c r="H708" s="16" t="inlineStr">
        <is>
          <t>-5%</t>
        </is>
      </c>
      <c r="I708" s="16" t="n"/>
      <c r="J708" s="16" t="n">
        <v>-0.2</v>
      </c>
      <c r="K708" s="16" t="n"/>
      <c r="L708" s="16" t="inlineStr">
        <is>
          <t>0%</t>
        </is>
      </c>
      <c r="M708" s="16" t="inlineStr">
        <is>
          <t>-663%</t>
        </is>
      </c>
      <c r="N708" s="16" t="n"/>
      <c r="O708" s="16" t="n">
        <v>-34.6</v>
      </c>
      <c r="P708" s="16" t="inlineStr">
        <is>
          <t>1%</t>
        </is>
      </c>
      <c r="Q708" s="16" t="n">
        <v>1561</v>
      </c>
      <c r="R708" s="16" t="inlineStr">
        <is>
          <t>EV/EBITDA 0.6× · FCF yld -5% · op margin 0%</t>
        </is>
      </c>
      <c r="S708" s="16" t="inlineStr">
        <is>
          <t>negative equity; share-count history inconsistent (foreign line)</t>
        </is>
      </c>
      <c r="T708" s="16" t="inlineStr">
        <is>
          <t>Single-Measure Best</t>
        </is>
      </c>
    </row>
    <row r="709">
      <c r="A709" s="6" t="inlineStr">
        <is>
          <t>IXHL</t>
        </is>
      </c>
      <c r="B709" s="14" t="inlineStr">
        <is>
          <t>Incannex Healthcare Li</t>
        </is>
      </c>
      <c r="C709" s="14" t="inlineStr">
        <is>
          <t>Healthcare</t>
        </is>
      </c>
      <c r="D709" s="14" t="n">
        <v>42</v>
      </c>
      <c r="E709" s="14" t="n">
        <v>0.57</v>
      </c>
      <c r="F709" s="14" t="n">
        <v>-2.7</v>
      </c>
      <c r="G709" s="14" t="n">
        <v>0.6</v>
      </c>
      <c r="H709" s="14" t="inlineStr">
        <is>
          <t>-25%</t>
        </is>
      </c>
      <c r="I709" s="14" t="inlineStr">
        <is>
          <t>165%</t>
        </is>
      </c>
      <c r="J709" s="14" t="n">
        <v>1.5</v>
      </c>
      <c r="K709" s="14" t="n"/>
      <c r="L709" s="14" t="inlineStr">
        <is>
          <t>-38701%</t>
        </is>
      </c>
      <c r="M709" s="14" t="inlineStr">
        <is>
          <t>-97%</t>
        </is>
      </c>
      <c r="N709" s="14" t="n"/>
      <c r="O709" s="14" t="n">
        <v>-195.3</v>
      </c>
      <c r="P709" s="14" t="inlineStr">
        <is>
          <t>6%</t>
        </is>
      </c>
      <c r="Q709" s="14" t="n">
        <v>678</v>
      </c>
      <c r="R709" s="14" t="inlineStr">
        <is>
          <t>P/B 0.57 · EV/EBITDA 0.6× · FCF yld -25% · net cash 165% of mcap</t>
        </is>
      </c>
      <c r="S709" s="14" t="inlineStr"/>
      <c r="T709" s="14" t="inlineStr">
        <is>
          <t>Single-Measure Best</t>
        </is>
      </c>
    </row>
    <row r="710">
      <c r="A710" s="8" t="inlineStr">
        <is>
          <t>RVSN</t>
        </is>
      </c>
      <c r="B710" s="16" t="inlineStr">
        <is>
          <t>Rail Vision Ltd.</t>
        </is>
      </c>
      <c r="C710" s="16" t="inlineStr">
        <is>
          <t>Industrials</t>
        </is>
      </c>
      <c r="D710" s="16" t="n">
        <v>7</v>
      </c>
      <c r="E710" s="16" t="n">
        <v>0.44</v>
      </c>
      <c r="F710" s="16" t="n">
        <v>-0.6</v>
      </c>
      <c r="G710" s="16" t="n">
        <v>0.6</v>
      </c>
      <c r="H710" s="16" t="n"/>
      <c r="I710" s="16" t="inlineStr">
        <is>
          <t>218%</t>
        </is>
      </c>
      <c r="J710" s="16" t="n">
        <v>1.1</v>
      </c>
      <c r="K710" s="16" t="inlineStr">
        <is>
          <t>192%</t>
        </is>
      </c>
      <c r="L710" s="16" t="inlineStr">
        <is>
          <t>-621%</t>
        </is>
      </c>
      <c r="M710" s="16" t="inlineStr">
        <is>
          <t>-70%</t>
        </is>
      </c>
      <c r="N710" s="16" t="n"/>
      <c r="O710" s="16" t="n">
        <v>0</v>
      </c>
      <c r="P710" s="16" t="inlineStr">
        <is>
          <t>0%</t>
        </is>
      </c>
      <c r="Q710" s="16" t="n">
        <v>122</v>
      </c>
      <c r="R710" s="16" t="inlineStr">
        <is>
          <t>P/B 0.44 · EV/EBITDA 0.6× · net cash 218% of mcap · rev +192%</t>
        </is>
      </c>
      <c r="S710" s="16" t="inlineStr">
        <is>
          <t>FCF yield &gt;100% (check); share-count history inconsistent (foreign line)</t>
        </is>
      </c>
      <c r="T710" s="16" t="inlineStr">
        <is>
          <t>Single-Measure Best</t>
        </is>
      </c>
    </row>
    <row r="711">
      <c r="A711" s="6" t="inlineStr">
        <is>
          <t>YB</t>
        </is>
      </c>
      <c r="B711" s="14" t="inlineStr">
        <is>
          <t xml:space="preserve">Yuanbao Inc. American </t>
        </is>
      </c>
      <c r="C711" s="14" t="inlineStr">
        <is>
          <t>Technology</t>
        </is>
      </c>
      <c r="D711" s="14" t="n">
        <v>94</v>
      </c>
      <c r="E711" s="14" t="n">
        <v>0.17</v>
      </c>
      <c r="F711" s="14" t="n">
        <v>0.5</v>
      </c>
      <c r="G711" s="14" t="n">
        <v>-0.3</v>
      </c>
      <c r="H711" s="14" t="n"/>
      <c r="I711" s="14" t="inlineStr">
        <is>
          <t>823%</t>
        </is>
      </c>
      <c r="J711" s="14" t="n">
        <v>-0.7</v>
      </c>
      <c r="K711" s="14" t="inlineStr">
        <is>
          <t>32%</t>
        </is>
      </c>
      <c r="L711" s="14" t="inlineStr">
        <is>
          <t>32%</t>
        </is>
      </c>
      <c r="M711" s="14" t="inlineStr">
        <is>
          <t>43%</t>
        </is>
      </c>
      <c r="N711" s="14" t="n"/>
      <c r="O711" s="14" t="n">
        <v>0</v>
      </c>
      <c r="P711" s="14" t="inlineStr">
        <is>
          <t>1%</t>
        </is>
      </c>
      <c r="Q711" s="14" t="n">
        <v>457</v>
      </c>
      <c r="R711" s="14" t="inlineStr">
        <is>
          <t>P/B 0.17 · P/S 0.1 · net cash 823% of mcap · rev +32% · op margin 32%</t>
        </is>
      </c>
      <c r="S711" s="14" t="inlineStr">
        <is>
          <t>FCF yield &gt;100% (check)</t>
        </is>
      </c>
      <c r="T711" s="14" t="inlineStr">
        <is>
          <t>Single-Measure Best</t>
        </is>
      </c>
    </row>
    <row r="712">
      <c r="A712" s="8" t="inlineStr">
        <is>
          <t>AIV</t>
        </is>
      </c>
      <c r="B712" s="16" t="inlineStr">
        <is>
          <t>Apartment Investment a</t>
        </is>
      </c>
      <c r="C712" s="16" t="inlineStr">
        <is>
          <t>Real Estate</t>
        </is>
      </c>
      <c r="D712" s="16" t="n">
        <v>306</v>
      </c>
      <c r="E712" s="16" t="n">
        <v>0.59</v>
      </c>
      <c r="F712" s="16" t="n">
        <v>0.5</v>
      </c>
      <c r="G712" s="16" t="n">
        <v>15.8</v>
      </c>
      <c r="H712" s="16" t="inlineStr">
        <is>
          <t>-53%</t>
        </is>
      </c>
      <c r="I712" s="16" t="inlineStr">
        <is>
          <t>-118%</t>
        </is>
      </c>
      <c r="J712" s="16" t="n">
        <v>8.5</v>
      </c>
      <c r="K712" s="16" t="inlineStr">
        <is>
          <t>-64%</t>
        </is>
      </c>
      <c r="L712" s="16" t="inlineStr">
        <is>
          <t>-84%</t>
        </is>
      </c>
      <c r="M712" s="16" t="inlineStr">
        <is>
          <t>105%</t>
        </is>
      </c>
      <c r="N712" s="16" t="inlineStr">
        <is>
          <t>0%</t>
        </is>
      </c>
      <c r="O712" s="16" t="n">
        <v>-11</v>
      </c>
      <c r="P712" s="16" t="inlineStr">
        <is>
          <t>0%</t>
        </is>
      </c>
      <c r="Q712" s="16" t="n">
        <v>2762</v>
      </c>
      <c r="R712" s="16" t="inlineStr">
        <is>
          <t>P/B 0.59 · EV/EBITDA 15.8× · FCF yld -53% · net debt 118% of mcap · rev -64% · op margin -84% · interest cover -11.0× ⚠</t>
        </is>
      </c>
      <c r="S712" s="16" t="inlineStr">
        <is>
          <t>dividend yield &gt;25% (special or bad data)</t>
        </is>
      </c>
      <c r="T712" s="16" t="inlineStr">
        <is>
          <t>Single-Measure Best</t>
        </is>
      </c>
    </row>
    <row r="713">
      <c r="A713" s="6" t="inlineStr">
        <is>
          <t>FENG</t>
        </is>
      </c>
      <c r="B713" s="14" t="inlineStr">
        <is>
          <t>Phoenix New Media Limi</t>
        </is>
      </c>
      <c r="C713" s="14" t="inlineStr">
        <is>
          <t xml:space="preserve">Communication </t>
        </is>
      </c>
      <c r="D713" s="14" t="n">
        <v>0</v>
      </c>
      <c r="E713" s="14" t="n"/>
      <c r="F713" s="14" t="n">
        <v>0.6</v>
      </c>
      <c r="G713" s="14" t="n">
        <v>-18.7</v>
      </c>
      <c r="H713" s="14" t="inlineStr">
        <is>
          <t>0%</t>
        </is>
      </c>
      <c r="I713" s="14" t="n"/>
      <c r="J713" s="14" t="n">
        <v>-18.7</v>
      </c>
      <c r="K713" s="14" t="inlineStr">
        <is>
          <t>14%</t>
        </is>
      </c>
      <c r="L713" s="14" t="inlineStr">
        <is>
          <t>-3%</t>
        </is>
      </c>
      <c r="M713" s="14" t="inlineStr">
        <is>
          <t>3%</t>
        </is>
      </c>
      <c r="N713" s="14" t="inlineStr">
        <is>
          <t>0%</t>
        </is>
      </c>
      <c r="O713" s="14" t="n">
        <v>0</v>
      </c>
      <c r="P713" s="14" t="inlineStr">
        <is>
          <t>2%</t>
        </is>
      </c>
      <c r="Q713" s="14" t="n">
        <v>18</v>
      </c>
      <c r="R713" s="14" t="inlineStr">
        <is>
          <t>P/S 0.0 · FCF yld 0% · rev +14% · op margin -3%</t>
        </is>
      </c>
      <c r="S713" s="14" t="inlineStr">
        <is>
          <t>market-cap/share data inconsistent</t>
        </is>
      </c>
      <c r="T713" s="14" t="inlineStr">
        <is>
          <t>Single-Measure Best</t>
        </is>
      </c>
    </row>
    <row r="714">
      <c r="A714" s="8" t="inlineStr">
        <is>
          <t>AURE</t>
        </is>
      </c>
      <c r="B714" s="16" t="inlineStr">
        <is>
          <t>Aurelion Inc.</t>
        </is>
      </c>
      <c r="C714" s="16" t="inlineStr">
        <is>
          <t>Financial Serv</t>
        </is>
      </c>
      <c r="D714" s="16" t="n">
        <v>0</v>
      </c>
      <c r="E714" s="16" t="n"/>
      <c r="F714" s="16" t="n">
        <v>0.6</v>
      </c>
      <c r="G714" s="16" t="n">
        <v>3.7</v>
      </c>
      <c r="H714" s="16" t="inlineStr">
        <is>
          <t>-23%</t>
        </is>
      </c>
      <c r="I714" s="16" t="n"/>
      <c r="J714" s="16" t="n">
        <v>3.7</v>
      </c>
      <c r="K714" s="16" t="n"/>
      <c r="L714" s="16" t="inlineStr">
        <is>
          <t>1142%</t>
        </is>
      </c>
      <c r="M714" s="16" t="inlineStr">
        <is>
          <t>-33%</t>
        </is>
      </c>
      <c r="N714" s="16" t="inlineStr">
        <is>
          <t>9%</t>
        </is>
      </c>
      <c r="O714" s="16" t="n">
        <v>-7.3</v>
      </c>
      <c r="P714" s="16" t="inlineStr">
        <is>
          <t>0%</t>
        </is>
      </c>
      <c r="Q714" s="16" t="n">
        <v>58</v>
      </c>
      <c r="R714" s="16" t="inlineStr">
        <is>
          <t>P/E 0.6 · ROE -33% · diluting 9%/yr (financial: book/earnings basis)</t>
        </is>
      </c>
      <c r="S714" s="16" t="inlineStr">
        <is>
          <t>market-cap/share data inconsistent; P/E vs earnings-yield sign mismatch</t>
        </is>
      </c>
      <c r="T714" s="16" t="inlineStr">
        <is>
          <t>Single-Measure Best</t>
        </is>
      </c>
    </row>
    <row r="715">
      <c r="A715" s="6" t="inlineStr">
        <is>
          <t>HTCR</t>
        </is>
      </c>
      <c r="B715" s="14" t="inlineStr">
        <is>
          <t>HeartCore Enterprises,</t>
        </is>
      </c>
      <c r="C715" s="14" t="inlineStr">
        <is>
          <t>Technology</t>
        </is>
      </c>
      <c r="D715" s="14" t="n">
        <v>3</v>
      </c>
      <c r="E715" s="14" t="n">
        <v>0.61</v>
      </c>
      <c r="F715" s="14" t="n">
        <v>0.6</v>
      </c>
      <c r="G715" s="14" t="n">
        <v>-0.8</v>
      </c>
      <c r="H715" s="14" t="n"/>
      <c r="I715" s="14" t="inlineStr">
        <is>
          <t>95%</t>
        </is>
      </c>
      <c r="J715" s="14" t="n">
        <v>0</v>
      </c>
      <c r="K715" s="14" t="inlineStr">
        <is>
          <t>-78%</t>
        </is>
      </c>
      <c r="L715" s="14" t="inlineStr">
        <is>
          <t>-54%</t>
        </is>
      </c>
      <c r="M715" s="14" t="inlineStr">
        <is>
          <t>60%</t>
        </is>
      </c>
      <c r="N715" s="14" t="inlineStr">
        <is>
          <t>4%</t>
        </is>
      </c>
      <c r="O715" s="14" t="n">
        <v>-76.7</v>
      </c>
      <c r="P715" s="14" t="inlineStr">
        <is>
          <t>2%</t>
        </is>
      </c>
      <c r="Q715" s="14" t="n">
        <v>137</v>
      </c>
      <c r="R715" s="14" t="inlineStr">
        <is>
          <t>P/B 0.61 · P/S 0.5 · net cash 95% of mcap · rev -78% · op margin -54% · diluting 4%/yr</t>
        </is>
      </c>
      <c r="S715" s="14" t="inlineStr">
        <is>
          <t>FCF yield &gt;100% (check); dividend yield &gt;25% (special or bad data)</t>
        </is>
      </c>
      <c r="T715" s="14" t="inlineStr">
        <is>
          <t>Single-Measure Best</t>
        </is>
      </c>
    </row>
    <row r="716">
      <c r="A716" s="8" t="inlineStr">
        <is>
          <t>WDH</t>
        </is>
      </c>
      <c r="B716" s="16" t="inlineStr">
        <is>
          <t>Waterdrop Inc.</t>
        </is>
      </c>
      <c r="C716" s="16" t="inlineStr">
        <is>
          <t>Financial Serv</t>
        </is>
      </c>
      <c r="D716" s="16" t="n">
        <v>389</v>
      </c>
      <c r="E716" s="16" t="n">
        <v>0.5</v>
      </c>
      <c r="F716" s="16" t="n">
        <v>0.6</v>
      </c>
      <c r="G716" s="16" t="n">
        <v>3</v>
      </c>
      <c r="H716" s="16" t="inlineStr">
        <is>
          <t>0%</t>
        </is>
      </c>
      <c r="I716" s="16" t="inlineStr">
        <is>
          <t>60%</t>
        </is>
      </c>
      <c r="J716" s="16" t="n">
        <v>-3.5</v>
      </c>
      <c r="K716" s="16" t="inlineStr">
        <is>
          <t>69%</t>
        </is>
      </c>
      <c r="L716" s="16" t="inlineStr">
        <is>
          <t>8%</t>
        </is>
      </c>
      <c r="M716" s="16" t="inlineStr">
        <is>
          <t>11%</t>
        </is>
      </c>
      <c r="N716" s="16" t="n"/>
      <c r="O716" s="16" t="n">
        <v>0</v>
      </c>
      <c r="P716" s="16" t="inlineStr">
        <is>
          <t>10%</t>
        </is>
      </c>
      <c r="Q716" s="16" t="n">
        <v>409</v>
      </c>
      <c r="R716" s="16" t="inlineStr">
        <is>
          <t>P/B 0.50 · P/E 0.6 · ROE 11% · div yld 5.6% (financial: book/earnings basis)</t>
        </is>
      </c>
      <c r="S716" s="16" t="inlineStr"/>
      <c r="T716" s="16" t="inlineStr">
        <is>
          <t>Single-Measure Best</t>
        </is>
      </c>
    </row>
    <row r="717">
      <c r="A717" s="6" t="inlineStr">
        <is>
          <t>ELUT</t>
        </is>
      </c>
      <c r="B717" s="14" t="inlineStr">
        <is>
          <t>Elutia Inc</t>
        </is>
      </c>
      <c r="C717" s="14" t="inlineStr">
        <is>
          <t>Healthcare</t>
        </is>
      </c>
      <c r="D717" s="14" t="n">
        <v>38</v>
      </c>
      <c r="E717" s="14" t="n">
        <v>2.39</v>
      </c>
      <c r="F717" s="14" t="n">
        <v>0.7</v>
      </c>
      <c r="G717" s="14" t="n">
        <v>-1.2</v>
      </c>
      <c r="H717" s="14" t="n"/>
      <c r="I717" s="14" t="inlineStr">
        <is>
          <t>24%</t>
        </is>
      </c>
      <c r="J717" s="14" t="n">
        <v>0.4</v>
      </c>
      <c r="K717" s="14" t="inlineStr">
        <is>
          <t>-49%</t>
        </is>
      </c>
      <c r="L717" s="14" t="inlineStr">
        <is>
          <t>-194%</t>
        </is>
      </c>
      <c r="M717" s="14" t="inlineStr">
        <is>
          <t>941%</t>
        </is>
      </c>
      <c r="N717" s="14" t="inlineStr">
        <is>
          <t>-6%</t>
        </is>
      </c>
      <c r="O717" s="14" t="n">
        <v>6.8</v>
      </c>
      <c r="P717" s="14" t="inlineStr">
        <is>
          <t>40%</t>
        </is>
      </c>
      <c r="Q717" s="14" t="n">
        <v>67</v>
      </c>
      <c r="R717" s="14" t="inlineStr">
        <is>
          <t>P/B 2.39 · P/S 3.1 · net cash 24% of mcap · rev -49% · op margin -194% · buying back 6%/yr</t>
        </is>
      </c>
      <c r="S717" s="14" t="inlineStr">
        <is>
          <t>FCF yield &gt;100% (check)</t>
        </is>
      </c>
      <c r="T717" s="14" t="inlineStr">
        <is>
          <t>Single-Measure Best</t>
        </is>
      </c>
    </row>
    <row r="718">
      <c r="A718" s="8" t="inlineStr">
        <is>
          <t>PXLW</t>
        </is>
      </c>
      <c r="B718" s="16" t="inlineStr">
        <is>
          <t>Pixelworks, Inc.</t>
        </is>
      </c>
      <c r="C718" s="16" t="inlineStr">
        <is>
          <t>Technology</t>
        </is>
      </c>
      <c r="D718" s="16" t="n">
        <v>47</v>
      </c>
      <c r="E718" s="16" t="n">
        <v>0.9</v>
      </c>
      <c r="F718" s="16" t="n">
        <v>0.7</v>
      </c>
      <c r="G718" s="16" t="n">
        <v>2.8</v>
      </c>
      <c r="H718" s="16" t="inlineStr">
        <is>
          <t>-34%</t>
        </is>
      </c>
      <c r="I718" s="16" t="inlineStr">
        <is>
          <t>112%</t>
        </is>
      </c>
      <c r="J718" s="16" t="n">
        <v>24.6</v>
      </c>
      <c r="K718" s="16" t="n"/>
      <c r="L718" s="16" t="inlineStr">
        <is>
          <t>23%</t>
        </is>
      </c>
      <c r="M718" s="16" t="inlineStr">
        <is>
          <t>435%</t>
        </is>
      </c>
      <c r="N718" s="16" t="inlineStr">
        <is>
          <t>19%</t>
        </is>
      </c>
      <c r="O718" s="16" t="n">
        <v>-130.9</v>
      </c>
      <c r="P718" s="16" t="inlineStr">
        <is>
          <t>24%</t>
        </is>
      </c>
      <c r="Q718" s="16" t="n">
        <v>546</v>
      </c>
      <c r="R718" s="16" t="inlineStr">
        <is>
          <t>P/B 0.90 · EV/EBITDA 2.8× · FCF yld -34% · net cash 112% of mcap · op margin 23% · diluting 19%/yr</t>
        </is>
      </c>
      <c r="S718" s="16" t="inlineStr"/>
      <c r="T718" s="16" t="inlineStr">
        <is>
          <t>Single-Measure Best</t>
        </is>
      </c>
    </row>
    <row r="719">
      <c r="A719" s="6" t="inlineStr">
        <is>
          <t>ANAB</t>
        </is>
      </c>
      <c r="B719" s="14" t="inlineStr">
        <is>
          <t>AnaptysBio, Inc.</t>
        </is>
      </c>
      <c r="C719" s="14" t="inlineStr">
        <is>
          <t>Healthcare</t>
        </is>
      </c>
      <c r="D719" s="14" t="n">
        <v>1483</v>
      </c>
      <c r="E719" s="14" t="n">
        <v>140.11</v>
      </c>
      <c r="F719" s="14" t="n">
        <v>7.6</v>
      </c>
      <c r="G719" s="14" t="n">
        <v>9.800000000000001</v>
      </c>
      <c r="H719" s="14" t="inlineStr">
        <is>
          <t>1%</t>
        </is>
      </c>
      <c r="I719" s="14" t="inlineStr">
        <is>
          <t>10%</t>
        </is>
      </c>
      <c r="J719" s="14" t="n">
        <v>-0.8</v>
      </c>
      <c r="K719" s="14" t="inlineStr">
        <is>
          <t>93%</t>
        </is>
      </c>
      <c r="L719" s="14" t="inlineStr">
        <is>
          <t>34%</t>
        </is>
      </c>
      <c r="M719" s="14" t="inlineStr">
        <is>
          <t>2515%</t>
        </is>
      </c>
      <c r="N719" s="14" t="inlineStr">
        <is>
          <t>25%</t>
        </is>
      </c>
      <c r="O719" s="14" t="n">
        <v>1</v>
      </c>
      <c r="P719" s="14" t="inlineStr">
        <is>
          <t>62%</t>
        </is>
      </c>
      <c r="Q719" s="14" t="n">
        <v>28796</v>
      </c>
      <c r="R719" s="14" t="inlineStr">
        <is>
          <t>P/B 140.11 · EV/EBITDA 9.8× · FCF yld 1% · net cash 10% of mcap · rev +93% · op margin 34% · diluting 25%/yr</t>
        </is>
      </c>
      <c r="S719" s="14" t="inlineStr"/>
      <c r="T719" s="14" t="inlineStr">
        <is>
          <t>Single-Measure Best</t>
        </is>
      </c>
    </row>
    <row r="720">
      <c r="A720" s="8" t="inlineStr">
        <is>
          <t>NWL</t>
        </is>
      </c>
      <c r="B720" s="16" t="inlineStr">
        <is>
          <t>Newell Brands Inc.</t>
        </is>
      </c>
      <c r="C720" s="16" t="inlineStr">
        <is>
          <t>Consumer Defen</t>
        </is>
      </c>
      <c r="D720" s="16" t="n">
        <v>2448</v>
      </c>
      <c r="E720" s="16" t="n">
        <v>1</v>
      </c>
      <c r="F720" s="16" t="n">
        <v>-10.8</v>
      </c>
      <c r="G720" s="16" t="n">
        <v>19.4</v>
      </c>
      <c r="H720" s="16" t="inlineStr">
        <is>
          <t>5%</t>
        </is>
      </c>
      <c r="I720" s="16" t="inlineStr">
        <is>
          <t>-217%</t>
        </is>
      </c>
      <c r="J720" s="16" t="n">
        <v>13.3</v>
      </c>
      <c r="K720" s="16" t="inlineStr">
        <is>
          <t>-2%</t>
        </is>
      </c>
      <c r="L720" s="16" t="inlineStr">
        <is>
          <t>8%</t>
        </is>
      </c>
      <c r="M720" s="16" t="inlineStr">
        <is>
          <t>-9%</t>
        </is>
      </c>
      <c r="N720" s="16" t="inlineStr">
        <is>
          <t>2%</t>
        </is>
      </c>
      <c r="O720" s="16" t="n">
        <v>1.7</v>
      </c>
      <c r="P720" s="16" t="inlineStr">
        <is>
          <t>66%</t>
        </is>
      </c>
      <c r="Q720" s="16" t="n">
        <v>57714</v>
      </c>
      <c r="R720" s="16" t="inlineStr">
        <is>
          <t>P/B 1.00 · EV/EBITDA 19.4× · FCF yld 5% · net debt 217% of mcap · rev -2% · op margin 8% · diluting 2%/yr</t>
        </is>
      </c>
      <c r="S720" s="16" t="inlineStr"/>
      <c r="T720" s="16" t="inlineStr">
        <is>
          <t>Single-Measure Best</t>
        </is>
      </c>
    </row>
    <row r="721">
      <c r="A721" s="6" t="inlineStr">
        <is>
          <t>CWEN</t>
        </is>
      </c>
      <c r="B721" s="14" t="inlineStr">
        <is>
          <t>Clearway Energy, Inc.</t>
        </is>
      </c>
      <c r="C721" s="14" t="inlineStr">
        <is>
          <t>Utilities</t>
        </is>
      </c>
      <c r="D721" s="14" t="n">
        <v>6275</v>
      </c>
      <c r="E721" s="14" t="n">
        <v>1.15</v>
      </c>
      <c r="F721" s="14" t="n">
        <v>40</v>
      </c>
      <c r="G721" s="14" t="n">
        <v>14.2</v>
      </c>
      <c r="H721" s="14" t="inlineStr">
        <is>
          <t>11%</t>
        </is>
      </c>
      <c r="I721" s="14" t="inlineStr">
        <is>
          <t>-154%</t>
        </is>
      </c>
      <c r="J721" s="14" t="n">
        <v>8.6</v>
      </c>
      <c r="K721" s="14" t="inlineStr">
        <is>
          <t>10%</t>
        </is>
      </c>
      <c r="L721" s="14" t="inlineStr">
        <is>
          <t>14%</t>
        </is>
      </c>
      <c r="M721" s="14" t="inlineStr">
        <is>
          <t>2%</t>
        </is>
      </c>
      <c r="N721" s="14" t="inlineStr">
        <is>
          <t>3%</t>
        </is>
      </c>
      <c r="O721" s="14" t="n">
        <v>0.6</v>
      </c>
      <c r="P721" s="14" t="inlineStr">
        <is>
          <t>19%</t>
        </is>
      </c>
      <c r="Q721" s="14" t="n">
        <v>39206</v>
      </c>
      <c r="R721" s="14" t="inlineStr">
        <is>
          <t>P/B 1.15 · EV/EBITDA 14.2× · FCF yld 11% · net debt 154% of mcap · rev +10% · op margin 14% · diluting 3%/yr · interest cover 0.6× ⚠</t>
        </is>
      </c>
      <c r="S721" s="14" t="inlineStr"/>
      <c r="T721" s="14" t="inlineStr">
        <is>
          <t>Single-Measure Best</t>
        </is>
      </c>
    </row>
    <row r="722">
      <c r="A722" s="8" t="inlineStr">
        <is>
          <t>FOA</t>
        </is>
      </c>
      <c r="B722" s="16" t="inlineStr">
        <is>
          <t>Finance of America Com</t>
        </is>
      </c>
      <c r="C722" s="16" t="inlineStr">
        <is>
          <t>Financial Serv</t>
        </is>
      </c>
      <c r="D722" s="16" t="n">
        <v>134</v>
      </c>
      <c r="E722" s="16" t="n">
        <v>0.39</v>
      </c>
      <c r="F722" s="16" t="n">
        <v>-40.7</v>
      </c>
      <c r="G722" s="16" t="n">
        <v>-59</v>
      </c>
      <c r="H722" s="16" t="n"/>
      <c r="I722" s="16" t="inlineStr">
        <is>
          <t>-22863%</t>
        </is>
      </c>
      <c r="J722" s="16" t="n">
        <v>-59.2</v>
      </c>
      <c r="K722" s="16" t="inlineStr">
        <is>
          <t>-28%</t>
        </is>
      </c>
      <c r="L722" s="16" t="inlineStr">
        <is>
          <t>24%</t>
        </is>
      </c>
      <c r="M722" s="16" t="inlineStr">
        <is>
          <t>-0%</t>
        </is>
      </c>
      <c r="N722" s="16" t="inlineStr">
        <is>
          <t>-17%</t>
        </is>
      </c>
      <c r="O722" s="16" t="n">
        <v>0.2</v>
      </c>
      <c r="P722" s="16" t="inlineStr">
        <is>
          <t>8%</t>
        </is>
      </c>
      <c r="Q722" s="16" t="n">
        <v>900</v>
      </c>
      <c r="R722" s="16" t="inlineStr">
        <is>
          <t>P/B 0.39 · ROE -0% · buying back 17%/yr (financial: book/earnings basis)</t>
        </is>
      </c>
      <c r="S722" s="16" t="inlineStr">
        <is>
          <t>FCF yield &gt;100% (check)</t>
        </is>
      </c>
      <c r="T722" s="16" t="inlineStr">
        <is>
          <t>Single-Measure Best</t>
        </is>
      </c>
    </row>
    <row r="723">
      <c r="A723" s="6" t="inlineStr">
        <is>
          <t>CDE</t>
        </is>
      </c>
      <c r="B723" s="14" t="inlineStr">
        <is>
          <t>Coeur Mining, Inc.</t>
        </is>
      </c>
      <c r="C723" s="14" t="inlineStr">
        <is>
          <t>Basic Material</t>
        </is>
      </c>
      <c r="D723" s="14" t="n">
        <v>20030</v>
      </c>
      <c r="E723" s="14" t="n">
        <v>1.92</v>
      </c>
      <c r="F723" s="14" t="n">
        <v>15.4</v>
      </c>
      <c r="G723" s="14" t="n">
        <v>12.3</v>
      </c>
      <c r="H723" s="14" t="inlineStr">
        <is>
          <t>6%</t>
        </is>
      </c>
      <c r="I723" s="14" t="inlineStr">
        <is>
          <t>2%</t>
        </is>
      </c>
      <c r="J723" s="14" t="n">
        <v>-0.2</v>
      </c>
      <c r="K723" s="14" t="inlineStr">
        <is>
          <t>117%</t>
        </is>
      </c>
      <c r="L723" s="14" t="inlineStr">
        <is>
          <t>35%</t>
        </is>
      </c>
      <c r="M723" s="14" t="inlineStr">
        <is>
          <t>12%</t>
        </is>
      </c>
      <c r="N723" s="14" t="inlineStr">
        <is>
          <t>61%</t>
        </is>
      </c>
      <c r="O723" s="14" t="n">
        <v>66.09999999999999</v>
      </c>
      <c r="P723" s="14" t="inlineStr">
        <is>
          <t>41%</t>
        </is>
      </c>
      <c r="Q723" s="14" t="n">
        <v>681975</v>
      </c>
      <c r="R723" s="14" t="inlineStr">
        <is>
          <t>P/B 1.92 · EV/EBITDA 12.3× · FCF yld 6% · net cash 2% of mcap · rev +117% · op margin 35% · diluting 61%/yr</t>
        </is>
      </c>
      <c r="S723" s="14" t="inlineStr"/>
      <c r="T723" s="14" t="inlineStr">
        <is>
          <t>Single-Measure Best</t>
        </is>
      </c>
    </row>
    <row r="724">
      <c r="A724" s="8" t="inlineStr">
        <is>
          <t>IRON</t>
        </is>
      </c>
      <c r="B724" s="16" t="inlineStr">
        <is>
          <t>Disc Medicine, Inc.</t>
        </is>
      </c>
      <c r="C724" s="16" t="inlineStr">
        <is>
          <t>Healthcare</t>
        </is>
      </c>
      <c r="D724" s="16" t="n">
        <v>2530</v>
      </c>
      <c r="E724" s="16" t="n">
        <v>3.93</v>
      </c>
      <c r="F724" s="16" t="n">
        <v>-10.1</v>
      </c>
      <c r="G724" s="16" t="n">
        <v>-10.4</v>
      </c>
      <c r="H724" s="16" t="inlineStr">
        <is>
          <t>-8%</t>
        </is>
      </c>
      <c r="I724" s="16" t="inlineStr">
        <is>
          <t>26%</t>
        </is>
      </c>
      <c r="J724" s="16" t="n">
        <v>0.2</v>
      </c>
      <c r="K724" s="16" t="n"/>
      <c r="L724" s="16" t="inlineStr">
        <is>
          <t>0%</t>
        </is>
      </c>
      <c r="M724" s="16" t="inlineStr">
        <is>
          <t>-37%</t>
        </is>
      </c>
      <c r="N724" s="16" t="inlineStr">
        <is>
          <t>10%</t>
        </is>
      </c>
      <c r="O724" s="16" t="n">
        <v>-75.8</v>
      </c>
      <c r="P724" s="16" t="inlineStr">
        <is>
          <t>44%</t>
        </is>
      </c>
      <c r="Q724" s="16" t="n">
        <v>34718</v>
      </c>
      <c r="R724" s="16" t="inlineStr">
        <is>
          <t>P/B 3.93 · P/S 0.0 · FCF yld -8% · net cash 26% of mcap · op margin 0% · diluting 10%/yr</t>
        </is>
      </c>
      <c r="S724" s="16" t="inlineStr"/>
      <c r="T724" s="16" t="inlineStr">
        <is>
          <t>Single-Measure Best</t>
        </is>
      </c>
    </row>
    <row r="725">
      <c r="A725" s="6" t="inlineStr">
        <is>
          <t>KODK</t>
        </is>
      </c>
      <c r="B725" s="14" t="inlineStr">
        <is>
          <t>Eastman Kodak Company</t>
        </is>
      </c>
      <c r="C725" s="14" t="inlineStr">
        <is>
          <t>Industrials</t>
        </is>
      </c>
      <c r="D725" s="14" t="n">
        <v>938</v>
      </c>
      <c r="E725" s="14" t="n">
        <v>1.51</v>
      </c>
      <c r="F725" s="14" t="n">
        <v>-7.3</v>
      </c>
      <c r="G725" s="14" t="n">
        <v>100.2</v>
      </c>
      <c r="H725" s="14" t="inlineStr">
        <is>
          <t>49%</t>
        </is>
      </c>
      <c r="I725" s="14" t="inlineStr">
        <is>
          <t>18%</t>
        </is>
      </c>
      <c r="J725" s="14" t="n">
        <v>-17.8</v>
      </c>
      <c r="K725" s="14" t="inlineStr">
        <is>
          <t>9%</t>
        </is>
      </c>
      <c r="L725" s="14" t="inlineStr">
        <is>
          <t>-9%</t>
        </is>
      </c>
      <c r="M725" s="14" t="inlineStr">
        <is>
          <t>-13%</t>
        </is>
      </c>
      <c r="N725" s="14" t="inlineStr">
        <is>
          <t>11%</t>
        </is>
      </c>
      <c r="O725" s="14" t="n">
        <v>-2.4</v>
      </c>
      <c r="P725" s="14" t="inlineStr">
        <is>
          <t>42%</t>
        </is>
      </c>
      <c r="Q725" s="14" t="n">
        <v>9078</v>
      </c>
      <c r="R725" s="14" t="inlineStr">
        <is>
          <t>P/B 1.51 · EV/EBITDA 100.2× · FCF yld 49% · net cash 18% of mcap · rev +9% · op margin -9% · diluting 11%/yr</t>
        </is>
      </c>
      <c r="S725" s="14" t="inlineStr"/>
      <c r="T725" s="14" t="inlineStr">
        <is>
          <t>Single-Measure Best</t>
        </is>
      </c>
    </row>
    <row r="726">
      <c r="A726" s="8" t="inlineStr">
        <is>
          <t>PCTY</t>
        </is>
      </c>
      <c r="B726" s="16" t="inlineStr">
        <is>
          <t>Paylocity Holding Corp</t>
        </is>
      </c>
      <c r="C726" s="16" t="inlineStr">
        <is>
          <t>Technology</t>
        </is>
      </c>
      <c r="D726" s="16" t="n">
        <v>7697</v>
      </c>
      <c r="E726" s="16" t="n">
        <v>6.52</v>
      </c>
      <c r="F726" s="16" t="n">
        <v>28.8</v>
      </c>
      <c r="G726" s="16" t="n">
        <v>15.1</v>
      </c>
      <c r="H726" s="16" t="inlineStr">
        <is>
          <t>6%</t>
        </is>
      </c>
      <c r="I726" s="16" t="inlineStr">
        <is>
          <t>2%</t>
        </is>
      </c>
      <c r="J726" s="16" t="n">
        <v>-0.3</v>
      </c>
      <c r="K726" s="16" t="inlineStr">
        <is>
          <t>16%</t>
        </is>
      </c>
      <c r="L726" s="16" t="inlineStr">
        <is>
          <t>22%</t>
        </is>
      </c>
      <c r="M726" s="16" t="inlineStr">
        <is>
          <t>23%</t>
        </is>
      </c>
      <c r="N726" s="16" t="inlineStr">
        <is>
          <t>-2%</t>
        </is>
      </c>
      <c r="O726" s="16" t="n">
        <v>0</v>
      </c>
      <c r="P726" s="16" t="inlineStr">
        <is>
          <t>69%</t>
        </is>
      </c>
      <c r="Q726" s="16" t="n">
        <v>105162</v>
      </c>
      <c r="R726" s="16" t="inlineStr">
        <is>
          <t>P/B 6.52 · EV/EBITDA 15.1× · FCF yld 6% · net cash 2% of mcap · rev +16% · op margin 22% · buying back 2%/yr</t>
        </is>
      </c>
      <c r="S726" s="16" t="inlineStr"/>
      <c r="T726" s="16" t="inlineStr">
        <is>
          <t>Single-Measure Best</t>
        </is>
      </c>
    </row>
    <row r="727">
      <c r="A727" s="6" t="inlineStr">
        <is>
          <t>ITRI</t>
        </is>
      </c>
      <c r="B727" s="14" t="inlineStr">
        <is>
          <t>Itron, Inc.</t>
        </is>
      </c>
      <c r="C727" s="14" t="inlineStr">
        <is>
          <t>Technology</t>
        </is>
      </c>
      <c r="D727" s="14" t="n">
        <v>4035</v>
      </c>
      <c r="E727" s="14" t="n">
        <v>2.5</v>
      </c>
      <c r="F727" s="14" t="n">
        <v>15.1</v>
      </c>
      <c r="G727" s="14" t="n">
        <v>8.5</v>
      </c>
      <c r="H727" s="14" t="inlineStr">
        <is>
          <t>10%</t>
        </is>
      </c>
      <c r="I727" s="14" t="inlineStr">
        <is>
          <t>15%</t>
        </is>
      </c>
      <c r="J727" s="14" t="n">
        <v>-1.5</v>
      </c>
      <c r="K727" s="14" t="inlineStr">
        <is>
          <t>-6%</t>
        </is>
      </c>
      <c r="L727" s="14" t="inlineStr">
        <is>
          <t>13%</t>
        </is>
      </c>
      <c r="M727" s="14" t="inlineStr">
        <is>
          <t>17%</t>
        </is>
      </c>
      <c r="N727" s="14" t="inlineStr">
        <is>
          <t>-3%</t>
        </is>
      </c>
      <c r="O727" s="14" t="n">
        <v>11.5</v>
      </c>
      <c r="P727" s="14" t="inlineStr">
        <is>
          <t>22%</t>
        </is>
      </c>
      <c r="Q727" s="14" t="n">
        <v>67550</v>
      </c>
      <c r="R727" s="14" t="inlineStr">
        <is>
          <t>P/B 2.50 · EV/EBITDA 8.5× · FCF yld 10% · net cash 15% of mcap · rev -6% · op margin 13% · buying back 3%/yr</t>
        </is>
      </c>
      <c r="S727" s="14" t="inlineStr"/>
      <c r="T727" s="14" t="inlineStr">
        <is>
          <t>Single-Measure Best</t>
        </is>
      </c>
    </row>
    <row r="728">
      <c r="A728" s="8" t="inlineStr">
        <is>
          <t>SCHW</t>
        </is>
      </c>
      <c r="B728" s="16" t="inlineStr">
        <is>
          <t>The Charles Schwab Cor</t>
        </is>
      </c>
      <c r="C728" s="16" t="inlineStr">
        <is>
          <t>Financial Serv</t>
        </is>
      </c>
      <c r="D728" s="16" t="n">
        <v>174662</v>
      </c>
      <c r="E728" s="16" t="n">
        <v>3.5</v>
      </c>
      <c r="F728" s="16" t="n">
        <v>18.1</v>
      </c>
      <c r="G728" s="16" t="n">
        <v>11</v>
      </c>
      <c r="H728" s="16" t="inlineStr">
        <is>
          <t>2%</t>
        </is>
      </c>
      <c r="I728" s="16" t="inlineStr">
        <is>
          <t>21%</t>
        </is>
      </c>
      <c r="J728" s="16" t="n">
        <v>-1</v>
      </c>
      <c r="K728" s="16" t="inlineStr">
        <is>
          <t>13%</t>
        </is>
      </c>
      <c r="L728" s="16" t="inlineStr">
        <is>
          <t>43%</t>
        </is>
      </c>
      <c r="M728" s="16" t="inlineStr">
        <is>
          <t>20%</t>
        </is>
      </c>
      <c r="N728" s="16" t="inlineStr">
        <is>
          <t>-5%</t>
        </is>
      </c>
      <c r="O728" s="16" t="n">
        <v>4.1</v>
      </c>
      <c r="P728" s="16" t="inlineStr">
        <is>
          <t>54%</t>
        </is>
      </c>
      <c r="Q728" s="16" t="n">
        <v>964024</v>
      </c>
      <c r="R728" s="16" t="inlineStr">
        <is>
          <t>P/B 3.50 · P/E 18.1 · ROE 20% · div yld 1.2% · buying back 5%/yr (financial: book/earnings basis)</t>
        </is>
      </c>
      <c r="S728" s="16" t="inlineStr"/>
      <c r="T728" s="16" t="inlineStr">
        <is>
          <t>Single-Measure Best</t>
        </is>
      </c>
    </row>
    <row r="729">
      <c r="A729" s="6" t="inlineStr">
        <is>
          <t>BX</t>
        </is>
      </c>
      <c r="B729" s="14" t="inlineStr">
        <is>
          <t>Blackstone Inc.</t>
        </is>
      </c>
      <c r="C729" s="14" t="inlineStr">
        <is>
          <t>Financial Serv</t>
        </is>
      </c>
      <c r="D729" s="14" t="n">
        <v>145630</v>
      </c>
      <c r="E729" s="14" t="n">
        <v>16.15</v>
      </c>
      <c r="F729" s="14" t="n">
        <v>26.6</v>
      </c>
      <c r="G729" s="14" t="n">
        <v>18.5</v>
      </c>
      <c r="H729" s="14" t="inlineStr">
        <is>
          <t>3%</t>
        </is>
      </c>
      <c r="I729" s="14" t="inlineStr">
        <is>
          <t>-8%</t>
        </is>
      </c>
      <c r="J729" s="14" t="n">
        <v>1.4</v>
      </c>
      <c r="K729" s="14" t="inlineStr">
        <is>
          <t>29%</t>
        </is>
      </c>
      <c r="L729" s="14" t="inlineStr">
        <is>
          <t>52%</t>
        </is>
      </c>
      <c r="M729" s="14" t="inlineStr">
        <is>
          <t>41%</t>
        </is>
      </c>
      <c r="N729" s="14" t="inlineStr">
        <is>
          <t>0%</t>
        </is>
      </c>
      <c r="O729" s="14" t="n">
        <v>15.6</v>
      </c>
      <c r="P729" s="14" t="inlineStr">
        <is>
          <t>22%</t>
        </is>
      </c>
      <c r="Q729" s="14" t="n">
        <v>556396</v>
      </c>
      <c r="R729" s="14" t="inlineStr">
        <is>
          <t>P/B 16.15 · P/E 26.6 · ROE 41% · div yld 4.4% (financial: book/earnings basis)</t>
        </is>
      </c>
      <c r="S729" s="14" t="inlineStr"/>
      <c r="T729" s="14" t="inlineStr">
        <is>
          <t>Single-Measure Best</t>
        </is>
      </c>
    </row>
    <row r="730">
      <c r="A730" s="8" t="inlineStr">
        <is>
          <t>RSG</t>
        </is>
      </c>
      <c r="B730" s="16" t="inlineStr">
        <is>
          <t>Republic Services, Inc</t>
        </is>
      </c>
      <c r="C730" s="16" t="inlineStr">
        <is>
          <t>Industrials</t>
        </is>
      </c>
      <c r="D730" s="16" t="n">
        <v>65680</v>
      </c>
      <c r="E730" s="16" t="n">
        <v>5.46</v>
      </c>
      <c r="F730" s="16" t="n">
        <v>30.2</v>
      </c>
      <c r="G730" s="16" t="n">
        <v>14.2</v>
      </c>
      <c r="H730" s="16" t="inlineStr">
        <is>
          <t>5%</t>
        </is>
      </c>
      <c r="I730" s="16" t="inlineStr">
        <is>
          <t>-22%</t>
        </is>
      </c>
      <c r="J730" s="16" t="n">
        <v>2.5</v>
      </c>
      <c r="K730" s="16" t="inlineStr">
        <is>
          <t>3%</t>
        </is>
      </c>
      <c r="L730" s="16" t="inlineStr">
        <is>
          <t>20%</t>
        </is>
      </c>
      <c r="M730" s="16" t="inlineStr">
        <is>
          <t>18%</t>
        </is>
      </c>
      <c r="N730" s="16" t="inlineStr">
        <is>
          <t>-2%</t>
        </is>
      </c>
      <c r="O730" s="16" t="n">
        <v>5.7</v>
      </c>
      <c r="P730" s="16" t="inlineStr">
        <is>
          <t>46%</t>
        </is>
      </c>
      <c r="Q730" s="16" t="n">
        <v>343887</v>
      </c>
      <c r="R730" s="16" t="inlineStr">
        <is>
          <t>P/B 5.46 · EV/EBITDA 14.2× · FCF yld 5% · net debt 22% of mcap · rev +3% · op margin 20%</t>
        </is>
      </c>
      <c r="S730" s="16" t="inlineStr"/>
      <c r="T730" s="16" t="inlineStr">
        <is>
          <t>Single-Measure Best</t>
        </is>
      </c>
    </row>
    <row r="731">
      <c r="A731" s="6" t="inlineStr">
        <is>
          <t>WGS</t>
        </is>
      </c>
      <c r="B731" s="14" t="inlineStr">
        <is>
          <t>GeneDx Holdings Corp.</t>
        </is>
      </c>
      <c r="C731" s="14" t="inlineStr">
        <is>
          <t>Healthcare</t>
        </is>
      </c>
      <c r="D731" s="14" t="n">
        <v>2641</v>
      </c>
      <c r="E731" s="14" t="n">
        <v>10.81</v>
      </c>
      <c r="F731" s="14" t="n">
        <v>-23.4</v>
      </c>
      <c r="G731" s="14" t="n">
        <v>-34.6</v>
      </c>
      <c r="H731" s="14" t="inlineStr">
        <is>
          <t>-3%</t>
        </is>
      </c>
      <c r="I731" s="14" t="inlineStr">
        <is>
          <t>-1%</t>
        </is>
      </c>
      <c r="J731" s="14" t="n">
        <v>-1.4</v>
      </c>
      <c r="K731" s="14" t="inlineStr">
        <is>
          <t>25%</t>
        </is>
      </c>
      <c r="L731" s="14" t="inlineStr">
        <is>
          <t>-13%</t>
        </is>
      </c>
      <c r="M731" s="14" t="inlineStr">
        <is>
          <t>-39%</t>
        </is>
      </c>
      <c r="N731" s="14" t="inlineStr">
        <is>
          <t>-0%</t>
        </is>
      </c>
      <c r="O731" s="14" t="n">
        <v>-20.3</v>
      </c>
      <c r="P731" s="14" t="inlineStr">
        <is>
          <t>41%</t>
        </is>
      </c>
      <c r="Q731" s="14" t="n">
        <v>78021</v>
      </c>
      <c r="R731" s="14" t="inlineStr">
        <is>
          <t>P/B 10.81 · P/S 5.6 · FCF yld -3% · net debt 1% of mcap · rev +25% · op margin -13%</t>
        </is>
      </c>
      <c r="S731" s="14" t="inlineStr"/>
      <c r="T731" s="14" t="inlineStr">
        <is>
          <t>Single-Measure Best</t>
        </is>
      </c>
    </row>
    <row r="732">
      <c r="A732" s="8" t="inlineStr">
        <is>
          <t>EXFY</t>
        </is>
      </c>
      <c r="B732" s="16" t="inlineStr">
        <is>
          <t>Expensify, Inc.</t>
        </is>
      </c>
      <c r="C732" s="16" t="inlineStr">
        <is>
          <t>Technology</t>
        </is>
      </c>
      <c r="D732" s="16" t="n">
        <v>230</v>
      </c>
      <c r="E732" s="16" t="n">
        <v>1.71</v>
      </c>
      <c r="F732" s="16" t="n">
        <v>-14.1</v>
      </c>
      <c r="G732" s="16" t="n">
        <v>-232.1</v>
      </c>
      <c r="H732" s="16" t="inlineStr">
        <is>
          <t>6%</t>
        </is>
      </c>
      <c r="I732" s="16" t="inlineStr">
        <is>
          <t>29%</t>
        </is>
      </c>
      <c r="J732" s="16" t="n">
        <v>95.2</v>
      </c>
      <c r="K732" s="16" t="inlineStr">
        <is>
          <t>-4%</t>
        </is>
      </c>
      <c r="L732" s="16" t="inlineStr">
        <is>
          <t>-8%</t>
        </is>
      </c>
      <c r="M732" s="16" t="inlineStr">
        <is>
          <t>-12%</t>
        </is>
      </c>
      <c r="N732" s="16" t="inlineStr">
        <is>
          <t>3%</t>
        </is>
      </c>
      <c r="O732" s="16" t="n">
        <v>0</v>
      </c>
      <c r="P732" s="16" t="inlineStr">
        <is>
          <t>80%</t>
        </is>
      </c>
      <c r="Q732" s="16" t="n">
        <v>2942</v>
      </c>
      <c r="R732" s="16" t="inlineStr">
        <is>
          <t>P/B 1.71 · P/S 1.6 · FCF yld 6% · net cash 29% of mcap · rev -4% · op margin -8% · diluting 3%/yr</t>
        </is>
      </c>
      <c r="S732" s="16" t="inlineStr"/>
      <c r="T732" s="16" t="inlineStr">
        <is>
          <t>Single-Measure Best</t>
        </is>
      </c>
    </row>
    <row r="733">
      <c r="A733" s="6" t="inlineStr">
        <is>
          <t>ABX</t>
        </is>
      </c>
      <c r="B733" s="14" t="inlineStr">
        <is>
          <t>Abacus Global Manageme</t>
        </is>
      </c>
      <c r="C733" s="14" t="inlineStr">
        <is>
          <t>Financial Serv</t>
        </is>
      </c>
      <c r="D733" s="14" t="n">
        <v>745</v>
      </c>
      <c r="E733" s="14" t="n">
        <v>1.7</v>
      </c>
      <c r="F733" s="14" t="n">
        <v>26.3</v>
      </c>
      <c r="G733" s="14" t="n">
        <v>10.6</v>
      </c>
      <c r="H733" s="14" t="inlineStr">
        <is>
          <t>12%</t>
        </is>
      </c>
      <c r="I733" s="14" t="inlineStr">
        <is>
          <t>-43%</t>
        </is>
      </c>
      <c r="J733" s="14" t="n">
        <v>3.2</v>
      </c>
      <c r="K733" s="14" t="inlineStr">
        <is>
          <t>65%</t>
        </is>
      </c>
      <c r="L733" s="14" t="inlineStr">
        <is>
          <t>31%</t>
        </is>
      </c>
      <c r="M733" s="14" t="inlineStr">
        <is>
          <t>7%</t>
        </is>
      </c>
      <c r="N733" s="14" t="inlineStr">
        <is>
          <t>2%</t>
        </is>
      </c>
      <c r="O733" s="14" t="n">
        <v>2.1</v>
      </c>
      <c r="P733" s="14" t="inlineStr">
        <is>
          <t>37%</t>
        </is>
      </c>
      <c r="Q733" s="14" t="n">
        <v>4586</v>
      </c>
      <c r="R733" s="14" t="inlineStr">
        <is>
          <t>P/B 1.70 · P/E 26.3 · ROE 7% · div yld 2.6% · diluting 2%/yr (financial: book/earnings basis)</t>
        </is>
      </c>
      <c r="S733" s="14" t="inlineStr"/>
      <c r="T733" s="14" t="inlineStr">
        <is>
          <t>Single-Measure Best</t>
        </is>
      </c>
    </row>
    <row r="734">
      <c r="A734" s="8" t="inlineStr">
        <is>
          <t>ABXL</t>
        </is>
      </c>
      <c r="B734" s="16" t="inlineStr">
        <is>
          <t>Abacus Global Manageme</t>
        </is>
      </c>
      <c r="C734" s="16" t="inlineStr">
        <is>
          <t>Financial Serv</t>
        </is>
      </c>
      <c r="D734" s="16" t="n">
        <v>2472</v>
      </c>
      <c r="E734" s="16" t="n">
        <v>5.62</v>
      </c>
      <c r="F734" s="16" t="n">
        <v>81.09999999999999</v>
      </c>
      <c r="G734" s="16" t="n">
        <v>35.7</v>
      </c>
      <c r="H734" s="16" t="inlineStr">
        <is>
          <t>-1%</t>
        </is>
      </c>
      <c r="I734" s="16" t="inlineStr">
        <is>
          <t>-13%</t>
        </is>
      </c>
      <c r="J734" s="16" t="n">
        <v>4.2</v>
      </c>
      <c r="K734" s="16" t="n"/>
      <c r="L734" s="16" t="inlineStr">
        <is>
          <t>39%</t>
        </is>
      </c>
      <c r="M734" s="16" t="inlineStr">
        <is>
          <t>7%</t>
        </is>
      </c>
      <c r="N734" s="16" t="inlineStr">
        <is>
          <t>29%</t>
        </is>
      </c>
      <c r="O734" s="16" t="n">
        <v>0</v>
      </c>
      <c r="P734" s="16" t="inlineStr">
        <is>
          <t>26%</t>
        </is>
      </c>
      <c r="Q734" s="16" t="n">
        <v>193</v>
      </c>
      <c r="R734" s="16" t="inlineStr">
        <is>
          <t>P/B 5.62 · P/E 81.1 · ROE 7% · div yld 9.8% · diluting 29%/yr (financial: book/earnings basis)</t>
        </is>
      </c>
      <c r="S734" s="16" t="inlineStr"/>
      <c r="T734" s="16" t="inlineStr">
        <is>
          <t>Single-Measure Best</t>
        </is>
      </c>
    </row>
    <row r="735">
      <c r="A735" s="6" t="inlineStr">
        <is>
          <t>AUPH</t>
        </is>
      </c>
      <c r="B735" s="14" t="inlineStr">
        <is>
          <t>Aurinia Pharmaceutical</t>
        </is>
      </c>
      <c r="C735" s="14" t="inlineStr">
        <is>
          <t>Healthcare</t>
        </is>
      </c>
      <c r="D735" s="14" t="n">
        <v>2139</v>
      </c>
      <c r="E735" s="14" t="n">
        <v>3.48</v>
      </c>
      <c r="F735" s="14" t="n">
        <v>7</v>
      </c>
      <c r="G735" s="14" t="n">
        <v>10.6</v>
      </c>
      <c r="H735" s="14" t="inlineStr">
        <is>
          <t>8%</t>
        </is>
      </c>
      <c r="I735" s="14" t="inlineStr">
        <is>
          <t>18%</t>
        </is>
      </c>
      <c r="J735" s="14" t="n">
        <v>-0.6</v>
      </c>
      <c r="K735" s="14" t="inlineStr">
        <is>
          <t>20%</t>
        </is>
      </c>
      <c r="L735" s="14" t="inlineStr">
        <is>
          <t>48%</t>
        </is>
      </c>
      <c r="M735" s="14" t="inlineStr">
        <is>
          <t>59%</t>
        </is>
      </c>
      <c r="N735" s="14" t="inlineStr">
        <is>
          <t>-7%</t>
        </is>
      </c>
      <c r="O735" s="14" t="n">
        <v>17.8</v>
      </c>
      <c r="P735" s="14" t="inlineStr">
        <is>
          <t>71%</t>
        </is>
      </c>
      <c r="Q735" s="14" t="n">
        <v>21668</v>
      </c>
      <c r="R735" s="14" t="inlineStr">
        <is>
          <t>P/B 3.48 · EV/EBITDA 10.6× · FCF yld 8% · net cash 18% of mcap · rev +20% · op margin 48% · buying back 7%/yr</t>
        </is>
      </c>
      <c r="S735" s="14" t="inlineStr"/>
      <c r="T735" s="14" t="inlineStr">
        <is>
          <t>Single-Measure Best</t>
        </is>
      </c>
    </row>
    <row r="736">
      <c r="A736" s="8" t="inlineStr">
        <is>
          <t>BCX</t>
        </is>
      </c>
      <c r="B736" s="16" t="inlineStr">
        <is>
          <t xml:space="preserve">Blackrock Resources &amp; </t>
        </is>
      </c>
      <c r="C736" s="16" t="inlineStr">
        <is>
          <t>Financial Serv</t>
        </is>
      </c>
      <c r="D736" s="16" t="n">
        <v>938</v>
      </c>
      <c r="E736" s="16" t="n">
        <v>1.02</v>
      </c>
      <c r="F736" s="16" t="n">
        <v>4.7</v>
      </c>
      <c r="G736" s="16" t="n">
        <v>4.7</v>
      </c>
      <c r="H736" s="16" t="inlineStr">
        <is>
          <t>2%</t>
        </is>
      </c>
      <c r="I736" s="16" t="inlineStr">
        <is>
          <t>3%</t>
        </is>
      </c>
      <c r="J736" s="16" t="n">
        <v>0</v>
      </c>
      <c r="K736" s="16" t="inlineStr">
        <is>
          <t>30%</t>
        </is>
      </c>
      <c r="L736" s="16" t="inlineStr">
        <is>
          <t>162%</t>
        </is>
      </c>
      <c r="M736" s="16" t="inlineStr">
        <is>
          <t>22%</t>
        </is>
      </c>
      <c r="N736" s="16" t="inlineStr">
        <is>
          <t>-2%</t>
        </is>
      </c>
      <c r="O736" s="16" t="n">
        <v>71937</v>
      </c>
      <c r="P736" s="16" t="inlineStr">
        <is>
          <t>63%</t>
        </is>
      </c>
      <c r="Q736" s="16" t="n">
        <v>2225</v>
      </c>
      <c r="R736" s="16" t="inlineStr">
        <is>
          <t>P/B 1.02 · P/E 4.7 · ROE 22% · div yld 6.8% (financial: book/earnings basis)</t>
        </is>
      </c>
      <c r="S736" s="16" t="inlineStr"/>
      <c r="T736" s="16" t="inlineStr">
        <is>
          <t>Single-Measure Best</t>
        </is>
      </c>
    </row>
    <row r="737">
      <c r="A737" s="6" t="inlineStr">
        <is>
          <t>BGY</t>
        </is>
      </c>
      <c r="B737" s="14" t="inlineStr">
        <is>
          <t>BlackRock Enhanced Int</t>
        </is>
      </c>
      <c r="C737" s="14" t="inlineStr">
        <is>
          <t>Financial Serv</t>
        </is>
      </c>
      <c r="D737" s="14" t="n">
        <v>526</v>
      </c>
      <c r="E737" s="14" t="n">
        <v>0.91</v>
      </c>
      <c r="F737" s="14" t="n">
        <v>9.199999999999999</v>
      </c>
      <c r="G737" s="14" t="n">
        <v>4.4</v>
      </c>
      <c r="H737" s="14" t="inlineStr">
        <is>
          <t>-5%</t>
        </is>
      </c>
      <c r="I737" s="14" t="inlineStr">
        <is>
          <t>4%</t>
        </is>
      </c>
      <c r="J737" s="14" t="n">
        <v>-0.2</v>
      </c>
      <c r="K737" s="14" t="inlineStr">
        <is>
          <t>97%</t>
        </is>
      </c>
      <c r="L737" s="14" t="inlineStr">
        <is>
          <t>99%</t>
        </is>
      </c>
      <c r="M737" s="14" t="inlineStr">
        <is>
          <t>10%</t>
        </is>
      </c>
      <c r="N737" s="14" t="inlineStr">
        <is>
          <t>0%</t>
        </is>
      </c>
      <c r="O737" s="14" t="n">
        <v>11959.4</v>
      </c>
      <c r="P737" s="14" t="inlineStr">
        <is>
          <t>59%</t>
        </is>
      </c>
      <c r="Q737" s="14" t="n">
        <v>1457</v>
      </c>
      <c r="R737" s="14" t="inlineStr">
        <is>
          <t>P/B 0.91 · P/E 9.2 · ROE 10% · div yld 8.9% (financial: book/earnings basis)</t>
        </is>
      </c>
      <c r="S737" s="14" t="inlineStr"/>
      <c r="T737" s="14" t="inlineStr">
        <is>
          <t>Single-Measure Best</t>
        </is>
      </c>
    </row>
    <row r="738">
      <c r="A738" s="8" t="inlineStr">
        <is>
          <t>BIIB</t>
        </is>
      </c>
      <c r="B738" s="16" t="inlineStr">
        <is>
          <t>Biogen Inc.</t>
        </is>
      </c>
      <c r="C738" s="16" t="inlineStr">
        <is>
          <t>Healthcare</t>
        </is>
      </c>
      <c r="D738" s="16" t="n">
        <v>33127</v>
      </c>
      <c r="E738" s="16" t="n">
        <v>1.76</v>
      </c>
      <c r="F738" s="16" t="n">
        <v>39.9</v>
      </c>
      <c r="G738" s="16" t="n">
        <v>24.3</v>
      </c>
      <c r="H738" s="16" t="inlineStr">
        <is>
          <t>9%</t>
        </is>
      </c>
      <c r="I738" s="16" t="inlineStr">
        <is>
          <t>-21%</t>
        </is>
      </c>
      <c r="J738" s="16" t="n">
        <v>4.2</v>
      </c>
      <c r="K738" s="16" t="inlineStr">
        <is>
          <t>-0%</t>
        </is>
      </c>
      <c r="L738" s="16" t="inlineStr">
        <is>
          <t>13%</t>
        </is>
      </c>
      <c r="M738" s="16" t="inlineStr">
        <is>
          <t>5%</t>
        </is>
      </c>
      <c r="N738" s="16" t="inlineStr">
        <is>
          <t>2%</t>
        </is>
      </c>
      <c r="O738" s="16" t="n">
        <v>4.5</v>
      </c>
      <c r="P738" s="16" t="inlineStr">
        <is>
          <t>95%</t>
        </is>
      </c>
      <c r="Q738" s="16" t="n">
        <v>247982</v>
      </c>
      <c r="R738" s="16" t="inlineStr">
        <is>
          <t>P/B 1.76 · EV/EBITDA 24.3× · FCF yld 9% · net debt 21% of mcap · rev -0% · op margin 13%</t>
        </is>
      </c>
      <c r="S738" s="16" t="inlineStr"/>
      <c r="T738" s="16" t="inlineStr">
        <is>
          <t>Single-Measure Best</t>
        </is>
      </c>
    </row>
    <row r="739">
      <c r="A739" s="6" t="inlineStr">
        <is>
          <t>REZI</t>
        </is>
      </c>
      <c r="B739" s="14" t="inlineStr">
        <is>
          <t xml:space="preserve">Resideo Technologies, </t>
        </is>
      </c>
      <c r="C739" s="14" t="inlineStr">
        <is>
          <t>Industrials</t>
        </is>
      </c>
      <c r="D739" s="14" t="n">
        <v>2867</v>
      </c>
      <c r="E739" s="14" t="n">
        <v>0.95</v>
      </c>
      <c r="F739" s="14" t="n">
        <v>7.8</v>
      </c>
      <c r="G739" s="14" t="n">
        <v>7.1</v>
      </c>
      <c r="H739" s="14" t="inlineStr">
        <is>
          <t>-49%</t>
        </is>
      </c>
      <c r="I739" s="14" t="inlineStr">
        <is>
          <t>-114%</t>
        </is>
      </c>
      <c r="J739" s="14" t="n">
        <v>3.8</v>
      </c>
      <c r="K739" s="14" t="inlineStr">
        <is>
          <t>3%</t>
        </is>
      </c>
      <c r="L739" s="14" t="inlineStr">
        <is>
          <t>8%</t>
        </is>
      </c>
      <c r="M739" s="14" t="inlineStr">
        <is>
          <t>15%</t>
        </is>
      </c>
      <c r="N739" s="14" t="inlineStr">
        <is>
          <t>3%</t>
        </is>
      </c>
      <c r="O739" s="14" t="n">
        <v>3.2</v>
      </c>
      <c r="P739" s="14" t="inlineStr">
        <is>
          <t>5%</t>
        </is>
      </c>
      <c r="Q739" s="14" t="n">
        <v>46380</v>
      </c>
      <c r="R739" s="14" t="inlineStr">
        <is>
          <t>P/B 0.95 · EV/EBITDA 7.1× · FCF yld -49% · net debt 114% of mcap · rev +3% · op margin 8% · diluting 3%/yr</t>
        </is>
      </c>
      <c r="S739" s="14" t="inlineStr"/>
      <c r="T739" s="14" t="inlineStr">
        <is>
          <t>Event Detail</t>
        </is>
      </c>
    </row>
    <row r="740">
      <c r="A740" s="8" t="inlineStr">
        <is>
          <t>BDX</t>
        </is>
      </c>
      <c r="B740" s="16" t="inlineStr">
        <is>
          <t xml:space="preserve">Becton, Dickinson and </t>
        </is>
      </c>
      <c r="C740" s="16" t="inlineStr">
        <is>
          <t>Healthcare</t>
        </is>
      </c>
      <c r="D740" s="16" t="n">
        <v>50551</v>
      </c>
      <c r="E740" s="16" t="n">
        <v>2.07</v>
      </c>
      <c r="F740" s="16" t="n">
        <v>54.8</v>
      </c>
      <c r="G740" s="16" t="n">
        <v>17</v>
      </c>
      <c r="H740" s="16" t="inlineStr">
        <is>
          <t>5%</t>
        </is>
      </c>
      <c r="I740" s="16" t="inlineStr">
        <is>
          <t>-32%</t>
        </is>
      </c>
      <c r="J740" s="16" t="n">
        <v>4.1</v>
      </c>
      <c r="K740" s="16" t="inlineStr">
        <is>
          <t>2%</t>
        </is>
      </c>
      <c r="L740" s="16" t="inlineStr">
        <is>
          <t>10%</t>
        </is>
      </c>
      <c r="M740" s="16" t="inlineStr">
        <is>
          <t>4%</t>
        </is>
      </c>
      <c r="N740" s="16" t="inlineStr">
        <is>
          <t>-3%</t>
        </is>
      </c>
      <c r="O740" s="16" t="n">
        <v>3.8</v>
      </c>
      <c r="P740" s="16" t="inlineStr">
        <is>
          <t>85%</t>
        </is>
      </c>
      <c r="Q740" s="16" t="n">
        <v>409865</v>
      </c>
      <c r="R740" s="16" t="inlineStr">
        <is>
          <t>P/B 2.07 · EV/EBITDA 17.0× · FCF yld 5% · net debt 32% of mcap · rev +2% · op margin 10% · buying back 3%/yr</t>
        </is>
      </c>
      <c r="S740" s="16" t="inlineStr"/>
      <c r="T740" s="16" t="inlineStr">
        <is>
          <t>Event Detail</t>
        </is>
      </c>
    </row>
    <row r="741">
      <c r="A741" s="6" t="inlineStr">
        <is>
          <t>SNDK</t>
        </is>
      </c>
      <c r="B741" s="14" t="inlineStr">
        <is>
          <t>Sandisk Corporation</t>
        </is>
      </c>
      <c r="C741" s="14" t="inlineStr">
        <is>
          <t>Technology</t>
        </is>
      </c>
      <c r="D741" s="14" t="n">
        <v>271234</v>
      </c>
      <c r="E741" s="14" t="n">
        <v>19.69</v>
      </c>
      <c r="F741" s="14" t="n">
        <v>23.3</v>
      </c>
      <c r="G741" s="14" t="n">
        <v>20.2</v>
      </c>
      <c r="H741" s="14" t="inlineStr">
        <is>
          <t>4%</t>
        </is>
      </c>
      <c r="I741" s="14" t="inlineStr">
        <is>
          <t>1%</t>
        </is>
      </c>
      <c r="J741" s="14" t="n">
        <v>-0.3</v>
      </c>
      <c r="K741" s="14" t="inlineStr">
        <is>
          <t>24%</t>
        </is>
      </c>
      <c r="L741" s="14" t="inlineStr">
        <is>
          <t>61%</t>
        </is>
      </c>
      <c r="M741" s="14" t="inlineStr">
        <is>
          <t>93%</t>
        </is>
      </c>
      <c r="N741" s="14" t="inlineStr">
        <is>
          <t>8%</t>
        </is>
      </c>
      <c r="O741" s="14" t="n">
        <v>169.7</v>
      </c>
      <c r="P741" s="14" t="inlineStr">
        <is>
          <t>77%</t>
        </is>
      </c>
      <c r="Q741" s="14" t="n">
        <v>23899624</v>
      </c>
      <c r="R741" s="14" t="inlineStr">
        <is>
          <t>P/B 19.69 · EV/EBITDA 20.2× · FCF yld 4% · net cash 1% of mcap · rev +24% · op margin 61% · diluting 8%/yr</t>
        </is>
      </c>
      <c r="S741" s="14" t="inlineStr"/>
      <c r="T741" s="14" t="inlineStr">
        <is>
          <t>Event Detail</t>
        </is>
      </c>
    </row>
    <row r="742">
      <c r="A742" s="8" t="inlineStr">
        <is>
          <t>BLCO</t>
        </is>
      </c>
      <c r="B742" s="16" t="inlineStr">
        <is>
          <t>Bausch + Lomb Corporat</t>
        </is>
      </c>
      <c r="C742" s="16" t="inlineStr">
        <is>
          <t>Healthcare</t>
        </is>
      </c>
      <c r="D742" s="16" t="n">
        <v>6122</v>
      </c>
      <c r="E742" s="16" t="n">
        <v>0.96</v>
      </c>
      <c r="F742" s="16" t="n">
        <v>-35.5</v>
      </c>
      <c r="G742" s="16" t="n">
        <v>14.6</v>
      </c>
      <c r="H742" s="16" t="inlineStr">
        <is>
          <t>2%</t>
        </is>
      </c>
      <c r="I742" s="16" t="inlineStr">
        <is>
          <t>-78%</t>
        </is>
      </c>
      <c r="J742" s="16" t="n">
        <v>6.4</v>
      </c>
      <c r="K742" s="16" t="inlineStr">
        <is>
          <t>9%</t>
        </is>
      </c>
      <c r="L742" s="16" t="inlineStr">
        <is>
          <t>7%</t>
        </is>
      </c>
      <c r="M742" s="16" t="inlineStr">
        <is>
          <t>-3%</t>
        </is>
      </c>
      <c r="N742" s="16" t="inlineStr">
        <is>
          <t>1%</t>
        </is>
      </c>
      <c r="O742" s="16" t="n">
        <v>1</v>
      </c>
      <c r="P742" s="16" t="inlineStr">
        <is>
          <t>66%</t>
        </is>
      </c>
      <c r="Q742" s="16" t="n">
        <v>7152</v>
      </c>
      <c r="R742" s="16" t="inlineStr">
        <is>
          <t>P/B 0.96 · EV/EBITDA 14.6× · FCF yld 2% · net debt 78% of mcap · rev +9% · op margin 7% · interest cover 1.0× ⚠</t>
        </is>
      </c>
      <c r="S742" s="16" t="inlineStr"/>
      <c r="T742" s="16" t="inlineStr">
        <is>
          <t>Event Detail</t>
        </is>
      </c>
    </row>
    <row r="743">
      <c r="A743" s="6" t="inlineStr">
        <is>
          <t>APLD</t>
        </is>
      </c>
      <c r="B743" s="14" t="inlineStr">
        <is>
          <t>Applied Digital Corp.</t>
        </is>
      </c>
      <c r="C743" s="14" t="inlineStr">
        <is>
          <t>Technology</t>
        </is>
      </c>
      <c r="D743" s="14" t="n">
        <v>8167</v>
      </c>
      <c r="E743" s="14" t="n">
        <v>5.17</v>
      </c>
      <c r="F743" s="14" t="n">
        <v>-31.4</v>
      </c>
      <c r="G743" s="14" t="n">
        <v>-103.1</v>
      </c>
      <c r="H743" s="14" t="inlineStr">
        <is>
          <t>-35%</t>
        </is>
      </c>
      <c r="I743" s="14" t="inlineStr">
        <is>
          <t>-13%</t>
        </is>
      </c>
      <c r="J743" s="14" t="n">
        <v>-31.7</v>
      </c>
      <c r="K743" s="14" t="inlineStr">
        <is>
          <t>54%</t>
        </is>
      </c>
      <c r="L743" s="14" t="inlineStr">
        <is>
          <t>-34%</t>
        </is>
      </c>
      <c r="M743" s="14" t="inlineStr">
        <is>
          <t>-17%</t>
        </is>
      </c>
      <c r="N743" s="14" t="inlineStr">
        <is>
          <t>32%</t>
        </is>
      </c>
      <c r="O743" s="14" t="n">
        <v>-7.5</v>
      </c>
      <c r="P743" s="14" t="inlineStr">
        <is>
          <t>30%</t>
        </is>
      </c>
      <c r="Q743" s="14" t="n">
        <v>541231</v>
      </c>
      <c r="R743" s="14" t="inlineStr">
        <is>
          <t>P/B 5.17 · P/S 13.9 · FCF yld -35% · net debt 13% of mcap · rev +54% · op margin -34% · diluting 32%/yr · interest cover -7.5× ⚠</t>
        </is>
      </c>
      <c r="S743" s="14" t="inlineStr"/>
      <c r="T743" s="14" t="inlineStr">
        <is>
          <t>Event Detail</t>
        </is>
      </c>
    </row>
    <row r="744">
      <c r="A744" s="8" t="inlineStr">
        <is>
          <t>MFP</t>
        </is>
      </c>
      <c r="B744" s="16" t="inlineStr">
        <is>
          <t>Midera Food Processing</t>
        </is>
      </c>
      <c r="C744" s="16" t="inlineStr">
        <is>
          <t>Industrials</t>
        </is>
      </c>
      <c r="D744" s="16" t="n">
        <v>2026</v>
      </c>
      <c r="E744" s="16" t="n">
        <v>2.58</v>
      </c>
      <c r="F744" s="16" t="n">
        <v>80.40000000000001</v>
      </c>
      <c r="G744" s="16" t="n">
        <v>41.9</v>
      </c>
      <c r="H744" s="16" t="inlineStr">
        <is>
          <t>2%</t>
        </is>
      </c>
      <c r="I744" s="16" t="inlineStr">
        <is>
          <t>-11%</t>
        </is>
      </c>
      <c r="J744" s="16" t="n">
        <v>4</v>
      </c>
      <c r="K744" s="16" t="n"/>
      <c r="L744" s="16" t="inlineStr">
        <is>
          <t>9%</t>
        </is>
      </c>
      <c r="M744" s="16" t="inlineStr">
        <is>
          <t>3%</t>
        </is>
      </c>
      <c r="N744" s="16" t="inlineStr">
        <is>
          <t>-0%</t>
        </is>
      </c>
      <c r="O744" s="16" t="n">
        <v>104.9</v>
      </c>
      <c r="P744" s="16" t="inlineStr">
        <is>
          <t>13%</t>
        </is>
      </c>
      <c r="Q744" s="16" t="n">
        <v>39386</v>
      </c>
      <c r="R744" s="16" t="inlineStr">
        <is>
          <t>P/B 2.58 · EV/EBITDA 41.9× · FCF yld 2% · net debt 11% of mcap · op margin 9%</t>
        </is>
      </c>
      <c r="S744" s="16" t="inlineStr"/>
      <c r="T744" s="16" t="inlineStr">
        <is>
          <t>Event Detail</t>
        </is>
      </c>
    </row>
    <row r="745">
      <c r="A745" s="6" t="inlineStr">
        <is>
          <t>DAN</t>
        </is>
      </c>
      <c r="B745" s="14" t="inlineStr">
        <is>
          <t>Dana Incorporated</t>
        </is>
      </c>
      <c r="C745" s="14" t="inlineStr">
        <is>
          <t>Consumer Cycli</t>
        </is>
      </c>
      <c r="D745" s="14" t="n">
        <v>3761</v>
      </c>
      <c r="E745" s="14" t="n">
        <v>1.96</v>
      </c>
      <c r="F745" s="14" t="n">
        <v>-18.8</v>
      </c>
      <c r="G745" s="14" t="n">
        <v>10</v>
      </c>
      <c r="H745" s="14" t="inlineStr">
        <is>
          <t>4%</t>
        </is>
      </c>
      <c r="I745" s="14" t="inlineStr">
        <is>
          <t>-31%</t>
        </is>
      </c>
      <c r="J745" s="14" t="n">
        <v>2.4</v>
      </c>
      <c r="K745" s="14" t="n"/>
      <c r="L745" s="14" t="inlineStr">
        <is>
          <t>3%</t>
        </is>
      </c>
      <c r="M745" s="14" t="inlineStr">
        <is>
          <t>-13%</t>
        </is>
      </c>
      <c r="N745" s="14" t="inlineStr">
        <is>
          <t>-24%</t>
        </is>
      </c>
      <c r="O745" s="14" t="n">
        <v>-0.1</v>
      </c>
      <c r="P745" s="14" t="inlineStr">
        <is>
          <t>57%</t>
        </is>
      </c>
      <c r="Q745" s="14" t="n">
        <v>46885</v>
      </c>
      <c r="R745" s="14" t="inlineStr">
        <is>
          <t>P/B 1.96 · EV/EBITDA 10.0× · FCF yld 4% · net debt 31% of mcap · op margin 3% · buying back 24%/yr · interest cover -0.1× ⚠</t>
        </is>
      </c>
      <c r="S745" s="14" t="inlineStr"/>
      <c r="T745" s="14" t="inlineStr">
        <is>
          <t>Event Detail</t>
        </is>
      </c>
    </row>
    <row r="746">
      <c r="A746" s="8" t="inlineStr">
        <is>
          <t>OCTV</t>
        </is>
      </c>
      <c r="B746" s="16" t="inlineStr">
        <is>
          <t>Octave Intelligence pl</t>
        </is>
      </c>
      <c r="C746" s="16" t="inlineStr">
        <is>
          <t>Technology</t>
        </is>
      </c>
      <c r="D746" s="16" t="n">
        <v>5329</v>
      </c>
      <c r="E746" s="16" t="n">
        <v>1.05</v>
      </c>
      <c r="F746" s="16" t="n">
        <v>-2.9</v>
      </c>
      <c r="G746" s="16" t="n">
        <v>15.2</v>
      </c>
      <c r="H746" s="16" t="inlineStr">
        <is>
          <t>8%</t>
        </is>
      </c>
      <c r="I746" s="16" t="inlineStr">
        <is>
          <t>-7%</t>
        </is>
      </c>
      <c r="J746" s="16" t="n">
        <v>1</v>
      </c>
      <c r="K746" s="16" t="n"/>
      <c r="L746" s="16" t="inlineStr">
        <is>
          <t>21%</t>
        </is>
      </c>
      <c r="M746" s="16" t="inlineStr">
        <is>
          <t>-27%</t>
        </is>
      </c>
      <c r="N746" s="16" t="n"/>
      <c r="O746" s="16" t="n">
        <v>150</v>
      </c>
      <c r="P746" s="16" t="inlineStr">
        <is>
          <t>30%</t>
        </is>
      </c>
      <c r="Q746" s="16" t="n">
        <v>39894</v>
      </c>
      <c r="R746" s="16" t="inlineStr">
        <is>
          <t>P/B 1.05 · EV/EBITDA 15.2× · FCF yld 8% · net debt 7% of mcap · op margin 21%</t>
        </is>
      </c>
      <c r="S746" s="16" t="inlineStr"/>
      <c r="T746" s="16" t="inlineStr">
        <is>
          <t>Event Detail</t>
        </is>
      </c>
    </row>
    <row r="747">
      <c r="A747" s="6" t="inlineStr">
        <is>
          <t>VGNT</t>
        </is>
      </c>
      <c r="B747" s="14" t="inlineStr">
        <is>
          <t>Versigent PLC</t>
        </is>
      </c>
      <c r="C747" s="14" t="inlineStr">
        <is>
          <t>Industrials</t>
        </is>
      </c>
      <c r="D747" s="14" t="n">
        <v>3330</v>
      </c>
      <c r="E747" s="14" t="n">
        <v>39.17</v>
      </c>
      <c r="F747" s="14" t="n">
        <v>6.4</v>
      </c>
      <c r="G747" s="14" t="n">
        <v>5</v>
      </c>
      <c r="H747" s="14" t="inlineStr">
        <is>
          <t>14%</t>
        </is>
      </c>
      <c r="I747" s="14" t="inlineStr">
        <is>
          <t>-56%</t>
        </is>
      </c>
      <c r="J747" s="14" t="n">
        <v>1.8</v>
      </c>
      <c r="K747" s="14" t="n"/>
      <c r="L747" s="14" t="inlineStr">
        <is>
          <t>8%</t>
        </is>
      </c>
      <c r="M747" s="14" t="inlineStr">
        <is>
          <t>60%</t>
        </is>
      </c>
      <c r="N747" s="14" t="n"/>
      <c r="O747" s="14" t="n">
        <v>17.1</v>
      </c>
      <c r="P747" s="14" t="inlineStr">
        <is>
          <t>84%</t>
        </is>
      </c>
      <c r="Q747" s="14" t="n">
        <v>56018</v>
      </c>
      <c r="R747" s="14" t="inlineStr">
        <is>
          <t>P/B 39.17 · EV/EBITDA 5.0× · FCF yld 14% · net debt 56% of mcap · op margin 8%</t>
        </is>
      </c>
      <c r="S747" s="14" t="inlineStr"/>
      <c r="T747" s="14" t="inlineStr">
        <is>
          <t>Event Detail</t>
        </is>
      </c>
    </row>
    <row r="748">
      <c r="A748" s="8" t="inlineStr">
        <is>
          <t>AMRZ</t>
        </is>
      </c>
      <c r="B748" s="16" t="inlineStr">
        <is>
          <t>Amrize Ltd</t>
        </is>
      </c>
      <c r="C748" s="16" t="inlineStr">
        <is>
          <t>Basic Material</t>
        </is>
      </c>
      <c r="D748" s="16" t="n">
        <v>21106</v>
      </c>
      <c r="E748" s="16" t="n">
        <v>1.64</v>
      </c>
      <c r="F748" s="16" t="n"/>
      <c r="G748" s="16" t="n"/>
      <c r="H748" s="16" t="n"/>
      <c r="I748" s="16" t="inlineStr">
        <is>
          <t>-28%</t>
        </is>
      </c>
      <c r="J748" s="16" t="n"/>
      <c r="K748" s="16" t="inlineStr">
        <is>
          <t>5%</t>
        </is>
      </c>
      <c r="L748" s="16" t="n"/>
      <c r="M748" s="16" t="n"/>
      <c r="N748" s="16" t="inlineStr">
        <is>
          <t>0%</t>
        </is>
      </c>
      <c r="O748" s="16" t="n"/>
      <c r="P748" s="16" t="inlineStr">
        <is>
          <t>3%</t>
        </is>
      </c>
      <c r="Q748" s="16" t="n">
        <v>135343</v>
      </c>
      <c r="R748" s="16" t="inlineStr">
        <is>
          <t>P/B 1.64 · net debt 28% of mcap · rev +5%</t>
        </is>
      </c>
      <c r="S748" s="16" t="inlineStr"/>
      <c r="T748" s="16" t="inlineStr">
        <is>
          <t>Event Detail</t>
        </is>
      </c>
    </row>
    <row r="749">
      <c r="A749" s="6" t="inlineStr">
        <is>
          <t>WAT</t>
        </is>
      </c>
      <c r="B749" s="14" t="inlineStr">
        <is>
          <t>Waters Corporation</t>
        </is>
      </c>
      <c r="C749" s="14" t="inlineStr">
        <is>
          <t>Healthcare</t>
        </is>
      </c>
      <c r="D749" s="14" t="n">
        <v>41642</v>
      </c>
      <c r="E749" s="14" t="n">
        <v>2.74</v>
      </c>
      <c r="F749" s="14" t="n">
        <v>104.7</v>
      </c>
      <c r="G749" s="14" t="n">
        <v>51.4</v>
      </c>
      <c r="H749" s="14" t="inlineStr">
        <is>
          <t>1%</t>
        </is>
      </c>
      <c r="I749" s="14" t="inlineStr">
        <is>
          <t>-11%</t>
        </is>
      </c>
      <c r="J749" s="14" t="n">
        <v>5.3</v>
      </c>
      <c r="K749" s="14" t="inlineStr">
        <is>
          <t>52%</t>
        </is>
      </c>
      <c r="L749" s="14" t="inlineStr">
        <is>
          <t>8%</t>
        </is>
      </c>
      <c r="M749" s="14" t="inlineStr">
        <is>
          <t>2%</t>
        </is>
      </c>
      <c r="N749" s="14" t="inlineStr">
        <is>
          <t>65%</t>
        </is>
      </c>
      <c r="O749" s="14" t="n">
        <v>2.7</v>
      </c>
      <c r="P749" s="14" t="inlineStr">
        <is>
          <t>94%</t>
        </is>
      </c>
      <c r="Q749" s="14" t="n">
        <v>363534</v>
      </c>
      <c r="R749" s="14" t="inlineStr">
        <is>
          <t>P/B 2.74 · EV/EBITDA 51.4× · FCF yld 1% · net debt 11% of mcap · rev +52% · op margin 8% · diluting 65%/yr</t>
        </is>
      </c>
      <c r="S749" s="14" t="inlineStr"/>
      <c r="T749" s="14" t="inlineStr">
        <is>
          <t>Event Detail</t>
        </is>
      </c>
    </row>
    <row r="750">
      <c r="A750" s="8" t="inlineStr">
        <is>
          <t>MOD</t>
        </is>
      </c>
      <c r="B750" s="16" t="inlineStr">
        <is>
          <t>Modine Manufacturing C</t>
        </is>
      </c>
      <c r="C750" s="16" t="inlineStr">
        <is>
          <t>Industrials</t>
        </is>
      </c>
      <c r="D750" s="16" t="n">
        <v>10345</v>
      </c>
      <c r="E750" s="16" t="n">
        <v>9.220000000000001</v>
      </c>
      <c r="F750" s="16" t="n">
        <v>72.8</v>
      </c>
      <c r="G750" s="16" t="n">
        <v>35.7</v>
      </c>
      <c r="H750" s="16" t="inlineStr">
        <is>
          <t>1%</t>
        </is>
      </c>
      <c r="I750" s="16" t="inlineStr">
        <is>
          <t>-7%</t>
        </is>
      </c>
      <c r="J750" s="16" t="n">
        <v>1.9</v>
      </c>
      <c r="K750" s="16" t="inlineStr">
        <is>
          <t>8%</t>
        </is>
      </c>
      <c r="L750" s="16" t="inlineStr">
        <is>
          <t>10%</t>
        </is>
      </c>
      <c r="M750" s="16" t="inlineStr">
        <is>
          <t>13%</t>
        </is>
      </c>
      <c r="N750" s="16" t="inlineStr">
        <is>
          <t>-0%</t>
        </is>
      </c>
      <c r="O750" s="16" t="n">
        <v>10.8</v>
      </c>
      <c r="P750" s="16" t="inlineStr">
        <is>
          <t>39%</t>
        </is>
      </c>
      <c r="Q750" s="16" t="n">
        <v>292815</v>
      </c>
      <c r="R750" s="16" t="inlineStr">
        <is>
          <t>P/B 9.22 · EV/EBITDA 35.7× · FCF yld 1% · net debt 7% of mcap · rev +8% · op margin 10%</t>
        </is>
      </c>
      <c r="S750" s="16" t="inlineStr"/>
      <c r="T750" s="16" t="inlineStr">
        <is>
          <t>Event Detail</t>
        </is>
      </c>
    </row>
    <row r="751">
      <c r="A751" s="6" t="inlineStr">
        <is>
          <t>THRM</t>
        </is>
      </c>
      <c r="B751" s="14" t="inlineStr">
        <is>
          <t>Gentherm Incorporated</t>
        </is>
      </c>
      <c r="C751" s="14" t="inlineStr">
        <is>
          <t>Consumer Cycli</t>
        </is>
      </c>
      <c r="D751" s="14" t="n">
        <v>1097</v>
      </c>
      <c r="E751" s="14" t="n">
        <v>1.52</v>
      </c>
      <c r="F751" s="14" t="n">
        <v>40.5</v>
      </c>
      <c r="G751" s="14" t="n">
        <v>10.4</v>
      </c>
      <c r="H751" s="14" t="inlineStr">
        <is>
          <t>4%</t>
        </is>
      </c>
      <c r="I751" s="14" t="inlineStr">
        <is>
          <t>-10%</t>
        </is>
      </c>
      <c r="J751" s="14" t="n">
        <v>1</v>
      </c>
      <c r="K751" s="14" t="inlineStr">
        <is>
          <t>8%</t>
        </is>
      </c>
      <c r="L751" s="14" t="inlineStr">
        <is>
          <t>4%</t>
        </is>
      </c>
      <c r="M751" s="14" t="inlineStr">
        <is>
          <t>4%</t>
        </is>
      </c>
      <c r="N751" s="14" t="inlineStr">
        <is>
          <t>1%</t>
        </is>
      </c>
      <c r="O751" s="14" t="n">
        <v>10</v>
      </c>
      <c r="P751" s="14" t="inlineStr">
        <is>
          <t>41%</t>
        </is>
      </c>
      <c r="Q751" s="14" t="n">
        <v>13550</v>
      </c>
      <c r="R751" s="14" t="inlineStr">
        <is>
          <t>P/B 1.52 · EV/EBITDA 10.4× · FCF yld 4% · net debt 10% of mcap · rev +8% · op margin 4%</t>
        </is>
      </c>
      <c r="S751" s="14" t="inlineStr"/>
      <c r="T751" s="14" t="inlineStr">
        <is>
          <t>Event Detail</t>
        </is>
      </c>
    </row>
    <row r="752">
      <c r="A752" s="8" t="inlineStr">
        <is>
          <t>NFLX</t>
        </is>
      </c>
      <c r="B752" s="16" t="inlineStr">
        <is>
          <t>Netflix, Inc.</t>
        </is>
      </c>
      <c r="C752" s="16" t="inlineStr">
        <is>
          <t xml:space="preserve">Communication </t>
        </is>
      </c>
      <c r="D752" s="16" t="n">
        <v>297573</v>
      </c>
      <c r="E752" s="16" t="n">
        <v>9.869999999999999</v>
      </c>
      <c r="F752" s="16" t="n">
        <v>22.2</v>
      </c>
      <c r="G752" s="16" t="n">
        <v>9.9</v>
      </c>
      <c r="H752" s="16" t="inlineStr">
        <is>
          <t>4%</t>
        </is>
      </c>
      <c r="I752" s="16" t="inlineStr">
        <is>
          <t>-2%</t>
        </is>
      </c>
      <c r="J752" s="16" t="n">
        <v>0.2</v>
      </c>
      <c r="K752" s="16" t="inlineStr">
        <is>
          <t>16%</t>
        </is>
      </c>
      <c r="L752" s="16" t="inlineStr">
        <is>
          <t>30%</t>
        </is>
      </c>
      <c r="M752" s="16" t="inlineStr">
        <is>
          <t>48%</t>
        </is>
      </c>
      <c r="N752" s="16" t="inlineStr">
        <is>
          <t>-2%</t>
        </is>
      </c>
      <c r="O752" s="16" t="n">
        <v>16.9</v>
      </c>
      <c r="P752" s="16" t="inlineStr">
        <is>
          <t>11%</t>
        </is>
      </c>
      <c r="Q752" s="16" t="n">
        <v>2807379</v>
      </c>
      <c r="R752" s="16" t="inlineStr">
        <is>
          <t>P/B 9.87 · EV/EBITDA 9.9× · FCF yld 4% · net debt 2% of mcap · rev +16% · op margin 30% · buying back 2%/yr</t>
        </is>
      </c>
      <c r="S752" s="16" t="inlineStr"/>
      <c r="T752" s="16" t="inlineStr">
        <is>
          <t>Event Detail</t>
        </is>
      </c>
    </row>
  </sheetData>
  <mergeCells count="1">
    <mergeCell ref="A2:L2"/>
  </mergeCells>
  <hyperlinks>
    <hyperlink xmlns:r="http://schemas.openxmlformats.org/officeDocument/2006/relationships" ref="A5" r:id="rId1"/>
    <hyperlink xmlns:r="http://schemas.openxmlformats.org/officeDocument/2006/relationships" ref="A6" r:id="rId2"/>
    <hyperlink xmlns:r="http://schemas.openxmlformats.org/officeDocument/2006/relationships" ref="A7" r:id="rId3"/>
    <hyperlink xmlns:r="http://schemas.openxmlformats.org/officeDocument/2006/relationships" ref="A8" r:id="rId4"/>
    <hyperlink xmlns:r="http://schemas.openxmlformats.org/officeDocument/2006/relationships" ref="A9" r:id="rId5"/>
    <hyperlink xmlns:r="http://schemas.openxmlformats.org/officeDocument/2006/relationships" ref="A10" r:id="rId6"/>
    <hyperlink xmlns:r="http://schemas.openxmlformats.org/officeDocument/2006/relationships" ref="A11" r:id="rId7"/>
    <hyperlink xmlns:r="http://schemas.openxmlformats.org/officeDocument/2006/relationships" ref="A12" r:id="rId8"/>
    <hyperlink xmlns:r="http://schemas.openxmlformats.org/officeDocument/2006/relationships" ref="A13" r:id="rId9"/>
    <hyperlink xmlns:r="http://schemas.openxmlformats.org/officeDocument/2006/relationships" ref="A14" r:id="rId10"/>
    <hyperlink xmlns:r="http://schemas.openxmlformats.org/officeDocument/2006/relationships" ref="A15" r:id="rId11"/>
    <hyperlink xmlns:r="http://schemas.openxmlformats.org/officeDocument/2006/relationships" ref="A16" r:id="rId12"/>
    <hyperlink xmlns:r="http://schemas.openxmlformats.org/officeDocument/2006/relationships" ref="A17" r:id="rId13"/>
    <hyperlink xmlns:r="http://schemas.openxmlformats.org/officeDocument/2006/relationships" ref="A18" r:id="rId14"/>
    <hyperlink xmlns:r="http://schemas.openxmlformats.org/officeDocument/2006/relationships" ref="A19" r:id="rId15"/>
    <hyperlink xmlns:r="http://schemas.openxmlformats.org/officeDocument/2006/relationships" ref="A20" r:id="rId16"/>
    <hyperlink xmlns:r="http://schemas.openxmlformats.org/officeDocument/2006/relationships" ref="A21" r:id="rId17"/>
    <hyperlink xmlns:r="http://schemas.openxmlformats.org/officeDocument/2006/relationships" ref="A22" r:id="rId18"/>
    <hyperlink xmlns:r="http://schemas.openxmlformats.org/officeDocument/2006/relationships" ref="A23" r:id="rId19"/>
    <hyperlink xmlns:r="http://schemas.openxmlformats.org/officeDocument/2006/relationships" ref="A24" r:id="rId20"/>
    <hyperlink xmlns:r="http://schemas.openxmlformats.org/officeDocument/2006/relationships" ref="A25" r:id="rId21"/>
    <hyperlink xmlns:r="http://schemas.openxmlformats.org/officeDocument/2006/relationships" ref="A26" r:id="rId22"/>
    <hyperlink xmlns:r="http://schemas.openxmlformats.org/officeDocument/2006/relationships" ref="A27" r:id="rId23"/>
    <hyperlink xmlns:r="http://schemas.openxmlformats.org/officeDocument/2006/relationships" ref="A28" r:id="rId24"/>
    <hyperlink xmlns:r="http://schemas.openxmlformats.org/officeDocument/2006/relationships" ref="A29" r:id="rId25"/>
    <hyperlink xmlns:r="http://schemas.openxmlformats.org/officeDocument/2006/relationships" ref="A30" r:id="rId26"/>
    <hyperlink xmlns:r="http://schemas.openxmlformats.org/officeDocument/2006/relationships" ref="A31" r:id="rId27"/>
    <hyperlink xmlns:r="http://schemas.openxmlformats.org/officeDocument/2006/relationships" ref="A32" r:id="rId28"/>
    <hyperlink xmlns:r="http://schemas.openxmlformats.org/officeDocument/2006/relationships" ref="A33" r:id="rId29"/>
    <hyperlink xmlns:r="http://schemas.openxmlformats.org/officeDocument/2006/relationships" ref="A34" r:id="rId30"/>
    <hyperlink xmlns:r="http://schemas.openxmlformats.org/officeDocument/2006/relationships" ref="A35" r:id="rId31"/>
    <hyperlink xmlns:r="http://schemas.openxmlformats.org/officeDocument/2006/relationships" ref="A36" r:id="rId32"/>
    <hyperlink xmlns:r="http://schemas.openxmlformats.org/officeDocument/2006/relationships" ref="A37" r:id="rId33"/>
    <hyperlink xmlns:r="http://schemas.openxmlformats.org/officeDocument/2006/relationships" ref="A38" r:id="rId34"/>
    <hyperlink xmlns:r="http://schemas.openxmlformats.org/officeDocument/2006/relationships" ref="A39" r:id="rId35"/>
    <hyperlink xmlns:r="http://schemas.openxmlformats.org/officeDocument/2006/relationships" ref="A40" r:id="rId36"/>
    <hyperlink xmlns:r="http://schemas.openxmlformats.org/officeDocument/2006/relationships" ref="A41" r:id="rId37"/>
    <hyperlink xmlns:r="http://schemas.openxmlformats.org/officeDocument/2006/relationships" ref="A42" r:id="rId38"/>
    <hyperlink xmlns:r="http://schemas.openxmlformats.org/officeDocument/2006/relationships" ref="A43" r:id="rId39"/>
    <hyperlink xmlns:r="http://schemas.openxmlformats.org/officeDocument/2006/relationships" ref="A44" r:id="rId40"/>
    <hyperlink xmlns:r="http://schemas.openxmlformats.org/officeDocument/2006/relationships" ref="A45" r:id="rId41"/>
    <hyperlink xmlns:r="http://schemas.openxmlformats.org/officeDocument/2006/relationships" ref="A46" r:id="rId42"/>
    <hyperlink xmlns:r="http://schemas.openxmlformats.org/officeDocument/2006/relationships" ref="A47" r:id="rId43"/>
    <hyperlink xmlns:r="http://schemas.openxmlformats.org/officeDocument/2006/relationships" ref="A48" r:id="rId44"/>
    <hyperlink xmlns:r="http://schemas.openxmlformats.org/officeDocument/2006/relationships" ref="A49" r:id="rId45"/>
    <hyperlink xmlns:r="http://schemas.openxmlformats.org/officeDocument/2006/relationships" ref="A50" r:id="rId46"/>
    <hyperlink xmlns:r="http://schemas.openxmlformats.org/officeDocument/2006/relationships" ref="A51" r:id="rId47"/>
    <hyperlink xmlns:r="http://schemas.openxmlformats.org/officeDocument/2006/relationships" ref="A52" r:id="rId48"/>
    <hyperlink xmlns:r="http://schemas.openxmlformats.org/officeDocument/2006/relationships" ref="A53" r:id="rId49"/>
    <hyperlink xmlns:r="http://schemas.openxmlformats.org/officeDocument/2006/relationships" ref="A54" r:id="rId50"/>
    <hyperlink xmlns:r="http://schemas.openxmlformats.org/officeDocument/2006/relationships" ref="A55" r:id="rId51"/>
    <hyperlink xmlns:r="http://schemas.openxmlformats.org/officeDocument/2006/relationships" ref="A56" r:id="rId52"/>
    <hyperlink xmlns:r="http://schemas.openxmlformats.org/officeDocument/2006/relationships" ref="A57" r:id="rId53"/>
    <hyperlink xmlns:r="http://schemas.openxmlformats.org/officeDocument/2006/relationships" ref="A58" r:id="rId54"/>
    <hyperlink xmlns:r="http://schemas.openxmlformats.org/officeDocument/2006/relationships" ref="A59" r:id="rId55"/>
    <hyperlink xmlns:r="http://schemas.openxmlformats.org/officeDocument/2006/relationships" ref="A63" r:id="rId56"/>
    <hyperlink xmlns:r="http://schemas.openxmlformats.org/officeDocument/2006/relationships" ref="A64" r:id="rId57"/>
    <hyperlink xmlns:r="http://schemas.openxmlformats.org/officeDocument/2006/relationships" ref="A65" r:id="rId58"/>
    <hyperlink xmlns:r="http://schemas.openxmlformats.org/officeDocument/2006/relationships" ref="A66" r:id="rId59"/>
    <hyperlink xmlns:r="http://schemas.openxmlformats.org/officeDocument/2006/relationships" ref="A67" r:id="rId60"/>
  </hyperlinks>
  <pageMargins left="0.75" right="0.75" top="1" bottom="1" header="0.5" footer="0.5"/>
</worksheet>
</file>

<file path=xl/worksheets/sheet7.xml><?xml version="1.0" encoding="utf-8"?>
<worksheet xmlns="http://schemas.openxmlformats.org/spreadsheetml/2006/main">
  <sheetPr>
    <tabColor rgb="002E75B6"/>
    <outlinePr summaryBelow="1" summaryRight="1"/>
    <pageSetUpPr/>
  </sheetPr>
  <dimension ref="A1:R11"/>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9" customWidth="1" min="1" max="1"/>
    <col width="22" customWidth="1" min="2" max="2"/>
    <col width="30" customWidth="1" min="3" max="3"/>
    <col width="7" customWidth="1" min="4" max="4"/>
    <col width="8" customWidth="1" min="5" max="5"/>
    <col width="14" customWidth="1" min="6" max="6"/>
    <col width="44" customWidth="1" min="7" max="7"/>
    <col width="11" customWidth="1" min="8" max="8"/>
    <col width="9" customWidth="1" min="9" max="9"/>
    <col width="26" customWidth="1" min="10" max="10"/>
    <col width="14" customWidth="1" min="11" max="11"/>
    <col width="30" customWidth="1" min="12" max="12"/>
    <col width="44" customWidth="1" min="13" max="13"/>
    <col width="26" customWidth="1" min="14" max="14"/>
    <col width="60" customWidth="1" min="15" max="15"/>
    <col width="70" customWidth="1" min="16" max="16"/>
    <col width="12" customWidth="1" min="17" max="17"/>
    <col width="62" customWidth="1" min="18" max="18"/>
  </cols>
  <sheetData>
    <row r="1">
      <c r="A1" s="1" t="inlineStr">
        <is>
          <t>PSU Plans</t>
        </is>
      </c>
    </row>
    <row r="2" ht="44" customHeight="1">
      <c r="A2" s="18" t="inlineStr">
        <is>
          <t>What each company's performance-share plan actually is (latest proxy CD&amp;A): metrics and weights, performance period, payout range, relative-TSR target, modifiers, price hurdles, and what past cycles actually PAID (the best test of how hard the goals are). Grade A–D with the reasons. 'weights not stated' = metrics named but no weighting found in the text. Source: psu_detail.py (edgar_doc).</t>
        </is>
      </c>
      <c r="B2" s="19" t="n"/>
      <c r="C2" s="19" t="n"/>
      <c r="D2" s="19" t="n"/>
      <c r="E2" s="19" t="n"/>
      <c r="F2" s="19" t="n"/>
      <c r="G2" s="19" t="n"/>
      <c r="H2" s="19" t="n"/>
      <c r="I2" s="19" t="n"/>
      <c r="J2" s="19" t="n"/>
      <c r="K2" s="19" t="n"/>
    </row>
    <row r="3"/>
    <row r="4" ht="18" customHeight="1">
      <c r="A4" s="12" t="inlineStr">
        <is>
          <t>Ticker</t>
        </is>
      </c>
      <c r="B4" s="12" t="inlineStr">
        <is>
          <t>Name</t>
        </is>
      </c>
      <c r="C4" s="12" t="inlineStr">
        <is>
          <t>Key numbers (FMP)</t>
        </is>
      </c>
      <c r="D4" s="12" t="inlineStr">
        <is>
          <t>Grade</t>
        </is>
      </c>
      <c r="E4" s="12" t="inlineStr">
        <is>
          <t>PSU % LTI</t>
        </is>
      </c>
      <c r="F4" s="12" t="inlineStr">
        <is>
          <t>Period</t>
        </is>
      </c>
      <c r="G4" s="12" t="inlineStr">
        <is>
          <t>Metrics (weight)</t>
        </is>
      </c>
      <c r="H4" s="12" t="inlineStr">
        <is>
          <t>Payout range</t>
        </is>
      </c>
      <c r="I4" s="12" t="inlineStr">
        <is>
          <t>rTSR target</t>
        </is>
      </c>
      <c r="J4" s="12" t="inlineStr">
        <is>
          <t>Modifier / caps</t>
        </is>
      </c>
      <c r="K4" s="12" t="inlineStr">
        <is>
          <t>Price hurdles</t>
        </is>
      </c>
      <c r="L4" s="12" t="inlineStr">
        <is>
          <t>What past cycles paid</t>
        </is>
      </c>
      <c r="M4" s="12" t="inlineStr">
        <is>
          <t>Pay vs performance</t>
        </is>
      </c>
      <c r="N4" s="12" t="inlineStr">
        <is>
          <t>Red flags</t>
        </is>
      </c>
      <c r="O4" s="12" t="inlineStr">
        <is>
          <t>Why this grade</t>
        </is>
      </c>
      <c r="P4" s="12" t="inlineStr">
        <is>
          <t>Design (verbatim)</t>
        </is>
      </c>
      <c r="Q4" s="12" t="inlineStr">
        <is>
          <t>Proxy</t>
        </is>
      </c>
      <c r="R4" s="12" t="inlineStr">
        <is>
          <t>FMP financial read</t>
        </is>
      </c>
    </row>
    <row r="5" ht="45" customHeight="1">
      <c r="A5" s="6" t="inlineStr">
        <is>
          <t>GO</t>
        </is>
      </c>
      <c r="B5" s="14" t="inlineStr">
        <is>
          <t>Grocery Outlet Holding C</t>
        </is>
      </c>
      <c r="C5" s="14" t="inlineStr">
        <is>
          <t>P/B 1.37 · debt 159% · 52w 50%</t>
        </is>
      </c>
      <c r="D5" s="30" t="inlineStr">
        <is>
          <t>A</t>
        </is>
      </c>
      <c r="E5" s="14" t="n">
        <v>84</v>
      </c>
      <c r="F5" s="14" t="inlineStr">
        <is>
          <t>3-yr (2023–2025)</t>
        </is>
      </c>
      <c r="G5" s="22" t="inlineStr">
        <is>
          <t>revenue, EPS, EBITDA, stock-price hurdle (weights not stated)</t>
        </is>
      </c>
      <c r="H5" s="14" t="inlineStr">
        <is>
          <t>0–200%</t>
        </is>
      </c>
      <c r="I5" s="14" t="inlineStr"/>
      <c r="J5" s="14" t="inlineStr"/>
      <c r="K5" s="14" t="inlineStr">
        <is>
          <t>up to 1.8× price</t>
        </is>
      </c>
      <c r="L5" s="14" t="inlineStr">
        <is>
          <t>2023 grant: 55%</t>
        </is>
      </c>
      <c r="M5" s="22" t="inlineStr">
        <is>
          <t>2023 grant: paid 55% vs TSR -65% (-151pp vs SPY) — aligned</t>
        </is>
      </c>
      <c r="N5" s="14" t="inlineStr">
        <is>
          <t>double-trigger only; 3y vesting</t>
        </is>
      </c>
      <c r="O5" s="22" t="inlineStr">
        <is>
          <t>per-share / return / TSR metrics: EPS, stock-price hurdle; also EBITDA, revenue; 3-year performance period; payout capped at 200%; PSUs 84% of LTI; history pays below target (min 55%): rigorous goals; price hurdles up to 1.8× today's price; pay-for-performance: 2023 grant paid 55% while TSR was -65% (-151pp vs SPY) — aligned</t>
        </is>
      </c>
      <c r="P5" s="22" t="inlineStr">
        <is>
          <t>and • Long-term equity incentives, which for Fiscal Year 2025 consisted of time-based stock options (in lieu of time-based restricted stock units (“RSUs”) granted in prior years) and performance-based restricted stock units (“PSUs”), with the PSUs subject to our achievement of two independent performance metrics, net sales and Adjusted EPS, over a three-year performance period.</t>
        </is>
      </c>
      <c r="Q5" s="31" t="inlineStr">
        <is>
          <t>open filing</t>
        </is>
      </c>
      <c r="R5" s="14" t="inlineStr">
        <is>
          <t>P/B 1.37 · P/S 0.2 · FCF yld -1% · net debt 159% of mcap · rev +5% · op margin 4%</t>
        </is>
      </c>
    </row>
    <row r="6" ht="45" customHeight="1">
      <c r="A6" s="8" t="inlineStr">
        <is>
          <t>LW</t>
        </is>
      </c>
      <c r="B6" s="16" t="inlineStr">
        <is>
          <t>Lamb Weston Holdings, In</t>
        </is>
      </c>
      <c r="C6" s="16" t="inlineStr">
        <is>
          <t>P/B 3.41 · 10.3× EBITDA · debt 64% · 52w 26%</t>
        </is>
      </c>
      <c r="D6" s="30" t="inlineStr">
        <is>
          <t>A</t>
        </is>
      </c>
      <c r="E6" s="16" t="n"/>
      <c r="F6" s="16" t="inlineStr">
        <is>
          <t>3-yr (2026–2028)</t>
        </is>
      </c>
      <c r="G6" s="24" t="inlineStr">
        <is>
          <t>ROIC, EBITDA, relative TSR, absolute TSR (weights not stated)</t>
        </is>
      </c>
      <c r="H6" s="16" t="inlineStr">
        <is>
          <t>0–200%</t>
        </is>
      </c>
      <c r="I6" s="16" t="inlineStr"/>
      <c r="J6" s="16" t="inlineStr"/>
      <c r="K6" s="16" t="inlineStr">
        <is>
          <t>up to 1.9× price</t>
        </is>
      </c>
      <c r="L6" s="16" t="inlineStr">
        <is>
          <t>2024–2026: 34%</t>
        </is>
      </c>
      <c r="M6" s="24" t="inlineStr">
        <is>
          <t>2024–2026: paid 34% vs TSR -55% (-123pp vs SPY) — aligned</t>
        </is>
      </c>
      <c r="N6" s="16" t="inlineStr">
        <is>
          <t>double-trigger only; post-vest holding requirement; 5y vesting; anti-hedge/pledge; responsive to shareholders</t>
        </is>
      </c>
      <c r="O6" s="24" t="inlineStr">
        <is>
          <t>per-share / return / TSR metrics: ROIC, absolute TSR, relative TSR; also EBITDA; 3-year performance period; payout capped at 200%; history pays below target (min 34%): rigorous goals; price hurdles up to 1.9× today's price; pay-for-performance: 2024–2026 paid 34% while TSR was -55% (-123pp vs SPY) — aligned</t>
        </is>
      </c>
      <c r="P6" s="24" t="inlineStr">
        <is>
          <t>◦ In response to shareholder feedback and to enhance focus on capital efficiency, the Compensation Committee added three-year average return on invested capital ("ROIC"), weighted 20%, to the PSAs granted in fiscal 2026.</t>
        </is>
      </c>
      <c r="Q6" s="32" t="inlineStr">
        <is>
          <t>open filing</t>
        </is>
      </c>
      <c r="R6" s="16" t="inlineStr">
        <is>
          <t>P/B 3.41 · EV/EBITDA 10.3× · FCF yld 10% · net debt 64% of mcap · rev +2% · op margin 9% · buying back 3%/yr</t>
        </is>
      </c>
    </row>
    <row r="7" ht="45" customHeight="1">
      <c r="A7" s="6" t="inlineStr">
        <is>
          <t>FTV</t>
        </is>
      </c>
      <c r="B7" s="14" t="inlineStr">
        <is>
          <t>Fortive Corporation</t>
        </is>
      </c>
      <c r="C7" s="14" t="inlineStr">
        <is>
          <t>P/B 2.80 · 18.7× EBITDA · debt 18% · 52w 52%</t>
        </is>
      </c>
      <c r="D7" s="30" t="inlineStr">
        <is>
          <t>A</t>
        </is>
      </c>
      <c r="E7" s="14" t="n">
        <v>85</v>
      </c>
      <c r="F7" s="14" t="inlineStr">
        <is>
          <t>3-yr</t>
        </is>
      </c>
      <c r="G7" s="22" t="inlineStr">
        <is>
          <t>relative TSR, revenue, absolute TSR (weights not stated)</t>
        </is>
      </c>
      <c r="H7" s="14" t="inlineStr"/>
      <c r="I7" s="14" t="inlineStr">
        <is>
          <t>55th</t>
        </is>
      </c>
      <c r="J7" s="14" t="inlineStr"/>
      <c r="K7" s="14" t="inlineStr">
        <is>
          <t>up to 1.0× price</t>
        </is>
      </c>
      <c r="L7" s="14" t="inlineStr">
        <is>
          <t>2023–2025: 60%</t>
        </is>
      </c>
      <c r="M7" s="22" t="inlineStr">
        <is>
          <t>2023–2025: paid 60% vs TSR +16% (-71pp vs SPY) — aligned</t>
        </is>
      </c>
      <c r="N7" s="14" t="inlineStr">
        <is>
          <t>double-trigger only; 4y vesting; clawback strengthened</t>
        </is>
      </c>
      <c r="O7" s="22" t="inlineStr">
        <is>
          <t>per-share / return / TSR metrics: absolute TSR, relative TSR; also revenue; 3-year performance period; target at 55th percentile (above median); PSUs 85% of LTI; history avg 60% of target; pay-for-performance: 2023–2025 paid 60% while TSR was +16% (-71pp vs SPY) — aligned</t>
        </is>
      </c>
      <c r="P7" s="22" t="inlineStr">
        <is>
          <t>• 60% of the 2025 PSU award is tied to relative Total Shareholder Return (“TSR”) performance, with a target set at the 55 th percentile against S&amp;P 500 constituents, requiring above-median performance to earn a target payout.</t>
        </is>
      </c>
      <c r="Q7" s="31" t="inlineStr">
        <is>
          <t>open filing</t>
        </is>
      </c>
      <c r="R7" s="14" t="inlineStr">
        <is>
          <t>P/B 2.80 · EV/EBITDA 18.7× · FCF yld 6% · net debt 18% of mcap · rev -30% · op margin 18% · buying back 10%/yr</t>
        </is>
      </c>
    </row>
    <row r="8" ht="45" customHeight="1">
      <c r="A8" s="8" t="inlineStr">
        <is>
          <t>TROX</t>
        </is>
      </c>
      <c r="B8" s="16" t="inlineStr">
        <is>
          <t>Tronox Holdings plc</t>
        </is>
      </c>
      <c r="C8" s="16" t="inlineStr">
        <is>
          <t>P/B 0.60 · 43.9× EBITDA · debt 457% · 52w 19%</t>
        </is>
      </c>
      <c r="D8" s="30" t="inlineStr">
        <is>
          <t>A</t>
        </is>
      </c>
      <c r="E8" s="16" t="n">
        <v>86</v>
      </c>
      <c r="F8" s="16" t="inlineStr">
        <is>
          <t>3-yr (2023–2025)</t>
        </is>
      </c>
      <c r="G8" s="24" t="inlineStr">
        <is>
          <t>relative TSR 50%, ROIC 50%</t>
        </is>
      </c>
      <c r="H8" s="16" t="inlineStr">
        <is>
          <t>50–200%</t>
        </is>
      </c>
      <c r="I8" s="16" t="inlineStr">
        <is>
          <t>35th</t>
        </is>
      </c>
      <c r="J8" s="16" t="inlineStr"/>
      <c r="K8" s="16" t="inlineStr">
        <is>
          <t>up to 3.7× price</t>
        </is>
      </c>
      <c r="L8" s="16" t="inlineStr"/>
      <c r="M8" s="24" t="inlineStr"/>
      <c r="N8" s="16" t="inlineStr">
        <is>
          <t>double-trigger only; 3y vesting; responsive to shareholders</t>
        </is>
      </c>
      <c r="O8" s="24" t="inlineStr">
        <is>
          <t>per-share / return / TSR metrics: ROIC, relative TSR; 3-year performance period; payout capped at 200%; target at 35th percentile (below median); PSUs 86% of LTI; price hurdles up to $16.24 = 3.7× today's $4.355</t>
        </is>
      </c>
      <c r="P8" s="24" t="inlineStr">
        <is>
          <t>– 50% of the annual long-term equity awards are performance-based RSUs with 50% linked to three-year TSR performance percentile ranking versus a peer group and the other 50% based on Return on Invested Capital (ROIC) performance in 2027 (the third year of the measurement period).</t>
        </is>
      </c>
      <c r="Q8" s="32" t="inlineStr">
        <is>
          <t>open filing</t>
        </is>
      </c>
      <c r="R8" s="16" t="inlineStr">
        <is>
          <t>P/B 0.60 · EV/EBITDA 43.9× · FCF yld -23% · net debt 457% of mcap · rev +3% · op margin -4% · interest cover -0.5× ⚠</t>
        </is>
      </c>
    </row>
    <row r="9" ht="45" customHeight="1">
      <c r="A9" s="6" t="inlineStr">
        <is>
          <t>CRM</t>
        </is>
      </c>
      <c r="B9" s="14" t="inlineStr">
        <is>
          <t>Salesforce, Inc.</t>
        </is>
      </c>
      <c r="C9" s="14" t="inlineStr">
        <is>
          <t>P/B 3.25 · 14.5× EBITDA · cash 0% · 52w 75%</t>
        </is>
      </c>
      <c r="D9" s="30" t="inlineStr">
        <is>
          <t>A</t>
        </is>
      </c>
      <c r="E9" s="14" t="n">
        <v>67</v>
      </c>
      <c r="F9" s="14" t="inlineStr">
        <is>
          <t>3-yr</t>
        </is>
      </c>
      <c r="G9" s="22" t="inlineStr">
        <is>
          <t>relative TSR, revenue, operating income / margin, absolute TSR (weights not stated)</t>
        </is>
      </c>
      <c r="H9" s="14" t="inlineStr">
        <is>
          <t>0–200%</t>
        </is>
      </c>
      <c r="I9" s="14" t="inlineStr">
        <is>
          <t>60th</t>
        </is>
      </c>
      <c r="J9" s="14" t="inlineStr">
        <is>
          <t>capped at target if TSR &lt; 0</t>
        </is>
      </c>
      <c r="K9" s="14" t="inlineStr">
        <is>
          <t>up to 1.2× price</t>
        </is>
      </c>
      <c r="L9" s="14" t="inlineStr">
        <is>
          <t>2024–2026: 112%</t>
        </is>
      </c>
      <c r="M9" s="22" t="inlineStr">
        <is>
          <t>2024–2026: paid 112% vs TSR -5% (-72pp vs SPY) — misaligned</t>
        </is>
      </c>
      <c r="N9" s="14" t="inlineStr">
        <is>
          <t>double-trigger only; 4y vesting; SOP 77% (dissent)</t>
        </is>
      </c>
      <c r="O9" s="22" t="inlineStr">
        <is>
          <t>per-share / return / TSR metrics: absolute TSR, relative TSR; also revenue; 3-year performance period; payout capped at 200%; payout capped at target if TSR negative; target at 60th percentile (above median); PSUs 67% of LTI; history avg 112% of target; pay-for-performance: 2024–2026 paid 112% while TSR was -5% (-72pp vs SPY) — misaligned</t>
        </is>
      </c>
      <c r="P9" s="22" t="inlineStr">
        <is>
          <t>• Relative TSR Rigor : Target payouts for relative TSR PRSUs require 60th-percentile outperformance.</t>
        </is>
      </c>
      <c r="Q9" s="31" t="inlineStr">
        <is>
          <t>open filing</t>
        </is>
      </c>
      <c r="R9" s="14" t="inlineStr">
        <is>
          <t>P/B 3.25 · EV/EBITDA 14.5× · FCF yld 8% · net cash 0% of mcap · rev +8% · op margin 21%</t>
        </is>
      </c>
    </row>
    <row r="10" ht="45" customHeight="1">
      <c r="A10" s="8" t="inlineStr">
        <is>
          <t>POOL</t>
        </is>
      </c>
      <c r="B10" s="16" t="inlineStr">
        <is>
          <t>Pool Corporation</t>
        </is>
      </c>
      <c r="C10" s="16" t="inlineStr">
        <is>
          <t>P/B 4.84 · 12.8× EBITDA · debt 27% · 52w 2%</t>
        </is>
      </c>
      <c r="D10" s="33" t="inlineStr">
        <is>
          <t>B</t>
        </is>
      </c>
      <c r="E10" s="16" t="n"/>
      <c r="F10" s="16" t="inlineStr">
        <is>
          <t>3-yr</t>
        </is>
      </c>
      <c r="G10" s="24" t="inlineStr">
        <is>
          <t>EPS, ROIC (weights not stated)</t>
        </is>
      </c>
      <c r="H10" s="16" t="inlineStr">
        <is>
          <t>0–200%</t>
        </is>
      </c>
      <c r="I10" s="16" t="inlineStr"/>
      <c r="J10" s="16" t="inlineStr"/>
      <c r="K10" s="16" t="inlineStr"/>
      <c r="L10" s="16" t="inlineStr">
        <is>
          <t>2019–2022: 93%</t>
        </is>
      </c>
      <c r="M10" s="24" t="inlineStr">
        <is>
          <t>2019–2022: paid 93% vs TSR +115% (+52pp vs SPY) — mixed</t>
        </is>
      </c>
      <c r="N10" s="16" t="inlineStr">
        <is>
          <t>double-trigger only; 3y vesting</t>
        </is>
      </c>
      <c r="O10" s="24" t="inlineStr">
        <is>
          <t>per-share / return / TSR metrics: EPS, ROIC; 3-year performance period; payout capped at 200%; history avg 93% of target; pay-for-performance: 2019–2022 paid 93% while TSR was +115% (+52pp vs SPY) — mixed</t>
        </is>
      </c>
      <c r="P10" s="24" t="inlineStr">
        <is>
          <t>• For the 2025 performance-based awards, the Committee established a three-year diluted earnings per share (EPS) CAGR target of 6%.</t>
        </is>
      </c>
      <c r="Q10" s="32" t="inlineStr">
        <is>
          <t>open filing</t>
        </is>
      </c>
      <c r="R10" s="16" t="inlineStr">
        <is>
          <t>P/B 4.84 · EV/EBITDA 12.8× · FCF yld 10% · net debt 27% of mcap · rev +2% · op margin 11% · buying back 3%/yr</t>
        </is>
      </c>
    </row>
    <row r="11" ht="45" customHeight="1">
      <c r="A11" s="6" t="inlineStr">
        <is>
          <t>KSS</t>
        </is>
      </c>
      <c r="B11" s="14" t="inlineStr">
        <is>
          <t>Kohl's Corporation</t>
        </is>
      </c>
      <c r="C11" s="14" t="inlineStr">
        <is>
          <t>P/B 0.49 · 5.8× EBITDA · debt 276% · 52w 47%</t>
        </is>
      </c>
      <c r="D11" s="33" t="inlineStr">
        <is>
          <t>B</t>
        </is>
      </c>
      <c r="E11" s="14" t="n">
        <v>89</v>
      </c>
      <c r="F11" s="14" t="inlineStr">
        <is>
          <t>3-yr (2025–2027)</t>
        </is>
      </c>
      <c r="G11" s="22" t="inlineStr">
        <is>
          <t>revenue 50%, operating income / margin 50%</t>
        </is>
      </c>
      <c r="H11" s="14" t="inlineStr"/>
      <c r="I11" s="14" t="inlineStr"/>
      <c r="J11" s="14" t="inlineStr">
        <is>
          <t>±25% TSR modifier</t>
        </is>
      </c>
      <c r="K11" s="14" t="inlineStr">
        <is>
          <t>up to 1.0× price</t>
        </is>
      </c>
      <c r="L11" s="14" t="inlineStr">
        <is>
          <t>2023–2025: 50%</t>
        </is>
      </c>
      <c r="M11" s="22" t="inlineStr">
        <is>
          <t>2023–2025: paid 50% vs TSR +4% (-82pp vs SPY) — aligned</t>
        </is>
      </c>
      <c r="N11" s="14" t="inlineStr">
        <is>
          <t>double-trigger only; 3y vesting; responsive to shareholders; SOP only 55% (severe dissent)</t>
        </is>
      </c>
      <c r="O11" s="22" t="inlineStr">
        <is>
          <t>only revenue / EBITDA / strategic metrics; 3-year performance period; PSUs 89% of LTI; history pays below target (min 50%): rigorous goals; pay-for-performance: 2023–2025 paid 50% while TSR was +4% (-82pp vs SPY) — aligned</t>
        </is>
      </c>
      <c r="P11" s="22" t="inlineStr">
        <is>
          <t>Consistent with our prior year program, the Committee maintained the performance measures of Net Sales (50%) and Operating Margin (50%) for the 2025-2027 Perfor Equity Awards ● | 2023-2025 Performance Share Units.</t>
        </is>
      </c>
      <c r="Q11" s="31" t="inlineStr">
        <is>
          <t>open filing</t>
        </is>
      </c>
      <c r="R11" s="14" t="inlineStr">
        <is>
          <t>P/B 0.49 · EV/EBITDA 5.8× · FCF yld 51% · net debt 276% of mcap · rev -3% · op margin 4% · diluting 4%/yr</t>
        </is>
      </c>
    </row>
  </sheetData>
  <mergeCells count="1">
    <mergeCell ref="A2:K2"/>
  </mergeCells>
  <hyperlinks>
    <hyperlink xmlns:r="http://schemas.openxmlformats.org/officeDocument/2006/relationships" ref="A5" r:id="rId1"/>
    <hyperlink xmlns:r="http://schemas.openxmlformats.org/officeDocument/2006/relationships" ref="Q5" r:id="rId2"/>
    <hyperlink xmlns:r="http://schemas.openxmlformats.org/officeDocument/2006/relationships" ref="A6" r:id="rId3"/>
    <hyperlink xmlns:r="http://schemas.openxmlformats.org/officeDocument/2006/relationships" ref="Q6" r:id="rId4"/>
    <hyperlink xmlns:r="http://schemas.openxmlformats.org/officeDocument/2006/relationships" ref="Q7" r:id="rId5"/>
    <hyperlink xmlns:r="http://schemas.openxmlformats.org/officeDocument/2006/relationships" ref="A8" r:id="rId6"/>
    <hyperlink xmlns:r="http://schemas.openxmlformats.org/officeDocument/2006/relationships" ref="Q8" r:id="rId7"/>
    <hyperlink xmlns:r="http://schemas.openxmlformats.org/officeDocument/2006/relationships" ref="A9" r:id="rId8"/>
    <hyperlink xmlns:r="http://schemas.openxmlformats.org/officeDocument/2006/relationships" ref="Q9" r:id="rId9"/>
    <hyperlink xmlns:r="http://schemas.openxmlformats.org/officeDocument/2006/relationships" ref="A10" r:id="rId10"/>
    <hyperlink xmlns:r="http://schemas.openxmlformats.org/officeDocument/2006/relationships" ref="Q10" r:id="rId11"/>
    <hyperlink xmlns:r="http://schemas.openxmlformats.org/officeDocument/2006/relationships" ref="Q11" r:id="rId12"/>
  </hyperlinks>
  <pageMargins left="0.75" right="0.75" top="1" bottom="1" header="0.5" footer="0.5"/>
</worksheet>
</file>

<file path=xl/worksheets/sheet8.xml><?xml version="1.0" encoding="utf-8"?>
<worksheet xmlns="http://schemas.openxmlformats.org/spreadsheetml/2006/main">
  <sheetPr>
    <tabColor rgb="002E75B6"/>
    <outlinePr summaryBelow="1" summaryRight="1"/>
    <pageSetUpPr fitToPage="1"/>
  </sheetPr>
  <dimension ref="A1:M66"/>
  <sheetViews>
    <sheetView showGridLines="0" workbookViewId="0">
      <pane ySplit="4" topLeftCell="A5" activePane="bottomLeft" state="frozen"/>
      <selection pane="bottomLeft" activeCell="A1" sqref="A1"/>
    </sheetView>
  </sheetViews>
  <sheetFormatPr baseColWidth="8" defaultRowHeight="15"/>
  <cols>
    <col width="9" customWidth="1" min="1" max="1"/>
    <col width="22" customWidth="1" min="2" max="2"/>
    <col width="30" customWidth="1" min="3" max="3"/>
    <col width="9" customWidth="1" min="4" max="4"/>
    <col width="48" customWidth="1" min="5" max="5"/>
    <col width="60" customWidth="1" min="6" max="6"/>
    <col width="13" customWidth="1" min="7" max="7"/>
    <col width="7" customWidth="1" min="8" max="8"/>
    <col width="6" customWidth="1" min="9" max="9"/>
    <col width="9" customWidth="1" min="10" max="10"/>
    <col width="8" customWidth="1" min="11" max="11"/>
    <col width="50" customWidth="1" min="12" max="12"/>
    <col width="62" customWidth="1" min="13" max="13"/>
  </cols>
  <sheetData>
    <row r="1" ht="26" customHeight="1">
      <c r="A1" s="1" t="inlineStr">
        <is>
          <t>Governance Discount — well below book, and the board just changed</t>
        </is>
      </c>
    </row>
    <row r="2" ht="18" customHeight="1">
      <c r="A2" s="20" t="inlineStr">
        <is>
          <t>A stock far below book is usually a value trap, unless governance has shifted so closing the gap becomes the board's job: an activist settlement, a new CEO, a strategic-review or capital-allocation committee, a chair/CEO split, declassification, a pill dropped, a capital-return policy or tender. Signals are dated and recency-weighted.</t>
        </is>
      </c>
      <c r="B2" s="19" t="n"/>
      <c r="C2" s="19" t="n"/>
      <c r="D2" s="19" t="n"/>
      <c r="E2" s="19" t="n"/>
      <c r="F2" s="19" t="n"/>
      <c r="G2" s="19" t="n"/>
      <c r="H2" s="19" t="n"/>
      <c r="I2" s="19" t="n"/>
      <c r="J2" s="19" t="n"/>
      <c r="K2" s="19" t="n"/>
      <c r="L2" s="19" t="n"/>
    </row>
    <row r="3" ht="8" customHeight="1">
      <c r="D3" s="34" t="inlineStr">
        <is>
          <t>%ile vs all 86 names scored</t>
        </is>
      </c>
    </row>
    <row r="4" ht="18" customHeight="1">
      <c r="A4" s="12" t="inlineStr">
        <is>
          <t>Ticker</t>
        </is>
      </c>
      <c r="B4" s="12" t="inlineStr">
        <is>
          <t>Name</t>
        </is>
      </c>
      <c r="C4" s="12" t="inlineStr">
        <is>
          <t>Key numbers (FMP)</t>
        </is>
      </c>
      <c r="D4" s="12" t="inlineStr">
        <is>
          <t>Strength %ile</t>
        </is>
      </c>
      <c r="E4" s="12" t="inlineStr">
        <is>
          <t>PSU plan (grade)</t>
        </is>
      </c>
      <c r="F4" s="12" t="inlineStr">
        <is>
          <t>What's happening (8-K)</t>
        </is>
      </c>
      <c r="G4" s="4" t="inlineStr">
        <is>
          <t>Tier</t>
        </is>
      </c>
      <c r="H4" s="4" t="inlineStr">
        <is>
          <t>Score</t>
        </is>
      </c>
      <c r="I4" s="4" t="inlineStr">
        <is>
          <t>P/B</t>
        </is>
      </c>
      <c r="J4" s="4" t="inlineStr">
        <is>
          <t>Mcap $M</t>
        </is>
      </c>
      <c r="K4" s="4" t="inlineStr">
        <is>
          <t>Net cash</t>
        </is>
      </c>
      <c r="L4" s="4" t="inlineStr">
        <is>
          <t>Governance signals (most recent date)</t>
        </is>
      </c>
      <c r="M4" s="4" t="inlineStr">
        <is>
          <t>FMP financial read</t>
        </is>
      </c>
    </row>
    <row r="5" ht="22" customHeight="1">
      <c r="A5" s="6" t="inlineStr">
        <is>
          <t>KSS</t>
        </is>
      </c>
      <c r="B5" s="14" t="inlineStr">
        <is>
          <t>Kohl's Corporation</t>
        </is>
      </c>
      <c r="C5" s="14" t="inlineStr">
        <is>
          <t>P/B 0.49 · 5.8× EBITDA · debt 276% · 52w 47%</t>
        </is>
      </c>
      <c r="D5" s="14" t="n">
        <v>99</v>
      </c>
      <c r="E5" s="14" t="inlineStr">
        <is>
          <t>B · 3-yr · revenue 50%, operating income / margin 50% · paid 50%</t>
        </is>
      </c>
      <c r="F5" s="14" t="n"/>
      <c r="G5" s="14" t="inlineStr">
        <is>
          <t>ACTION LIKELY</t>
        </is>
      </c>
      <c r="H5" s="27" t="n">
        <v>47.8</v>
      </c>
      <c r="I5" s="27" t="n">
        <v>0.49</v>
      </c>
      <c r="J5" s="13" t="n">
        <v>2025.9</v>
      </c>
      <c r="K5" s="14" t="inlineStr">
        <is>
          <t>–</t>
        </is>
      </c>
      <c r="L5" s="14" t="inlineStr">
        <is>
          <t>call commit (2026-08); chair ceo split (2026-07);</t>
        </is>
      </c>
      <c r="M5" s="14" t="inlineStr">
        <is>
          <t>P/B 0.49 · EV/EBITDA 5.8× · FCF yld 51% · net debt 276% of mcap · rev -3% · op margin 4% · diluting 4%/yr</t>
        </is>
      </c>
    </row>
    <row r="6" ht="22" customHeight="1">
      <c r="A6" s="8" t="inlineStr">
        <is>
          <t>ONL</t>
        </is>
      </c>
      <c r="B6" s="16" t="inlineStr">
        <is>
          <t>Orion Properties Inc.</t>
        </is>
      </c>
      <c r="C6" s="16" t="inlineStr">
        <is>
          <t>P/B 0.23 · debt 301% · 52w 56%</t>
        </is>
      </c>
      <c r="D6" s="16" t="n">
        <v>98</v>
      </c>
      <c r="E6" s="16" t="n"/>
      <c r="F6" s="16" t="n"/>
      <c r="G6" s="16" t="inlineStr">
        <is>
          <t>ACTION LIKELY</t>
        </is>
      </c>
      <c r="H6" s="28" t="n">
        <v>38.8</v>
      </c>
      <c r="I6" s="28" t="n">
        <v>0.23</v>
      </c>
      <c r="J6" s="15" t="n">
        <v>144.3</v>
      </c>
      <c r="K6" s="16" t="inlineStr">
        <is>
          <t>–</t>
        </is>
      </c>
      <c r="L6" s="16" t="inlineStr">
        <is>
          <t>activist settlement (2026-01); value committee (20</t>
        </is>
      </c>
      <c r="M6" s="16" t="inlineStr">
        <is>
          <t>P/B 0.23 · P/S 1.0 · FCF yld -34% · net debt 301% of mcap · rev -6% · op margin -48% · diluting 3%/yr · interest cover -2.1× ⚠</t>
        </is>
      </c>
    </row>
    <row r="7" ht="22" customHeight="1">
      <c r="A7" s="6" t="inlineStr">
        <is>
          <t>CMTL</t>
        </is>
      </c>
      <c r="B7" s="14" t="inlineStr">
        <is>
          <t>Comtech Telecommunicat</t>
        </is>
      </c>
      <c r="C7" s="14" t="inlineStr">
        <is>
          <t>P/B 0.16 · 5.7× EBITDA · debt 515% · 52w 1%</t>
        </is>
      </c>
      <c r="D7" s="14" t="n">
        <v>98</v>
      </c>
      <c r="E7" s="14" t="n"/>
      <c r="F7" s="14" t="n"/>
      <c r="G7" s="14" t="inlineStr">
        <is>
          <t>ACTION LIKELY</t>
        </is>
      </c>
      <c r="H7" s="27" t="n">
        <v>38.8</v>
      </c>
      <c r="I7" s="27" t="n">
        <v>0.16</v>
      </c>
      <c r="J7" s="13" t="n">
        <v>43.3</v>
      </c>
      <c r="K7" s="14" t="inlineStr">
        <is>
          <t>–</t>
        </is>
      </c>
      <c r="L7" s="14" t="inlineStr">
        <is>
          <t>value committee (2025-12); turnaround exec (2026-0</t>
        </is>
      </c>
      <c r="M7" s="14" t="inlineStr">
        <is>
          <t>P/B 0.16 · EV/EBITDA 5.7× · FCF yld 36% · net debt 515% of mcap · rev -4% · op margin 0% · interest cover 0.0× ⚠</t>
        </is>
      </c>
    </row>
    <row r="8" ht="22" customHeight="1">
      <c r="A8" s="8" t="inlineStr">
        <is>
          <t>JOB</t>
        </is>
      </c>
      <c r="B8" s="16" t="inlineStr">
        <is>
          <t>GEE Group Inc.</t>
        </is>
      </c>
      <c r="C8" s="16" t="inlineStr">
        <is>
          <t>P/B 0.51 · 6.8× EBITDA · cash 65% · 52w 59%</t>
        </is>
      </c>
      <c r="D8" s="16" t="n">
        <v>96</v>
      </c>
      <c r="E8" s="16" t="n"/>
      <c r="F8" s="16" t="n"/>
      <c r="G8" s="16" t="inlineStr">
        <is>
          <t>ACTION LIKELY</t>
        </is>
      </c>
      <c r="H8" s="28" t="n">
        <v>38</v>
      </c>
      <c r="I8" s="28" t="n">
        <v>0.51</v>
      </c>
      <c r="J8" s="15" t="n">
        <v>25.8</v>
      </c>
      <c r="K8" s="28" t="n">
        <v>65</v>
      </c>
      <c r="L8" s="16" t="inlineStr">
        <is>
          <t>activist settlement (2026-08); declassify (2026-08</t>
        </is>
      </c>
      <c r="M8" s="16" t="inlineStr">
        <is>
          <t>P/B 0.51 · EV/EBITDA 6.8× · FCF yld 6% · net cash 65% of mcap · rev -17% · op margin -1%</t>
        </is>
      </c>
    </row>
    <row r="9" ht="22" customHeight="1">
      <c r="A9" s="6" t="inlineStr">
        <is>
          <t>MED</t>
        </is>
      </c>
      <c r="B9" s="14" t="inlineStr">
        <is>
          <t>MEDIFAST INC</t>
        </is>
      </c>
      <c r="C9" s="14" t="inlineStr">
        <is>
          <t>P/B 0.69 · cash 105% · 52w 57%</t>
        </is>
      </c>
      <c r="D9" s="14" t="n">
        <v>95</v>
      </c>
      <c r="E9" s="14" t="n"/>
      <c r="F9" s="14" t="n"/>
      <c r="G9" s="14" t="inlineStr">
        <is>
          <t>ACTION LIKELY</t>
        </is>
      </c>
      <c r="H9" s="27" t="n">
        <v>36.6</v>
      </c>
      <c r="I9" s="27" t="n">
        <v>0.6899999999999999</v>
      </c>
      <c r="J9" s="13" t="n">
        <v>134.9</v>
      </c>
      <c r="K9" s="27" t="n">
        <v>33</v>
      </c>
      <c r="L9" s="14" t="inlineStr">
        <is>
          <t>activist settlement (2026-03); turnaround exec (20</t>
        </is>
      </c>
      <c r="M9" s="14" t="inlineStr">
        <is>
          <t>P/B 0.69 · P/S 0.4 · FCF yld 3% · net cash 105% of mcap · rev -34% · op margin -5%</t>
        </is>
      </c>
    </row>
    <row r="10" ht="22" customHeight="1">
      <c r="A10" s="8" t="inlineStr">
        <is>
          <t>HAIN</t>
        </is>
      </c>
      <c r="B10" s="16" t="inlineStr">
        <is>
          <t>The Hain Celestial Gro</t>
        </is>
      </c>
      <c r="C10" s="16" t="inlineStr">
        <is>
          <t>P/B 0.23 · debt 1111% · 52w 6%</t>
        </is>
      </c>
      <c r="D10" s="16" t="n">
        <v>94</v>
      </c>
      <c r="E10" s="16" t="n"/>
      <c r="F10" s="16" t="n"/>
      <c r="G10" s="16" t="inlineStr">
        <is>
          <t>ACTION LIKELY</t>
        </is>
      </c>
      <c r="H10" s="28" t="n">
        <v>35.8</v>
      </c>
      <c r="I10" s="28" t="n">
        <v>0.23</v>
      </c>
      <c r="J10" s="15" t="n">
        <v>49.6</v>
      </c>
      <c r="K10" s="16" t="inlineStr">
        <is>
          <t>–</t>
        </is>
      </c>
      <c r="L10" s="16" t="inlineStr">
        <is>
          <t>value committee (2026-04); asset sale (2026-09); m</t>
        </is>
      </c>
      <c r="M10" s="16" t="inlineStr">
        <is>
          <t>P/B 0.23 · P/S 0.0 · net debt 1111% of mcap · rev -9% · op margin 2% · interest cover 0.5× ⚠  [FCF yield &gt;100% (check)]</t>
        </is>
      </c>
    </row>
    <row r="11" ht="22" customHeight="1">
      <c r="A11" s="6" t="inlineStr">
        <is>
          <t>BCIC</t>
        </is>
      </c>
      <c r="B11" s="14" t="inlineStr">
        <is>
          <t>BCP Investment Corpora</t>
        </is>
      </c>
      <c r="C11" s="14" t="inlineStr">
        <is>
          <t>P/B 0.49 · 52w 6%</t>
        </is>
      </c>
      <c r="D11" s="14" t="n">
        <v>92</v>
      </c>
      <c r="E11" s="14" t="n"/>
      <c r="F11" s="14" t="n"/>
      <c r="G11" s="14" t="inlineStr">
        <is>
          <t>ACTION LIKELY</t>
        </is>
      </c>
      <c r="H11" s="27" t="n">
        <v>34</v>
      </c>
      <c r="I11" s="27" t="n">
        <v>0.49</v>
      </c>
      <c r="J11" s="13" t="n">
        <v>88</v>
      </c>
      <c r="K11" s="14" t="inlineStr">
        <is>
          <t>–</t>
        </is>
      </c>
      <c r="L11" s="14" t="inlineStr">
        <is>
          <t>capital return policy (2026-05); tender offer (202</t>
        </is>
      </c>
      <c r="M11" s="14" t="inlineStr">
        <is>
          <t>P/B 0.49 · ROE -2% · div yld 12.6% · diluting 34%/yr (financial: book/earnings basis)  [revenue not comparable YoY (fair-value / one-off income?)]</t>
        </is>
      </c>
    </row>
    <row r="12" ht="22" customHeight="1">
      <c r="A12" s="8" t="inlineStr">
        <is>
          <t>TOON</t>
        </is>
      </c>
      <c r="B12" s="16" t="inlineStr">
        <is>
          <t>Kartoon Studios Inc.</t>
        </is>
      </c>
      <c r="C12" s="16" t="inlineStr">
        <is>
          <t>P/B 0.66 · 2.6× EBITDA · cash 91% · 52w 10%</t>
        </is>
      </c>
      <c r="D12" s="16" t="n">
        <v>91</v>
      </c>
      <c r="E12" s="16" t="n"/>
      <c r="F12" s="16" t="n"/>
      <c r="G12" s="16" t="inlineStr">
        <is>
          <t>ACTION LIKELY</t>
        </is>
      </c>
      <c r="H12" s="28" t="n">
        <v>33</v>
      </c>
      <c r="I12" s="28" t="n">
        <v>0.66</v>
      </c>
      <c r="J12" s="15" t="n">
        <v>34.4</v>
      </c>
      <c r="K12" s="16" t="inlineStr">
        <is>
          <t>–</t>
        </is>
      </c>
      <c r="L12" s="16" t="inlineStr">
        <is>
          <t>activist settlement (2026-08); pill removed (2026-</t>
        </is>
      </c>
      <c r="M12" s="16" t="inlineStr">
        <is>
          <t>P/B 0.66 · EV/EBITDA 2.6× · FCF yld 75% · net cash 91% of mcap · rev -82% · diluting 48%/yr</t>
        </is>
      </c>
    </row>
    <row r="13" ht="22" customHeight="1">
      <c r="A13" s="6" t="inlineStr">
        <is>
          <t>UEIC</t>
        </is>
      </c>
      <c r="B13" s="14" t="inlineStr">
        <is>
          <t>Universal Electronics</t>
        </is>
      </c>
      <c r="C13" s="14" t="inlineStr">
        <is>
          <t>P/B 0.47 · 7.7× EBITDA · cash 3% · 52w 78%</t>
        </is>
      </c>
      <c r="D13" s="14" t="n">
        <v>89</v>
      </c>
      <c r="E13" s="14" t="n"/>
      <c r="F13" s="14" t="n"/>
      <c r="G13" s="14" t="inlineStr">
        <is>
          <t>ACTION LIKELY</t>
        </is>
      </c>
      <c r="H13" s="27" t="n">
        <v>30.8</v>
      </c>
      <c r="I13" s="27" t="n">
        <v>0.47</v>
      </c>
      <c r="J13" s="13" t="n">
        <v>66.5</v>
      </c>
      <c r="K13" s="14" t="inlineStr">
        <is>
          <t>–</t>
        </is>
      </c>
      <c r="L13" s="14" t="inlineStr">
        <is>
          <t>capital return policy (2026-08); turnaround exec (</t>
        </is>
      </c>
      <c r="M13" s="14" t="inlineStr">
        <is>
          <t>P/B 0.47 · EV/EBITDA 7.7× · FCF yld 10% · net cash 3% of mcap · rev -18% · op margin -0% · buying back 4%/yr</t>
        </is>
      </c>
    </row>
    <row r="14" ht="22" customHeight="1">
      <c r="A14" s="8" t="inlineStr">
        <is>
          <t>CABO</t>
        </is>
      </c>
      <c r="B14" s="16" t="inlineStr">
        <is>
          <t>Cable One, Inc.</t>
        </is>
      </c>
      <c r="C14" s="16" t="inlineStr">
        <is>
          <t>P/B 0.29 · debt 3042% · 52w 0%</t>
        </is>
      </c>
      <c r="D14" s="16" t="n">
        <v>87</v>
      </c>
      <c r="E14" s="16" t="n"/>
      <c r="F14" s="16" t="n"/>
      <c r="G14" s="16" t="inlineStr">
        <is>
          <t>ACTION LIKELY</t>
        </is>
      </c>
      <c r="H14" s="28" t="n">
        <v>28.4</v>
      </c>
      <c r="I14" s="28" t="n">
        <v>0.29</v>
      </c>
      <c r="J14" s="15" t="n">
        <v>94.90000000000001</v>
      </c>
      <c r="K14" s="16" t="inlineStr">
        <is>
          <t>–</t>
        </is>
      </c>
      <c r="L14" s="16" t="inlineStr">
        <is>
          <t>ceo change (2025-12); chair ceo split (2025-12); c</t>
        </is>
      </c>
      <c r="M14" s="16" t="inlineStr">
        <is>
          <t>P/B 0.29 · P/S 0.1 · net debt 3042% of mcap · rev -7% · op margin -17% · interest cover -1.8× ⚠  [FCF yield &gt;100% (check)]</t>
        </is>
      </c>
    </row>
    <row r="15" ht="22" customHeight="1">
      <c r="A15" s="6" t="inlineStr">
        <is>
          <t>ARI</t>
        </is>
      </c>
      <c r="B15" s="14" t="inlineStr">
        <is>
          <t>Apollo Commercial Real</t>
        </is>
      </c>
      <c r="C15" s="14" t="inlineStr">
        <is>
          <t>P/B 0.66 · cash 105% · 52w 1%</t>
        </is>
      </c>
      <c r="D15" s="14" t="n">
        <v>85</v>
      </c>
      <c r="E15" s="14" t="n"/>
      <c r="F15" s="14" t="n"/>
      <c r="G15" s="14" t="inlineStr">
        <is>
          <t>ACTION LIKELY</t>
        </is>
      </c>
      <c r="H15" s="27" t="n">
        <v>28</v>
      </c>
      <c r="I15" s="27" t="n">
        <v>0.66</v>
      </c>
      <c r="J15" s="13" t="n">
        <v>829.6</v>
      </c>
      <c r="K15" s="14" t="inlineStr">
        <is>
          <t>–</t>
        </is>
      </c>
      <c r="L15" s="14" t="inlineStr">
        <is>
          <t>strategic review (2026-06); call commit (2026-04);</t>
        </is>
      </c>
      <c r="M15" s="14" t="inlineStr">
        <is>
          <t>P/B 0.66 · P/S 3.1 · FCF yld 5% · net cash 105% of mcap · rev -59% · op margin 149% · buying back 5%/yr  [dividend yield &gt;25% (special or bad data)]</t>
        </is>
      </c>
    </row>
    <row r="16" ht="22" customHeight="1">
      <c r="A16" s="8" t="inlineStr">
        <is>
          <t>BGS</t>
        </is>
      </c>
      <c r="B16" s="16" t="inlineStr">
        <is>
          <t>B&amp;G Foods, Inc.</t>
        </is>
      </c>
      <c r="C16" s="16" t="inlineStr">
        <is>
          <t>P/B 0.62 · 16.3× EBITDA · debt 811% · 52w 4%</t>
        </is>
      </c>
      <c r="D16" s="16" t="n">
        <v>84</v>
      </c>
      <c r="E16" s="16" t="n"/>
      <c r="F16" s="16" t="n"/>
      <c r="G16" s="16" t="inlineStr">
        <is>
          <t>ACTION LIKELY</t>
        </is>
      </c>
      <c r="H16" s="28" t="n">
        <v>26.8</v>
      </c>
      <c r="I16" s="28" t="n">
        <v>0.62</v>
      </c>
      <c r="J16" s="15" t="n">
        <v>244.7</v>
      </c>
      <c r="K16" s="16" t="inlineStr">
        <is>
          <t>–</t>
        </is>
      </c>
      <c r="L16" s="16" t="inlineStr">
        <is>
          <t>turnaround exec (2026-05); asset sale (2026-06); c</t>
        </is>
      </c>
      <c r="M16" s="16" t="inlineStr">
        <is>
          <t>P/B 0.62 · EV/EBITDA 16.3× · FCF yld 26% · net debt 811% of mcap · rev -5% · op margin 10% · interest cover 1.2× ⚠</t>
        </is>
      </c>
    </row>
    <row r="17" ht="22" customHeight="1">
      <c r="A17" s="6" t="inlineStr">
        <is>
          <t>LE</t>
        </is>
      </c>
      <c r="B17" s="14" t="inlineStr">
        <is>
          <t>Lands' End, Inc.</t>
        </is>
      </c>
      <c r="C17" s="14" t="inlineStr">
        <is>
          <t>P/B 0.65 · 0.7× EBITDA · debt 19% · 52w 8%</t>
        </is>
      </c>
      <c r="D17" s="14" t="n">
        <v>83</v>
      </c>
      <c r="E17" s="14" t="n"/>
      <c r="F17" s="14" t="n"/>
      <c r="G17" s="14" t="inlineStr">
        <is>
          <t>ACTION LIKELY</t>
        </is>
      </c>
      <c r="H17" s="27" t="n">
        <v>26.4</v>
      </c>
      <c r="I17" s="27" t="n">
        <v>0.65</v>
      </c>
      <c r="J17" s="13" t="n">
        <v>318.2</v>
      </c>
      <c r="K17" s="14" t="inlineStr">
        <is>
          <t>–</t>
        </is>
      </c>
      <c r="L17" s="14" t="inlineStr">
        <is>
          <t>tender offer (2026-03); mda unlock (2026-03); call</t>
        </is>
      </c>
      <c r="M17" s="14" t="inlineStr">
        <is>
          <t>P/B 0.65 · EV/EBITDA 0.7× · FCF yld -23% · net debt 19% of mcap · rev +0% · op margin 2% · buying back 2%/yr · interest cover 0.8× ⚠</t>
        </is>
      </c>
    </row>
    <row r="18" ht="22" customHeight="1">
      <c r="A18" s="8" t="inlineStr">
        <is>
          <t>CNTN</t>
        </is>
      </c>
      <c r="B18" s="16" t="inlineStr">
        <is>
          <t>Canton Strategic Holdi</t>
        </is>
      </c>
      <c r="C18" s="16" t="inlineStr">
        <is>
          <t>52w 12%</t>
        </is>
      </c>
      <c r="D18" s="16" t="n">
        <v>80</v>
      </c>
      <c r="E18" s="16" t="n"/>
      <c r="F18" s="16" t="n"/>
      <c r="G18" s="16" t="inlineStr">
        <is>
          <t>ACTION LIKELY</t>
        </is>
      </c>
      <c r="H18" s="28" t="n">
        <v>25</v>
      </c>
      <c r="I18" s="28" t="n">
        <v>0.4</v>
      </c>
      <c r="J18" s="15" t="n">
        <v>180.9</v>
      </c>
      <c r="K18" s="28" t="n">
        <v>23</v>
      </c>
      <c r="L18" s="16" t="inlineStr">
        <is>
          <t>capital return policy (2026-06); buyback auth (202</t>
        </is>
      </c>
      <c r="M18" s="16" t="inlineStr">
        <is>
          <t>P/S 117.7 · FCF yld -13%  [market-cap/share data inconsistent]</t>
        </is>
      </c>
    </row>
    <row r="19" ht="22" customHeight="1">
      <c r="A19" s="6" t="inlineStr">
        <is>
          <t>CLAR</t>
        </is>
      </c>
      <c r="B19" s="14" t="inlineStr">
        <is>
          <t>Clarus Corporation</t>
        </is>
      </c>
      <c r="C19" s="14" t="inlineStr">
        <is>
          <t>P/B 0.68 · cash 9% · 52w 67%</t>
        </is>
      </c>
      <c r="D19" s="14" t="n">
        <v>80</v>
      </c>
      <c r="E19" s="14" t="n"/>
      <c r="F19" s="14" t="n"/>
      <c r="G19" s="14" t="inlineStr">
        <is>
          <t>ACTION LIKELY</t>
        </is>
      </c>
      <c r="H19" s="27" t="n">
        <v>25</v>
      </c>
      <c r="I19" s="27" t="n">
        <v>0.68</v>
      </c>
      <c r="J19" s="13" t="n">
        <v>134.6</v>
      </c>
      <c r="K19" s="27" t="n">
        <v>9</v>
      </c>
      <c r="L19" s="14" t="inlineStr">
        <is>
          <t>strategic review (2026-08); mda unlock (2026-05);</t>
        </is>
      </c>
      <c r="M19" s="14" t="inlineStr">
        <is>
          <t>P/B 0.68 · P/S 0.5 · FCF yld -0% · net cash 9% of mcap · rev -0% · op margin -4%</t>
        </is>
      </c>
    </row>
    <row r="20" ht="22" customHeight="1">
      <c r="A20" s="8" t="inlineStr">
        <is>
          <t>ARE</t>
        </is>
      </c>
      <c r="B20" s="16" t="inlineStr">
        <is>
          <t>Alexandria Real Estate</t>
        </is>
      </c>
      <c r="C20" s="16" t="inlineStr">
        <is>
          <t>P/B 0.60 · 50.2× EBITDA · debt 132% · 52w 30%</t>
        </is>
      </c>
      <c r="D20" s="16" t="n">
        <v>77</v>
      </c>
      <c r="E20" s="16" t="n"/>
      <c r="F20" s="16" t="n"/>
      <c r="G20" s="16" t="inlineStr">
        <is>
          <t>ACTION LIKELY</t>
        </is>
      </c>
      <c r="H20" s="28" t="n">
        <v>24.6</v>
      </c>
      <c r="I20" s="28" t="n">
        <v>0.6</v>
      </c>
      <c r="J20" s="15" t="n">
        <v>9318.200000000001</v>
      </c>
      <c r="K20" s="16" t="inlineStr">
        <is>
          <t>–</t>
        </is>
      </c>
      <c r="L20" s="16" t="inlineStr">
        <is>
          <t>tender offer (2026-02); proxy responsive (2026-04)</t>
        </is>
      </c>
      <c r="M20" s="16" t="inlineStr">
        <is>
          <t>P/B 0.60 · EV/EBITDA 50.2× · FCF yld 10% · net debt 132% of mcap · rev -2% · op margin -46% · diluting 11%/yr · interest cover -5.4× ⚠</t>
        </is>
      </c>
    </row>
    <row r="21" ht="22" customHeight="1">
      <c r="A21" s="6" t="inlineStr">
        <is>
          <t>INVE</t>
        </is>
      </c>
      <c r="B21" s="14" t="inlineStr">
        <is>
          <t>Identiv, Inc.</t>
        </is>
      </c>
      <c r="C21" s="14" t="inlineStr">
        <is>
          <t>P/B 0.44 · 4.4× EBITDA · cash 202% · 52w 1%</t>
        </is>
      </c>
      <c r="D21" s="14" t="n">
        <v>74</v>
      </c>
      <c r="E21" s="14" t="n"/>
      <c r="F21" s="14" t="n"/>
      <c r="G21" s="14" t="inlineStr">
        <is>
          <t>ACTION LIKELY</t>
        </is>
      </c>
      <c r="H21" s="27" t="n">
        <v>24</v>
      </c>
      <c r="I21" s="27" t="n">
        <v>0.44</v>
      </c>
      <c r="J21" s="13" t="n">
        <v>58.5</v>
      </c>
      <c r="K21" s="27" t="n">
        <v>211</v>
      </c>
      <c r="L21" s="14" t="inlineStr">
        <is>
          <t>ceo change (2026-09); asset sale (2026-08)</t>
        </is>
      </c>
      <c r="M21" s="14" t="inlineStr">
        <is>
          <t>P/B 0.44 · EV/EBITDA 4.4× · FCF yld -16% · net cash 202% of mcap · rev +3% · op margin -81%</t>
        </is>
      </c>
    </row>
    <row r="22" ht="22" customHeight="1">
      <c r="A22" s="8" t="inlineStr">
        <is>
          <t>LBTYK</t>
        </is>
      </c>
      <c r="B22" s="16" t="inlineStr">
        <is>
          <t>Liberty Global Ltd.</t>
        </is>
      </c>
      <c r="C22" s="16" t="inlineStr">
        <is>
          <t>P/B 0.35 · debt 206% · 52w 5%</t>
        </is>
      </c>
      <c r="D22" s="16" t="n">
        <v>74</v>
      </c>
      <c r="E22" s="16" t="n"/>
      <c r="F22" s="16" t="n"/>
      <c r="G22" s="16" t="inlineStr">
        <is>
          <t>ACTION LIKELY</t>
        </is>
      </c>
      <c r="H22" s="28" t="n">
        <v>24</v>
      </c>
      <c r="I22" s="28" t="n">
        <v>0.35</v>
      </c>
      <c r="J22" s="15" t="n">
        <v>3238.4</v>
      </c>
      <c r="K22" s="16" t="inlineStr">
        <is>
          <t>–</t>
        </is>
      </c>
      <c r="L22" s="16" t="inlineStr">
        <is>
          <t>turnaround exec (2026-04); proxy responsive (2026-</t>
        </is>
      </c>
      <c r="M22" s="16" t="inlineStr">
        <is>
          <t>P/B 0.35 · P/S 0.7 · FCF yld -8% · net debt 206% of mcap · op margin 1% · buying back 8%/yr · interest cover 0.1× ⚠</t>
        </is>
      </c>
    </row>
    <row r="23" ht="22" customHeight="1">
      <c r="A23" s="6" t="inlineStr">
        <is>
          <t>DXLG</t>
        </is>
      </c>
      <c r="B23" s="14" t="inlineStr">
        <is>
          <t>Destination XL Group,</t>
        </is>
      </c>
      <c r="C23" s="14" t="inlineStr">
        <is>
          <t>P/B 0.32 · debt 562% · 52w 14%</t>
        </is>
      </c>
      <c r="D23" s="14" t="n">
        <v>70</v>
      </c>
      <c r="E23" s="14" t="n"/>
      <c r="F23" s="14" t="n"/>
      <c r="G23" s="14" t="inlineStr">
        <is>
          <t>ACTION LIKELY</t>
        </is>
      </c>
      <c r="H23" s="27" t="n">
        <v>23</v>
      </c>
      <c r="I23" s="27" t="n">
        <v>0.32</v>
      </c>
      <c r="J23" s="13" t="n">
        <v>33.2</v>
      </c>
      <c r="K23" s="14" t="inlineStr">
        <is>
          <t>–</t>
        </is>
      </c>
      <c r="L23" s="14" t="inlineStr">
        <is>
          <t>tender offer (2026-05); mda capital (2026-09)</t>
        </is>
      </c>
      <c r="M23" s="14" t="inlineStr">
        <is>
          <t>P/B 0.32 · P/S 0.1 · FCF yld -39% · net debt 562% of mcap · rev -4% · op margin -3% · diluting 5%/yr</t>
        </is>
      </c>
    </row>
    <row r="24" ht="22" customHeight="1">
      <c r="A24" s="8" t="inlineStr">
        <is>
          <t>RYN</t>
        </is>
      </c>
      <c r="B24" s="16" t="inlineStr">
        <is>
          <t>Rayonier Inc. REIT</t>
        </is>
      </c>
      <c r="C24" s="16" t="inlineStr">
        <is>
          <t>P/B 0.60 · 13.9× EBITDA · debt 47% · 52w 10%</t>
        </is>
      </c>
      <c r="D24" s="16" t="n">
        <v>67</v>
      </c>
      <c r="E24" s="16" t="n"/>
      <c r="F24" s="16" t="n"/>
      <c r="G24" s="16" t="inlineStr">
        <is>
          <t>ACTION LIKELY</t>
        </is>
      </c>
      <c r="H24" s="28" t="n">
        <v>22.8</v>
      </c>
      <c r="I24" s="28" t="n">
        <v>0.6</v>
      </c>
      <c r="J24" s="15" t="n">
        <v>3135.8</v>
      </c>
      <c r="K24" s="16" t="inlineStr">
        <is>
          <t>–</t>
        </is>
      </c>
      <c r="L24" s="16" t="inlineStr">
        <is>
          <t>call commit (2026-08); turnaround exec (2026-02);</t>
        </is>
      </c>
      <c r="M24" s="16" t="inlineStr">
        <is>
          <t>P/B 0.60 · EV/EBITDA 13.9× · FCF yld 9% · net debt 47% of mcap · rev -13% · op margin 6% · diluting 3%/yr · interest cover 1.3× ⚠</t>
        </is>
      </c>
    </row>
    <row r="25" ht="22" customHeight="1">
      <c r="A25" s="6" t="inlineStr">
        <is>
          <t>CCS</t>
        </is>
      </c>
      <c r="B25" s="14" t="inlineStr">
        <is>
          <t>Century Communities, I</t>
        </is>
      </c>
      <c r="C25" s="14" t="inlineStr">
        <is>
          <t>P/B 0.69 · 20.6× EBITDA · debt 90% · 52w 53%</t>
        </is>
      </c>
      <c r="D25" s="14" t="n">
        <v>65</v>
      </c>
      <c r="E25" s="14" t="n"/>
      <c r="F25" s="14" t="n"/>
      <c r="G25" s="14" t="inlineStr">
        <is>
          <t>ACTION LIKELY</t>
        </is>
      </c>
      <c r="H25" s="27" t="n">
        <v>22</v>
      </c>
      <c r="I25" s="27" t="n">
        <v>0.6899999999999999</v>
      </c>
      <c r="J25" s="13" t="n">
        <v>1776.2</v>
      </c>
      <c r="K25" s="14" t="inlineStr">
        <is>
          <t>–</t>
        </is>
      </c>
      <c r="L25" s="14" t="inlineStr">
        <is>
          <t>call commit (2026-07); proxy responsive (2026-03);</t>
        </is>
      </c>
      <c r="M25" s="14" t="inlineStr">
        <is>
          <t>P/B 0.69 · EV/EBITDA 20.6× · FCF yld 3% · net debt 90% of mcap · rev -9% · op margin 4% · buying back 6%/yr</t>
        </is>
      </c>
    </row>
    <row r="26" ht="22" customHeight="1">
      <c r="A26" s="8" t="inlineStr">
        <is>
          <t>OPTT</t>
        </is>
      </c>
      <c r="B26" s="16" t="inlineStr">
        <is>
          <t>Ocean Power Technologi</t>
        </is>
      </c>
      <c r="C26" s="16" t="inlineStr">
        <is>
          <t>52w 2%</t>
        </is>
      </c>
      <c r="D26" s="16" t="n">
        <v>60</v>
      </c>
      <c r="E26" s="16" t="n"/>
      <c r="F26" s="16" t="n"/>
      <c r="G26" s="16" t="inlineStr">
        <is>
          <t>ACTION LIKELY</t>
        </is>
      </c>
      <c r="H26" s="28" t="n">
        <v>20.6</v>
      </c>
      <c r="I26" s="28" t="n">
        <v>0.66</v>
      </c>
      <c r="J26" s="15" t="n">
        <v>13.3</v>
      </c>
      <c r="K26" s="16" t="inlineStr">
        <is>
          <t>–</t>
        </is>
      </c>
      <c r="L26" s="16" t="inlineStr">
        <is>
          <t>strategic review (2026-08); pill removed (2026-06)</t>
        </is>
      </c>
      <c r="M26" s="16" t="inlineStr">
        <is>
          <t>P/S 3.2 · rev -47%  [market-cap/share data inconsistent; FCF yield &gt;100% (check)]</t>
        </is>
      </c>
    </row>
    <row r="27" ht="22" customHeight="1">
      <c r="A27" s="6" t="inlineStr">
        <is>
          <t>PPLI</t>
        </is>
      </c>
      <c r="B27" s="14" t="inlineStr">
        <is>
          <t>People Incorporated</t>
        </is>
      </c>
      <c r="C27" s="14" t="inlineStr">
        <is>
          <t>P/B 0.53 · debt 11% · 52w 37%</t>
        </is>
      </c>
      <c r="D27" s="14" t="n">
        <v>58</v>
      </c>
      <c r="E27" s="14" t="n"/>
      <c r="F27" s="14" t="inlineStr">
        <is>
          <t>[2026-09-11] Completed separation of Angi Inc | [2026-09-11] [announced] Special dividend of $0.00/sh</t>
        </is>
      </c>
      <c r="G27" s="14" t="inlineStr">
        <is>
          <t>ACTION LIKELY</t>
        </is>
      </c>
      <c r="H27" s="27" t="n">
        <v>20</v>
      </c>
      <c r="I27" s="27" t="n">
        <v>0.53</v>
      </c>
      <c r="J27" s="13" t="n">
        <v>2713.3</v>
      </c>
      <c r="K27" s="14" t="inlineStr">
        <is>
          <t>–</t>
        </is>
      </c>
      <c r="L27" s="14" t="inlineStr">
        <is>
          <t>capital return policy (2026-09); call value gap (2</t>
        </is>
      </c>
      <c r="M27" s="14" t="inlineStr">
        <is>
          <t>P/B 0.53 · P/S 1.3 · FCF yld 3% · net debt 11% of mcap · rev -25% · op margin 1% · buying back 8%/yr · interest cover 0.2× ⚠</t>
        </is>
      </c>
    </row>
    <row r="28" ht="22" customHeight="1">
      <c r="A28" s="8" t="inlineStr">
        <is>
          <t>VSNT</t>
        </is>
      </c>
      <c r="B28" s="16" t="inlineStr">
        <is>
          <t>Versant Media Group, I</t>
        </is>
      </c>
      <c r="C28" s="16" t="inlineStr">
        <is>
          <t>P/B 0.58 · 2.8× EBITDA · debt 31% · 52w 19%</t>
        </is>
      </c>
      <c r="D28" s="16" t="n">
        <v>56</v>
      </c>
      <c r="E28" s="16" t="n"/>
      <c r="F28" s="16" t="n"/>
      <c r="G28" s="16" t="inlineStr">
        <is>
          <t>ACTION LIKELY</t>
        </is>
      </c>
      <c r="H28" s="28" t="n">
        <v>19.8</v>
      </c>
      <c r="I28" s="28" t="n">
        <v>0.58</v>
      </c>
      <c r="J28" s="15" t="n">
        <v>4700.6</v>
      </c>
      <c r="K28" s="16" t="inlineStr">
        <is>
          <t>–</t>
        </is>
      </c>
      <c r="L28" s="16" t="inlineStr">
        <is>
          <t>call commit (2026-08); turnaround exec (2026-01)</t>
        </is>
      </c>
      <c r="M28" s="16" t="inlineStr">
        <is>
          <t>P/B 0.58 · EV/EBITDA 2.8× · FCF yld 49% · net debt 31% of mcap · op margin 19%</t>
        </is>
      </c>
    </row>
    <row r="29" ht="22" customHeight="1">
      <c r="A29" s="6" t="inlineStr">
        <is>
          <t>SSTK</t>
        </is>
      </c>
      <c r="B29" s="14" t="inlineStr">
        <is>
          <t>Shutterstock, Inc.</t>
        </is>
      </c>
      <c r="C29" s="14" t="inlineStr">
        <is>
          <t>P/B 0.45 · debt 95% · 52w 0%</t>
        </is>
      </c>
      <c r="D29" s="14" t="n">
        <v>52</v>
      </c>
      <c r="E29" s="14" t="n"/>
      <c r="F29" s="14" t="n"/>
      <c r="G29" s="14" t="inlineStr">
        <is>
          <t>ACTION LIKELY</t>
        </is>
      </c>
      <c r="H29" s="27" t="n">
        <v>18.4</v>
      </c>
      <c r="I29" s="27" t="n">
        <v>0.45</v>
      </c>
      <c r="J29" s="13" t="n">
        <v>162</v>
      </c>
      <c r="K29" s="14" t="inlineStr">
        <is>
          <t>–</t>
        </is>
      </c>
      <c r="L29" s="14" t="inlineStr">
        <is>
          <t>ceo change (2026-07); cic prep</t>
        </is>
      </c>
      <c r="M29" s="14" t="inlineStr">
        <is>
          <t>P/B 0.45 · P/S 0.2 · FCF yld 56% · net debt 95% of mcap · rev -11% · op margin -17% · diluting 2%/yr · interest cover -5.0× ⚠  [dividend yield &gt;25% (special or bad data)]</t>
        </is>
      </c>
    </row>
    <row r="30" ht="22" customHeight="1">
      <c r="A30" s="8" t="inlineStr">
        <is>
          <t>BNGO</t>
        </is>
      </c>
      <c r="B30" s="16" t="inlineStr">
        <is>
          <t>Bionano Genomics, Inc.</t>
        </is>
      </c>
      <c r="C30" s="16" t="inlineStr">
        <is>
          <t>P/B 0.64 · cash 16% · 52w 62%</t>
        </is>
      </c>
      <c r="D30" s="16" t="n">
        <v>50</v>
      </c>
      <c r="E30" s="16" t="n"/>
      <c r="F30" s="16" t="n"/>
      <c r="G30" s="16" t="inlineStr">
        <is>
          <t>ACTION LIKELY</t>
        </is>
      </c>
      <c r="H30" s="28" t="n">
        <v>18</v>
      </c>
      <c r="I30" s="28" t="n">
        <v>0.64</v>
      </c>
      <c r="J30" s="15" t="n">
        <v>20.2</v>
      </c>
      <c r="K30" s="16" t="inlineStr">
        <is>
          <t>–</t>
        </is>
      </c>
      <c r="L30" s="16" t="inlineStr">
        <is>
          <t>ceo change (2026-05); sop dissent (2026-04)</t>
        </is>
      </c>
      <c r="M30" s="16" t="inlineStr">
        <is>
          <t>P/B 0.64 · P/S 0.7 · net cash 16% of mcap · op margin -107%  [FCF yield &gt;100% (check); new entity / merger: history not comparable]</t>
        </is>
      </c>
    </row>
    <row r="31" ht="22" customHeight="1">
      <c r="A31" s="6" t="inlineStr">
        <is>
          <t>WW</t>
        </is>
      </c>
      <c r="B31" s="14" t="inlineStr">
        <is>
          <t>WW International, Inc.</t>
        </is>
      </c>
      <c r="C31" s="14" t="inlineStr">
        <is>
          <t>P/B 0.55 · 4.6× EBITDA · debt 211% · 52w 23%</t>
        </is>
      </c>
      <c r="D31" s="14" t="n">
        <v>48</v>
      </c>
      <c r="E31" s="14" t="n"/>
      <c r="F31" s="14" t="n"/>
      <c r="G31" s="14" t="inlineStr">
        <is>
          <t>ACTION LIKELY</t>
        </is>
      </c>
      <c r="H31" s="27" t="n">
        <v>17.8</v>
      </c>
      <c r="I31" s="27" t="n">
        <v>0.55</v>
      </c>
      <c r="J31" s="13" t="n">
        <v>154.1</v>
      </c>
      <c r="K31" s="14" t="inlineStr">
        <is>
          <t>–</t>
        </is>
      </c>
      <c r="L31" s="14" t="inlineStr">
        <is>
          <t>board refresh (2026-04); turnaround exec (2025-12)</t>
        </is>
      </c>
      <c r="M31" s="14" t="inlineStr">
        <is>
          <t>P/B 0.55 · EV/EBITDA 4.6× · FCF yld -18% · net debt 211% of mcap · rev -9% · op margin -3% · interest cover -0.5× ⚠</t>
        </is>
      </c>
    </row>
    <row r="32" ht="22" customHeight="1">
      <c r="A32" s="8" t="inlineStr">
        <is>
          <t>GIII</t>
        </is>
      </c>
      <c r="B32" s="16" t="inlineStr">
        <is>
          <t>G-III Apparel Group, L</t>
        </is>
      </c>
      <c r="C32" s="16" t="inlineStr">
        <is>
          <t>P/B 0.65 · 4.4× EBITDA · debt 9% · 52w 24%</t>
        </is>
      </c>
      <c r="D32" s="16" t="n">
        <v>30</v>
      </c>
      <c r="E32" s="16" t="n"/>
      <c r="F32" s="16" t="n"/>
      <c r="G32" s="16" t="inlineStr">
        <is>
          <t>ACTION LIKELY</t>
        </is>
      </c>
      <c r="H32" s="28" t="n">
        <v>15.8</v>
      </c>
      <c r="I32" s="28" t="n">
        <v>0.65</v>
      </c>
      <c r="J32" s="15" t="n">
        <v>1170.8</v>
      </c>
      <c r="K32" s="28" t="n">
        <v>9</v>
      </c>
      <c r="L32" s="16" t="inlineStr">
        <is>
          <t>turnaround exec (2026-05); cic prep</t>
        </is>
      </c>
      <c r="M32" s="16" t="inlineStr">
        <is>
          <t>P/B 0.65 · EV/EBITDA 4.4× · FCF yld 24% · net debt 9% of mcap · rev +1% · op margin 8% · buying back 3%/yr</t>
        </is>
      </c>
    </row>
    <row r="33" ht="22" customHeight="1">
      <c r="A33" s="6" t="inlineStr">
        <is>
          <t>MLCI</t>
        </is>
      </c>
      <c r="B33" s="14" t="inlineStr">
        <is>
          <t>Mount Logan Capital In</t>
        </is>
      </c>
      <c r="C33" s="14" t="inlineStr">
        <is>
          <t>P/B 0.59 · 52w 10%</t>
        </is>
      </c>
      <c r="D33" s="14" t="n">
        <v>26</v>
      </c>
      <c r="E33" s="14" t="n"/>
      <c r="F33" s="14" t="n"/>
      <c r="G33" s="14" t="inlineStr">
        <is>
          <t>ACTION LIKELY</t>
        </is>
      </c>
      <c r="H33" s="27" t="n">
        <v>14.6</v>
      </c>
      <c r="I33" s="27" t="n">
        <v>0.59</v>
      </c>
      <c r="J33" s="13" t="n">
        <v>35.6</v>
      </c>
      <c r="K33" s="14" t="inlineStr">
        <is>
          <t>–</t>
        </is>
      </c>
      <c r="L33" s="14" t="inlineStr">
        <is>
          <t>tender offer (2025-12); call value gap (2026-08)</t>
        </is>
      </c>
      <c r="M33" s="14" t="inlineStr">
        <is>
          <t>P/B 0.59 · ROE -62% · div yld 3.8% (financial: book/earnings basis)  [FCF yield &gt;100% (check)]</t>
        </is>
      </c>
    </row>
    <row r="34" ht="22" customHeight="1">
      <c r="A34" s="8" t="inlineStr">
        <is>
          <t>ONIT</t>
        </is>
      </c>
      <c r="B34" s="16" t="inlineStr">
        <is>
          <t>Onity Group Inc.</t>
        </is>
      </c>
      <c r="C34" s="16" t="inlineStr">
        <is>
          <t>P/B 0.40 · P/E 1.9 · 52w 1%</t>
        </is>
      </c>
      <c r="D34" s="16" t="n">
        <v>90</v>
      </c>
      <c r="E34" s="16" t="n"/>
      <c r="F34" s="16" t="n"/>
      <c r="G34" s="16" t="inlineStr">
        <is>
          <t>BUILDING</t>
        </is>
      </c>
      <c r="H34" s="28" t="n">
        <v>31.8</v>
      </c>
      <c r="I34" s="28" t="n">
        <v>0.4</v>
      </c>
      <c r="J34" s="15" t="n">
        <v>265.8</v>
      </c>
      <c r="K34" s="16" t="inlineStr">
        <is>
          <t>–</t>
        </is>
      </c>
      <c r="L34" s="16" t="inlineStr">
        <is>
          <t>buyback auth (2026-02); proxy responsive (2026-04)</t>
        </is>
      </c>
      <c r="M34" s="16" t="inlineStr">
        <is>
          <t>P/B 0.40 · P/E 1.9 · ROE 23% (financial: book/earnings basis)  [FCF yield &gt;100% (check)]</t>
        </is>
      </c>
    </row>
    <row r="35" ht="22" customHeight="1">
      <c r="A35" s="6" t="inlineStr">
        <is>
          <t>CNDT</t>
        </is>
      </c>
      <c r="B35" s="14" t="inlineStr">
        <is>
          <t>Conduent Incorporated</t>
        </is>
      </c>
      <c r="C35" s="14" t="inlineStr">
        <is>
          <t>P/B 0.38 · 10.6× EBITDA · debt 243% · 52w 28%</t>
        </is>
      </c>
      <c r="D35" s="14" t="n">
        <v>88</v>
      </c>
      <c r="E35" s="14" t="n"/>
      <c r="F35" s="14" t="n"/>
      <c r="G35" s="14" t="inlineStr">
        <is>
          <t>BUILDING</t>
        </is>
      </c>
      <c r="H35" s="27" t="n">
        <v>29.8</v>
      </c>
      <c r="I35" s="27" t="n">
        <v>0.38</v>
      </c>
      <c r="J35" s="13" t="n">
        <v>252</v>
      </c>
      <c r="K35" s="14" t="inlineStr">
        <is>
          <t>–</t>
        </is>
      </c>
      <c r="L35" s="14" t="inlineStr">
        <is>
          <t>asset sale (2026-06); chair ceo split (2026-01); c</t>
        </is>
      </c>
      <c r="M35" s="14" t="inlineStr">
        <is>
          <t>P/B 0.38 · EV/EBITDA 10.6× · FCF yld -24% · net debt 243% of mcap · rev -10% · op margin -0% · buying back 4%/yr · interest cover -0.1× ⚠</t>
        </is>
      </c>
    </row>
    <row r="36" ht="22" customHeight="1">
      <c r="A36" s="8" t="inlineStr">
        <is>
          <t>VISN</t>
        </is>
      </c>
      <c r="B36" s="16" t="inlineStr">
        <is>
          <t>Vistance Networks, Inc</t>
        </is>
      </c>
      <c r="C36" s="16" t="inlineStr">
        <is>
          <t>P/B 0.58 · 2.6× EBITDA · cash 5% · 52w 3%</t>
        </is>
      </c>
      <c r="D36" s="16" t="n">
        <v>82</v>
      </c>
      <c r="E36" s="16" t="n"/>
      <c r="F36" s="16" t="n"/>
      <c r="G36" s="16" t="inlineStr">
        <is>
          <t>BUILDING</t>
        </is>
      </c>
      <c r="H36" s="28" t="n">
        <v>25.8</v>
      </c>
      <c r="I36" s="28" t="n">
        <v>0.58</v>
      </c>
      <c r="J36" s="15" t="n">
        <v>1463.9</v>
      </c>
      <c r="K36" s="28" t="n">
        <v>169</v>
      </c>
      <c r="L36" s="16" t="inlineStr">
        <is>
          <t>asset sale (2026-04); call intent (2026-08); sop d</t>
        </is>
      </c>
      <c r="M36" s="16" t="inlineStr">
        <is>
          <t>P/B 0.58 · EV/EBITDA 2.6× · FCF yld 6% · net cash 5% of mcap · rev -38% · op margin 12% · diluting 3%/yr  [dividend yield &gt;25% (special or bad data)]</t>
        </is>
      </c>
    </row>
    <row r="37" ht="22" customHeight="1">
      <c r="A37" s="6" t="inlineStr">
        <is>
          <t>NNDM</t>
        </is>
      </c>
      <c r="B37" s="14" t="inlineStr">
        <is>
          <t>Nano Dimension Ltd.</t>
        </is>
      </c>
      <c r="C37" s="14" t="inlineStr">
        <is>
          <t>P/B 0.69 · cash 124% · 52w 34%</t>
        </is>
      </c>
      <c r="D37" s="14" t="n">
        <v>80</v>
      </c>
      <c r="E37" s="14" t="n"/>
      <c r="F37" s="14" t="n"/>
      <c r="G37" s="14" t="inlineStr">
        <is>
          <t>BUILDING</t>
        </is>
      </c>
      <c r="H37" s="27" t="n">
        <v>25</v>
      </c>
      <c r="I37" s="27" t="n">
        <v>0.6899999999999999</v>
      </c>
      <c r="J37" s="13" t="n">
        <v>332.5</v>
      </c>
      <c r="K37" s="27" t="n">
        <v>101</v>
      </c>
      <c r="L37" s="14" t="inlineStr">
        <is>
          <t>asset sale (2026-05); pill removed (2026-02); call</t>
        </is>
      </c>
      <c r="M37" s="14" t="inlineStr">
        <is>
          <t>P/B 0.69 · P/S 2.7 · FCF yld -20% · net cash 124% of mcap · rev +74% · op margin -67% · buying back 4%/yr</t>
        </is>
      </c>
    </row>
    <row r="38" ht="22" customHeight="1">
      <c r="A38" s="8" t="inlineStr">
        <is>
          <t>DCGO</t>
        </is>
      </c>
      <c r="B38" s="16" t="inlineStr">
        <is>
          <t>DocGo Inc.</t>
        </is>
      </c>
      <c r="C38" s="16" t="inlineStr">
        <is>
          <t>P/B 0.30 · debt 2% · 52w 2%</t>
        </is>
      </c>
      <c r="D38" s="16" t="n">
        <v>74</v>
      </c>
      <c r="E38" s="16" t="n"/>
      <c r="F38" s="16" t="n"/>
      <c r="G38" s="16" t="inlineStr">
        <is>
          <t>BUILDING</t>
        </is>
      </c>
      <c r="H38" s="28" t="n">
        <v>24</v>
      </c>
      <c r="I38" s="28" t="n">
        <v>0.3</v>
      </c>
      <c r="J38" s="15" t="n">
        <v>35.8</v>
      </c>
      <c r="K38" s="28" t="n">
        <v>27</v>
      </c>
      <c r="L38" s="16" t="inlineStr">
        <is>
          <t>chair ceo split (2026-04); proxy responsive (2026-</t>
        </is>
      </c>
      <c r="M38" s="16" t="inlineStr">
        <is>
          <t>P/B 0.30 · P/S 0.1 · FCF yld -76% · net debt 2% of mcap · rev -32% · op margin -38%</t>
        </is>
      </c>
    </row>
    <row r="39" ht="22" customHeight="1">
      <c r="A39" s="6" t="inlineStr">
        <is>
          <t>SITC</t>
        </is>
      </c>
      <c r="B39" s="14" t="inlineStr">
        <is>
          <t>SITE Centers Corp.</t>
        </is>
      </c>
      <c r="C39" s="14" t="inlineStr">
        <is>
          <t>P/B 0.56 · cash 152% · 52w 3%</t>
        </is>
      </c>
      <c r="D39" s="14" t="n">
        <v>74</v>
      </c>
      <c r="E39" s="14" t="n"/>
      <c r="F39" s="14" t="inlineStr">
        <is>
          <t>[2026-07-01] [completed] Selling ground leasehold interest to Pike Long Beach Owner LLC for $50M (32% of mcap) | [2026-02-26] Completed separation of Curbline Properties</t>
        </is>
      </c>
      <c r="G39" s="14" t="inlineStr">
        <is>
          <t>BUILDING</t>
        </is>
      </c>
      <c r="H39" s="27" t="n">
        <v>24</v>
      </c>
      <c r="I39" s="27" t="n">
        <v>0.5600000000000001</v>
      </c>
      <c r="J39" s="13" t="n">
        <v>157.2</v>
      </c>
      <c r="K39" s="14" t="inlineStr">
        <is>
          <t>–</t>
        </is>
      </c>
      <c r="L39" s="14" t="inlineStr">
        <is>
          <t>asset sale (2026-07); mda unlock (2026-08); sop di</t>
        </is>
      </c>
      <c r="M39" s="14" t="inlineStr">
        <is>
          <t>P/B 0.56 · P/S 2.2 · FCF yld -14% · net cash 152% of mcap · rev -39% · op margin -32%  [dividend yield &gt;25% (special or bad data)]</t>
        </is>
      </c>
    </row>
    <row r="40" ht="22" customHeight="1">
      <c r="A40" s="8" t="inlineStr">
        <is>
          <t>ALIT</t>
        </is>
      </c>
      <c r="B40" s="16" t="inlineStr">
        <is>
          <t>Alight, Inc.</t>
        </is>
      </c>
      <c r="C40" s="16" t="inlineStr">
        <is>
          <t>P/B 0.33 · debt 542% · 52w 6%</t>
        </is>
      </c>
      <c r="D40" s="16" t="n">
        <v>70</v>
      </c>
      <c r="E40" s="16" t="n"/>
      <c r="F40" s="16" t="n"/>
      <c r="G40" s="16" t="inlineStr">
        <is>
          <t>BUILDING</t>
        </is>
      </c>
      <c r="H40" s="28" t="n">
        <v>23</v>
      </c>
      <c r="I40" s="28" t="n">
        <v>0.33</v>
      </c>
      <c r="J40" s="15" t="n">
        <v>340.7</v>
      </c>
      <c r="K40" s="16" t="inlineStr">
        <is>
          <t>–</t>
        </is>
      </c>
      <c r="L40" s="16" t="inlineStr">
        <is>
          <t>declassify (2026-07); mda capital (2026-05)</t>
        </is>
      </c>
      <c r="M40" s="16" t="inlineStr">
        <is>
          <t>P/B 0.33 · P/S 0.1 · FCF yld 75% · net debt 542% of mcap · rev -3% · op margin 44%</t>
        </is>
      </c>
    </row>
    <row r="41" ht="22" customHeight="1">
      <c r="A41" s="6" t="inlineStr">
        <is>
          <t>THRY</t>
        </is>
      </c>
      <c r="B41" s="14" t="inlineStr">
        <is>
          <t>Thryv Holdings, Inc.</t>
        </is>
      </c>
      <c r="C41" s="14" t="inlineStr">
        <is>
          <t>P/B 0.40 · 5.1× EBITDA · debt 278% · 52w 1%</t>
        </is>
      </c>
      <c r="D41" s="14" t="n">
        <v>70</v>
      </c>
      <c r="E41" s="14" t="n"/>
      <c r="F41" s="14" t="n"/>
      <c r="G41" s="14" t="inlineStr">
        <is>
          <t>BUILDING</t>
        </is>
      </c>
      <c r="H41" s="27" t="n">
        <v>23</v>
      </c>
      <c r="I41" s="27" t="n">
        <v>0.4</v>
      </c>
      <c r="J41" s="13" t="n">
        <v>84.3</v>
      </c>
      <c r="K41" s="14" t="inlineStr">
        <is>
          <t>–</t>
        </is>
      </c>
      <c r="L41" s="14" t="inlineStr">
        <is>
          <t>asset sale (2026-09); proxy responsive (2026-04)</t>
        </is>
      </c>
      <c r="M41" s="14" t="inlineStr">
        <is>
          <t>P/B 0.40 · EV/EBITDA 5.1× · FCF yld 65% · net debt 278% of mcap · rev -6% · op margin 4% · interest cover 1.0× ⚠</t>
        </is>
      </c>
    </row>
    <row r="42" ht="22" customHeight="1">
      <c r="A42" s="8" t="inlineStr">
        <is>
          <t>LAB</t>
        </is>
      </c>
      <c r="B42" s="16" t="inlineStr">
        <is>
          <t>Standard BioTools Inc.</t>
        </is>
      </c>
      <c r="C42" s="16" t="inlineStr">
        <is>
          <t>P/B 0.53 · cash 157% · 52w 9%</t>
        </is>
      </c>
      <c r="D42" s="16" t="n">
        <v>70</v>
      </c>
      <c r="E42" s="16" t="n"/>
      <c r="F42" s="16" t="n"/>
      <c r="G42" s="16" t="inlineStr">
        <is>
          <t>BUILDING</t>
        </is>
      </c>
      <c r="H42" s="28" t="n">
        <v>23</v>
      </c>
      <c r="I42" s="28" t="n">
        <v>0.53</v>
      </c>
      <c r="J42" s="15" t="n">
        <v>286.3</v>
      </c>
      <c r="K42" s="28" t="n">
        <v>83</v>
      </c>
      <c r="L42" s="16" t="inlineStr">
        <is>
          <t>asset sale (2026-08); mda unlock (2026-08)</t>
        </is>
      </c>
      <c r="M42" s="16" t="inlineStr">
        <is>
          <t>P/B 0.53 · P/S 3.4 · FCF yld -29% · net cash 157% of mcap · rev -37% · op margin -95% · diluting 3%/yr</t>
        </is>
      </c>
    </row>
    <row r="43" ht="22" customHeight="1">
      <c r="A43" s="6" t="inlineStr">
        <is>
          <t>HPP</t>
        </is>
      </c>
      <c r="B43" s="14" t="inlineStr">
        <is>
          <t>Hudson Pacific Propert</t>
        </is>
      </c>
      <c r="C43" s="14" t="inlineStr">
        <is>
          <t>P/B 0.23 · debt 574% · 52w 44%</t>
        </is>
      </c>
      <c r="D43" s="14" t="n">
        <v>65</v>
      </c>
      <c r="E43" s="14" t="n"/>
      <c r="F43" s="14" t="n"/>
      <c r="G43" s="14" t="inlineStr">
        <is>
          <t>BUILDING</t>
        </is>
      </c>
      <c r="H43" s="27" t="n">
        <v>22</v>
      </c>
      <c r="I43" s="27" t="n">
        <v>0.23</v>
      </c>
      <c r="J43" s="13" t="n">
        <v>636.8</v>
      </c>
      <c r="K43" s="14" t="inlineStr">
        <is>
          <t>–</t>
        </is>
      </c>
      <c r="L43" s="14" t="inlineStr">
        <is>
          <t>proxy responsive (2026-04); sop dissent (2026-04)</t>
        </is>
      </c>
      <c r="M43" s="14" t="inlineStr">
        <is>
          <t>P/B 0.23 · P/S 0.8 · FCF yld 18% · net debt 574% of mcap · op margin -0% · interest cover -0.0× ⚠  [new entity / merger: history not comparable]</t>
        </is>
      </c>
    </row>
    <row r="44" ht="22" customHeight="1">
      <c r="A44" s="8" t="inlineStr">
        <is>
          <t>CCZ</t>
        </is>
      </c>
      <c r="B44" s="16" t="inlineStr">
        <is>
          <t>Comcast Holdings Corp.</t>
        </is>
      </c>
      <c r="C44" s="16" t="inlineStr">
        <is>
          <t>4.8× EBITDA · 52w 55%</t>
        </is>
      </c>
      <c r="D44" s="16" t="n">
        <v>65</v>
      </c>
      <c r="E44" s="16" t="n"/>
      <c r="F44" s="16" t="n"/>
      <c r="G44" s="16" t="inlineStr">
        <is>
          <t>BUILDING</t>
        </is>
      </c>
      <c r="H44" s="28" t="n">
        <v>22</v>
      </c>
      <c r="I44" s="28" t="n">
        <v>0.17</v>
      </c>
      <c r="J44" s="15" t="n">
        <v>15715.3</v>
      </c>
      <c r="K44" s="16" t="inlineStr">
        <is>
          <t>–</t>
        </is>
      </c>
      <c r="L44" s="16" t="inlineStr">
        <is>
          <t>proxy responsive (2026-04); call intent (2026-07)</t>
        </is>
      </c>
      <c r="M44" s="16" t="inlineStr">
        <is>
          <t>EV/EBITDA 4.8× · FCF yld 25% · rev +1% · op margin 15% · buying back 5%/yr  [market-cap/share data inconsistent]</t>
        </is>
      </c>
    </row>
    <row r="45" ht="22" customHeight="1">
      <c r="A45" s="6" t="inlineStr">
        <is>
          <t>MX</t>
        </is>
      </c>
      <c r="B45" s="14" t="inlineStr">
        <is>
          <t>Magnachip Semiconducto</t>
        </is>
      </c>
      <c r="C45" s="14" t="inlineStr">
        <is>
          <t>P/B 0.52 · cash 38% · 52w 14%</t>
        </is>
      </c>
      <c r="D45" s="14" t="n">
        <v>62</v>
      </c>
      <c r="E45" s="14" t="n"/>
      <c r="F45" s="14" t="n"/>
      <c r="G45" s="14" t="inlineStr">
        <is>
          <t>BUILDING</t>
        </is>
      </c>
      <c r="H45" s="27" t="n">
        <v>21</v>
      </c>
      <c r="I45" s="27" t="n">
        <v>0.52</v>
      </c>
      <c r="J45" s="13" t="n">
        <v>118.3</v>
      </c>
      <c r="K45" s="27" t="n">
        <v>44</v>
      </c>
      <c r="L45" s="14" t="inlineStr">
        <is>
          <t>mda unlock (2026-05); ceo change (2025-08)</t>
        </is>
      </c>
      <c r="M45" s="14" t="inlineStr">
        <is>
          <t>P/B 0.52 · P/S 0.6 · FCF yld -17% · net cash 38% of mcap · rev -19% · op margin -20%</t>
        </is>
      </c>
    </row>
    <row r="46" ht="22" customHeight="1">
      <c r="A46" s="8" t="inlineStr">
        <is>
          <t>NCMI</t>
        </is>
      </c>
      <c r="B46" s="16" t="inlineStr">
        <is>
          <t>National CineMedia, In</t>
        </is>
      </c>
      <c r="C46" s="16" t="inlineStr">
        <is>
          <t>P/B 0.61 · 6.2× EBITDA · cash 10% · 52w 1%</t>
        </is>
      </c>
      <c r="D46" s="16" t="n">
        <v>61</v>
      </c>
      <c r="E46" s="16" t="n"/>
      <c r="F46" s="16" t="n"/>
      <c r="G46" s="16" t="inlineStr">
        <is>
          <t>BUILDING</t>
        </is>
      </c>
      <c r="H46" s="28" t="n">
        <v>20.8</v>
      </c>
      <c r="I46" s="28" t="n">
        <v>0.61</v>
      </c>
      <c r="J46" s="15" t="n">
        <v>202.6</v>
      </c>
      <c r="K46" s="28" t="n">
        <v>13</v>
      </c>
      <c r="L46" s="16" t="inlineStr">
        <is>
          <t>proxy responsive (2026-03); call intent (2026-08);</t>
        </is>
      </c>
      <c r="M46" s="16" t="inlineStr">
        <is>
          <t>P/B 0.61 · EV/EBITDA 6.2× · FCF yld 10% · net cash 10% of mcap · rev +6% · op margin -7%</t>
        </is>
      </c>
    </row>
    <row r="47" ht="22" customHeight="1">
      <c r="A47" s="6" t="inlineStr">
        <is>
          <t>GETY</t>
        </is>
      </c>
      <c r="B47" s="14" t="inlineStr">
        <is>
          <t>Getty Images Holdings,</t>
        </is>
      </c>
      <c r="C47" s="14" t="inlineStr">
        <is>
          <t>P/B 0.21 · 11.5× EBITDA · debt 2162% · 52w 0%</t>
        </is>
      </c>
      <c r="D47" s="14" t="n">
        <v>58</v>
      </c>
      <c r="E47" s="14" t="n"/>
      <c r="F47" s="14" t="n"/>
      <c r="G47" s="14" t="inlineStr">
        <is>
          <t>BUILDING</t>
        </is>
      </c>
      <c r="H47" s="27" t="n">
        <v>20</v>
      </c>
      <c r="I47" s="27" t="n">
        <v>0.21</v>
      </c>
      <c r="J47" s="13" t="n">
        <v>92.90000000000001</v>
      </c>
      <c r="K47" s="14" t="inlineStr">
        <is>
          <t>–</t>
        </is>
      </c>
      <c r="L47" s="14" t="inlineStr">
        <is>
          <t>activist settlement (2026-08)</t>
        </is>
      </c>
      <c r="M47" s="14" t="inlineStr">
        <is>
          <t>P/B 0.21 · EV/EBITDA 11.5× · FCF yld -91% · net debt 2162% of mcap · rev +3% · op margin 21% · interest cover 1.0× ⚠</t>
        </is>
      </c>
    </row>
    <row r="48" ht="22" customHeight="1">
      <c r="A48" s="8" t="inlineStr">
        <is>
          <t>ORMP</t>
        </is>
      </c>
      <c r="B48" s="16" t="inlineStr">
        <is>
          <t>Oramed Pharmaceuticals</t>
        </is>
      </c>
      <c r="C48" s="16" t="inlineStr">
        <is>
          <t>P/B 0.60 · 1.2× EBITDA · cash 26% · 52w 76%</t>
        </is>
      </c>
      <c r="D48" s="16" t="n">
        <v>56</v>
      </c>
      <c r="E48" s="16" t="n"/>
      <c r="F48" s="16" t="n"/>
      <c r="G48" s="16" t="inlineStr">
        <is>
          <t>BUILDING</t>
        </is>
      </c>
      <c r="H48" s="28" t="n">
        <v>19.8</v>
      </c>
      <c r="I48" s="28" t="n">
        <v>0.6</v>
      </c>
      <c r="J48" s="15" t="n">
        <v>190.3</v>
      </c>
      <c r="K48" s="28" t="n">
        <v>7</v>
      </c>
      <c r="L48" s="16" t="inlineStr">
        <is>
          <t>pill removed (2025-11); mda unlock (2026-03); cic</t>
        </is>
      </c>
      <c r="M48" s="16" t="inlineStr">
        <is>
          <t>P/B 0.60 · EV/EBITDA 1.2× · FCF yld -3% · net cash 26% of mcap · op margin 0%</t>
        </is>
      </c>
    </row>
    <row r="49" ht="22" customHeight="1">
      <c r="A49" s="6" t="inlineStr">
        <is>
          <t>MPT</t>
        </is>
      </c>
      <c r="B49" s="14" t="inlineStr">
        <is>
          <t>Medical Properties Tru</t>
        </is>
      </c>
      <c r="C49" s="14" t="inlineStr">
        <is>
          <t>P/B 0.47 · 10.9× EBITDA · debt 437% · 52w 7%</t>
        </is>
      </c>
      <c r="D49" s="14" t="n">
        <v>54</v>
      </c>
      <c r="E49" s="14" t="n"/>
      <c r="F49" s="14" t="n"/>
      <c r="G49" s="14" t="inlineStr">
        <is>
          <t>BUILDING</t>
        </is>
      </c>
      <c r="H49" s="27" t="n">
        <v>19</v>
      </c>
      <c r="I49" s="27" t="n">
        <v>0.47</v>
      </c>
      <c r="J49" s="13" t="n">
        <v>2132.2</v>
      </c>
      <c r="K49" s="14" t="inlineStr">
        <is>
          <t>–</t>
        </is>
      </c>
      <c r="L49" s="14" t="inlineStr">
        <is>
          <t>mda unlock (2026-05); sop dissent (2026-04)</t>
        </is>
      </c>
      <c r="M49" s="14" t="inlineStr">
        <is>
          <t>P/B 0.47 · EV/EBITDA 10.9× · FCF yld 11% · net debt 437% of mcap · rev +10% · op margin 57% · interest cover 0.9× ⚠</t>
        </is>
      </c>
    </row>
    <row r="50" ht="22" customHeight="1">
      <c r="A50" s="8" t="inlineStr">
        <is>
          <t>NEUP</t>
        </is>
      </c>
      <c r="B50" s="16" t="inlineStr">
        <is>
          <t>Neuphoria Therapeutics</t>
        </is>
      </c>
      <c r="C50" s="16" t="inlineStr">
        <is>
          <t>P/B 0.68 · cash 97% · 52w 3%</t>
        </is>
      </c>
      <c r="D50" s="16" t="n">
        <v>53</v>
      </c>
      <c r="E50" s="16" t="n"/>
      <c r="F50" s="16" t="n"/>
      <c r="G50" s="16" t="inlineStr">
        <is>
          <t>BUILDING</t>
        </is>
      </c>
      <c r="H50" s="28" t="n">
        <v>18.6</v>
      </c>
      <c r="I50" s="28" t="n">
        <v>0.68</v>
      </c>
      <c r="J50" s="15" t="n">
        <v>20</v>
      </c>
      <c r="K50" s="28" t="n">
        <v>97</v>
      </c>
      <c r="L50" s="16" t="inlineStr">
        <is>
          <t>pill removed (2025-10); mda unlock (2026-05)</t>
        </is>
      </c>
      <c r="M50" s="16" t="inlineStr">
        <is>
          <t>P/B 0.68 · P/S 17.0 · net cash 97% of mcap · rev -58%  [FCF yield &gt;100% (check)]</t>
        </is>
      </c>
    </row>
    <row r="51" ht="22" customHeight="1">
      <c r="A51" s="6" t="inlineStr">
        <is>
          <t>ICMB</t>
        </is>
      </c>
      <c r="B51" s="14" t="inlineStr">
        <is>
          <t>Investcorp Credit Mana</t>
        </is>
      </c>
      <c r="C51" s="14" t="inlineStr">
        <is>
          <t>P/B 0.24 · 52w 6%</t>
        </is>
      </c>
      <c r="D51" s="14" t="n">
        <v>50</v>
      </c>
      <c r="E51" s="14" t="n"/>
      <c r="F51" s="14" t="n"/>
      <c r="G51" s="14" t="inlineStr">
        <is>
          <t>BUILDING</t>
        </is>
      </c>
      <c r="H51" s="27" t="n">
        <v>18</v>
      </c>
      <c r="I51" s="27" t="n">
        <v>0.24</v>
      </c>
      <c r="J51" s="13" t="n">
        <v>12.6</v>
      </c>
      <c r="K51" s="14" t="inlineStr">
        <is>
          <t>–</t>
        </is>
      </c>
      <c r="L51" s="14" t="inlineStr">
        <is>
          <t>strategic review (2026-04)</t>
        </is>
      </c>
      <c r="M51" s="14" t="inlineStr">
        <is>
          <t>P/B 0.24 · ROE -14% (financial: book/earnings basis)  [dividend yield &gt;25% (special or bad data)]</t>
        </is>
      </c>
    </row>
    <row r="52" ht="22" customHeight="1">
      <c r="A52" s="8" t="inlineStr">
        <is>
          <t>QTRX</t>
        </is>
      </c>
      <c r="B52" s="16" t="inlineStr">
        <is>
          <t>Quanterix Corporation</t>
        </is>
      </c>
      <c r="C52" s="16" t="inlineStr">
        <is>
          <t>P/B 0.62 · cash 41% · 52w 14%</t>
        </is>
      </c>
      <c r="D52" s="16" t="n">
        <v>48</v>
      </c>
      <c r="E52" s="16" t="n"/>
      <c r="F52" s="16" t="n"/>
      <c r="G52" s="16" t="inlineStr">
        <is>
          <t>BUILDING</t>
        </is>
      </c>
      <c r="H52" s="28" t="n">
        <v>17.8</v>
      </c>
      <c r="I52" s="28" t="n">
        <v>0.62</v>
      </c>
      <c r="J52" s="15" t="n">
        <v>146</v>
      </c>
      <c r="K52" s="28" t="n">
        <v>2</v>
      </c>
      <c r="L52" s="16" t="inlineStr">
        <is>
          <t>activist settlement (2025-08); declassify (2025-10</t>
        </is>
      </c>
      <c r="M52" s="16" t="inlineStr">
        <is>
          <t>P/B 0.62 · P/S 1.0 · FCF yld -50% · net cash 41% of mcap · rev +23% · op margin -86% · diluting 21%/yr</t>
        </is>
      </c>
    </row>
    <row r="53" ht="22" customHeight="1">
      <c r="A53" s="6" t="inlineStr">
        <is>
          <t>AHCO</t>
        </is>
      </c>
      <c r="B53" s="14" t="inlineStr">
        <is>
          <t>AdaptHealth Corp.</t>
        </is>
      </c>
      <c r="C53" s="14" t="inlineStr">
        <is>
          <t>P/B 0.57 · 9.6× EBITDA · debt 258% · 52w 7%</t>
        </is>
      </c>
      <c r="D53" s="14" t="n">
        <v>42</v>
      </c>
      <c r="E53" s="14" t="n"/>
      <c r="F53" s="14" t="n"/>
      <c r="G53" s="14" t="inlineStr">
        <is>
          <t>BUILDING</t>
        </is>
      </c>
      <c r="H53" s="27" t="n">
        <v>17</v>
      </c>
      <c r="I53" s="27" t="n">
        <v>0.57</v>
      </c>
      <c r="J53" s="13" t="n">
        <v>784.4</v>
      </c>
      <c r="K53" s="14" t="inlineStr">
        <is>
          <t>–</t>
        </is>
      </c>
      <c r="L53" s="14" t="inlineStr">
        <is>
          <t>asset sale (2026-08); proxy responsive (2026-04)</t>
        </is>
      </c>
      <c r="M53" s="14" t="inlineStr">
        <is>
          <t>P/B 0.57 · EV/EBITDA 9.6× · FCF yld 13% · net debt 258% of mcap · rev +15% · op margin -0% · interest cover -0.1× ⚠</t>
        </is>
      </c>
    </row>
    <row r="54" ht="22" customHeight="1">
      <c r="A54" s="8" t="inlineStr">
        <is>
          <t>BIRD</t>
        </is>
      </c>
      <c r="B54" s="16" t="inlineStr">
        <is>
          <t>Allbirds, Inc.</t>
        </is>
      </c>
      <c r="C54" s="16" t="inlineStr">
        <is>
          <t>P/B 0.66 · 0.1× EBITDA · cash 155% · 52w 1%</t>
        </is>
      </c>
      <c r="D54" s="16" t="n">
        <v>42</v>
      </c>
      <c r="E54" s="16" t="n"/>
      <c r="F54" s="16" t="n"/>
      <c r="G54" s="16" t="inlineStr">
        <is>
          <t>BUILDING</t>
        </is>
      </c>
      <c r="H54" s="28" t="n">
        <v>17</v>
      </c>
      <c r="I54" s="28" t="n">
        <v>0.66</v>
      </c>
      <c r="J54" s="15" t="n">
        <v>14.8</v>
      </c>
      <c r="K54" s="16" t="inlineStr">
        <is>
          <t>–</t>
        </is>
      </c>
      <c r="L54" s="16" t="inlineStr">
        <is>
          <t>asset sale (2026-06); mda unlock (2026-05)</t>
        </is>
      </c>
      <c r="M54" s="16" t="inlineStr">
        <is>
          <t>P/B 0.66 · EV/EBITDA 0.1× · net cash 155% of mcap · rev -38% · op margin -63% · diluting 13%/yr  [FCF yield &gt;100% (check)]</t>
        </is>
      </c>
    </row>
    <row r="55" ht="22" customHeight="1">
      <c r="A55" s="6" t="inlineStr">
        <is>
          <t>CION</t>
        </is>
      </c>
      <c r="B55" s="14" t="inlineStr">
        <is>
          <t>CION Investment Corpor</t>
        </is>
      </c>
      <c r="C55" s="14" t="inlineStr">
        <is>
          <t>P/B 0.53 · P/E 26.6 · 52w 29%</t>
        </is>
      </c>
      <c r="D55" s="14" t="n">
        <v>42</v>
      </c>
      <c r="E55" s="14" t="n"/>
      <c r="F55" s="14" t="n"/>
      <c r="G55" s="14" t="inlineStr">
        <is>
          <t>BUILDING</t>
        </is>
      </c>
      <c r="H55" s="27" t="n">
        <v>17</v>
      </c>
      <c r="I55" s="27" t="n">
        <v>0.54</v>
      </c>
      <c r="J55" s="13" t="n">
        <v>357</v>
      </c>
      <c r="K55" s="14" t="inlineStr">
        <is>
          <t>–</t>
        </is>
      </c>
      <c r="L55" s="14" t="inlineStr">
        <is>
          <t>call commit (2026-08); call value gap (2026-08)</t>
        </is>
      </c>
      <c r="M55" s="14" t="inlineStr">
        <is>
          <t>P/B 0.53 · P/E 26.6 · ROE 2% · div yld 17.5% · buying back 6%/yr (financial: book/earnings basis)</t>
        </is>
      </c>
    </row>
    <row r="56" ht="22" customHeight="1">
      <c r="A56" s="8" t="inlineStr">
        <is>
          <t>FINV</t>
        </is>
      </c>
      <c r="B56" s="16" t="inlineStr">
        <is>
          <t>FinVolution Group</t>
        </is>
      </c>
      <c r="C56" s="16" t="inlineStr">
        <is>
          <t>P/B 0.32 · P/E 2.8 · 52w 1%</t>
        </is>
      </c>
      <c r="D56" s="16" t="n">
        <v>42</v>
      </c>
      <c r="E56" s="16" t="n"/>
      <c r="F56" s="16" t="n"/>
      <c r="G56" s="16" t="inlineStr">
        <is>
          <t>BUILDING</t>
        </is>
      </c>
      <c r="H56" s="28" t="n">
        <v>17</v>
      </c>
      <c r="I56" s="28" t="n">
        <v>0.3</v>
      </c>
      <c r="J56" s="15" t="n">
        <v>802.3</v>
      </c>
      <c r="K56" s="16" t="inlineStr">
        <is>
          <t>–</t>
        </is>
      </c>
      <c r="L56" s="16" t="inlineStr">
        <is>
          <t>call commit (2026-08)</t>
        </is>
      </c>
      <c r="M56" s="16" t="inlineStr">
        <is>
          <t>P/B 0.32 · P/E 2.8 · ROE 5% · div yld 9.5% · buying back 5%/yr (financial: book/earnings basis)</t>
        </is>
      </c>
    </row>
    <row r="57" ht="22" customHeight="1">
      <c r="A57" s="6" t="inlineStr">
        <is>
          <t>GNW</t>
        </is>
      </c>
      <c r="B57" s="14" t="inlineStr">
        <is>
          <t>Genworth Financial, In</t>
        </is>
      </c>
      <c r="C57" s="14" t="inlineStr">
        <is>
          <t>P/B 0.42 · P/E 17.6 · 52w 63%</t>
        </is>
      </c>
      <c r="D57" s="14" t="n">
        <v>42</v>
      </c>
      <c r="E57" s="14" t="n"/>
      <c r="F57" s="14" t="n"/>
      <c r="G57" s="14" t="inlineStr">
        <is>
          <t>BUILDING</t>
        </is>
      </c>
      <c r="H57" s="27" t="n">
        <v>17</v>
      </c>
      <c r="I57" s="27" t="n">
        <v>0.42</v>
      </c>
      <c r="J57" s="13" t="n">
        <v>3686.5</v>
      </c>
      <c r="K57" s="14" t="inlineStr">
        <is>
          <t>–</t>
        </is>
      </c>
      <c r="L57" s="14" t="inlineStr">
        <is>
          <t>call commit (2026-08); call value gap (2026-08)</t>
        </is>
      </c>
      <c r="M57" s="14" t="inlineStr">
        <is>
          <t>P/B 0.42 · P/E 17.6 · ROE 2% · buying back 7%/yr (financial: book/earnings basis)</t>
        </is>
      </c>
    </row>
    <row r="58" ht="22" customHeight="1">
      <c r="A58" s="8" t="inlineStr">
        <is>
          <t>ICG</t>
        </is>
      </c>
      <c r="B58" s="16" t="inlineStr">
        <is>
          <t>Intchains Group Limite</t>
        </is>
      </c>
      <c r="C58" s="16" t="inlineStr">
        <is>
          <t>P/B 0.24 · 0.4× EBITDA · cash 228% · 52w 24%</t>
        </is>
      </c>
      <c r="D58" s="16" t="n">
        <v>42</v>
      </c>
      <c r="E58" s="16" t="n"/>
      <c r="F58" s="16" t="n"/>
      <c r="G58" s="16" t="inlineStr">
        <is>
          <t>BUILDING</t>
        </is>
      </c>
      <c r="H58" s="28" t="n">
        <v>17</v>
      </c>
      <c r="I58" s="28" t="n">
        <v>0.24</v>
      </c>
      <c r="J58" s="15" t="n">
        <v>30.2</v>
      </c>
      <c r="K58" s="16" t="inlineStr">
        <is>
          <t>–</t>
        </is>
      </c>
      <c r="L58" s="16" t="inlineStr">
        <is>
          <t>call commit (2026-08)</t>
        </is>
      </c>
      <c r="M58" s="16" t="inlineStr">
        <is>
          <t>P/B 0.24 · EV/EBITDA 0.4× · FCF yld 0% · net cash 228% of mcap · rev -80% · op margin -331%</t>
        </is>
      </c>
    </row>
    <row r="59" ht="22" customHeight="1">
      <c r="A59" s="6" t="inlineStr">
        <is>
          <t>SNDL</t>
        </is>
      </c>
      <c r="B59" s="14" t="inlineStr">
        <is>
          <t>SNDL Inc.</t>
        </is>
      </c>
      <c r="C59" s="14" t="inlineStr">
        <is>
          <t>P/B 0.48 · 13.3× EBITDA · cash 4% · 52w 13%</t>
        </is>
      </c>
      <c r="D59" s="14" t="n">
        <v>42</v>
      </c>
      <c r="E59" s="14" t="n"/>
      <c r="F59" s="14" t="n"/>
      <c r="G59" s="14" t="inlineStr">
        <is>
          <t>BUILDING</t>
        </is>
      </c>
      <c r="H59" s="27" t="n">
        <v>17</v>
      </c>
      <c r="I59" s="27" t="n">
        <v>0.47</v>
      </c>
      <c r="J59" s="13" t="n">
        <v>363.1</v>
      </c>
      <c r="K59" s="14" t="inlineStr">
        <is>
          <t>–</t>
        </is>
      </c>
      <c r="L59" s="14" t="inlineStr">
        <is>
          <t>call commit (2026-07); call value gap (2026-07)</t>
        </is>
      </c>
      <c r="M59" s="14" t="inlineStr">
        <is>
          <t>P/B 0.48 · EV/EBITDA 13.3× · FCF yld 10% · net cash 4% of mcap · rev -2% · op margin -2% · buying back 2%/yr</t>
        </is>
      </c>
    </row>
    <row r="60" ht="22" customHeight="1">
      <c r="A60" s="8" t="inlineStr">
        <is>
          <t>USNA</t>
        </is>
      </c>
      <c r="B60" s="16" t="inlineStr">
        <is>
          <t>USANA Health Sciences,</t>
        </is>
      </c>
      <c r="C60" s="16" t="inlineStr">
        <is>
          <t>P/B 0.50 · 2.8× EBITDA · cash 64% · 52w 10%</t>
        </is>
      </c>
      <c r="D60" s="16" t="n">
        <v>38</v>
      </c>
      <c r="E60" s="16" t="n"/>
      <c r="F60" s="16" t="n"/>
      <c r="G60" s="16" t="inlineStr">
        <is>
          <t>BUILDING</t>
        </is>
      </c>
      <c r="H60" s="28" t="n">
        <v>16.8</v>
      </c>
      <c r="I60" s="28" t="n">
        <v>0.5</v>
      </c>
      <c r="J60" s="15" t="n">
        <v>261.4</v>
      </c>
      <c r="K60" s="28" t="n">
        <v>62</v>
      </c>
      <c r="L60" s="16" t="inlineStr">
        <is>
          <t>ceo change (2026-01)</t>
        </is>
      </c>
      <c r="M60" s="16" t="inlineStr">
        <is>
          <t>P/B 0.50 · EV/EBITDA 2.8× · FCF yld 6% · net cash 64% of mcap · rev +2% · op margin 1%</t>
        </is>
      </c>
    </row>
    <row r="61" ht="22" customHeight="1">
      <c r="A61" s="6" t="inlineStr">
        <is>
          <t>STRZ</t>
        </is>
      </c>
      <c r="B61" s="14" t="inlineStr">
        <is>
          <t>Starz Entertainment Co</t>
        </is>
      </c>
      <c r="C61" s="14" t="inlineStr">
        <is>
          <t>P/B 0.60 · 2.7× EBITDA · debt 149% · 52w 61%</t>
        </is>
      </c>
      <c r="D61" s="14" t="n">
        <v>34</v>
      </c>
      <c r="E61" s="14" t="n"/>
      <c r="F61" s="14" t="n"/>
      <c r="G61" s="14" t="inlineStr">
        <is>
          <t>BUILDING</t>
        </is>
      </c>
      <c r="H61" s="27" t="n">
        <v>16</v>
      </c>
      <c r="I61" s="27" t="n">
        <v>0.6</v>
      </c>
      <c r="J61" s="13" t="n">
        <v>388.9</v>
      </c>
      <c r="K61" s="14" t="inlineStr">
        <is>
          <t>–</t>
        </is>
      </c>
      <c r="L61" s="14" t="inlineStr">
        <is>
          <t>pill removed (2026-03); mda unlock (2026-08)</t>
        </is>
      </c>
      <c r="M61" s="14" t="inlineStr">
        <is>
          <t>P/B 0.60 · EV/EBITDA 2.7× · FCF yld -6% · net debt 149% of mcap · rev -7% · op margin -17% · interest cover -3.7× ⚠</t>
        </is>
      </c>
    </row>
    <row r="62" ht="22" customHeight="1">
      <c r="A62" s="8" t="inlineStr">
        <is>
          <t>CHGG</t>
        </is>
      </c>
      <c r="B62" s="16" t="inlineStr">
        <is>
          <t>Chegg, Inc.</t>
        </is>
      </c>
      <c r="C62" s="16" t="inlineStr">
        <is>
          <t>P/B 0.69 · 2.8× EBITDA · cash 27% · 52w 22%</t>
        </is>
      </c>
      <c r="D62" s="16" t="n">
        <v>34</v>
      </c>
      <c r="E62" s="16" t="n"/>
      <c r="F62" s="16" t="n"/>
      <c r="G62" s="16" t="inlineStr">
        <is>
          <t>BUILDING</t>
        </is>
      </c>
      <c r="H62" s="28" t="n">
        <v>16</v>
      </c>
      <c r="I62" s="28" t="n">
        <v>0.6899999999999999</v>
      </c>
      <c r="J62" s="15" t="n">
        <v>81.5</v>
      </c>
      <c r="K62" s="16" t="inlineStr">
        <is>
          <t>–</t>
        </is>
      </c>
      <c r="L62" s="16" t="inlineStr">
        <is>
          <t>call commit (2026-08); call value gap (2026-08)</t>
        </is>
      </c>
      <c r="M62" s="16" t="inlineStr">
        <is>
          <t>P/B 0.69 · EV/EBITDA 2.8× · FCF yld -1% · net cash 27% of mcap · rev -48% · op margin -1% · diluting 4%/yr</t>
        </is>
      </c>
    </row>
    <row r="63" ht="22" customHeight="1">
      <c r="A63" s="6" t="inlineStr">
        <is>
          <t>FG</t>
        </is>
      </c>
      <c r="B63" s="14" t="inlineStr">
        <is>
          <t>F&amp;G Annuities &amp; Life,</t>
        </is>
      </c>
      <c r="C63" s="14" t="inlineStr">
        <is>
          <t>P/B 0.63 · P/E 7.2 · 52w 8%</t>
        </is>
      </c>
      <c r="D63" s="14" t="n">
        <v>34</v>
      </c>
      <c r="E63" s="14" t="n"/>
      <c r="F63" s="14" t="n"/>
      <c r="G63" s="14" t="inlineStr">
        <is>
          <t>BUILDING</t>
        </is>
      </c>
      <c r="H63" s="27" t="n">
        <v>16</v>
      </c>
      <c r="I63" s="27" t="n">
        <v>0.63</v>
      </c>
      <c r="J63" s="13" t="n">
        <v>2887.5</v>
      </c>
      <c r="K63" s="14" t="inlineStr">
        <is>
          <t>–</t>
        </is>
      </c>
      <c r="L63" s="14" t="inlineStr">
        <is>
          <t>call commit (2026-08); call value gap (2026-08)</t>
        </is>
      </c>
      <c r="M63" s="14" t="inlineStr">
        <is>
          <t>P/B 0.63 · P/E 7.2 · ROE 9% · div yld 4.6% · buying back 3%/yr (financial: book/earnings basis)  [FCF yield &gt;100% (check)]</t>
        </is>
      </c>
    </row>
    <row r="64" ht="22" customHeight="1">
      <c r="A64" s="8" t="inlineStr">
        <is>
          <t>ZSQR</t>
        </is>
      </c>
      <c r="B64" s="16" t="inlineStr">
        <is>
          <t>Z Squared Inc.</t>
        </is>
      </c>
      <c r="C64" s="16" t="inlineStr">
        <is>
          <t>52w 5%</t>
        </is>
      </c>
      <c r="D64" s="16" t="n">
        <v>34</v>
      </c>
      <c r="E64" s="16" t="n"/>
      <c r="F64" s="16" t="n"/>
      <c r="G64" s="16" t="inlineStr">
        <is>
          <t>BUILDING</t>
        </is>
      </c>
      <c r="H64" s="28" t="n">
        <v>16</v>
      </c>
      <c r="I64" s="28" t="n">
        <v>0.14</v>
      </c>
      <c r="J64" s="15" t="n">
        <v>18</v>
      </c>
      <c r="K64" s="28" t="n">
        <v>28</v>
      </c>
      <c r="L64" s="16" t="inlineStr">
        <is>
          <t>turnaround exec (2026-04)</t>
        </is>
      </c>
      <c r="M64" s="16" t="inlineStr">
        <is>
          <t>P/S 6.6 · FCF yld -22%  [market-cap/share data inconsistent; revenue not comparable YoY (fair-value / one-off income?)]</t>
        </is>
      </c>
    </row>
    <row r="65"/>
    <row r="66" ht="28" customHeight="1">
      <c r="A66" s="17" t="inlineStr">
        <is>
          <t>86 names trade at 0.10–0.70× book (validated FMP book: market cap ÷ latest equity) with a qualifying governance catalyst; 29 are ACTION LIKELY (a hard event — activist settlement/13D, value committee or strategic review, capital-return policy or tender, CEO change, turnaround executive — within ~9 months, plus independent corroboration). Signals are weighted by age (≤6 months full weight, 6–12 months 0.8, 12–18 months 0.5). Pay tied to TSR/ROE appears in 63% of proxies, so it is treated as context, not as a change. Sources: governance_events_8k.py (dated 8-K governance changes), activist 13D/letters, re-rate events, MD&amp;A language, proxy redesigns and say-on-pay dissent. Source: governance_discount.py.</t>
        </is>
      </c>
    </row>
  </sheetData>
  <mergeCells count="3">
    <mergeCell ref="A66:L66"/>
    <mergeCell ref="A2:L2"/>
    <mergeCell ref="A1:L1"/>
  </mergeCells>
  <conditionalFormatting sqref="D5:D66">
    <cfRule type="dataBar" priority="1">
      <dataBar showValue="1">
        <cfvo type="num" val="0"/>
        <cfvo type="num" val="100"/>
        <color rgb="009DB9D3"/>
      </dataBar>
    </cfRule>
  </conditionalFormatting>
  <hyperlinks>
    <hyperlink xmlns:r="http://schemas.openxmlformats.org/officeDocument/2006/relationships" ref="A7" r:id="rId1"/>
    <hyperlink xmlns:r="http://schemas.openxmlformats.org/officeDocument/2006/relationships" ref="A10" r:id="rId2"/>
    <hyperlink xmlns:r="http://schemas.openxmlformats.org/officeDocument/2006/relationships" ref="A11" r:id="rId3"/>
    <hyperlink xmlns:r="http://schemas.openxmlformats.org/officeDocument/2006/relationships" ref="A15" r:id="rId4"/>
    <hyperlink xmlns:r="http://schemas.openxmlformats.org/officeDocument/2006/relationships" ref="A16" r:id="rId5"/>
    <hyperlink xmlns:r="http://schemas.openxmlformats.org/officeDocument/2006/relationships" ref="A17" r:id="rId6"/>
    <hyperlink xmlns:r="http://schemas.openxmlformats.org/officeDocument/2006/relationships" ref="A21" r:id="rId7"/>
    <hyperlink xmlns:r="http://schemas.openxmlformats.org/officeDocument/2006/relationships" ref="A23" r:id="rId8"/>
    <hyperlink xmlns:r="http://schemas.openxmlformats.org/officeDocument/2006/relationships" ref="A27" r:id="rId9"/>
    <hyperlink xmlns:r="http://schemas.openxmlformats.org/officeDocument/2006/relationships" ref="A28" r:id="rId10"/>
    <hyperlink xmlns:r="http://schemas.openxmlformats.org/officeDocument/2006/relationships" ref="A31" r:id="rId11"/>
    <hyperlink xmlns:r="http://schemas.openxmlformats.org/officeDocument/2006/relationships" ref="A32" r:id="rId12"/>
    <hyperlink xmlns:r="http://schemas.openxmlformats.org/officeDocument/2006/relationships" ref="A35" r:id="rId13"/>
    <hyperlink xmlns:r="http://schemas.openxmlformats.org/officeDocument/2006/relationships" ref="A36" r:id="rId14"/>
    <hyperlink xmlns:r="http://schemas.openxmlformats.org/officeDocument/2006/relationships" ref="A39" r:id="rId15"/>
    <hyperlink xmlns:r="http://schemas.openxmlformats.org/officeDocument/2006/relationships" ref="A41" r:id="rId16"/>
    <hyperlink xmlns:r="http://schemas.openxmlformats.org/officeDocument/2006/relationships" ref="A42" r:id="rId17"/>
    <hyperlink xmlns:r="http://schemas.openxmlformats.org/officeDocument/2006/relationships" ref="A54" r:id="rId18"/>
    <hyperlink xmlns:r="http://schemas.openxmlformats.org/officeDocument/2006/relationships" ref="A61" r:id="rId19"/>
  </hyperlinks>
  <printOptions horizontalCentered="0"/>
  <pageMargins left="0.5" right="0.5" top="0.6" bottom="0.6" header="0.5" footer="0.5"/>
  <pageSetup orientation="landscape" fitToHeight="0" fitToWidth="1"/>
</worksheet>
</file>

<file path=xl/worksheets/sheet9.xml><?xml version="1.0" encoding="utf-8"?>
<worksheet xmlns="http://schemas.openxmlformats.org/spreadsheetml/2006/main">
  <sheetPr>
    <tabColor rgb="002E75B6"/>
    <outlinePr summaryBelow="1" summaryRight="1"/>
    <pageSetUpPr fitToPage="1"/>
  </sheetPr>
  <dimension ref="A1:J51"/>
  <sheetViews>
    <sheetView showGridLines="0" workbookViewId="0">
      <pane ySplit="4" topLeftCell="A5" activePane="bottomLeft" state="frozen"/>
      <selection pane="bottomLeft" activeCell="A1" sqref="A1"/>
    </sheetView>
  </sheetViews>
  <sheetFormatPr baseColWidth="8" defaultRowHeight="15"/>
  <cols>
    <col width="9" customWidth="1" min="1" max="1"/>
    <col width="22" customWidth="1" min="2" max="2"/>
    <col width="30" customWidth="1" min="3" max="3"/>
    <col width="9" customWidth="1" min="4" max="4"/>
    <col width="60" customWidth="1" min="5" max="5"/>
    <col width="7" customWidth="1" min="6" max="6"/>
    <col width="6" customWidth="1" min="7" max="7"/>
    <col width="7" customWidth="1" min="8" max="8"/>
    <col width="46" customWidth="1" min="9" max="9"/>
    <col width="62" customWidth="1" min="10" max="10"/>
  </cols>
  <sheetData>
    <row r="1" ht="26" customHeight="1">
      <c r="A1" s="1" t="inlineStr">
        <is>
          <t>Mechanism Gates — exceptional-return machines (full conjunction)</t>
        </is>
      </c>
    </row>
    <row r="2" ht="18" customHeight="1">
      <c r="A2" s="20" t="inlineStr">
        <is>
          <t>A name qualifies for an archetype only when its ENTIRE mechanism is present: coiled-spring delever, sub-cash buyback, forced-seller exhaustion, hidden-asset realisation, stated-unlock triangulated. Two or more machines on one name is the rarest configuration.</t>
        </is>
      </c>
      <c r="B2" s="19" t="n"/>
      <c r="C2" s="19" t="n"/>
      <c r="D2" s="19" t="n"/>
      <c r="E2" s="19" t="n"/>
      <c r="F2" s="19" t="n"/>
      <c r="G2" s="19" t="n"/>
      <c r="H2" s="19" t="n"/>
      <c r="I2" s="19" t="n"/>
    </row>
    <row r="3" ht="8" customHeight="1">
      <c r="D3" s="34" t="inlineStr">
        <is>
          <t>%ile vs all 235 names scored</t>
        </is>
      </c>
    </row>
    <row r="4" ht="18" customHeight="1">
      <c r="A4" s="12" t="inlineStr">
        <is>
          <t>Ticker</t>
        </is>
      </c>
      <c r="B4" s="12" t="inlineStr">
        <is>
          <t>Name</t>
        </is>
      </c>
      <c r="C4" s="12" t="inlineStr">
        <is>
          <t>Key numbers (FMP)</t>
        </is>
      </c>
      <c r="D4" s="12" t="inlineStr">
        <is>
          <t>Strength %ile</t>
        </is>
      </c>
      <c r="E4" s="12" t="inlineStr">
        <is>
          <t>What's happening (8-K)</t>
        </is>
      </c>
      <c r="F4" s="4" t="inlineStr">
        <is>
          <t>Score</t>
        </is>
      </c>
      <c r="G4" s="4" t="inlineStr">
        <is>
          <t>Mech</t>
        </is>
      </c>
      <c r="H4" s="4" t="inlineStr">
        <is>
          <t>Ratio</t>
        </is>
      </c>
      <c r="I4" s="12" t="inlineStr">
        <is>
          <t>Archetypes</t>
        </is>
      </c>
      <c r="J4" s="12" t="inlineStr">
        <is>
          <t>FMP financial read</t>
        </is>
      </c>
    </row>
    <row r="5" ht="22" customHeight="1">
      <c r="A5" s="6" t="inlineStr">
        <is>
          <t>INR</t>
        </is>
      </c>
      <c r="B5" s="14" t="inlineStr">
        <is>
          <t>Infinity Natural Resou</t>
        </is>
      </c>
      <c r="C5" s="14" t="inlineStr">
        <is>
          <t>P/B 1.38 · debt 188% · 52w 25%</t>
        </is>
      </c>
      <c r="D5" s="14" t="n">
        <v>100</v>
      </c>
      <c r="E5" s="14" t="n"/>
      <c r="F5" s="27" t="n">
        <v>61.8</v>
      </c>
      <c r="G5" s="27" t="n">
        <v>4</v>
      </c>
      <c r="H5" s="27" t="n">
        <v>7.5</v>
      </c>
      <c r="I5" s="14" t="inlineStr">
        <is>
          <t>coiled spring delever, hidden asset realizatio</t>
        </is>
      </c>
      <c r="J5" s="14" t="inlineStr">
        <is>
          <t>P/B 1.38 · P/S 0.5 · net debt 188% of mcap · op margin 41%  [FCF yield &gt;100% (check); new entity / merger: history not comparable]</t>
        </is>
      </c>
    </row>
    <row r="6" ht="22" customHeight="1">
      <c r="A6" s="8" t="inlineStr">
        <is>
          <t>VISN</t>
        </is>
      </c>
      <c r="B6" s="16" t="inlineStr">
        <is>
          <t>Vistance Networks, Inc</t>
        </is>
      </c>
      <c r="C6" s="16" t="inlineStr">
        <is>
          <t>P/B 0.58 · 2.6× EBITDA · cash 5% · 52w 3%</t>
        </is>
      </c>
      <c r="D6" s="16" t="n">
        <v>99</v>
      </c>
      <c r="E6" s="16" t="n"/>
      <c r="F6" s="28" t="n">
        <v>56</v>
      </c>
      <c r="G6" s="28" t="n">
        <v>3</v>
      </c>
      <c r="H6" s="28" t="n">
        <v>60</v>
      </c>
      <c r="I6" s="16" t="inlineStr">
        <is>
          <t>sub cash buyback, asset sale monetization, gov</t>
        </is>
      </c>
      <c r="J6" s="16" t="inlineStr">
        <is>
          <t>P/B 0.58 · EV/EBITDA 2.6× · FCF yld 6% · net cash 5% of mcap · rev -38% · op margin 12% · diluting 3%/yr  [dividend yield &gt;25% (special or bad data)]</t>
        </is>
      </c>
    </row>
    <row r="7" ht="22" customHeight="1">
      <c r="A7" s="6" t="inlineStr">
        <is>
          <t>USNA</t>
        </is>
      </c>
      <c r="B7" s="14" t="inlineStr">
        <is>
          <t>USANA Health Sciences,</t>
        </is>
      </c>
      <c r="C7" s="14" t="inlineStr">
        <is>
          <t>P/B 0.50 · 2.8× EBITDA · cash 64% · 52w 10%</t>
        </is>
      </c>
      <c r="D7" s="14" t="n">
        <v>99</v>
      </c>
      <c r="E7" s="14" t="n"/>
      <c r="F7" s="27" t="n">
        <v>50.6</v>
      </c>
      <c r="G7" s="27" t="n">
        <v>3</v>
      </c>
      <c r="H7" s="27" t="n">
        <v>5.8</v>
      </c>
      <c r="I7" s="14" t="inlineStr">
        <is>
          <t>sub cash buyback, tender target latent, govern</t>
        </is>
      </c>
      <c r="J7" s="14" t="inlineStr">
        <is>
          <t>P/B 0.50 · EV/EBITDA 2.8× · FCF yld 6% · net cash 64% of mcap · rev +2% · op margin 1%</t>
        </is>
      </c>
    </row>
    <row r="8" ht="22" customHeight="1">
      <c r="A8" s="8" t="inlineStr">
        <is>
          <t>THRY</t>
        </is>
      </c>
      <c r="B8" s="16" t="inlineStr">
        <is>
          <t>Thryv Holdings, Inc.</t>
        </is>
      </c>
      <c r="C8" s="16" t="inlineStr">
        <is>
          <t>P/B 0.40 · 5.1× EBITDA · debt 278% · 52w 1%</t>
        </is>
      </c>
      <c r="D8" s="16" t="n">
        <v>98</v>
      </c>
      <c r="E8" s="16" t="n"/>
      <c r="F8" s="28" t="n">
        <v>50.4</v>
      </c>
      <c r="G8" s="28" t="n">
        <v>3</v>
      </c>
      <c r="H8" s="28" t="n">
        <v>3</v>
      </c>
      <c r="I8" s="16" t="inlineStr">
        <is>
          <t>coiled spring delever, asset sale monetization</t>
        </is>
      </c>
      <c r="J8" s="16" t="inlineStr">
        <is>
          <t>P/B 0.40 · EV/EBITDA 5.1× · FCF yld 65% · net debt 278% of mcap · rev -6% · op margin 4% · interest cover 1.0× ⚠</t>
        </is>
      </c>
    </row>
    <row r="9" ht="22" customHeight="1">
      <c r="A9" s="6" t="inlineStr">
        <is>
          <t>STRZ</t>
        </is>
      </c>
      <c r="B9" s="14" t="inlineStr">
        <is>
          <t>Starz Entertainment Co</t>
        </is>
      </c>
      <c r="C9" s="14" t="inlineStr">
        <is>
          <t>P/B 0.60 · 2.7× EBITDA · debt 149% · 52w 61%</t>
        </is>
      </c>
      <c r="D9" s="14" t="n">
        <v>98</v>
      </c>
      <c r="E9" s="14" t="n"/>
      <c r="F9" s="27" t="n">
        <v>50.4</v>
      </c>
      <c r="G9" s="27" t="n">
        <v>3</v>
      </c>
      <c r="H9" s="27" t="n">
        <v>5</v>
      </c>
      <c r="I9" s="14" t="inlineStr">
        <is>
          <t>stated unlock triangulated, asset sale monetiz</t>
        </is>
      </c>
      <c r="J9" s="14" t="inlineStr">
        <is>
          <t>P/B 0.60 · EV/EBITDA 2.7× · FCF yld -6% · net debt 149% of mcap · rev -7% · op margin -17% · interest cover -3.7× ⚠</t>
        </is>
      </c>
    </row>
    <row r="10" ht="22" customHeight="1">
      <c r="A10" s="8" t="inlineStr">
        <is>
          <t>DFH</t>
        </is>
      </c>
      <c r="B10" s="16" t="inlineStr">
        <is>
          <t>Dream Finders Homes, I</t>
        </is>
      </c>
      <c r="C10" s="16" t="inlineStr">
        <is>
          <t>P/B 0.68 · 11.7× EBITDA · debt 36% · 52w 2%</t>
        </is>
      </c>
      <c r="D10" s="16" t="n">
        <v>98</v>
      </c>
      <c r="E10" s="16" t="n"/>
      <c r="F10" s="28" t="n">
        <v>48.9</v>
      </c>
      <c r="G10" s="28" t="n">
        <v>3</v>
      </c>
      <c r="H10" s="28" t="n">
        <v>4.2</v>
      </c>
      <c r="I10" s="16" t="inlineStr">
        <is>
          <t>hidden asset realization, asset sale latent, s</t>
        </is>
      </c>
      <c r="J10" s="16" t="inlineStr">
        <is>
          <t>P/B 0.68 · EV/EBITDA 11.7× · FCF yld -15% · net debt 36% of mcap · rev -12% · op margin 3% · buying back 10%/yr</t>
        </is>
      </c>
    </row>
    <row r="11" ht="22" customHeight="1">
      <c r="A11" s="6" t="inlineStr">
        <is>
          <t>CAPS</t>
        </is>
      </c>
      <c r="B11" s="14" t="inlineStr">
        <is>
          <t>Capstone Holding Corp.</t>
        </is>
      </c>
      <c r="C11" s="14" t="inlineStr">
        <is>
          <t>P/B 0.20 · debt 703% · 52w 1%</t>
        </is>
      </c>
      <c r="D11" s="14" t="n">
        <v>97</v>
      </c>
      <c r="E11" s="14" t="n"/>
      <c r="F11" s="27" t="n">
        <v>47.7</v>
      </c>
      <c r="G11" s="27" t="n">
        <v>3</v>
      </c>
      <c r="H11" s="27" t="n">
        <v>3</v>
      </c>
      <c r="I11" s="14" t="inlineStr">
        <is>
          <t>hidden asset realization, asset sale latent, s</t>
        </is>
      </c>
      <c r="J11" s="14" t="inlineStr">
        <is>
          <t>P/B 0.20 · P/S 0.0 · net debt 703% of mcap · op margin -6% · interest cover -0.6× ⚠  [FCF yield &gt;100% (check); new entity / merger: history not comparable]</t>
        </is>
      </c>
    </row>
    <row r="12" ht="22" customHeight="1">
      <c r="A12" s="8" t="inlineStr">
        <is>
          <t>LAB</t>
        </is>
      </c>
      <c r="B12" s="16" t="inlineStr">
        <is>
          <t>Standard BioTools Inc.</t>
        </is>
      </c>
      <c r="C12" s="16" t="inlineStr">
        <is>
          <t>P/B 0.53 · cash 157% · 52w 9%</t>
        </is>
      </c>
      <c r="D12" s="16" t="n">
        <v>97</v>
      </c>
      <c r="E12" s="16" t="n"/>
      <c r="F12" s="28" t="n">
        <v>42</v>
      </c>
      <c r="G12" s="28" t="n">
        <v>2</v>
      </c>
      <c r="H12" s="28" t="n">
        <v>38.7</v>
      </c>
      <c r="I12" s="16" t="inlineStr">
        <is>
          <t>asset sale monetization, governance discount c</t>
        </is>
      </c>
      <c r="J12" s="16" t="inlineStr">
        <is>
          <t>P/B 0.53 · P/S 3.4 · FCF yld -29% · net cash 157% of mcap · rev -37% · op margin -95% · diluting 3%/yr</t>
        </is>
      </c>
    </row>
    <row r="13" ht="22" customHeight="1">
      <c r="A13" s="6" t="inlineStr">
        <is>
          <t>INVE</t>
        </is>
      </c>
      <c r="B13" s="14" t="inlineStr">
        <is>
          <t>Identiv, Inc.</t>
        </is>
      </c>
      <c r="C13" s="14" t="inlineStr">
        <is>
          <t>P/B 0.44 · 4.4× EBITDA · cash 202% · 52w 1%</t>
        </is>
      </c>
      <c r="D13" s="14" t="n">
        <v>97</v>
      </c>
      <c r="E13" s="14" t="n"/>
      <c r="F13" s="27" t="n">
        <v>42</v>
      </c>
      <c r="G13" s="27" t="n">
        <v>2</v>
      </c>
      <c r="H13" s="27" t="n">
        <v>60</v>
      </c>
      <c r="I13" s="14" t="inlineStr">
        <is>
          <t>asset sale monetization, governance discount c</t>
        </is>
      </c>
      <c r="J13" s="14" t="inlineStr">
        <is>
          <t>P/B 0.44 · EV/EBITDA 4.4× · FCF yld -16% · net cash 202% of mcap · rev +3% · op margin -81%</t>
        </is>
      </c>
    </row>
    <row r="14" ht="22" customHeight="1">
      <c r="A14" s="8" t="inlineStr">
        <is>
          <t>UEIC</t>
        </is>
      </c>
      <c r="B14" s="16" t="inlineStr">
        <is>
          <t>Universal Electronics</t>
        </is>
      </c>
      <c r="C14" s="16" t="inlineStr">
        <is>
          <t>P/B 0.47 · 7.7× EBITDA · cash 3% · 52w 78%</t>
        </is>
      </c>
      <c r="D14" s="16" t="n">
        <v>96</v>
      </c>
      <c r="E14" s="16" t="n"/>
      <c r="F14" s="28" t="n">
        <v>40.5</v>
      </c>
      <c r="G14" s="28" t="n">
        <v>2</v>
      </c>
      <c r="H14" s="28" t="n">
        <v>12.2</v>
      </c>
      <c r="I14" s="16" t="inlineStr">
        <is>
          <t>asset sale monetization, governance discount c</t>
        </is>
      </c>
      <c r="J14" s="16" t="inlineStr">
        <is>
          <t>P/B 0.47 · EV/EBITDA 7.7× · FCF yld 10% · net cash 3% of mcap · rev -18% · op margin -0% · buying back 4%/yr</t>
        </is>
      </c>
    </row>
    <row r="15" ht="22" customHeight="1">
      <c r="A15" s="6" t="inlineStr">
        <is>
          <t>LUCY</t>
        </is>
      </c>
      <c r="B15" s="14" t="inlineStr">
        <is>
          <t>Innovative Eyewear, In</t>
        </is>
      </c>
      <c r="C15" s="14" t="inlineStr">
        <is>
          <t>P/B 0.84 · cash 64% · 52w 17%</t>
        </is>
      </c>
      <c r="D15" s="14" t="n">
        <v>95</v>
      </c>
      <c r="E15" s="14" t="n"/>
      <c r="F15" s="27" t="n">
        <v>40</v>
      </c>
      <c r="G15" s="27" t="n">
        <v>2</v>
      </c>
      <c r="H15" s="27" t="n">
        <v>31.6</v>
      </c>
      <c r="I15" s="14" t="inlineStr">
        <is>
          <t>sub cash buyback, tender target latent</t>
        </is>
      </c>
      <c r="J15" s="14" t="inlineStr">
        <is>
          <t>P/B 0.84 · P/S 1.7 · net cash 64% of mcap · rev +72% · op margin -249% · diluting 99%/yr  [FCF yield &gt;100% (check)]</t>
        </is>
      </c>
    </row>
    <row r="16" ht="22" customHeight="1">
      <c r="A16" s="8" t="inlineStr">
        <is>
          <t>PMCB</t>
        </is>
      </c>
      <c r="B16" s="16" t="inlineStr">
        <is>
          <t>PharmaCyte  Biotech, I</t>
        </is>
      </c>
      <c r="C16" s="16" t="inlineStr">
        <is>
          <t>P/B 0.12 · 2.4× EBITDA · cash 449% · 52w 8%</t>
        </is>
      </c>
      <c r="D16" s="16" t="n">
        <v>95</v>
      </c>
      <c r="E16" s="16" t="n"/>
      <c r="F16" s="28" t="n">
        <v>40</v>
      </c>
      <c r="G16" s="28" t="n">
        <v>2</v>
      </c>
      <c r="H16" s="28" t="n">
        <v>30</v>
      </c>
      <c r="I16" s="16" t="inlineStr">
        <is>
          <t>sub cash buyback, tender target latent</t>
        </is>
      </c>
      <c r="J16" s="16" t="inlineStr">
        <is>
          <t>P/B 0.12 · EV/EBITDA 2.4× · FCF yld -85% · net cash 449% of mcap · op margin 0% · buying back 11%/yr</t>
        </is>
      </c>
    </row>
    <row r="17" ht="22" customHeight="1">
      <c r="A17" s="6" t="inlineStr">
        <is>
          <t>ELAB</t>
        </is>
      </c>
      <c r="B17" s="14" t="inlineStr">
        <is>
          <t>PMGC Holdings Inc.</t>
        </is>
      </c>
      <c r="C17" s="14" t="inlineStr">
        <is>
          <t>P/B 0.12 · 0.2× EBITDA · cash 240% · 52w 0%</t>
        </is>
      </c>
      <c r="D17" s="14" t="n">
        <v>95</v>
      </c>
      <c r="E17" s="14" t="n"/>
      <c r="F17" s="27" t="n">
        <v>39</v>
      </c>
      <c r="G17" s="27" t="n">
        <v>2</v>
      </c>
      <c r="H17" s="27" t="n">
        <v>60</v>
      </c>
      <c r="I17" s="14" t="inlineStr">
        <is>
          <t>hidden asset realization, asset sale latent</t>
        </is>
      </c>
      <c r="J17" s="14" t="inlineStr">
        <is>
          <t>P/B 0.12 · EV/EBITDA 0.2× · net cash 240% of mcap · op margin -477%  [FCF yield &gt;100% (check)]</t>
        </is>
      </c>
    </row>
    <row r="18" ht="22" customHeight="1">
      <c r="A18" s="8" t="inlineStr">
        <is>
          <t>BIRD</t>
        </is>
      </c>
      <c r="B18" s="16" t="inlineStr">
        <is>
          <t>Allbirds, Inc.</t>
        </is>
      </c>
      <c r="C18" s="16" t="inlineStr">
        <is>
          <t>P/B 0.66 · 0.1× EBITDA · cash 155% · 52w 1%</t>
        </is>
      </c>
      <c r="D18" s="16" t="n">
        <v>94</v>
      </c>
      <c r="E18" s="16" t="n"/>
      <c r="F18" s="28" t="n">
        <v>38.9</v>
      </c>
      <c r="G18" s="28" t="n">
        <v>2</v>
      </c>
      <c r="H18" s="28" t="n">
        <v>7.2</v>
      </c>
      <c r="I18" s="16" t="inlineStr">
        <is>
          <t>asset sale monetization, governance discount c</t>
        </is>
      </c>
      <c r="J18" s="16" t="inlineStr">
        <is>
          <t>P/B 0.66 · EV/EBITDA 0.1× · net cash 155% of mcap · rev -38% · op margin -63% · diluting 13%/yr  [FCF yield &gt;100% (check)]</t>
        </is>
      </c>
    </row>
    <row r="19" ht="22" customHeight="1">
      <c r="A19" s="6" t="inlineStr">
        <is>
          <t>BATL</t>
        </is>
      </c>
      <c r="B19" s="14" t="inlineStr">
        <is>
          <t>Battalion Oil Corporat</t>
        </is>
      </c>
      <c r="C19" s="14" t="inlineStr">
        <is>
          <t>P/B 0.12 · 4.4× EBITDA · debt 311% · 52w 0%</t>
        </is>
      </c>
      <c r="D19" s="14" t="n">
        <v>94</v>
      </c>
      <c r="E19" s="14" t="n"/>
      <c r="F19" s="27" t="n">
        <v>38.7</v>
      </c>
      <c r="G19" s="27" t="n">
        <v>2</v>
      </c>
      <c r="H19" s="27" t="n">
        <v>3</v>
      </c>
      <c r="I19" s="14" t="inlineStr">
        <is>
          <t>hidden asset realization, asset sale monetizat</t>
        </is>
      </c>
      <c r="J19" s="14" t="inlineStr">
        <is>
          <t>P/B 0.12 · EV/EBITDA 4.4× · net debt 311% of mcap · op margin -3% · interest cover -0.3× ⚠  [FCF yield &gt;100% (check); new entity / merger: history not comparable]</t>
        </is>
      </c>
    </row>
    <row r="20" ht="22" customHeight="1">
      <c r="A20" s="8" t="inlineStr">
        <is>
          <t>AHCO</t>
        </is>
      </c>
      <c r="B20" s="16" t="inlineStr">
        <is>
          <t>AdaptHealth Corp.</t>
        </is>
      </c>
      <c r="C20" s="16" t="inlineStr">
        <is>
          <t>P/B 0.57 · 9.6× EBITDA · debt 258% · 52w 7%</t>
        </is>
      </c>
      <c r="D20" s="16" t="n">
        <v>93</v>
      </c>
      <c r="E20" s="16" t="n"/>
      <c r="F20" s="28" t="n">
        <v>38.4</v>
      </c>
      <c r="G20" s="28" t="n">
        <v>2</v>
      </c>
      <c r="H20" s="28" t="n">
        <v>3</v>
      </c>
      <c r="I20" s="16" t="inlineStr">
        <is>
          <t>asset sale monetization, governance discount c</t>
        </is>
      </c>
      <c r="J20" s="16" t="inlineStr">
        <is>
          <t>P/B 0.57 · EV/EBITDA 9.6× · FCF yld 13% · net debt 258% of mcap · rev +15% · op margin -0% · interest cover -0.1× ⚠</t>
        </is>
      </c>
    </row>
    <row r="21" ht="22" customHeight="1">
      <c r="A21" s="6" t="inlineStr">
        <is>
          <t>GETY</t>
        </is>
      </c>
      <c r="B21" s="14" t="inlineStr">
        <is>
          <t>Getty Images Holdings,</t>
        </is>
      </c>
      <c r="C21" s="14" t="inlineStr">
        <is>
          <t>P/B 0.21 · 11.5× EBITDA · debt 2162% · 52w 0%</t>
        </is>
      </c>
      <c r="D21" s="14" t="n">
        <v>93</v>
      </c>
      <c r="E21" s="14" t="n"/>
      <c r="F21" s="27" t="n">
        <v>38.4</v>
      </c>
      <c r="G21" s="27" t="n">
        <v>2</v>
      </c>
      <c r="H21" s="27" t="n">
        <v>3</v>
      </c>
      <c r="I21" s="14" t="inlineStr">
        <is>
          <t>coiled spring delever, governance discount cat</t>
        </is>
      </c>
      <c r="J21" s="14" t="inlineStr">
        <is>
          <t>P/B 0.21 · EV/EBITDA 11.5× · FCF yld -91% · net debt 2162% of mcap · rev +3% · op margin 21% · interest cover 1.0× ⚠</t>
        </is>
      </c>
    </row>
    <row r="22" ht="22" customHeight="1">
      <c r="A22" s="8" t="inlineStr">
        <is>
          <t>ONEW</t>
        </is>
      </c>
      <c r="B22" s="16" t="inlineStr">
        <is>
          <t>OneWater Marine Inc.</t>
        </is>
      </c>
      <c r="C22" s="16" t="inlineStr">
        <is>
          <t>P/B 0.58 · debt 488% · 52w 20%</t>
        </is>
      </c>
      <c r="D22" s="16" t="n">
        <v>93</v>
      </c>
      <c r="E22" s="16" t="n"/>
      <c r="F22" s="28" t="n">
        <v>38.4</v>
      </c>
      <c r="G22" s="28" t="n">
        <v>2</v>
      </c>
      <c r="H22" s="28" t="n">
        <v>3</v>
      </c>
      <c r="I22" s="16" t="inlineStr">
        <is>
          <t>asset sale monetization, governance discount c</t>
        </is>
      </c>
      <c r="J22" s="16" t="inlineStr">
        <is>
          <t>P/B 0.58 · P/S 0.1 · FCF yld 34% · net debt 488% of mcap · rev +3% · op margin 4% · diluting 4%/yr</t>
        </is>
      </c>
    </row>
    <row r="23" ht="22" customHeight="1">
      <c r="A23" s="6" t="inlineStr">
        <is>
          <t>CNDT</t>
        </is>
      </c>
      <c r="B23" s="14" t="inlineStr">
        <is>
          <t>Conduent Incorporated</t>
        </is>
      </c>
      <c r="C23" s="14" t="inlineStr">
        <is>
          <t>P/B 0.38 · 10.6× EBITDA · debt 243% · 52w 28%</t>
        </is>
      </c>
      <c r="D23" s="14" t="n">
        <v>93</v>
      </c>
      <c r="E23" s="14" t="n"/>
      <c r="F23" s="27" t="n">
        <v>38.4</v>
      </c>
      <c r="G23" s="27" t="n">
        <v>2</v>
      </c>
      <c r="H23" s="27" t="n">
        <v>3</v>
      </c>
      <c r="I23" s="14" t="inlineStr">
        <is>
          <t>asset sale monetization, governance discount c</t>
        </is>
      </c>
      <c r="J23" s="14" t="inlineStr">
        <is>
          <t>P/B 0.38 · EV/EBITDA 10.6× · FCF yld -24% · net debt 243% of mcap · rev -10% · op margin -0% · buying back 4%/yr · interest cover -0.1× ⚠</t>
        </is>
      </c>
    </row>
    <row r="24" ht="22" customHeight="1">
      <c r="A24" s="8" t="inlineStr">
        <is>
          <t>NMRK</t>
        </is>
      </c>
      <c r="B24" s="16" t="inlineStr">
        <is>
          <t>Newmark Group, Inc.</t>
        </is>
      </c>
      <c r="C24" s="16" t="inlineStr">
        <is>
          <t>P/B 1.46 · 8.0× EBITDA · debt 91% · 52w 2%</t>
        </is>
      </c>
      <c r="D24" s="16" t="n">
        <v>91</v>
      </c>
      <c r="E24" s="16" t="n"/>
      <c r="F24" s="28" t="n">
        <v>38</v>
      </c>
      <c r="G24" s="28" t="n">
        <v>2</v>
      </c>
      <c r="H24" s="28" t="n">
        <v>4.6</v>
      </c>
      <c r="I24" s="16" t="inlineStr">
        <is>
          <t>coiled spring delever, asset sale monetization</t>
        </is>
      </c>
      <c r="J24" s="16" t="inlineStr">
        <is>
          <t>P/B 1.46 · EV/EBITDA 8.0× · FCF yld 39% · net debt 91% of mcap · rev +21% · op margin 8%</t>
        </is>
      </c>
    </row>
    <row r="25" ht="22" customHeight="1">
      <c r="A25" s="6" t="inlineStr">
        <is>
          <t>NNDM</t>
        </is>
      </c>
      <c r="B25" s="14" t="inlineStr">
        <is>
          <t>Nano Dimension Ltd.</t>
        </is>
      </c>
      <c r="C25" s="14" t="inlineStr">
        <is>
          <t>P/B 0.69 · cash 124% · 52w 34%</t>
        </is>
      </c>
      <c r="D25" s="14" t="n">
        <v>91</v>
      </c>
      <c r="E25" s="14" t="n"/>
      <c r="F25" s="27" t="n">
        <v>38</v>
      </c>
      <c r="G25" s="27" t="n">
        <v>2</v>
      </c>
      <c r="H25" s="27" t="n">
        <v>4.5</v>
      </c>
      <c r="I25" s="14" t="inlineStr">
        <is>
          <t>asset sale monetization, governance discount c</t>
        </is>
      </c>
      <c r="J25" s="14" t="inlineStr">
        <is>
          <t>P/B 0.69 · P/S 2.7 · FCF yld -20% · net cash 124% of mcap · rev +74% · op margin -67% · buying back 4%/yr</t>
        </is>
      </c>
    </row>
    <row r="26" ht="22" customHeight="1">
      <c r="A26" s="8" t="inlineStr">
        <is>
          <t>TOON</t>
        </is>
      </c>
      <c r="B26" s="16" t="inlineStr">
        <is>
          <t>Kartoon Studios Inc.</t>
        </is>
      </c>
      <c r="C26" s="16" t="inlineStr">
        <is>
          <t>P/B 0.66 · 2.6× EBITDA · cash 91% · 52w 10%</t>
        </is>
      </c>
      <c r="D26" s="16" t="n">
        <v>91</v>
      </c>
      <c r="E26" s="16" t="n"/>
      <c r="F26" s="28" t="n">
        <v>38</v>
      </c>
      <c r="G26" s="28" t="n">
        <v>2</v>
      </c>
      <c r="H26" s="28" t="n">
        <v>3.8</v>
      </c>
      <c r="I26" s="16" t="inlineStr">
        <is>
          <t>asset sale monetization, governance discount c</t>
        </is>
      </c>
      <c r="J26" s="16" t="inlineStr">
        <is>
          <t>P/B 0.66 · EV/EBITDA 2.6× · FCF yld 75% · net cash 91% of mcap · rev -82% · diluting 48%/yr</t>
        </is>
      </c>
    </row>
    <row r="27" ht="22" customHeight="1">
      <c r="A27" s="6" t="inlineStr">
        <is>
          <t>VTVT</t>
        </is>
      </c>
      <c r="B27" s="14" t="inlineStr">
        <is>
          <t>vTv Therapeutics Inc.</t>
        </is>
      </c>
      <c r="C27" s="14" t="inlineStr">
        <is>
          <t>1.0× EBITDA · 52w 48%</t>
        </is>
      </c>
      <c r="D27" s="14" t="n">
        <v>91</v>
      </c>
      <c r="E27" s="14" t="n"/>
      <c r="F27" s="27" t="n">
        <v>38</v>
      </c>
      <c r="G27" s="27" t="n">
        <v>2</v>
      </c>
      <c r="H27" s="27" t="n">
        <v>21</v>
      </c>
      <c r="I27" s="14" t="inlineStr">
        <is>
          <t>asset sale monetization, tender target latent</t>
        </is>
      </c>
      <c r="J27" s="14" t="inlineStr">
        <is>
          <t>EV/EBITDA 1.0× · FCF yld -21% · op margin -25% · diluting 88%/yr  [market-cap/share data inconsistent; revenue not comparable YoY (fair-value / one-off income?)]</t>
        </is>
      </c>
    </row>
    <row r="28" ht="22" customHeight="1">
      <c r="A28" s="8" t="inlineStr">
        <is>
          <t>BCIC</t>
        </is>
      </c>
      <c r="B28" s="16" t="inlineStr">
        <is>
          <t>BCP Investment Corpora</t>
        </is>
      </c>
      <c r="C28" s="16" t="inlineStr">
        <is>
          <t>P/B 0.49 · 52w 6%</t>
        </is>
      </c>
      <c r="D28" s="16" t="n">
        <v>90</v>
      </c>
      <c r="E28" s="16" t="n"/>
      <c r="F28" s="28" t="n">
        <v>37.8</v>
      </c>
      <c r="G28" s="28" t="n">
        <v>2</v>
      </c>
      <c r="H28" s="28" t="n">
        <v>0.6</v>
      </c>
      <c r="I28" s="16" t="inlineStr">
        <is>
          <t>hidden asset realization, governance discount</t>
        </is>
      </c>
      <c r="J28" s="16" t="inlineStr">
        <is>
          <t>P/B 0.49 · ROE -2% · div yld 12.6% · diluting 34%/yr (financial: book/earnings basis)  [revenue not comparable YoY (fair-value / one-off income?)]</t>
        </is>
      </c>
    </row>
    <row r="29" ht="22" customHeight="1">
      <c r="A29" s="6" t="inlineStr">
        <is>
          <t>HAIN</t>
        </is>
      </c>
      <c r="B29" s="14" t="inlineStr">
        <is>
          <t>The Hain Celestial Gro</t>
        </is>
      </c>
      <c r="C29" s="14" t="inlineStr">
        <is>
          <t>P/B 0.23 · debt 1111% · 52w 6%</t>
        </is>
      </c>
      <c r="D29" s="14" t="n">
        <v>89</v>
      </c>
      <c r="E29" s="14" t="n"/>
      <c r="F29" s="27" t="n">
        <v>37.7</v>
      </c>
      <c r="G29" s="27" t="n">
        <v>2</v>
      </c>
      <c r="H29" s="27" t="n">
        <v>3</v>
      </c>
      <c r="I29" s="14" t="inlineStr">
        <is>
          <t>asset sale monetization, governance discount c</t>
        </is>
      </c>
      <c r="J29" s="14" t="inlineStr">
        <is>
          <t>P/B 0.23 · P/S 0.0 · net debt 1111% of mcap · rev -9% · op margin 2% · interest cover 0.5× ⚠  [FCF yield &gt;100% (check)]</t>
        </is>
      </c>
    </row>
    <row r="30" ht="22" customHeight="1">
      <c r="A30" s="8" t="inlineStr">
        <is>
          <t>BGS</t>
        </is>
      </c>
      <c r="B30" s="16" t="inlineStr">
        <is>
          <t>B&amp;G Foods, Inc.</t>
        </is>
      </c>
      <c r="C30" s="16" t="inlineStr">
        <is>
          <t>P/B 0.62 · 16.3× EBITDA · debt 811% · 52w 4%</t>
        </is>
      </c>
      <c r="D30" s="16" t="n">
        <v>89</v>
      </c>
      <c r="E30" s="16" t="n"/>
      <c r="F30" s="28" t="n">
        <v>37.7</v>
      </c>
      <c r="G30" s="28" t="n">
        <v>2</v>
      </c>
      <c r="H30" s="28" t="n">
        <v>3</v>
      </c>
      <c r="I30" s="16" t="inlineStr">
        <is>
          <t>asset sale monetization, governance discount c</t>
        </is>
      </c>
      <c r="J30" s="16" t="inlineStr">
        <is>
          <t>P/B 0.62 · EV/EBITDA 16.3× · FCF yld 26% · net debt 811% of mcap · rev -5% · op margin 10% · interest cover 1.2× ⚠</t>
        </is>
      </c>
    </row>
    <row r="31" ht="22" customHeight="1">
      <c r="A31" s="6" t="inlineStr">
        <is>
          <t>CMTL</t>
        </is>
      </c>
      <c r="B31" s="14" t="inlineStr">
        <is>
          <t>Comtech Telecommunicat</t>
        </is>
      </c>
      <c r="C31" s="14" t="inlineStr">
        <is>
          <t>P/B 0.16 · 5.7× EBITDA · debt 515% · 52w 1%</t>
        </is>
      </c>
      <c r="D31" s="14" t="n">
        <v>89</v>
      </c>
      <c r="E31" s="14" t="n"/>
      <c r="F31" s="27" t="n">
        <v>37.7</v>
      </c>
      <c r="G31" s="27" t="n">
        <v>2</v>
      </c>
      <c r="H31" s="27" t="n">
        <v>3</v>
      </c>
      <c r="I31" s="14" t="inlineStr">
        <is>
          <t>asset sale monetization, governance discount c</t>
        </is>
      </c>
      <c r="J31" s="14" t="inlineStr">
        <is>
          <t>P/B 0.16 · EV/EBITDA 5.7× · FCF yld 36% · net debt 515% of mcap · rev -4% · op margin 0% · interest cover 0.0× ⚠</t>
        </is>
      </c>
    </row>
    <row r="32" ht="22" customHeight="1">
      <c r="A32" s="8" t="inlineStr">
        <is>
          <t>ASPI</t>
        </is>
      </c>
      <c r="B32" s="16" t="inlineStr">
        <is>
          <t>ASP Isotopes Inc. Comm</t>
        </is>
      </c>
      <c r="C32" s="16" t="inlineStr">
        <is>
          <t>P/B 1.47 · debt 4% · 52w 1%</t>
        </is>
      </c>
      <c r="D32" s="16" t="n">
        <v>88</v>
      </c>
      <c r="E32" s="16" t="n"/>
      <c r="F32" s="28" t="n">
        <v>37.4</v>
      </c>
      <c r="G32" s="28" t="n">
        <v>2</v>
      </c>
      <c r="H32" s="28" t="n">
        <v>0.9</v>
      </c>
      <c r="I32" s="16" t="inlineStr">
        <is>
          <t>hidden asset realization, structured distresse</t>
        </is>
      </c>
      <c r="J32" s="16" t="inlineStr">
        <is>
          <t>P/B 1.47 · P/S 12.4 · FCF yld -22% · net debt 4% of mcap · op margin -312% · diluting 68%/yr  [revenue not comparable YoY (fair-value / one-off income?)]</t>
        </is>
      </c>
    </row>
    <row r="33" ht="22" customHeight="1">
      <c r="A33" s="6" t="inlineStr">
        <is>
          <t>VBIO</t>
        </is>
      </c>
      <c r="B33" s="14" t="inlineStr">
        <is>
          <t>Valion Bio, Inc.</t>
        </is>
      </c>
      <c r="C33" s="14" t="inlineStr">
        <is>
          <t>52w 1%</t>
        </is>
      </c>
      <c r="D33" s="14" t="n">
        <v>88</v>
      </c>
      <c r="E33" s="14" t="n"/>
      <c r="F33" s="27" t="n">
        <v>37.4</v>
      </c>
      <c r="G33" s="27" t="n">
        <v>2</v>
      </c>
      <c r="H33" s="27" t="n">
        <v>3.5</v>
      </c>
      <c r="I33" s="14" t="inlineStr">
        <is>
          <t>hidden asset realization, governance discount</t>
        </is>
      </c>
      <c r="J33" s="14" t="inlineStr">
        <is>
          <t>P/S -72.7  [market-cap/share data inconsistent; FCF yield &gt;100% (check); new entity / merger: history not comparable]</t>
        </is>
      </c>
    </row>
    <row r="34" ht="22" customHeight="1">
      <c r="A34" s="8" t="inlineStr">
        <is>
          <t>AESI</t>
        </is>
      </c>
      <c r="B34" s="16" t="inlineStr">
        <is>
          <t>Atlas Energy Solutions</t>
        </is>
      </c>
      <c r="C34" s="16" t="inlineStr">
        <is>
          <t>P/B 1.33 · 20.2× EBITDA · debt 54% · 52w 33%</t>
        </is>
      </c>
      <c r="D34" s="16" t="n">
        <v>87</v>
      </c>
      <c r="E34" s="16" t="n"/>
      <c r="F34" s="28" t="n">
        <v>36.8</v>
      </c>
      <c r="G34" s="28" t="n">
        <v>2</v>
      </c>
      <c r="H34" s="28" t="n">
        <v>0.4</v>
      </c>
      <c r="I34" s="16" t="inlineStr">
        <is>
          <t>hidden asset realization, structured distresse</t>
        </is>
      </c>
      <c r="J34" s="16" t="inlineStr">
        <is>
          <t>P/B 1.33 · EV/EBITDA 20.2× · FCF yld -13% · net debt 54% of mcap · rev -8% · op margin -9% · interest cover -1.5× ⚠</t>
        </is>
      </c>
    </row>
    <row r="35" ht="22" customHeight="1">
      <c r="A35" s="6" t="inlineStr">
        <is>
          <t>ULH</t>
        </is>
      </c>
      <c r="B35" s="14" t="inlineStr">
        <is>
          <t>Universal Logistics Ho</t>
        </is>
      </c>
      <c r="C35" s="14" t="inlineStr">
        <is>
          <t>P/B 0.76 · 12.4× EBITDA · debt 192% · 52w 32%</t>
        </is>
      </c>
      <c r="D35" s="14" t="n">
        <v>87</v>
      </c>
      <c r="E35" s="14" t="n"/>
      <c r="F35" s="27" t="n">
        <v>36.8</v>
      </c>
      <c r="G35" s="27" t="n">
        <v>2</v>
      </c>
      <c r="H35" s="27" t="n">
        <v>7.5</v>
      </c>
      <c r="I35" s="14" t="inlineStr">
        <is>
          <t>hidden asset realization, asset sale latent</t>
        </is>
      </c>
      <c r="J35" s="14" t="inlineStr">
        <is>
          <t>P/B 0.76 · EV/EBITDA 12.4× · FCF yld 9% · net debt 192% of mcap · rev -8% · op margin -0% · interest cover -0.1× ⚠</t>
        </is>
      </c>
    </row>
    <row r="36" ht="22" customHeight="1">
      <c r="A36" s="8" t="inlineStr">
        <is>
          <t>LE</t>
        </is>
      </c>
      <c r="B36" s="16" t="inlineStr">
        <is>
          <t>Lands' End, Inc.</t>
        </is>
      </c>
      <c r="C36" s="16" t="inlineStr">
        <is>
          <t>P/B 0.65 · 0.7× EBITDA · debt 19% · 52w 8%</t>
        </is>
      </c>
      <c r="D36" s="16" t="n">
        <v>87</v>
      </c>
      <c r="E36" s="16" t="n"/>
      <c r="F36" s="28" t="n">
        <v>36.3</v>
      </c>
      <c r="G36" s="28" t="n">
        <v>2</v>
      </c>
      <c r="H36" s="28" t="n">
        <v>4.7</v>
      </c>
      <c r="I36" s="16" t="inlineStr">
        <is>
          <t>tender offer squeeze, governance discount cata</t>
        </is>
      </c>
      <c r="J36" s="16" t="inlineStr">
        <is>
          <t>P/B 0.65 · EV/EBITDA 0.7× · FCF yld -23% · net debt 19% of mcap · rev +0% · op margin 2% · buying back 2%/yr · interest cover 0.8× ⚠</t>
        </is>
      </c>
    </row>
    <row r="37" ht="22" customHeight="1">
      <c r="A37" s="6" t="inlineStr">
        <is>
          <t>DXLG</t>
        </is>
      </c>
      <c r="B37" s="14" t="inlineStr">
        <is>
          <t>Destination XL Group,</t>
        </is>
      </c>
      <c r="C37" s="14" t="inlineStr">
        <is>
          <t>P/B 0.32 · debt 562% · 52w 14%</t>
        </is>
      </c>
      <c r="D37" s="14" t="n">
        <v>86</v>
      </c>
      <c r="E37" s="14" t="n"/>
      <c r="F37" s="27" t="n">
        <v>35.7</v>
      </c>
      <c r="G37" s="27" t="n">
        <v>2</v>
      </c>
      <c r="H37" s="27" t="n">
        <v>3</v>
      </c>
      <c r="I37" s="14" t="inlineStr">
        <is>
          <t>tender offer squeeze, governance discount cata</t>
        </is>
      </c>
      <c r="J37" s="14" t="inlineStr">
        <is>
          <t>P/B 0.32 · P/S 0.1 · FCF yld -39% · net debt 562% of mcap · rev -4% · op margin -3% · diluting 5%/yr</t>
        </is>
      </c>
    </row>
    <row r="38" ht="22" customHeight="1">
      <c r="A38" s="8" t="inlineStr">
        <is>
          <t>IMMR</t>
        </is>
      </c>
      <c r="B38" s="16" t="inlineStr">
        <is>
          <t>Immersion Corporation</t>
        </is>
      </c>
      <c r="C38" s="16" t="inlineStr">
        <is>
          <t>P/B 0.82 · 4.4× EBITDA · debt 21% · 52w 78%</t>
        </is>
      </c>
      <c r="D38" s="16" t="n">
        <v>86</v>
      </c>
      <c r="E38" s="16" t="n"/>
      <c r="F38" s="28" t="n">
        <v>35.7</v>
      </c>
      <c r="G38" s="28" t="n">
        <v>2</v>
      </c>
      <c r="H38" s="28" t="n">
        <v>3.8</v>
      </c>
      <c r="I38" s="16" t="inlineStr">
        <is>
          <t>hidden asset realization, asset sale latent</t>
        </is>
      </c>
      <c r="J38" s="16" t="inlineStr">
        <is>
          <t>P/B 0.82 · EV/EBITDA 4.4× · FCF yld 25% · net debt 21% of mcap · rev +4% · op margin 2% · diluting 2%/yr</t>
        </is>
      </c>
    </row>
    <row r="39" ht="22" customHeight="1">
      <c r="A39" s="6" t="inlineStr">
        <is>
          <t>VENU</t>
        </is>
      </c>
      <c r="B39" s="14" t="inlineStr">
        <is>
          <t>Venu Holding Corporati</t>
        </is>
      </c>
      <c r="C39" s="14" t="inlineStr">
        <is>
          <t>P/B 0.59 · debt 189% · 52w 0%</t>
        </is>
      </c>
      <c r="D39" s="14" t="n">
        <v>85</v>
      </c>
      <c r="E39" s="14" t="n"/>
      <c r="F39" s="27" t="n">
        <v>35.4</v>
      </c>
      <c r="G39" s="27" t="n">
        <v>2</v>
      </c>
      <c r="H39" s="27" t="n">
        <v>5.2</v>
      </c>
      <c r="I39" s="14" t="inlineStr">
        <is>
          <t>hidden asset realization, asset sale latent</t>
        </is>
      </c>
      <c r="J39" s="14" t="inlineStr">
        <is>
          <t>P/B 0.59 · P/S 5.7 · net debt 189% of mcap · rev -13% · op margin -329% · diluting 57%/yr · interest cover -5.3× ⚠  [FCF yield &gt;100% (check)]</t>
        </is>
      </c>
    </row>
    <row r="40" ht="22" customHeight="1">
      <c r="A40" s="8" t="inlineStr">
        <is>
          <t>CYH</t>
        </is>
      </c>
      <c r="B40" s="16" t="inlineStr">
        <is>
          <t>Community Health Syste</t>
        </is>
      </c>
      <c r="C40" s="16" t="inlineStr">
        <is>
          <t>2.1× EBITDA · 52w 32%</t>
        </is>
      </c>
      <c r="D40" s="16" t="n">
        <v>85</v>
      </c>
      <c r="E40" s="16" t="n"/>
      <c r="F40" s="28" t="n">
        <v>35.2</v>
      </c>
      <c r="G40" s="28" t="n">
        <v>2</v>
      </c>
      <c r="H40" s="28" t="n">
        <v>3</v>
      </c>
      <c r="I40" s="16" t="inlineStr">
        <is>
          <t>asset sale monetization, tender offer squeeze</t>
        </is>
      </c>
      <c r="J40" s="16" t="inlineStr">
        <is>
          <t>EV/EBITDA 2.1× · FCF yld -43% · rev +77% · op margin -39%  [negative equity]</t>
        </is>
      </c>
    </row>
    <row r="41" ht="22" customHeight="1">
      <c r="A41" s="6" t="inlineStr">
        <is>
          <t>GPI</t>
        </is>
      </c>
      <c r="B41" s="14" t="inlineStr">
        <is>
          <t>Group 1 Automotive, In</t>
        </is>
      </c>
      <c r="C41" s="14" t="inlineStr">
        <is>
          <t>P/B 1.01 · 10.6× EBITDA · debt 196% · 52w 1%</t>
        </is>
      </c>
      <c r="D41" s="14" t="n">
        <v>84</v>
      </c>
      <c r="E41" s="14" t="n"/>
      <c r="F41" s="27" t="n">
        <v>35.1</v>
      </c>
      <c r="G41" s="27" t="n">
        <v>2</v>
      </c>
      <c r="H41" s="27" t="n">
        <v>5</v>
      </c>
      <c r="I41" s="14" t="inlineStr">
        <is>
          <t>coiled spring delever, asset sale latent</t>
        </is>
      </c>
      <c r="J41" s="14" t="inlineStr">
        <is>
          <t>P/B 1.01 · EV/EBITDA 10.6× · FCF yld 5% · net debt 196% of mcap · rev +1% · op margin 4% · buying back 8%/yr</t>
        </is>
      </c>
    </row>
    <row r="42" ht="22" customHeight="1">
      <c r="A42" s="8" t="inlineStr">
        <is>
          <t>SSP</t>
        </is>
      </c>
      <c r="B42" s="16" t="inlineStr">
        <is>
          <t>The E.W. Scripps Compa</t>
        </is>
      </c>
      <c r="C42" s="16" t="inlineStr">
        <is>
          <t>P/B 2.40 · debt 1067% · 52w 39%</t>
        </is>
      </c>
      <c r="D42" s="16" t="n">
        <v>84</v>
      </c>
      <c r="E42" s="16" t="n"/>
      <c r="F42" s="28" t="n">
        <v>34.4</v>
      </c>
      <c r="G42" s="28" t="n">
        <v>2</v>
      </c>
      <c r="H42" s="28" t="n">
        <v>3</v>
      </c>
      <c r="I42" s="16" t="inlineStr">
        <is>
          <t>hidden asset realization, asset sale latent</t>
        </is>
      </c>
      <c r="J42" s="16" t="inlineStr">
        <is>
          <t>P/B 2.40 · P/S 0.1 · FCF yld 15% · net debt 1067% of mcap · rev -14% · op margin -51% · diluting 5%/yr · interest cover -3.9× ⚠</t>
        </is>
      </c>
    </row>
    <row r="43" ht="22" customHeight="1">
      <c r="A43" s="6" t="inlineStr">
        <is>
          <t>FWRD</t>
        </is>
      </c>
      <c r="B43" s="14" t="inlineStr">
        <is>
          <t>Forward Air Corporatio</t>
        </is>
      </c>
      <c r="C43" s="14" t="inlineStr">
        <is>
          <t>52w 30%</t>
        </is>
      </c>
      <c r="D43" s="14" t="n">
        <v>84</v>
      </c>
      <c r="E43" s="14" t="n"/>
      <c r="F43" s="27" t="n">
        <v>33.2</v>
      </c>
      <c r="G43" s="27" t="n">
        <v>2</v>
      </c>
      <c r="H43" s="27" t="n">
        <v>3</v>
      </c>
      <c r="I43" s="14" t="inlineStr">
        <is>
          <t>coiled spring delever, asset sale latent</t>
        </is>
      </c>
      <c r="J43" s="14" t="inlineStr">
        <is>
          <t>P/S 0.2 · FCF yld 10% · rev -0% · op margin -7% · diluting 7%/yr  [negative equity]</t>
        </is>
      </c>
    </row>
    <row r="44" ht="22" customHeight="1">
      <c r="A44" s="8" t="inlineStr">
        <is>
          <t>MED</t>
        </is>
      </c>
      <c r="B44" s="16" t="inlineStr">
        <is>
          <t>MEDIFAST INC</t>
        </is>
      </c>
      <c r="C44" s="16" t="inlineStr">
        <is>
          <t>P/B 0.69 · cash 105% · 52w 57%</t>
        </is>
      </c>
      <c r="D44" s="16" t="n">
        <v>83</v>
      </c>
      <c r="E44" s="16" t="n"/>
      <c r="F44" s="28" t="n">
        <v>19.6</v>
      </c>
      <c r="G44" s="28" t="n">
        <v>1</v>
      </c>
      <c r="H44" s="28" t="n">
        <v>22.9</v>
      </c>
      <c r="I44" s="16" t="inlineStr">
        <is>
          <t>governance discount catalyst</t>
        </is>
      </c>
      <c r="J44" s="16" t="inlineStr">
        <is>
          <t>P/B 0.69 · P/S 0.4 · FCF yld 3% · net cash 105% of mcap · rev -34% · op margin -5%</t>
        </is>
      </c>
    </row>
    <row r="45" ht="22" customHeight="1">
      <c r="A45" s="6" t="inlineStr">
        <is>
          <t>TRS</t>
        </is>
      </c>
      <c r="B45" s="14" t="inlineStr">
        <is>
          <t>TriMas Corporation</t>
        </is>
      </c>
      <c r="C45" s="14" t="inlineStr">
        <is>
          <t>P/B 0.98 · 4.0× EBITDA · cash 57% · 52w 59%</t>
        </is>
      </c>
      <c r="D45" s="14" t="n">
        <v>83</v>
      </c>
      <c r="E45" s="14" t="n"/>
      <c r="F45" s="27" t="n">
        <v>19.3</v>
      </c>
      <c r="G45" s="27" t="n">
        <v>1</v>
      </c>
      <c r="H45" s="27" t="n">
        <v>2.2</v>
      </c>
      <c r="I45" s="14" t="inlineStr">
        <is>
          <t>sub cash buyback</t>
        </is>
      </c>
      <c r="J45" s="14" t="inlineStr">
        <is>
          <t>P/B 0.98 · EV/EBITDA 4.0× · FCF yld 12% · net cash 57% of mcap · rev -5% · op margin 5% · buying back 12%/yr</t>
        </is>
      </c>
    </row>
    <row r="46" ht="22" customHeight="1">
      <c r="A46" s="8" t="inlineStr">
        <is>
          <t>JOB</t>
        </is>
      </c>
      <c r="B46" s="16" t="inlineStr">
        <is>
          <t>GEE Group Inc.</t>
        </is>
      </c>
      <c r="C46" s="16" t="inlineStr">
        <is>
          <t>P/B 0.51 · 6.8× EBITDA · cash 65% · 52w 59%</t>
        </is>
      </c>
      <c r="D46" s="16" t="n">
        <v>82</v>
      </c>
      <c r="E46" s="16" t="n"/>
      <c r="F46" s="28" t="n">
        <v>18.8</v>
      </c>
      <c r="G46" s="28" t="n">
        <v>1</v>
      </c>
      <c r="H46" s="28" t="n">
        <v>14.5</v>
      </c>
      <c r="I46" s="16" t="inlineStr">
        <is>
          <t>governance discount catalyst</t>
        </is>
      </c>
      <c r="J46" s="16" t="inlineStr">
        <is>
          <t>P/B 0.51 · EV/EBITDA 6.8× · FCF yld 6% · net cash 65% of mcap · rev -17% · op margin -1%</t>
        </is>
      </c>
    </row>
    <row r="47" ht="22" customHeight="1">
      <c r="A47" s="6" t="inlineStr">
        <is>
          <t>PRTA</t>
        </is>
      </c>
      <c r="B47" s="14" t="inlineStr">
        <is>
          <t>Prothena Corporation p</t>
        </is>
      </c>
      <c r="C47" s="14" t="inlineStr">
        <is>
          <t>P/B 1.59 · cash 62% · 52w 25%</t>
        </is>
      </c>
      <c r="D47" s="14" t="n">
        <v>82</v>
      </c>
      <c r="E47" s="14" t="n"/>
      <c r="F47" s="27" t="n">
        <v>18.2</v>
      </c>
      <c r="G47" s="27" t="n">
        <v>1</v>
      </c>
      <c r="H47" s="27" t="n">
        <v>2</v>
      </c>
      <c r="I47" s="14" t="inlineStr">
        <is>
          <t>sub cash buyback</t>
        </is>
      </c>
      <c r="J47" s="14" t="inlineStr">
        <is>
          <t>P/B 1.59 · P/S 8.4 · FCF yld -13% · net cash 62% of mcap · op margin -115% · buying back 3%/yr  [revenue not comparable YoY (fair-value / one-off income?)]</t>
        </is>
      </c>
    </row>
    <row r="48" ht="22" customHeight="1">
      <c r="A48" s="8" t="inlineStr">
        <is>
          <t>FNGR</t>
        </is>
      </c>
      <c r="B48" s="16" t="inlineStr">
        <is>
          <t>FingerMotion, Inc.</t>
        </is>
      </c>
      <c r="C48" s="16" t="inlineStr">
        <is>
          <t>P/B 0.51 · debt 5% · 52w 0%</t>
        </is>
      </c>
      <c r="D48" s="16" t="n">
        <v>82</v>
      </c>
      <c r="E48" s="16" t="n"/>
      <c r="F48" s="28" t="n">
        <v>18.2</v>
      </c>
      <c r="G48" s="28" t="n">
        <v>1</v>
      </c>
      <c r="H48" s="28" t="n">
        <v>3</v>
      </c>
      <c r="I48" s="16" t="inlineStr">
        <is>
          <t>structured distressed injection</t>
        </is>
      </c>
      <c r="J48" s="16" t="inlineStr">
        <is>
          <t>P/B 0.51 · P/S 0.5 · FCF yld -60% · net debt 5% of mcap · rev +15% · op margin -41% · diluting 13%/yr</t>
        </is>
      </c>
    </row>
    <row r="49" ht="22" customHeight="1">
      <c r="A49" s="6" t="inlineStr">
        <is>
          <t>WOOF</t>
        </is>
      </c>
      <c r="B49" s="14" t="inlineStr">
        <is>
          <t>Petco Health and Welln</t>
        </is>
      </c>
      <c r="C49" s="14" t="inlineStr">
        <is>
          <t>P/B 0.55 · 5.4× EBITDA · debt 177% · 52w 6%</t>
        </is>
      </c>
      <c r="D49" s="14" t="n">
        <v>81</v>
      </c>
      <c r="E49" s="14" t="n"/>
      <c r="F49" s="27" t="n">
        <v>17.8</v>
      </c>
      <c r="G49" s="27" t="n">
        <v>1</v>
      </c>
      <c r="H49" s="27" t="n">
        <v>7.5</v>
      </c>
      <c r="I49" s="14" t="inlineStr">
        <is>
          <t>coiled spring delever</t>
        </is>
      </c>
      <c r="J49" s="14" t="inlineStr">
        <is>
          <t>P/B 0.55 · EV/EBITDA 5.4× · FCF yld 47% · net debt 177% of mcap · rev -1% · op margin 2% · interest cover 1.0× ⚠</t>
        </is>
      </c>
    </row>
    <row r="50"/>
    <row r="51" ht="28" customHeight="1">
      <c r="A51" s="17" t="inlineStr">
        <is>
          <t>235 names pass at least one mechanism gate; 39 light up two or more (the highest-conviction convergence). Unlike the additive consensus, these are HARD gates — every condition of a machine must hold: coiled-spring delever (D/E ≥ 1 + rising operating income + cheap equity), sub-cash buyback (net-cash floor ≥ 50% of price + active repurchase + not burning), forced-seller exhaustion (N-PORT forced selling into a floor, business not burning), hidden-asset realisation (small levered stub + credit-agreement asset sweep), stated-unlock triangulated (MD&amp;A value-unlock language + cheap geometry + insider buying), asset-sale monetization (asset-sale catalyst + cheap + levered/small — the backtest's best-median catalyst, +10%/58% hit), and tender-offer squeeze (tender/Dutch-auction catalyst + cheap small-cap — best hit rate, 61%). TWO ANTICIPATORY archetypes catch the setup BEFORE the catalyst: asset-sale latent (cheap + levered + de-lever pressure or MD&amp;A divestiture intent, NO sale announced) and tender-target latent (near net cash / NCAV, small controllable cap, plausible buyer — high insider ownership or self-tender-capable cash — and NO bid yet); these are speculative (weighted below the confirmed machines) but flag names likely to realise value that haven't yet. Plus structured distressed injection (the Cundill/Sibir play — an asset-backed washout raising via a senior/convertible instrument; see the Structured Distressed tab). Combines the payoff-geometry shape with the catalyst layers so shape and 'why now' are both required. Source: mechanism_gates.py.</t>
        </is>
      </c>
    </row>
  </sheetData>
  <mergeCells count="3">
    <mergeCell ref="A1:I1"/>
    <mergeCell ref="A2:I2"/>
    <mergeCell ref="A51:I51"/>
  </mergeCells>
  <conditionalFormatting sqref="D5:D51">
    <cfRule type="dataBar" priority="1">
      <dataBar showValue="1">
        <cfvo type="num" val="0"/>
        <cfvo type="num" val="100"/>
        <color rgb="009DB9D3"/>
      </dataBar>
    </cfRule>
  </conditionalFormatting>
  <hyperlinks>
    <hyperlink xmlns:r="http://schemas.openxmlformats.org/officeDocument/2006/relationships" ref="A6" r:id="rId1"/>
    <hyperlink xmlns:r="http://schemas.openxmlformats.org/officeDocument/2006/relationships" ref="A8" r:id="rId2"/>
    <hyperlink xmlns:r="http://schemas.openxmlformats.org/officeDocument/2006/relationships" ref="A9" r:id="rId3"/>
    <hyperlink xmlns:r="http://schemas.openxmlformats.org/officeDocument/2006/relationships" ref="A12" r:id="rId4"/>
    <hyperlink xmlns:r="http://schemas.openxmlformats.org/officeDocument/2006/relationships" ref="A13" r:id="rId5"/>
    <hyperlink xmlns:r="http://schemas.openxmlformats.org/officeDocument/2006/relationships" ref="A18" r:id="rId6"/>
    <hyperlink xmlns:r="http://schemas.openxmlformats.org/officeDocument/2006/relationships" ref="A23" r:id="rId7"/>
    <hyperlink xmlns:r="http://schemas.openxmlformats.org/officeDocument/2006/relationships" ref="A28" r:id="rId8"/>
    <hyperlink xmlns:r="http://schemas.openxmlformats.org/officeDocument/2006/relationships" ref="A29" r:id="rId9"/>
    <hyperlink xmlns:r="http://schemas.openxmlformats.org/officeDocument/2006/relationships" ref="A30" r:id="rId10"/>
    <hyperlink xmlns:r="http://schemas.openxmlformats.org/officeDocument/2006/relationships" ref="A31" r:id="rId11"/>
    <hyperlink xmlns:r="http://schemas.openxmlformats.org/officeDocument/2006/relationships" ref="A32" r:id="rId12"/>
    <hyperlink xmlns:r="http://schemas.openxmlformats.org/officeDocument/2006/relationships" ref="A34" r:id="rId13"/>
    <hyperlink xmlns:r="http://schemas.openxmlformats.org/officeDocument/2006/relationships" ref="A36" r:id="rId14"/>
    <hyperlink xmlns:r="http://schemas.openxmlformats.org/officeDocument/2006/relationships" ref="A37" r:id="rId15"/>
    <hyperlink xmlns:r="http://schemas.openxmlformats.org/officeDocument/2006/relationships" ref="A40" r:id="rId16"/>
    <hyperlink xmlns:r="http://schemas.openxmlformats.org/officeDocument/2006/relationships" ref="A42" r:id="rId17"/>
    <hyperlink xmlns:r="http://schemas.openxmlformats.org/officeDocument/2006/relationships" ref="A45" r:id="rId18"/>
    <hyperlink xmlns:r="http://schemas.openxmlformats.org/officeDocument/2006/relationships" ref="A48" r:id="rId19"/>
  </hyperlinks>
  <printOptions horizontalCentered="0"/>
  <pageMargins left="0.5" right="0.5" top="0.6" bottom="0.6" header="0.5" footer="0.5"/>
  <pageSetup orientation="landscape" fitToHeight="0" fitToWidth="1"/>
</worksheet>
</file>

<file path=xl/worksheets/sheet10.xml><?xml version="1.0" encoding="utf-8"?>
<worksheet xmlns="http://schemas.openxmlformats.org/spreadsheetml/2006/main">
  <sheetPr>
    <tabColor rgb="002E75B6"/>
    <outlinePr summaryBelow="1" summaryRight="1"/>
    <pageSetUpPr fitToPage="1"/>
  </sheetPr>
  <dimension ref="A1:M56"/>
  <sheetViews>
    <sheetView showGridLines="0" workbookViewId="0">
      <pane ySplit="4" topLeftCell="A5" activePane="bottomLeft" state="frozen"/>
      <selection pane="bottomLeft" activeCell="A1" sqref="A1"/>
    </sheetView>
  </sheetViews>
  <sheetFormatPr baseColWidth="8" defaultRowHeight="15"/>
  <cols>
    <col width="9" customWidth="1" min="1" max="1"/>
    <col width="24" customWidth="1" min="2" max="2"/>
    <col width="30" customWidth="1" min="3" max="3"/>
    <col width="9" customWidth="1" min="4" max="4"/>
    <col width="60" customWidth="1" min="5" max="5"/>
    <col width="8" customWidth="1" min="6" max="6"/>
    <col width="8" customWidth="1" min="7" max="7"/>
    <col width="9" customWidth="1" min="8" max="8"/>
    <col width="9" customWidth="1" min="9" max="9"/>
    <col width="12" customWidth="1" min="10" max="10"/>
    <col width="9" customWidth="1" min="11" max="11"/>
    <col width="18" customWidth="1" min="12" max="12"/>
    <col width="62" customWidth="1" min="13" max="13"/>
  </cols>
  <sheetData>
    <row r="1" ht="26" customHeight="1">
      <c r="A1" s="1" t="inlineStr">
        <is>
          <t>Payoff Geometry — capped downside vs re-rate upside</t>
        </is>
      </c>
    </row>
    <row r="2" ht="18" customHeight="1">
      <c r="A2" s="20" t="inlineStr">
        <is>
          <t>The shape of exceptional returns, measured from hard balance-sheet data: downside = distance to an asset floor (net-cash / NCAV / haircut book, eroded by cash burn); upside = re-rate to sector-median multiple; ratio = upside ÷ downside. Financials/REITs use book only.</t>
        </is>
      </c>
      <c r="B2" s="19" t="n"/>
      <c r="C2" s="19" t="n"/>
      <c r="D2" s="19" t="n"/>
      <c r="E2" s="19" t="n"/>
      <c r="F2" s="19" t="n"/>
      <c r="G2" s="19" t="n"/>
      <c r="H2" s="19" t="n"/>
      <c r="I2" s="19" t="n"/>
      <c r="J2" s="19" t="n"/>
      <c r="K2" s="19" t="n"/>
      <c r="L2" s="19" t="n"/>
    </row>
    <row r="3" ht="8" customHeight="1">
      <c r="D3" s="34" t="inlineStr">
        <is>
          <t>%ile vs all 3,098 names scored</t>
        </is>
      </c>
    </row>
    <row r="4" ht="18" customHeight="1">
      <c r="A4" s="12" t="inlineStr">
        <is>
          <t>Ticker</t>
        </is>
      </c>
      <c r="B4" s="12" t="inlineStr">
        <is>
          <t>Name</t>
        </is>
      </c>
      <c r="C4" s="12" t="inlineStr">
        <is>
          <t>Key numbers (FMP)</t>
        </is>
      </c>
      <c r="D4" s="12" t="inlineStr">
        <is>
          <t>Strength %ile</t>
        </is>
      </c>
      <c r="E4" s="12" t="inlineStr">
        <is>
          <t>What's happening (8-K)</t>
        </is>
      </c>
      <c r="F4" s="4" t="inlineStr">
        <is>
          <t>Score</t>
        </is>
      </c>
      <c r="G4" s="4" t="inlineStr">
        <is>
          <t>Ratio</t>
        </is>
      </c>
      <c r="H4" s="4" t="inlineStr">
        <is>
          <t>Upside%</t>
        </is>
      </c>
      <c r="I4" s="4" t="inlineStr">
        <is>
          <t>Down%</t>
        </is>
      </c>
      <c r="J4" s="12" t="inlineStr">
        <is>
          <t>Floor</t>
        </is>
      </c>
      <c r="K4" s="4" t="inlineStr">
        <is>
          <t>Runway y</t>
        </is>
      </c>
      <c r="L4" s="12" t="inlineStr">
        <is>
          <t>Sector</t>
        </is>
      </c>
      <c r="M4" s="12" t="inlineStr">
        <is>
          <t>FMP financial read</t>
        </is>
      </c>
    </row>
    <row r="5" ht="22" customHeight="1">
      <c r="A5" s="6" t="inlineStr">
        <is>
          <t>AERA</t>
        </is>
      </c>
      <c r="B5" s="14" t="inlineStr">
        <is>
          <t>AI Era Corp.</t>
        </is>
      </c>
      <c r="C5" s="14" t="inlineStr">
        <is>
          <t>P/B 0.17 · 0.2× EBITDA · debt 102% · 52w 4%</t>
        </is>
      </c>
      <c r="D5" s="14" t="n">
        <v>100</v>
      </c>
      <c r="E5" s="14" t="n"/>
      <c r="F5" s="27" t="n">
        <v>40.5</v>
      </c>
      <c r="G5" s="27" t="n">
        <v>60</v>
      </c>
      <c r="H5" s="35" t="n">
        <v>300</v>
      </c>
      <c r="I5" s="35" t="n">
        <v>0</v>
      </c>
      <c r="J5" s="14" t="inlineStr">
        <is>
          <t>net-cash</t>
        </is>
      </c>
      <c r="K5" s="14" t="inlineStr">
        <is>
          <t>∞</t>
        </is>
      </c>
      <c r="L5" s="14" t="inlineStr">
        <is>
          <t>Communication Serv</t>
        </is>
      </c>
      <c r="M5" s="14" t="inlineStr">
        <is>
          <t>P/B 0.17 · EV/EBITDA 0.2× · net debt 102% of mcap · rev +172% · op margin 33%  [FCF yield &gt;100% (check)]</t>
        </is>
      </c>
    </row>
    <row r="6" ht="22" customHeight="1">
      <c r="A6" s="8" t="inlineStr">
        <is>
          <t>VISN</t>
        </is>
      </c>
      <c r="B6" s="16" t="inlineStr">
        <is>
          <t>Vistance Networks, Inc.</t>
        </is>
      </c>
      <c r="C6" s="16" t="inlineStr">
        <is>
          <t>P/B 0.58 · 2.6× EBITDA · cash 5% · 52w 3%</t>
        </is>
      </c>
      <c r="D6" s="16" t="n">
        <v>100</v>
      </c>
      <c r="E6" s="16" t="n"/>
      <c r="F6" s="28" t="n">
        <v>38.5</v>
      </c>
      <c r="G6" s="28" t="n">
        <v>60</v>
      </c>
      <c r="H6" s="36" t="n">
        <v>300</v>
      </c>
      <c r="I6" s="36" t="n">
        <v>0</v>
      </c>
      <c r="J6" s="16" t="inlineStr">
        <is>
          <t>NCAV</t>
        </is>
      </c>
      <c r="K6" s="16" t="inlineStr">
        <is>
          <t>∞</t>
        </is>
      </c>
      <c r="L6" s="16" t="inlineStr">
        <is>
          <t>Technology</t>
        </is>
      </c>
      <c r="M6" s="16" t="inlineStr">
        <is>
          <t>P/B 0.58 · EV/EBITDA 2.6× · FCF yld 6% · net cash 5% of mcap · rev -38% · op margin 12% · diluting 3%/yr  [dividend yield &gt;25% (special or bad data)]</t>
        </is>
      </c>
    </row>
    <row r="7" ht="22" customHeight="1">
      <c r="A7" s="6" t="inlineStr">
        <is>
          <t>ELAB</t>
        </is>
      </c>
      <c r="B7" s="14" t="inlineStr">
        <is>
          <t>PMGC Holdings Inc.</t>
        </is>
      </c>
      <c r="C7" s="14" t="inlineStr">
        <is>
          <t>P/B 0.12 · 0.2× EBITDA · cash 240% · 52w 0%</t>
        </is>
      </c>
      <c r="D7" s="14" t="n">
        <v>100</v>
      </c>
      <c r="E7" s="14" t="n"/>
      <c r="F7" s="27" t="n">
        <v>38.5</v>
      </c>
      <c r="G7" s="27" t="n">
        <v>60</v>
      </c>
      <c r="H7" s="35" t="n">
        <v>300</v>
      </c>
      <c r="I7" s="35" t="n">
        <v>0</v>
      </c>
      <c r="J7" s="14" t="inlineStr">
        <is>
          <t>NCAV</t>
        </is>
      </c>
      <c r="K7" s="14" t="inlineStr">
        <is>
          <t>∞</t>
        </is>
      </c>
      <c r="L7" s="14" t="inlineStr">
        <is>
          <t>Healthcare</t>
        </is>
      </c>
      <c r="M7" s="14" t="inlineStr">
        <is>
          <t>P/B 0.12 · EV/EBITDA 0.2× · net cash 240% of mcap · op margin -477%  [FCF yield &gt;100% (check)]</t>
        </is>
      </c>
    </row>
    <row r="8" ht="22" customHeight="1">
      <c r="A8" s="8" t="inlineStr">
        <is>
          <t>CIIT</t>
        </is>
      </c>
      <c r="B8" s="16" t="inlineStr">
        <is>
          <t>Tianci International, In</t>
        </is>
      </c>
      <c r="C8" s="16" t="inlineStr">
        <is>
          <t>P/B 0.28 · cash 87% · 52w 0%</t>
        </is>
      </c>
      <c r="D8" s="16" t="n">
        <v>100</v>
      </c>
      <c r="E8" s="16" t="n"/>
      <c r="F8" s="28" t="n">
        <v>38.5</v>
      </c>
      <c r="G8" s="28" t="n">
        <v>60</v>
      </c>
      <c r="H8" s="36" t="n">
        <v>300</v>
      </c>
      <c r="I8" s="36" t="n">
        <v>0</v>
      </c>
      <c r="J8" s="16" t="inlineStr">
        <is>
          <t>NCAV</t>
        </is>
      </c>
      <c r="K8" s="16" t="inlineStr">
        <is>
          <t>∞</t>
        </is>
      </c>
      <c r="L8" s="16" t="inlineStr">
        <is>
          <t>Industrials</t>
        </is>
      </c>
      <c r="M8" s="16" t="inlineStr">
        <is>
          <t>P/B 0.28 · P/S 0.1 · net cash 87% of mcap · rev +26% · op margin -15%  [FCF yield &gt;100% (check); share-count history inconsistent (foreign line)]</t>
        </is>
      </c>
    </row>
    <row r="9" ht="22" customHeight="1">
      <c r="A9" s="6" t="inlineStr">
        <is>
          <t>GTEC</t>
        </is>
      </c>
      <c r="B9" s="14" t="inlineStr">
        <is>
          <t>Greenland Technologies H</t>
        </is>
      </c>
      <c r="C9" s="14" t="inlineStr">
        <is>
          <t>P/B 0.35 · 1.8× EBITDA · cash 48% · 52w 62%</t>
        </is>
      </c>
      <c r="D9" s="14" t="n">
        <v>100</v>
      </c>
      <c r="E9" s="14" t="n"/>
      <c r="F9" s="27" t="n">
        <v>38.5</v>
      </c>
      <c r="G9" s="27" t="n">
        <v>60</v>
      </c>
      <c r="H9" s="35" t="n">
        <v>300</v>
      </c>
      <c r="I9" s="35" t="n">
        <v>0</v>
      </c>
      <c r="J9" s="14" t="inlineStr">
        <is>
          <t>NCAV</t>
        </is>
      </c>
      <c r="K9" s="14" t="inlineStr">
        <is>
          <t>∞</t>
        </is>
      </c>
      <c r="L9" s="14" t="inlineStr">
        <is>
          <t>Industrials</t>
        </is>
      </c>
      <c r="M9" s="14" t="inlineStr">
        <is>
          <t>P/B 0.35 · EV/EBITDA 1.8× · FCF yld 48% · net cash 48% of mcap · rev +26% · op margin 16% · diluting 65%/yr</t>
        </is>
      </c>
    </row>
    <row r="10" ht="22" customHeight="1">
      <c r="A10" s="8" t="inlineStr">
        <is>
          <t>VSECU</t>
        </is>
      </c>
      <c r="B10" s="16" t="inlineStr">
        <is>
          <t>VSE Corporation</t>
        </is>
      </c>
      <c r="C10" s="16" t="inlineStr">
        <is>
          <t>P/B 0.36 · 33.6× EBITDA · debt 89% · 52w 28%</t>
        </is>
      </c>
      <c r="D10" s="16" t="n">
        <v>100</v>
      </c>
      <c r="E10" s="16" t="n"/>
      <c r="F10" s="28" t="n">
        <v>38.5</v>
      </c>
      <c r="G10" s="28" t="n">
        <v>60</v>
      </c>
      <c r="H10" s="36" t="n">
        <v>300</v>
      </c>
      <c r="I10" s="36" t="n">
        <v>0</v>
      </c>
      <c r="J10" s="16" t="inlineStr">
        <is>
          <t>NCAV</t>
        </is>
      </c>
      <c r="K10" s="16" t="inlineStr">
        <is>
          <t>∞</t>
        </is>
      </c>
      <c r="L10" s="16" t="inlineStr">
        <is>
          <t>Industrials</t>
        </is>
      </c>
      <c r="M10" s="16" t="inlineStr">
        <is>
          <t>P/B 0.36 · EV/EBITDA 33.6× · FCF yld -0% · net debt 89% of mcap · rev +32% · op margin 11% · diluting 51%/yr</t>
        </is>
      </c>
    </row>
    <row r="11" ht="22" customHeight="1">
      <c r="A11" s="6" t="inlineStr">
        <is>
          <t>DDT</t>
        </is>
      </c>
      <c r="B11" s="14" t="inlineStr">
        <is>
          <t>Dillards Capital Trust I</t>
        </is>
      </c>
      <c r="C11" s="14" t="inlineStr">
        <is>
          <t>P/B 0.15 · 10.0× EBITDA · cash 243% · 52w 64%</t>
        </is>
      </c>
      <c r="D11" s="14" t="n">
        <v>100</v>
      </c>
      <c r="E11" s="14" t="n"/>
      <c r="F11" s="27" t="n">
        <v>38.5</v>
      </c>
      <c r="G11" s="27" t="n">
        <v>60</v>
      </c>
      <c r="H11" s="35" t="n">
        <v>300</v>
      </c>
      <c r="I11" s="35" t="n">
        <v>0</v>
      </c>
      <c r="J11" s="14" t="inlineStr">
        <is>
          <t>NCAV</t>
        </is>
      </c>
      <c r="K11" s="14" t="inlineStr">
        <is>
          <t>∞</t>
        </is>
      </c>
      <c r="L11" s="14" t="inlineStr">
        <is>
          <t>Consumer Cyclical</t>
        </is>
      </c>
      <c r="M11" s="14" t="inlineStr">
        <is>
          <t>P/B 0.15 · EV/EBITDA 10.0× · FCF yld 6% · net cash 243% of mcap · rev -10% · op margin 11%</t>
        </is>
      </c>
    </row>
    <row r="12" ht="22" customHeight="1">
      <c r="A12" s="8" t="inlineStr">
        <is>
          <t>INHD</t>
        </is>
      </c>
      <c r="B12" s="16" t="inlineStr">
        <is>
          <t>Inno Holdings Inc.</t>
        </is>
      </c>
      <c r="C12" s="16" t="inlineStr">
        <is>
          <t>4.8× EBITDA · 52w 0%</t>
        </is>
      </c>
      <c r="D12" s="16" t="n">
        <v>100</v>
      </c>
      <c r="E12" s="16" t="n"/>
      <c r="F12" s="28" t="n">
        <v>37.5</v>
      </c>
      <c r="G12" s="28" t="n">
        <v>60</v>
      </c>
      <c r="H12" s="36" t="n">
        <v>300</v>
      </c>
      <c r="I12" s="36" t="n">
        <v>0</v>
      </c>
      <c r="J12" s="16" t="inlineStr">
        <is>
          <t>net-cash</t>
        </is>
      </c>
      <c r="K12" s="28" t="n">
        <v>10.1</v>
      </c>
      <c r="L12" s="16" t="inlineStr">
        <is>
          <t>Technology</t>
        </is>
      </c>
      <c r="M12" s="16" t="inlineStr">
        <is>
          <t>EV/EBITDA 4.8× · FCF yld -89% · op margin -68%  [market-cap/share data inconsistent; revenue not comparable YoY (fair-value / one-off income?)]</t>
        </is>
      </c>
    </row>
    <row r="13" ht="22" customHeight="1">
      <c r="A13" s="6" t="inlineStr">
        <is>
          <t>RNA</t>
        </is>
      </c>
      <c r="B13" s="14" t="inlineStr">
        <is>
          <t>Atrium Therapeutics, Inc</t>
        </is>
      </c>
      <c r="C13" s="14" t="inlineStr">
        <is>
          <t>P/B 0.69 · cash 178% · 52w 0%</t>
        </is>
      </c>
      <c r="D13" s="14" t="n">
        <v>100</v>
      </c>
      <c r="E13" s="14" t="n"/>
      <c r="F13" s="27" t="n">
        <v>37.5</v>
      </c>
      <c r="G13" s="27" t="n">
        <v>54.29</v>
      </c>
      <c r="H13" s="35" t="n">
        <v>272</v>
      </c>
      <c r="I13" s="35" t="n">
        <v>0</v>
      </c>
      <c r="J13" s="14" t="inlineStr">
        <is>
          <t>net-cash</t>
        </is>
      </c>
      <c r="K13" s="27" t="n">
        <v>3.9</v>
      </c>
      <c r="L13" s="14" t="inlineStr">
        <is>
          <t>Healthcare</t>
        </is>
      </c>
      <c r="M13" s="14" t="inlineStr">
        <is>
          <t>P/B 0.69 · P/S 6.1 · FCF yld -40% · net cash 178% of mcap · op margin -410%</t>
        </is>
      </c>
    </row>
    <row r="14" ht="22" customHeight="1">
      <c r="A14" s="8" t="inlineStr">
        <is>
          <t>LGL</t>
        </is>
      </c>
      <c r="B14" s="16" t="inlineStr">
        <is>
          <t>LGL Group, Inc. (The)</t>
        </is>
      </c>
      <c r="C14" s="16" t="inlineStr">
        <is>
          <t>P/B 0.91 · 6.1× EBITDA · cash 113% · 52w 69%</t>
        </is>
      </c>
      <c r="D14" s="16" t="n">
        <v>100</v>
      </c>
      <c r="E14" s="16" t="n"/>
      <c r="F14" s="28" t="n">
        <v>37.4</v>
      </c>
      <c r="G14" s="28" t="n">
        <v>48.91</v>
      </c>
      <c r="H14" s="36" t="n">
        <v>245</v>
      </c>
      <c r="I14" s="36" t="n">
        <v>0</v>
      </c>
      <c r="J14" s="16" t="inlineStr">
        <is>
          <t>net-cash</t>
        </is>
      </c>
      <c r="K14" s="28" t="n">
        <v>14.9</v>
      </c>
      <c r="L14" s="16" t="inlineStr">
        <is>
          <t>Technology</t>
        </is>
      </c>
      <c r="M14" s="16" t="inlineStr">
        <is>
          <t>P/B 0.91 · EV/EBITDA 6.1× · FCF yld 0% · net cash 113% of mcap · rev -24% · op margin -106% · diluting 20%/yr</t>
        </is>
      </c>
    </row>
    <row r="15" ht="22" customHeight="1">
      <c r="A15" s="6" t="inlineStr">
        <is>
          <t>XLO</t>
        </is>
      </c>
      <c r="B15" s="14" t="inlineStr">
        <is>
          <t>Xilio Therapeutics, Inc.</t>
        </is>
      </c>
      <c r="C15" s="14" t="inlineStr">
        <is>
          <t>3.4× EBITDA · 52w 45%</t>
        </is>
      </c>
      <c r="D15" s="14" t="n">
        <v>100</v>
      </c>
      <c r="E15" s="14" t="n"/>
      <c r="F15" s="27" t="n">
        <v>37.4</v>
      </c>
      <c r="G15" s="27" t="n">
        <v>49.44</v>
      </c>
      <c r="H15" s="35" t="n">
        <v>247</v>
      </c>
      <c r="I15" s="35" t="n">
        <v>3</v>
      </c>
      <c r="J15" s="14" t="inlineStr">
        <is>
          <t>net-cash</t>
        </is>
      </c>
      <c r="K15" s="27" t="n">
        <v>2.6</v>
      </c>
      <c r="L15" s="14" t="inlineStr">
        <is>
          <t>Healthcare</t>
        </is>
      </c>
      <c r="M15" s="14" t="inlineStr">
        <is>
          <t>EV/EBITDA 3.4× · op margin -49%  [market-cap/share data inconsistent; FCF yield &gt;100% (check); revenue not comparable YoY (fair-value / one-off income?)]</t>
        </is>
      </c>
    </row>
    <row r="16" ht="22" customHeight="1">
      <c r="A16" s="8" t="inlineStr">
        <is>
          <t>VIVS</t>
        </is>
      </c>
      <c r="B16" s="16" t="inlineStr">
        <is>
          <t>VivoSim Labs, Inc.</t>
        </is>
      </c>
      <c r="C16" s="16" t="inlineStr">
        <is>
          <t>P/B 0.14 · 0.1× EBITDA · cash 616% · 52w 0%</t>
        </is>
      </c>
      <c r="D16" s="16" t="n">
        <v>100</v>
      </c>
      <c r="E16" s="16" t="n"/>
      <c r="F16" s="28" t="n">
        <v>37</v>
      </c>
      <c r="G16" s="28" t="n">
        <v>30</v>
      </c>
      <c r="H16" s="36" t="n">
        <v>150</v>
      </c>
      <c r="I16" s="36" t="n">
        <v>0</v>
      </c>
      <c r="J16" s="16" t="inlineStr">
        <is>
          <t>net-cash</t>
        </is>
      </c>
      <c r="K16" s="16" t="inlineStr">
        <is>
          <t>∞</t>
        </is>
      </c>
      <c r="L16" s="16" t="inlineStr">
        <is>
          <t>Healthcare</t>
        </is>
      </c>
      <c r="M16" s="16" t="inlineStr">
        <is>
          <t>P/B 0.14 · EV/EBITDA 0.1× · net cash 616% of mcap · rev +36% · buying back 2%/yr  [FCF yield &gt;100% (check)]</t>
        </is>
      </c>
    </row>
    <row r="17" ht="22" customHeight="1">
      <c r="A17" s="6" t="inlineStr">
        <is>
          <t>FEDU</t>
        </is>
      </c>
      <c r="B17" s="14" t="inlineStr">
        <is>
          <t>Four Seasons Education (</t>
        </is>
      </c>
      <c r="C17" s="14" t="inlineStr">
        <is>
          <t>52w 44%</t>
        </is>
      </c>
      <c r="D17" s="14" t="n">
        <v>100</v>
      </c>
      <c r="E17" s="14" t="n"/>
      <c r="F17" s="27" t="n">
        <v>37</v>
      </c>
      <c r="G17" s="27" t="n">
        <v>30</v>
      </c>
      <c r="H17" s="35" t="n">
        <v>150</v>
      </c>
      <c r="I17" s="35" t="n">
        <v>0</v>
      </c>
      <c r="J17" s="14" t="inlineStr">
        <is>
          <t>net-cash</t>
        </is>
      </c>
      <c r="K17" s="14" t="inlineStr">
        <is>
          <t>∞</t>
        </is>
      </c>
      <c r="L17" s="14" t="inlineStr">
        <is>
          <t>Consumer Defensive</t>
        </is>
      </c>
      <c r="M17" s="14" t="inlineStr">
        <is>
          <t>P/S 0.0 · FCF yld 0% · op margin 3% · diluting 8%/yr  [market-cap/share data inconsistent]</t>
        </is>
      </c>
    </row>
    <row r="18" ht="22" customHeight="1">
      <c r="A18" s="8" t="inlineStr">
        <is>
          <t>AEMD</t>
        </is>
      </c>
      <c r="B18" s="16" t="inlineStr">
        <is>
          <t>Aethlon Medical, Inc.</t>
        </is>
      </c>
      <c r="C18" s="16" t="inlineStr">
        <is>
          <t>P/B 0.51 · 0.1× EBITDA · cash 190% · 52w 13%</t>
        </is>
      </c>
      <c r="D18" s="16" t="n">
        <v>100</v>
      </c>
      <c r="E18" s="16" t="n"/>
      <c r="F18" s="28" t="n">
        <v>37</v>
      </c>
      <c r="G18" s="28" t="n">
        <v>30</v>
      </c>
      <c r="H18" s="36" t="n">
        <v>150</v>
      </c>
      <c r="I18" s="36" t="n">
        <v>0</v>
      </c>
      <c r="J18" s="16" t="inlineStr">
        <is>
          <t>net-cash</t>
        </is>
      </c>
      <c r="K18" s="16" t="inlineStr">
        <is>
          <t>∞</t>
        </is>
      </c>
      <c r="L18" s="16" t="inlineStr">
        <is>
          <t>Healthcare</t>
        </is>
      </c>
      <c r="M18" s="16" t="inlineStr">
        <is>
          <t>P/B 0.51 · EV/EBITDA 0.1× · net cash 190% of mcap · op margin 0%  [FCF yield &gt;100% (check); new entity / merger: history not comparable]</t>
        </is>
      </c>
    </row>
    <row r="19" ht="22" customHeight="1">
      <c r="A19" s="6" t="inlineStr">
        <is>
          <t>SNOA</t>
        </is>
      </c>
      <c r="B19" s="14" t="inlineStr">
        <is>
          <t>Sonoma Pharmaceuticals,</t>
        </is>
      </c>
      <c r="C19" s="14" t="inlineStr">
        <is>
          <t>P/B 0.63 · 1.6× EBITDA · cash 88% · 52w 12%</t>
        </is>
      </c>
      <c r="D19" s="14" t="n">
        <v>100</v>
      </c>
      <c r="E19" s="14" t="n"/>
      <c r="F19" s="27" t="n">
        <v>37</v>
      </c>
      <c r="G19" s="27" t="n">
        <v>30</v>
      </c>
      <c r="H19" s="35" t="n">
        <v>150</v>
      </c>
      <c r="I19" s="35" t="n">
        <v>0</v>
      </c>
      <c r="J19" s="14" t="inlineStr">
        <is>
          <t>net-cash</t>
        </is>
      </c>
      <c r="K19" s="14" t="inlineStr">
        <is>
          <t>∞</t>
        </is>
      </c>
      <c r="L19" s="14" t="inlineStr">
        <is>
          <t>Healthcare</t>
        </is>
      </c>
      <c r="M19" s="14" t="inlineStr">
        <is>
          <t>P/B 0.63 · EV/EBITDA 1.6× · net cash 88% of mcap · rev +25% · op margin -6% · diluting 59%/yr  [FCF yield &gt;100% (check)]</t>
        </is>
      </c>
    </row>
    <row r="20" ht="22" customHeight="1">
      <c r="A20" s="8" t="inlineStr">
        <is>
          <t>MOGU</t>
        </is>
      </c>
      <c r="B20" s="16" t="inlineStr">
        <is>
          <t>MOGU Inc.</t>
        </is>
      </c>
      <c r="C20" s="16" t="inlineStr">
        <is>
          <t>P/B 0.20 · 0.4× EBITDA · cash 289% · 52w 24%</t>
        </is>
      </c>
      <c r="D20" s="16" t="n">
        <v>100</v>
      </c>
      <c r="E20" s="16" t="n"/>
      <c r="F20" s="28" t="n">
        <v>37</v>
      </c>
      <c r="G20" s="28" t="n">
        <v>30</v>
      </c>
      <c r="H20" s="36" t="n">
        <v>150</v>
      </c>
      <c r="I20" s="36" t="n">
        <v>0</v>
      </c>
      <c r="J20" s="16" t="inlineStr">
        <is>
          <t>net-cash</t>
        </is>
      </c>
      <c r="K20" s="16" t="inlineStr">
        <is>
          <t>∞</t>
        </is>
      </c>
      <c r="L20" s="16" t="inlineStr">
        <is>
          <t>Consumer Cyclical</t>
        </is>
      </c>
      <c r="M20" s="16" t="inlineStr">
        <is>
          <t>P/B 0.20 · EV/EBITDA 0.4× · FCF yld -44% · net cash 289% of mcap · rev +7% · op margin -58% · diluting 6%/yr</t>
        </is>
      </c>
    </row>
    <row r="21" ht="22" customHeight="1">
      <c r="A21" s="6" t="inlineStr">
        <is>
          <t>XAIR</t>
        </is>
      </c>
      <c r="B21" s="14" t="inlineStr">
        <is>
          <t>Beyond Air, Inc.</t>
        </is>
      </c>
      <c r="C21" s="14" t="inlineStr">
        <is>
          <t>P/B 1.12 · 0.0× EBITDA · cash 330% · 52w 0%</t>
        </is>
      </c>
      <c r="D21" s="14" t="n">
        <v>100</v>
      </c>
      <c r="E21" s="14" t="n"/>
      <c r="F21" s="27" t="n">
        <v>37</v>
      </c>
      <c r="G21" s="27" t="n">
        <v>30</v>
      </c>
      <c r="H21" s="35" t="n">
        <v>150</v>
      </c>
      <c r="I21" s="35" t="n">
        <v>0</v>
      </c>
      <c r="J21" s="14" t="inlineStr">
        <is>
          <t>net-cash</t>
        </is>
      </c>
      <c r="K21" s="14" t="inlineStr">
        <is>
          <t>∞</t>
        </is>
      </c>
      <c r="L21" s="14" t="inlineStr">
        <is>
          <t>Healthcare</t>
        </is>
      </c>
      <c r="M21" s="14" t="inlineStr">
        <is>
          <t>P/B 1.12 · EV/EBITDA 0.0× · net cash 330% of mcap · op margin -365%  [FCF yield &gt;100% (check); new entity / merger: history not comparable]</t>
        </is>
      </c>
    </row>
    <row r="22" ht="22" customHeight="1">
      <c r="A22" s="8" t="inlineStr">
        <is>
          <t>AMIX</t>
        </is>
      </c>
      <c r="B22" s="16" t="inlineStr">
        <is>
          <t>Autonomix Medical, Inc.</t>
        </is>
      </c>
      <c r="C22" s="16" t="inlineStr">
        <is>
          <t>P/B 0.26 · 0.1× EBITDA · cash 448% · 52w 5%</t>
        </is>
      </c>
      <c r="D22" s="16" t="n">
        <v>100</v>
      </c>
      <c r="E22" s="16" t="n"/>
      <c r="F22" s="28" t="n">
        <v>37</v>
      </c>
      <c r="G22" s="28" t="n">
        <v>30</v>
      </c>
      <c r="H22" s="36" t="n">
        <v>150</v>
      </c>
      <c r="I22" s="36" t="n">
        <v>0</v>
      </c>
      <c r="J22" s="16" t="inlineStr">
        <is>
          <t>net-cash</t>
        </is>
      </c>
      <c r="K22" s="16" t="inlineStr">
        <is>
          <t>∞</t>
        </is>
      </c>
      <c r="L22" s="16" t="inlineStr">
        <is>
          <t>Healthcare</t>
        </is>
      </c>
      <c r="M22" s="16" t="inlineStr">
        <is>
          <t>P/B 0.26 · EV/EBITDA 0.1× · net cash 448% of mcap · op margin 0%  [FCF yield &gt;100% (check)]</t>
        </is>
      </c>
    </row>
    <row r="23" ht="22" customHeight="1">
      <c r="A23" s="6" t="inlineStr">
        <is>
          <t>INM</t>
        </is>
      </c>
      <c r="B23" s="14" t="inlineStr">
        <is>
          <t>InMed Pharmaceuticals In</t>
        </is>
      </c>
      <c r="C23" s="14" t="inlineStr">
        <is>
          <t>52w 43%</t>
        </is>
      </c>
      <c r="D23" s="14" t="n">
        <v>100</v>
      </c>
      <c r="E23" s="14" t="n"/>
      <c r="F23" s="27" t="n">
        <v>37</v>
      </c>
      <c r="G23" s="27" t="n">
        <v>30</v>
      </c>
      <c r="H23" s="35" t="n">
        <v>150</v>
      </c>
      <c r="I23" s="35" t="n">
        <v>0</v>
      </c>
      <c r="J23" s="14" t="inlineStr">
        <is>
          <t>net-cash</t>
        </is>
      </c>
      <c r="K23" s="14" t="inlineStr">
        <is>
          <t>∞</t>
        </is>
      </c>
      <c r="L23" s="14" t="inlineStr">
        <is>
          <t>Healthcare</t>
        </is>
      </c>
      <c r="M23" s="14" t="inlineStr">
        <is>
          <t>P/S 0.0 · rev +9% · op margin -1%  [market-cap/share data inconsistent; FCF yield &gt;100% (check)]</t>
        </is>
      </c>
    </row>
    <row r="24" ht="22" customHeight="1">
      <c r="A24" s="8" t="inlineStr">
        <is>
          <t>FBIOP</t>
        </is>
      </c>
      <c r="B24" s="16" t="inlineStr">
        <is>
          <t>Fortress Biotech, Inc.</t>
        </is>
      </c>
      <c r="C24" s="16" t="inlineStr">
        <is>
          <t>52w 70%</t>
        </is>
      </c>
      <c r="D24" s="16" t="n">
        <v>99</v>
      </c>
      <c r="E24" s="16" t="n"/>
      <c r="F24" s="28" t="n">
        <v>36.5</v>
      </c>
      <c r="G24" s="28" t="n">
        <v>43.36</v>
      </c>
      <c r="H24" s="36" t="n">
        <v>217</v>
      </c>
      <c r="I24" s="36" t="n">
        <v>0</v>
      </c>
      <c r="J24" s="16" t="inlineStr">
        <is>
          <t>net-cash</t>
        </is>
      </c>
      <c r="K24" s="28" t="n">
        <v>6.2</v>
      </c>
      <c r="L24" s="16" t="inlineStr">
        <is>
          <t>Healthcare</t>
        </is>
      </c>
      <c r="M24" s="16" t="inlineStr">
        <is>
          <t>P/S 1.1 · rev +15% · op margin -43% · diluting 24%/yr  [market-cap/share data inconsistent; FCF yield &gt;100% (check)]</t>
        </is>
      </c>
    </row>
    <row r="25" ht="22" customHeight="1">
      <c r="A25" s="6" t="inlineStr">
        <is>
          <t>JVA</t>
        </is>
      </c>
      <c r="B25" s="14" t="inlineStr">
        <is>
          <t>Coffee Holding Co., Inc.</t>
        </is>
      </c>
      <c r="C25" s="14" t="inlineStr">
        <is>
          <t>P/B 0.75 · 3.1× EBITDA · debt 5% · 52w 55%</t>
        </is>
      </c>
      <c r="D25" s="14" t="n">
        <v>99</v>
      </c>
      <c r="E25" s="14" t="n"/>
      <c r="F25" s="27" t="n">
        <v>35.6</v>
      </c>
      <c r="G25" s="27" t="n">
        <v>32.65</v>
      </c>
      <c r="H25" s="35" t="n">
        <v>181</v>
      </c>
      <c r="I25" s="35" t="n">
        <v>6</v>
      </c>
      <c r="J25" s="14" t="inlineStr">
        <is>
          <t>NCAV</t>
        </is>
      </c>
      <c r="K25" s="14" t="inlineStr">
        <is>
          <t>∞</t>
        </is>
      </c>
      <c r="L25" s="14" t="inlineStr">
        <is>
          <t>Consumer Defensive</t>
        </is>
      </c>
      <c r="M25" s="14" t="inlineStr">
        <is>
          <t>P/B 0.75 · EV/EBITDA 3.1× · FCF yld 33% · net debt 5% of mcap · rev +17% · op margin 7%</t>
        </is>
      </c>
    </row>
    <row r="26" ht="22" customHeight="1">
      <c r="A26" s="8" t="inlineStr">
        <is>
          <t>TPET</t>
        </is>
      </c>
      <c r="B26" s="16" t="inlineStr">
        <is>
          <t>Trio Petroleum Corp.</t>
        </is>
      </c>
      <c r="C26" s="16" t="inlineStr">
        <is>
          <t>P/B 0.24 · 2.3× EBITDA · cash 282% · 52w 0%</t>
        </is>
      </c>
      <c r="D26" s="16" t="n">
        <v>99</v>
      </c>
      <c r="E26" s="16" t="n"/>
      <c r="F26" s="28" t="n">
        <v>35.5</v>
      </c>
      <c r="G26" s="28" t="n">
        <v>60</v>
      </c>
      <c r="H26" s="36" t="n">
        <v>300</v>
      </c>
      <c r="I26" s="36" t="n">
        <v>0</v>
      </c>
      <c r="J26" s="16" t="inlineStr">
        <is>
          <t>NCAV</t>
        </is>
      </c>
      <c r="K26" s="28" t="n">
        <v>3.7</v>
      </c>
      <c r="L26" s="16" t="inlineStr">
        <is>
          <t>Energy</t>
        </is>
      </c>
      <c r="M26" s="16" t="inlineStr">
        <is>
          <t>P/B 0.24 · EV/EBITDA 2.3× · FCF yld -38% · net cash 282% of mcap · rev +299%</t>
        </is>
      </c>
    </row>
    <row r="27" ht="22" customHeight="1">
      <c r="A27" s="6" t="inlineStr">
        <is>
          <t>INVE</t>
        </is>
      </c>
      <c r="B27" s="14" t="inlineStr">
        <is>
          <t>Identiv, Inc.</t>
        </is>
      </c>
      <c r="C27" s="14" t="inlineStr">
        <is>
          <t>P/B 0.44 · 4.4× EBITDA · cash 202% · 52w 1%</t>
        </is>
      </c>
      <c r="D27" s="14" t="n">
        <v>99</v>
      </c>
      <c r="E27" s="14" t="n"/>
      <c r="F27" s="27" t="n">
        <v>35.5</v>
      </c>
      <c r="G27" s="27" t="n">
        <v>60</v>
      </c>
      <c r="H27" s="35" t="n">
        <v>300</v>
      </c>
      <c r="I27" s="35" t="n">
        <v>0</v>
      </c>
      <c r="J27" s="14" t="inlineStr">
        <is>
          <t>NCAV</t>
        </is>
      </c>
      <c r="K27" s="27" t="n">
        <v>7.3</v>
      </c>
      <c r="L27" s="14" t="inlineStr">
        <is>
          <t>Technology</t>
        </is>
      </c>
      <c r="M27" s="14" t="inlineStr">
        <is>
          <t>P/B 0.44 · EV/EBITDA 4.4× · FCF yld -16% · net cash 202% of mcap · rev +3% · op margin -81%</t>
        </is>
      </c>
    </row>
    <row r="28" ht="22" customHeight="1">
      <c r="A28" s="8" t="inlineStr">
        <is>
          <t>LUCY</t>
        </is>
      </c>
      <c r="B28" s="16" t="inlineStr">
        <is>
          <t>Innovative Eyewear, Inc.</t>
        </is>
      </c>
      <c r="C28" s="16" t="inlineStr">
        <is>
          <t>P/B 0.84 · cash 64% · 52w 17%</t>
        </is>
      </c>
      <c r="D28" s="16" t="n">
        <v>99</v>
      </c>
      <c r="E28" s="16" t="n"/>
      <c r="F28" s="28" t="n">
        <v>35.4</v>
      </c>
      <c r="G28" s="28" t="n">
        <v>31.6</v>
      </c>
      <c r="H28" s="36" t="n">
        <v>158</v>
      </c>
      <c r="I28" s="36" t="n">
        <v>0</v>
      </c>
      <c r="J28" s="16" t="inlineStr">
        <is>
          <t>NCAV</t>
        </is>
      </c>
      <c r="K28" s="16" t="inlineStr">
        <is>
          <t>∞</t>
        </is>
      </c>
      <c r="L28" s="16" t="inlineStr">
        <is>
          <t>Healthcare</t>
        </is>
      </c>
      <c r="M28" s="16" t="inlineStr">
        <is>
          <t>P/B 0.84 · P/S 1.7 · net cash 64% of mcap · rev +72% · op margin -249% · diluting 99%/yr  [FCF yield &gt;100% (check)]</t>
        </is>
      </c>
    </row>
    <row r="29" ht="22" customHeight="1">
      <c r="A29" s="6" t="inlineStr">
        <is>
          <t>PMCB</t>
        </is>
      </c>
      <c r="B29" s="14" t="inlineStr">
        <is>
          <t>PharmaCyte  Biotech, Inc</t>
        </is>
      </c>
      <c r="C29" s="14" t="inlineStr">
        <is>
          <t>P/B 0.12 · 2.4× EBITDA · cash 449% · 52w 8%</t>
        </is>
      </c>
      <c r="D29" s="14" t="n">
        <v>99</v>
      </c>
      <c r="E29" s="14" t="n"/>
      <c r="F29" s="27" t="n">
        <v>35</v>
      </c>
      <c r="G29" s="27" t="n">
        <v>30</v>
      </c>
      <c r="H29" s="35" t="n">
        <v>150</v>
      </c>
      <c r="I29" s="35" t="n">
        <v>0</v>
      </c>
      <c r="J29" s="14" t="inlineStr">
        <is>
          <t>NCAV</t>
        </is>
      </c>
      <c r="K29" s="14" t="inlineStr">
        <is>
          <t>∞</t>
        </is>
      </c>
      <c r="L29" s="14" t="inlineStr">
        <is>
          <t>Healthcare</t>
        </is>
      </c>
      <c r="M29" s="14" t="inlineStr">
        <is>
          <t>P/B 0.12 · EV/EBITDA 2.4× · FCF yld -85% · net cash 449% of mcap · op margin 0% · buying back 11%/yr</t>
        </is>
      </c>
    </row>
    <row r="30" ht="22" customHeight="1">
      <c r="A30" s="8" t="inlineStr">
        <is>
          <t>WVVI</t>
        </is>
      </c>
      <c r="B30" s="16" t="inlineStr">
        <is>
          <t>Willamette Valley Vineya</t>
        </is>
      </c>
      <c r="C30" s="16" t="inlineStr">
        <is>
          <t>P/B 0.14 · 20.8× EBITDA · debt 266% · 52w 3%</t>
        </is>
      </c>
      <c r="D30" s="16" t="n">
        <v>99</v>
      </c>
      <c r="E30" s="16" t="n"/>
      <c r="F30" s="28" t="n">
        <v>35</v>
      </c>
      <c r="G30" s="28" t="n">
        <v>30</v>
      </c>
      <c r="H30" s="36" t="n">
        <v>150</v>
      </c>
      <c r="I30" s="36" t="n">
        <v>0</v>
      </c>
      <c r="J30" s="16" t="inlineStr">
        <is>
          <t>NCAV</t>
        </is>
      </c>
      <c r="K30" s="16" t="inlineStr">
        <is>
          <t>∞</t>
        </is>
      </c>
      <c r="L30" s="16" t="inlineStr">
        <is>
          <t>Consumer Defensive</t>
        </is>
      </c>
      <c r="M30" s="16" t="inlineStr">
        <is>
          <t>P/B 0.14 · EV/EBITDA 20.8× · FCF yld 6% · net debt 266% of mcap · rev -2% · op margin -8% · interest cover -2.6× ⚠</t>
        </is>
      </c>
    </row>
    <row r="31" ht="22" customHeight="1">
      <c r="A31" s="6" t="inlineStr">
        <is>
          <t>ELOG</t>
        </is>
      </c>
      <c r="B31" s="14" t="inlineStr">
        <is>
          <t>Eastern International Lt</t>
        </is>
      </c>
      <c r="C31" s="14" t="inlineStr">
        <is>
          <t>P/B 0.38 · debt 67% · 52w 3%</t>
        </is>
      </c>
      <c r="D31" s="14" t="n">
        <v>99</v>
      </c>
      <c r="E31" s="14" t="n"/>
      <c r="F31" s="27" t="n">
        <v>35</v>
      </c>
      <c r="G31" s="27" t="n">
        <v>30</v>
      </c>
      <c r="H31" s="35" t="n">
        <v>150</v>
      </c>
      <c r="I31" s="35" t="n">
        <v>0</v>
      </c>
      <c r="J31" s="14" t="inlineStr">
        <is>
          <t>NCAV</t>
        </is>
      </c>
      <c r="K31" s="14" t="inlineStr">
        <is>
          <t>∞</t>
        </is>
      </c>
      <c r="L31" s="14" t="inlineStr">
        <is>
          <t>Industrials</t>
        </is>
      </c>
      <c r="M31" s="14" t="inlineStr">
        <is>
          <t>P/B 0.38 · P/S 0.1 · FCF yld -61% · net debt 67% of mcap · op margin -2% · diluting 7%/yr · interest cover -3.5× ⚠</t>
        </is>
      </c>
    </row>
    <row r="32" ht="22" customHeight="1">
      <c r="A32" s="8" t="inlineStr">
        <is>
          <t>EHGO</t>
        </is>
      </c>
      <c r="B32" s="16" t="inlineStr">
        <is>
          <t>Eshallgo Inc. Class A Or</t>
        </is>
      </c>
      <c r="C32" s="16" t="inlineStr">
        <is>
          <t>P/B 0.16 · cash 212% · 52w 0%</t>
        </is>
      </c>
      <c r="D32" s="16" t="n">
        <v>99</v>
      </c>
      <c r="E32" s="16" t="n"/>
      <c r="F32" s="28" t="n">
        <v>35</v>
      </c>
      <c r="G32" s="28" t="n">
        <v>30</v>
      </c>
      <c r="H32" s="36" t="n">
        <v>150</v>
      </c>
      <c r="I32" s="36" t="n">
        <v>0</v>
      </c>
      <c r="J32" s="16" t="inlineStr">
        <is>
          <t>NCAV</t>
        </is>
      </c>
      <c r="K32" s="16" t="inlineStr">
        <is>
          <t>∞</t>
        </is>
      </c>
      <c r="L32" s="16" t="inlineStr">
        <is>
          <t>Industrials</t>
        </is>
      </c>
      <c r="M32" s="16" t="inlineStr">
        <is>
          <t>P/B 0.16 · P/S 0.1 · net cash 212% of mcap · rev -5% · op margin -73%  [FCF yield &gt;100% (check); share-count history inconsistent (foreign line)]</t>
        </is>
      </c>
    </row>
    <row r="33" ht="22" customHeight="1">
      <c r="A33" s="6" t="inlineStr">
        <is>
          <t>VTGN</t>
        </is>
      </c>
      <c r="B33" s="14" t="inlineStr">
        <is>
          <t>VistaGen Therapeutics, I</t>
        </is>
      </c>
      <c r="C33" s="14" t="inlineStr">
        <is>
          <t>P/B 0.34 · cash 344% · 52w 4%</t>
        </is>
      </c>
      <c r="D33" s="14" t="n">
        <v>99</v>
      </c>
      <c r="E33" s="14" t="n"/>
      <c r="F33" s="27" t="n">
        <v>35</v>
      </c>
      <c r="G33" s="27" t="n">
        <v>30</v>
      </c>
      <c r="H33" s="35" t="n">
        <v>150</v>
      </c>
      <c r="I33" s="35" t="n">
        <v>0</v>
      </c>
      <c r="J33" s="14" t="inlineStr">
        <is>
          <t>NCAV</t>
        </is>
      </c>
      <c r="K33" s="14" t="inlineStr">
        <is>
          <t>∞</t>
        </is>
      </c>
      <c r="L33" s="14" t="inlineStr">
        <is>
          <t>Healthcare</t>
        </is>
      </c>
      <c r="M33" s="14" t="inlineStr">
        <is>
          <t>P/B 0.34 · P/S 6.5 · net cash 344% of mcap · rev -18% · diluting 17%/yr  [FCF yield &gt;100% (check)]</t>
        </is>
      </c>
    </row>
    <row r="34" ht="22" customHeight="1">
      <c r="A34" s="8" t="inlineStr">
        <is>
          <t>PAVS</t>
        </is>
      </c>
      <c r="B34" s="16" t="inlineStr">
        <is>
          <t>Paranovus Entertainment</t>
        </is>
      </c>
      <c r="C34" s="16" t="inlineStr">
        <is>
          <t>5.4× EBITDA · 52w 0%</t>
        </is>
      </c>
      <c r="D34" s="16" t="n">
        <v>99</v>
      </c>
      <c r="E34" s="16" t="n"/>
      <c r="F34" s="28" t="n">
        <v>35</v>
      </c>
      <c r="G34" s="28" t="n">
        <v>30</v>
      </c>
      <c r="H34" s="36" t="n">
        <v>150</v>
      </c>
      <c r="I34" s="36" t="n">
        <v>0</v>
      </c>
      <c r="J34" s="16" t="inlineStr">
        <is>
          <t>NCAV</t>
        </is>
      </c>
      <c r="K34" s="16" t="inlineStr">
        <is>
          <t>∞</t>
        </is>
      </c>
      <c r="L34" s="16" t="inlineStr">
        <is>
          <t>Healthcare</t>
        </is>
      </c>
      <c r="M34" s="16" t="inlineStr">
        <is>
          <t>EV/EBITDA 5.4× · FCF yld -40% · op margin -23%  [market-cap/share data inconsistent; revenue not comparable YoY (fair-value / one-off income?)]</t>
        </is>
      </c>
    </row>
    <row r="35" ht="22" customHeight="1">
      <c r="A35" s="6" t="inlineStr">
        <is>
          <t>ATXG</t>
        </is>
      </c>
      <c r="B35" s="14" t="inlineStr">
        <is>
          <t>Addentax Group Corp.</t>
        </is>
      </c>
      <c r="C35" s="14" t="inlineStr">
        <is>
          <t>P/B 0.14 · cash 1% · 52w 4%</t>
        </is>
      </c>
      <c r="D35" s="14" t="n">
        <v>99</v>
      </c>
      <c r="E35" s="14" t="n"/>
      <c r="F35" s="27" t="n">
        <v>35</v>
      </c>
      <c r="G35" s="27" t="n">
        <v>30</v>
      </c>
      <c r="H35" s="35" t="n">
        <v>150</v>
      </c>
      <c r="I35" s="35" t="n">
        <v>0</v>
      </c>
      <c r="J35" s="14" t="inlineStr">
        <is>
          <t>NCAV</t>
        </is>
      </c>
      <c r="K35" s="14" t="inlineStr">
        <is>
          <t>∞</t>
        </is>
      </c>
      <c r="L35" s="14" t="inlineStr">
        <is>
          <t>Industrials</t>
        </is>
      </c>
      <c r="M35" s="14" t="inlineStr">
        <is>
          <t>P/B 0.14 · P/S 0.4 · FCF yld -12% · net cash 1% of mcap · rev +85% · op margin -23%  [share-count history inconsistent (foreign line)]</t>
        </is>
      </c>
    </row>
    <row r="36" ht="22" customHeight="1">
      <c r="A36" s="8" t="inlineStr">
        <is>
          <t>DSWL</t>
        </is>
      </c>
      <c r="B36" s="16" t="inlineStr">
        <is>
          <t>Deswell Industries, Inc.</t>
        </is>
      </c>
      <c r="C36" s="16" t="inlineStr">
        <is>
          <t>P/B 0.47 · 3.3× EBITDA · cash 156% · 52w 30%</t>
        </is>
      </c>
      <c r="D36" s="16" t="n">
        <v>99</v>
      </c>
      <c r="E36" s="16" t="n"/>
      <c r="F36" s="28" t="n">
        <v>35</v>
      </c>
      <c r="G36" s="28" t="n">
        <v>30</v>
      </c>
      <c r="H36" s="36" t="n">
        <v>150</v>
      </c>
      <c r="I36" s="36" t="n">
        <v>0</v>
      </c>
      <c r="J36" s="16" t="inlineStr">
        <is>
          <t>NCAV</t>
        </is>
      </c>
      <c r="K36" s="16" t="inlineStr">
        <is>
          <t>∞</t>
        </is>
      </c>
      <c r="L36" s="16" t="inlineStr">
        <is>
          <t>Technology</t>
        </is>
      </c>
      <c r="M36" s="16" t="inlineStr">
        <is>
          <t>P/B 0.47 · EV/EBITDA 3.3× · FCF yld 9% · net cash 156% of mcap · rev -2% · op margin 4%</t>
        </is>
      </c>
    </row>
    <row r="37" ht="22" customHeight="1">
      <c r="A37" s="6" t="inlineStr">
        <is>
          <t>FLYE</t>
        </is>
      </c>
      <c r="B37" s="14" t="inlineStr">
        <is>
          <t>Fly-E Group, Inc. Common</t>
        </is>
      </c>
      <c r="C37" s="14" t="inlineStr">
        <is>
          <t>P/B 0.12 · debt 428% · 52w 1%</t>
        </is>
      </c>
      <c r="D37" s="14" t="n">
        <v>99</v>
      </c>
      <c r="E37" s="14" t="n"/>
      <c r="F37" s="27" t="n">
        <v>35</v>
      </c>
      <c r="G37" s="27" t="n">
        <v>30</v>
      </c>
      <c r="H37" s="35" t="n">
        <v>150</v>
      </c>
      <c r="I37" s="35" t="n">
        <v>0</v>
      </c>
      <c r="J37" s="14" t="inlineStr">
        <is>
          <t>NCAV</t>
        </is>
      </c>
      <c r="K37" s="14" t="inlineStr">
        <is>
          <t>∞</t>
        </is>
      </c>
      <c r="L37" s="14" t="inlineStr">
        <is>
          <t>Consumer Cyclical</t>
        </is>
      </c>
      <c r="M37" s="14" t="inlineStr">
        <is>
          <t>P/B 0.12 · P/S 0.1 · net debt 428% of mcap · op margin -51%  [FCF yield &gt;100% (check); new entity / merger: history not comparable]</t>
        </is>
      </c>
    </row>
    <row r="38" ht="22" customHeight="1">
      <c r="A38" s="8" t="inlineStr">
        <is>
          <t>POAS</t>
        </is>
      </c>
      <c r="B38" s="16" t="inlineStr">
        <is>
          <t>Phaos Technology Holding</t>
        </is>
      </c>
      <c r="C38" s="16" t="inlineStr">
        <is>
          <t>P/B 0.54 · cash 11% · 52w 0%</t>
        </is>
      </c>
      <c r="D38" s="16" t="n">
        <v>99</v>
      </c>
      <c r="E38" s="16" t="n"/>
      <c r="F38" s="28" t="n">
        <v>34.9</v>
      </c>
      <c r="G38" s="28" t="n">
        <v>29.23</v>
      </c>
      <c r="H38" s="36" t="n">
        <v>146</v>
      </c>
      <c r="I38" s="36" t="n">
        <v>0</v>
      </c>
      <c r="J38" s="16" t="inlineStr">
        <is>
          <t>NCAV</t>
        </is>
      </c>
      <c r="K38" s="16" t="inlineStr">
        <is>
          <t>∞</t>
        </is>
      </c>
      <c r="L38" s="16" t="inlineStr">
        <is>
          <t>Healthcare</t>
        </is>
      </c>
      <c r="M38" s="16" t="inlineStr">
        <is>
          <t>P/B 0.54 · P/S 27.5 · net cash 11% of mcap  [FCF yield &gt;100% (check)]</t>
        </is>
      </c>
    </row>
    <row r="39" ht="22" customHeight="1">
      <c r="A39" s="6" t="inlineStr">
        <is>
          <t>AMRN</t>
        </is>
      </c>
      <c r="B39" s="14" t="inlineStr">
        <is>
          <t>Amarin Corporation plc</t>
        </is>
      </c>
      <c r="C39" s="14" t="inlineStr">
        <is>
          <t>P/B 0.63 · cash 110% · 52w 7%</t>
        </is>
      </c>
      <c r="D39" s="14" t="n">
        <v>99</v>
      </c>
      <c r="E39" s="14" t="n"/>
      <c r="F39" s="27" t="n">
        <v>34.7</v>
      </c>
      <c r="G39" s="27" t="n">
        <v>44.25</v>
      </c>
      <c r="H39" s="35" t="n">
        <v>221</v>
      </c>
      <c r="I39" s="35" t="n">
        <v>0</v>
      </c>
      <c r="J39" s="14" t="inlineStr">
        <is>
          <t>NCAV</t>
        </is>
      </c>
      <c r="K39" s="27" t="n">
        <v>2.8</v>
      </c>
      <c r="L39" s="14" t="inlineStr">
        <is>
          <t>Healthcare</t>
        </is>
      </c>
      <c r="M39" s="14" t="inlineStr">
        <is>
          <t>P/B 0.63 · P/S 1.5 · FCF yld 17% · net cash 110% of mcap · rev -15% · op margin -18%</t>
        </is>
      </c>
    </row>
    <row r="40" ht="22" customHeight="1">
      <c r="A40" s="8" t="inlineStr">
        <is>
          <t>MSN</t>
        </is>
      </c>
      <c r="B40" s="16" t="inlineStr">
        <is>
          <t>Emerson Radio Corp.</t>
        </is>
      </c>
      <c r="C40" s="16" t="inlineStr">
        <is>
          <t>P/B 0.52 · cash 132% · 52w 23%</t>
        </is>
      </c>
      <c r="D40" s="16" t="n">
        <v>99</v>
      </c>
      <c r="E40" s="16" t="n"/>
      <c r="F40" s="28" t="n">
        <v>34.6</v>
      </c>
      <c r="G40" s="28" t="n">
        <v>28.14</v>
      </c>
      <c r="H40" s="36" t="n">
        <v>141</v>
      </c>
      <c r="I40" s="36" t="n">
        <v>0</v>
      </c>
      <c r="J40" s="16" t="inlineStr">
        <is>
          <t>NCAV</t>
        </is>
      </c>
      <c r="K40" s="16" t="inlineStr">
        <is>
          <t>∞</t>
        </is>
      </c>
      <c r="L40" s="16" t="inlineStr">
        <is>
          <t>Technology</t>
        </is>
      </c>
      <c r="M40" s="16" t="inlineStr">
        <is>
          <t>P/B 0.52 · P/S 1.8 · FCF yld -42% · net cash 132% of mcap · rev -10% · op margin -90%</t>
        </is>
      </c>
    </row>
    <row r="41" ht="22" customHeight="1">
      <c r="A41" s="6" t="inlineStr">
        <is>
          <t>VTVT</t>
        </is>
      </c>
      <c r="B41" s="14" t="inlineStr">
        <is>
          <t>vTv Therapeutics Inc.</t>
        </is>
      </c>
      <c r="C41" s="14" t="inlineStr">
        <is>
          <t>1.0× EBITDA · 52w 48%</t>
        </is>
      </c>
      <c r="D41" s="14" t="n">
        <v>99</v>
      </c>
      <c r="E41" s="14" t="n"/>
      <c r="F41" s="27" t="n">
        <v>34.6</v>
      </c>
      <c r="G41" s="27" t="n">
        <v>21</v>
      </c>
      <c r="H41" s="35" t="n">
        <v>105</v>
      </c>
      <c r="I41" s="35" t="n">
        <v>0</v>
      </c>
      <c r="J41" s="14" t="inlineStr">
        <is>
          <t>net-cash</t>
        </is>
      </c>
      <c r="K41" s="14" t="inlineStr">
        <is>
          <t>∞</t>
        </is>
      </c>
      <c r="L41" s="14" t="inlineStr">
        <is>
          <t>Healthcare</t>
        </is>
      </c>
      <c r="M41" s="14" t="inlineStr">
        <is>
          <t>EV/EBITDA 1.0× · FCF yld -21% · op margin -25% · diluting 88%/yr  [market-cap/share data inconsistent; revenue not comparable YoY (fair-value / one-off income?)]</t>
        </is>
      </c>
    </row>
    <row r="42" ht="22" customHeight="1">
      <c r="A42" s="8" t="inlineStr">
        <is>
          <t>MODD</t>
        </is>
      </c>
      <c r="B42" s="16" t="inlineStr">
        <is>
          <t>Modular Medical, Inc.</t>
        </is>
      </c>
      <c r="C42" s="16" t="inlineStr">
        <is>
          <t>P/B 0.84 · cash 49% · 52w 3%</t>
        </is>
      </c>
      <c r="D42" s="16" t="n">
        <v>99</v>
      </c>
      <c r="E42" s="16" t="n"/>
      <c r="F42" s="28" t="n">
        <v>34.5</v>
      </c>
      <c r="G42" s="28" t="n">
        <v>20.49</v>
      </c>
      <c r="H42" s="36" t="n">
        <v>102</v>
      </c>
      <c r="I42" s="36" t="n">
        <v>0</v>
      </c>
      <c r="J42" s="16" t="inlineStr">
        <is>
          <t>net-cash</t>
        </is>
      </c>
      <c r="K42" s="16" t="inlineStr">
        <is>
          <t>∞</t>
        </is>
      </c>
      <c r="L42" s="16" t="inlineStr">
        <is>
          <t>Healthcare</t>
        </is>
      </c>
      <c r="M42" s="16" t="inlineStr">
        <is>
          <t>P/B 0.84 · P/S 0.0 · net cash 49% of mcap · op margin 0% · diluting 62%/yr  [FCF yield &gt;100% (check)]</t>
        </is>
      </c>
    </row>
    <row r="43" ht="22" customHeight="1">
      <c r="A43" s="6" t="inlineStr">
        <is>
          <t>WETH</t>
        </is>
      </c>
      <c r="B43" s="14" t="inlineStr">
        <is>
          <t>Wetouch Technology Inc.</t>
        </is>
      </c>
      <c r="C43" s="14" t="inlineStr">
        <is>
          <t>52w 4%</t>
        </is>
      </c>
      <c r="D43" s="14" t="n">
        <v>99</v>
      </c>
      <c r="E43" s="14" t="n"/>
      <c r="F43" s="27" t="n">
        <v>34.5</v>
      </c>
      <c r="G43" s="27" t="n">
        <v>60</v>
      </c>
      <c r="H43" s="35" t="n">
        <v>300</v>
      </c>
      <c r="I43" s="35" t="n">
        <v>0</v>
      </c>
      <c r="J43" s="14" t="inlineStr">
        <is>
          <t>NCAV</t>
        </is>
      </c>
      <c r="K43" s="14" t="inlineStr">
        <is>
          <t>∞</t>
        </is>
      </c>
      <c r="L43" s="14" t="inlineStr">
        <is>
          <t>Technology</t>
        </is>
      </c>
      <c r="M43" s="14" t="inlineStr">
        <is>
          <t>P/S 0.3 · FCF yld 68% · rev +11% · op margin 23% · diluting 3%/yr  [market-cap/share data inconsistent]</t>
        </is>
      </c>
    </row>
    <row r="44" ht="22" customHeight="1">
      <c r="A44" s="8" t="inlineStr">
        <is>
          <t>MIND</t>
        </is>
      </c>
      <c r="B44" s="16" t="inlineStr">
        <is>
          <t>MIND Technology, Inc.</t>
        </is>
      </c>
      <c r="C44" s="16" t="inlineStr">
        <is>
          <t>P/B 1.01 · 196.7× EBITDA · cash 45% · 52w 7%</t>
        </is>
      </c>
      <c r="D44" s="16" t="n">
        <v>99</v>
      </c>
      <c r="E44" s="16" t="n"/>
      <c r="F44" s="28" t="n">
        <v>34.4</v>
      </c>
      <c r="G44" s="28" t="n">
        <v>27.12</v>
      </c>
      <c r="H44" s="36" t="n">
        <v>180</v>
      </c>
      <c r="I44" s="36" t="n">
        <v>7</v>
      </c>
      <c r="J44" s="16" t="inlineStr">
        <is>
          <t>NCAV</t>
        </is>
      </c>
      <c r="K44" s="16" t="inlineStr">
        <is>
          <t>∞</t>
        </is>
      </c>
      <c r="L44" s="16" t="inlineStr">
        <is>
          <t>Technology</t>
        </is>
      </c>
      <c r="M44" s="16" t="inlineStr">
        <is>
          <t>P/B 1.01 · EV/EBITDA 196.7× · FCF yld -10% · net cash 45% of mcap · rev +28% · op margin -3% · diluting 45%/yr</t>
        </is>
      </c>
    </row>
    <row r="45" ht="22" customHeight="1">
      <c r="A45" s="6" t="inlineStr">
        <is>
          <t>MBIO</t>
        </is>
      </c>
      <c r="B45" s="14" t="inlineStr">
        <is>
          <t>Mustang Bio, Inc.</t>
        </is>
      </c>
      <c r="C45" s="14" t="inlineStr">
        <is>
          <t>P/B 0.51 · 3.7× EBITDA · cash 392% · 52w 3%</t>
        </is>
      </c>
      <c r="D45" s="14" t="n">
        <v>99</v>
      </c>
      <c r="E45" s="14" t="n"/>
      <c r="F45" s="27" t="n">
        <v>34</v>
      </c>
      <c r="G45" s="27" t="n">
        <v>30</v>
      </c>
      <c r="H45" s="35" t="n">
        <v>150</v>
      </c>
      <c r="I45" s="35" t="n">
        <v>0</v>
      </c>
      <c r="J45" s="14" t="inlineStr">
        <is>
          <t>net-cash</t>
        </is>
      </c>
      <c r="K45" s="27" t="n">
        <v>3.8</v>
      </c>
      <c r="L45" s="14" t="inlineStr">
        <is>
          <t>Healthcare</t>
        </is>
      </c>
      <c r="M45" s="14" t="inlineStr">
        <is>
          <t>P/B 0.51 · EV/EBITDA 3.7× · net cash 392% of mcap · op margin 0% · diluting 13%/yr  [FCF yield &gt;100% (check)]</t>
        </is>
      </c>
    </row>
    <row r="46" ht="22" customHeight="1">
      <c r="A46" s="8" t="inlineStr">
        <is>
          <t>APRE</t>
        </is>
      </c>
      <c r="B46" s="16" t="inlineStr">
        <is>
          <t>Aprea Therapeutics, Inc.</t>
        </is>
      </c>
      <c r="C46" s="16" t="inlineStr">
        <is>
          <t>2.6× EBITDA · 52w 20%</t>
        </is>
      </c>
      <c r="D46" s="16" t="n">
        <v>99</v>
      </c>
      <c r="E46" s="16" t="n"/>
      <c r="F46" s="28" t="n">
        <v>34</v>
      </c>
      <c r="G46" s="28" t="n">
        <v>30</v>
      </c>
      <c r="H46" s="36" t="n">
        <v>150</v>
      </c>
      <c r="I46" s="36" t="n">
        <v>0</v>
      </c>
      <c r="J46" s="16" t="inlineStr">
        <is>
          <t>net-cash</t>
        </is>
      </c>
      <c r="K46" s="28" t="n">
        <v>3.4</v>
      </c>
      <c r="L46" s="16" t="inlineStr">
        <is>
          <t>Healthcare</t>
        </is>
      </c>
      <c r="M46" s="16" t="inlineStr">
        <is>
          <t>EV/EBITDA 2.6× · op margin 0%  [market-cap/share data inconsistent; FCF yield &gt;100% (check)]</t>
        </is>
      </c>
    </row>
    <row r="47" ht="22" customHeight="1">
      <c r="A47" s="6" t="inlineStr">
        <is>
          <t>XBIT</t>
        </is>
      </c>
      <c r="B47" s="14" t="inlineStr">
        <is>
          <t>XBiotech Inc.</t>
        </is>
      </c>
      <c r="C47" s="14" t="inlineStr">
        <is>
          <t>P/B 0.52 · 1.0× EBITDA · cash 166% · 52w 6%</t>
        </is>
      </c>
      <c r="D47" s="14" t="n">
        <v>99</v>
      </c>
      <c r="E47" s="14" t="n"/>
      <c r="F47" s="27" t="n">
        <v>34</v>
      </c>
      <c r="G47" s="27" t="n">
        <v>30</v>
      </c>
      <c r="H47" s="35" t="n">
        <v>150</v>
      </c>
      <c r="I47" s="35" t="n">
        <v>0</v>
      </c>
      <c r="J47" s="14" t="inlineStr">
        <is>
          <t>net-cash</t>
        </is>
      </c>
      <c r="K47" s="27" t="n">
        <v>4.6</v>
      </c>
      <c r="L47" s="14" t="inlineStr">
        <is>
          <t>Healthcare</t>
        </is>
      </c>
      <c r="M47" s="14" t="inlineStr">
        <is>
          <t>P/B 0.52 · EV/EBITDA 1.0× · FCF yld -61% · net cash 166% of mcap · op margin 0%</t>
        </is>
      </c>
    </row>
    <row r="48" ht="22" customHeight="1">
      <c r="A48" s="8" t="inlineStr">
        <is>
          <t>WAFU</t>
        </is>
      </c>
      <c r="B48" s="16" t="inlineStr">
        <is>
          <t>Wah Fu Education Group L</t>
        </is>
      </c>
      <c r="C48" s="16" t="inlineStr">
        <is>
          <t>P/B 0.66 · 2.5× EBITDA · cash 133% · 52w 20%</t>
        </is>
      </c>
      <c r="D48" s="16" t="n">
        <v>99</v>
      </c>
      <c r="E48" s="16" t="n"/>
      <c r="F48" s="28" t="n">
        <v>33.9</v>
      </c>
      <c r="G48" s="28" t="n">
        <v>18.78</v>
      </c>
      <c r="H48" s="36" t="n">
        <v>94</v>
      </c>
      <c r="I48" s="36" t="n">
        <v>0</v>
      </c>
      <c r="J48" s="16" t="inlineStr">
        <is>
          <t>net-cash</t>
        </is>
      </c>
      <c r="K48" s="16" t="inlineStr">
        <is>
          <t>∞</t>
        </is>
      </c>
      <c r="L48" s="16" t="inlineStr">
        <is>
          <t>Consumer Defensive</t>
        </is>
      </c>
      <c r="M48" s="16" t="inlineStr">
        <is>
          <t>P/B 0.66 · EV/EBITDA 2.5× · FCF yld -20% · net cash 133% of mcap · rev +1% · op margin -13%</t>
        </is>
      </c>
    </row>
    <row r="49" ht="22" customHeight="1">
      <c r="A49" s="6" t="inlineStr">
        <is>
          <t>LAB</t>
        </is>
      </c>
      <c r="B49" s="14" t="inlineStr">
        <is>
          <t>Standard BioTools Inc.</t>
        </is>
      </c>
      <c r="C49" s="14" t="inlineStr">
        <is>
          <t>P/B 0.53 · cash 157% · 52w 9%</t>
        </is>
      </c>
      <c r="D49" s="14" t="n">
        <v>99</v>
      </c>
      <c r="E49" s="14" t="n"/>
      <c r="F49" s="27" t="n">
        <v>33.8</v>
      </c>
      <c r="G49" s="27" t="n">
        <v>38.71</v>
      </c>
      <c r="H49" s="35" t="n">
        <v>194</v>
      </c>
      <c r="I49" s="35" t="n">
        <v>0</v>
      </c>
      <c r="J49" s="14" t="inlineStr">
        <is>
          <t>NCAV</t>
        </is>
      </c>
      <c r="K49" s="27" t="n">
        <v>4.8</v>
      </c>
      <c r="L49" s="14" t="inlineStr">
        <is>
          <t>Healthcare</t>
        </is>
      </c>
      <c r="M49" s="14" t="inlineStr">
        <is>
          <t>P/B 0.53 · P/S 3.4 · FCF yld -29% · net cash 157% of mcap · rev -37% · op margin -95% · diluting 3%/yr</t>
        </is>
      </c>
    </row>
    <row r="50" ht="22" customHeight="1">
      <c r="A50" s="8" t="inlineStr">
        <is>
          <t>YARW</t>
        </is>
      </c>
      <c r="B50" s="16" t="inlineStr">
        <is>
          <t>Yarrow Bioscience Inc</t>
        </is>
      </c>
      <c r="C50" s="16" t="inlineStr">
        <is>
          <t>1.2× EBITDA · 52w 38%</t>
        </is>
      </c>
      <c r="D50" s="16" t="n">
        <v>99</v>
      </c>
      <c r="E50" s="16" t="n"/>
      <c r="F50" s="28" t="n">
        <v>33.5</v>
      </c>
      <c r="G50" s="28" t="n">
        <v>52.44</v>
      </c>
      <c r="H50" s="36" t="n">
        <v>262</v>
      </c>
      <c r="I50" s="36" t="n">
        <v>0</v>
      </c>
      <c r="J50" s="16" t="inlineStr">
        <is>
          <t>net-cash</t>
        </is>
      </c>
      <c r="K50" s="28" t="n">
        <v>1.6</v>
      </c>
      <c r="L50" s="16" t="inlineStr">
        <is>
          <t>Healthcare</t>
        </is>
      </c>
      <c r="M50" s="16" t="inlineStr">
        <is>
          <t>EV/EBITDA 1.2× · rev +1%  [market-cap/share data inconsistent; FCF yield &gt;100% (check); dividend yield &gt;25% (special or bad data)]</t>
        </is>
      </c>
    </row>
    <row r="51" ht="22" customHeight="1">
      <c r="A51" s="6" t="inlineStr">
        <is>
          <t>RR</t>
        </is>
      </c>
      <c r="B51" s="14" t="inlineStr">
        <is>
          <t>Richtech Robotics Inc. C</t>
        </is>
      </c>
      <c r="C51" s="14" t="inlineStr">
        <is>
          <t>P/B 0.85 · cash 108% · 52w 7%</t>
        </is>
      </c>
      <c r="D51" s="14" t="n">
        <v>98</v>
      </c>
      <c r="E51" s="14" t="n"/>
      <c r="F51" s="27" t="n">
        <v>33.4</v>
      </c>
      <c r="G51" s="27" t="n">
        <v>36.44</v>
      </c>
      <c r="H51" s="35" t="n">
        <v>182</v>
      </c>
      <c r="I51" s="35" t="n">
        <v>0</v>
      </c>
      <c r="J51" s="14" t="inlineStr">
        <is>
          <t>NCAV</t>
        </is>
      </c>
      <c r="K51" s="27" t="n">
        <v>12.4</v>
      </c>
      <c r="L51" s="14" t="inlineStr">
        <is>
          <t>Industrials</t>
        </is>
      </c>
      <c r="M51" s="14" t="inlineStr">
        <is>
          <t>P/B 0.85 · P/S 56.1 · FCF yld -8% · net cash 108% of mcap  [new entity / merger: history not comparable]</t>
        </is>
      </c>
    </row>
    <row r="52" ht="22" customHeight="1">
      <c r="A52" s="8" t="inlineStr">
        <is>
          <t>HURC</t>
        </is>
      </c>
      <c r="B52" s="16" t="inlineStr">
        <is>
          <t>Hurco Companies, Inc.</t>
        </is>
      </c>
      <c r="C52" s="16" t="inlineStr">
        <is>
          <t>P/B 0.73 · cash 30% · 52w 71%</t>
        </is>
      </c>
      <c r="D52" s="16" t="n">
        <v>98</v>
      </c>
      <c r="E52" s="16" t="n"/>
      <c r="F52" s="28" t="n">
        <v>33</v>
      </c>
      <c r="G52" s="28" t="n">
        <v>34.68</v>
      </c>
      <c r="H52" s="36" t="n">
        <v>173</v>
      </c>
      <c r="I52" s="36" t="n">
        <v>0</v>
      </c>
      <c r="J52" s="16" t="inlineStr">
        <is>
          <t>NCAV</t>
        </is>
      </c>
      <c r="K52" s="28" t="n">
        <v>12.6</v>
      </c>
      <c r="L52" s="16" t="inlineStr">
        <is>
          <t>Industrials</t>
        </is>
      </c>
      <c r="M52" s="16" t="inlineStr">
        <is>
          <t>P/B 0.73 · P/S 0.7 · FCF yld 6% · net cash 30% of mcap · rev -1% · op margin -3%</t>
        </is>
      </c>
    </row>
    <row r="53" ht="22" customHeight="1">
      <c r="A53" s="6" t="inlineStr">
        <is>
          <t>RDGT</t>
        </is>
      </c>
      <c r="B53" s="14" t="inlineStr">
        <is>
          <t>Ridgetech, Inc.</t>
        </is>
      </c>
      <c r="C53" s="14" t="inlineStr">
        <is>
          <t>10.5× EBITDA · 52w 0%</t>
        </is>
      </c>
      <c r="D53" s="14" t="n">
        <v>98</v>
      </c>
      <c r="E53" s="14" t="n"/>
      <c r="F53" s="27" t="n">
        <v>33</v>
      </c>
      <c r="G53" s="27" t="n">
        <v>30</v>
      </c>
      <c r="H53" s="35" t="n">
        <v>150</v>
      </c>
      <c r="I53" s="35" t="n">
        <v>0</v>
      </c>
      <c r="J53" s="14" t="inlineStr">
        <is>
          <t>net-cash</t>
        </is>
      </c>
      <c r="K53" s="14" t="inlineStr">
        <is>
          <t>∞</t>
        </is>
      </c>
      <c r="L53" s="14" t="inlineStr">
        <is>
          <t>Healthcare</t>
        </is>
      </c>
      <c r="M53" s="14" t="inlineStr">
        <is>
          <t>EV/EBITDA 10.5× · rev -24% · op margin -1% · diluting 9%/yr  [market-cap/share data inconsistent; FCF yield &gt;100% (check)]</t>
        </is>
      </c>
    </row>
    <row r="54" ht="22" customHeight="1">
      <c r="A54" s="8" t="inlineStr">
        <is>
          <t>LBTYA</t>
        </is>
      </c>
      <c r="B54" s="16" t="inlineStr">
        <is>
          <t>Liberty Global Ltd.</t>
        </is>
      </c>
      <c r="C54" s="16" t="inlineStr">
        <is>
          <t>P/B 0.35 · debt 208% · 52w 7%</t>
        </is>
      </c>
      <c r="D54" s="16" t="n">
        <v>98</v>
      </c>
      <c r="E54" s="16" t="n"/>
      <c r="F54" s="28" t="n">
        <v>32.9</v>
      </c>
      <c r="G54" s="28" t="n">
        <v>21.75</v>
      </c>
      <c r="H54" s="36" t="n">
        <v>109</v>
      </c>
      <c r="I54" s="36" t="n">
        <v>0</v>
      </c>
      <c r="J54" s="16" t="inlineStr">
        <is>
          <t>NCAV</t>
        </is>
      </c>
      <c r="K54" s="16" t="inlineStr">
        <is>
          <t>∞</t>
        </is>
      </c>
      <c r="L54" s="16" t="inlineStr">
        <is>
          <t>Communication Serv</t>
        </is>
      </c>
      <c r="M54" s="16" t="inlineStr">
        <is>
          <t>P/B 0.35 · P/S 0.7 · FCF yld -8% · net debt 208% of mcap · op margin 1% · buying back 8%/yr · interest cover 0.1× ⚠</t>
        </is>
      </c>
    </row>
    <row r="55"/>
    <row r="56" ht="28" customHeight="1">
      <c r="A56" s="17" t="inlineStr">
        <is>
          <t>3098 names have measurable asymmetry (top 50 by score). 177 rest on a HARD floor (net-cash or NCAV, not goodwill). Downside is the % fall to the asset floor; a cash floor is eroded by up to 1.5 years of operating burn, so a cash-burning shell shows real downside rather than a false 0%. Upside re-rates the name to its sector-median P/B and P/S (halved when there is no revenue, since the multiple is then an artifact). Ratio = upside ÷ downside (downside floored at 5%). The score is continuous — log(ratio) plus floor-quality (cash &gt; NCAV &gt; book), a non-burner bonus, and a deep-value (&lt;0.6× sector P/B) bonus — and feeds the consensus as payoff_geometry_pts. Geometry is the SHAPE only; the Mechanism Gates tab adds the 'why now'. Source: payoff_geometry.py.</t>
        </is>
      </c>
    </row>
  </sheetData>
  <mergeCells count="3">
    <mergeCell ref="A2:L2"/>
    <mergeCell ref="A56:L56"/>
    <mergeCell ref="A1:L1"/>
  </mergeCells>
  <conditionalFormatting sqref="D5:D56">
    <cfRule type="dataBar" priority="1">
      <dataBar showValue="1">
        <cfvo type="num" val="0"/>
        <cfvo type="num" val="100"/>
        <color rgb="009DB9D3"/>
      </dataBar>
    </cfRule>
  </conditionalFormatting>
  <hyperlinks>
    <hyperlink xmlns:r="http://schemas.openxmlformats.org/officeDocument/2006/relationships" ref="A6" r:id="rId1"/>
    <hyperlink xmlns:r="http://schemas.openxmlformats.org/officeDocument/2006/relationships" ref="A27" r:id="rId2"/>
    <hyperlink xmlns:r="http://schemas.openxmlformats.org/officeDocument/2006/relationships" ref="A49" r:id="rId3"/>
  </hyperlinks>
  <printOptions horizontalCentered="0"/>
  <pageMargins left="0.5" right="0.5" top="0.6" bottom="0.6" header="0.5" footer="0.5"/>
  <pageSetup orientation="landscape" fitToHeight="0" fitToWidth="1"/>
</worksheet>
</file>

<file path=xl/worksheets/sheet11.xml><?xml version="1.0" encoding="utf-8"?>
<worksheet xmlns="http://schemas.openxmlformats.org/spreadsheetml/2006/main">
  <sheetPr>
    <tabColor rgb="002E75B6"/>
    <outlinePr summaryBelow="1" summaryRight="1"/>
    <pageSetUpPr fitToPage="1"/>
  </sheetPr>
  <dimension ref="A1:K56"/>
  <sheetViews>
    <sheetView showGridLines="0" workbookViewId="0">
      <pane ySplit="4" topLeftCell="A5" activePane="bottomLeft" state="frozen"/>
      <selection pane="bottomLeft" activeCell="A1" sqref="A1"/>
    </sheetView>
  </sheetViews>
  <sheetFormatPr baseColWidth="8" defaultRowHeight="15"/>
  <cols>
    <col width="9" customWidth="1" min="1" max="1"/>
    <col width="22" customWidth="1" min="2" max="2"/>
    <col width="30" customWidth="1" min="3" max="3"/>
    <col width="9" customWidth="1" min="4" max="4"/>
    <col width="60" customWidth="1" min="5" max="5"/>
    <col width="8" customWidth="1" min="6" max="6"/>
    <col width="6" customWidth="1" min="7" max="7"/>
    <col width="7" customWidth="1" min="8" max="8"/>
    <col width="7" customWidth="1" min="9" max="9"/>
    <col width="44" customWidth="1" min="10" max="10"/>
    <col width="62" customWidth="1" min="11" max="11"/>
  </cols>
  <sheetData>
    <row r="1" ht="26" customHeight="1">
      <c r="A1" s="1" t="inlineStr">
        <is>
          <t>Re-Rate Catalysts — spin-offs, separations, sales, strategic reviews</t>
        </is>
      </c>
    </row>
    <row r="2" ht="18" customHeight="1">
      <c r="A2" s="20" t="inlineStr">
        <is>
          <t>The mechanical re-rates: a spin-off collapses the conglomerate discount, an asset sale monetises non-core and de-levers, a sale of the company delivers a premium. Catalysts triangulated across PSU-incentive (management paid to do it), active tender, and MD&amp;A narrative, then scaled by the payoff-geometry upside room.</t>
        </is>
      </c>
      <c r="B2" s="19" t="n"/>
      <c r="C2" s="19" t="n"/>
      <c r="D2" s="19" t="n"/>
      <c r="E2" s="19" t="n"/>
      <c r="F2" s="19" t="n"/>
      <c r="G2" s="19" t="n"/>
      <c r="H2" s="19" t="n"/>
      <c r="I2" s="19" t="n"/>
      <c r="J2" s="19" t="n"/>
    </row>
    <row r="3" ht="8" customHeight="1">
      <c r="D3" s="34" t="inlineStr">
        <is>
          <t>%ile vs all 760 names scored</t>
        </is>
      </c>
    </row>
    <row r="4" ht="18" customHeight="1">
      <c r="A4" s="12" t="inlineStr">
        <is>
          <t>Ticker</t>
        </is>
      </c>
      <c r="B4" s="12" t="inlineStr">
        <is>
          <t>Name</t>
        </is>
      </c>
      <c r="C4" s="12" t="inlineStr">
        <is>
          <t>Key numbers (FMP)</t>
        </is>
      </c>
      <c r="D4" s="12" t="inlineStr">
        <is>
          <t>Strength %ile</t>
        </is>
      </c>
      <c r="E4" s="12" t="inlineStr">
        <is>
          <t>What's happening (8-K)</t>
        </is>
      </c>
      <c r="F4" s="4" t="inlineStr">
        <is>
          <t>Score</t>
        </is>
      </c>
      <c r="G4" s="4" t="inlineStr">
        <is>
          <t>Types</t>
        </is>
      </c>
      <c r="H4" s="4" t="inlineStr">
        <is>
          <t>Ratio</t>
        </is>
      </c>
      <c r="I4" s="4" t="inlineStr">
        <is>
          <t>Up%</t>
        </is>
      </c>
      <c r="J4" s="4" t="inlineStr">
        <is>
          <t>Catalysts (source)</t>
        </is>
      </c>
      <c r="K4" s="4" t="inlineStr">
        <is>
          <t>FMP financial read</t>
        </is>
      </c>
    </row>
    <row r="5" ht="22" customHeight="1">
      <c r="A5" s="6" t="inlineStr">
        <is>
          <t>BHC</t>
        </is>
      </c>
      <c r="B5" s="14" t="inlineStr">
        <is>
          <t>Bausch Health Companie</t>
        </is>
      </c>
      <c r="C5" s="14" t="inlineStr">
        <is>
          <t>10.3× EBITDA · 52w 39%</t>
        </is>
      </c>
      <c r="D5" s="14" t="n">
        <v>100</v>
      </c>
      <c r="E5" s="14" t="inlineStr">
        <is>
          <t>[2026-07-29] Separating a business | [2026-07-29] Separating a business</t>
        </is>
      </c>
      <c r="F5" s="27" t="n">
        <v>39</v>
      </c>
      <c r="G5" s="27" t="n">
        <v>3</v>
      </c>
      <c r="H5" s="27" t="n">
        <v>3</v>
      </c>
      <c r="I5" s="35" t="n">
        <v>300</v>
      </c>
      <c r="J5" s="14" t="inlineStr">
        <is>
          <t>Exchange Offer [event]; Separation [event/na</t>
        </is>
      </c>
      <c r="K5" s="14" t="inlineStr">
        <is>
          <t>EV/EBITDA 10.3× · FCF yld 65% · rev +10% · op margin 25%  [negative equity]</t>
        </is>
      </c>
    </row>
    <row r="6" ht="22" customHeight="1">
      <c r="A6" s="8" t="inlineStr">
        <is>
          <t>DXLG</t>
        </is>
      </c>
      <c r="B6" s="16" t="inlineStr">
        <is>
          <t>Destination XL Group,</t>
        </is>
      </c>
      <c r="C6" s="16" t="inlineStr">
        <is>
          <t>P/B 0.32 · debt 562% · 52w 14%</t>
        </is>
      </c>
      <c r="D6" s="16" t="n">
        <v>100</v>
      </c>
      <c r="E6" s="16" t="n"/>
      <c r="F6" s="28" t="n">
        <v>36</v>
      </c>
      <c r="G6" s="28" t="n">
        <v>2</v>
      </c>
      <c r="H6" s="28" t="n">
        <v>60</v>
      </c>
      <c r="I6" s="36" t="n">
        <v>300</v>
      </c>
      <c r="J6" s="16" t="inlineStr">
        <is>
          <t>Sale Of Company [event/tender]; Tender Offer</t>
        </is>
      </c>
      <c r="K6" s="16" t="inlineStr">
        <is>
          <t>P/B 0.32 · P/S 0.1 · FCF yld -39% · net debt 562% of mcap · rev -4% · op margin -3% · diluting 5%/yr</t>
        </is>
      </c>
    </row>
    <row r="7" ht="22" customHeight="1">
      <c r="A7" s="6" t="inlineStr">
        <is>
          <t>DEC</t>
        </is>
      </c>
      <c r="B7" s="14" t="inlineStr">
        <is>
          <t>Diversified Energy Com</t>
        </is>
      </c>
      <c r="C7" s="14" t="inlineStr">
        <is>
          <t>P/B 1.07 · 3.0× EBITDA · debt 291% · 52w 26%</t>
        </is>
      </c>
      <c r="D7" s="14" t="n">
        <v>100</v>
      </c>
      <c r="E7" s="14" t="n"/>
      <c r="F7" s="27" t="n">
        <v>34.1</v>
      </c>
      <c r="G7" s="27" t="n">
        <v>4</v>
      </c>
      <c r="H7" s="27" t="n">
        <v>2</v>
      </c>
      <c r="I7" s="35" t="n">
        <v>105</v>
      </c>
      <c r="J7" s="14" t="inlineStr">
        <is>
          <t>Asset Sale [event]; Buyback Auth [event]; Ch</t>
        </is>
      </c>
      <c r="K7" s="14" t="inlineStr">
        <is>
          <t>P/B 1.07 · EV/EBITDA 3.0× · FCF yld 27% · net debt 291% of mcap · rev +42% · op margin 35% · diluting 9%/yr</t>
        </is>
      </c>
    </row>
    <row r="8" ht="22" customHeight="1">
      <c r="A8" s="8" t="inlineStr">
        <is>
          <t>WBD</t>
        </is>
      </c>
      <c r="B8" s="16" t="inlineStr">
        <is>
          <t>Warner Bros. Discovery</t>
        </is>
      </c>
      <c r="C8" s="16" t="inlineStr">
        <is>
          <t>P/B 2.35 · 17.5× EBITDA · debt 37% · 52w 99%</t>
        </is>
      </c>
      <c r="D8" s="16" t="n">
        <v>99</v>
      </c>
      <c r="E8" s="16" t="inlineStr">
        <is>
          <t>[2026-02-27] Separating Streaming &amp; Studios business | [2026-02-26] Separating a business</t>
        </is>
      </c>
      <c r="F8" s="28" t="n">
        <v>33</v>
      </c>
      <c r="G8" s="28" t="n">
        <v>4</v>
      </c>
      <c r="H8" s="16" t="inlineStr">
        <is>
          <t>–</t>
        </is>
      </c>
      <c r="I8" s="16" t="inlineStr">
        <is>
          <t>–</t>
        </is>
      </c>
      <c r="J8" s="16" t="inlineStr">
        <is>
          <t>Exchange Offer [event]; Sale Of Company [ten</t>
        </is>
      </c>
      <c r="K8" s="16" t="inlineStr">
        <is>
          <t>P/B 2.35 · EV/EBITDA 17.5× · FCF yld 3% · net debt 37% of mcap · rev -6% · op margin 5% · diluting 3%/yr · interest cover 0.9× ⚠</t>
        </is>
      </c>
    </row>
    <row r="9" ht="22" customHeight="1">
      <c r="A9" s="6" t="inlineStr">
        <is>
          <t>KDP</t>
        </is>
      </c>
      <c r="B9" s="14" t="inlineStr">
        <is>
          <t>Keurig Dr Pepper Inc.</t>
        </is>
      </c>
      <c r="C9" s="14" t="inlineStr">
        <is>
          <t>P/B 1.73 · 20.9× EBITDA · debt 76% · 52w 77%</t>
        </is>
      </c>
      <c r="D9" s="14" t="n">
        <v>99</v>
      </c>
      <c r="E9" s="14" t="inlineStr">
        <is>
          <t>[2026-06-23] Separating a business; targeted early 2027 | [2026-06-11] [announced] Tender offer</t>
        </is>
      </c>
      <c r="F9" s="27" t="n">
        <v>33</v>
      </c>
      <c r="G9" s="27" t="n">
        <v>3</v>
      </c>
      <c r="H9" s="14" t="inlineStr">
        <is>
          <t>–</t>
        </is>
      </c>
      <c r="I9" s="14" t="inlineStr">
        <is>
          <t>–</t>
        </is>
      </c>
      <c r="J9" s="14" t="inlineStr">
        <is>
          <t>Separation [event/narrative]; Spinoff [event</t>
        </is>
      </c>
      <c r="K9" s="14" t="inlineStr">
        <is>
          <t>P/B 1.73 · EV/EBITDA 20.9× · FCF yld 5% · net debt 76% of mcap · rev +27% · op margin 17%</t>
        </is>
      </c>
    </row>
    <row r="10" ht="22" customHeight="1">
      <c r="A10" s="8" t="inlineStr">
        <is>
          <t>CYH</t>
        </is>
      </c>
      <c r="B10" s="16" t="inlineStr">
        <is>
          <t>Community Health Syste</t>
        </is>
      </c>
      <c r="C10" s="16" t="inlineStr">
        <is>
          <t>2.1× EBITDA · 52w 32%</t>
        </is>
      </c>
      <c r="D10" s="16" t="n">
        <v>99</v>
      </c>
      <c r="E10" s="16" t="n"/>
      <c r="F10" s="28" t="n">
        <v>33</v>
      </c>
      <c r="G10" s="28" t="n">
        <v>2</v>
      </c>
      <c r="H10" s="28" t="n">
        <v>3</v>
      </c>
      <c r="I10" s="36" t="n">
        <v>300</v>
      </c>
      <c r="J10" s="16" t="inlineStr">
        <is>
          <t>Asset Sale [event]; Tender Offer [event]</t>
        </is>
      </c>
      <c r="K10" s="16" t="inlineStr">
        <is>
          <t>EV/EBITDA 2.1× · FCF yld -43% · rev +77% · op margin -39%  [negative equity]</t>
        </is>
      </c>
    </row>
    <row r="11" ht="22" customHeight="1">
      <c r="A11" s="6" t="inlineStr">
        <is>
          <t>NFE</t>
        </is>
      </c>
      <c r="B11" s="14" t="inlineStr">
        <is>
          <t>New Fortress Energy In</t>
        </is>
      </c>
      <c r="C11" s="14" t="inlineStr">
        <is>
          <t>52w 0%</t>
        </is>
      </c>
      <c r="D11" s="14" t="n">
        <v>99</v>
      </c>
      <c r="E11" s="14" t="n"/>
      <c r="F11" s="27" t="n">
        <v>32.5</v>
      </c>
      <c r="G11" s="27" t="n">
        <v>2</v>
      </c>
      <c r="H11" s="27" t="n">
        <v>1.5</v>
      </c>
      <c r="I11" s="35" t="n">
        <v>150</v>
      </c>
      <c r="J11" s="14" t="inlineStr">
        <is>
          <t>Asset Sale [event]; Separation [event/narrat</t>
        </is>
      </c>
      <c r="K11" s="14" t="inlineStr">
        <is>
          <t>P/S 0.0 · rev -38% · op margin -22% · diluting 4%/yr  [negative equity; FCF yield &gt;100% (check)]</t>
        </is>
      </c>
    </row>
    <row r="12" ht="22" customHeight="1">
      <c r="A12" s="8" t="inlineStr">
        <is>
          <t>SITC</t>
        </is>
      </c>
      <c r="B12" s="16" t="inlineStr">
        <is>
          <t>SITE Centers Corp.</t>
        </is>
      </c>
      <c r="C12" s="16" t="inlineStr">
        <is>
          <t>P/B 0.56 · cash 152% · 52w 3%</t>
        </is>
      </c>
      <c r="D12" s="16" t="n">
        <v>99</v>
      </c>
      <c r="E12" s="16" t="inlineStr">
        <is>
          <t>[2026-07-01] [completed] Selling ground leasehold interest to Pike Long Beach Owner LLC for $50M (32% of mcap) | [2026-02-26] Completed separation of Curbline Properties</t>
        </is>
      </c>
      <c r="F12" s="28" t="n">
        <v>30.1</v>
      </c>
      <c r="G12" s="28" t="n">
        <v>2</v>
      </c>
      <c r="H12" s="28" t="n">
        <v>4.5</v>
      </c>
      <c r="I12" s="36" t="n">
        <v>45</v>
      </c>
      <c r="J12" s="16" t="inlineStr">
        <is>
          <t>Asset Sale [event/narrative]; Spinoff [event</t>
        </is>
      </c>
      <c r="K12" s="16" t="inlineStr">
        <is>
          <t>P/B 0.56 · P/S 2.2 · FCF yld -14% · net cash 152% of mcap · rev -39% · op margin -32%  [dividend yield &gt;25% (special or bad data)]</t>
        </is>
      </c>
    </row>
    <row r="13" ht="22" customHeight="1">
      <c r="A13" s="6" t="inlineStr">
        <is>
          <t>UGI</t>
        </is>
      </c>
      <c r="B13" s="14" t="inlineStr">
        <is>
          <t>UGI Corporation</t>
        </is>
      </c>
      <c r="C13" s="14" t="inlineStr">
        <is>
          <t>P/B 1.51 · 9.2× EBITDA · debt 79% · 52w 52%</t>
        </is>
      </c>
      <c r="D13" s="14" t="n">
        <v>99</v>
      </c>
      <c r="E13" s="14" t="n"/>
      <c r="F13" s="27" t="n">
        <v>30.1</v>
      </c>
      <c r="G13" s="27" t="n">
        <v>2</v>
      </c>
      <c r="H13" s="27" t="n">
        <v>1.1</v>
      </c>
      <c r="I13" s="35" t="n">
        <v>69</v>
      </c>
      <c r="J13" s="14" t="inlineStr">
        <is>
          <t>Asset Sale [event/narrative]; Tender Offer [</t>
        </is>
      </c>
      <c r="K13" s="14" t="inlineStr">
        <is>
          <t>P/B 1.51 · EV/EBITDA 9.2× · FCF yld 2% · net debt 79% of mcap · rev +1% · op margin 14%</t>
        </is>
      </c>
    </row>
    <row r="14" ht="22" customHeight="1">
      <c r="A14" s="8" t="inlineStr">
        <is>
          <t>ETN</t>
        </is>
      </c>
      <c r="B14" s="16" t="inlineStr">
        <is>
          <t>Eaton Corporation, PLC</t>
        </is>
      </c>
      <c r="C14" s="16" t="inlineStr">
        <is>
          <t>P/B 8.44 · 29.5× EBITDA · debt 12% · 52w 77%</t>
        </is>
      </c>
      <c r="D14" s="16" t="n">
        <v>99</v>
      </c>
      <c r="E14" s="16" t="inlineStr">
        <is>
          <t>[2026-07-31] Completed separation of Mobility business | [2026-07-31] Separating Mobility business</t>
        </is>
      </c>
      <c r="F14" s="28" t="n">
        <v>30</v>
      </c>
      <c r="G14" s="28" t="n">
        <v>2</v>
      </c>
      <c r="H14" s="16" t="inlineStr">
        <is>
          <t>–</t>
        </is>
      </c>
      <c r="I14" s="16" t="inlineStr">
        <is>
          <t>–</t>
        </is>
      </c>
      <c r="J14" s="16" t="inlineStr">
        <is>
          <t>Separation [event/narrative]; Spinoff [event</t>
        </is>
      </c>
      <c r="K14" s="16" t="inlineStr">
        <is>
          <t>P/B 8.44 · EV/EBITDA 29.5× · FCF yld 3% · net debt 12% of mcap · rev +16% · op margin 18%</t>
        </is>
      </c>
    </row>
    <row r="15" ht="22" customHeight="1">
      <c r="A15" s="6" t="inlineStr">
        <is>
          <t>HCTI</t>
        </is>
      </c>
      <c r="B15" s="14" t="inlineStr">
        <is>
          <t>Healthcare Triangle, I</t>
        </is>
      </c>
      <c r="C15" s="14" t="inlineStr">
        <is>
          <t>52w 0%</t>
        </is>
      </c>
      <c r="D15" s="14" t="n">
        <v>99</v>
      </c>
      <c r="E15" s="14" t="inlineStr">
        <is>
          <t>[2026-09-08] Separating a business | [2026-09-08] Separating a business</t>
        </is>
      </c>
      <c r="F15" s="27" t="n">
        <v>30</v>
      </c>
      <c r="G15" s="27" t="n">
        <v>3</v>
      </c>
      <c r="H15" s="27" t="n">
        <v>60</v>
      </c>
      <c r="I15" s="35" t="n">
        <v>300</v>
      </c>
      <c r="J15" s="14" t="inlineStr">
        <is>
          <t>Separation [event]; Spinoff [event]; Uplisti</t>
        </is>
      </c>
      <c r="K15" s="14" t="inlineStr">
        <is>
          <t>P/S 0.0 · rev +116% · op margin -57%  [market-cap/share data inconsistent; FCF yield &gt;100% (check)]</t>
        </is>
      </c>
    </row>
    <row r="16" ht="22" customHeight="1">
      <c r="A16" s="8" t="inlineStr">
        <is>
          <t>BIRD</t>
        </is>
      </c>
      <c r="B16" s="16" t="inlineStr">
        <is>
          <t>Allbirds, Inc.</t>
        </is>
      </c>
      <c r="C16" s="16" t="inlineStr">
        <is>
          <t>P/B 0.66 · 0.1× EBITDA · cash 155% · 52w 1%</t>
        </is>
      </c>
      <c r="D16" s="16" t="n">
        <v>98</v>
      </c>
      <c r="E16" s="16" t="n"/>
      <c r="F16" s="28" t="n">
        <v>29.4</v>
      </c>
      <c r="G16" s="28" t="n">
        <v>2</v>
      </c>
      <c r="H16" s="28" t="n">
        <v>5</v>
      </c>
      <c r="I16" s="36" t="n">
        <v>240</v>
      </c>
      <c r="J16" s="16" t="inlineStr">
        <is>
          <t>Asset Sale [event/narrative]; Uplisting [eve</t>
        </is>
      </c>
      <c r="K16" s="16" t="inlineStr">
        <is>
          <t>P/B 0.66 · EV/EBITDA 0.1× · net cash 155% of mcap · rev -38% · op margin -63% · diluting 13%/yr  [FCF yield &gt;100% (check)]</t>
        </is>
      </c>
    </row>
    <row r="17" ht="22" customHeight="1">
      <c r="A17" s="6" t="inlineStr">
        <is>
          <t>LE</t>
        </is>
      </c>
      <c r="B17" s="14" t="inlineStr">
        <is>
          <t>Lands' End, Inc.</t>
        </is>
      </c>
      <c r="C17" s="14" t="inlineStr">
        <is>
          <t>P/B 0.65 · 0.7× EBITDA · debt 19% · 52w 8%</t>
        </is>
      </c>
      <c r="D17" s="14" t="n">
        <v>98</v>
      </c>
      <c r="E17" s="14" t="n"/>
      <c r="F17" s="27" t="n">
        <v>28.7</v>
      </c>
      <c r="G17" s="27" t="n">
        <v>3</v>
      </c>
      <c r="H17" s="27" t="n">
        <v>9.199999999999999</v>
      </c>
      <c r="I17" s="35" t="n">
        <v>182</v>
      </c>
      <c r="J17" s="14" t="inlineStr">
        <is>
          <t>Sale Of Company [tender]; Strategic Review [</t>
        </is>
      </c>
      <c r="K17" s="14" t="inlineStr">
        <is>
          <t>P/B 0.65 · EV/EBITDA 0.7× · FCF yld -23% · net debt 19% of mcap · rev +0% · op margin 2% · buying back 2%/yr · interest cover 0.8× ⚠</t>
        </is>
      </c>
    </row>
    <row r="18" ht="22" customHeight="1">
      <c r="A18" s="8" t="inlineStr">
        <is>
          <t>GTE</t>
        </is>
      </c>
      <c r="B18" s="16" t="inlineStr">
        <is>
          <t>Gran Tierra Energy Inc</t>
        </is>
      </c>
      <c r="C18" s="16" t="inlineStr">
        <is>
          <t>P/B 2.67 · 21.3× EBITDA · debt 140% · 52w 82%</t>
        </is>
      </c>
      <c r="D18" s="16" t="n">
        <v>98</v>
      </c>
      <c r="E18" s="16" t="n"/>
      <c r="F18" s="28" t="n">
        <v>28.3</v>
      </c>
      <c r="G18" s="28" t="n">
        <v>2</v>
      </c>
      <c r="H18" s="28" t="n">
        <v>2.1</v>
      </c>
      <c r="I18" s="36" t="n">
        <v>171</v>
      </c>
      <c r="J18" s="16" t="inlineStr">
        <is>
          <t>Asset Sale [event]; Tender Offer [event]</t>
        </is>
      </c>
      <c r="K18" s="16" t="inlineStr">
        <is>
          <t>P/B 2.67 · EV/EBITDA 21.3× · FCF yld 76% · net debt 140% of mcap · rev +2% · op margin 2% · interest cover 0.1× ⚠</t>
        </is>
      </c>
    </row>
    <row r="19" ht="22" customHeight="1">
      <c r="A19" s="6" t="inlineStr">
        <is>
          <t>LSTA</t>
        </is>
      </c>
      <c r="B19" s="14" t="inlineStr">
        <is>
          <t>Lisata Therapeutics, I</t>
        </is>
      </c>
      <c r="C19" s="14" t="inlineStr">
        <is>
          <t>P/B 1.60 · cash 79% · 52w 11%</t>
        </is>
      </c>
      <c r="D19" s="14" t="n">
        <v>98</v>
      </c>
      <c r="E19" s="14" t="n"/>
      <c r="F19" s="27" t="n">
        <v>28.3</v>
      </c>
      <c r="G19" s="27" t="n">
        <v>3</v>
      </c>
      <c r="H19" s="27" t="n">
        <v>0.4</v>
      </c>
      <c r="I19" s="35" t="n">
        <v>29</v>
      </c>
      <c r="J19" s="14" t="inlineStr">
        <is>
          <t>Sale Of Company [event/tender]; Strategic Re</t>
        </is>
      </c>
      <c r="K19" s="14" t="inlineStr">
        <is>
          <t>P/B 1.60 · P/S 130.2 · FCF yld -94% · net cash 79% of mcap · rev -91% · diluting 6%/yr</t>
        </is>
      </c>
    </row>
    <row r="20" ht="22" customHeight="1">
      <c r="A20" s="8" t="inlineStr">
        <is>
          <t>SPGI</t>
        </is>
      </c>
      <c r="B20" s="16" t="inlineStr">
        <is>
          <t>S&amp;P Global Inc.</t>
        </is>
      </c>
      <c r="C20" s="16" t="inlineStr">
        <is>
          <t>P/B 3.80 · P/E 24.8 · 52w 29%</t>
        </is>
      </c>
      <c r="D20" s="16" t="n">
        <v>98</v>
      </c>
      <c r="E20" s="16" t="inlineStr">
        <is>
          <t>[2026-07-28] Completed separation of Mobility division | [2026-05-21] Separating a business</t>
        </is>
      </c>
      <c r="F20" s="28" t="n">
        <v>28</v>
      </c>
      <c r="G20" s="28" t="n">
        <v>3</v>
      </c>
      <c r="H20" s="16" t="inlineStr">
        <is>
          <t>–</t>
        </is>
      </c>
      <c r="I20" s="16" t="inlineStr">
        <is>
          <t>–</t>
        </is>
      </c>
      <c r="J20" s="16" t="inlineStr">
        <is>
          <t>Asset Sale [event]; Separation [event]; Spin</t>
        </is>
      </c>
      <c r="K20" s="16" t="inlineStr">
        <is>
          <t>P/B 3.80 · P/E 24.8 · ROE 15% · div yld 1.0% · buying back 3%/yr (financial: book/earnings basis)</t>
        </is>
      </c>
    </row>
    <row r="21" ht="22" customHeight="1">
      <c r="A21" s="6" t="inlineStr">
        <is>
          <t>FIS</t>
        </is>
      </c>
      <c r="B21" s="14" t="inlineStr">
        <is>
          <t>Fidelity National Info</t>
        </is>
      </c>
      <c r="C21" s="14" t="inlineStr">
        <is>
          <t>P/B 1.13 · 6.2× EBITDA · debt 113% · 52w 2%</t>
        </is>
      </c>
      <c r="D21" s="14" t="n">
        <v>98</v>
      </c>
      <c r="E21" s="14" t="inlineStr">
        <is>
          <t>[2026-02-24] Completed separation of a business</t>
        </is>
      </c>
      <c r="F21" s="27" t="n">
        <v>28</v>
      </c>
      <c r="G21" s="27" t="n">
        <v>2</v>
      </c>
      <c r="H21" s="27" t="n">
        <v>2.4</v>
      </c>
      <c r="I21" s="35" t="n">
        <v>130</v>
      </c>
      <c r="J21" s="14" t="inlineStr">
        <is>
          <t>Asset Sale [event]; Spinoff [event]</t>
        </is>
      </c>
      <c r="K21" s="14" t="inlineStr">
        <is>
          <t>P/B 1.13 · EV/EBITDA 6.2× · FCF yld 15% · net debt 113% of mcap · rev +20% · op margin 16%</t>
        </is>
      </c>
    </row>
    <row r="22" ht="22" customHeight="1">
      <c r="A22" s="8" t="inlineStr">
        <is>
          <t>KOS</t>
        </is>
      </c>
      <c r="B22" s="16" t="inlineStr">
        <is>
          <t>Kosmos Energy Ltd.</t>
        </is>
      </c>
      <c r="C22" s="16" t="inlineStr">
        <is>
          <t>P/B 1.84 · 19.0× EBITDA · debt 202% · 52w 74%</t>
        </is>
      </c>
      <c r="D22" s="16" t="n">
        <v>98</v>
      </c>
      <c r="E22" s="16" t="n"/>
      <c r="F22" s="28" t="n">
        <v>27.7</v>
      </c>
      <c r="G22" s="28" t="n">
        <v>3</v>
      </c>
      <c r="H22" s="28" t="n">
        <v>1.2</v>
      </c>
      <c r="I22" s="36" t="n">
        <v>91</v>
      </c>
      <c r="J22" s="16" t="inlineStr">
        <is>
          <t>Asset Sale [event]; Tender Offer [event]; Up</t>
        </is>
      </c>
      <c r="K22" s="16" t="inlineStr">
        <is>
          <t>P/B 1.84 · EV/EBITDA 19.0× · FCF yld -1% · net debt 202% of mcap · rev +10% · op margin 20% · diluting 26%/yr · interest cover 1.5× ⚠</t>
        </is>
      </c>
    </row>
    <row r="23" ht="22" customHeight="1">
      <c r="A23" s="6" t="inlineStr">
        <is>
          <t>SUNE</t>
        </is>
      </c>
      <c r="B23" s="14" t="inlineStr">
        <is>
          <t>SUNation Energy, Inc.</t>
        </is>
      </c>
      <c r="C23" s="14" t="inlineStr">
        <is>
          <t>P/B 0.39 · debt 65% · 52w 20%</t>
        </is>
      </c>
      <c r="D23" s="14" t="n">
        <v>98</v>
      </c>
      <c r="E23" s="14" t="n"/>
      <c r="F23" s="27" t="n">
        <v>27</v>
      </c>
      <c r="G23" s="27" t="n">
        <v>3</v>
      </c>
      <c r="H23" s="27" t="n">
        <v>8.1</v>
      </c>
      <c r="I23" s="35" t="n">
        <v>300</v>
      </c>
      <c r="J23" s="14" t="inlineStr">
        <is>
          <t>Sale Of Company [event]; Strategic Review [e</t>
        </is>
      </c>
      <c r="K23" s="14" t="inlineStr">
        <is>
          <t>P/B 0.39 · P/S 0.1 · FCF yld -21% · net debt 65% of mcap · op margin -8% · interest cover -6.4× ⚠  [new entity / merger: history not comparable]</t>
        </is>
      </c>
    </row>
    <row r="24" ht="22" customHeight="1">
      <c r="A24" s="8" t="inlineStr">
        <is>
          <t>PPLI</t>
        </is>
      </c>
      <c r="B24" s="16" t="inlineStr">
        <is>
          <t>People Incorporated</t>
        </is>
      </c>
      <c r="C24" s="16" t="inlineStr">
        <is>
          <t>P/B 0.53 · debt 11% · 52w 37%</t>
        </is>
      </c>
      <c r="D24" s="16" t="n">
        <v>97</v>
      </c>
      <c r="E24" s="16" t="inlineStr">
        <is>
          <t>[2026-09-11] Completed separation of Angi Inc | [2026-09-11] [announced] Special dividend of $0.00/sh</t>
        </is>
      </c>
      <c r="F24" s="28" t="n">
        <v>26.7</v>
      </c>
      <c r="G24" s="28" t="n">
        <v>3</v>
      </c>
      <c r="H24" s="28" t="n">
        <v>34.2</v>
      </c>
      <c r="I24" s="36" t="n">
        <v>200</v>
      </c>
      <c r="J24" s="16" t="inlineStr">
        <is>
          <t>Asset Sale [narrative]; Capital Return [even</t>
        </is>
      </c>
      <c r="K24" s="16" t="inlineStr">
        <is>
          <t>P/B 0.53 · P/S 1.3 · FCF yld 3% · net debt 11% of mcap · rev -25% · op margin 1% · buying back 8%/yr · interest cover 0.2× ⚠</t>
        </is>
      </c>
    </row>
    <row r="25" ht="22" customHeight="1">
      <c r="A25" s="6" t="inlineStr">
        <is>
          <t>PSKY</t>
        </is>
      </c>
      <c r="B25" s="14" t="inlineStr">
        <is>
          <t>Paramount Skydance Cor</t>
        </is>
      </c>
      <c r="C25" s="14" t="inlineStr">
        <is>
          <t>P/B 0.93 · debt 124% · 52w 19%</t>
        </is>
      </c>
      <c r="D25" s="14" t="n">
        <v>97</v>
      </c>
      <c r="E25" s="14" t="n"/>
      <c r="F25" s="27" t="n">
        <v>26.4</v>
      </c>
      <c r="G25" s="27" t="n">
        <v>3</v>
      </c>
      <c r="H25" s="27" t="n">
        <v>2.5</v>
      </c>
      <c r="I25" s="35" t="n">
        <v>121</v>
      </c>
      <c r="J25" s="14" t="inlineStr">
        <is>
          <t>Exchange Offer [event]; Spinoff [event]; Ten</t>
        </is>
      </c>
      <c r="K25" s="14" t="inlineStr">
        <is>
          <t>P/B 0.93 · P/S 0.4 · FCF yld 4% · net debt 124% of mcap · rev +2% · op margin -18% · diluting 65%/yr · interest cover -5.8× ⚠</t>
        </is>
      </c>
    </row>
    <row r="26" ht="22" customHeight="1">
      <c r="A26" s="8" t="inlineStr">
        <is>
          <t>ASRT</t>
        </is>
      </c>
      <c r="B26" s="16" t="inlineStr">
        <is>
          <t>Assertio Holdings, Inc</t>
        </is>
      </c>
      <c r="C26" s="16" t="inlineStr">
        <is>
          <t>P/B 2.01 · cash 21% · 52w 100%</t>
        </is>
      </c>
      <c r="D26" s="16" t="n">
        <v>97</v>
      </c>
      <c r="E26" s="16" t="n"/>
      <c r="F26" s="28" t="n">
        <v>25.7</v>
      </c>
      <c r="G26" s="28" t="n">
        <v>2</v>
      </c>
      <c r="H26" s="28" t="n">
        <v>0.6</v>
      </c>
      <c r="I26" s="36" t="n">
        <v>42</v>
      </c>
      <c r="J26" s="16" t="inlineStr">
        <is>
          <t>Sale Of Company [event/tender]; Tender Offer</t>
        </is>
      </c>
      <c r="K26" s="16" t="inlineStr">
        <is>
          <t>P/B 2.01 · P/S 1.5 · FCF yld -5% · net cash 21% of mcap · rev -14% · op margin -22%</t>
        </is>
      </c>
    </row>
    <row r="27" ht="22" customHeight="1">
      <c r="A27" s="6" t="inlineStr">
        <is>
          <t>HAIN</t>
        </is>
      </c>
      <c r="B27" s="14" t="inlineStr">
        <is>
          <t>The Hain Celestial Gro</t>
        </is>
      </c>
      <c r="C27" s="14" t="inlineStr">
        <is>
          <t>P/B 0.23 · debt 1111% · 52w 6%</t>
        </is>
      </c>
      <c r="D27" s="14" t="n">
        <v>97</v>
      </c>
      <c r="E27" s="14" t="n"/>
      <c r="F27" s="27" t="n">
        <v>25.5</v>
      </c>
      <c r="G27" s="27" t="n">
        <v>2</v>
      </c>
      <c r="H27" s="27" t="n">
        <v>60</v>
      </c>
      <c r="I27" s="35" t="n">
        <v>300</v>
      </c>
      <c r="J27" s="14" t="inlineStr">
        <is>
          <t>Asset Sale [event]; Strategic Review [narrat</t>
        </is>
      </c>
      <c r="K27" s="14" t="inlineStr">
        <is>
          <t>P/B 0.23 · P/S 0.0 · net debt 1111% of mcap · rev -9% · op margin 2% · interest cover 0.5× ⚠  [FCF yield &gt;100% (check)]</t>
        </is>
      </c>
    </row>
    <row r="28" ht="22" customHeight="1">
      <c r="A28" s="8" t="inlineStr">
        <is>
          <t>CMTL</t>
        </is>
      </c>
      <c r="B28" s="16" t="inlineStr">
        <is>
          <t>Comtech Telecommunicat</t>
        </is>
      </c>
      <c r="C28" s="16" t="inlineStr">
        <is>
          <t>P/B 0.16 · 5.7× EBITDA · debt 515% · 52w 1%</t>
        </is>
      </c>
      <c r="D28" s="16" t="n">
        <v>97</v>
      </c>
      <c r="E28" s="16" t="n"/>
      <c r="F28" s="28" t="n">
        <v>25.5</v>
      </c>
      <c r="G28" s="28" t="n">
        <v>2</v>
      </c>
      <c r="H28" s="28" t="n">
        <v>60</v>
      </c>
      <c r="I28" s="36" t="n">
        <v>300</v>
      </c>
      <c r="J28" s="16" t="inlineStr">
        <is>
          <t>Asset Sale [event]; Strategic Review [narrat</t>
        </is>
      </c>
      <c r="K28" s="16" t="inlineStr">
        <is>
          <t>P/B 0.16 · EV/EBITDA 5.7× · FCF yld 36% · net debt 515% of mcap · rev -4% · op margin 0% · interest cover 0.0× ⚠</t>
        </is>
      </c>
    </row>
    <row r="29" ht="22" customHeight="1">
      <c r="A29" s="6" t="inlineStr">
        <is>
          <t>OPTU</t>
        </is>
      </c>
      <c r="B29" s="14" t="inlineStr">
        <is>
          <t>Optimum Communications</t>
        </is>
      </c>
      <c r="C29" s="14" t="inlineStr">
        <is>
          <t>87.2× EBITDA · 52w 24%</t>
        </is>
      </c>
      <c r="D29" s="14" t="n">
        <v>97</v>
      </c>
      <c r="E29" s="14" t="n"/>
      <c r="F29" s="27" t="n">
        <v>25.5</v>
      </c>
      <c r="G29" s="27" t="n">
        <v>2</v>
      </c>
      <c r="H29" s="27" t="n">
        <v>3</v>
      </c>
      <c r="I29" s="35" t="n">
        <v>300</v>
      </c>
      <c r="J29" s="14" t="inlineStr">
        <is>
          <t>Sale Of Company [narrative]; Tender Offer [e</t>
        </is>
      </c>
      <c r="K29" s="14" t="inlineStr">
        <is>
          <t>EV/EBITDA 87.2× · FCF yld -44% · rev -4% · op margin -0% · buying back 5%/yr  [negative equity]</t>
        </is>
      </c>
    </row>
    <row r="30" ht="22" customHeight="1">
      <c r="A30" s="8" t="inlineStr">
        <is>
          <t>GPC</t>
        </is>
      </c>
      <c r="B30" s="16" t="inlineStr">
        <is>
          <t>Genuine Parts Company</t>
        </is>
      </c>
      <c r="C30" s="16" t="inlineStr">
        <is>
          <t>P/B 3.94 · 32.4× EBITDA · debt 34% · 52w 63%</t>
        </is>
      </c>
      <c r="D30" s="16" t="n">
        <v>97</v>
      </c>
      <c r="E30" s="16" t="inlineStr">
        <is>
          <t>[2026-09-09] Completed separation of Global Automotive and Global Industrial businesses (into two companies) | [2026-02-17] Separating a business</t>
        </is>
      </c>
      <c r="F30" s="28" t="n">
        <v>25</v>
      </c>
      <c r="G30" s="28" t="n">
        <v>2</v>
      </c>
      <c r="H30" s="16" t="inlineStr">
        <is>
          <t>–</t>
        </is>
      </c>
      <c r="I30" s="16" t="inlineStr">
        <is>
          <t>–</t>
        </is>
      </c>
      <c r="J30" s="16" t="inlineStr">
        <is>
          <t>Separation [event/narrative]; Spinoff [event</t>
        </is>
      </c>
      <c r="K30" s="16" t="inlineStr">
        <is>
          <t>P/B 3.94 · EV/EBITDA 32.4× · FCF yld 4% · net debt 34% of mcap · rev +5% · op margin 4%</t>
        </is>
      </c>
    </row>
    <row r="31" ht="22" customHeight="1">
      <c r="A31" s="6" t="inlineStr">
        <is>
          <t>HON</t>
        </is>
      </c>
      <c r="B31" s="14" t="inlineStr">
        <is>
          <t>Honeywell Internationa</t>
        </is>
      </c>
      <c r="C31" s="14" t="inlineStr">
        <is>
          <t>P/B 2.66 · 7.4× EBITDA · debt 37% · 52w 25%</t>
        </is>
      </c>
      <c r="D31" s="14" t="n">
        <v>97</v>
      </c>
      <c r="E31" s="14" t="inlineStr">
        <is>
          <t>[2026-07-23] Completed separation of a business | [2026-04-23] Separating a business; close third quarter on June 29</t>
        </is>
      </c>
      <c r="F31" s="27" t="n">
        <v>25</v>
      </c>
      <c r="G31" s="27" t="n">
        <v>2</v>
      </c>
      <c r="H31" s="14" t="inlineStr">
        <is>
          <t>–</t>
        </is>
      </c>
      <c r="I31" s="14" t="inlineStr">
        <is>
          <t>–</t>
        </is>
      </c>
      <c r="J31" s="14" t="inlineStr">
        <is>
          <t>Separation [event/narrative]; Spinoff [event</t>
        </is>
      </c>
      <c r="K31" s="14" t="inlineStr">
        <is>
          <t>P/B 2.66 · EV/EBITDA 7.4× · FCF yld 6% · net debt 37% of mcap · rev -10% · op margin 14%</t>
        </is>
      </c>
    </row>
    <row r="32" ht="22" customHeight="1">
      <c r="A32" s="8" t="inlineStr">
        <is>
          <t>PKOH</t>
        </is>
      </c>
      <c r="B32" s="16" t="inlineStr">
        <is>
          <t>Park-Ohio Holdings Cor</t>
        </is>
      </c>
      <c r="C32" s="16" t="inlineStr">
        <is>
          <t>P/B 1.71 · 12.0× EBITDA · debt 98% · 52w 81%</t>
        </is>
      </c>
      <c r="D32" s="16" t="n">
        <v>96</v>
      </c>
      <c r="E32" s="16" t="n"/>
      <c r="F32" s="28" t="n">
        <v>24.3</v>
      </c>
      <c r="G32" s="28" t="n">
        <v>2</v>
      </c>
      <c r="H32" s="28" t="n">
        <v>2.4</v>
      </c>
      <c r="I32" s="36" t="n">
        <v>166</v>
      </c>
      <c r="J32" s="16" t="inlineStr">
        <is>
          <t>Asset Sale [narrative]; Strategic Review [ev</t>
        </is>
      </c>
      <c r="K32" s="16" t="inlineStr">
        <is>
          <t>P/B 1.71 · EV/EBITDA 12.0× · FCF yld 3% · net debt 98% of mcap · rev +3% · op margin 5% · diluting 2%/yr</t>
        </is>
      </c>
    </row>
    <row r="33" ht="22" customHeight="1">
      <c r="A33" s="6" t="inlineStr">
        <is>
          <t>ADPT</t>
        </is>
      </c>
      <c r="B33" s="14" t="inlineStr">
        <is>
          <t>Adaptive Biotechnologi</t>
        </is>
      </c>
      <c r="C33" s="14" t="inlineStr">
        <is>
          <t>P/B 31.35 · debt 1% · 52w 95%</t>
        </is>
      </c>
      <c r="D33" s="14" t="n">
        <v>96</v>
      </c>
      <c r="E33" s="14" t="inlineStr">
        <is>
          <t>[2026-07-29] Completed separation of Immune Medicine business | [2026-06-15] Separating Immune Medicine business</t>
        </is>
      </c>
      <c r="F33" s="27" t="n">
        <v>23</v>
      </c>
      <c r="G33" s="27" t="n">
        <v>3</v>
      </c>
      <c r="H33" s="14" t="inlineStr">
        <is>
          <t>–</t>
        </is>
      </c>
      <c r="I33" s="14" t="inlineStr">
        <is>
          <t>–</t>
        </is>
      </c>
      <c r="J33" s="14" t="inlineStr">
        <is>
          <t>Separation [event]; Spinoff [event]; Strateg</t>
        </is>
      </c>
      <c r="K33" s="14" t="inlineStr">
        <is>
          <t>P/B 31.35 · P/S 14.4 · FCF yld -1% · net debt 1% of mcap · rev +50% · op margin -12% · diluting 4%/yr</t>
        </is>
      </c>
    </row>
    <row r="34" ht="22" customHeight="1">
      <c r="A34" s="8" t="inlineStr">
        <is>
          <t>CTVA</t>
        </is>
      </c>
      <c r="B34" s="16" t="inlineStr">
        <is>
          <t>Corteva, Inc.</t>
        </is>
      </c>
      <c r="C34" s="16" t="inlineStr">
        <is>
          <t>P/B 2.17 · 17.4× EBITDA · debt 5% · 52w 69%</t>
        </is>
      </c>
      <c r="D34" s="16" t="n">
        <v>96</v>
      </c>
      <c r="E34" s="16" t="inlineStr">
        <is>
          <t>[2026-08-31] Separating crop protection business / seed business | [2026-08-31] Separating crop protection business / seed business</t>
        </is>
      </c>
      <c r="F34" s="28" t="n">
        <v>23</v>
      </c>
      <c r="G34" s="28" t="n">
        <v>2</v>
      </c>
      <c r="H34" s="16" t="inlineStr">
        <is>
          <t>–</t>
        </is>
      </c>
      <c r="I34" s="16" t="inlineStr">
        <is>
          <t>–</t>
        </is>
      </c>
      <c r="J34" s="16" t="inlineStr">
        <is>
          <t>Separation [event]; Spinoff [event/narrative</t>
        </is>
      </c>
      <c r="K34" s="16" t="inlineStr">
        <is>
          <t>P/B 2.17 · EV/EBITDA 17.4× · FCF yld 1% · net debt 5% of mcap · rev +4% · op margin 17%</t>
        </is>
      </c>
    </row>
    <row r="35" ht="22" customHeight="1">
      <c r="A35" s="6" t="inlineStr">
        <is>
          <t>APTV</t>
        </is>
      </c>
      <c r="B35" s="14" t="inlineStr">
        <is>
          <t>Aptiv PLC</t>
        </is>
      </c>
      <c r="C35" s="14" t="inlineStr">
        <is>
          <t>P/B 1.09 · 7.8× EBITDA · debt 52% · 52w 4%</t>
        </is>
      </c>
      <c r="D35" s="14" t="n">
        <v>96</v>
      </c>
      <c r="E35" s="14" t="inlineStr">
        <is>
          <t>[2026-08-04] Completed separation of a business | [2026-03-20] [pending] Tender offer (up to $1.70bn (18% of mcap))</t>
        </is>
      </c>
      <c r="F35" s="27" t="n">
        <v>22.6</v>
      </c>
      <c r="G35" s="27" t="n">
        <v>2</v>
      </c>
      <c r="H35" s="27" t="n">
        <v>0.8</v>
      </c>
      <c r="I35" s="35" t="n">
        <v>46</v>
      </c>
      <c r="J35" s="14" t="inlineStr">
        <is>
          <t>Spinoff [event]; Tender Offer [event]</t>
        </is>
      </c>
      <c r="K35" s="14" t="inlineStr">
        <is>
          <t>P/B 1.09 · EV/EBITDA 7.8× · FCF yld 8% · net debt 52% of mcap · rev -5% · op margin 5% · buying back 5%/yr</t>
        </is>
      </c>
    </row>
    <row r="36" ht="22" customHeight="1">
      <c r="A36" s="8" t="inlineStr">
        <is>
          <t>CNDT</t>
        </is>
      </c>
      <c r="B36" s="16" t="inlineStr">
        <is>
          <t>Conduent Incorporated</t>
        </is>
      </c>
      <c r="C36" s="16" t="inlineStr">
        <is>
          <t>P/B 0.38 · 10.6× EBITDA · debt 243% · 52w 28%</t>
        </is>
      </c>
      <c r="D36" s="16" t="n">
        <v>96</v>
      </c>
      <c r="E36" s="16" t="n"/>
      <c r="F36" s="28" t="n">
        <v>22.5</v>
      </c>
      <c r="G36" s="28" t="n">
        <v>1</v>
      </c>
      <c r="H36" s="28" t="n">
        <v>60</v>
      </c>
      <c r="I36" s="36" t="n">
        <v>300</v>
      </c>
      <c r="J36" s="16" t="inlineStr">
        <is>
          <t>Asset Sale [event/narrative]</t>
        </is>
      </c>
      <c r="K36" s="16" t="inlineStr">
        <is>
          <t>P/B 0.38 · EV/EBITDA 10.6× · FCF yld -24% · net debt 243% of mcap · rev -10% · op margin -0% · buying back 4%/yr · interest cover -0.1× ⚠</t>
        </is>
      </c>
    </row>
    <row r="37" ht="22" customHeight="1">
      <c r="A37" s="6" t="inlineStr">
        <is>
          <t>TIPT</t>
        </is>
      </c>
      <c r="B37" s="14" t="inlineStr">
        <is>
          <t>Tiptree Inc.</t>
        </is>
      </c>
      <c r="C37" s="14" t="inlineStr">
        <is>
          <t>P/B 0.72 · P/E 1.7 · 52w 16%</t>
        </is>
      </c>
      <c r="D37" s="14" t="n">
        <v>96</v>
      </c>
      <c r="E37" s="14" t="n"/>
      <c r="F37" s="27" t="n">
        <v>22.3</v>
      </c>
      <c r="G37" s="27" t="n">
        <v>2</v>
      </c>
      <c r="H37" s="27" t="n">
        <v>1.2</v>
      </c>
      <c r="I37" s="35" t="n">
        <v>36</v>
      </c>
      <c r="J37" s="14" t="inlineStr">
        <is>
          <t>Asset Sale [event]; Sale Of Company [event]</t>
        </is>
      </c>
      <c r="K37" s="14" t="inlineStr">
        <is>
          <t>P/B 0.72 · P/E 1.7 · ROE 68% · div yld 1.4% · buying back 3%/yr (financial: book/earnings basis)</t>
        </is>
      </c>
    </row>
    <row r="38" ht="22" customHeight="1">
      <c r="A38" s="8" t="inlineStr">
        <is>
          <t>SOLV</t>
        </is>
      </c>
      <c r="B38" s="16" t="inlineStr">
        <is>
          <t>Solventum Corporation</t>
        </is>
      </c>
      <c r="C38" s="16" t="inlineStr">
        <is>
          <t>P/B 3.22 · 7.8× EBITDA · debt 32% · 52w 84%</t>
        </is>
      </c>
      <c r="D38" s="16" t="n">
        <v>96</v>
      </c>
      <c r="E38" s="16" t="n"/>
      <c r="F38" s="28" t="n">
        <v>22.1</v>
      </c>
      <c r="G38" s="28" t="n">
        <v>2</v>
      </c>
      <c r="H38" s="28" t="n">
        <v>1.1</v>
      </c>
      <c r="I38" s="36" t="n">
        <v>96</v>
      </c>
      <c r="J38" s="16" t="inlineStr">
        <is>
          <t>Separation [event]; Strategic Review [event/</t>
        </is>
      </c>
      <c r="K38" s="16" t="inlineStr">
        <is>
          <t>P/B 3.22 · EV/EBITDA 7.8× · FCF yld -1% · net debt 32% of mcap · rev -1% · op margin 25%</t>
        </is>
      </c>
    </row>
    <row r="39" ht="22" customHeight="1">
      <c r="A39" s="6" t="inlineStr">
        <is>
          <t>ADIG</t>
        </is>
      </c>
      <c r="B39" s="14" t="inlineStr">
        <is>
          <t>ADI Global Distributio</t>
        </is>
      </c>
      <c r="C39" s="14" t="inlineStr">
        <is>
          <t>P/B 0.59 · 25.6× EBITDA · debt 49% · 52w 11%</t>
        </is>
      </c>
      <c r="D39" s="14" t="n">
        <v>95</v>
      </c>
      <c r="E39" s="14" t="inlineStr">
        <is>
          <t>[2026-08-04] Separating a business | [2026-08-04] Separating a business</t>
        </is>
      </c>
      <c r="F39" s="27" t="n">
        <v>21.2</v>
      </c>
      <c r="G39" s="27" t="n">
        <v>2</v>
      </c>
      <c r="H39" s="27" t="n">
        <v>4.8</v>
      </c>
      <c r="I39" s="35" t="n">
        <v>108</v>
      </c>
      <c r="J39" s="14" t="inlineStr">
        <is>
          <t>Separation [event]; Spinoff [event]</t>
        </is>
      </c>
      <c r="K39" s="14" t="inlineStr">
        <is>
          <t>P/B 0.59 · EV/EBITDA 25.6× · FCF yld -7% · net debt 49% of mcap · op margin 2% · interest cover 1.4× ⚠</t>
        </is>
      </c>
    </row>
    <row r="40" ht="22" customHeight="1">
      <c r="A40" s="8" t="inlineStr">
        <is>
          <t>PLTK</t>
        </is>
      </c>
      <c r="B40" s="16" t="inlineStr">
        <is>
          <t>Playtika Holding Corp.</t>
        </is>
      </c>
      <c r="C40" s="16" t="inlineStr">
        <is>
          <t>11.4× EBITDA · 52w 7%</t>
        </is>
      </c>
      <c r="D40" s="16" t="n">
        <v>95</v>
      </c>
      <c r="E40" s="16" t="n"/>
      <c r="F40" s="28" t="n">
        <v>21</v>
      </c>
      <c r="G40" s="28" t="n">
        <v>2</v>
      </c>
      <c r="H40" s="28" t="n">
        <v>3</v>
      </c>
      <c r="I40" s="36" t="n">
        <v>300</v>
      </c>
      <c r="J40" s="16" t="inlineStr">
        <is>
          <t>Asset Sale [narrative]; Strategic Review [ev</t>
        </is>
      </c>
      <c r="K40" s="16" t="inlineStr">
        <is>
          <t>EV/EBITDA 11.4× · FCF yld 50% · rev +6% · op margin 1%  [negative equity]</t>
        </is>
      </c>
    </row>
    <row r="41" ht="22" customHeight="1">
      <c r="A41" s="6" t="inlineStr">
        <is>
          <t>ARI</t>
        </is>
      </c>
      <c r="B41" s="14" t="inlineStr">
        <is>
          <t>Apollo Commercial Real</t>
        </is>
      </c>
      <c r="C41" s="14" t="inlineStr">
        <is>
          <t>P/B 0.66 · cash 105% · 52w 1%</t>
        </is>
      </c>
      <c r="D41" s="14" t="n">
        <v>95</v>
      </c>
      <c r="E41" s="14" t="n"/>
      <c r="F41" s="27" t="n">
        <v>20.5</v>
      </c>
      <c r="G41" s="27" t="n">
        <v>2</v>
      </c>
      <c r="H41" s="27" t="n">
        <v>1.9</v>
      </c>
      <c r="I41" s="35" t="n">
        <v>46</v>
      </c>
      <c r="J41" s="14" t="inlineStr">
        <is>
          <t>Asset Sale [event]; Strategic Review [event]</t>
        </is>
      </c>
      <c r="K41" s="14" t="inlineStr">
        <is>
          <t>P/B 0.66 · P/S 3.1 · FCF yld 5% · net cash 105% of mcap · rev -59% · op margin 149% · buying back 5%/yr  [dividend yield &gt;25% (special or bad data)]</t>
        </is>
      </c>
    </row>
    <row r="42" ht="22" customHeight="1">
      <c r="A42" s="8" t="inlineStr">
        <is>
          <t>YHC</t>
        </is>
      </c>
      <c r="B42" s="16" t="inlineStr">
        <is>
          <t>LQR House Inc.</t>
        </is>
      </c>
      <c r="C42" s="16" t="inlineStr">
        <is>
          <t>52w 0%</t>
        </is>
      </c>
      <c r="D42" s="16" t="n">
        <v>95</v>
      </c>
      <c r="E42" s="16" t="n"/>
      <c r="F42" s="28" t="n">
        <v>20</v>
      </c>
      <c r="G42" s="28" t="n">
        <v>2</v>
      </c>
      <c r="H42" s="28" t="n">
        <v>30</v>
      </c>
      <c r="I42" s="36" t="n">
        <v>150</v>
      </c>
      <c r="J42" s="16" t="inlineStr">
        <is>
          <t>Asset Sale [narrative]; Sale Of Company [eve</t>
        </is>
      </c>
      <c r="K42" s="16" t="inlineStr">
        <is>
          <t>P/S 1.4 · rev -50%  [market-cap/share data inconsistent; FCF yield &gt;100% (check)]</t>
        </is>
      </c>
    </row>
    <row r="43" ht="22" customHeight="1">
      <c r="A43" s="6" t="inlineStr">
        <is>
          <t>FDX</t>
        </is>
      </c>
      <c r="B43" s="14" t="inlineStr">
        <is>
          <t>FedEx Corporation</t>
        </is>
      </c>
      <c r="C43" s="14" t="inlineStr">
        <is>
          <t>P/B 2.33 · 9.3× EBITDA · debt 49% · 52w 69%</t>
        </is>
      </c>
      <c r="D43" s="14" t="n">
        <v>95</v>
      </c>
      <c r="E43" s="14" t="inlineStr">
        <is>
          <t>[2026-06-23] Completed separation of FedEx Freight | [2026-05-13] Separating a business</t>
        </is>
      </c>
      <c r="F43" s="27" t="n">
        <v>19.9</v>
      </c>
      <c r="G43" s="27" t="n">
        <v>2</v>
      </c>
      <c r="H43" s="27" t="n">
        <v>0.8</v>
      </c>
      <c r="I43" s="35" t="n">
        <v>62</v>
      </c>
      <c r="J43" s="14" t="inlineStr">
        <is>
          <t>Separation [event]; Spinoff [event]</t>
        </is>
      </c>
      <c r="K43" s="14" t="inlineStr">
        <is>
          <t>P/B 2.33 · EV/EBITDA 9.3× · FCF yld 7% · net debt 49% of mcap · rev +3% · op margin 7%</t>
        </is>
      </c>
    </row>
    <row r="44" ht="22" customHeight="1">
      <c r="A44" s="8" t="inlineStr">
        <is>
          <t>LAB</t>
        </is>
      </c>
      <c r="B44" s="16" t="inlineStr">
        <is>
          <t>Standard BioTools Inc.</t>
        </is>
      </c>
      <c r="C44" s="16" t="inlineStr">
        <is>
          <t>P/B 0.53 · cash 157% · 52w 9%</t>
        </is>
      </c>
      <c r="D44" s="16" t="n">
        <v>95</v>
      </c>
      <c r="E44" s="16" t="n"/>
      <c r="F44" s="28" t="n">
        <v>19.6</v>
      </c>
      <c r="G44" s="28" t="n">
        <v>1</v>
      </c>
      <c r="H44" s="28" t="n">
        <v>37.1</v>
      </c>
      <c r="I44" s="36" t="n">
        <v>186</v>
      </c>
      <c r="J44" s="16" t="inlineStr">
        <is>
          <t>Asset Sale [event/narrative]</t>
        </is>
      </c>
      <c r="K44" s="16" t="inlineStr">
        <is>
          <t>P/B 0.53 · P/S 3.4 · FCF yld -29% · net cash 157% of mcap · rev -37% · op margin -95% · diluting 3%/yr</t>
        </is>
      </c>
    </row>
    <row r="45" ht="22" customHeight="1">
      <c r="A45" s="6" t="inlineStr">
        <is>
          <t>LRHC</t>
        </is>
      </c>
      <c r="B45" s="14" t="inlineStr">
        <is>
          <t>La Rosa Holdings Corp.</t>
        </is>
      </c>
      <c r="C45" s="14" t="inlineStr">
        <is>
          <t>52w 0%</t>
        </is>
      </c>
      <c r="D45" s="14" t="n">
        <v>95</v>
      </c>
      <c r="E45" s="14" t="n"/>
      <c r="F45" s="27" t="n">
        <v>19.5</v>
      </c>
      <c r="G45" s="27" t="n">
        <v>2</v>
      </c>
      <c r="H45" s="27" t="n">
        <v>3</v>
      </c>
      <c r="I45" s="35" t="n">
        <v>300</v>
      </c>
      <c r="J45" s="14" t="inlineStr">
        <is>
          <t>Going Private [event]; Sale Of Company [even</t>
        </is>
      </c>
      <c r="K45" s="14" t="inlineStr">
        <is>
          <t>P/S 0.0 · op margin -19%  [negative equity; FCF yield &gt;100% (check); new entity / merger: history not comparable]</t>
        </is>
      </c>
    </row>
    <row r="46" ht="22" customHeight="1">
      <c r="A46" s="8" t="inlineStr">
        <is>
          <t>HUN</t>
        </is>
      </c>
      <c r="B46" s="16" t="inlineStr">
        <is>
          <t>Huntsman Corporation</t>
        </is>
      </c>
      <c r="C46" s="16" t="inlineStr">
        <is>
          <t>P/B 0.60 · 13.3× EBITDA · debt 133% · 52w 22%</t>
        </is>
      </c>
      <c r="D46" s="16" t="n">
        <v>95</v>
      </c>
      <c r="E46" s="16" t="n"/>
      <c r="F46" s="28" t="n">
        <v>19.5</v>
      </c>
      <c r="G46" s="28" t="n">
        <v>2</v>
      </c>
      <c r="H46" s="28" t="n">
        <v>20.8</v>
      </c>
      <c r="I46" s="36" t="n">
        <v>300</v>
      </c>
      <c r="J46" s="16" t="inlineStr">
        <is>
          <t>Separation [narrative]; Uplisting [event]</t>
        </is>
      </c>
      <c r="K46" s="16" t="inlineStr">
        <is>
          <t>P/B 0.60 · EV/EBITDA 13.3× · FCF yld -1% · net debt 133% of mcap · rev +1% · op margin -0% · interest cover -0.1× ⚠</t>
        </is>
      </c>
    </row>
    <row r="47" ht="22" customHeight="1">
      <c r="A47" s="6" t="inlineStr">
        <is>
          <t>NRG</t>
        </is>
      </c>
      <c r="B47" s="14" t="inlineStr">
        <is>
          <t>NRG Energy, Inc.</t>
        </is>
      </c>
      <c r="C47" s="14" t="inlineStr">
        <is>
          <t>P/B 4.41 · 10.5× EBITDA · debt 109% · 52w 1%</t>
        </is>
      </c>
      <c r="D47" s="14" t="n">
        <v>95</v>
      </c>
      <c r="E47" s="14" t="n"/>
      <c r="F47" s="27" t="n">
        <v>19.5</v>
      </c>
      <c r="G47" s="27" t="n">
        <v>2</v>
      </c>
      <c r="H47" s="27" t="n">
        <v>3.4</v>
      </c>
      <c r="I47" s="35" t="n">
        <v>300</v>
      </c>
      <c r="J47" s="14" t="inlineStr">
        <is>
          <t>Exchange Offer [event]; Tender Offer [event]</t>
        </is>
      </c>
      <c r="K47" s="14" t="inlineStr">
        <is>
          <t>P/B 4.41 · EV/EBITDA 10.5× · FCF yld 2% · net debt 109% of mcap · rev +25% · op margin 5% · diluting 7%/yr · interest cover -15.3× ⚠</t>
        </is>
      </c>
    </row>
    <row r="48" ht="22" customHeight="1">
      <c r="A48" s="8" t="inlineStr">
        <is>
          <t>GLDD</t>
        </is>
      </c>
      <c r="B48" s="16" t="inlineStr">
        <is>
          <t>GLDD</t>
        </is>
      </c>
      <c r="C48" s="16" t="n"/>
      <c r="D48" s="16" t="n">
        <v>94</v>
      </c>
      <c r="E48" s="16" t="n"/>
      <c r="F48" s="28" t="n">
        <v>19</v>
      </c>
      <c r="G48" s="28" t="n">
        <v>2</v>
      </c>
      <c r="H48" s="16" t="inlineStr">
        <is>
          <t>–</t>
        </is>
      </c>
      <c r="I48" s="16" t="inlineStr">
        <is>
          <t>–</t>
        </is>
      </c>
      <c r="J48" s="16" t="inlineStr">
        <is>
          <t>Sale Of Company [event]; Tender Offer [event</t>
        </is>
      </c>
      <c r="K48" s="16" t="n"/>
    </row>
    <row r="49" ht="22" customHeight="1">
      <c r="A49" s="6" t="inlineStr">
        <is>
          <t>GBCS</t>
        </is>
      </c>
      <c r="B49" s="14" t="inlineStr">
        <is>
          <t>GBCS</t>
        </is>
      </c>
      <c r="C49" s="14" t="inlineStr">
        <is>
          <t>P/B 2.22 · 1.4× EBITDA · debt 52% · 52w 99%</t>
        </is>
      </c>
      <c r="D49" s="14" t="n">
        <v>94</v>
      </c>
      <c r="E49" s="14" t="n"/>
      <c r="F49" s="27" t="n">
        <v>19</v>
      </c>
      <c r="G49" s="27" t="n">
        <v>2</v>
      </c>
      <c r="H49" s="14" t="inlineStr">
        <is>
          <t>–</t>
        </is>
      </c>
      <c r="I49" s="14" t="inlineStr">
        <is>
          <t>–</t>
        </is>
      </c>
      <c r="J49" s="14" t="inlineStr">
        <is>
          <t>Sale Of Company [event]; Tender Offer [event</t>
        </is>
      </c>
      <c r="K49" s="14" t="inlineStr">
        <is>
          <t>P/B 2.22 · EV/EBITDA 1.4× · FCF yld -17% · net debt 52% of mcap · rev -21% · op margin -12% · diluting 13%/yr · interest cover -1.9× ⚠</t>
        </is>
      </c>
    </row>
    <row r="50" ht="22" customHeight="1">
      <c r="A50" s="8" t="inlineStr">
        <is>
          <t>KALV</t>
        </is>
      </c>
      <c r="B50" s="16" t="inlineStr">
        <is>
          <t>KalVista Pharmaceutica</t>
        </is>
      </c>
      <c r="C50" s="16" t="inlineStr">
        <is>
          <t>52w 100%</t>
        </is>
      </c>
      <c r="D50" s="16" t="n">
        <v>94</v>
      </c>
      <c r="E50" s="16" t="n"/>
      <c r="F50" s="28" t="n">
        <v>19</v>
      </c>
      <c r="G50" s="28" t="n">
        <v>2</v>
      </c>
      <c r="H50" s="16" t="inlineStr">
        <is>
          <t>–</t>
        </is>
      </c>
      <c r="I50" s="16" t="inlineStr">
        <is>
          <t>–</t>
        </is>
      </c>
      <c r="J50" s="16" t="inlineStr">
        <is>
          <t>Sale Of Company [tender]; Tender Offer [even</t>
        </is>
      </c>
      <c r="K50" s="16" t="inlineStr">
        <is>
          <t>P/S 12.4 · FCF yld -4% · op margin -121% · diluting 15%/yr  [negative equity]</t>
        </is>
      </c>
    </row>
    <row r="51" ht="22" customHeight="1">
      <c r="A51" s="6" t="inlineStr">
        <is>
          <t>CMCO</t>
        </is>
      </c>
      <c r="B51" s="14" t="inlineStr">
        <is>
          <t>Columbus McKinnon Corp</t>
        </is>
      </c>
      <c r="C51" s="14" t="inlineStr">
        <is>
          <t>P/B 0.51 · debt 88% · 52w 36%</t>
        </is>
      </c>
      <c r="D51" s="14" t="n">
        <v>94</v>
      </c>
      <c r="E51" s="14" t="n"/>
      <c r="F51" s="27" t="n">
        <v>18.8</v>
      </c>
      <c r="G51" s="27" t="n">
        <v>2</v>
      </c>
      <c r="H51" s="27" t="n">
        <v>30</v>
      </c>
      <c r="I51" s="35" t="n">
        <v>150</v>
      </c>
      <c r="J51" s="14" t="inlineStr">
        <is>
          <t>Asset Sale [event]; Exchange Offer [event]</t>
        </is>
      </c>
      <c r="K51" s="14" t="inlineStr">
        <is>
          <t>P/B 0.51 · P/S 0.3 · FCF yld -26% · net debt 88% of mcap · rev -2% · op margin -3% · interest cover -0.5× ⚠</t>
        </is>
      </c>
    </row>
    <row r="52" ht="22" customHeight="1">
      <c r="A52" s="8" t="inlineStr">
        <is>
          <t>LTRN</t>
        </is>
      </c>
      <c r="B52" s="16" t="inlineStr">
        <is>
          <t>Lantern Pharma Inc.</t>
        </is>
      </c>
      <c r="C52" s="16" t="inlineStr">
        <is>
          <t>52w 8%</t>
        </is>
      </c>
      <c r="D52" s="16" t="n">
        <v>93</v>
      </c>
      <c r="E52" s="16" t="inlineStr">
        <is>
          <t>[2026-05-15] Separating a business | [2026-05-15] Separating a business</t>
        </is>
      </c>
      <c r="F52" s="28" t="n">
        <v>18</v>
      </c>
      <c r="G52" s="28" t="n">
        <v>2</v>
      </c>
      <c r="H52" s="16" t="inlineStr">
        <is>
          <t>–</t>
        </is>
      </c>
      <c r="I52" s="16" t="inlineStr">
        <is>
          <t>–</t>
        </is>
      </c>
      <c r="J52" s="16" t="inlineStr">
        <is>
          <t>Separation [event]; Spinoff [event]</t>
        </is>
      </c>
      <c r="K52" s="16" t="inlineStr">
        <is>
          <t>P/S 0.0 · FCF yld -80% · op margin 0% · diluting 15%/yr  [negative equity]</t>
        </is>
      </c>
    </row>
    <row r="53" ht="22" customHeight="1">
      <c r="A53" s="6" t="inlineStr">
        <is>
          <t>HONA</t>
        </is>
      </c>
      <c r="B53" s="14" t="inlineStr">
        <is>
          <t>Honeywell Aerospace In</t>
        </is>
      </c>
      <c r="C53" s="14" t="inlineStr">
        <is>
          <t>40.1× EBITDA · 52w 9%</t>
        </is>
      </c>
      <c r="D53" s="14" t="n">
        <v>93</v>
      </c>
      <c r="E53" s="14" t="inlineStr">
        <is>
          <t>[2026-06-15] Separating Aerospace Business | [2026-06-15] Separating Honeywell’s Aerospace Technologies business</t>
        </is>
      </c>
      <c r="F53" s="27" t="n">
        <v>18</v>
      </c>
      <c r="G53" s="27" t="n">
        <v>2</v>
      </c>
      <c r="H53" s="14" t="inlineStr">
        <is>
          <t>–</t>
        </is>
      </c>
      <c r="I53" s="14" t="inlineStr">
        <is>
          <t>–</t>
        </is>
      </c>
      <c r="J53" s="14" t="inlineStr">
        <is>
          <t>Separation [event]; Spinoff [event]</t>
        </is>
      </c>
      <c r="K53" s="14" t="inlineStr">
        <is>
          <t>EV/EBITDA 40.1× · FCF yld 0% · op margin 16%  [negative equity]</t>
        </is>
      </c>
    </row>
    <row r="54" ht="22" customHeight="1">
      <c r="A54" s="8" t="inlineStr">
        <is>
          <t>FDXF</t>
        </is>
      </c>
      <c r="B54" s="16" t="inlineStr">
        <is>
          <t>FedEx Freight Holding</t>
        </is>
      </c>
      <c r="C54" s="16" t="inlineStr">
        <is>
          <t>25.8× EBITDA · 52w 3%</t>
        </is>
      </c>
      <c r="D54" s="16" t="n">
        <v>93</v>
      </c>
      <c r="E54" s="16" t="inlineStr">
        <is>
          <t>[2026-06-01] Completed separation of a business | [2026-05-18] Separating FedEx Freight business</t>
        </is>
      </c>
      <c r="F54" s="28" t="n">
        <v>18</v>
      </c>
      <c r="G54" s="28" t="n">
        <v>2</v>
      </c>
      <c r="H54" s="16" t="inlineStr">
        <is>
          <t>–</t>
        </is>
      </c>
      <c r="I54" s="16" t="inlineStr">
        <is>
          <t>–</t>
        </is>
      </c>
      <c r="J54" s="16" t="inlineStr">
        <is>
          <t>Separation [event]; Spinoff [event]</t>
        </is>
      </c>
      <c r="K54" s="16" t="inlineStr">
        <is>
          <t>EV/EBITDA 25.8× · FCF yld -1% · op margin 6%  [negative equity]</t>
        </is>
      </c>
    </row>
    <row r="55"/>
    <row r="56" ht="28" customHeight="1">
      <c r="A56" s="17" t="inlineStr">
        <is>
          <t>760 names carry a corporate-action re-rate catalyst (92 carry two or more types). Distribution: asset sale 164, sale of company 118, strategic review 116, uplisting 104, buyback auth 86, tender offer 64, going private 52, spinoff 43, capital return 43, exchange offer 33, separation 29, ch11 emergence 16. Sources by hardness: INCENTIVE = the PSU plan pays management to achieve the spin/sale/M&amp;A (skin in the game, hardest); TENDER = a live bid (role TARGET); NARRATIVE = management states the intent in the 10-K/10-Q MD&amp;A. A catalyst named by two independent sources is triangulated (+bonus); two distinct catalyst types is the in-play configuration. Score = catalyst strength x (1 + geometry upside room), so a spin/sale with real re-rate headroom outranks one in an already-fair-valued name (rows with '—' ratio have no value-geometry floor — typically large-caps where the re-rate is a discount-collapse story, not an asset-floor play). Source: rerate_catalysts.py.</t>
        </is>
      </c>
    </row>
  </sheetData>
  <mergeCells count="3">
    <mergeCell ref="A1:J1"/>
    <mergeCell ref="A2:J2"/>
    <mergeCell ref="A56:J56"/>
  </mergeCells>
  <conditionalFormatting sqref="D5:D56">
    <cfRule type="dataBar" priority="1">
      <dataBar showValue="1">
        <cfvo type="num" val="0"/>
        <cfvo type="num" val="100"/>
        <color rgb="009DB9D3"/>
      </dataBar>
    </cfRule>
  </conditionalFormatting>
  <hyperlinks>
    <hyperlink xmlns:r="http://schemas.openxmlformats.org/officeDocument/2006/relationships" ref="A5" r:id="rId1"/>
    <hyperlink xmlns:r="http://schemas.openxmlformats.org/officeDocument/2006/relationships" ref="A6" r:id="rId2"/>
    <hyperlink xmlns:r="http://schemas.openxmlformats.org/officeDocument/2006/relationships" ref="A8" r:id="rId3"/>
    <hyperlink xmlns:r="http://schemas.openxmlformats.org/officeDocument/2006/relationships" ref="A9" r:id="rId4"/>
    <hyperlink xmlns:r="http://schemas.openxmlformats.org/officeDocument/2006/relationships" ref="A10" r:id="rId5"/>
    <hyperlink xmlns:r="http://schemas.openxmlformats.org/officeDocument/2006/relationships" ref="A12" r:id="rId6"/>
    <hyperlink xmlns:r="http://schemas.openxmlformats.org/officeDocument/2006/relationships" ref="A14" r:id="rId7"/>
    <hyperlink xmlns:r="http://schemas.openxmlformats.org/officeDocument/2006/relationships" ref="A16" r:id="rId8"/>
    <hyperlink xmlns:r="http://schemas.openxmlformats.org/officeDocument/2006/relationships" ref="A17" r:id="rId9"/>
    <hyperlink xmlns:r="http://schemas.openxmlformats.org/officeDocument/2006/relationships" ref="A20" r:id="rId10"/>
    <hyperlink xmlns:r="http://schemas.openxmlformats.org/officeDocument/2006/relationships" ref="A21" r:id="rId11"/>
    <hyperlink xmlns:r="http://schemas.openxmlformats.org/officeDocument/2006/relationships" ref="A24" r:id="rId12"/>
    <hyperlink xmlns:r="http://schemas.openxmlformats.org/officeDocument/2006/relationships" ref="A27" r:id="rId13"/>
    <hyperlink xmlns:r="http://schemas.openxmlformats.org/officeDocument/2006/relationships" ref="A28" r:id="rId14"/>
    <hyperlink xmlns:r="http://schemas.openxmlformats.org/officeDocument/2006/relationships" ref="A31" r:id="rId15"/>
    <hyperlink xmlns:r="http://schemas.openxmlformats.org/officeDocument/2006/relationships" ref="A35" r:id="rId16"/>
    <hyperlink xmlns:r="http://schemas.openxmlformats.org/officeDocument/2006/relationships" ref="A36" r:id="rId17"/>
    <hyperlink xmlns:r="http://schemas.openxmlformats.org/officeDocument/2006/relationships" ref="A41" r:id="rId18"/>
    <hyperlink xmlns:r="http://schemas.openxmlformats.org/officeDocument/2006/relationships" ref="A44" r:id="rId19"/>
  </hyperlinks>
  <printOptions horizontalCentered="0"/>
  <pageMargins left="0.5" right="0.5" top="0.6" bottom="0.6" header="0.5" footer="0.5"/>
  <pageSetup orientation="landscape" fitToHeight="0" fitToWidth="1"/>
</worksheet>
</file>

<file path=xl/worksheets/sheet12.xml><?xml version="1.0" encoding="utf-8"?>
<worksheet xmlns="http://schemas.openxmlformats.org/spreadsheetml/2006/main">
  <sheetPr>
    <tabColor rgb="002E75B6"/>
    <outlinePr summaryBelow="1" summaryRight="1"/>
    <pageSetUpPr/>
  </sheetPr>
  <dimension ref="A1:Q61"/>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9" customWidth="1" min="1" max="1"/>
    <col width="22" customWidth="1" min="2" max="2"/>
    <col width="30" customWidth="1" min="3" max="3"/>
    <col width="11" customWidth="1" min="4" max="4"/>
    <col width="16" customWidth="1" min="5" max="5"/>
    <col width="11" customWidth="1" min="6" max="6"/>
    <col width="60" customWidth="1" min="7" max="7"/>
    <col width="10" customWidth="1" min="8" max="8"/>
    <col width="7" customWidth="1" min="9" max="9"/>
    <col width="26" customWidth="1" min="10" max="10"/>
    <col width="30" customWidth="1" min="11" max="11"/>
    <col width="18" customWidth="1" min="12" max="12"/>
    <col width="20" customWidth="1" min="13" max="13"/>
    <col width="10" customWidth="1" min="14" max="14"/>
    <col width="90" customWidth="1" min="15" max="15"/>
    <col width="12" customWidth="1" min="16" max="16"/>
    <col width="62" customWidth="1" min="17" max="17"/>
  </cols>
  <sheetData>
    <row r="1">
      <c r="A1" s="1" t="inlineStr">
        <is>
          <t>Event Detail</t>
        </is>
      </c>
    </row>
    <row r="2" ht="44" customHeight="1">
      <c r="A2" s="18" t="inlineStr">
        <is>
          <t>What exactly is happening in every dated corporate-action and governance event behind the thesis tabs: the 8-K on the event date and its press release are read, and the specifics extracted -- what is being sold / spun / tendered, to or by whom, for how much (and as % of market cap), when it closes, advisers, board seats. Status: ANNOUNCED / PENDING / COMPLETED. The verbatim excerpt is the filing's own words. Source: event_detail.py (edgar_doc).</t>
        </is>
      </c>
      <c r="B2" s="19" t="n"/>
      <c r="C2" s="19" t="n"/>
      <c r="D2" s="19" t="n"/>
      <c r="E2" s="19" t="n"/>
      <c r="F2" s="19" t="n"/>
      <c r="G2" s="19" t="n"/>
      <c r="H2" s="19" t="n"/>
      <c r="I2" s="19" t="n"/>
      <c r="J2" s="19" t="n"/>
      <c r="K2" s="19" t="n"/>
    </row>
    <row r="3"/>
    <row r="4" ht="18" customHeight="1">
      <c r="A4" s="12" t="inlineStr">
        <is>
          <t>Ticker</t>
        </is>
      </c>
      <c r="B4" s="12" t="inlineStr">
        <is>
          <t>Name</t>
        </is>
      </c>
      <c r="C4" s="12" t="inlineStr">
        <is>
          <t>Key numbers (FMP)</t>
        </is>
      </c>
      <c r="D4" s="12" t="inlineStr">
        <is>
          <t>Date</t>
        </is>
      </c>
      <c r="E4" s="12" t="inlineStr">
        <is>
          <t>Event</t>
        </is>
      </c>
      <c r="F4" s="12" t="inlineStr">
        <is>
          <t>Status</t>
        </is>
      </c>
      <c r="G4" s="12" t="inlineStr">
        <is>
          <t>What is happening</t>
        </is>
      </c>
      <c r="H4" s="12" t="inlineStr">
        <is>
          <t>Amount</t>
        </is>
      </c>
      <c r="I4" s="12" t="inlineStr">
        <is>
          <t>% mcap</t>
        </is>
      </c>
      <c r="J4" s="12" t="inlineStr">
        <is>
          <t>Counterparty / person</t>
        </is>
      </c>
      <c r="K4" s="12" t="inlineStr">
        <is>
          <t>Asset / business</t>
        </is>
      </c>
      <c r="L4" s="12" t="inlineStr">
        <is>
          <t>Timing</t>
        </is>
      </c>
      <c r="M4" s="12" t="inlineStr">
        <is>
          <t>Adviser</t>
        </is>
      </c>
      <c r="N4" s="12" t="inlineStr">
        <is>
          <t>Since event (vs SPY)</t>
        </is>
      </c>
      <c r="O4" s="12" t="inlineStr">
        <is>
          <t>Filing excerpt (verbatim)</t>
        </is>
      </c>
      <c r="P4" s="12" t="inlineStr">
        <is>
          <t>Filing</t>
        </is>
      </c>
      <c r="Q4" s="12" t="inlineStr">
        <is>
          <t>FMP financial read</t>
        </is>
      </c>
    </row>
    <row r="5" ht="45" customHeight="1">
      <c r="A5" s="6" t="inlineStr">
        <is>
          <t>PPLI</t>
        </is>
      </c>
      <c r="B5" s="14" t="inlineStr">
        <is>
          <t>People Incorporated</t>
        </is>
      </c>
      <c r="C5" s="14" t="inlineStr">
        <is>
          <t>P/B 0.53 · debt 11% · 52w 37%</t>
        </is>
      </c>
      <c r="D5" s="14" t="inlineStr">
        <is>
          <t>2026-09-11</t>
        </is>
      </c>
      <c r="E5" s="14" t="inlineStr">
        <is>
          <t>Spinoff</t>
        </is>
      </c>
      <c r="F5" s="21" t="inlineStr">
        <is>
          <t>COMPLETED</t>
        </is>
      </c>
      <c r="G5" s="22" t="inlineStr">
        <is>
          <t>Completed separation of Angi Inc</t>
        </is>
      </c>
      <c r="H5" s="14" t="inlineStr"/>
      <c r="I5" s="14" t="inlineStr"/>
      <c r="J5" s="14" t="inlineStr"/>
      <c r="K5" s="14" t="inlineStr">
        <is>
          <t>Angi Inc</t>
        </is>
      </c>
      <c r="L5" s="14" t="inlineStr"/>
      <c r="M5" s="14" t="inlineStr"/>
      <c r="N5" s="14" t="inlineStr"/>
      <c r="O5" s="22" t="inlineStr">
        <is>
          <t>Distribution On March 31, 2025, the Company completed the spin-off of Angi Inc. (“Angi”) by means of a special dividend (the “Distribution”) of all shares of Angi capital stock held by the Company to holders of its common stock and Class B common stock. Following the Distribution, the Company no longer owns any shares of Angi’s capital stock and Angi became an independent public company.</t>
        </is>
      </c>
      <c r="P5" s="31" t="inlineStr">
        <is>
          <t>open filing</t>
        </is>
      </c>
      <c r="Q5" s="14" t="inlineStr">
        <is>
          <t>P/B 0.53 · P/S 1.3 · FCF yld 3% · net debt 11% of mcap · rev -25% · op margin 1% · buying back 8%/yr · interest cover 0.2× ⚠</t>
        </is>
      </c>
    </row>
    <row r="6" ht="45" customHeight="1">
      <c r="A6" s="8" t="inlineStr">
        <is>
          <t>PPLI</t>
        </is>
      </c>
      <c r="B6" s="16" t="inlineStr">
        <is>
          <t>People Incorporated</t>
        </is>
      </c>
      <c r="C6" s="16" t="inlineStr">
        <is>
          <t>P/B 0.53 · debt 11% · 52w 37%</t>
        </is>
      </c>
      <c r="D6" s="16" t="inlineStr">
        <is>
          <t>2026-09-11</t>
        </is>
      </c>
      <c r="E6" s="16" t="inlineStr">
        <is>
          <t>Capital Return</t>
        </is>
      </c>
      <c r="F6" s="23" t="inlineStr">
        <is>
          <t>ANNOUNCED</t>
        </is>
      </c>
      <c r="G6" s="24" t="inlineStr">
        <is>
          <t>[announced] Special dividend of $0.00/sh</t>
        </is>
      </c>
      <c r="H6" s="16" t="inlineStr"/>
      <c r="I6" s="16" t="inlineStr"/>
      <c r="J6" s="16" t="inlineStr"/>
      <c r="K6" s="16" t="inlineStr"/>
      <c r="L6" s="16" t="inlineStr"/>
      <c r="M6" s="16" t="inlineStr"/>
      <c r="N6" s="16" t="inlineStr"/>
      <c r="O6" s="24" t="inlineStr">
        <is>
          <t>Equity Transactions related to the Angi Distribution 68 PEOPLE INCORPORATED AND SUBSIDIARIES NOTES TO CONSOLIDATED FINANCIAL STATEMENTS (Continued) On March 7, 2025, the Company's board of directors approved the spin-off of Angi and declared a special dividend of all of the shares of Angi capital stock held by the Company to the holders of People Incorporated common stock, par value $ 0.0001 per share and People Incorporated Class B common stock, par value $ 0.0001 per share (collectively referred to herein as “People Incorporated Stock”). The dividend was paid March 31, 2025, through the distribution of shares of Angi Class A common stock, par value $ 0.001 per share to the holders of record of People Incorporated Stock as of the close of business on March 25, 2025, on a pro rata basis. Based on the number of shares of People Incorporated Stock issued and outstanding and the number of shares of Angi capital stock owned by the Company as of March 25, 2025 and adjusted for the one-for-ten reverse stock split of the Angi Class A common stock that occurred on March 24, 2025, approximately 0.5251 shares of Angi Class A common stock were distributed in respect of each share of People Incorporated Stock held by People Incorporated stockholders.</t>
        </is>
      </c>
      <c r="P6" s="32" t="inlineStr">
        <is>
          <t>open filing</t>
        </is>
      </c>
      <c r="Q6" s="16" t="inlineStr">
        <is>
          <t>P/B 0.53 · P/S 1.3 · FCF yld 3% · net debt 11% of mcap · rev -25% · op margin 1% · buying back 8%/yr · interest cover 0.2× ⚠</t>
        </is>
      </c>
    </row>
    <row r="7" ht="45" customHeight="1">
      <c r="A7" s="6" t="inlineStr">
        <is>
          <t>GPC</t>
        </is>
      </c>
      <c r="B7" s="14" t="inlineStr">
        <is>
          <t>Genuine Parts Company</t>
        </is>
      </c>
      <c r="C7" s="14" t="inlineStr">
        <is>
          <t>P/B 3.94 · 32.4× EBITDA · debt 34% · 52w 63%</t>
        </is>
      </c>
      <c r="D7" s="14" t="inlineStr">
        <is>
          <t>2026-09-09</t>
        </is>
      </c>
      <c r="E7" s="14" t="inlineStr">
        <is>
          <t>Separation</t>
        </is>
      </c>
      <c r="F7" s="21" t="inlineStr">
        <is>
          <t>COMPLETED</t>
        </is>
      </c>
      <c r="G7" s="22" t="inlineStr">
        <is>
          <t>Completed separation of Global Automotive and Global Industrial businesses (into two companies)</t>
        </is>
      </c>
      <c r="H7" s="14" t="inlineStr"/>
      <c r="I7" s="14" t="inlineStr"/>
      <c r="J7" s="14" t="inlineStr"/>
      <c r="K7" s="14" t="inlineStr">
        <is>
          <t>Global Automotive and Global Industrial businesses (into two companies)</t>
        </is>
      </c>
      <c r="L7" s="14" t="inlineStr"/>
      <c r="M7" s="14" t="inlineStr"/>
      <c r="N7" s="14" t="inlineStr"/>
      <c r="O7" s="22" t="inlineStr">
        <is>
          <t>Carruthers to assume the role of Chief Executive Officer of the Company, effective as of the consummation of the Company’s planned separation (the “Separation”) of its Global Automotive and Global Industrial businesses into two independent, publicly traded companies (the “Closing”). Will Stengel will continue to serve as Chairman and Chief Executive Officer of the Company until the Closing. Mr.</t>
        </is>
      </c>
      <c r="P7" s="31" t="inlineStr">
        <is>
          <t>open filing</t>
        </is>
      </c>
      <c r="Q7" s="14" t="inlineStr">
        <is>
          <t>P/B 3.94 · EV/EBITDA 32.4× · FCF yld 4% · net debt 34% of mcap · rev +5% · op margin 4%</t>
        </is>
      </c>
    </row>
    <row r="8" ht="45" customHeight="1">
      <c r="A8" s="8" t="inlineStr">
        <is>
          <t>HCTI</t>
        </is>
      </c>
      <c r="B8" s="16" t="inlineStr">
        <is>
          <t>Healthcare Triangle, Inc</t>
        </is>
      </c>
      <c r="C8" s="16" t="inlineStr">
        <is>
          <t>52w 0%</t>
        </is>
      </c>
      <c r="D8" s="16" t="inlineStr">
        <is>
          <t>2026-09-08</t>
        </is>
      </c>
      <c r="E8" s="16" t="inlineStr">
        <is>
          <t>Spinoff</t>
        </is>
      </c>
      <c r="F8" s="23" t="inlineStr">
        <is>
          <t>ANNOUNCED</t>
        </is>
      </c>
      <c r="G8" s="24" t="inlineStr">
        <is>
          <t>Separating a business</t>
        </is>
      </c>
      <c r="H8" s="16" t="inlineStr"/>
      <c r="I8" s="16" t="inlineStr"/>
      <c r="J8" s="16" t="inlineStr"/>
      <c r="K8" s="16" t="inlineStr"/>
      <c r="L8" s="16" t="inlineStr"/>
      <c r="M8" s="16" t="inlineStr"/>
      <c r="N8" s="16" t="inlineStr"/>
      <c r="O8" s="24" t="inlineStr">
        <is>
          <t>(“HCTI” or the “Company”), a Delaware corporation, entered into (i) a Separation and Distribution Agreement (the “Separation Agreement”) and (ii) a Transition Services Agreement (the “Services Agreement” and, together with the Separation Agreement, the “Transaction Agreements”) with Teyame AI Holdings, Inc. (“Teyame”), a Delaware corporation and direct, wholly-owned subsidiary of the Company, in connection with the planned separation and spin-off of Teyame from the Company (the “Spin-Off”). Prior to the date of the Separation Agreement, HCTI formed Teyame as a wholly-owned subsidiary incorporated under the laws of the State of Delaware for the purpose of acquiring and holding Teyamé 360, S.L. and Datono Mediación S.L.</t>
        </is>
      </c>
      <c r="P8" s="32" t="inlineStr">
        <is>
          <t>open filing</t>
        </is>
      </c>
      <c r="Q8" s="16" t="inlineStr">
        <is>
          <t>P/S 0.0 · rev +116% · op margin -57%  [market-cap/share data inconsistent; FCF yield &gt;100% (check)]</t>
        </is>
      </c>
    </row>
    <row r="9" ht="45" customHeight="1">
      <c r="A9" s="6" t="inlineStr">
        <is>
          <t>HCTI</t>
        </is>
      </c>
      <c r="B9" s="14" t="inlineStr">
        <is>
          <t>Healthcare Triangle, Inc</t>
        </is>
      </c>
      <c r="C9" s="14" t="inlineStr">
        <is>
          <t>52w 0%</t>
        </is>
      </c>
      <c r="D9" s="14" t="inlineStr">
        <is>
          <t>2026-09-08</t>
        </is>
      </c>
      <c r="E9" s="14" t="inlineStr">
        <is>
          <t>Separation</t>
        </is>
      </c>
      <c r="F9" s="25" t="inlineStr">
        <is>
          <t>ANNOUNCED</t>
        </is>
      </c>
      <c r="G9" s="22" t="inlineStr">
        <is>
          <t>Separating a business</t>
        </is>
      </c>
      <c r="H9" s="14" t="inlineStr"/>
      <c r="I9" s="14" t="inlineStr"/>
      <c r="J9" s="14" t="inlineStr"/>
      <c r="K9" s="14" t="inlineStr"/>
      <c r="L9" s="14" t="inlineStr"/>
      <c r="M9" s="14" t="inlineStr"/>
      <c r="N9" s="14" t="inlineStr"/>
      <c r="O9" s="22" t="inlineStr">
        <is>
          <t>(“Teyame”), a Delaware corporation and direct, wholly-owned subsidiary of the Company, in connection with the planned separation and spin-off of Teyame from the Company (the “Spin-Off”). Prior to the date of the Separation Agreement, HCTI formed Teyame as a wholly-owned subsidiary incorporated under the laws of the State of Delaware for the purpose of acquiring and holding Teyamé 360, S.L. and Datono Mediación S.L. (each incorporated in Spain, and collectively, the “Acquired Companies”) pursuant to a Share Purchase Agreement dated January 22, 2026 (the “SPA”).</t>
        </is>
      </c>
      <c r="P9" s="31" t="inlineStr">
        <is>
          <t>open filing</t>
        </is>
      </c>
      <c r="Q9" s="14" t="inlineStr">
        <is>
          <t>P/S 0.0 · rev +116% · op margin -57%  [market-cap/share data inconsistent; FCF yield &gt;100% (check)]</t>
        </is>
      </c>
    </row>
    <row r="10" ht="45" customHeight="1">
      <c r="A10" s="8" t="inlineStr">
        <is>
          <t>HCTI</t>
        </is>
      </c>
      <c r="B10" s="16" t="inlineStr">
        <is>
          <t>Healthcare Triangle, Inc</t>
        </is>
      </c>
      <c r="C10" s="16" t="inlineStr">
        <is>
          <t>52w 0%</t>
        </is>
      </c>
      <c r="D10" s="16" t="inlineStr">
        <is>
          <t>2026-09-08</t>
        </is>
      </c>
      <c r="E10" s="16" t="inlineStr">
        <is>
          <t>Uplisting</t>
        </is>
      </c>
      <c r="F10" s="26" t="inlineStr">
        <is>
          <t>PENDING</t>
        </is>
      </c>
      <c r="G10" s="24" t="inlineStr">
        <is>
          <t>[pending] Uplisting</t>
        </is>
      </c>
      <c r="H10" s="16" t="inlineStr"/>
      <c r="I10" s="16" t="inlineStr"/>
      <c r="J10" s="16" t="inlineStr"/>
      <c r="K10" s="16" t="inlineStr"/>
      <c r="L10" s="16" t="inlineStr"/>
      <c r="M10" s="16" t="inlineStr"/>
      <c r="N10" s="16" t="inlineStr"/>
      <c r="O10" s="24" t="inlineStr">
        <is>
          <t xml:space="preserve">Securities and Exchange Commission (the “SEC”) shall have become effective under the Securities Exchange Act of 1934, as amended (the “Exchange Act”), and no stop order suspending the effectiveness of the Registration Statement shall be in effect and no proceedings for such purpose shall be pending before or threatened by the SEC; ● | the Teyame Common Stock shall have been approved for listing on The Nasdaq Stock Market LLC (“Nasdaq”), subject to official notice of issuance; and ● | no order, injunction, or decree issued by any court of competent jurisdiction or other legal restraint or prohibition preventing the consummation of the Distribution shall be in effect. 1 No Transfers of Assets or Liabilities The Separation Agreement provides that, other than pursuant to the Distribution and the Transaction Agreements, the transactions contemplated by the Separation Agreement do not include the contribution, assignment, transfer, conveyance, or delivery of any assets of HCTI to Teyame, or vice versa. No assets or liabilities of HCTI are being transferred to Teyame except as expressly provided in the Transaction Agreements. Registration Statement on Form 10 The Separation Agreement provides that Teyame and HCTI shall cooperate to prepare, and Teyame shall file with the SEC, a Registration Statement on Form 10 (the “Registration Statement”) in connection with the registration of the </t>
        </is>
      </c>
      <c r="P10" s="32" t="inlineStr">
        <is>
          <t>open filing</t>
        </is>
      </c>
      <c r="Q10" s="16" t="inlineStr">
        <is>
          <t>P/S 0.0 · rev +116% · op margin -57%  [market-cap/share data inconsistent; FCF yield &gt;100% (check)]</t>
        </is>
      </c>
    </row>
    <row r="11" ht="45" customHeight="1">
      <c r="A11" s="6" t="inlineStr">
        <is>
          <t>CTVA</t>
        </is>
      </c>
      <c r="B11" s="14" t="inlineStr">
        <is>
          <t>Corteva, Inc.</t>
        </is>
      </c>
      <c r="C11" s="14" t="inlineStr">
        <is>
          <t>P/B 2.17 · 17.4× EBITDA · debt 5% · 52w 69%</t>
        </is>
      </c>
      <c r="D11" s="14" t="inlineStr">
        <is>
          <t>2026-08-31</t>
        </is>
      </c>
      <c r="E11" s="14" t="inlineStr">
        <is>
          <t>Spinoff</t>
        </is>
      </c>
      <c r="F11" s="25" t="inlineStr">
        <is>
          <t>ANNOUNCED</t>
        </is>
      </c>
      <c r="G11" s="22" t="inlineStr">
        <is>
          <t>Separating crop protection business / seed business</t>
        </is>
      </c>
      <c r="H11" s="14" t="inlineStr">
        <is>
          <t>$1,100M</t>
        </is>
      </c>
      <c r="I11" s="14" t="inlineStr">
        <is>
          <t>2%</t>
        </is>
      </c>
      <c r="J11" s="14" t="inlineStr"/>
      <c r="K11" s="14" t="inlineStr">
        <is>
          <t>crop protection business / seed business</t>
        </is>
      </c>
      <c r="L11" s="14" t="inlineStr"/>
      <c r="M11" s="14" t="inlineStr"/>
      <c r="N11" s="14" t="inlineStr"/>
      <c r="O11" s="22" t="inlineStr">
        <is>
          <t>(the “Company” or “Corteva”) announced that its Board of Directors is pursuing a plan to separate Corteva into two independent, publicly traded companies, one comprising its current crop protection business and the other comprising its current seed business to be owned and conducted, directly or indirectly, by Vylor Inc., a Delaware corporation and a wholly owned subsidiary of the Company (“Vylor”) (the “Separation”). In connection with the Separation, Vylor issued $1,100,000,000 aggregate principal amount of senior notes in a private offering, consisting of $550,000,000 aggregate principal amount of Senior Notes due 2031 (the “2031 notes”) and $550,000,000 aggregate principal amount of Senior Notes due 2036 (the “2036 notes” and, together with the 2031 notes, the “new notes” and such offering the “Notes Offering”). The 2031 notes bear interest at a rate of 5.125% per year and mature on August 15, 2031.</t>
        </is>
      </c>
      <c r="P11" s="31" t="inlineStr">
        <is>
          <t>open filing</t>
        </is>
      </c>
      <c r="Q11" s="14" t="inlineStr">
        <is>
          <t>P/B 2.17 · EV/EBITDA 17.4× · FCF yld 1% · net debt 5% of mcap · rev +4% · op margin 17%</t>
        </is>
      </c>
    </row>
    <row r="12" ht="45" customHeight="1">
      <c r="A12" s="8" t="inlineStr">
        <is>
          <t>CTVA</t>
        </is>
      </c>
      <c r="B12" s="16" t="inlineStr">
        <is>
          <t>Corteva, Inc.</t>
        </is>
      </c>
      <c r="C12" s="16" t="inlineStr">
        <is>
          <t>P/B 2.17 · 17.4× EBITDA · debt 5% · 52w 69%</t>
        </is>
      </c>
      <c r="D12" s="16" t="inlineStr">
        <is>
          <t>2026-08-31</t>
        </is>
      </c>
      <c r="E12" s="16" t="inlineStr">
        <is>
          <t>Separation</t>
        </is>
      </c>
      <c r="F12" s="23" t="inlineStr">
        <is>
          <t>ANNOUNCED</t>
        </is>
      </c>
      <c r="G12" s="24" t="inlineStr">
        <is>
          <t>Separating crop protection business / seed business</t>
        </is>
      </c>
      <c r="H12" s="16" t="inlineStr">
        <is>
          <t>$1,100M</t>
        </is>
      </c>
      <c r="I12" s="16" t="inlineStr">
        <is>
          <t>2%</t>
        </is>
      </c>
      <c r="J12" s="16" t="inlineStr"/>
      <c r="K12" s="16" t="inlineStr">
        <is>
          <t>crop protection business / seed business</t>
        </is>
      </c>
      <c r="L12" s="16" t="inlineStr"/>
      <c r="M12" s="16" t="inlineStr"/>
      <c r="N12" s="16" t="inlineStr"/>
      <c r="O12" s="24" t="inlineStr">
        <is>
          <t>(the “Company” or “Corteva”) announced that its Board of Directors is pursuing a plan to separate Corteva into two independent, publicly traded companies, one comprising its current crop protection business and the other comprising its current seed business to be owned and conducted, directly or indirectly, by Vylor Inc., a Delaware corporation and a wholly owned subsidiary of the Company (“Vylor”) (the “Separation”). In connection with the Separation, Vylor issued $1,100,000,000 aggregate principal amount of senior notes in a private offering, consisting of $550,000,000 aggregate principal amount of Senior Notes due 2031 (the “2031 notes”) and $550,000,000 aggregate principal amount of Senior Notes due 2036 (the “2036 notes” and, together with the 2031 notes, the “new notes” and such offering the “Notes Offering”). The 2031 notes bear interest at a rate of 5.125% per year and mature on August 15, 2031.</t>
        </is>
      </c>
      <c r="P12" s="32" t="inlineStr">
        <is>
          <t>open filing</t>
        </is>
      </c>
      <c r="Q12" s="16" t="inlineStr">
        <is>
          <t>P/B 2.17 · EV/EBITDA 17.4× · FCF yld 1% · net debt 5% of mcap · rev +4% · op margin 17%</t>
        </is>
      </c>
    </row>
    <row r="13" ht="45" customHeight="1">
      <c r="A13" s="6" t="inlineStr">
        <is>
          <t>REZI</t>
        </is>
      </c>
      <c r="B13" s="14" t="inlineStr">
        <is>
          <t>Resideo Technologies, In</t>
        </is>
      </c>
      <c r="C13" s="14" t="inlineStr">
        <is>
          <t>P/B 0.95 · 7.1× EBITDA · debt 114% · 52w 5%</t>
        </is>
      </c>
      <c r="D13" s="14" t="inlineStr">
        <is>
          <t>2026-08-12</t>
        </is>
      </c>
      <c r="E13" s="14" t="inlineStr">
        <is>
          <t>Spinoff</t>
        </is>
      </c>
      <c r="F13" s="21" t="inlineStr">
        <is>
          <t>COMPLETED</t>
        </is>
      </c>
      <c r="G13" s="22" t="inlineStr">
        <is>
          <t>Completed separation of a business</t>
        </is>
      </c>
      <c r="H13" s="14" t="inlineStr"/>
      <c r="I13" s="14" t="inlineStr"/>
      <c r="J13" s="14" t="inlineStr"/>
      <c r="K13" s="14" t="inlineStr"/>
      <c r="L13" s="14" t="inlineStr"/>
      <c r="M13" s="14" t="inlineStr"/>
      <c r="N13" s="14" t="inlineStr"/>
      <c r="O13" s="22" t="inlineStr">
        <is>
          <t>ADI Global Distribution Spin-Off On August 3, 2026 (the “Distribution Date”), Resideo completed the separation (the “ADI Spin-Off” or the “Separation”) of its former ADI Global Distribution segment by distributing to Resideo common shareholders on a pro rata basis all of the issued and outstanding common stock of ADI Global Distribution Inc. (“ADIG”). To effect the Separation, Resideo distributed to its common stockholders one share of ADIG common stock for every two shares of Resideo’s common stock outstanding and held as of July 20, 2026, the record date for the distribution.</t>
        </is>
      </c>
      <c r="P13" s="31" t="inlineStr">
        <is>
          <t>open filing</t>
        </is>
      </c>
      <c r="Q13" s="14" t="inlineStr">
        <is>
          <t>P/B 0.95 · EV/EBITDA 7.1× · FCF yld -49% · net debt 114% of mcap · rev +3% · op margin 8% · diluting 3%/yr</t>
        </is>
      </c>
    </row>
    <row r="14" ht="45" customHeight="1">
      <c r="A14" s="8" t="inlineStr">
        <is>
          <t>BDX</t>
        </is>
      </c>
      <c r="B14" s="16" t="inlineStr">
        <is>
          <t>Becton, Dickinson and Co</t>
        </is>
      </c>
      <c r="C14" s="16" t="inlineStr">
        <is>
          <t>P/B 2.07 · 17.0× EBITDA · debt 32% · 52w 85%</t>
        </is>
      </c>
      <c r="D14" s="16" t="inlineStr">
        <is>
          <t>2026-08-06</t>
        </is>
      </c>
      <c r="E14" s="16" t="inlineStr">
        <is>
          <t>Spinoff</t>
        </is>
      </c>
      <c r="F14" s="37" t="inlineStr">
        <is>
          <t>COMPLETED</t>
        </is>
      </c>
      <c r="G14" s="24" t="inlineStr">
        <is>
          <t>Completed separation of Biosciences</t>
        </is>
      </c>
      <c r="H14" s="16" t="inlineStr"/>
      <c r="I14" s="16" t="inlineStr"/>
      <c r="J14" s="16" t="inlineStr"/>
      <c r="K14" s="16" t="inlineStr">
        <is>
          <t>Biosciences</t>
        </is>
      </c>
      <c r="L14" s="16" t="inlineStr"/>
      <c r="M14" s="16" t="inlineStr"/>
      <c r="N14" s="16" t="inlineStr"/>
      <c r="O14" s="24" t="inlineStr">
        <is>
          <t>Page 1 Basis of Presentation— Continuing Operations On February 9, 2026, the company completed the spin-off of BD's former Biosciences and Diagnostic Solutions business and the combination of the business with Waters Corporation ("Waters"). The historical results of the former Biosciences and Diagnostic Solutions business, which was previously the Life Sciences segment, are reflected as discontinued operations for all periods presented. Financial information presented in this release reflects BD's results on a continuing operations basis.</t>
        </is>
      </c>
      <c r="P14" s="32" t="inlineStr">
        <is>
          <t>open filing</t>
        </is>
      </c>
      <c r="Q14" s="16" t="inlineStr">
        <is>
          <t>P/B 2.07 · EV/EBITDA 17.0× · FCF yld 5% · net debt 32% of mcap · rev +2% · op margin 10% · buying back 3%/yr</t>
        </is>
      </c>
    </row>
    <row r="15" ht="45" customHeight="1">
      <c r="A15" s="6" t="inlineStr">
        <is>
          <t>SNDK</t>
        </is>
      </c>
      <c r="B15" s="14" t="inlineStr">
        <is>
          <t>Sandisk Corporation</t>
        </is>
      </c>
      <c r="C15" s="14" t="inlineStr">
        <is>
          <t>P/B 19.69 · 20.2× EBITDA · cash 1% · 52w 77%</t>
        </is>
      </c>
      <c r="D15" s="14" t="inlineStr">
        <is>
          <t>2026-08-05</t>
        </is>
      </c>
      <c r="E15" s="14" t="inlineStr">
        <is>
          <t>Spinoff</t>
        </is>
      </c>
      <c r="F15" s="21" t="inlineStr">
        <is>
          <t>COMPLETED</t>
        </is>
      </c>
      <c r="G15" s="22" t="inlineStr">
        <is>
          <t>Completed separation of a business</t>
        </is>
      </c>
      <c r="H15" s="14" t="inlineStr"/>
      <c r="I15" s="14" t="inlineStr"/>
      <c r="J15" s="14" t="inlineStr"/>
      <c r="K15" s="14" t="inlineStr"/>
      <c r="L15" s="14" t="inlineStr"/>
      <c r="M15" s="14" t="inlineStr"/>
      <c r="N15" s="14" t="inlineStr"/>
      <c r="O15" s="22" t="inlineStr">
        <is>
          <t>On October 30, 2023, Western Digital Corporation (“WDC”) announced that its board of directors (the “WDC Board of Directors”) authorized management to pursue a plan to separate the Company into an independent public company. The separation received final approval by the WDC Board of Directors and was completed on February 21, 2025. Prior to February 21, 2025, the Company was wholly owned by WDC.</t>
        </is>
      </c>
      <c r="P15" s="31" t="inlineStr">
        <is>
          <t>open filing</t>
        </is>
      </c>
      <c r="Q15" s="14" t="inlineStr">
        <is>
          <t>P/B 19.69 · EV/EBITDA 20.2× · FCF yld 4% · net cash 1% of mcap · rev +24% · op margin 61% · diluting 8%/yr</t>
        </is>
      </c>
    </row>
    <row r="16" ht="45" customHeight="1">
      <c r="A16" s="8" t="inlineStr">
        <is>
          <t>ADIG</t>
        </is>
      </c>
      <c r="B16" s="16" t="inlineStr">
        <is>
          <t xml:space="preserve">ADI Global Distribution </t>
        </is>
      </c>
      <c r="C16" s="16" t="inlineStr">
        <is>
          <t>P/B 0.59 · 25.6× EBITDA · debt 49% · 52w 11%</t>
        </is>
      </c>
      <c r="D16" s="16" t="inlineStr">
        <is>
          <t>2026-08-04</t>
        </is>
      </c>
      <c r="E16" s="16" t="inlineStr">
        <is>
          <t>Spinoff</t>
        </is>
      </c>
      <c r="F16" s="23" t="inlineStr">
        <is>
          <t>ANNOUNCED</t>
        </is>
      </c>
      <c r="G16" s="24" t="inlineStr">
        <is>
          <t>Separating a business</t>
        </is>
      </c>
      <c r="H16" s="16" t="inlineStr"/>
      <c r="I16" s="16" t="inlineStr"/>
      <c r="J16" s="16" t="inlineStr"/>
      <c r="K16" s="16" t="inlineStr"/>
      <c r="L16" s="16" t="inlineStr"/>
      <c r="M16" s="16" t="inlineStr"/>
      <c r="N16" s="16" t="inlineStr"/>
      <c r="O16" s="24" t="inlineStr">
        <is>
          <t>(“ADI” or the “Company”) entered into a Separation and Distribution Agreement by and between ADI and Resideo Technologies, Inc. (“Resideo”), pursuant to which, among other things, Resideo and ADI agreed to undertake certain actions in order to transfer or contribute the ADI Global Distribution business to ADI or its subsidiaries (the “Separation”) and distribute all of the outstanding common stock of ADI to Resideo common stockholders as of the close of business on the record date, July 20, 2026 (the “Distribution”). In connection with the Separation and the Distribution, on July 31, 2026, ADI entered into several agreements with Resideo that govern the relationship of the parties following the Separation and Distribution, including an Employee Matters Agreement, a Tax Matters Agreement, a Transition Services Agreement and an Intellectual Property Matters Agreement.</t>
        </is>
      </c>
      <c r="P16" s="32" t="inlineStr">
        <is>
          <t>open filing</t>
        </is>
      </c>
      <c r="Q16" s="16" t="inlineStr">
        <is>
          <t>P/B 0.59 · EV/EBITDA 25.6× · FCF yld -7% · net debt 49% of mcap · op margin 2% · interest cover 1.4× ⚠</t>
        </is>
      </c>
    </row>
    <row r="17" ht="45" customHeight="1">
      <c r="A17" s="6" t="inlineStr">
        <is>
          <t>ADIG</t>
        </is>
      </c>
      <c r="B17" s="14" t="inlineStr">
        <is>
          <t xml:space="preserve">ADI Global Distribution </t>
        </is>
      </c>
      <c r="C17" s="14" t="inlineStr">
        <is>
          <t>P/B 0.59 · 25.6× EBITDA · debt 49% · 52w 11%</t>
        </is>
      </c>
      <c r="D17" s="14" t="inlineStr">
        <is>
          <t>2026-08-04</t>
        </is>
      </c>
      <c r="E17" s="14" t="inlineStr">
        <is>
          <t>Separation</t>
        </is>
      </c>
      <c r="F17" s="25" t="inlineStr">
        <is>
          <t>ANNOUNCED</t>
        </is>
      </c>
      <c r="G17" s="22" t="inlineStr">
        <is>
          <t>Separating a business</t>
        </is>
      </c>
      <c r="H17" s="14" t="inlineStr"/>
      <c r="I17" s="14" t="inlineStr"/>
      <c r="J17" s="14" t="inlineStr"/>
      <c r="K17" s="14" t="inlineStr"/>
      <c r="L17" s="14" t="inlineStr"/>
      <c r="M17" s="14" t="inlineStr"/>
      <c r="N17" s="14" t="inlineStr"/>
      <c r="O17" s="22" t="inlineStr">
        <is>
          <t>(“ADI” or the “Company”) entered into a Separation and Distribution Agreement by and between ADI and Resideo Technologies, Inc. (“Resideo”), pursuant to which, among other things, Resideo and ADI agreed to undertake certain actions in order to transfer or contribute the ADI Global Distribution business to ADI or its subsidiaries (the “Separation”) and distribute all of the outstanding common stock of ADI to Resideo common stockholders as of the close of business on the record date, July 20, 2026 (the “Distribution”). In connection with the Separation and the Distribution, on July 31, 2026, ADI entered into several agreements with Resideo that govern the relationship of the parties following the Separation and Distribution, including an Employee Matters Agreement, a Tax Matters Agreement, a Transition Services Agreement and an Intellectual Property Matters Agreement.</t>
        </is>
      </c>
      <c r="P17" s="31" t="inlineStr">
        <is>
          <t>open filing</t>
        </is>
      </c>
      <c r="Q17" s="14" t="inlineStr">
        <is>
          <t>P/B 0.59 · EV/EBITDA 25.6× · FCF yld -7% · net debt 49% of mcap · op margin 2% · interest cover 1.4× ⚠</t>
        </is>
      </c>
    </row>
    <row r="18" ht="45" customHeight="1">
      <c r="A18" s="8" t="inlineStr">
        <is>
          <t>APTV</t>
        </is>
      </c>
      <c r="B18" s="16" t="inlineStr">
        <is>
          <t>Aptiv PLC</t>
        </is>
      </c>
      <c r="C18" s="16" t="inlineStr">
        <is>
          <t>P/B 1.09 · 7.8× EBITDA · debt 52% · 52w 4%</t>
        </is>
      </c>
      <c r="D18" s="16" t="inlineStr">
        <is>
          <t>2026-08-04</t>
        </is>
      </c>
      <c r="E18" s="16" t="inlineStr">
        <is>
          <t>Spinoff</t>
        </is>
      </c>
      <c r="F18" s="37" t="inlineStr">
        <is>
          <t>COMPLETED</t>
        </is>
      </c>
      <c r="G18" s="24" t="inlineStr">
        <is>
          <t>Completed separation of a business</t>
        </is>
      </c>
      <c r="H18" s="16" t="inlineStr">
        <is>
          <t>$6,300M</t>
        </is>
      </c>
      <c r="I18" s="16" t="inlineStr">
        <is>
          <t>66%</t>
        </is>
      </c>
      <c r="J18" s="16" t="inlineStr"/>
      <c r="K18" s="16" t="inlineStr"/>
      <c r="L18" s="16" t="inlineStr"/>
      <c r="M18" s="16" t="inlineStr"/>
      <c r="N18" s="16" t="inlineStr"/>
      <c r="O18" s="24" t="inlineStr">
        <is>
          <t>GAAP diluted earnings per share from continuing operations of $1.40 ◦ Adjusted net income per share of $1.63 • Completed the spin-off of Electrical Distribution Systems segment ◦ Electrical Distribution Systems segment classified as discontinued operations for all periods presented ◦ Received cash dividend of $1.9 billion in connection with the spin-off Year-to-Date Financial Highlights Include : • U.S. GAAP revenue of $6.3 billion, an increase of 2% ◦ Adjusted revenue growth of 1% • U.S. GAAP net income from continuing operations of $427 million • Adjusted EBITDA of $1,106 million • U.S.</t>
        </is>
      </c>
      <c r="P18" s="32" t="inlineStr">
        <is>
          <t>open filing</t>
        </is>
      </c>
      <c r="Q18" s="16" t="inlineStr">
        <is>
          <t>P/B 1.09 · EV/EBITDA 7.8× · FCF yld 8% · net debt 52% of mcap · rev -5% · op margin 5% · buying back 5%/yr</t>
        </is>
      </c>
    </row>
    <row r="19" ht="45" customHeight="1">
      <c r="A19" s="6" t="inlineStr">
        <is>
          <t>ETN</t>
        </is>
      </c>
      <c r="B19" s="14" t="inlineStr">
        <is>
          <t>Eaton Corporation plc</t>
        </is>
      </c>
      <c r="C19" s="14" t="inlineStr">
        <is>
          <t>P/B 8.44 · 29.5× EBITDA · debt 12% · 52w 77%</t>
        </is>
      </c>
      <c r="D19" s="14" t="inlineStr">
        <is>
          <t>2026-07-31</t>
        </is>
      </c>
      <c r="E19" s="14" t="inlineStr">
        <is>
          <t>Spinoff</t>
        </is>
      </c>
      <c r="F19" s="21" t="inlineStr">
        <is>
          <t>COMPLETED</t>
        </is>
      </c>
      <c r="G19" s="22" t="inlineStr">
        <is>
          <t>Completed separation of Mobility business</t>
        </is>
      </c>
      <c r="H19" s="14" t="inlineStr"/>
      <c r="I19" s="14" t="inlineStr"/>
      <c r="J19" s="14" t="inlineStr"/>
      <c r="K19" s="14" t="inlineStr">
        <is>
          <t>Mobility business</t>
        </is>
      </c>
      <c r="L19" s="14" t="inlineStr"/>
      <c r="M19" s="14" t="inlineStr"/>
      <c r="N19" s="14" t="inlineStr"/>
      <c r="O19" s="22" t="inlineStr">
        <is>
          <t>In the event the Transaction is not consummated, Eaton intends to separate its Mobility business segment in a spin-off. Note 4. ACQUISITION AND DIVESTITURE CHARGES Eaton incurs integration charges and transaction costs to acquire and integrate businesses, and transaction, separation and other costs to divest and exit businesses.</t>
        </is>
      </c>
      <c r="P19" s="31" t="inlineStr">
        <is>
          <t>open filing</t>
        </is>
      </c>
      <c r="Q19" s="14" t="inlineStr">
        <is>
          <t>P/B 8.44 · EV/EBITDA 29.5× · FCF yld 3% · net debt 12% of mcap · rev +16% · op margin 18%</t>
        </is>
      </c>
    </row>
    <row r="20" ht="45" customHeight="1">
      <c r="A20" s="8" t="inlineStr">
        <is>
          <t>ETN</t>
        </is>
      </c>
      <c r="B20" s="16" t="inlineStr">
        <is>
          <t>Eaton Corporation plc</t>
        </is>
      </c>
      <c r="C20" s="16" t="inlineStr">
        <is>
          <t>P/B 8.44 · 29.5× EBITDA · debt 12% · 52w 77%</t>
        </is>
      </c>
      <c r="D20" s="16" t="inlineStr">
        <is>
          <t>2026-07-31</t>
        </is>
      </c>
      <c r="E20" s="16" t="inlineStr">
        <is>
          <t>Separation</t>
        </is>
      </c>
      <c r="F20" s="23" t="inlineStr">
        <is>
          <t>ANNOUNCED</t>
        </is>
      </c>
      <c r="G20" s="24" t="inlineStr">
        <is>
          <t>Separating Mobility business</t>
        </is>
      </c>
      <c r="H20" s="16" t="inlineStr"/>
      <c r="I20" s="16" t="inlineStr"/>
      <c r="J20" s="16" t="inlineStr"/>
      <c r="K20" s="16" t="inlineStr">
        <is>
          <t>Mobility business</t>
        </is>
      </c>
      <c r="L20" s="16" t="inlineStr"/>
      <c r="M20" s="16" t="inlineStr"/>
      <c r="N20" s="16" t="inlineStr"/>
      <c r="O20" s="24" t="inlineStr">
        <is>
          <t>Planned Separation of Mobility Business On January 26, 2026, Eaton announced its intention to separate its Mobility business segment from the rest of Eaton via a spin-off. On June 10, 2026, Eaton entered into definitive agreements with Dana Incorporated (Dana), whereby Eaton will separate the Mobility business and combine it with Dana in a Reverse Morris Trust (RMT) transaction (the separation and merger with and into Dana described below collectively referred to as the Transaction). As part of the Transaction, Eaton will distribute the Mobility business (other than certain assets and liabilities that will be sold directly to Dana in a concurrent asset sale) to Eaton shareholders through an exchange offer (split-off), in which Eaton shareholders will have the opportunity to tender their Eaton shares in exchange for shares of Mobility (USA) Corporation, a wholly owned subsidiary of Eaton (SpinCo), followed, if necessary, by a clean-up pro rata distribution.</t>
        </is>
      </c>
      <c r="P20" s="32" t="inlineStr">
        <is>
          <t>open filing</t>
        </is>
      </c>
      <c r="Q20" s="16" t="inlineStr">
        <is>
          <t>P/B 8.44 · EV/EBITDA 29.5× · FCF yld 3% · net debt 12% of mcap · rev +16% · op margin 18%</t>
        </is>
      </c>
    </row>
    <row r="21" ht="45" customHeight="1">
      <c r="A21" s="6" t="inlineStr">
        <is>
          <t>ADPT</t>
        </is>
      </c>
      <c r="B21" s="14" t="inlineStr">
        <is>
          <t>Adaptive Biotechnologies</t>
        </is>
      </c>
      <c r="C21" s="14" t="inlineStr">
        <is>
          <t>P/B 31.35 · debt 1% · 52w 95%</t>
        </is>
      </c>
      <c r="D21" s="14" t="inlineStr">
        <is>
          <t>2026-07-29</t>
        </is>
      </c>
      <c r="E21" s="14" t="inlineStr">
        <is>
          <t>Spinoff</t>
        </is>
      </c>
      <c r="F21" s="21" t="inlineStr">
        <is>
          <t>COMPLETED</t>
        </is>
      </c>
      <c r="G21" s="22" t="inlineStr">
        <is>
          <t>Completed separation of Immune Medicine business</t>
        </is>
      </c>
      <c r="H21" s="14" t="inlineStr">
        <is>
          <t>$345M</t>
        </is>
      </c>
      <c r="I21" s="14" t="inlineStr">
        <is>
          <t>8%</t>
        </is>
      </c>
      <c r="J21" s="14" t="inlineStr"/>
      <c r="K21" s="14" t="inlineStr">
        <is>
          <t>Immune Medicine business</t>
        </is>
      </c>
      <c r="L21" s="14" t="inlineStr"/>
      <c r="M21" s="14" t="inlineStr"/>
      <c r="N21" s="14" t="inlineStr"/>
      <c r="O21" s="22" t="inlineStr">
        <is>
          <t>“The combination of our operating performance, fortified balance sheet and plan to separate the Immune Medicine business enhances our ability to create long-term value for our shareholders.” Recent Highlights • Revenue for the second quarter of 2026 was $71.6 million. The MRD business, which contributed 92% of revenue, grew 33% versus the second quarter of 2025. • clonoSEQ ® test volume in the second quarter of 2026 increased 43% to 36,111 tests delivered versus the second quarter of 2025. • Completed a $345 million zero-coupon convertible senior notes offering, repaid the OrbiMed Purchase Agreement, and increased financial flexibility to support strategic priorities. • The company announced plans to pursue a separation of its MRD and Immune Medicine businesses. • Harlan Robins is transitioning roles at Adaptive from Chief Scientific Officer to a strategic consultant focused on key MRD R&amp;D initiatives and the separation of the Immune Medicine business. • Raising full year 2026 MRD revenue guidance to a new range of $268 million to $278 million, implying annual growth of 26% to 31%. Second Quarter 2026 Financial Results Revenue was $71.6 million for the quarter ended June 30, 2026, representing a 22% increase from the second quarter in the prior year.</t>
        </is>
      </c>
      <c r="P21" s="31" t="inlineStr">
        <is>
          <t>open filing</t>
        </is>
      </c>
      <c r="Q21" s="14" t="inlineStr">
        <is>
          <t>P/B 31.35 · P/S 14.4 · FCF yld -1% · net debt 1% of mcap · rev +50% · op margin -12% · diluting 4%/yr</t>
        </is>
      </c>
    </row>
    <row r="22" ht="45" customHeight="1">
      <c r="A22" s="8" t="inlineStr">
        <is>
          <t>BLCO</t>
        </is>
      </c>
      <c r="B22" s="16" t="inlineStr">
        <is>
          <t>Bausch + Lomb Corporatio</t>
        </is>
      </c>
      <c r="C22" s="16" t="inlineStr">
        <is>
          <t>P/B 0.96 · 14.6× EBITDA · debt 78% · 52w 66%</t>
        </is>
      </c>
      <c r="D22" s="16" t="inlineStr">
        <is>
          <t>2026-07-29</t>
        </is>
      </c>
      <c r="E22" s="16" t="inlineStr">
        <is>
          <t>Spinoff</t>
        </is>
      </c>
      <c r="F22" s="23" t="inlineStr">
        <is>
          <t>ANNOUNCED</t>
        </is>
      </c>
      <c r="G22" s="24" t="inlineStr">
        <is>
          <t>Separating a business</t>
        </is>
      </c>
      <c r="H22" s="16" t="inlineStr"/>
      <c r="I22" s="16" t="inlineStr"/>
      <c r="J22" s="16" t="inlineStr"/>
      <c r="K22" s="16" t="inlineStr"/>
      <c r="L22" s="16" t="inlineStr"/>
      <c r="M22" s="16" t="inlineStr"/>
      <c r="N22" s="16" t="inlineStr"/>
      <c r="O22" s="24" t="inlineStr">
        <is>
          <t>Additionally, with the completion of the Bausch + Lomb IPO, as the company prepares for post-separation operations, the company is launching certain transformation initiatives that will result in certain changes to and 8 | Page investment in its organizational structure and operations. These transformation initiatives arise outside of the ordinary course of continuing operations and, as is the case with the company’s restructuring efforts, costs associated with these transformation initiatives are expected to fluctuate between periods in amount, size and timing. These out-of-the-ordinary-course charges include third-party advisory costs, as well as certain compensation-related costs.</t>
        </is>
      </c>
      <c r="P22" s="32" t="inlineStr">
        <is>
          <t>open filing</t>
        </is>
      </c>
      <c r="Q22" s="16" t="inlineStr">
        <is>
          <t>P/B 0.96 · EV/EBITDA 14.6× · FCF yld 2% · net debt 78% of mcap · rev +9% · op margin 7% · interest cover 1.0× ⚠</t>
        </is>
      </c>
    </row>
    <row r="23" ht="45" customHeight="1">
      <c r="A23" s="6" t="inlineStr">
        <is>
          <t>BHC</t>
        </is>
      </c>
      <c r="B23" s="14" t="inlineStr">
        <is>
          <t xml:space="preserve">Bausch Health Companies </t>
        </is>
      </c>
      <c r="C23" s="14" t="inlineStr">
        <is>
          <t>10.3× EBITDA · 52w 39%</t>
        </is>
      </c>
      <c r="D23" s="14" t="inlineStr">
        <is>
          <t>2026-07-29</t>
        </is>
      </c>
      <c r="E23" s="14" t="inlineStr">
        <is>
          <t>Spinoff</t>
        </is>
      </c>
      <c r="F23" s="25" t="inlineStr">
        <is>
          <t>ANNOUNCED</t>
        </is>
      </c>
      <c r="G23" s="22" t="inlineStr">
        <is>
          <t>Separating a business</t>
        </is>
      </c>
      <c r="H23" s="14" t="inlineStr"/>
      <c r="I23" s="14" t="inlineStr"/>
      <c r="J23" s="14" t="inlineStr"/>
      <c r="K23" s="14" t="inlineStr"/>
      <c r="L23" s="14" t="inlineStr"/>
      <c r="M23" s="14" t="inlineStr"/>
      <c r="N23" s="14" t="inlineStr"/>
      <c r="O23" s="22" t="inlineStr">
        <is>
          <t>Because deductions (such as restructuring, gain or loss on extinguishment of debt and litigation and other matters) used to calculate projected net income (loss) and payments (such as payments of legal settlements, transformation costs, separation costs and separation-related costs, interest charged against premium, financing fees paid in connection with the debt refinancing transactions and acquired IPR&amp;D expense) used to calculate Adjusted Cash Flows from Operations (non-GAAP) 1 vary dramatically based on actual events, the Company is not able to forecast on a GAAP basis with reasonable certainty all adjustments needed in order to provide a GAAP calculation of projected net income (loss) or cash provided by operating activities at this time. The amount of these adjustments may be material and, therefore, could result in projected GAAP net income (loss) being materially less than projected Adjusted EBITDA (non-GAAP) 1 . These statements represent forward-looking information and may represent a financial outlook, and actual results may vary.</t>
        </is>
      </c>
      <c r="P23" s="31" t="inlineStr">
        <is>
          <t>open filing</t>
        </is>
      </c>
      <c r="Q23" s="14" t="inlineStr">
        <is>
          <t>EV/EBITDA 10.3× · FCF yld 65% · rev +10% · op margin 25%  [negative equity]</t>
        </is>
      </c>
    </row>
    <row r="24" ht="45" customHeight="1">
      <c r="A24" s="8" t="inlineStr">
        <is>
          <t>BHC</t>
        </is>
      </c>
      <c r="B24" s="16" t="inlineStr">
        <is>
          <t xml:space="preserve">Bausch Health Companies </t>
        </is>
      </c>
      <c r="C24" s="16" t="inlineStr">
        <is>
          <t>10.3× EBITDA · 52w 39%</t>
        </is>
      </c>
      <c r="D24" s="16" t="inlineStr">
        <is>
          <t>2026-07-29</t>
        </is>
      </c>
      <c r="E24" s="16" t="inlineStr">
        <is>
          <t>Separation</t>
        </is>
      </c>
      <c r="F24" s="23" t="inlineStr">
        <is>
          <t>ANNOUNCED</t>
        </is>
      </c>
      <c r="G24" s="24" t="inlineStr">
        <is>
          <t>Separating a business</t>
        </is>
      </c>
      <c r="H24" s="16" t="inlineStr"/>
      <c r="I24" s="16" t="inlineStr"/>
      <c r="J24" s="16" t="inlineStr"/>
      <c r="K24" s="16" t="inlineStr"/>
      <c r="L24" s="16" t="inlineStr"/>
      <c r="M24" s="16" t="inlineStr"/>
      <c r="N24" s="16" t="inlineStr"/>
      <c r="O24" s="24" t="inlineStr">
        <is>
          <t>Because deductions (such as restructuring, gain or loss on extinguishment of debt and litigation and other matters) used to calculate projected net income (loss) and payments (such as payments of legal settlements, transformation costs, separation costs and separation-related costs, interest charged against premium, financing fees paid in connection with the debt refinancing transactions and acquired IPR&amp;D expense) used to calculate Adjusted Cash Flows from Operations (non-GAAP) 1 vary dramatically based on actual events, the Company is not able to forecast on a GAAP basis with reasonable certainty all adjustments needed in order to provide a GAAP calculation of projected net income (loss) or cash provided by operating activities at this time. The amount of these adjustments may be material and, therefore, could result in projected GAAP net income (loss) being materially less than projected Adjusted EBITDA (non-GAAP) 1 . These statements represent forward-looking information and may represent a financial outlook, and actual results may vary.</t>
        </is>
      </c>
      <c r="P24" s="32" t="inlineStr">
        <is>
          <t>open filing</t>
        </is>
      </c>
      <c r="Q24" s="16" t="inlineStr">
        <is>
          <t>EV/EBITDA 10.3× · FCF yld 65% · rev +10% · op margin 25%  [negative equity]</t>
        </is>
      </c>
    </row>
    <row r="25" ht="45" customHeight="1">
      <c r="A25" s="6" t="inlineStr">
        <is>
          <t>SPGI</t>
        </is>
      </c>
      <c r="B25" s="14" t="inlineStr">
        <is>
          <t>S&amp;P Global Inc.</t>
        </is>
      </c>
      <c r="C25" s="14" t="inlineStr">
        <is>
          <t>P/B 3.80 · P/E 24.8 · 52w 29%</t>
        </is>
      </c>
      <c r="D25" s="14" t="inlineStr">
        <is>
          <t>2026-07-28</t>
        </is>
      </c>
      <c r="E25" s="14" t="inlineStr">
        <is>
          <t>Spinoff</t>
        </is>
      </c>
      <c r="F25" s="21" t="inlineStr">
        <is>
          <t>COMPLETED</t>
        </is>
      </c>
      <c r="G25" s="22" t="inlineStr">
        <is>
          <t>Completed separation of Mobility division</t>
        </is>
      </c>
      <c r="H25" s="14" t="inlineStr"/>
      <c r="I25" s="14" t="inlineStr"/>
      <c r="J25" s="14" t="inlineStr"/>
      <c r="K25" s="14" t="inlineStr">
        <is>
          <t>Mobility division</t>
        </is>
      </c>
      <c r="L25" s="14" t="inlineStr"/>
      <c r="M25" s="14" t="inlineStr"/>
      <c r="N25" s="14" t="inlineStr"/>
      <c r="O25" s="22" t="inlineStr">
        <is>
          <t>The Company completed the spin-off of its Mobility division, creating an independent public company, Mobility Global (NYSE: MBGL), on July 1, 2026. In a press release dated July 6, 2026, the Company provided pro forma and recast financial results for the four quarters of 2025, full-year 2025, and the first quarter of 2026, which exclude Mobility and reflect updated division composition and expense allocation methodologies. Pro forma revenue below refers to Article 11 pro forma revenue on a consolidated basis; GAAP revenue for Ratings and Indices; and adjusted (as recast) revenue for Energy and Market Intelligence to reflect updated division composition.</t>
        </is>
      </c>
      <c r="P25" s="31" t="inlineStr">
        <is>
          <t>open filing</t>
        </is>
      </c>
      <c r="Q25" s="14" t="inlineStr">
        <is>
          <t>P/B 3.80 · P/E 24.8 · ROE 15% · div yld 1.0% · buying back 3%/yr (financial: book/earnings basis)</t>
        </is>
      </c>
    </row>
    <row r="26" ht="45" customHeight="1">
      <c r="A26" s="8" t="inlineStr">
        <is>
          <t>APLD</t>
        </is>
      </c>
      <c r="B26" s="16" t="inlineStr">
        <is>
          <t>Applied Digital Corp.</t>
        </is>
      </c>
      <c r="C26" s="16" t="inlineStr">
        <is>
          <t>P/B 5.17 · debt 13% · 52w 30%</t>
        </is>
      </c>
      <c r="D26" s="16" t="inlineStr">
        <is>
          <t>2026-07-27</t>
        </is>
      </c>
      <c r="E26" s="16" t="inlineStr">
        <is>
          <t>Spinoff</t>
        </is>
      </c>
      <c r="F26" s="37" t="inlineStr">
        <is>
          <t>COMPLETED</t>
        </is>
      </c>
      <c r="G26" s="24" t="inlineStr">
        <is>
          <t>Completed separation of Cloud Services Business</t>
        </is>
      </c>
      <c r="H26" s="16" t="inlineStr"/>
      <c r="I26" s="16" t="inlineStr"/>
      <c r="J26" s="16" t="inlineStr"/>
      <c r="K26" s="16" t="inlineStr">
        <is>
          <t>Cloud Services Business</t>
        </is>
      </c>
      <c r="L26" s="16" t="inlineStr"/>
      <c r="M26" s="16" t="inlineStr"/>
      <c r="N26" s="16" t="inlineStr"/>
      <c r="O26" s="24" t="inlineStr">
        <is>
          <t>During the quarter, the Company completed the separation of its Cloud Services Business in a series of transactions that resulted in the Company owning approximately 96% of the issued and outstanding equity of ChronoScale Holdings Corporation, f/k/a ChronoScale Corporation ("ChronoScale") as of the end of the fiscal year. ChronoScale, a public company, owns and operates our historic cloud services business and is consolidated into our financial statements, but excluded from the non-GAAP financial measures set forth below. Unless otherwise specified, disclosures in this earnings release, including the below, reflect continuing operations only.</t>
        </is>
      </c>
      <c r="P26" s="32" t="inlineStr">
        <is>
          <t>open filing</t>
        </is>
      </c>
      <c r="Q26" s="16" t="inlineStr">
        <is>
          <t>P/B 5.17 · P/S 13.9 · FCF yld -35% · net debt 13% of mcap · rev +54% · op margin -34% · diluting 32%/yr · interest cover -7.5× ⚠</t>
        </is>
      </c>
    </row>
    <row r="27" ht="45" customHeight="1">
      <c r="A27" s="6" t="inlineStr">
        <is>
          <t>HON</t>
        </is>
      </c>
      <c r="B27" s="14" t="inlineStr">
        <is>
          <t xml:space="preserve">Honeywell International </t>
        </is>
      </c>
      <c r="C27" s="14" t="inlineStr">
        <is>
          <t>P/B 2.66 · 7.4× EBITDA · debt 37% · 52w 25%</t>
        </is>
      </c>
      <c r="D27" s="14" t="inlineStr">
        <is>
          <t>2026-07-23</t>
        </is>
      </c>
      <c r="E27" s="14" t="inlineStr">
        <is>
          <t>Spinoff</t>
        </is>
      </c>
      <c r="F27" s="21" t="inlineStr">
        <is>
          <t>COMPLETED</t>
        </is>
      </c>
      <c r="G27" s="22" t="inlineStr">
        <is>
          <t>Completed separation of a business</t>
        </is>
      </c>
      <c r="H27" s="14" t="inlineStr">
        <is>
          <t>$38,000M</t>
        </is>
      </c>
      <c r="I27" s="14" t="inlineStr">
        <is>
          <t>57%</t>
        </is>
      </c>
      <c r="J27" s="14" t="inlineStr"/>
      <c r="K27" s="14" t="inlineStr"/>
      <c r="L27" s="14" t="inlineStr"/>
      <c r="M27" s="14" t="inlineStr"/>
      <c r="N27" s="14" t="inlineStr"/>
      <c r="O27" s="22" t="inlineStr">
        <is>
          <t>Second Quarter 2026 Consolidated Results (including legacy Aerospace Technologies segment): • Orders up 4% leading to ~$38 billion backlog • Sales of $9.7 billion, reported sales up 4% and organic 1 sales up 4% • Operating margin of 17.9% and segment margin 1 of 23.1% • Earnings per share (EPS) of $17.83, which reflects the impact of a one-time gain on deconsolidation of Quantinuum, and adjusted EPS 1 of $4.52 Second Quarter 2026 Honeywell Technologies Results (excluding Aerospace Technologies): • Orders up 16% leading to ~$20 billion backlog • Sales of $5.2 billion, up 3% reported and up 4% organic 1 • Operating margin of 12.8% and segment margin 1 of 19.0% • EPS of $16.65 and adjusted EPS 1 of $1.95 Management Commentary "The second quarter marked a historic milestone for Honeywell Technologies as we completed the separation of Honeywell Aerospace and began a new era as a leading pure-play automation company. The results we delivered this quarter are the outcome of a year-plus long process to simplify our business, and we are already seeing the benefits of this transformation today. Honeywell Technologies delivered strong organic orders and sales growth, and 100 basis points of segment margin expansion, leading to double digit earnings growth in the second quarter and reinforcing our confidence in the long-term targets that we shared at our recent investor day.</t>
        </is>
      </c>
      <c r="P27" s="31" t="inlineStr">
        <is>
          <t>open filing</t>
        </is>
      </c>
      <c r="Q27" s="14" t="inlineStr">
        <is>
          <t>P/B 2.66 · EV/EBITDA 7.4× · FCF yld 6% · net debt 37% of mcap · rev -10% · op margin 14%</t>
        </is>
      </c>
    </row>
    <row r="28" ht="45" customHeight="1">
      <c r="A28" s="8" t="inlineStr">
        <is>
          <t>SITC</t>
        </is>
      </c>
      <c r="B28" s="16" t="inlineStr">
        <is>
          <t>SITE Centers Corp.</t>
        </is>
      </c>
      <c r="C28" s="16" t="inlineStr">
        <is>
          <t>P/B 0.56 · cash 152% · 52w 3%</t>
        </is>
      </c>
      <c r="D28" s="16" t="inlineStr">
        <is>
          <t>2026-07-01</t>
        </is>
      </c>
      <c r="E28" s="16" t="inlineStr">
        <is>
          <t>Asset Sale</t>
        </is>
      </c>
      <c r="F28" s="37" t="inlineStr">
        <is>
          <t>COMPLETED</t>
        </is>
      </c>
      <c r="G28" s="24" t="inlineStr">
        <is>
          <t>[completed] Selling ground leasehold interest to Pike Long Beach Owner LLC for $50M (32% of mcap)</t>
        </is>
      </c>
      <c r="H28" s="16" t="inlineStr">
        <is>
          <t>$50M</t>
        </is>
      </c>
      <c r="I28" s="16" t="inlineStr">
        <is>
          <t>32%</t>
        </is>
      </c>
      <c r="J28" s="16" t="inlineStr">
        <is>
          <t>Pike Long Beach Owner LLC</t>
        </is>
      </c>
      <c r="K28" s="16" t="inlineStr">
        <is>
          <t>ground leasehold interest</t>
        </is>
      </c>
      <c r="L28" s="16" t="inlineStr"/>
      <c r="M28" s="16" t="inlineStr"/>
      <c r="N28" s="16" t="inlineStr"/>
      <c r="O28" s="24" t="inlineStr">
        <is>
          <t>On June 30, 2026, a subsidiary (the “Seller”) of SITE Centers Corp. completed the sale of its ground leasehold interest and all of its other interests in The Pike Outlets (Long Beach, California) to Pike Long Beach Owner LLC (“Purchaser”) for a price of $50.0 million in cash pursuant to a Purchase Agreement, dated as of May 1, 2026, by and between the Seller and Purchaser. Net proceeds received at closing were approximately $46.5 million. SIGNATURES Pursuant to the requirements of the Securities Exchange Act of 1934, the registrant has duly caused this report to be signed on its behalf by the undersigned hereunto duly authorized.</t>
        </is>
      </c>
      <c r="P28" s="32" t="inlineStr">
        <is>
          <t>open filing</t>
        </is>
      </c>
      <c r="Q28" s="16" t="inlineStr">
        <is>
          <t>P/B 0.56 · P/S 2.2 · FCF yld -14% · net cash 152% of mcap · rev -39% · op margin -32%  [dividend yield &gt;25% (special or bad data)]</t>
        </is>
      </c>
    </row>
    <row r="29" ht="45" customHeight="1">
      <c r="A29" s="6" t="inlineStr">
        <is>
          <t>FDX</t>
        </is>
      </c>
      <c r="B29" s="14" t="inlineStr">
        <is>
          <t>FedEx Corporation</t>
        </is>
      </c>
      <c r="C29" s="14" t="inlineStr">
        <is>
          <t>P/B 2.33 · 9.3× EBITDA · debt 49% · 52w 69%</t>
        </is>
      </c>
      <c r="D29" s="14" t="inlineStr">
        <is>
          <t>2026-06-23</t>
        </is>
      </c>
      <c r="E29" s="14" t="inlineStr">
        <is>
          <t>Spinoff</t>
        </is>
      </c>
      <c r="F29" s="21" t="inlineStr">
        <is>
          <t>COMPLETED</t>
        </is>
      </c>
      <c r="G29" s="22" t="inlineStr">
        <is>
          <t>Completed separation of FedEx Freight</t>
        </is>
      </c>
      <c r="H29" s="14" t="inlineStr">
        <is>
          <t>$4,100M</t>
        </is>
      </c>
      <c r="I29" s="14" t="inlineStr">
        <is>
          <t>6%</t>
        </is>
      </c>
      <c r="J29" s="14" t="inlineStr"/>
      <c r="K29" s="14" t="inlineStr">
        <is>
          <t>FedEx Freight</t>
        </is>
      </c>
      <c r="L29" s="14" t="inlineStr"/>
      <c r="M29" s="14" t="inlineStr"/>
      <c r="N29" s="14" t="inlineStr"/>
      <c r="O29" s="22" t="inlineStr">
        <is>
          <t>Capital spending as a percentage of revenue declined to 4.0%, the lowest annual level in FedEx Corporation history. - more - 2 FedEx Freight Spin-off Completed The spin-off of FedEx Freight into a new publicly traded company was finalized on June 1, 2026. In connection with the spin-off, FedEx Freight paid a cash dividend of approximately $4.1 billion to FedEx Corporation from the proceeds of the $3.7 billion senior notes offering completed in February 2026 and borrowings under its delayed-draw term loan facility. FedEx Freight will host a call to discuss the company's fourth quarter results on June 25, 2026.</t>
        </is>
      </c>
      <c r="P29" s="31" t="inlineStr">
        <is>
          <t>open filing</t>
        </is>
      </c>
      <c r="Q29" s="14" t="inlineStr">
        <is>
          <t>P/B 2.33 · EV/EBITDA 9.3× · FCF yld 7% · net debt 49% of mcap · rev +3% · op margin 7%</t>
        </is>
      </c>
    </row>
    <row r="30" ht="45" customHeight="1">
      <c r="A30" s="8" t="inlineStr">
        <is>
          <t>KDP</t>
        </is>
      </c>
      <c r="B30" s="16" t="inlineStr">
        <is>
          <t>Keurig Dr Pepper Inc.</t>
        </is>
      </c>
      <c r="C30" s="16" t="inlineStr">
        <is>
          <t>P/B 1.73 · 20.9× EBITDA · debt 76% · 52w 77%</t>
        </is>
      </c>
      <c r="D30" s="16" t="inlineStr">
        <is>
          <t>2026-06-23</t>
        </is>
      </c>
      <c r="E30" s="16" t="inlineStr">
        <is>
          <t>Separation</t>
        </is>
      </c>
      <c r="F30" s="26" t="inlineStr">
        <is>
          <t>PENDING</t>
        </is>
      </c>
      <c r="G30" s="24" t="inlineStr">
        <is>
          <t>Separating a business; targeted early 2027</t>
        </is>
      </c>
      <c r="H30" s="16" t="inlineStr"/>
      <c r="I30" s="16" t="inlineStr"/>
      <c r="J30" s="16" t="inlineStr"/>
      <c r="K30" s="16" t="inlineStr"/>
      <c r="L30" s="16" t="inlineStr"/>
      <c r="M30" s="16" t="inlineStr"/>
      <c r="N30" s="16" t="inlineStr"/>
      <c r="O30" s="24" t="inlineStr">
        <is>
          <t>(NASDAQ: KDP) today announced leadership updates as the Company advances preparations for its planned separation into Beverage Co. and Global Coffee Co., which is targeted for early 2027. Rafa Oliveira, head of KDP’s Coffee Operating Unit, has informed the Company of his intention to depart at the end of July for an external Chief Executive Officer opportunity. The KDP Board of Directors has opened a search process for the future CEO of Global Coffee Co.</t>
        </is>
      </c>
      <c r="P30" s="32" t="inlineStr">
        <is>
          <t>open filing</t>
        </is>
      </c>
      <c r="Q30" s="16" t="inlineStr">
        <is>
          <t>P/B 1.73 · EV/EBITDA 20.9× · FCF yld 5% · net debt 76% of mcap · rev +27% · op margin 17%</t>
        </is>
      </c>
    </row>
    <row r="31" ht="45" customHeight="1">
      <c r="A31" s="6" t="inlineStr">
        <is>
          <t>MFP</t>
        </is>
      </c>
      <c r="B31" s="14" t="inlineStr">
        <is>
          <t xml:space="preserve">Midera Food Processing, </t>
        </is>
      </c>
      <c r="C31" s="14" t="inlineStr">
        <is>
          <t>P/B 2.58 · 41.9× EBITDA · debt 11% · 52w 13%</t>
        </is>
      </c>
      <c r="D31" s="14" t="inlineStr">
        <is>
          <t>2026-06-22</t>
        </is>
      </c>
      <c r="E31" s="14" t="inlineStr">
        <is>
          <t>Spinoff</t>
        </is>
      </c>
      <c r="F31" s="25" t="inlineStr">
        <is>
          <t>ANNOUNCED</t>
        </is>
      </c>
      <c r="G31" s="22" t="inlineStr">
        <is>
          <t>Separating Middleby Corporation’s (“Middleby”) food processing business</t>
        </is>
      </c>
      <c r="H31" s="14" t="inlineStr"/>
      <c r="I31" s="14" t="inlineStr"/>
      <c r="J31" s="14" t="inlineStr"/>
      <c r="K31" s="14" t="inlineStr">
        <is>
          <t>Middleby Corporation’s (“Middleby”) food processing business</t>
        </is>
      </c>
      <c r="L31" s="14" t="inlineStr"/>
      <c r="M31" s="14" t="inlineStr"/>
      <c r="N31" s="14" t="inlineStr"/>
      <c r="O31" s="22" t="inlineStr">
        <is>
          <t>Thompson Vice President, General Counsel and Secretary EX-99.1 2 d17861dex991.htm EX-99.1 Exhibit 99.1 Dear The Middleby Corporation Stockholder: In February 2025, we announced our plan to separate The Middleby Corporation’s (“Middleby”) food processing business (the “Food Processing business”) into a standalone public company, resulting in two industry leading technology-driven innovators in their respective markets. This separation will create a heightened strategic focus at each business, with dedicated leadership teams having deep domain expertise. Middleby believes that both the long-term potential and overall valuation of each business segment will be enhanced from this business separation.</t>
        </is>
      </c>
      <c r="P31" s="31" t="inlineStr">
        <is>
          <t>open filing</t>
        </is>
      </c>
      <c r="Q31" s="14" t="inlineStr">
        <is>
          <t>P/B 2.58 · EV/EBITDA 41.9× · FCF yld 2% · net debt 11% of mcap · op margin 9%</t>
        </is>
      </c>
    </row>
    <row r="32" ht="45" customHeight="1">
      <c r="A32" s="8" t="inlineStr">
        <is>
          <t>ADPT</t>
        </is>
      </c>
      <c r="B32" s="16" t="inlineStr">
        <is>
          <t>Adaptive Biotechnologies</t>
        </is>
      </c>
      <c r="C32" s="16" t="inlineStr">
        <is>
          <t>P/B 31.35 · debt 1% · 52w 95%</t>
        </is>
      </c>
      <c r="D32" s="16" t="inlineStr">
        <is>
          <t>2026-06-15</t>
        </is>
      </c>
      <c r="E32" s="16" t="inlineStr">
        <is>
          <t>Separation</t>
        </is>
      </c>
      <c r="F32" s="23" t="inlineStr">
        <is>
          <t>ANNOUNCED</t>
        </is>
      </c>
      <c r="G32" s="24" t="inlineStr">
        <is>
          <t>Separating Immune Medicine business</t>
        </is>
      </c>
      <c r="H32" s="16" t="inlineStr"/>
      <c r="I32" s="16" t="inlineStr"/>
      <c r="J32" s="16" t="inlineStr"/>
      <c r="K32" s="16" t="inlineStr">
        <is>
          <t>Immune Medicine business</t>
        </is>
      </c>
      <c r="L32" s="16" t="inlineStr"/>
      <c r="M32" s="16" t="inlineStr"/>
      <c r="N32" s="16" t="inlineStr"/>
      <c r="O32" s="24" t="inlineStr">
        <is>
          <t>ADAPTIVE INVESTORS Karina Calzadilla, Vice President, Investor Relations and FP&amp;A 201-396-1687 investors@adaptivebiotech.com ADAPTIVE MEDIA Erica Jones, Associate Corporate Communications Director 206-279-2423 media@adaptivebiotech.com EX-99.3 4 d65233dex993.htm EX-99.3 Exhibit 99.3 In connection with its previous announcements regarding the planned separation of its Immune Medicine businesses and the launch of a convertible notes offering, Adaptive Biotechnologies Inc. (“we,” “us” and “our”) is providing this statement. Recent Developments Separation of Immune Medicine Business Since establishing MRD and Immune Medicine as separate operating segments in 2024, both businesses have continued to advance.</t>
        </is>
      </c>
      <c r="P32" s="32" t="inlineStr">
        <is>
          <t>open filing</t>
        </is>
      </c>
      <c r="Q32" s="16" t="inlineStr">
        <is>
          <t>P/B 31.35 · P/S 14.4 · FCF yld -1% · net debt 1% of mcap · rev +50% · op margin -12% · diluting 4%/yr</t>
        </is>
      </c>
    </row>
    <row r="33" ht="45" customHeight="1">
      <c r="A33" s="6" t="inlineStr">
        <is>
          <t>ADPT</t>
        </is>
      </c>
      <c r="B33" s="14" t="inlineStr">
        <is>
          <t>Adaptive Biotechnologies</t>
        </is>
      </c>
      <c r="C33" s="14" t="inlineStr">
        <is>
          <t>P/B 31.35 · debt 1% · 52w 95%</t>
        </is>
      </c>
      <c r="D33" s="14" t="inlineStr">
        <is>
          <t>2026-06-15</t>
        </is>
      </c>
      <c r="E33" s="14" t="inlineStr">
        <is>
          <t>Strategic Review</t>
        </is>
      </c>
      <c r="F33" s="21" t="inlineStr">
        <is>
          <t>COMPLETED</t>
        </is>
      </c>
      <c r="G33" s="22" t="inlineStr">
        <is>
          <t>[completed] Strategic review / committee</t>
        </is>
      </c>
      <c r="H33" s="14" t="inlineStr"/>
      <c r="I33" s="14" t="inlineStr"/>
      <c r="J33" s="14" t="inlineStr"/>
      <c r="K33" s="14" t="inlineStr"/>
      <c r="L33" s="14" t="inlineStr"/>
      <c r="M33" s="14" t="inlineStr"/>
      <c r="N33" s="14" t="inlineStr"/>
      <c r="O33" s="22" t="inlineStr">
        <is>
          <t>“When we completed our strategic review in 2024, we decided to continue developing both MRD and Immune Medicine within Adaptive while increasing their operational independence,” said Chad Robins, Chief Executive Officer and Co-Founder of Adaptive Biotechnologies. “The progress achieved by both businesses has reinforced that decision. As we look ahead, Adaptive will focus on expanding its leadership in MRD diagnostics, while pursuing the optimal path for Immune Medicine outside of Adaptive.</t>
        </is>
      </c>
      <c r="P33" s="31" t="inlineStr">
        <is>
          <t>open filing</t>
        </is>
      </c>
      <c r="Q33" s="14" t="inlineStr">
        <is>
          <t>P/B 31.35 · P/S 14.4 · FCF yld -1% · net debt 1% of mcap · rev +50% · op margin -12% · diluting 4%/yr</t>
        </is>
      </c>
    </row>
    <row r="34" ht="45" customHeight="1">
      <c r="A34" s="8" t="inlineStr">
        <is>
          <t>HONA</t>
        </is>
      </c>
      <c r="B34" s="16" t="inlineStr">
        <is>
          <t>Honeywell Aerospace Inc</t>
        </is>
      </c>
      <c r="C34" s="16" t="inlineStr">
        <is>
          <t>40.1× EBITDA · 52w 9%</t>
        </is>
      </c>
      <c r="D34" s="16" t="inlineStr">
        <is>
          <t>2026-06-15</t>
        </is>
      </c>
      <c r="E34" s="16" t="inlineStr">
        <is>
          <t>Spinoff</t>
        </is>
      </c>
      <c r="F34" s="23" t="inlineStr">
        <is>
          <t>ANNOUNCED</t>
        </is>
      </c>
      <c r="G34" s="24" t="inlineStr">
        <is>
          <t>Separating Aerospace Business</t>
        </is>
      </c>
      <c r="H34" s="16" t="inlineStr">
        <is>
          <t>$16,000M</t>
        </is>
      </c>
      <c r="I34" s="16" t="inlineStr">
        <is>
          <t>31%</t>
        </is>
      </c>
      <c r="J34" s="16" t="inlineStr"/>
      <c r="K34" s="16" t="inlineStr">
        <is>
          <t>Aerospace Business</t>
        </is>
      </c>
      <c r="L34" s="16" t="inlineStr"/>
      <c r="M34" s="16" t="inlineStr"/>
      <c r="N34" s="16" t="inlineStr"/>
      <c r="O34" s="24" t="inlineStr">
        <is>
          <t>As part of the plan to separate the Aerospace Business from the remainder of its businesses, in connection with the internal reorganization, Honeywell plans to transfer the equity 62 interests of certain entities that are expected to operate the Aerospace Business and the assets and liabilities of the Aerospace Business to Aerospace prior to the distribution. On February 6, 2026, Honeywell Aerospace LLC converted into a Delaware corporation and was renamed “Honeywell Aerospace Inc.” As of and for the quarter ended March 28, 2026, Aerospace has engaged in no business activities and it has no material assets or liabilities of any kind, other than those incidental to its formation and those incurred in connection with the separation. In connection with the separation and distribution, Aerospace has issued senior unsecured notes with an aggregate of $16.0 billion principal amount.</t>
        </is>
      </c>
      <c r="P34" s="32" t="inlineStr">
        <is>
          <t>open filing</t>
        </is>
      </c>
      <c r="Q34" s="16" t="inlineStr">
        <is>
          <t>EV/EBITDA 40.1× · FCF yld 0% · op margin 16%  [negative equity]</t>
        </is>
      </c>
    </row>
    <row r="35" ht="45" customHeight="1">
      <c r="A35" s="6" t="inlineStr">
        <is>
          <t>HONA</t>
        </is>
      </c>
      <c r="B35" s="14" t="inlineStr">
        <is>
          <t>Honeywell Aerospace Inc</t>
        </is>
      </c>
      <c r="C35" s="14" t="inlineStr">
        <is>
          <t>40.1× EBITDA · 52w 9%</t>
        </is>
      </c>
      <c r="D35" s="14" t="inlineStr">
        <is>
          <t>2026-06-15</t>
        </is>
      </c>
      <c r="E35" s="14" t="inlineStr">
        <is>
          <t>Separation</t>
        </is>
      </c>
      <c r="F35" s="25" t="inlineStr">
        <is>
          <t>ANNOUNCED</t>
        </is>
      </c>
      <c r="G35" s="22" t="inlineStr">
        <is>
          <t>Separating Honeywell’s Aerospace Technologies business</t>
        </is>
      </c>
      <c r="H35" s="14" t="inlineStr"/>
      <c r="I35" s="14" t="inlineStr"/>
      <c r="J35" s="14" t="inlineStr"/>
      <c r="K35" s="14" t="inlineStr">
        <is>
          <t>Honeywell’s Aerospace Technologies business</t>
        </is>
      </c>
      <c r="L35" s="14" t="inlineStr"/>
      <c r="M35" s="14" t="inlineStr"/>
      <c r="N35" s="14" t="inlineStr"/>
      <c r="O35" s="22" t="inlineStr">
        <is>
          <t>Securities and Exchange Commission (the “ SEC ”) a Registration Statement on Form 10 (as amended, the “ Form 10 ”), in connection with the anticipated spin-off of Honeywell’s Aerospace Technologies business into an independent, publicly traded company (the “ Spin-Off ”). On June 11, 2026, the Form 10 was declared effective by the SEC. The Form 10 includes a preliminary information statement that describes the Spin-Off and provides important information regarding the Company’s business and management.</t>
        </is>
      </c>
      <c r="P35" s="31" t="inlineStr">
        <is>
          <t>open filing</t>
        </is>
      </c>
      <c r="Q35" s="14" t="inlineStr">
        <is>
          <t>EV/EBITDA 40.1× · FCF yld 0% · op margin 16%  [negative equity]</t>
        </is>
      </c>
    </row>
    <row r="36" ht="45" customHeight="1">
      <c r="A36" s="8" t="inlineStr">
        <is>
          <t>KDP</t>
        </is>
      </c>
      <c r="B36" s="16" t="inlineStr">
        <is>
          <t>Keurig Dr Pepper Inc.</t>
        </is>
      </c>
      <c r="C36" s="16" t="inlineStr">
        <is>
          <t>P/B 1.73 · 20.9× EBITDA · debt 76% · 52w 77%</t>
        </is>
      </c>
      <c r="D36" s="16" t="inlineStr">
        <is>
          <t>2026-06-11</t>
        </is>
      </c>
      <c r="E36" s="16" t="inlineStr">
        <is>
          <t>Tender Offer</t>
        </is>
      </c>
      <c r="F36" s="23" t="inlineStr">
        <is>
          <t>ANNOUNCED</t>
        </is>
      </c>
      <c r="G36" s="24" t="inlineStr">
        <is>
          <t>[announced] Tender offer</t>
        </is>
      </c>
      <c r="H36" s="16" t="inlineStr"/>
      <c r="I36" s="16" t="inlineStr"/>
      <c r="J36" s="16" t="inlineStr"/>
      <c r="K36" s="16" t="inlineStr"/>
      <c r="L36" s="16" t="inlineStr"/>
      <c r="M36" s="16" t="inlineStr"/>
      <c r="N36" s="16" t="inlineStr"/>
      <c r="O36" s="24" t="inlineStr">
        <is>
          <t>(“Kodiak BidCo”), commenced a tender offer (the “Offer”) to acquire all of the issued and outstanding ordinary shares of JDE Peet’s (the “Shares”), excluding treasury shares of JDE Peet’s, for €31.85 per share in cash, without interest (the “JDE Peet’s Acquisition”). On March 27, 2026, the Company, Kodiak BidCo, and JDE Peet’s jointly announced that the remaining conditions under the Offer had been satisfied or waived and that Kodiak BidCo had declared the Offer unconditional. In accordance with the terms of the Offer, on April 1, 2026, Kodiak BidCo made a payment of €31.85 per Share and accepted the transfer of all Shares tendered prior to or on March 27, 2026, representing 96.22% of the Shares.</t>
        </is>
      </c>
      <c r="P36" s="32" t="inlineStr">
        <is>
          <t>open filing</t>
        </is>
      </c>
      <c r="Q36" s="16" t="inlineStr">
        <is>
          <t>P/B 1.73 · EV/EBITDA 20.9× · FCF yld 5% · net debt 76% of mcap · rev +27% · op margin 17%</t>
        </is>
      </c>
    </row>
    <row r="37" ht="45" customHeight="1">
      <c r="A37" s="6" t="inlineStr">
        <is>
          <t>DAN</t>
        </is>
      </c>
      <c r="B37" s="14" t="inlineStr">
        <is>
          <t>Dana Incorporated</t>
        </is>
      </c>
      <c r="C37" s="14" t="inlineStr">
        <is>
          <t>P/B 1.96 · 10.0× EBITDA · debt 31% · 52w 57%</t>
        </is>
      </c>
      <c r="D37" s="14" t="inlineStr">
        <is>
          <t>2026-06-11</t>
        </is>
      </c>
      <c r="E37" s="14" t="inlineStr">
        <is>
          <t>Spinoff</t>
        </is>
      </c>
      <c r="F37" s="25" t="inlineStr">
        <is>
          <t>ANNOUNCED</t>
        </is>
      </c>
      <c r="G37" s="22" t="inlineStr">
        <is>
          <t>Separating a business</t>
        </is>
      </c>
      <c r="H37" s="14" t="inlineStr"/>
      <c r="I37" s="14" t="inlineStr"/>
      <c r="J37" s="14" t="inlineStr"/>
      <c r="K37" s="14" t="inlineStr"/>
      <c r="L37" s="14" t="inlineStr"/>
      <c r="M37" s="14" t="inlineStr"/>
      <c r="N37" s="14" t="inlineStr"/>
      <c r="O37" s="22" t="inlineStr">
        <is>
          <t>Important Information About the Transaction and Where to Find It In connection with the proposed transaction, SpinCo may file with the SEC an information statement on Form 10 (“ Form 10 ”) or a registration statement on Form S-1/S-4 (the “ Form S-1/S-4 ”) that constitutes a prospectus with respect to the shares of common stock, par value $0.01 per share, of SpinCo (the “ SpinCo shares ”) to be issued to Eaton shareholders in the proposed exchange offer (the “ prospectus/offer to exchange ”). Eaton may also file with the Securities and Exchange Commission (the “ SEC ”) a tender offer statement (the “ Schedule TO ”) with respect to the offer by Eaton to exchange all SpinCo shares for ordinary shares, par value $0.01 per share, of Eaton that are validly tendered and not properly withdrawn prior to the expiration of the exchange offer (if any). In addition, SpinCo intends to file with the SEC a registration statement on Form S-4 (the “ Form S-4 ”) that will include a proxy statement of Dana and that also constitutes a prospectus of SpinCo with respect to the SpinCo shares to be issued in the proposed merger (the “ proxy statement/prospectus ”).</t>
        </is>
      </c>
      <c r="P37" s="31" t="inlineStr">
        <is>
          <t>open filing</t>
        </is>
      </c>
      <c r="Q37" s="14" t="inlineStr">
        <is>
          <t>P/B 1.96 · EV/EBITDA 10.0× · FCF yld 4% · net debt 31% of mcap · op margin 3% · buying back 24%/yr · interest cover -0.1× ⚠</t>
        </is>
      </c>
    </row>
    <row r="38" ht="45" customHeight="1">
      <c r="A38" s="8" t="inlineStr">
        <is>
          <t>FDXF</t>
        </is>
      </c>
      <c r="B38" s="16" t="inlineStr">
        <is>
          <t>FedEx Freight Holding Co</t>
        </is>
      </c>
      <c r="C38" s="16" t="inlineStr">
        <is>
          <t>25.8× EBITDA · 52w 3%</t>
        </is>
      </c>
      <c r="D38" s="16" t="inlineStr">
        <is>
          <t>2026-06-01</t>
        </is>
      </c>
      <c r="E38" s="16" t="inlineStr">
        <is>
          <t>Spinoff</t>
        </is>
      </c>
      <c r="F38" s="37" t="inlineStr">
        <is>
          <t>COMPLETED</t>
        </is>
      </c>
      <c r="G38" s="24" t="inlineStr">
        <is>
          <t>Completed separation of a business</t>
        </is>
      </c>
      <c r="H38" s="16" t="inlineStr"/>
      <c r="I38" s="16" t="inlineStr"/>
      <c r="J38" s="16" t="inlineStr"/>
      <c r="K38" s="16" t="inlineStr"/>
      <c r="L38" s="16" t="inlineStr"/>
      <c r="M38" s="16" t="inlineStr"/>
      <c r="N38" s="16" t="inlineStr"/>
      <c r="O38" s="24" t="inlineStr">
        <is>
          <t>Effective as of 12:01 a.m., Central Time, on June 1, 2026 (the “Effective Time”), FedEx completed the Spin-Off through the distribution by FedEx of 80.1% of the outstanding shares of FedEx Freight common stock on a pro rata basis to the holders of FedEx common stock. Each FedEx stockholder received one share of FedEx Freight common stock for every two shares of FedEx common stock held of record as of the close of business on May 15, 2026. FedEx’s stockholders will receive cash in lieu of fractional shares. 4 Item 5.02 Departure of Directors or Certain Officers; Election of Directors; Appointment of Certain Officers; Compensatory Arrangements of Certain Officers.</t>
        </is>
      </c>
      <c r="P38" s="32" t="inlineStr">
        <is>
          <t>open filing</t>
        </is>
      </c>
      <c r="Q38" s="16" t="inlineStr">
        <is>
          <t>EV/EBITDA 25.8× · FCF yld -1% · op margin 6%  [negative equity]</t>
        </is>
      </c>
    </row>
    <row r="39" ht="45" customHeight="1">
      <c r="A39" s="6" t="inlineStr">
        <is>
          <t>OCTV</t>
        </is>
      </c>
      <c r="B39" s="14" t="inlineStr">
        <is>
          <t>Octave Intelligence plc</t>
        </is>
      </c>
      <c r="C39" s="14" t="inlineStr">
        <is>
          <t>P/B 1.05 · 15.2× EBITDA · debt 7% · 52w 30%</t>
        </is>
      </c>
      <c r="D39" s="14" t="inlineStr">
        <is>
          <t>2026-05-26</t>
        </is>
      </c>
      <c r="E39" s="14" t="inlineStr">
        <is>
          <t>Spinoff</t>
        </is>
      </c>
      <c r="F39" s="25" t="inlineStr">
        <is>
          <t>ANNOUNCED</t>
        </is>
      </c>
      <c r="G39" s="22" t="inlineStr">
        <is>
          <t>Separating a business</t>
        </is>
      </c>
      <c r="H39" s="14" t="inlineStr"/>
      <c r="I39" s="14" t="inlineStr"/>
      <c r="J39" s="14" t="inlineStr"/>
      <c r="K39" s="14" t="inlineStr"/>
      <c r="L39" s="14" t="inlineStr"/>
      <c r="M39" s="14" t="inlineStr"/>
      <c r="N39" s="14" t="inlineStr"/>
      <c r="O39" s="22" t="inlineStr">
        <is>
          <t xml:space="preserve">In connection with the Distribution, on May 22, 2026, the Company entered into several agreements with Hexagon that set forth the principal actions taken or to be taken in connection with the Distribution and that govern the relationship between the Company and Hexagon (other than the Registration Rights Agreement, which is between the Company and Melker Schörling AB, Hexagon’s and the Company’s significant shareholder) following the Distribution, including the following agreements (collectively, the “Spin Agreements”): • Distribution Agreement; • Tax Disaffiliation Agreement; • Employee Matters Agreement; • Master Transition Services Agreement; and • Registration Rights Agreement. A summary of certain material terms of each of the Spin Agreements can be found in the section entitled “Certain Relationships and Related Person Transactions—Relationship Between Hexagon and Octave After the Distribution” in the Information Statement attached as Exhibit 99.1 to Octave’s Current Report on Form 8-K filed with the Securities and Exchange Commission (“SEC”) on May 12, 2026 (the “Information Statement”), and is incorporated herein by reference. The summary is qualified in its entirety by reference to the Distribution Agreement, the Tax Disaffiliation Agreement, the Employee Matters Agreement, the Master Transition Services Agreement, and the Registration Rights Agreement which are filed </t>
        </is>
      </c>
      <c r="P39" s="31" t="inlineStr">
        <is>
          <t>open filing</t>
        </is>
      </c>
      <c r="Q39" s="14" t="inlineStr">
        <is>
          <t>P/B 1.05 · EV/EBITDA 15.2× · FCF yld 8% · net debt 7% of mcap · op margin 21%</t>
        </is>
      </c>
    </row>
    <row r="40" ht="45" customHeight="1">
      <c r="A40" s="8" t="inlineStr">
        <is>
          <t>SPGI</t>
        </is>
      </c>
      <c r="B40" s="16" t="inlineStr">
        <is>
          <t>S&amp;P Global Inc.</t>
        </is>
      </c>
      <c r="C40" s="16" t="inlineStr">
        <is>
          <t>P/B 3.80 · P/E 24.8 · 52w 29%</t>
        </is>
      </c>
      <c r="D40" s="16" t="inlineStr">
        <is>
          <t>2026-05-21</t>
        </is>
      </c>
      <c r="E40" s="16" t="inlineStr">
        <is>
          <t>Separation</t>
        </is>
      </c>
      <c r="F40" s="23" t="inlineStr">
        <is>
          <t>ANNOUNCED</t>
        </is>
      </c>
      <c r="G40" s="24" t="inlineStr">
        <is>
          <t>Separating a business</t>
        </is>
      </c>
      <c r="H40" s="16" t="inlineStr"/>
      <c r="I40" s="16" t="inlineStr"/>
      <c r="J40" s="16" t="inlineStr"/>
      <c r="K40" s="16" t="inlineStr"/>
      <c r="L40" s="16" t="inlineStr"/>
      <c r="M40" s="16" t="inlineStr"/>
      <c r="N40" s="16" t="inlineStr"/>
      <c r="O40" s="24" t="inlineStr">
        <is>
          <t>Additional information about the planned separation is available at https://investor.spglobal.com. Contacts: S&amp;P Global Investor Relations: Mark Grant Senior Vice President, Investor Relations and Treasurer Tel: +1 (347) 640-1521 mark.grant@spglobal.co m Media: Christina Twomey Chief Communications Officer, S&amp;P Global Tel: +1 (646) 407-3001 christina.twomey@spglobal.com Mobility Global Investor Relations: Tejal Engman Managing Director, Investor Relations ir@mobilityglobal.com Media: mobilitycomms@spglobal.com 2 Forward-Looking Statements This press release contains “forward-looking statements,” as defined in the Private Securities Litigation Reform Act of 1995. These statements, which express management’s current views concerning future events, trends, contingencies or results, appear at various places in this press release and use words like “anticipate,” “assume,” “believe,” “continue,” “estimate,” “expect,” “forecast,” “future,” “intend,” “plan,” “potential,” “predict,” “project,” “strategy,” “target” and similar terms, and future or conditional tense verbs like “could,” “may,” “might,” “should,” “will” and “would.” For example, management may use forward-looking statements when addressing topics such as: the outcome of contingencies; future actions by regulators; changes in the business strategies and methods of generating revenue of S&amp;P Global Inc.</t>
        </is>
      </c>
      <c r="P40" s="32" t="inlineStr">
        <is>
          <t>open filing</t>
        </is>
      </c>
      <c r="Q40" s="16" t="inlineStr">
        <is>
          <t>P/B 3.80 · P/E 24.8 · ROE 15% · div yld 1.0% · buying back 3%/yr (financial: book/earnings basis)</t>
        </is>
      </c>
    </row>
    <row r="41" ht="45" customHeight="1">
      <c r="A41" s="6" t="inlineStr">
        <is>
          <t>FDXF</t>
        </is>
      </c>
      <c r="B41" s="14" t="inlineStr">
        <is>
          <t>FedEx Freight Holding Co</t>
        </is>
      </c>
      <c r="C41" s="14" t="inlineStr">
        <is>
          <t>25.8× EBITDA · 52w 3%</t>
        </is>
      </c>
      <c r="D41" s="14" t="inlineStr">
        <is>
          <t>2026-05-18</t>
        </is>
      </c>
      <c r="E41" s="14" t="inlineStr">
        <is>
          <t>Separation</t>
        </is>
      </c>
      <c r="F41" s="25" t="inlineStr">
        <is>
          <t>ANNOUNCED</t>
        </is>
      </c>
      <c r="G41" s="22" t="inlineStr">
        <is>
          <t>Separating FedEx Freight business</t>
        </is>
      </c>
      <c r="H41" s="14" t="inlineStr"/>
      <c r="I41" s="14" t="inlineStr"/>
      <c r="J41" s="14" t="inlineStr"/>
      <c r="K41" s="14" t="inlineStr">
        <is>
          <t>FedEx Freight business</t>
        </is>
      </c>
      <c r="L41" s="14" t="inlineStr"/>
      <c r="M41" s="14" t="inlineStr"/>
      <c r="N41" s="14" t="inlineStr"/>
      <c r="O41" s="22" t="inlineStr">
        <is>
          <t>Additional details regarding FedEx Freight’s annual incentive compensation plans and long-term incentive plans will be described in the Company’s filings with the Securities and Exchange Commission (the “SEC”) following its planned separation from FedEx. FORWARD-LOOKING STATEMENTS Certain statements in this Current Report on Form 8-K may be considered forward-looking statements within the meaning of the Private Securities Litigation Reform Act, such as statements regarding the planned tax-free separation of the FedEx Freight business into a new publicly traded company. Forward-looking statements include those preceded by, followed by, or that include the words “will,” “may,” “could,” “would,” “should,” “believes,” “expects,” “forecasts,” “anticipates,” “plans,” “estimates,” “targets,” “projects,” “intends,” or similar expressions.</t>
        </is>
      </c>
      <c r="P41" s="31" t="inlineStr">
        <is>
          <t>open filing</t>
        </is>
      </c>
      <c r="Q41" s="14" t="inlineStr">
        <is>
          <t>EV/EBITDA 25.8× · FCF yld -1% · op margin 6%  [negative equity]</t>
        </is>
      </c>
    </row>
    <row r="42" ht="45" customHeight="1">
      <c r="A42" s="8" t="inlineStr">
        <is>
          <t>LTRN</t>
        </is>
      </c>
      <c r="B42" s="16" t="inlineStr">
        <is>
          <t>Lantern Pharma Inc.</t>
        </is>
      </c>
      <c r="C42" s="16" t="inlineStr">
        <is>
          <t>52w 8%</t>
        </is>
      </c>
      <c r="D42" s="16" t="inlineStr">
        <is>
          <t>2026-05-15</t>
        </is>
      </c>
      <c r="E42" s="16" t="inlineStr">
        <is>
          <t>Spinoff</t>
        </is>
      </c>
      <c r="F42" s="23" t="inlineStr">
        <is>
          <t>ANNOUNCED</t>
        </is>
      </c>
      <c r="G42" s="24" t="inlineStr">
        <is>
          <t>Separating a business</t>
        </is>
      </c>
      <c r="H42" s="16" t="inlineStr"/>
      <c r="I42" s="16" t="inlineStr"/>
      <c r="J42" s="16" t="inlineStr"/>
      <c r="K42" s="16" t="inlineStr"/>
      <c r="L42" s="16" t="inlineStr"/>
      <c r="M42" s="16" t="inlineStr"/>
      <c r="N42" s="16" t="inlineStr"/>
      <c r="O42" s="24" t="inlineStr">
        <is>
          <t>Planned Separation into an Independent Business Entity In connection with the May 2026 financing, Lantern announced a strategic plan to separate withZeta.ai and related personnel into an independent business entity under the leadership of Panna Sharma. The separation is intended to provide withZeta.ai with dedicated funding sources and the opportunity to realize valuation multiples distinct from Lantern’s clinical-stage drug development operations. This reflects Lantern’s broader strategic evolution toward operating two distinct value-creation engines: 1) a clinical-stage drug development business aimed at advancing therapies across solid tumors, blood cancers, and CNS cancers; and 2) an AI platform business addressing the multi-billion-dollar opportunity in AI-enabled drug discovery and cancer research.</t>
        </is>
      </c>
      <c r="P42" s="32" t="inlineStr">
        <is>
          <t>open filing</t>
        </is>
      </c>
      <c r="Q42" s="16" t="inlineStr">
        <is>
          <t>P/S 0.0 · FCF yld -80% · op margin 0% · diluting 15%/yr  [negative equity]</t>
        </is>
      </c>
    </row>
    <row r="43" ht="45" customHeight="1">
      <c r="A43" s="6" t="inlineStr">
        <is>
          <t>LTRN</t>
        </is>
      </c>
      <c r="B43" s="14" t="inlineStr">
        <is>
          <t>Lantern Pharma Inc.</t>
        </is>
      </c>
      <c r="C43" s="14" t="inlineStr">
        <is>
          <t>52w 8%</t>
        </is>
      </c>
      <c r="D43" s="14" t="inlineStr">
        <is>
          <t>2026-05-15</t>
        </is>
      </c>
      <c r="E43" s="14" t="inlineStr">
        <is>
          <t>Separation</t>
        </is>
      </c>
      <c r="F43" s="25" t="inlineStr">
        <is>
          <t>ANNOUNCED</t>
        </is>
      </c>
      <c r="G43" s="22" t="inlineStr">
        <is>
          <t>Separating a business</t>
        </is>
      </c>
      <c r="H43" s="14" t="inlineStr"/>
      <c r="I43" s="14" t="inlineStr"/>
      <c r="J43" s="14" t="inlineStr"/>
      <c r="K43" s="14" t="inlineStr"/>
      <c r="L43" s="14" t="inlineStr"/>
      <c r="M43" s="14" t="inlineStr"/>
      <c r="N43" s="14" t="inlineStr"/>
      <c r="O43" s="22" t="inlineStr">
        <is>
          <t>Planned Separation into an Independent Business Entity In connection with the May 2026 financing, Lantern announced a strategic plan to separate withZeta.ai and related personnel into an independent business entity under the leadership of Panna Sharma. The separation is intended to provide withZeta.ai with dedicated funding sources and the opportunity to realize valuation multiples distinct from Lantern’s clinical-stage drug development operations. This reflects Lantern’s broader strategic evolution toward operating two distinct value-creation engines: 1) a clinical-stage drug development business aimed at advancing therapies across solid tumors, blood cancers, and CNS cancers; and 2) an AI platform business addressing the multi-billion-dollar opportunity in AI-enabled drug discovery and cancer research.</t>
        </is>
      </c>
      <c r="P43" s="31" t="inlineStr">
        <is>
          <t>open filing</t>
        </is>
      </c>
      <c r="Q43" s="14" t="inlineStr">
        <is>
          <t>P/S 0.0 · FCF yld -80% · op margin 0% · diluting 15%/yr  [negative equity]</t>
        </is>
      </c>
    </row>
    <row r="44" ht="45" customHeight="1">
      <c r="A44" s="8" t="inlineStr">
        <is>
          <t>FDX</t>
        </is>
      </c>
      <c r="B44" s="16" t="inlineStr">
        <is>
          <t>FedEx Corporation</t>
        </is>
      </c>
      <c r="C44" s="16" t="inlineStr">
        <is>
          <t>P/B 2.33 · 9.3× EBITDA · debt 49% · 52w 69%</t>
        </is>
      </c>
      <c r="D44" s="16" t="inlineStr">
        <is>
          <t>2026-05-13</t>
        </is>
      </c>
      <c r="E44" s="16" t="inlineStr">
        <is>
          <t>Separation</t>
        </is>
      </c>
      <c r="F44" s="23" t="inlineStr">
        <is>
          <t>ANNOUNCED</t>
        </is>
      </c>
      <c r="G44" s="24" t="inlineStr">
        <is>
          <t>Separating a business</t>
        </is>
      </c>
      <c r="H44" s="16" t="inlineStr"/>
      <c r="I44" s="16" t="inlineStr"/>
      <c r="J44" s="16" t="inlineStr"/>
      <c r="K44" s="16" t="inlineStr"/>
      <c r="L44" s="16" t="inlineStr"/>
      <c r="M44" s="16" t="inlineStr"/>
      <c r="N44" s="16" t="inlineStr"/>
      <c r="O44" s="24" t="inlineStr">
        <is>
          <t>Brad Martin Chairman of the Board FedEx Corporation TABLE OF CONTENTS Dear Future FedEx Freight Stockholder: I am excited to welcome you as a stockholder of FedEx Freight as we become an independent, publicly traded company following the planned separation from FedEx Corporation. We are the largest North American less-than-truckload (LTL) freight carrier, connecting and advancing modern supply chains across critical industries with safety, speed, service, and reliability. Our services and solutions support companies of all sizes, industries, and specialties, and our proximity to our customers allows us to transport their goods quickly, reliably, and efficiently, all with superior service.</t>
        </is>
      </c>
      <c r="P44" s="32" t="inlineStr">
        <is>
          <t>open filing</t>
        </is>
      </c>
      <c r="Q44" s="16" t="inlineStr">
        <is>
          <t>P/B 2.33 · EV/EBITDA 9.3× · FCF yld 7% · net debt 49% of mcap · rev +3% · op margin 7%</t>
        </is>
      </c>
    </row>
    <row r="45" ht="45" customHeight="1">
      <c r="A45" s="6" t="inlineStr">
        <is>
          <t>SPGI</t>
        </is>
      </c>
      <c r="B45" s="14" t="inlineStr">
        <is>
          <t>S&amp;P Global Inc.</t>
        </is>
      </c>
      <c r="C45" s="14" t="inlineStr">
        <is>
          <t>P/B 3.80 · P/E 24.8 · 52w 29%</t>
        </is>
      </c>
      <c r="D45" s="14" t="inlineStr">
        <is>
          <t>2026-04-28</t>
        </is>
      </c>
      <c r="E45" s="14" t="inlineStr">
        <is>
          <t>Asset Sale</t>
        </is>
      </c>
      <c r="F45" s="38" t="inlineStr">
        <is>
          <t>PENDING</t>
        </is>
      </c>
      <c r="G45" s="22" t="inlineStr">
        <is>
          <t>[pending] Selling geoscience and petroleum engineering software portfolio for $4.17bn (3% of mcap); close second half of 2026 or early 2027</t>
        </is>
      </c>
      <c r="H45" s="14" t="inlineStr">
        <is>
          <t>$4,171M</t>
        </is>
      </c>
      <c r="I45" s="14" t="inlineStr">
        <is>
          <t>3%</t>
        </is>
      </c>
      <c r="J45" s="14" t="inlineStr"/>
      <c r="K45" s="14" t="inlineStr">
        <is>
          <t>geoscience and petroleum engineering software portfolio</t>
        </is>
      </c>
      <c r="L45" s="14" t="inlineStr">
        <is>
          <t>second half of 2026 or early 2027</t>
        </is>
      </c>
      <c r="M45" s="14" t="inlineStr"/>
      <c r="N45" s="14" t="inlineStr"/>
      <c r="O45" s="22" t="inlineStr">
        <is>
          <t>In a press release dated April 24, 2026, the Company also announced an agreement to divest the geoscience and petroleum engineering software portfolio in its Upstream software business within the Energy division. That transaction is expected to close in the second half of 2026 or early 2027. • The Company reported quarterly revenue of $4.171 billion, increasing 10% year over year. • GAAP operating margin increased 620 basis points and adjusted operating margin increased 100 basis points, driving 32% growth in GAAP diluted EPS and 14% growth in adjusted diluted EPS, respectively, year over year. • In the first quarter, the Company repurchased $1 billion in shares, and now expects to return 100% or more of adjusted Free Cash Flow through dividends and share repurchases in 2026. • 2026 guidance now calls for reported revenue growth of 6.3% to 8.3% , while still expecting organic constant currency revenue growth of 6.0% to 8.0%, and adjusted diluted EPS in the range of $19.40 to $19.65. Other GAAP guidance to be provided upon completion of Mobility spin.</t>
        </is>
      </c>
      <c r="P45" s="31" t="inlineStr">
        <is>
          <t>open filing</t>
        </is>
      </c>
      <c r="Q45" s="14" t="inlineStr">
        <is>
          <t>P/B 3.80 · P/E 24.8 · ROE 15% · div yld 1.0% · buying back 3%/yr (financial: book/earnings basis)</t>
        </is>
      </c>
    </row>
    <row r="46" ht="45" customHeight="1">
      <c r="A46" s="8" t="inlineStr">
        <is>
          <t>HON</t>
        </is>
      </c>
      <c r="B46" s="16" t="inlineStr">
        <is>
          <t xml:space="preserve">Honeywell International </t>
        </is>
      </c>
      <c r="C46" s="16" t="inlineStr">
        <is>
          <t>P/B 2.66 · 7.4× EBITDA · debt 37% · 52w 25%</t>
        </is>
      </c>
      <c r="D46" s="16" t="inlineStr">
        <is>
          <t>2026-04-23</t>
        </is>
      </c>
      <c r="E46" s="16" t="inlineStr">
        <is>
          <t>Separation</t>
        </is>
      </c>
      <c r="F46" s="23" t="inlineStr">
        <is>
          <t>ANNOUNCED</t>
        </is>
      </c>
      <c r="G46" s="24" t="inlineStr">
        <is>
          <t>Separating a business; close third quarter on June 29</t>
        </is>
      </c>
      <c r="H46" s="16" t="inlineStr"/>
      <c r="I46" s="16" t="inlineStr"/>
      <c r="J46" s="16" t="inlineStr"/>
      <c r="K46" s="16" t="inlineStr"/>
      <c r="L46" s="16" t="inlineStr">
        <is>
          <t>third quarter on June 29</t>
        </is>
      </c>
      <c r="M46" s="16" t="inlineStr"/>
      <c r="N46" s="16" t="inlineStr"/>
      <c r="O46" s="24" t="inlineStr">
        <is>
          <t>Upcoming Investor Day Details The company earlier announced dates for its upcoming investor days ahead of the planned separation of Honeywell Aerospace, now expected to be completed in the third quarter on June 29, 2026. Honeywell Aerospace, which will trade on the Nasdaq under the ticker "HONA", will host a live webcast of its inaugural investor conference in Phoenix, Arizona on Wednesday, June 3, 2026. Honeywell will then host a live video webcast of its 2026 investor conference in New York City on Thursday, June 11, 2026 for the automation business.</t>
        </is>
      </c>
      <c r="P46" s="32" t="inlineStr">
        <is>
          <t>open filing</t>
        </is>
      </c>
      <c r="Q46" s="16" t="inlineStr">
        <is>
          <t>P/B 2.66 · EV/EBITDA 7.4× · FCF yld 6% · net debt 37% of mcap · rev -10% · op margin 14%</t>
        </is>
      </c>
    </row>
    <row r="47" ht="45" customHeight="1">
      <c r="A47" s="6" t="inlineStr">
        <is>
          <t>VGNT</t>
        </is>
      </c>
      <c r="B47" s="14" t="inlineStr">
        <is>
          <t>Versigent PLC</t>
        </is>
      </c>
      <c r="C47" s="14" t="inlineStr">
        <is>
          <t>P/B 39.17 · 5.0× EBITDA · debt 56% · 52w 84%</t>
        </is>
      </c>
      <c r="D47" s="14" t="inlineStr">
        <is>
          <t>2026-04-01</t>
        </is>
      </c>
      <c r="E47" s="14" t="inlineStr">
        <is>
          <t>Spinoff</t>
        </is>
      </c>
      <c r="F47" s="21" t="inlineStr">
        <is>
          <t>COMPLETED</t>
        </is>
      </c>
      <c r="G47" s="22" t="inlineStr">
        <is>
          <t>Completed separation of a business</t>
        </is>
      </c>
      <c r="H47" s="14" t="inlineStr"/>
      <c r="I47" s="14" t="inlineStr"/>
      <c r="J47" s="14" t="inlineStr"/>
      <c r="K47" s="14" t="inlineStr"/>
      <c r="L47" s="14" t="inlineStr"/>
      <c r="M47" s="14" t="inlineStr"/>
      <c r="N47" s="14" t="inlineStr"/>
      <c r="O47" s="22" t="inlineStr">
        <is>
          <t>On the Distribution Date, Aptiv completed the Spin-Off. The description of the Spin-Off and Distribution included in Item 1.01 is incorporated herein by reference into this Item 2.01. In connection with and prior to the Spin-Off and Distribution, Aptiv transferred its Electrical Distribution Systems segment to the Company.</t>
        </is>
      </c>
      <c r="P47" s="31" t="inlineStr">
        <is>
          <t>open filing</t>
        </is>
      </c>
      <c r="Q47" s="14" t="inlineStr">
        <is>
          <t>P/B 39.17 · EV/EBITDA 5.0× · FCF yld 14% · net debt 56% of mcap · op margin 8%</t>
        </is>
      </c>
    </row>
    <row r="48" ht="45" customHeight="1">
      <c r="A48" s="8" t="inlineStr">
        <is>
          <t>APTV</t>
        </is>
      </c>
      <c r="B48" s="16" t="inlineStr">
        <is>
          <t>Aptiv PLC</t>
        </is>
      </c>
      <c r="C48" s="16" t="inlineStr">
        <is>
          <t>P/B 1.09 · 7.8× EBITDA · debt 52% · 52w 4%</t>
        </is>
      </c>
      <c r="D48" s="16" t="inlineStr">
        <is>
          <t>2026-03-20</t>
        </is>
      </c>
      <c r="E48" s="16" t="inlineStr">
        <is>
          <t>Tender Offer</t>
        </is>
      </c>
      <c r="F48" s="26" t="inlineStr">
        <is>
          <t>PENDING</t>
        </is>
      </c>
      <c r="G48" s="24" t="inlineStr">
        <is>
          <t>[pending] Tender offer (up to $1.70bn (18% of mcap))</t>
        </is>
      </c>
      <c r="H48" s="16" t="inlineStr">
        <is>
          <t>$1,700M</t>
        </is>
      </c>
      <c r="I48" s="16" t="inlineStr">
        <is>
          <t>18%</t>
        </is>
      </c>
      <c r="J48" s="16" t="inlineStr"/>
      <c r="K48" s="16" t="inlineStr"/>
      <c r="L48" s="16" t="inlineStr"/>
      <c r="M48" s="16" t="inlineStr"/>
      <c r="N48" s="16" t="inlineStr"/>
      <c r="O48" s="24" t="inlineStr">
        <is>
          <t>Aptiv PLC (the “Company”) previously announced that Aptiv Swiss Holdings Limited, a Jersey incorporated private limited company (“ASH”) and a wholly-owned subsidiary of the Company, commenced a cash tender offer (the “Tender Offer”) to purchase its outstanding 3.250% Senior Notes due 2032, 5.150% Senior Notes due 2034, 5.750% Senior Notes due 2054, 5.400% Senior Notes due 2049, 4.400% Senior Notes due 2046, 4.150% Senior Notes due 2052 and 3.100% Senior Notes due 2051 (the “Notes”) for aggregate consideration of up to $1,350,000,000, (the "Maximum Aggregate Consideration") exclusive of any accrued interest through the payment date of the Notes. The Tender Offer is subject to the terms and conditions set forth in the Offer to Purchase, dated March 6, 2026, including the satisfaction of the following conditions prior to the settlement of the Tender Offer: (i) the consummation of the previously announced separation (the “Spin-Off”) of the Company’s Electrical Distribution Systems business into a new, independent publicly traded company, which will be named Versigent, and (ii) the receipt by the Company of a special dividend from Versigent in an amount not less than $1,700,000,000 in connection with the Spin-Off (collectively, the “Conditions”). On March 20, 2026, the Company issued a press release announcing the early results and upsizing of the Tender Offer and a press release an</t>
        </is>
      </c>
      <c r="P48" s="32" t="inlineStr">
        <is>
          <t>open filing</t>
        </is>
      </c>
      <c r="Q48" s="16" t="inlineStr">
        <is>
          <t>P/B 1.09 · EV/EBITDA 7.8× · FCF yld 8% · net debt 52% of mcap · rev -5% · op margin 5% · buying back 5%/yr</t>
        </is>
      </c>
    </row>
    <row r="49" ht="45" customHeight="1">
      <c r="A49" s="6" t="inlineStr">
        <is>
          <t>KDP</t>
        </is>
      </c>
      <c r="B49" s="14" t="inlineStr">
        <is>
          <t>Keurig Dr Pepper Inc.</t>
        </is>
      </c>
      <c r="C49" s="14" t="inlineStr">
        <is>
          <t>P/B 1.73 · 20.9× EBITDA · debt 76% · 52w 77%</t>
        </is>
      </c>
      <c r="D49" s="14" t="inlineStr">
        <is>
          <t>2026-03-10</t>
        </is>
      </c>
      <c r="E49" s="14" t="inlineStr">
        <is>
          <t>Spinoff</t>
        </is>
      </c>
      <c r="F49" s="38" t="inlineStr">
        <is>
          <t>PENDING</t>
        </is>
      </c>
      <c r="G49" s="22" t="inlineStr">
        <is>
          <t>Separating a business</t>
        </is>
      </c>
      <c r="H49" s="14" t="inlineStr"/>
      <c r="I49" s="14" t="inlineStr"/>
      <c r="J49" s="14" t="inlineStr"/>
      <c r="K49" s="14" t="inlineStr"/>
      <c r="L49" s="14" t="inlineStr"/>
      <c r="M49" s="14" t="inlineStr"/>
      <c r="N49" s="14" t="inlineStr"/>
      <c r="O49" s="22" t="inlineStr">
        <is>
          <t>Following completion of the JDE Peet’s Acquisition, KDP intends to separate into two independent, US-listed publicly traded companies pursuant to the Separation. One of the resulting US-listed public companies, Global Coffee Co., will combine the KDP Coffee Business and the business of JDE Peet’s and its subsidiaries as described under “Business of JDE Peet’s.” The remaining business, New Beverage Co., will operate as a scaled North American refreshment beverage company. Financing of the JDE Peet’s Acquisition JV Investment On October 26, 2025, KDP entered into a commitment letter with the JV Investors, under which the JV Investors have committed to making, subject to certain conditions, a strategic minority investment into KDP’s wholly-owned subsidiary, the “Pod Manufacturing JV.” On February 23, 2026, KDP entered into a JV Transaction Agreement by and among the Pod Manufacturing JV, Keurig Partners and the JV Investor Partner in connection with the previously announced commitment letter relating to the JV Investment.</t>
        </is>
      </c>
      <c r="P49" s="31" t="inlineStr">
        <is>
          <t>open filing</t>
        </is>
      </c>
      <c r="Q49" s="14" t="inlineStr">
        <is>
          <t>P/B 1.73 · EV/EBITDA 20.9× · FCF yld 5% · net debt 76% of mcap · rev +27% · op margin 17%</t>
        </is>
      </c>
    </row>
    <row r="50" ht="45" customHeight="1">
      <c r="A50" s="8" t="inlineStr">
        <is>
          <t>WBD</t>
        </is>
      </c>
      <c r="B50" s="16" t="inlineStr">
        <is>
          <t xml:space="preserve">Warner Bros. Discovery, </t>
        </is>
      </c>
      <c r="C50" s="16" t="inlineStr">
        <is>
          <t>P/B 2.35 · 17.5× EBITDA · debt 37% · 52w 99%</t>
        </is>
      </c>
      <c r="D50" s="16" t="inlineStr">
        <is>
          <t>2026-02-27</t>
        </is>
      </c>
      <c r="E50" s="16" t="inlineStr">
        <is>
          <t>Spinoff</t>
        </is>
      </c>
      <c r="F50" s="26" t="inlineStr">
        <is>
          <t>PENDING</t>
        </is>
      </c>
      <c r="G50" s="24" t="inlineStr">
        <is>
          <t>Separating Streaming &amp; Studios business</t>
        </is>
      </c>
      <c r="H50" s="16" t="inlineStr"/>
      <c r="I50" s="16" t="inlineStr"/>
      <c r="J50" s="16" t="inlineStr"/>
      <c r="K50" s="16" t="inlineStr">
        <is>
          <t>Streaming &amp; Studios business</t>
        </is>
      </c>
      <c r="L50" s="16" t="inlineStr"/>
      <c r="M50" s="16" t="inlineStr"/>
      <c r="N50" s="16" t="inlineStr"/>
      <c r="O50" s="24" t="inlineStr">
        <is>
          <t>PSKY’s obligation to consummate the Merger is also subject to (x) the absence of certain changes that have had, or would reasonably be expected to have, a material adverse effect with respect to the Streaming and Studios segments of WBD and (y) WBD not having completed the separation of its Streaming &amp; Studios business from its Global Linear Networks business nor having declared or made any dividend to WBD’s stockholders to effectuate such separation. Financing Arrangements Concurrently with the execution of the Merger Agreement, each of (i) The Lawrence J. Ellison Revocable Trust, u/a/d 1/22/88, as amended (the “Trust”), and Mr.</t>
        </is>
      </c>
      <c r="P50" s="32" t="inlineStr">
        <is>
          <t>open filing</t>
        </is>
      </c>
      <c r="Q50" s="16" t="inlineStr">
        <is>
          <t>P/B 2.35 · EV/EBITDA 17.5× · FCF yld 3% · net debt 37% of mcap · rev -6% · op margin 5% · diluting 3%/yr · interest cover 0.9× ⚠</t>
        </is>
      </c>
    </row>
    <row r="51" ht="45" customHeight="1">
      <c r="A51" s="6" t="inlineStr">
        <is>
          <t>WBD</t>
        </is>
      </c>
      <c r="B51" s="14" t="inlineStr">
        <is>
          <t xml:space="preserve">Warner Bros. Discovery, </t>
        </is>
      </c>
      <c r="C51" s="14" t="inlineStr">
        <is>
          <t>P/B 2.35 · 17.5× EBITDA · debt 37% · 52w 99%</t>
        </is>
      </c>
      <c r="D51" s="14" t="inlineStr">
        <is>
          <t>2026-02-26</t>
        </is>
      </c>
      <c r="E51" s="14" t="inlineStr">
        <is>
          <t>Separation</t>
        </is>
      </c>
      <c r="F51" s="25" t="inlineStr">
        <is>
          <t>ANNOUNCED</t>
        </is>
      </c>
      <c r="G51" s="22" t="inlineStr">
        <is>
          <t>Separating a business</t>
        </is>
      </c>
      <c r="H51" s="14" t="inlineStr">
        <is>
          <t>$37,300M</t>
        </is>
      </c>
      <c r="I51" s="14" t="inlineStr">
        <is>
          <t>48%</t>
        </is>
      </c>
      <c r="J51" s="14" t="inlineStr"/>
      <c r="K51" s="14" t="inlineStr"/>
      <c r="L51" s="14" t="inlineStr"/>
      <c r="M51" s="14" t="inlineStr"/>
      <c r="N51" s="14" t="inlineStr"/>
      <c r="O51" s="22" t="inlineStr">
        <is>
          <t>Free cash flow was unfavorably impacted by approximately $600 million of separation &amp; transaction related items. • Ended the quarter with 131.6 million streaming subscribers(4), an increase of 3.5 million subscribers vs. Q3. FY 2025 Highlights • Total revenues were $37.3 billion, a 5% ex-FX decrease from the prior year. • Distribution revenues decreased 2% ex-FX, as dynamic underlying growth in global streaming subscribers was more than offset by continued domestic linear pay TV subscriber declines and the impact of the HBO Max domestic distribution deal renewal with a former related party previously disclosed in Q2. • Advertising revenues decreased 11% ex-FX, as ad-lite streaming subscriber growth was more than offset by domestic linear audience declines. • Content revenues decreased 7% ex-FX, primarily driven by the sublicensing of Olympic sports rights to broadcast networks throughout Europe in the prior year partially offset by the stronger performance of the theatrical releases in the current year. • Net income available to Warner Bros.</t>
        </is>
      </c>
      <c r="P51" s="31" t="inlineStr">
        <is>
          <t>open filing</t>
        </is>
      </c>
      <c r="Q51" s="14" t="inlineStr">
        <is>
          <t>P/B 2.35 · EV/EBITDA 17.5× · FCF yld 3% · net debt 37% of mcap · rev -6% · op margin 5% · diluting 3%/yr · interest cover 0.9× ⚠</t>
        </is>
      </c>
    </row>
    <row r="52" ht="45" customHeight="1">
      <c r="A52" s="8" t="inlineStr">
        <is>
          <t>SITC</t>
        </is>
      </c>
      <c r="B52" s="16" t="inlineStr">
        <is>
          <t>SITE Centers Corp.</t>
        </is>
      </c>
      <c r="C52" s="16" t="inlineStr">
        <is>
          <t>P/B 0.56 · cash 152% · 52w 3%</t>
        </is>
      </c>
      <c r="D52" s="16" t="inlineStr">
        <is>
          <t>2026-02-26</t>
        </is>
      </c>
      <c r="E52" s="16" t="inlineStr">
        <is>
          <t>Spinoff</t>
        </is>
      </c>
      <c r="F52" s="37" t="inlineStr">
        <is>
          <t>COMPLETED</t>
        </is>
      </c>
      <c r="G52" s="24" t="inlineStr">
        <is>
          <t>Completed separation of Curbline Properties</t>
        </is>
      </c>
      <c r="H52" s="16" t="inlineStr"/>
      <c r="I52" s="16" t="inlineStr"/>
      <c r="J52" s="16" t="inlineStr"/>
      <c r="K52" s="16" t="inlineStr">
        <is>
          <t>Curbline Properties</t>
        </is>
      </c>
      <c r="L52" s="16" t="inlineStr"/>
      <c r="M52" s="16" t="inlineStr"/>
      <c r="N52" s="16" t="inlineStr"/>
      <c r="O52" s="24" t="inlineStr">
        <is>
          <t>Discontinued Operations On October 1, 2024, the Company completed the spin-off of Curbline Properties. The spin-off of the convenience properties represented a strategic shift in the Company’s business and, as such, the Curbline properties are reflected as discontinued operations for the periods prior to the spin-off date of October 1, 2024. About SITE Centers Corp.</t>
        </is>
      </c>
      <c r="P52" s="32" t="inlineStr">
        <is>
          <t>open filing</t>
        </is>
      </c>
      <c r="Q52" s="16" t="inlineStr">
        <is>
          <t>P/B 0.56 · P/S 2.2 · FCF yld -14% · net cash 152% of mcap · rev -39% · op margin -32%  [dividend yield &gt;25% (special or bad data)]</t>
        </is>
      </c>
    </row>
    <row r="53" ht="45" customHeight="1">
      <c r="A53" s="6" t="inlineStr">
        <is>
          <t>FIS</t>
        </is>
      </c>
      <c r="B53" s="14" t="inlineStr">
        <is>
          <t>Fidelity National Inform</t>
        </is>
      </c>
      <c r="C53" s="14" t="inlineStr">
        <is>
          <t>P/B 1.13 · 6.2× EBITDA · debt 113% · 52w 2%</t>
        </is>
      </c>
      <c r="D53" s="14" t="inlineStr">
        <is>
          <t>2026-02-24</t>
        </is>
      </c>
      <c r="E53" s="14" t="inlineStr">
        <is>
          <t>Spinoff</t>
        </is>
      </c>
      <c r="F53" s="21" t="inlineStr">
        <is>
          <t>COMPLETED</t>
        </is>
      </c>
      <c r="G53" s="22" t="inlineStr">
        <is>
          <t>Completed separation of a business</t>
        </is>
      </c>
      <c r="H53" s="14" t="inlineStr">
        <is>
          <t>$206M</t>
        </is>
      </c>
      <c r="I53" s="14" t="inlineStr">
        <is>
          <t>1%</t>
        </is>
      </c>
      <c r="J53" s="14" t="inlineStr"/>
      <c r="K53" s="14" t="inlineStr"/>
      <c r="L53" s="14" t="inlineStr"/>
      <c r="M53" s="14" t="inlineStr"/>
      <c r="N53" s="14" t="inlineStr"/>
      <c r="O53" s="22" t="inlineStr">
        <is>
          <t>(7) FIS completed the separation of Worldpay on January 31, 2024, retaining a non-controlling 45% ownership interest that is recorded under the equity method of accounting, net of investor-level tax. FIS' share of Worldpay's results under the equity method of accounting reflects activity beginning on February 1, 2024. Our investor-level tax benefit (expense) was $206 million and $(17) million for the three months ended December 31, 2025 and 2024, and $(307) million and $67 million for the year ended December 31, 2025, and the eleven months ended December 31, 2024, respectively.</t>
        </is>
      </c>
      <c r="P53" s="31" t="inlineStr">
        <is>
          <t>open filing</t>
        </is>
      </c>
      <c r="Q53" s="14" t="inlineStr">
        <is>
          <t>P/B 1.13 · EV/EBITDA 6.2× · FCF yld 15% · net debt 113% of mcap · rev +20% · op margin 16%</t>
        </is>
      </c>
    </row>
    <row r="54" ht="45" customHeight="1">
      <c r="A54" s="8" t="inlineStr">
        <is>
          <t>AMRZ</t>
        </is>
      </c>
      <c r="B54" s="16" t="inlineStr">
        <is>
          <t>Amrize Ltd</t>
        </is>
      </c>
      <c r="C54" s="16" t="inlineStr">
        <is>
          <t>P/B 1.64 · debt 28% · 52w 3%</t>
        </is>
      </c>
      <c r="D54" s="16" t="inlineStr">
        <is>
          <t>2026-02-20</t>
        </is>
      </c>
      <c r="E54" s="16" t="inlineStr">
        <is>
          <t>Spinoff</t>
        </is>
      </c>
      <c r="F54" s="37" t="inlineStr">
        <is>
          <t>COMPLETED</t>
        </is>
      </c>
      <c r="G54" s="24" t="inlineStr">
        <is>
          <t>Completed separation of North American business</t>
        </is>
      </c>
      <c r="H54" s="16" t="inlineStr"/>
      <c r="I54" s="16" t="inlineStr"/>
      <c r="J54" s="16" t="inlineStr"/>
      <c r="K54" s="16" t="inlineStr">
        <is>
          <t>North American business</t>
        </is>
      </c>
      <c r="L54" s="16" t="inlineStr"/>
      <c r="M54" s="16" t="inlineStr"/>
      <c r="N54" s="16" t="inlineStr"/>
      <c r="O54" s="24" t="inlineStr">
        <is>
          <t>As previously disclosed, on June 23, 2025, Holcim Ltd (“Holcim”) completed the spin-off of its North American business by distributing 100% of the Company’s ordinary shares to Holcim’s shareholders (the “Spin-Off”). With its primary operations in North America after the Spin-Off, the Company determined it appropriate to dismiss EY Switzerland and the appointment of EY US to better coordinate with the Company’s financial reporting function in the United States. In connection with the Spin-Off, Holcim had engaged EY Switzerland to audit the combined financial statements of the Company included in the Company’s Registration Statement on Form 10, as amended and filed with the Securities and Exchange Commission on February 28, 2025 (the “Form 10”).</t>
        </is>
      </c>
      <c r="P54" s="32" t="inlineStr">
        <is>
          <t>open filing</t>
        </is>
      </c>
      <c r="Q54" s="16" t="inlineStr">
        <is>
          <t>P/B 1.64 · net debt 28% of mcap · rev +5%</t>
        </is>
      </c>
    </row>
    <row r="55" ht="45" customHeight="1">
      <c r="A55" s="6" t="inlineStr">
        <is>
          <t>BHC</t>
        </is>
      </c>
      <c r="B55" s="14" t="inlineStr">
        <is>
          <t xml:space="preserve">Bausch Health Companies </t>
        </is>
      </c>
      <c r="C55" s="14" t="inlineStr">
        <is>
          <t>10.3× EBITDA · 52w 39%</t>
        </is>
      </c>
      <c r="D55" s="14" t="inlineStr">
        <is>
          <t>2026-02-18</t>
        </is>
      </c>
      <c r="E55" s="14" t="inlineStr">
        <is>
          <t>Exchange Offer</t>
        </is>
      </c>
      <c r="F55" s="21" t="inlineStr">
        <is>
          <t>COMPLETED</t>
        </is>
      </c>
      <c r="G55" s="22" t="inlineStr">
        <is>
          <t>[completed] Exchange Offer: $10.27bn (478% of mcap)</t>
        </is>
      </c>
      <c r="H55" s="14" t="inlineStr">
        <is>
          <t>$10,270M</t>
        </is>
      </c>
      <c r="I55" s="14" t="inlineStr">
        <is>
          <t>478%</t>
        </is>
      </c>
      <c r="J55" s="14" t="inlineStr"/>
      <c r="K55" s="14" t="inlineStr"/>
      <c r="L55" s="14" t="inlineStr"/>
      <c r="M55" s="14" t="inlineStr"/>
      <c r="N55" s="14" t="inlineStr"/>
      <c r="O55" s="22" t="inlineStr">
        <is>
          <t xml:space="preserve">By: | /s/ JEAN-JACQUES CHARHON Jean-Jacques Charhon Executive Vice President, Chief Financial Officer (Principal Financial Officer) EX-99.1 2 ex991-q4x2025.htm EX-99.1 Exhibit 99.1 Investor Contact: | Media Contact: Garen Sarafian Katie Savastano ir@bauschhealth.com | corporate.communications@bauschhealth.com (877) 281-6642 (toll free) | (908) 541-3785 BAUSCH HEALTH ANNOUNCES FOURTH QUARTER AND FULL-YEAR 2025 RESULTS • Fourth Quarter Consolidated Revenues of $2.80 billion, up 9% on a Reported basis and up 6% on an Organic (non-GAAP) 1 basis over the prior year period • Full-Year Consolidated Revenues of $10.27 billion, up 7% on a Reported basis and 5% on an Organic (non-GAAP) 1 basis • GAAP Net Loss Attributable to Bausch Health of $112 million for the quarter and GAAP Net Income Attributable to Bausch Health of $157 million for the year • Consolidated Adjusted EBITDA Attributable to Bausch Health (non-GAAP) 1 of $1.05 billion for the quarter, up 13%, and $3.54 billion for the year, up 7% BAUSCH HEALTH EXCLUDING BAUSCH + LOMB FOURTH QUARTER AND FULL-YEAR 2025 RESULTS • Delivered eleventh consecutive quarter of year-over-year growth in both Revenue and Adjusted EBITDA (non-GAAP) 1 , exceeding 2025 guidance on all metrics • Completed the acquisition of Shibo’s full‑service aesthetics distribution business in China on December 1, 2025 • Executed a $1.7 billion debt exchange offer </t>
        </is>
      </c>
      <c r="P55" s="31" t="inlineStr">
        <is>
          <t>open filing</t>
        </is>
      </c>
      <c r="Q55" s="14" t="inlineStr">
        <is>
          <t>EV/EBITDA 10.3× · FCF yld 65% · rev +10% · op margin 25%  [negative equity]</t>
        </is>
      </c>
    </row>
    <row r="56" ht="45" customHeight="1">
      <c r="A56" s="8" t="inlineStr">
        <is>
          <t>GPC</t>
        </is>
      </c>
      <c r="B56" s="16" t="inlineStr">
        <is>
          <t>Genuine Parts Company</t>
        </is>
      </c>
      <c r="C56" s="16" t="inlineStr">
        <is>
          <t>P/B 3.94 · 32.4× EBITDA · debt 34% · 52w 63%</t>
        </is>
      </c>
      <c r="D56" s="16" t="inlineStr">
        <is>
          <t>2026-02-17</t>
        </is>
      </c>
      <c r="E56" s="16" t="inlineStr">
        <is>
          <t>Spinoff</t>
        </is>
      </c>
      <c r="F56" s="23" t="inlineStr">
        <is>
          <t>ANNOUNCED</t>
        </is>
      </c>
      <c r="G56" s="24" t="inlineStr">
        <is>
          <t>Separating a business</t>
        </is>
      </c>
      <c r="H56" s="16" t="inlineStr"/>
      <c r="I56" s="16" t="inlineStr"/>
      <c r="J56" s="16" t="inlineStr"/>
      <c r="K56" s="16" t="inlineStr"/>
      <c r="L56" s="16" t="inlineStr"/>
      <c r="M56" s="16" t="inlineStr"/>
      <c r="N56" s="16" t="inlineStr"/>
      <c r="O56" s="24" t="inlineStr">
        <is>
          <t>Genuine Parts Company Date: February 17, 2026 By: /s/ Bert Nappier Name: Bert Nappier Title: Executive Vice President and CFO EX-99.1 2 d44894dex991.htm EX-99.1 Exhibit 99.1 www.genpt.com News Release February 17, 2026 Genuine Parts Company Reports Fourth Quarter and Full-Year 2025 Results Declares Dividend Increase for 70th Consecutive Year Provides 2026 Outlook Separately Announces Plan to Separate Automotive and Industrial Businesses Into Two Industry-Leading Public Companies ATLANTA—Genuine Parts Company (NYSE: GPC), a leading global service provider of automotive and industrial replacement parts and value-added solutions, announced today its results for the fourth quarter and twelve months ended December 31, 2025. “We continued to advance our GPC strategies in 2025 while navigating a dynamic environment, thanks to the commitment of our teammates,” said Will Stengel, Chair-Elect and Chief Executive Officer. “We stayed focused on what we can control, executing defined initiatives to deliver growth and improve productivity.</t>
        </is>
      </c>
      <c r="P56" s="32" t="inlineStr">
        <is>
          <t>open filing</t>
        </is>
      </c>
      <c r="Q56" s="16" t="inlineStr">
        <is>
          <t>P/B 3.94 · EV/EBITDA 32.4× · FCF yld 4% · net debt 34% of mcap · rev +5% · op margin 4%</t>
        </is>
      </c>
    </row>
    <row r="57" ht="45" customHeight="1">
      <c r="A57" s="6" t="inlineStr">
        <is>
          <t>WAT</t>
        </is>
      </c>
      <c r="B57" s="14" t="inlineStr">
        <is>
          <t>Waters Corporation</t>
        </is>
      </c>
      <c r="C57" s="14" t="inlineStr">
        <is>
          <t>P/B 2.74 · 51.4× EBITDA · debt 11% · 52w 94%</t>
        </is>
      </c>
      <c r="D57" s="14" t="inlineStr">
        <is>
          <t>2026-02-09</t>
        </is>
      </c>
      <c r="E57" s="14" t="inlineStr">
        <is>
          <t>Spinoff</t>
        </is>
      </c>
      <c r="F57" s="25" t="inlineStr">
        <is>
          <t>ANNOUNCED</t>
        </is>
      </c>
      <c r="G57" s="22" t="inlineStr">
        <is>
          <t>Separating a business</t>
        </is>
      </c>
      <c r="H57" s="14" t="inlineStr">
        <is>
          <t>$3,165M</t>
        </is>
      </c>
      <c r="I57" s="14" t="inlineStr">
        <is>
          <t>8%</t>
        </is>
      </c>
      <c r="J57" s="14" t="inlineStr"/>
      <c r="K57" s="14" t="inlineStr"/>
      <c r="L57" s="14" t="inlineStr"/>
      <c r="M57" s="14" t="inlineStr"/>
      <c r="N57" s="14" t="inlineStr"/>
      <c r="O57" s="22" t="inlineStr">
        <is>
          <t>WATERS CORPORATION Dated: February 9, 2026 By: /s/ Amol Chaubal Name: Amol Chaubal Title: Senior Vice President and Chief Financial Officer (Principal Financial Officer and Principal Accounting Officer) EX-99.1 2 d37473dex991.htm EX-99.1 Exhibit 99.1 For Immediate Release Contact: Caspar Tudor, Head of Investor Relations – (508) 482-3448 Waters Corporation (NYSE: WAT) Reports Fourth Quarter and Full-Year 2025 Financial Results Highlights Fourth Quarter 2025 • Sales of $932 million landed at the high-end of reported sales growth guidance range; grew 7% as reported and 6% in constant currency • Growth led by high single-digit constant currency growth in Pharma and Industrial end-markets, with broad-based growth across all regions • Chemistry grew 12% in constant currency as new bioseparations products continued to experience significant customer demand • Instruments grew 3% in constant currency, with high single-digit LC-MS growth partially offset by TA and transition to subscription model for Empower • GAAP EPS of $3.77; non-GAAP EPS of $4.53 grew double digits Full-Year 2025 • Sales of $3,165 million grew 7% as reported and 7% in constant currency • Instruments grew 5% in constant currency, led by strong LC-MS growth • Recurring Revenue grew 8% in constant currency, led by 12% Chemistry growth • GAAP EPS of $10.76; non-GAAP EPS of $13.13 grew double digits MILFORD, Mass., Febru</t>
        </is>
      </c>
      <c r="P57" s="31" t="inlineStr">
        <is>
          <t>open filing</t>
        </is>
      </c>
      <c r="Q57" s="14" t="inlineStr">
        <is>
          <t>P/B 2.74 · EV/EBITDA 51.4× · FCF yld 1% · net debt 11% of mcap · rev +52% · op margin 8% · diluting 65%/yr</t>
        </is>
      </c>
    </row>
    <row r="58" ht="45" customHeight="1">
      <c r="A58" s="8" t="inlineStr">
        <is>
          <t>MOD</t>
        </is>
      </c>
      <c r="B58" s="16" t="inlineStr">
        <is>
          <t>Modine Manufacturing Com</t>
        </is>
      </c>
      <c r="C58" s="16" t="inlineStr">
        <is>
          <t>P/B 9.22 · 35.7× EBITDA · debt 7% · 52w 39%</t>
        </is>
      </c>
      <c r="D58" s="16" t="inlineStr">
        <is>
          <t>2026-01-29</t>
        </is>
      </c>
      <c r="E58" s="16" t="inlineStr">
        <is>
          <t>Spinoff</t>
        </is>
      </c>
      <c r="F58" s="26" t="inlineStr">
        <is>
          <t>PENDING</t>
        </is>
      </c>
      <c r="G58" s="24" t="inlineStr">
        <is>
          <t>Separating a business</t>
        </is>
      </c>
      <c r="H58" s="16" t="inlineStr">
        <is>
          <t>$210M</t>
        </is>
      </c>
      <c r="I58" s="16" t="inlineStr">
        <is>
          <t>2%</t>
        </is>
      </c>
      <c r="J58" s="16" t="inlineStr"/>
      <c r="K58" s="16" t="inlineStr"/>
      <c r="L58" s="16" t="inlineStr"/>
      <c r="M58" s="16" t="inlineStr"/>
      <c r="N58" s="16" t="inlineStr"/>
      <c r="O58" s="24" t="inlineStr">
        <is>
          <t xml:space="preserve">The transaction will occur through the following steps: ​ ● | First, the Company will separate (the “ Separation ”) the Performance Technologies Business from the remainder of the Company’s businesses so that the Performance Technologies Business is held by Platinum SpinCo Inc., a Delaware corporation and a wholly owned subsidiary of the Company (“ SpinCo ”). ​ ● | Second, in connection with the Separation, SpinCo will distribute $210 million in cash to the Company, with the amount of such distribution subject to adjustment for cash, working capital and indebtedness of SpinCo subject to decrease if additional shares of Gentherm common stock will be issued to the Company shareholders to meet the Tax Threshold (as described below). ​ ● | Third, the Company will distribute to its shareholders all of the issued and outstanding shares of common stock, par value $0.001 per share, of SpinCo (the “ SpinCo Common Stock ”) by way of a pro rata distribution (the “ Spin-Off ”). ​ ● | Fourth, immediately after the Spin-Off, SpinCo will merge with Platinum Gold Merger Sub, Inc., a Delaware corporation and a wholly owned subsidiary of Gentherm (“ Merger Sub ”), with SpinCo surviving the merger as a wholly owned subsidiary of Gentherm (the “ Merger ”). ​ The transaction has been unanimously approved by the Boards of Directors of both the Company and Gentherm. The definitive agreements entered </t>
        </is>
      </c>
      <c r="P58" s="32" t="inlineStr">
        <is>
          <t>open filing</t>
        </is>
      </c>
      <c r="Q58" s="16" t="inlineStr">
        <is>
          <t>P/B 9.22 · EV/EBITDA 35.7× · FCF yld 1% · net debt 7% of mcap · rev +8% · op margin 10%</t>
        </is>
      </c>
    </row>
    <row r="59" ht="45" customHeight="1">
      <c r="A59" s="6" t="inlineStr">
        <is>
          <t>THRM</t>
        </is>
      </c>
      <c r="B59" s="14" t="inlineStr">
        <is>
          <t>Gentherm Incorporated</t>
        </is>
      </c>
      <c r="C59" s="14" t="inlineStr">
        <is>
          <t>P/B 1.52 · 10.4× EBITDA · debt 10% · 52w 41%</t>
        </is>
      </c>
      <c r="D59" s="14" t="inlineStr">
        <is>
          <t>2026-01-29</t>
        </is>
      </c>
      <c r="E59" s="14" t="inlineStr">
        <is>
          <t>Spinoff</t>
        </is>
      </c>
      <c r="F59" s="25" t="inlineStr">
        <is>
          <t>ANNOUNCED</t>
        </is>
      </c>
      <c r="G59" s="22" t="inlineStr">
        <is>
          <t>Separating SpinCo from Modine</t>
        </is>
      </c>
      <c r="H59" s="14" t="inlineStr"/>
      <c r="I59" s="14" t="inlineStr"/>
      <c r="J59" s="14" t="inlineStr"/>
      <c r="K59" s="14" t="inlineStr">
        <is>
          <t>SpinCo from Modine</t>
        </is>
      </c>
      <c r="L59" s="14" t="inlineStr"/>
      <c r="M59" s="14" t="inlineStr"/>
      <c r="N59" s="14" t="inlineStr"/>
      <c r="O59" s="22" t="inlineStr">
        <is>
          <t>Additional Information and Where to Find It In connection with the Proposed Transaction among Gentherm, Modine and Modine’s Performance Technologies business (“SpinCo”), the parties intend to file relevant materials with the SEC, including, among other filings, a registration statement on Form S-4 to be filed by Gentherm (the “Form S-4”) that will include a preliminary proxy statement/prospectus of Gentherm and a definitive proxy statement/prospectus of Gentherm, the latter of which will be mailed to shareholders of Gentherm, and a registration statement on Form 10 to be filed by SpinCo that will incorporate by reference certain portions of the Form S-4 and will serve as an information statement/prospectus in connection with the spin-off of SpinCo from Modine. INVESTORS AND SECURITY HOLDERS OF GENTHERM AND MODINE ARE URGED TO READ THE PROXY STATEMENT/PROSPECTUS, THE INFORMATION STATEMENT/PROSPECTUS AND ANY OTHER DOCUMENTS THAT WILL BE FILED WITH THE SEC, AS WELL AS ANY AMENDMENTS OR SUPPLEMENTS TO THESE DOCUMENTS, CAREFULLY AND IN THEIR ENTIRETY WHEN THEY BECOME AVAILABLE BECAUSE THEY WILL CONTAIN IMPORTANT INFORMATION ABOUT GENTHERM, MODINE, SPINCO, THE PROPOSED TRANSACTION AND RELATED MATTERS. Investors and security holders will be able to obtain free copies of the Form S-4 and the proxy statement/prospectus (when available) and other documents filed with the SEC by Gentherm,</t>
        </is>
      </c>
      <c r="P59" s="31" t="inlineStr">
        <is>
          <t>open filing</t>
        </is>
      </c>
      <c r="Q59" s="14" t="inlineStr">
        <is>
          <t>P/B 1.52 · EV/EBITDA 10.4× · FCF yld 4% · net debt 10% of mcap · rev +8% · op margin 4%</t>
        </is>
      </c>
    </row>
    <row r="60" ht="45" customHeight="1">
      <c r="A60" s="8" t="inlineStr">
        <is>
          <t>NFLX</t>
        </is>
      </c>
      <c r="B60" s="16" t="inlineStr">
        <is>
          <t>Netflix, Inc.</t>
        </is>
      </c>
      <c r="C60" s="16" t="inlineStr">
        <is>
          <t>P/B 9.87 · 9.9× EBITDA · debt 2% · 52w 11%</t>
        </is>
      </c>
      <c r="D60" s="16" t="inlineStr">
        <is>
          <t>2026-01-20</t>
        </is>
      </c>
      <c r="E60" s="16" t="inlineStr">
        <is>
          <t>Spinoff</t>
        </is>
      </c>
      <c r="F60" s="23" t="inlineStr">
        <is>
          <t>ANNOUNCED</t>
        </is>
      </c>
      <c r="G60" s="24" t="inlineStr">
        <is>
          <t>Separating a business</t>
        </is>
      </c>
      <c r="H60" s="16" t="inlineStr"/>
      <c r="I60" s="16" t="inlineStr"/>
      <c r="J60" s="16" t="inlineStr"/>
      <c r="K60" s="16" t="inlineStr"/>
      <c r="L60" s="16" t="inlineStr"/>
      <c r="M60" s="16" t="inlineStr"/>
      <c r="N60" s="16" t="inlineStr"/>
      <c r="O60" s="24" t="inlineStr">
        <is>
          <t>Additionally, we’ll expand production capacity in the US 20 and abroad and grow investment in original content over the long-term, which will create jobs and help sustain a healthy entertainment industry. __________________________________ 17 https://ir.netflix.net/investor-news-and-events/financial-releases/press-release-details/2025/NETFLIX-TO-ACQUIRE-WARNER-BROS--FOLLOWING-THE-SEPARATION-OF-DISCOVERY-GLOBAL-FOR-A-TOTAL-ENTERPRISE-VALUE-OF-82-7-BILLION-Equity-Value-of-72-0-Billion/default.aspx 18 https://ir.netflix.net/investor-news-and-events/financial-releases/press-release-details/2026/Netflix-and-Warner-Bros--Discovery-Amend-Agreement-to-All-Cash-Transaction/default.aspx 19 https://www.netflixwbtogether.com/ 20 https://about.netflix.com/en/impact/made-in-america 7 Long Term Stock Price Performance In each January investor letter, we provide an update on our long term stock performance. We continue to manage our business for the long term and under the belief that pleasing our members will lead to strong value creation for our fellow shareholders. We thank our investors for their trust and for coming along with us on our journey to build one of the world's leading entertainment companies. * As of 12/31/2025.</t>
        </is>
      </c>
      <c r="P60" s="32" t="inlineStr">
        <is>
          <t>open filing</t>
        </is>
      </c>
      <c r="Q60" s="16" t="inlineStr">
        <is>
          <t>P/B 9.87 · EV/EBITDA 9.9× · FCF yld 4% · net debt 2% of mcap · rev +16% · op margin 30% · buying back 2%/yr</t>
        </is>
      </c>
    </row>
    <row r="61" ht="45" customHeight="1">
      <c r="A61" s="6" t="inlineStr">
        <is>
          <t>NFLX</t>
        </is>
      </c>
      <c r="B61" s="14" t="inlineStr">
        <is>
          <t>Netflix, Inc.</t>
        </is>
      </c>
      <c r="C61" s="14" t="inlineStr">
        <is>
          <t>P/B 9.87 · 9.9× EBITDA · debt 2% · 52w 11%</t>
        </is>
      </c>
      <c r="D61" s="14" t="inlineStr">
        <is>
          <t>2026-01-20</t>
        </is>
      </c>
      <c r="E61" s="14" t="inlineStr">
        <is>
          <t>Separation</t>
        </is>
      </c>
      <c r="F61" s="25" t="inlineStr">
        <is>
          <t>ANNOUNCED</t>
        </is>
      </c>
      <c r="G61" s="22" t="inlineStr">
        <is>
          <t>Separating a business</t>
        </is>
      </c>
      <c r="H61" s="14" t="inlineStr"/>
      <c r="I61" s="14" t="inlineStr"/>
      <c r="J61" s="14" t="inlineStr"/>
      <c r="K61" s="14" t="inlineStr"/>
      <c r="L61" s="14" t="inlineStr"/>
      <c r="M61" s="14" t="inlineStr"/>
      <c r="N61" s="14" t="inlineStr"/>
      <c r="O61" s="22" t="inlineStr">
        <is>
          <t>Additionally, we’ll expand production capacity in the US 20 and abroad and grow investment in original content over the long-term, which will create jobs and help sustain a healthy entertainment industry. __________________________________ 17 https://ir.netflix.net/investor-news-and-events/financial-releases/press-release-details/2025/NETFLIX-TO-ACQUIRE-WARNER-BROS--FOLLOWING-THE-SEPARATION-OF-DISCOVERY-GLOBAL-FOR-A-TOTAL-ENTERPRISE-VALUE-OF-82-7-BILLION-Equity-Value-of-72-0-Billion/default.aspx 18 https://ir.netflix.net/investor-news-and-events/financial-releases/press-release-details/2026/Netflix-and-Warner-Bros--Discovery-Amend-Agreement-to-All-Cash-Transaction/default.aspx 19 https://www.netflixwbtogether.com/ 20 https://about.netflix.com/en/impact/made-in-america 7 Long Term Stock Price Performance In each January investor letter, we provide an update on our long term stock performance. We continue to manage our business for the long term and under the belief that pleasing our members will lead to strong value creation for our fellow shareholders. We thank our investors for their trust and for coming along with us on our journey to build one of the world's leading entertainment companies. * As of 12/31/2025.</t>
        </is>
      </c>
      <c r="P61" s="31" t="inlineStr">
        <is>
          <t>open filing</t>
        </is>
      </c>
      <c r="Q61" s="14" t="inlineStr">
        <is>
          <t>P/B 9.87 · EV/EBITDA 9.9× · FCF yld 4% · net debt 2% of mcap · rev +16% · op margin 30% · buying back 2%/yr</t>
        </is>
      </c>
    </row>
  </sheetData>
  <mergeCells count="1">
    <mergeCell ref="A2:K2"/>
  </mergeCells>
  <hyperlinks>
    <hyperlink xmlns:r="http://schemas.openxmlformats.org/officeDocument/2006/relationships" ref="A5" r:id="rId1"/>
    <hyperlink xmlns:r="http://schemas.openxmlformats.org/officeDocument/2006/relationships" ref="P5" r:id="rId2"/>
    <hyperlink xmlns:r="http://schemas.openxmlformats.org/officeDocument/2006/relationships" ref="A6" r:id="rId3"/>
    <hyperlink xmlns:r="http://schemas.openxmlformats.org/officeDocument/2006/relationships" ref="P6" r:id="rId4"/>
    <hyperlink xmlns:r="http://schemas.openxmlformats.org/officeDocument/2006/relationships" ref="P7" r:id="rId5"/>
    <hyperlink xmlns:r="http://schemas.openxmlformats.org/officeDocument/2006/relationships" ref="P8" r:id="rId6"/>
    <hyperlink xmlns:r="http://schemas.openxmlformats.org/officeDocument/2006/relationships" ref="P9" r:id="rId7"/>
    <hyperlink xmlns:r="http://schemas.openxmlformats.org/officeDocument/2006/relationships" ref="P10" r:id="rId8"/>
    <hyperlink xmlns:r="http://schemas.openxmlformats.org/officeDocument/2006/relationships" ref="P11" r:id="rId9"/>
    <hyperlink xmlns:r="http://schemas.openxmlformats.org/officeDocument/2006/relationships" ref="P12" r:id="rId10"/>
    <hyperlink xmlns:r="http://schemas.openxmlformats.org/officeDocument/2006/relationships" ref="P13" r:id="rId11"/>
    <hyperlink xmlns:r="http://schemas.openxmlformats.org/officeDocument/2006/relationships" ref="P14" r:id="rId12"/>
    <hyperlink xmlns:r="http://schemas.openxmlformats.org/officeDocument/2006/relationships" ref="P15" r:id="rId13"/>
    <hyperlink xmlns:r="http://schemas.openxmlformats.org/officeDocument/2006/relationships" ref="P16" r:id="rId14"/>
    <hyperlink xmlns:r="http://schemas.openxmlformats.org/officeDocument/2006/relationships" ref="P17" r:id="rId15"/>
    <hyperlink xmlns:r="http://schemas.openxmlformats.org/officeDocument/2006/relationships" ref="A18" r:id="rId16"/>
    <hyperlink xmlns:r="http://schemas.openxmlformats.org/officeDocument/2006/relationships" ref="P18" r:id="rId17"/>
    <hyperlink xmlns:r="http://schemas.openxmlformats.org/officeDocument/2006/relationships" ref="A19" r:id="rId18"/>
    <hyperlink xmlns:r="http://schemas.openxmlformats.org/officeDocument/2006/relationships" ref="P19" r:id="rId19"/>
    <hyperlink xmlns:r="http://schemas.openxmlformats.org/officeDocument/2006/relationships" ref="A20" r:id="rId20"/>
    <hyperlink xmlns:r="http://schemas.openxmlformats.org/officeDocument/2006/relationships" ref="P20" r:id="rId21"/>
    <hyperlink xmlns:r="http://schemas.openxmlformats.org/officeDocument/2006/relationships" ref="P21" r:id="rId22"/>
    <hyperlink xmlns:r="http://schemas.openxmlformats.org/officeDocument/2006/relationships" ref="P22" r:id="rId23"/>
    <hyperlink xmlns:r="http://schemas.openxmlformats.org/officeDocument/2006/relationships" ref="A23" r:id="rId24"/>
    <hyperlink xmlns:r="http://schemas.openxmlformats.org/officeDocument/2006/relationships" ref="P23" r:id="rId25"/>
    <hyperlink xmlns:r="http://schemas.openxmlformats.org/officeDocument/2006/relationships" ref="A24" r:id="rId26"/>
    <hyperlink xmlns:r="http://schemas.openxmlformats.org/officeDocument/2006/relationships" ref="P24" r:id="rId27"/>
    <hyperlink xmlns:r="http://schemas.openxmlformats.org/officeDocument/2006/relationships" ref="A25" r:id="rId28"/>
    <hyperlink xmlns:r="http://schemas.openxmlformats.org/officeDocument/2006/relationships" ref="P25" r:id="rId29"/>
    <hyperlink xmlns:r="http://schemas.openxmlformats.org/officeDocument/2006/relationships" ref="P26" r:id="rId30"/>
    <hyperlink xmlns:r="http://schemas.openxmlformats.org/officeDocument/2006/relationships" ref="A27" r:id="rId31"/>
    <hyperlink xmlns:r="http://schemas.openxmlformats.org/officeDocument/2006/relationships" ref="P27" r:id="rId32"/>
    <hyperlink xmlns:r="http://schemas.openxmlformats.org/officeDocument/2006/relationships" ref="A28" r:id="rId33"/>
    <hyperlink xmlns:r="http://schemas.openxmlformats.org/officeDocument/2006/relationships" ref="P28" r:id="rId34"/>
    <hyperlink xmlns:r="http://schemas.openxmlformats.org/officeDocument/2006/relationships" ref="P29" r:id="rId35"/>
    <hyperlink xmlns:r="http://schemas.openxmlformats.org/officeDocument/2006/relationships" ref="A30" r:id="rId36"/>
    <hyperlink xmlns:r="http://schemas.openxmlformats.org/officeDocument/2006/relationships" ref="P30" r:id="rId37"/>
    <hyperlink xmlns:r="http://schemas.openxmlformats.org/officeDocument/2006/relationships" ref="P31" r:id="rId38"/>
    <hyperlink xmlns:r="http://schemas.openxmlformats.org/officeDocument/2006/relationships" ref="P32" r:id="rId39"/>
    <hyperlink xmlns:r="http://schemas.openxmlformats.org/officeDocument/2006/relationships" ref="P33" r:id="rId40"/>
    <hyperlink xmlns:r="http://schemas.openxmlformats.org/officeDocument/2006/relationships" ref="P34" r:id="rId41"/>
    <hyperlink xmlns:r="http://schemas.openxmlformats.org/officeDocument/2006/relationships" ref="P35" r:id="rId42"/>
    <hyperlink xmlns:r="http://schemas.openxmlformats.org/officeDocument/2006/relationships" ref="A36" r:id="rId43"/>
    <hyperlink xmlns:r="http://schemas.openxmlformats.org/officeDocument/2006/relationships" ref="P36" r:id="rId44"/>
    <hyperlink xmlns:r="http://schemas.openxmlformats.org/officeDocument/2006/relationships" ref="P37" r:id="rId45"/>
    <hyperlink xmlns:r="http://schemas.openxmlformats.org/officeDocument/2006/relationships" ref="P38" r:id="rId46"/>
    <hyperlink xmlns:r="http://schemas.openxmlformats.org/officeDocument/2006/relationships" ref="P39" r:id="rId47"/>
    <hyperlink xmlns:r="http://schemas.openxmlformats.org/officeDocument/2006/relationships" ref="A40" r:id="rId48"/>
    <hyperlink xmlns:r="http://schemas.openxmlformats.org/officeDocument/2006/relationships" ref="P40" r:id="rId49"/>
    <hyperlink xmlns:r="http://schemas.openxmlformats.org/officeDocument/2006/relationships" ref="P41" r:id="rId50"/>
    <hyperlink xmlns:r="http://schemas.openxmlformats.org/officeDocument/2006/relationships" ref="P42" r:id="rId51"/>
    <hyperlink xmlns:r="http://schemas.openxmlformats.org/officeDocument/2006/relationships" ref="P43" r:id="rId52"/>
    <hyperlink xmlns:r="http://schemas.openxmlformats.org/officeDocument/2006/relationships" ref="P44" r:id="rId53"/>
    <hyperlink xmlns:r="http://schemas.openxmlformats.org/officeDocument/2006/relationships" ref="A45" r:id="rId54"/>
    <hyperlink xmlns:r="http://schemas.openxmlformats.org/officeDocument/2006/relationships" ref="P45" r:id="rId55"/>
    <hyperlink xmlns:r="http://schemas.openxmlformats.org/officeDocument/2006/relationships" ref="A46" r:id="rId56"/>
    <hyperlink xmlns:r="http://schemas.openxmlformats.org/officeDocument/2006/relationships" ref="P46" r:id="rId57"/>
    <hyperlink xmlns:r="http://schemas.openxmlformats.org/officeDocument/2006/relationships" ref="P47" r:id="rId58"/>
    <hyperlink xmlns:r="http://schemas.openxmlformats.org/officeDocument/2006/relationships" ref="A48" r:id="rId59"/>
    <hyperlink xmlns:r="http://schemas.openxmlformats.org/officeDocument/2006/relationships" ref="P48" r:id="rId60"/>
    <hyperlink xmlns:r="http://schemas.openxmlformats.org/officeDocument/2006/relationships" ref="A49" r:id="rId61"/>
    <hyperlink xmlns:r="http://schemas.openxmlformats.org/officeDocument/2006/relationships" ref="P49" r:id="rId62"/>
    <hyperlink xmlns:r="http://schemas.openxmlformats.org/officeDocument/2006/relationships" ref="A50" r:id="rId63"/>
    <hyperlink xmlns:r="http://schemas.openxmlformats.org/officeDocument/2006/relationships" ref="P50" r:id="rId64"/>
    <hyperlink xmlns:r="http://schemas.openxmlformats.org/officeDocument/2006/relationships" ref="A51" r:id="rId65"/>
    <hyperlink xmlns:r="http://schemas.openxmlformats.org/officeDocument/2006/relationships" ref="P51" r:id="rId66"/>
    <hyperlink xmlns:r="http://schemas.openxmlformats.org/officeDocument/2006/relationships" ref="A52" r:id="rId67"/>
    <hyperlink xmlns:r="http://schemas.openxmlformats.org/officeDocument/2006/relationships" ref="P52" r:id="rId68"/>
    <hyperlink xmlns:r="http://schemas.openxmlformats.org/officeDocument/2006/relationships" ref="A53" r:id="rId69"/>
    <hyperlink xmlns:r="http://schemas.openxmlformats.org/officeDocument/2006/relationships" ref="P53" r:id="rId70"/>
    <hyperlink xmlns:r="http://schemas.openxmlformats.org/officeDocument/2006/relationships" ref="P54" r:id="rId71"/>
    <hyperlink xmlns:r="http://schemas.openxmlformats.org/officeDocument/2006/relationships" ref="A55" r:id="rId72"/>
    <hyperlink xmlns:r="http://schemas.openxmlformats.org/officeDocument/2006/relationships" ref="P55" r:id="rId73"/>
    <hyperlink xmlns:r="http://schemas.openxmlformats.org/officeDocument/2006/relationships" ref="P56" r:id="rId74"/>
    <hyperlink xmlns:r="http://schemas.openxmlformats.org/officeDocument/2006/relationships" ref="P57" r:id="rId75"/>
    <hyperlink xmlns:r="http://schemas.openxmlformats.org/officeDocument/2006/relationships" ref="P58" r:id="rId76"/>
    <hyperlink xmlns:r="http://schemas.openxmlformats.org/officeDocument/2006/relationships" ref="P59" r:id="rId77"/>
    <hyperlink xmlns:r="http://schemas.openxmlformats.org/officeDocument/2006/relationships" ref="P60" r:id="rId78"/>
    <hyperlink xmlns:r="http://schemas.openxmlformats.org/officeDocument/2006/relationships" ref="P61" r:id="rId79"/>
  </hyperlinks>
  <pageMargins left="0.75" right="0.75" top="1" bottom="1" header="0.5" footer="0.5"/>
</worksheet>
</file>

<file path=xl/worksheets/sheet13.xml><?xml version="1.0" encoding="utf-8"?>
<worksheet xmlns="http://schemas.openxmlformats.org/spreadsheetml/2006/main">
  <sheetPr>
    <tabColor rgb="002E75B6"/>
    <outlinePr summaryBelow="1" summaryRight="1"/>
    <pageSetUpPr fitToPage="1"/>
  </sheetPr>
  <dimension ref="A1:K22"/>
  <sheetViews>
    <sheetView showGridLines="0" workbookViewId="0">
      <pane ySplit="4" topLeftCell="A5" activePane="bottomLeft" state="frozen"/>
      <selection pane="bottomLeft" activeCell="A1" sqref="A1"/>
    </sheetView>
  </sheetViews>
  <sheetFormatPr baseColWidth="8" defaultRowHeight="15"/>
  <cols>
    <col width="9" customWidth="1" min="1" max="1"/>
    <col width="24" customWidth="1" min="2" max="2"/>
    <col width="30" customWidth="1" min="3" max="3"/>
    <col width="9" customWidth="1" min="4" max="4"/>
    <col width="8" customWidth="1" min="5" max="5"/>
    <col width="22" customWidth="1" min="6" max="6"/>
    <col width="8" customWidth="1" min="7" max="7"/>
    <col width="8" customWidth="1" min="8" max="8"/>
    <col width="8" customWidth="1" min="9" max="9"/>
    <col width="20" customWidth="1" min="10" max="10"/>
    <col width="62" customWidth="1" min="11" max="11"/>
  </cols>
  <sheetData>
    <row r="1" ht="26" customHeight="1">
      <c r="A1" s="1" t="inlineStr">
        <is>
          <t>Structured Distressed Injection — the Cundill / Sibir play</t>
        </is>
      </c>
    </row>
    <row r="2" ht="18" customHeight="1">
      <c r="A2" s="20" t="inlineStr">
        <is>
          <t>Hard-asset-backed companies whose equity collapsed in a washout and that are raising capital via a SENIOR / CONVERTIBLE instrument (convertible debenture, senior/secured convertible note, convertible preferred). The margin of safety is structural — seniority + coupon + asset value floor the downside, the convert keeps the upside — so the move is to own the INSTRUMENT, not the common.</t>
        </is>
      </c>
      <c r="B2" s="19" t="n"/>
      <c r="C2" s="19" t="n"/>
      <c r="D2" s="19" t="n"/>
      <c r="E2" s="19" t="n"/>
      <c r="F2" s="19" t="n"/>
      <c r="G2" s="19" t="n"/>
      <c r="H2" s="19" t="n"/>
      <c r="I2" s="19" t="n"/>
      <c r="J2" s="19" t="n"/>
    </row>
    <row r="3" ht="8" customHeight="1">
      <c r="D3" s="34" t="inlineStr">
        <is>
          <t>%ile vs all 16 names scored</t>
        </is>
      </c>
    </row>
    <row r="4" ht="18" customHeight="1">
      <c r="A4" s="12" t="inlineStr">
        <is>
          <t>Ticker</t>
        </is>
      </c>
      <c r="B4" s="12" t="inlineStr">
        <is>
          <t>Name</t>
        </is>
      </c>
      <c r="C4" s="12" t="inlineStr">
        <is>
          <t>Key numbers (FMP)</t>
        </is>
      </c>
      <c r="D4" s="12" t="inlineStr">
        <is>
          <t>Strength %ile</t>
        </is>
      </c>
      <c r="E4" s="4" t="inlineStr">
        <is>
          <t>Score</t>
        </is>
      </c>
      <c r="F4" s="4" t="inlineStr">
        <is>
          <t>Instrument</t>
        </is>
      </c>
      <c r="G4" s="4" t="inlineStr">
        <is>
          <t>Drawdown</t>
        </is>
      </c>
      <c r="H4" s="4" t="inlineStr">
        <is>
          <t>Coupon</t>
        </is>
      </c>
      <c r="I4" s="4" t="inlineStr">
        <is>
          <t>Senior</t>
        </is>
      </c>
      <c r="J4" s="4" t="inlineStr">
        <is>
          <t>Signals</t>
        </is>
      </c>
      <c r="K4" s="4" t="inlineStr">
        <is>
          <t>FMP financial read</t>
        </is>
      </c>
    </row>
    <row r="5" ht="22" customHeight="1">
      <c r="A5" s="6" t="inlineStr">
        <is>
          <t>CAPS</t>
        </is>
      </c>
      <c r="B5" s="14" t="inlineStr">
        <is>
          <t>Capstone Holding Corp.</t>
        </is>
      </c>
      <c r="C5" s="14" t="inlineStr">
        <is>
          <t>P/B 0.20 · debt 703% · 52w 1%</t>
        </is>
      </c>
      <c r="D5" s="14" t="n">
        <v>91</v>
      </c>
      <c r="E5" s="27" t="n">
        <v>27</v>
      </c>
      <c r="F5" s="14" t="inlineStr">
        <is>
          <t>senior secured convertible</t>
        </is>
      </c>
      <c r="G5" s="27" t="n">
        <v>-89</v>
      </c>
      <c r="H5" s="14" t="inlineStr">
        <is>
          <t>–</t>
        </is>
      </c>
      <c r="I5" s="14" t="inlineStr">
        <is>
          <t>✓</t>
        </is>
      </c>
      <c r="J5" s="14" t="inlineStr">
        <is>
          <t>asset floor, washout</t>
        </is>
      </c>
      <c r="K5" s="14" t="inlineStr">
        <is>
          <t>P/B 0.20 · P/S 0.0 · net debt 703% of mcap · op margin -6% · interest cover -0.6× ⚠  [FCF yield &gt;100% (check); new entity / merger: history not comparable]</t>
        </is>
      </c>
    </row>
    <row r="6" ht="22" customHeight="1">
      <c r="A6" s="8" t="inlineStr">
        <is>
          <t>POLA</t>
        </is>
      </c>
      <c r="B6" s="16" t="inlineStr">
        <is>
          <t>Polar Power, Inc.</t>
        </is>
      </c>
      <c r="C6" s="16" t="inlineStr">
        <is>
          <t>P/B 4.24 · debt 104% · 52w 2%</t>
        </is>
      </c>
      <c r="D6" s="16" t="n">
        <v>91</v>
      </c>
      <c r="E6" s="28" t="n">
        <v>27</v>
      </c>
      <c r="F6" s="16" t="inlineStr">
        <is>
          <t>convertible preferred</t>
        </is>
      </c>
      <c r="G6" s="28" t="n">
        <v>-77</v>
      </c>
      <c r="H6" s="28" t="n">
        <v>10</v>
      </c>
      <c r="I6" s="16" t="inlineStr">
        <is>
          <t>✓</t>
        </is>
      </c>
      <c r="J6" s="16" t="inlineStr">
        <is>
          <t>asset floor, washout</t>
        </is>
      </c>
      <c r="K6" s="16" t="inlineStr">
        <is>
          <t>P/B 4.24 · P/S 0.8 · FCF yld -61% · net debt 104% of mcap · rev -61% · op margin -182% · diluting 48%/yr · interest cover -8.1× ⚠</t>
        </is>
      </c>
    </row>
    <row r="7" ht="22" customHeight="1">
      <c r="A7" s="6" t="inlineStr">
        <is>
          <t>TAOX</t>
        </is>
      </c>
      <c r="B7" s="14" t="inlineStr">
        <is>
          <t>Tao Synergies Inc.</t>
        </is>
      </c>
      <c r="C7" s="14" t="inlineStr">
        <is>
          <t>P/B 1.87 · cash 59% · 52w 18%</t>
        </is>
      </c>
      <c r="D7" s="14" t="n">
        <v>91</v>
      </c>
      <c r="E7" s="27" t="n">
        <v>27</v>
      </c>
      <c r="F7" s="14" t="inlineStr">
        <is>
          <t>convertible pipe</t>
        </is>
      </c>
      <c r="G7" s="27" t="n">
        <v>-57</v>
      </c>
      <c r="H7" s="27" t="n">
        <v>7</v>
      </c>
      <c r="I7" s="14" t="inlineStr">
        <is>
          <t>✓</t>
        </is>
      </c>
      <c r="J7" s="14" t="inlineStr">
        <is>
          <t>asset floor, washout</t>
        </is>
      </c>
      <c r="K7" s="14" t="inlineStr">
        <is>
          <t>P/B 1.87 · P/S 41.7 · FCF yld -19% · net cash 59% of mcap  [revenue not comparable YoY (fair-value / one-off income?)]</t>
        </is>
      </c>
    </row>
    <row r="8" ht="22" customHeight="1">
      <c r="A8" s="8" t="inlineStr">
        <is>
          <t>STEX</t>
        </is>
      </c>
      <c r="B8" s="16" t="inlineStr">
        <is>
          <t>Streamex Corp.</t>
        </is>
      </c>
      <c r="C8" s="16" t="inlineStr">
        <is>
          <t>P/B 0.59 · 52w 4%</t>
        </is>
      </c>
      <c r="D8" s="16" t="n">
        <v>72</v>
      </c>
      <c r="E8" s="28" t="n">
        <v>26</v>
      </c>
      <c r="F8" s="16" t="inlineStr">
        <is>
          <t>convertible debenture</t>
        </is>
      </c>
      <c r="G8" s="28" t="n">
        <v>-88</v>
      </c>
      <c r="H8" s="16" t="inlineStr">
        <is>
          <t>–</t>
        </is>
      </c>
      <c r="I8" s="16" t="inlineStr">
        <is>
          <t>✓</t>
        </is>
      </c>
      <c r="J8" s="16" t="inlineStr">
        <is>
          <t>asset floor, washout</t>
        </is>
      </c>
      <c r="K8" s="16" t="inlineStr">
        <is>
          <t>P/B 0.59 · ROE -465% (financial: book/earnings basis)  [revenue not comparable YoY (fair-value / one-off income?)]</t>
        </is>
      </c>
    </row>
    <row r="9" ht="22" customHeight="1">
      <c r="A9" s="6" t="inlineStr">
        <is>
          <t>BRFH</t>
        </is>
      </c>
      <c r="B9" s="14" t="inlineStr">
        <is>
          <t>Barfresh Food Group Inc.</t>
        </is>
      </c>
      <c r="C9" s="14" t="inlineStr">
        <is>
          <t>52w 0%</t>
        </is>
      </c>
      <c r="D9" s="14" t="n">
        <v>72</v>
      </c>
      <c r="E9" s="27" t="n">
        <v>26</v>
      </c>
      <c r="F9" s="14" t="inlineStr">
        <is>
          <t>senior convertible</t>
        </is>
      </c>
      <c r="G9" s="27" t="n">
        <v>-74</v>
      </c>
      <c r="H9" s="14" t="inlineStr">
        <is>
          <t>–</t>
        </is>
      </c>
      <c r="I9" s="14" t="inlineStr">
        <is>
          <t>✓</t>
        </is>
      </c>
      <c r="J9" s="14" t="inlineStr">
        <is>
          <t>asset floor, washout</t>
        </is>
      </c>
      <c r="K9" s="14" t="inlineStr">
        <is>
          <t>P/S 0.8 · FCF yld -25% · rev +82% · op margin -16% · diluting 3%/yr  [negative equity]</t>
        </is>
      </c>
    </row>
    <row r="10" ht="22" customHeight="1">
      <c r="A10" s="8" t="inlineStr">
        <is>
          <t>FNGR</t>
        </is>
      </c>
      <c r="B10" s="16" t="inlineStr">
        <is>
          <t>FingerMotion, Inc.</t>
        </is>
      </c>
      <c r="C10" s="16" t="inlineStr">
        <is>
          <t>P/B 0.51 · debt 5% · 52w 0%</t>
        </is>
      </c>
      <c r="D10" s="16" t="n">
        <v>72</v>
      </c>
      <c r="E10" s="28" t="n">
        <v>26</v>
      </c>
      <c r="F10" s="16" t="inlineStr">
        <is>
          <t>secured convertible</t>
        </is>
      </c>
      <c r="G10" s="28" t="n">
        <v>-94</v>
      </c>
      <c r="H10" s="16" t="inlineStr">
        <is>
          <t>–</t>
        </is>
      </c>
      <c r="I10" s="16" t="inlineStr">
        <is>
          <t>✓</t>
        </is>
      </c>
      <c r="J10" s="16" t="inlineStr">
        <is>
          <t>asset floor, washout</t>
        </is>
      </c>
      <c r="K10" s="16" t="inlineStr">
        <is>
          <t>P/B 0.51 · P/S 0.5 · FCF yld -60% · net debt 5% of mcap · rev +15% · op margin -41% · diluting 13%/yr</t>
        </is>
      </c>
    </row>
    <row r="11" ht="22" customHeight="1">
      <c r="A11" s="6" t="inlineStr">
        <is>
          <t>FRMI</t>
        </is>
      </c>
      <c r="B11" s="14" t="inlineStr">
        <is>
          <t>Fermi Inc.</t>
        </is>
      </c>
      <c r="C11" s="14" t="inlineStr">
        <is>
          <t>P/B 3.06 · cash 2% · 52w 1%</t>
        </is>
      </c>
      <c r="D11" s="14" t="n">
        <v>53</v>
      </c>
      <c r="E11" s="27" t="n">
        <v>25</v>
      </c>
      <c r="F11" s="14" t="inlineStr">
        <is>
          <t>senior convertible</t>
        </is>
      </c>
      <c r="G11" s="27" t="n">
        <v>-87</v>
      </c>
      <c r="H11" s="27" t="n">
        <v>5</v>
      </c>
      <c r="I11" s="14" t="inlineStr">
        <is>
          <t>✓</t>
        </is>
      </c>
      <c r="J11" s="14" t="inlineStr">
        <is>
          <t>asset floor, washout</t>
        </is>
      </c>
      <c r="K11" s="14" t="inlineStr">
        <is>
          <t>P/B 3.06 · P/S 0.0 · FCF yld -38% · net cash 2% of mcap · op margin 0% · diluting 75%/yr</t>
        </is>
      </c>
    </row>
    <row r="12" ht="22" customHeight="1">
      <c r="A12" s="8" t="inlineStr">
        <is>
          <t>DFH</t>
        </is>
      </c>
      <c r="B12" s="16" t="inlineStr">
        <is>
          <t>Dream Finders Homes, Inc</t>
        </is>
      </c>
      <c r="C12" s="16" t="inlineStr">
        <is>
          <t>P/B 0.68 · 11.7× EBITDA · debt 36% · 52w 2%</t>
        </is>
      </c>
      <c r="D12" s="16" t="n">
        <v>53</v>
      </c>
      <c r="E12" s="28" t="n">
        <v>25</v>
      </c>
      <c r="F12" s="16" t="inlineStr">
        <is>
          <t>convertible preferred</t>
        </is>
      </c>
      <c r="G12" s="28" t="n">
        <v>-58</v>
      </c>
      <c r="H12" s="16" t="inlineStr">
        <is>
          <t>–</t>
        </is>
      </c>
      <c r="I12" s="16" t="inlineStr">
        <is>
          <t>✓</t>
        </is>
      </c>
      <c r="J12" s="16" t="inlineStr">
        <is>
          <t>asset floor, washout</t>
        </is>
      </c>
      <c r="K12" s="16" t="inlineStr">
        <is>
          <t>P/B 0.68 · EV/EBITDA 11.7× · FCF yld -15% · net debt 36% of mcap · rev -12% · op margin 3% · buying back 10%/yr</t>
        </is>
      </c>
    </row>
    <row r="13" ht="22" customHeight="1">
      <c r="A13" s="6" t="inlineStr">
        <is>
          <t>AIB</t>
        </is>
      </c>
      <c r="B13" s="14" t="inlineStr">
        <is>
          <t>AIB Data Centers Inc.</t>
        </is>
      </c>
      <c r="C13" s="14" t="inlineStr">
        <is>
          <t>P/B 1.24 · cash 51% · 52w 8%</t>
        </is>
      </c>
      <c r="D13" s="14" t="n">
        <v>53</v>
      </c>
      <c r="E13" s="27" t="n">
        <v>25</v>
      </c>
      <c r="F13" s="14" t="inlineStr">
        <is>
          <t>convertible pipe</t>
        </is>
      </c>
      <c r="G13" s="27" t="n">
        <v>-78</v>
      </c>
      <c r="H13" s="14" t="inlineStr">
        <is>
          <t>–</t>
        </is>
      </c>
      <c r="I13" s="14" t="inlineStr">
        <is>
          <t>✓</t>
        </is>
      </c>
      <c r="J13" s="14" t="inlineStr">
        <is>
          <t>asset floor, washout</t>
        </is>
      </c>
      <c r="K13" s="14" t="inlineStr">
        <is>
          <t>P/B 1.24 · P/S 8.5 · FCF yld -1% · net cash 51% of mcap · op margin -42%  [new entity / merger: history not comparable]</t>
        </is>
      </c>
    </row>
    <row r="14" ht="22" customHeight="1">
      <c r="A14" s="8" t="inlineStr">
        <is>
          <t>SAFX</t>
        </is>
      </c>
      <c r="B14" s="16" t="inlineStr">
        <is>
          <t>XCF Global, Inc. Class A</t>
        </is>
      </c>
      <c r="C14" s="16" t="inlineStr">
        <is>
          <t>4.5× EBITDA · 52w 23%</t>
        </is>
      </c>
      <c r="D14" s="16" t="n">
        <v>41</v>
      </c>
      <c r="E14" s="28" t="n">
        <v>24</v>
      </c>
      <c r="F14" s="16" t="inlineStr">
        <is>
          <t>convertible debenture</t>
        </is>
      </c>
      <c r="G14" s="28" t="n">
        <v>-71</v>
      </c>
      <c r="H14" s="16" t="inlineStr">
        <is>
          <t>–</t>
        </is>
      </c>
      <c r="I14" s="16" t="inlineStr">
        <is>
          <t>–</t>
        </is>
      </c>
      <c r="J14" s="16" t="inlineStr">
        <is>
          <t>asset floor, washout</t>
        </is>
      </c>
      <c r="K14" s="16" t="inlineStr">
        <is>
          <t>EV/EBITDA 4.5× · FCF yld -13% · rev +132% · op margin -247% · diluting 6%/yr  [market-cap/share data inconsistent]</t>
        </is>
      </c>
    </row>
    <row r="15" ht="22" customHeight="1">
      <c r="A15" s="6" t="inlineStr">
        <is>
          <t>AESI</t>
        </is>
      </c>
      <c r="B15" s="14" t="inlineStr">
        <is>
          <t>Atlas Energy Solutions I</t>
        </is>
      </c>
      <c r="C15" s="14" t="inlineStr">
        <is>
          <t>P/B 1.33 · 20.2× EBITDA · debt 54% · 52w 33%</t>
        </is>
      </c>
      <c r="D15" s="14" t="n">
        <v>31</v>
      </c>
      <c r="E15" s="27" t="n">
        <v>23</v>
      </c>
      <c r="F15" s="14" t="inlineStr">
        <is>
          <t>senior convertible</t>
        </is>
      </c>
      <c r="G15" s="27" t="n">
        <v>-41</v>
      </c>
      <c r="H15" s="27" t="n">
        <v>0.5</v>
      </c>
      <c r="I15" s="14" t="inlineStr">
        <is>
          <t>✓</t>
        </is>
      </c>
      <c r="J15" s="14" t="inlineStr">
        <is>
          <t>asset floor, small-c</t>
        </is>
      </c>
      <c r="K15" s="14" t="inlineStr">
        <is>
          <t>P/B 1.33 · EV/EBITDA 20.2× · FCF yld -13% · net debt 54% of mcap · rev -8% · op margin -9% · interest cover -1.5× ⚠</t>
        </is>
      </c>
    </row>
    <row r="16" ht="22" customHeight="1">
      <c r="A16" s="8" t="inlineStr">
        <is>
          <t>ASPI</t>
        </is>
      </c>
      <c r="B16" s="16" t="inlineStr">
        <is>
          <t>ASP Isotopes Inc. Common</t>
        </is>
      </c>
      <c r="C16" s="16" t="inlineStr">
        <is>
          <t>P/B 1.47 · debt 4% · 52w 1%</t>
        </is>
      </c>
      <c r="D16" s="16" t="n">
        <v>31</v>
      </c>
      <c r="E16" s="28" t="n">
        <v>23</v>
      </c>
      <c r="F16" s="16" t="inlineStr">
        <is>
          <t>convertible pipe</t>
        </is>
      </c>
      <c r="G16" s="28" t="n">
        <v>-79</v>
      </c>
      <c r="H16" s="16" t="inlineStr">
        <is>
          <t>–</t>
        </is>
      </c>
      <c r="I16" s="16" t="inlineStr">
        <is>
          <t>–</t>
        </is>
      </c>
      <c r="J16" s="16" t="inlineStr">
        <is>
          <t>asset floor, washout</t>
        </is>
      </c>
      <c r="K16" s="16" t="inlineStr">
        <is>
          <t>P/B 1.47 · P/S 12.4 · FCF yld -22% · net debt 4% of mcap · op margin -312% · diluting 68%/yr  [revenue not comparable YoY (fair-value / one-off income?)]</t>
        </is>
      </c>
    </row>
    <row r="17" ht="22" customHeight="1">
      <c r="A17" s="6" t="inlineStr">
        <is>
          <t>INR</t>
        </is>
      </c>
      <c r="B17" s="14" t="inlineStr">
        <is>
          <t>Infinity Natural Resourc</t>
        </is>
      </c>
      <c r="C17" s="14" t="inlineStr">
        <is>
          <t>P/B 1.38 · debt 188% · 52w 25%</t>
        </is>
      </c>
      <c r="D17" s="14" t="n">
        <v>16</v>
      </c>
      <c r="E17" s="27" t="n">
        <v>22</v>
      </c>
      <c r="F17" s="14" t="inlineStr">
        <is>
          <t>convertible preferred</t>
        </is>
      </c>
      <c r="G17" s="27" t="n">
        <v>-32</v>
      </c>
      <c r="H17" s="27" t="n">
        <v>51</v>
      </c>
      <c r="I17" s="14" t="inlineStr">
        <is>
          <t>✓</t>
        </is>
      </c>
      <c r="J17" s="14" t="inlineStr">
        <is>
          <t>asset floor, small-c</t>
        </is>
      </c>
      <c r="K17" s="14" t="inlineStr">
        <is>
          <t>P/B 1.38 · P/S 0.5 · net debt 188% of mcap · op margin 41%  [FCF yield &gt;100% (check); new entity / merger: history not comparable]</t>
        </is>
      </c>
    </row>
    <row r="18" ht="22" customHeight="1">
      <c r="A18" s="8" t="inlineStr">
        <is>
          <t>WHR</t>
        </is>
      </c>
      <c r="B18" s="16" t="inlineStr">
        <is>
          <t>Whirlpool Corporation</t>
        </is>
      </c>
      <c r="C18" s="16" t="inlineStr">
        <is>
          <t>P/B 0.55 · 9.2× EBITDA · debt 314% · 52w 3%</t>
        </is>
      </c>
      <c r="D18" s="16" t="n">
        <v>16</v>
      </c>
      <c r="E18" s="28" t="n">
        <v>22</v>
      </c>
      <c r="F18" s="16" t="inlineStr">
        <is>
          <t>convertible preferred</t>
        </is>
      </c>
      <c r="G18" s="28" t="n">
        <v>-65</v>
      </c>
      <c r="H18" s="16" t="inlineStr">
        <is>
          <t>–</t>
        </is>
      </c>
      <c r="I18" s="16" t="inlineStr">
        <is>
          <t>✓</t>
        </is>
      </c>
      <c r="J18" s="16" t="inlineStr">
        <is>
          <t>asset floor, washout</t>
        </is>
      </c>
      <c r="K18" s="16" t="inlineStr">
        <is>
          <t>P/B 0.55 · EV/EBITDA 9.2× · FCF yld -8% · net debt 314% of mcap · rev -4% · op margin 4% · diluting 16%/yr</t>
        </is>
      </c>
    </row>
    <row r="19" ht="22" customHeight="1">
      <c r="A19" s="6" t="inlineStr">
        <is>
          <t>BAFN</t>
        </is>
      </c>
      <c r="B19" s="14" t="inlineStr">
        <is>
          <t>BayFirst Financial Corp.</t>
        </is>
      </c>
      <c r="C19" s="14" t="inlineStr">
        <is>
          <t>P/B 0.31 · 52w 63%</t>
        </is>
      </c>
      <c r="D19" s="14" t="n">
        <v>16</v>
      </c>
      <c r="E19" s="27" t="n">
        <v>22</v>
      </c>
      <c r="F19" s="14" t="inlineStr">
        <is>
          <t>convertible pipe</t>
        </is>
      </c>
      <c r="G19" s="27" t="n">
        <v>-23</v>
      </c>
      <c r="H19" s="27" t="n">
        <v>11</v>
      </c>
      <c r="I19" s="14" t="inlineStr">
        <is>
          <t>✓</t>
        </is>
      </c>
      <c r="J19" s="14" t="inlineStr">
        <is>
          <t>asset floor, small-c</t>
        </is>
      </c>
      <c r="K19" s="14" t="inlineStr">
        <is>
          <t>P/B 0.31 · ROE -64% (financial: book/earnings basis)  [FCF yield &gt;100% (check)]</t>
        </is>
      </c>
    </row>
    <row r="20" ht="22" customHeight="1">
      <c r="A20" s="8" t="inlineStr">
        <is>
          <t>GTBIF</t>
        </is>
      </c>
      <c r="B20" s="16" t="inlineStr">
        <is>
          <t>Green Thumb Industries I</t>
        </is>
      </c>
      <c r="C20" s="16" t="inlineStr">
        <is>
          <t>P/B 0.90 · 5.8× EBITDA · debt 16% · 52w 46%</t>
        </is>
      </c>
      <c r="D20" s="16" t="n">
        <v>3</v>
      </c>
      <c r="E20" s="28" t="n">
        <v>21</v>
      </c>
      <c r="F20" s="16" t="inlineStr">
        <is>
          <t>secured convertible</t>
        </is>
      </c>
      <c r="G20" s="28" t="n">
        <v>-27</v>
      </c>
      <c r="H20" s="16" t="inlineStr">
        <is>
          <t>–</t>
        </is>
      </c>
      <c r="I20" s="16" t="inlineStr">
        <is>
          <t>✓</t>
        </is>
      </c>
      <c r="J20" s="16" t="inlineStr">
        <is>
          <t>asset floor, small-c</t>
        </is>
      </c>
      <c r="K20" s="16" t="inlineStr">
        <is>
          <t>P/B 0.90 · EV/EBITDA 5.8× · FCF yld 11% · net debt 16% of mcap · rev +5% · op margin 10% · buying back 6%/yr</t>
        </is>
      </c>
    </row>
    <row r="21"/>
    <row r="22" ht="28" customHeight="1">
      <c r="A22" s="17" t="inlineStr">
        <is>
          <t>16 names pass the hard conjunction: a structured raise (convertible/senior/preferred) IN an asset-backed, washed-out or small-cap name. Most convertible raises are routine dilutive growth financings and are filtered OUT — this isolates the distressed asset-play version where the instrument carries a built-in margin of safety (the engine's equity layers actually PENALISE convertibles as dilution, which is correct for the common and backwards for this play). Coupon/seniority parsed from the filing for the top names. Source: structured_distressed_injection.py.</t>
        </is>
      </c>
    </row>
  </sheetData>
  <mergeCells count="3">
    <mergeCell ref="A1:J1"/>
    <mergeCell ref="A2:J2"/>
    <mergeCell ref="A22:J22"/>
  </mergeCells>
  <conditionalFormatting sqref="D5:D22">
    <cfRule type="dataBar" priority="1">
      <dataBar showValue="1">
        <cfvo type="num" val="0"/>
        <cfvo type="num" val="100"/>
        <color rgb="009DB9D3"/>
      </dataBar>
    </cfRule>
  </conditionalFormatting>
  <hyperlinks>
    <hyperlink xmlns:r="http://schemas.openxmlformats.org/officeDocument/2006/relationships" ref="A10" r:id="rId1"/>
    <hyperlink xmlns:r="http://schemas.openxmlformats.org/officeDocument/2006/relationships" ref="A15" r:id="rId2"/>
    <hyperlink xmlns:r="http://schemas.openxmlformats.org/officeDocument/2006/relationships" ref="A16" r:id="rId3"/>
  </hyperlinks>
  <printOptions horizontalCentered="0"/>
  <pageMargins left="0.5" right="0.5" top="0.6" bottom="0.6" header="0.5" footer="0.5"/>
  <pageSetup orientation="landscape" fitToHeight="0" fitToWidth="1"/>
</worksheet>
</file>

<file path=xl/worksheets/sheet14.xml><?xml version="1.0" encoding="utf-8"?>
<worksheet xmlns="http://schemas.openxmlformats.org/spreadsheetml/2006/main">
  <sheetPr>
    <tabColor rgb="002E75B6"/>
    <outlinePr summaryBelow="1" summaryRight="1"/>
    <pageSetUpPr fitToPage="1"/>
  </sheetPr>
  <dimension ref="A1:K51"/>
  <sheetViews>
    <sheetView showGridLines="0" workbookViewId="0">
      <pane ySplit="4" topLeftCell="A5" activePane="bottomLeft" state="frozen"/>
      <selection pane="bottomLeft" activeCell="A1" sqref="A1"/>
    </sheetView>
  </sheetViews>
  <sheetFormatPr baseColWidth="8" defaultRowHeight="15"/>
  <cols>
    <col width="9" customWidth="1" min="1" max="1"/>
    <col width="22" customWidth="1" min="2" max="2"/>
    <col width="30" customWidth="1" min="3" max="3"/>
    <col width="9" customWidth="1" min="4" max="4"/>
    <col width="60" customWidth="1" min="5" max="5"/>
    <col width="9" customWidth="1" min="6" max="6"/>
    <col width="6" customWidth="1" min="7" max="7"/>
    <col width="26" customWidth="1" min="8" max="8"/>
    <col width="34" customWidth="1" min="9" max="9"/>
    <col width="22" customWidth="1" min="10" max="10"/>
    <col width="62" customWidth="1" min="11" max="11"/>
  </cols>
  <sheetData>
    <row r="1" ht="26" customHeight="1">
      <c r="A1" s="1" t="inlineStr">
        <is>
          <t>Distressed-Stub Progress — value-unlock events, waterfall-gated</t>
        </is>
      </c>
    </row>
    <row r="2" ht="18" customHeight="1">
      <c r="A2" s="20" t="inlineStr">
        <is>
          <t>Finality-filtered capital-structure progress (debt retired below par, claims disallowed, plan effective, distributions) — scored only where value reaches the residual security, penalised for priming / dilution / MIP leakage</t>
        </is>
      </c>
      <c r="B2" s="19" t="n"/>
      <c r="C2" s="19" t="n"/>
      <c r="D2" s="19" t="n"/>
      <c r="E2" s="19" t="n"/>
      <c r="F2" s="19" t="n"/>
      <c r="G2" s="19" t="n"/>
      <c r="H2" s="19" t="n"/>
      <c r="I2" s="19" t="n"/>
      <c r="J2" s="19" t="n"/>
    </row>
    <row r="3" ht="8" customHeight="1">
      <c r="D3" s="34" t="inlineStr">
        <is>
          <t>%ile vs all 105 names scored</t>
        </is>
      </c>
    </row>
    <row r="4" ht="18" customHeight="1">
      <c r="A4" s="12" t="inlineStr">
        <is>
          <t>Ticker</t>
        </is>
      </c>
      <c r="B4" s="12" t="inlineStr">
        <is>
          <t>Name</t>
        </is>
      </c>
      <c r="C4" s="12" t="inlineStr">
        <is>
          <t>Key numbers (FMP)</t>
        </is>
      </c>
      <c r="D4" s="12" t="inlineStr">
        <is>
          <t>Strength %ile</t>
        </is>
      </c>
      <c r="E4" s="12" t="inlineStr">
        <is>
          <t>What's happening (8-K)</t>
        </is>
      </c>
      <c r="F4" s="4" t="inlineStr">
        <is>
          <t>Score</t>
        </is>
      </c>
      <c r="G4" s="4" t="inlineStr">
        <is>
          <t>Stage</t>
        </is>
      </c>
      <c r="H4" s="4" t="inlineStr">
        <is>
          <t>Classification</t>
        </is>
      </c>
      <c r="I4" s="4" t="inlineStr">
        <is>
          <t>Event classes</t>
        </is>
      </c>
      <c r="J4" s="4" t="inlineStr">
        <is>
          <t>Counter-signals</t>
        </is>
      </c>
      <c r="K4" s="4" t="inlineStr">
        <is>
          <t>FMP financial read</t>
        </is>
      </c>
    </row>
    <row r="5" ht="22" customHeight="1">
      <c r="A5" s="6" t="inlineStr">
        <is>
          <t>LUMN</t>
        </is>
      </c>
      <c r="B5" s="14" t="inlineStr">
        <is>
          <t>Lumen Technologies, In</t>
        </is>
      </c>
      <c r="C5" s="14" t="inlineStr">
        <is>
          <t>8.0× EBITDA · 52w 12%</t>
        </is>
      </c>
      <c r="D5" s="14" t="n">
        <v>100</v>
      </c>
      <c r="E5" s="14" t="n"/>
      <c r="F5" s="27" t="n">
        <v>11</v>
      </c>
      <c r="G5" s="27" t="n">
        <v>5</v>
      </c>
      <c r="H5" s="14" t="inlineStr">
        <is>
          <t>hard value unlock</t>
        </is>
      </c>
      <c r="I5" s="14" t="inlineStr">
        <is>
          <t>asset_sale_completed, debt_retired</t>
        </is>
      </c>
      <c r="J5" s="14" t="inlineStr">
        <is>
          <t>new_preferred</t>
        </is>
      </c>
      <c r="K5" s="14" t="inlineStr">
        <is>
          <t>EV/EBITDA 8.0× · FCF yld 13% · rev -8% · op margin -3%  [negative equity]</t>
        </is>
      </c>
    </row>
    <row r="6" ht="22" customHeight="1">
      <c r="A6" s="8" t="inlineStr">
        <is>
          <t>SNDA</t>
        </is>
      </c>
      <c r="B6" s="16" t="inlineStr">
        <is>
          <t>Sonida Senior Living,</t>
        </is>
      </c>
      <c r="C6" s="16" t="inlineStr">
        <is>
          <t>131.2× EBITDA · 52w 66%</t>
        </is>
      </c>
      <c r="D6" s="16" t="n">
        <v>98</v>
      </c>
      <c r="E6" s="16" t="n"/>
      <c r="F6" s="28" t="n">
        <v>8</v>
      </c>
      <c r="G6" s="28" t="n">
        <v>5</v>
      </c>
      <c r="H6" s="16" t="inlineStr">
        <is>
          <t>hard value unlock</t>
        </is>
      </c>
      <c r="I6" s="16" t="inlineStr">
        <is>
          <t>debt_retired_below_par, stub_distr</t>
        </is>
      </c>
      <c r="J6" s="16" t="inlineStr">
        <is>
          <t>–</t>
        </is>
      </c>
      <c r="K6" s="16" t="inlineStr">
        <is>
          <t>EV/EBITDA 131.2× · FCF yld -3% · rev +49% · op margin -17%  [market-cap/share data inconsistent]</t>
        </is>
      </c>
    </row>
    <row r="7" ht="22" customHeight="1">
      <c r="A7" s="6" t="inlineStr">
        <is>
          <t>CCO</t>
        </is>
      </c>
      <c r="B7" s="14" t="inlineStr">
        <is>
          <t>Clear Channel Outdoor</t>
        </is>
      </c>
      <c r="C7" s="14" t="inlineStr">
        <is>
          <t>4.8× EBITDA · 52w 95%</t>
        </is>
      </c>
      <c r="D7" s="14" t="n">
        <v>98</v>
      </c>
      <c r="E7" s="14" t="n"/>
      <c r="F7" s="27" t="n">
        <v>8</v>
      </c>
      <c r="G7" s="27" t="n">
        <v>4</v>
      </c>
      <c r="H7" s="14" t="inlineStr">
        <is>
          <t>hard value unlock</t>
        </is>
      </c>
      <c r="I7" s="14" t="inlineStr">
        <is>
          <t>debt_retired_below_par, principal_</t>
        </is>
      </c>
      <c r="J7" s="14" t="inlineStr">
        <is>
          <t>–</t>
        </is>
      </c>
      <c r="K7" s="14" t="inlineStr">
        <is>
          <t>EV/EBITDA 4.8× · FCF yld 6% · rev +9% · op margin 20% · diluting 2%/yr  [negative equity]</t>
        </is>
      </c>
    </row>
    <row r="8" ht="22" customHeight="1">
      <c r="A8" s="8" t="inlineStr">
        <is>
          <t>CURI</t>
        </is>
      </c>
      <c r="B8" s="16" t="inlineStr">
        <is>
          <t>CuriosityStream Inc.</t>
        </is>
      </c>
      <c r="C8" s="16" t="inlineStr">
        <is>
          <t>P/B 4.11 · 8.6× EBITDA · cash 2% · 52w 18%</t>
        </is>
      </c>
      <c r="D8" s="16" t="n">
        <v>97</v>
      </c>
      <c r="E8" s="16" t="n"/>
      <c r="F8" s="28" t="n">
        <v>6</v>
      </c>
      <c r="G8" s="28" t="n">
        <v>5</v>
      </c>
      <c r="H8" s="16" t="inlineStr">
        <is>
          <t>real progress conditional</t>
        </is>
      </c>
      <c r="I8" s="16" t="inlineStr">
        <is>
          <t>going_concern_removed, stub_distri</t>
        </is>
      </c>
      <c r="J8" s="16" t="inlineStr">
        <is>
          <t>–</t>
        </is>
      </c>
      <c r="K8" s="16" t="inlineStr">
        <is>
          <t>P/B 4.11 · EV/EBITDA 8.6× · FCF yld 3% · net cash 2% of mcap · rev +25% · op margin -0% · diluting 6%/yr</t>
        </is>
      </c>
    </row>
    <row r="9" ht="22" customHeight="1">
      <c r="A9" s="6" t="inlineStr">
        <is>
          <t>CMTL</t>
        </is>
      </c>
      <c r="B9" s="14" t="inlineStr">
        <is>
          <t>Comtech Telecommunicat</t>
        </is>
      </c>
      <c r="C9" s="14" t="inlineStr">
        <is>
          <t>P/B 0.16 · 5.7× EBITDA · debt 515% · 52w 1%</t>
        </is>
      </c>
      <c r="D9" s="14" t="n">
        <v>95</v>
      </c>
      <c r="E9" s="14" t="n"/>
      <c r="F9" s="27" t="n">
        <v>5</v>
      </c>
      <c r="G9" s="27" t="n">
        <v>4</v>
      </c>
      <c r="H9" s="14" t="inlineStr">
        <is>
          <t>real progress conditional</t>
        </is>
      </c>
      <c r="I9" s="14" t="inlineStr">
        <is>
          <t>asset_sale_completed, lien_release</t>
        </is>
      </c>
      <c r="J9" s="14" t="inlineStr">
        <is>
          <t>–</t>
        </is>
      </c>
      <c r="K9" s="14" t="inlineStr">
        <is>
          <t>P/B 0.16 · EV/EBITDA 5.7× · FCF yld 36% · net debt 515% of mcap · rev -4% · op margin 0% · interest cover 0.0× ⚠</t>
        </is>
      </c>
    </row>
    <row r="10" ht="22" customHeight="1">
      <c r="A10" s="8" t="inlineStr">
        <is>
          <t>NOTV</t>
        </is>
      </c>
      <c r="B10" s="16" t="inlineStr">
        <is>
          <t>NOTV</t>
        </is>
      </c>
      <c r="C10" s="16" t="n"/>
      <c r="D10" s="16" t="n">
        <v>95</v>
      </c>
      <c r="E10" s="16" t="n"/>
      <c r="F10" s="28" t="n">
        <v>5</v>
      </c>
      <c r="G10" s="28" t="n">
        <v>5</v>
      </c>
      <c r="H10" s="16" t="inlineStr">
        <is>
          <t>real progress conditional</t>
        </is>
      </c>
      <c r="I10" s="16" t="inlineStr">
        <is>
          <t>plan_effective, rsa_threshold</t>
        </is>
      </c>
      <c r="J10" s="16" t="inlineStr">
        <is>
          <t>–</t>
        </is>
      </c>
      <c r="K10" s="16" t="n"/>
    </row>
    <row r="11" ht="22" customHeight="1">
      <c r="A11" s="6" t="inlineStr">
        <is>
          <t>NOTVQ</t>
        </is>
      </c>
      <c r="B11" s="14" t="inlineStr">
        <is>
          <t>NOTVQ</t>
        </is>
      </c>
      <c r="C11" s="14" t="inlineStr">
        <is>
          <t>46.4× EBITDA · 52w 0%</t>
        </is>
      </c>
      <c r="D11" s="14" t="n">
        <v>95</v>
      </c>
      <c r="E11" s="14" t="n"/>
      <c r="F11" s="27" t="n">
        <v>5</v>
      </c>
      <c r="G11" s="27" t="n">
        <v>5</v>
      </c>
      <c r="H11" s="14" t="inlineStr">
        <is>
          <t>real progress conditional</t>
        </is>
      </c>
      <c r="I11" s="14" t="inlineStr">
        <is>
          <t>plan_effective, rsa_threshold</t>
        </is>
      </c>
      <c r="J11" s="14" t="inlineStr">
        <is>
          <t>–</t>
        </is>
      </c>
      <c r="K11" s="14" t="inlineStr">
        <is>
          <t>EV/EBITDA 46.4× · rev +6% · op margin -9%  [market-cap/share data inconsistent; FCF yield &gt;100% (check)]</t>
        </is>
      </c>
    </row>
    <row r="12" ht="22" customHeight="1">
      <c r="A12" s="8" t="inlineStr">
        <is>
          <t>OTLK</t>
        </is>
      </c>
      <c r="B12" s="16" t="inlineStr">
        <is>
          <t>Outlook Therapeutics,</t>
        </is>
      </c>
      <c r="C12" s="16" t="inlineStr">
        <is>
          <t>52w 22%</t>
        </is>
      </c>
      <c r="D12" s="16" t="n">
        <v>78</v>
      </c>
      <c r="E12" s="16" t="n"/>
      <c r="F12" s="28" t="n">
        <v>4</v>
      </c>
      <c r="G12" s="28" t="n">
        <v>4</v>
      </c>
      <c r="H12" s="16" t="inlineStr">
        <is>
          <t>real progress conditional</t>
        </is>
      </c>
      <c r="I12" s="16" t="inlineStr">
        <is>
          <t>debt_retired_below_par</t>
        </is>
      </c>
      <c r="J12" s="16" t="inlineStr">
        <is>
          <t>–</t>
        </is>
      </c>
      <c r="K12" s="16" t="inlineStr">
        <is>
          <t>P/S -108.5 · FCF yld -46% · buying back 17%/yr  [market-cap/share data inconsistent]</t>
        </is>
      </c>
    </row>
    <row r="13" ht="22" customHeight="1">
      <c r="A13" s="6" t="inlineStr">
        <is>
          <t>NEO</t>
        </is>
      </c>
      <c r="B13" s="14" t="inlineStr">
        <is>
          <t>NeoGenomics, Inc.</t>
        </is>
      </c>
      <c r="C13" s="14" t="inlineStr">
        <is>
          <t>P/B 0.61 · 60.1× EBITDA · debt 63% · 52w 89%</t>
        </is>
      </c>
      <c r="D13" s="14" t="n">
        <v>78</v>
      </c>
      <c r="E13" s="14" t="n"/>
      <c r="F13" s="27" t="n">
        <v>4</v>
      </c>
      <c r="G13" s="27" t="n">
        <v>4</v>
      </c>
      <c r="H13" s="14" t="inlineStr">
        <is>
          <t>real progress conditional</t>
        </is>
      </c>
      <c r="I13" s="14" t="inlineStr">
        <is>
          <t>debt_retired_below_par</t>
        </is>
      </c>
      <c r="J13" s="14" t="inlineStr">
        <is>
          <t>–</t>
        </is>
      </c>
      <c r="K13" s="14" t="inlineStr">
        <is>
          <t>P/B 0.61 · EV/EBITDA 60.1× · FCF yld -2% · net debt 63% of mcap · rev +11% · op margin -9% · diluting 2%/yr · interest cover -25.6× ⚠</t>
        </is>
      </c>
    </row>
    <row r="14" ht="22" customHeight="1">
      <c r="A14" s="8" t="inlineStr">
        <is>
          <t>REAL</t>
        </is>
      </c>
      <c r="B14" s="16" t="inlineStr">
        <is>
          <t>The RealReal, Inc.</t>
        </is>
      </c>
      <c r="C14" s="16" t="inlineStr">
        <is>
          <t>52w 12%</t>
        </is>
      </c>
      <c r="D14" s="16" t="n">
        <v>78</v>
      </c>
      <c r="E14" s="16" t="n"/>
      <c r="F14" s="28" t="n">
        <v>4</v>
      </c>
      <c r="G14" s="28" t="n">
        <v>4</v>
      </c>
      <c r="H14" s="16" t="inlineStr">
        <is>
          <t>real progress conditional</t>
        </is>
      </c>
      <c r="I14" s="16" t="inlineStr">
        <is>
          <t>debt_retired_below_par</t>
        </is>
      </c>
      <c r="J14" s="16" t="inlineStr">
        <is>
          <t>–</t>
        </is>
      </c>
      <c r="K14" s="16" t="inlineStr">
        <is>
          <t>P/S 1.5 · FCF yld 3% · rev +18% · op margin -1%  [negative equity]</t>
        </is>
      </c>
    </row>
    <row r="15" ht="22" customHeight="1">
      <c r="A15" s="6" t="inlineStr">
        <is>
          <t>SPCE</t>
        </is>
      </c>
      <c r="B15" s="14" t="inlineStr">
        <is>
          <t>Virgin Galactic Holdin</t>
        </is>
      </c>
      <c r="C15" s="14" t="inlineStr">
        <is>
          <t>P/B 1.04 · debt 2% · 52w 16%</t>
        </is>
      </c>
      <c r="D15" s="14" t="n">
        <v>78</v>
      </c>
      <c r="E15" s="14" t="n"/>
      <c r="F15" s="27" t="n">
        <v>4</v>
      </c>
      <c r="G15" s="27" t="n">
        <v>4</v>
      </c>
      <c r="H15" s="14" t="inlineStr">
        <is>
          <t>real progress conditional</t>
        </is>
      </c>
      <c r="I15" s="14" t="inlineStr">
        <is>
          <t>debt_retired_below_par</t>
        </is>
      </c>
      <c r="J15" s="14" t="inlineStr">
        <is>
          <t>–</t>
        </is>
      </c>
      <c r="K15" s="14" t="inlineStr">
        <is>
          <t>P/B 1.04 · P/S 385.9 · FCF yld -97% · net debt 2% of mcap  [new entity / merger: history not comparable]</t>
        </is>
      </c>
    </row>
    <row r="16" ht="22" customHeight="1">
      <c r="A16" s="8" t="inlineStr">
        <is>
          <t>FSLY</t>
        </is>
      </c>
      <c r="B16" s="16" t="inlineStr">
        <is>
          <t>Fastly, Inc.</t>
        </is>
      </c>
      <c r="C16" s="16" t="inlineStr">
        <is>
          <t>P/B 3.93 · debt 2% · 52w 63%</t>
        </is>
      </c>
      <c r="D16" s="16" t="n">
        <v>78</v>
      </c>
      <c r="E16" s="16" t="n"/>
      <c r="F16" s="28" t="n">
        <v>4</v>
      </c>
      <c r="G16" s="28" t="n">
        <v>4</v>
      </c>
      <c r="H16" s="16" t="inlineStr">
        <is>
          <t>real progress conditional</t>
        </is>
      </c>
      <c r="I16" s="16" t="inlineStr">
        <is>
          <t>debt_retired_below_par</t>
        </is>
      </c>
      <c r="J16" s="16" t="inlineStr">
        <is>
          <t>–</t>
        </is>
      </c>
      <c r="K16" s="16" t="inlineStr">
        <is>
          <t>P/B 3.93 · P/S 7.0 · FCF yld 1% · net debt 2% of mcap · rev +20% · op margin -12% · diluting 8%/yr</t>
        </is>
      </c>
    </row>
    <row r="17" ht="22" customHeight="1">
      <c r="A17" s="6" t="inlineStr">
        <is>
          <t>IEP</t>
        </is>
      </c>
      <c r="B17" s="14" t="inlineStr">
        <is>
          <t>Icahn Enterprises L.P.</t>
        </is>
      </c>
      <c r="C17" s="14" t="inlineStr">
        <is>
          <t>P/B 2.62 · 25.0× EBITDA · debt 98% · 52w 20%</t>
        </is>
      </c>
      <c r="D17" s="14" t="n">
        <v>78</v>
      </c>
      <c r="E17" s="14" t="n"/>
      <c r="F17" s="27" t="n">
        <v>4</v>
      </c>
      <c r="G17" s="27" t="n">
        <v>4</v>
      </c>
      <c r="H17" s="14" t="inlineStr">
        <is>
          <t>real progress conditional</t>
        </is>
      </c>
      <c r="I17" s="14" t="inlineStr">
        <is>
          <t>debt_retired_below_par</t>
        </is>
      </c>
      <c r="J17" s="14" t="inlineStr">
        <is>
          <t>–</t>
        </is>
      </c>
      <c r="K17" s="14" t="inlineStr">
        <is>
          <t>P/B 2.62 · EV/EBITDA 25.0× · FCF yld -5% · net debt 98% of mcap · rev +10% · op margin -3% · diluting 23%/yr · interest cover -0.7× ⚠  [dividend yield &gt;25% (special or bad data)]</t>
        </is>
      </c>
    </row>
    <row r="18" ht="22" customHeight="1">
      <c r="A18" s="8" t="inlineStr">
        <is>
          <t>WW</t>
        </is>
      </c>
      <c r="B18" s="16" t="inlineStr">
        <is>
          <t>WW International, Inc.</t>
        </is>
      </c>
      <c r="C18" s="16" t="inlineStr">
        <is>
          <t>P/B 0.55 · 4.6× EBITDA · debt 211% · 52w 23%</t>
        </is>
      </c>
      <c r="D18" s="16" t="n">
        <v>78</v>
      </c>
      <c r="E18" s="16" t="n"/>
      <c r="F18" s="28" t="n">
        <v>4</v>
      </c>
      <c r="G18" s="28" t="n">
        <v>4</v>
      </c>
      <c r="H18" s="16" t="inlineStr">
        <is>
          <t>real progress conditional</t>
        </is>
      </c>
      <c r="I18" s="16" t="inlineStr">
        <is>
          <t>debt_retired_below_par</t>
        </is>
      </c>
      <c r="J18" s="16" t="inlineStr">
        <is>
          <t>–</t>
        </is>
      </c>
      <c r="K18" s="16" t="inlineStr">
        <is>
          <t>P/B 0.55 · EV/EBITDA 4.6× · FCF yld -18% · net debt 211% of mcap · rev -9% · op margin -3% · interest cover -0.5× ⚠</t>
        </is>
      </c>
    </row>
    <row r="19" ht="22" customHeight="1">
      <c r="A19" s="6" t="inlineStr">
        <is>
          <t>LCID</t>
        </is>
      </c>
      <c r="B19" s="14" t="inlineStr">
        <is>
          <t>Lucid Group, Inc.</t>
        </is>
      </c>
      <c r="C19" s="14" t="inlineStr">
        <is>
          <t>P/B 0.71 · debt 198% · 52w 8%</t>
        </is>
      </c>
      <c r="D19" s="14" t="n">
        <v>78</v>
      </c>
      <c r="E19" s="14" t="n"/>
      <c r="F19" s="27" t="n">
        <v>4</v>
      </c>
      <c r="G19" s="27" t="n">
        <v>4</v>
      </c>
      <c r="H19" s="14" t="inlineStr">
        <is>
          <t>real progress conditional</t>
        </is>
      </c>
      <c r="I19" s="14" t="inlineStr">
        <is>
          <t>debt_retired_below_par</t>
        </is>
      </c>
      <c r="J19" s="14" t="inlineStr">
        <is>
          <t>–</t>
        </is>
      </c>
      <c r="K19" s="14" t="inlineStr">
        <is>
          <t>P/B 0.71 · P/S 0.9 · net debt 198% of mcap · rev +67% · op margin -261% · diluting 25%/yr · interest cover -27.2× ⚠  [FCF yield &gt;100% (check)]</t>
        </is>
      </c>
    </row>
    <row r="20" ht="22" customHeight="1">
      <c r="A20" s="8" t="inlineStr">
        <is>
          <t>STEM</t>
        </is>
      </c>
      <c r="B20" s="16" t="inlineStr">
        <is>
          <t>Stem, Inc.</t>
        </is>
      </c>
      <c r="C20" s="16" t="inlineStr">
        <is>
          <t>52w 0%</t>
        </is>
      </c>
      <c r="D20" s="16" t="n">
        <v>78</v>
      </c>
      <c r="E20" s="16" t="n"/>
      <c r="F20" s="28" t="n">
        <v>4</v>
      </c>
      <c r="G20" s="28" t="n">
        <v>4</v>
      </c>
      <c r="H20" s="16" t="inlineStr">
        <is>
          <t>real progress conditional</t>
        </is>
      </c>
      <c r="I20" s="16" t="inlineStr">
        <is>
          <t>debt_retired_below_par</t>
        </is>
      </c>
      <c r="J20" s="16" t="inlineStr">
        <is>
          <t>–</t>
        </is>
      </c>
      <c r="K20" s="16" t="inlineStr">
        <is>
          <t>P/S 0.2 · FCF yld 17% · rev -5% · op margin -30% · diluting 7%/yr  [negative equity]</t>
        </is>
      </c>
    </row>
    <row r="21" ht="22" customHeight="1">
      <c r="A21" s="6" t="inlineStr">
        <is>
          <t>PAR</t>
        </is>
      </c>
      <c r="B21" s="14" t="inlineStr">
        <is>
          <t>PAR Technology Corpora</t>
        </is>
      </c>
      <c r="C21" s="14" t="inlineStr">
        <is>
          <t>P/B 0.73 · debt 70% · 52w 9%</t>
        </is>
      </c>
      <c r="D21" s="14" t="n">
        <v>78</v>
      </c>
      <c r="E21" s="14" t="n"/>
      <c r="F21" s="27" t="n">
        <v>4</v>
      </c>
      <c r="G21" s="27" t="n">
        <v>4</v>
      </c>
      <c r="H21" s="14" t="inlineStr">
        <is>
          <t>real progress conditional</t>
        </is>
      </c>
      <c r="I21" s="14" t="inlineStr">
        <is>
          <t>debt_retired_below_par</t>
        </is>
      </c>
      <c r="J21" s="14" t="inlineStr">
        <is>
          <t>–</t>
        </is>
      </c>
      <c r="K21" s="14" t="inlineStr">
        <is>
          <t>P/B 0.73 · P/S 1.2 · FCF yld -3% · net debt 70% of mcap · rev +19% · op margin -11% · interest cover -12.1× ⚠</t>
        </is>
      </c>
    </row>
    <row r="22" ht="22" customHeight="1">
      <c r="A22" s="8" t="inlineStr">
        <is>
          <t>LXU</t>
        </is>
      </c>
      <c r="B22" s="16" t="inlineStr">
        <is>
          <t>LSB Industries, Inc.</t>
        </is>
      </c>
      <c r="C22" s="16" t="inlineStr">
        <is>
          <t>P/B 1.40 · 7.9× EBITDA · debt 35% · 52w 30%</t>
        </is>
      </c>
      <c r="D22" s="16" t="n">
        <v>78</v>
      </c>
      <c r="E22" s="16" t="n"/>
      <c r="F22" s="28" t="n">
        <v>4</v>
      </c>
      <c r="G22" s="28" t="n">
        <v>4</v>
      </c>
      <c r="H22" s="16" t="inlineStr">
        <is>
          <t>real progress conditional</t>
        </is>
      </c>
      <c r="I22" s="16" t="inlineStr">
        <is>
          <t>debt_retired_below_par</t>
        </is>
      </c>
      <c r="J22" s="16" t="inlineStr">
        <is>
          <t>–</t>
        </is>
      </c>
      <c r="K22" s="16" t="inlineStr">
        <is>
          <t>P/B 1.40 · EV/EBITDA 7.9× · FCF yld 22% · net debt 35% of mcap · rev +22% · op margin 10%</t>
        </is>
      </c>
    </row>
    <row r="23" ht="22" customHeight="1">
      <c r="A23" s="6" t="inlineStr">
        <is>
          <t>RPAY</t>
        </is>
      </c>
      <c r="B23" s="14" t="inlineStr">
        <is>
          <t>Repay Holdings Corpora</t>
        </is>
      </c>
      <c r="C23" s="14" t="inlineStr">
        <is>
          <t>P/B 0.72 · debt 202% · 52w 50%</t>
        </is>
      </c>
      <c r="D23" s="14" t="n">
        <v>78</v>
      </c>
      <c r="E23" s="14" t="n"/>
      <c r="F23" s="27" t="n">
        <v>4</v>
      </c>
      <c r="G23" s="27" t="n">
        <v>4</v>
      </c>
      <c r="H23" s="14" t="inlineStr">
        <is>
          <t>real progress conditional</t>
        </is>
      </c>
      <c r="I23" s="14" t="inlineStr">
        <is>
          <t>debt_retired_below_par</t>
        </is>
      </c>
      <c r="J23" s="14" t="inlineStr">
        <is>
          <t>–</t>
        </is>
      </c>
      <c r="K23" s="14" t="inlineStr">
        <is>
          <t>P/B 0.72 · P/S 1.0 · FCF yld 17% · net debt 202% of mcap · rev +9% · op margin -3% · buying back 6%/yr · interest cover -0.5× ⚠</t>
        </is>
      </c>
    </row>
    <row r="24" ht="22" customHeight="1">
      <c r="A24" s="8" t="inlineStr">
        <is>
          <t>SBGI</t>
        </is>
      </c>
      <c r="B24" s="16" t="inlineStr">
        <is>
          <t>Sinclair, Inc.</t>
        </is>
      </c>
      <c r="C24" s="16" t="inlineStr">
        <is>
          <t>P/B 2.36 · 6.2× EBITDA · debt 400% · 52w 7%</t>
        </is>
      </c>
      <c r="D24" s="16" t="n">
        <v>78</v>
      </c>
      <c r="E24" s="16" t="n"/>
      <c r="F24" s="28" t="n">
        <v>4</v>
      </c>
      <c r="G24" s="28" t="n">
        <v>4</v>
      </c>
      <c r="H24" s="16" t="inlineStr">
        <is>
          <t>real progress conditional</t>
        </is>
      </c>
      <c r="I24" s="16" t="inlineStr">
        <is>
          <t>debt_retired_below_par</t>
        </is>
      </c>
      <c r="J24" s="16" t="inlineStr">
        <is>
          <t>–</t>
        </is>
      </c>
      <c r="K24" s="16" t="inlineStr">
        <is>
          <t>P/B 2.36 · EV/EBITDA 6.2× · FCF yld 11% · net debt 400% of mcap · rev -6% · op margin 7% · diluting 4%/yr · interest cover 0.7× ⚠</t>
        </is>
      </c>
    </row>
    <row r="25" ht="22" customHeight="1">
      <c r="A25" s="6" t="inlineStr">
        <is>
          <t>SKLZ</t>
        </is>
      </c>
      <c r="B25" s="14" t="inlineStr">
        <is>
          <t>Skillz Inc.</t>
        </is>
      </c>
      <c r="C25" s="14" t="inlineStr">
        <is>
          <t>P/B 1.69 · cash 23% · 52w 37%</t>
        </is>
      </c>
      <c r="D25" s="14" t="n">
        <v>78</v>
      </c>
      <c r="E25" s="14" t="n"/>
      <c r="F25" s="27" t="n">
        <v>4</v>
      </c>
      <c r="G25" s="27" t="n">
        <v>4</v>
      </c>
      <c r="H25" s="14" t="inlineStr">
        <is>
          <t>real progress conditional</t>
        </is>
      </c>
      <c r="I25" s="14" t="inlineStr">
        <is>
          <t>debt_retired_below_par</t>
        </is>
      </c>
      <c r="J25" s="14" t="inlineStr">
        <is>
          <t>–</t>
        </is>
      </c>
      <c r="K25" s="14" t="inlineStr">
        <is>
          <t>P/B 1.69 · P/S 1.2 · FCF yld -41% · net cash 23% of mcap · rev +25% · op margin -71% · diluting 4%/yr</t>
        </is>
      </c>
    </row>
    <row r="26" ht="22" customHeight="1">
      <c r="A26" s="8" t="inlineStr">
        <is>
          <t>MOS</t>
        </is>
      </c>
      <c r="B26" s="16" t="inlineStr">
        <is>
          <t>Mosaic Company (The)</t>
        </is>
      </c>
      <c r="C26" s="16" t="inlineStr">
        <is>
          <t>P/B 0.69 · 7.8× EBITDA · debt 70% · 52w 30%</t>
        </is>
      </c>
      <c r="D26" s="16" t="n">
        <v>78</v>
      </c>
      <c r="E26" s="16" t="n"/>
      <c r="F26" s="28" t="n">
        <v>4</v>
      </c>
      <c r="G26" s="28" t="n">
        <v>4</v>
      </c>
      <c r="H26" s="16" t="inlineStr">
        <is>
          <t>real progress conditional</t>
        </is>
      </c>
      <c r="I26" s="16" t="inlineStr">
        <is>
          <t>debt_retired_below_par</t>
        </is>
      </c>
      <c r="J26" s="16" t="inlineStr">
        <is>
          <t>–</t>
        </is>
      </c>
      <c r="K26" s="16" t="inlineStr">
        <is>
          <t>P/B 0.69 · EV/EBITDA 7.8× · FCF yld -12% · net debt 70% of mcap · rev +6% · op margin 1% · interest cover 0.7× ⚠</t>
        </is>
      </c>
    </row>
    <row r="27" ht="22" customHeight="1">
      <c r="A27" s="6" t="inlineStr">
        <is>
          <t>CYH</t>
        </is>
      </c>
      <c r="B27" s="14" t="inlineStr">
        <is>
          <t>Community Health Syste</t>
        </is>
      </c>
      <c r="C27" s="14" t="inlineStr">
        <is>
          <t>2.1× EBITDA · 52w 32%</t>
        </is>
      </c>
      <c r="D27" s="14" t="n">
        <v>78</v>
      </c>
      <c r="E27" s="14" t="n"/>
      <c r="F27" s="27" t="n">
        <v>4</v>
      </c>
      <c r="G27" s="27" t="n">
        <v>4</v>
      </c>
      <c r="H27" s="14" t="inlineStr">
        <is>
          <t>real progress conditional</t>
        </is>
      </c>
      <c r="I27" s="14" t="inlineStr">
        <is>
          <t>debt_retired_below_par</t>
        </is>
      </c>
      <c r="J27" s="14" t="inlineStr">
        <is>
          <t>–</t>
        </is>
      </c>
      <c r="K27" s="14" t="inlineStr">
        <is>
          <t>EV/EBITDA 2.1× · FCF yld -43% · rev +77% · op margin -39%  [negative equity]</t>
        </is>
      </c>
    </row>
    <row r="28" ht="22" customHeight="1">
      <c r="A28" s="8" t="inlineStr">
        <is>
          <t>BDN</t>
        </is>
      </c>
      <c r="B28" s="16" t="inlineStr">
        <is>
          <t>Brandywine Realty Trus</t>
        </is>
      </c>
      <c r="C28" s="16" t="inlineStr">
        <is>
          <t>P/B 0.72 · 16.2× EBITDA · debt 523% · 52w 20%</t>
        </is>
      </c>
      <c r="D28" s="16" t="n">
        <v>78</v>
      </c>
      <c r="E28" s="16" t="n"/>
      <c r="F28" s="28" t="n">
        <v>4</v>
      </c>
      <c r="G28" s="28" t="n">
        <v>4</v>
      </c>
      <c r="H28" s="16" t="inlineStr">
        <is>
          <t>real progress conditional</t>
        </is>
      </c>
      <c r="I28" s="16" t="inlineStr">
        <is>
          <t>debt_retired_below_par</t>
        </is>
      </c>
      <c r="J28" s="16" t="inlineStr">
        <is>
          <t>–</t>
        </is>
      </c>
      <c r="K28" s="16" t="inlineStr">
        <is>
          <t>P/B 0.72 · EV/EBITDA 16.2× · FCF yld 10% · net debt 523% of mcap · rev +1% · op margin 13% · interest cover 0.4× ⚠</t>
        </is>
      </c>
    </row>
    <row r="29" ht="22" customHeight="1">
      <c r="A29" s="6" t="inlineStr">
        <is>
          <t>KW</t>
        </is>
      </c>
      <c r="B29" s="14" t="inlineStr">
        <is>
          <t>Kennedy-Wilson Holding</t>
        </is>
      </c>
      <c r="C29" s="14" t="inlineStr">
        <is>
          <t>P/B 1.00 · 13.7× EBITDA · debt 307% · 52w 96%</t>
        </is>
      </c>
      <c r="D29" s="14" t="n">
        <v>78</v>
      </c>
      <c r="E29" s="14" t="n"/>
      <c r="F29" s="27" t="n">
        <v>4</v>
      </c>
      <c r="G29" s="27" t="n">
        <v>4</v>
      </c>
      <c r="H29" s="14" t="inlineStr">
        <is>
          <t>real progress conditional</t>
        </is>
      </c>
      <c r="I29" s="14" t="inlineStr">
        <is>
          <t>debt_retired_below_par</t>
        </is>
      </c>
      <c r="J29" s="14" t="inlineStr">
        <is>
          <t>–</t>
        </is>
      </c>
      <c r="K29" s="14" t="inlineStr">
        <is>
          <t>P/B 1.00 · EV/EBITDA 13.7× · FCF yld -2% · net debt 307% of mcap · rev -6% · op margin 7% · interest cover 0.1× ⚠</t>
        </is>
      </c>
    </row>
    <row r="30" ht="22" customHeight="1">
      <c r="A30" s="8" t="inlineStr">
        <is>
          <t>MRP</t>
        </is>
      </c>
      <c r="B30" s="16" t="inlineStr">
        <is>
          <t>Millrose Properties, I</t>
        </is>
      </c>
      <c r="C30" s="16" t="inlineStr">
        <is>
          <t>P/B 0.73 · 10.1× EBITDA · debt 57% · 52w 17%</t>
        </is>
      </c>
      <c r="D30" s="16" t="n">
        <v>78</v>
      </c>
      <c r="E30" s="16" t="n"/>
      <c r="F30" s="28" t="n">
        <v>4</v>
      </c>
      <c r="G30" s="28" t="n">
        <v>4</v>
      </c>
      <c r="H30" s="16" t="inlineStr">
        <is>
          <t>real progress conditional</t>
        </is>
      </c>
      <c r="I30" s="16" t="inlineStr">
        <is>
          <t>principal_haircut</t>
        </is>
      </c>
      <c r="J30" s="16" t="inlineStr">
        <is>
          <t>–</t>
        </is>
      </c>
      <c r="K30" s="16" t="inlineStr">
        <is>
          <t>P/B 0.73 · EV/EBITDA 10.1× · net debt 57% of mcap · op margin 85%  [FCF yield &gt;100% (check); revenue not comparable YoY (fair-value / one-off income?)]</t>
        </is>
      </c>
    </row>
    <row r="31" ht="22" customHeight="1">
      <c r="A31" s="6" t="inlineStr">
        <is>
          <t>MRVI</t>
        </is>
      </c>
      <c r="B31" s="14" t="inlineStr">
        <is>
          <t>Maravai LifeSciences H</t>
        </is>
      </c>
      <c r="C31" s="14" t="inlineStr">
        <is>
          <t>P/B 9.79 · debt 5% · 52w 68%</t>
        </is>
      </c>
      <c r="D31" s="14" t="n">
        <v>78</v>
      </c>
      <c r="E31" s="14" t="n"/>
      <c r="F31" s="27" t="n">
        <v>4</v>
      </c>
      <c r="G31" s="27" t="n">
        <v>4</v>
      </c>
      <c r="H31" s="14" t="inlineStr">
        <is>
          <t>real progress conditional</t>
        </is>
      </c>
      <c r="I31" s="14" t="inlineStr">
        <is>
          <t>principal_haircut</t>
        </is>
      </c>
      <c r="J31" s="14" t="inlineStr">
        <is>
          <t>–</t>
        </is>
      </c>
      <c r="K31" s="14" t="inlineStr">
        <is>
          <t>P/B 9.79 · P/S 9.7 · FCF yld -2% · net debt 5% of mcap · rev -3% · op margin 46% · diluting 3%/yr</t>
        </is>
      </c>
    </row>
    <row r="32" ht="22" customHeight="1">
      <c r="A32" s="8" t="inlineStr">
        <is>
          <t>CARG</t>
        </is>
      </c>
      <c r="B32" s="16" t="inlineStr">
        <is>
          <t>CarGurus, Inc.</t>
        </is>
      </c>
      <c r="C32" s="16" t="inlineStr">
        <is>
          <t>P/B 10.93 · 10.9× EBITDA · debt 2% · 52w 24%</t>
        </is>
      </c>
      <c r="D32" s="16" t="n">
        <v>78</v>
      </c>
      <c r="E32" s="16" t="n"/>
      <c r="F32" s="28" t="n">
        <v>4</v>
      </c>
      <c r="G32" s="28" t="n">
        <v>4</v>
      </c>
      <c r="H32" s="16" t="inlineStr">
        <is>
          <t>real progress conditional</t>
        </is>
      </c>
      <c r="I32" s="16" t="inlineStr">
        <is>
          <t>principal_haircut</t>
        </is>
      </c>
      <c r="J32" s="16" t="inlineStr">
        <is>
          <t>–</t>
        </is>
      </c>
      <c r="K32" s="16" t="inlineStr">
        <is>
          <t>P/B 10.93 · EV/EBITDA 10.9× · FCF yld 10% · net debt 2% of mcap · rev +6% · op margin 25% · buying back 9%/yr</t>
        </is>
      </c>
    </row>
    <row r="33" ht="22" customHeight="1">
      <c r="A33" s="6" t="inlineStr">
        <is>
          <t>WOLF</t>
        </is>
      </c>
      <c r="B33" s="14" t="inlineStr">
        <is>
          <t>Wolfspeed, Inc.</t>
        </is>
      </c>
      <c r="C33" s="14" t="inlineStr">
        <is>
          <t>P/B 1.41 · debt 46% · 52w 27%</t>
        </is>
      </c>
      <c r="D33" s="14" t="n">
        <v>78</v>
      </c>
      <c r="E33" s="14" t="n"/>
      <c r="F33" s="27" t="n">
        <v>4</v>
      </c>
      <c r="G33" s="27" t="n">
        <v>4</v>
      </c>
      <c r="H33" s="14" t="inlineStr">
        <is>
          <t>real progress conditional</t>
        </is>
      </c>
      <c r="I33" s="14" t="inlineStr">
        <is>
          <t>lien_release, rsa_threshold</t>
        </is>
      </c>
      <c r="J33" s="14" t="inlineStr">
        <is>
          <t>–</t>
        </is>
      </c>
      <c r="K33" s="14" t="inlineStr">
        <is>
          <t>P/B 1.41 · P/S 2.1 · FCF yld -25% · net debt 46% of mcap · rev -4% · op margin -79% · buying back 17%/yr · interest cover -3.5× ⚠</t>
        </is>
      </c>
    </row>
    <row r="34" ht="22" customHeight="1">
      <c r="A34" s="8" t="inlineStr">
        <is>
          <t>NUVB</t>
        </is>
      </c>
      <c r="B34" s="16" t="inlineStr">
        <is>
          <t>Nuvation Bio Inc.</t>
        </is>
      </c>
      <c r="C34" s="16" t="inlineStr">
        <is>
          <t>P/B 8.08 · cash 20% · 52w 43%</t>
        </is>
      </c>
      <c r="D34" s="16" t="n">
        <v>78</v>
      </c>
      <c r="E34" s="16" t="n"/>
      <c r="F34" s="28" t="n">
        <v>4</v>
      </c>
      <c r="G34" s="28" t="n">
        <v>4</v>
      </c>
      <c r="H34" s="16" t="inlineStr">
        <is>
          <t>real progress conditional</t>
        </is>
      </c>
      <c r="I34" s="16" t="inlineStr">
        <is>
          <t>going_concern_removed, lien_releas</t>
        </is>
      </c>
      <c r="J34" s="16" t="inlineStr">
        <is>
          <t>–</t>
        </is>
      </c>
      <c r="K34" s="16" t="inlineStr">
        <is>
          <t>P/B 8.08 · P/S 11.8 · FCF yld -4% · net cash 20% of mcap · op margin -81% · diluting 2%/yr  [revenue not comparable YoY (fair-value / one-off income?)]</t>
        </is>
      </c>
    </row>
    <row r="35" ht="22" customHeight="1">
      <c r="A35" s="6" t="inlineStr">
        <is>
          <t>SUNE</t>
        </is>
      </c>
      <c r="B35" s="14" t="inlineStr">
        <is>
          <t>SUNation Energy, Inc.</t>
        </is>
      </c>
      <c r="C35" s="14" t="inlineStr">
        <is>
          <t>P/B 0.39 · debt 65% · 52w 20%</t>
        </is>
      </c>
      <c r="D35" s="14" t="n">
        <v>78</v>
      </c>
      <c r="E35" s="14" t="n"/>
      <c r="F35" s="27" t="n">
        <v>4</v>
      </c>
      <c r="G35" s="27" t="n">
        <v>5</v>
      </c>
      <c r="H35" s="14" t="inlineStr">
        <is>
          <t>real progress conditional</t>
        </is>
      </c>
      <c r="I35" s="14" t="inlineStr">
        <is>
          <t>maturity_extension, plan_effective</t>
        </is>
      </c>
      <c r="J35" s="14" t="inlineStr">
        <is>
          <t>–</t>
        </is>
      </c>
      <c r="K35" s="14" t="inlineStr">
        <is>
          <t>P/B 0.39 · P/S 0.1 · FCF yld -21% · net debt 65% of mcap · op margin -8% · interest cover -6.4× ⚠  [new entity / merger: history not comparable]</t>
        </is>
      </c>
    </row>
    <row r="36" ht="22" customHeight="1">
      <c r="A36" s="8" t="inlineStr">
        <is>
          <t>GIII</t>
        </is>
      </c>
      <c r="B36" s="16" t="inlineStr">
        <is>
          <t>G-III Apparel Group, L</t>
        </is>
      </c>
      <c r="C36" s="16" t="inlineStr">
        <is>
          <t>P/B 0.65 · 4.4× EBITDA · debt 9% · 52w 24%</t>
        </is>
      </c>
      <c r="D36" s="16" t="n">
        <v>78</v>
      </c>
      <c r="E36" s="16" t="n"/>
      <c r="F36" s="28" t="n">
        <v>4</v>
      </c>
      <c r="G36" s="28" t="n">
        <v>5</v>
      </c>
      <c r="H36" s="16" t="inlineStr">
        <is>
          <t>real progress conditional</t>
        </is>
      </c>
      <c r="I36" s="16" t="inlineStr">
        <is>
          <t>stub_distribution</t>
        </is>
      </c>
      <c r="J36" s="16" t="inlineStr">
        <is>
          <t>–</t>
        </is>
      </c>
      <c r="K36" s="16" t="inlineStr">
        <is>
          <t>P/B 0.65 · EV/EBITDA 4.4× · FCF yld 24% · net debt 9% of mcap · rev +1% · op margin 8% · buying back 3%/yr</t>
        </is>
      </c>
    </row>
    <row r="37" ht="22" customHeight="1">
      <c r="A37" s="6" t="inlineStr">
        <is>
          <t>ABUS</t>
        </is>
      </c>
      <c r="B37" s="14" t="inlineStr">
        <is>
          <t>Arbutus Biopharma Corp</t>
        </is>
      </c>
      <c r="C37" s="14" t="inlineStr">
        <is>
          <t>P/B 3.74 · 6.2× EBITDA · cash 9% · 52w 72%</t>
        </is>
      </c>
      <c r="D37" s="14" t="n">
        <v>78</v>
      </c>
      <c r="E37" s="14" t="n"/>
      <c r="F37" s="27" t="n">
        <v>4</v>
      </c>
      <c r="G37" s="27" t="n">
        <v>5</v>
      </c>
      <c r="H37" s="14" t="inlineStr">
        <is>
          <t>real progress conditional</t>
        </is>
      </c>
      <c r="I37" s="14" t="inlineStr">
        <is>
          <t>stub_distribution</t>
        </is>
      </c>
      <c r="J37" s="14" t="inlineStr">
        <is>
          <t>–</t>
        </is>
      </c>
      <c r="K37" s="14" t="inlineStr">
        <is>
          <t>P/B 3.74 · EV/EBITDA 6.2× · FCF yld -3% · net cash 9% of mcap · op margin 81% · diluting 3%/yr  [revenue not comparable YoY (fair-value / one-off income?)]</t>
        </is>
      </c>
    </row>
    <row r="38" ht="22" customHeight="1">
      <c r="A38" s="8" t="inlineStr">
        <is>
          <t>ORI</t>
        </is>
      </c>
      <c r="B38" s="16" t="inlineStr">
        <is>
          <t>Old Republic Internati</t>
        </is>
      </c>
      <c r="C38" s="16" t="inlineStr">
        <is>
          <t>P/B 1.55 · P/E 8.2 · 52w 21%</t>
        </is>
      </c>
      <c r="D38" s="16" t="n">
        <v>78</v>
      </c>
      <c r="E38" s="16" t="n"/>
      <c r="F38" s="28" t="n">
        <v>4</v>
      </c>
      <c r="G38" s="28" t="n">
        <v>5</v>
      </c>
      <c r="H38" s="16" t="inlineStr">
        <is>
          <t>real progress conditional</t>
        </is>
      </c>
      <c r="I38" s="16" t="inlineStr">
        <is>
          <t>stub_distribution</t>
        </is>
      </c>
      <c r="J38" s="16" t="inlineStr">
        <is>
          <t>–</t>
        </is>
      </c>
      <c r="K38" s="16" t="inlineStr">
        <is>
          <t>P/B 1.55 · P/E 8.2 · ROE 19% · div yld 9.7% (financial: book/earnings basis)</t>
        </is>
      </c>
    </row>
    <row r="39" ht="22" customHeight="1">
      <c r="A39" s="6" t="inlineStr">
        <is>
          <t>EEFT</t>
        </is>
      </c>
      <c r="B39" s="14" t="inlineStr">
        <is>
          <t>Euronet Worldwide, Inc</t>
        </is>
      </c>
      <c r="C39" s="14" t="inlineStr">
        <is>
          <t>P/B 2.03 · 3.1× EBITDA · debt 65% · 52w 11%</t>
        </is>
      </c>
      <c r="D39" s="14" t="n">
        <v>78</v>
      </c>
      <c r="E39" s="14" t="n"/>
      <c r="F39" s="27" t="n">
        <v>4</v>
      </c>
      <c r="G39" s="27" t="n">
        <v>5</v>
      </c>
      <c r="H39" s="14" t="inlineStr">
        <is>
          <t>real progress conditional</t>
        </is>
      </c>
      <c r="I39" s="14" t="inlineStr">
        <is>
          <t>stub_distribution</t>
        </is>
      </c>
      <c r="J39" s="14" t="inlineStr">
        <is>
          <t>–</t>
        </is>
      </c>
      <c r="K39" s="14" t="inlineStr">
        <is>
          <t>P/B 2.03 · EV/EBITDA 3.1× · FCF yld 4% · net debt 65% of mcap · rev +6% · op margin 12% · diluting 8%/yr</t>
        </is>
      </c>
    </row>
    <row r="40" ht="22" customHeight="1">
      <c r="A40" s="8" t="inlineStr">
        <is>
          <t>KRNY</t>
        </is>
      </c>
      <c r="B40" s="16" t="inlineStr">
        <is>
          <t>Kearny Financial</t>
        </is>
      </c>
      <c r="C40" s="16" t="inlineStr">
        <is>
          <t>P/B 0.78 · P/E 16.2 · 52w 81%</t>
        </is>
      </c>
      <c r="D40" s="16" t="n">
        <v>78</v>
      </c>
      <c r="E40" s="16" t="n"/>
      <c r="F40" s="28" t="n">
        <v>4</v>
      </c>
      <c r="G40" s="28" t="n">
        <v>5</v>
      </c>
      <c r="H40" s="16" t="inlineStr">
        <is>
          <t>real progress conditional</t>
        </is>
      </c>
      <c r="I40" s="16" t="inlineStr">
        <is>
          <t>stub_distribution</t>
        </is>
      </c>
      <c r="J40" s="16" t="inlineStr">
        <is>
          <t>–</t>
        </is>
      </c>
      <c r="K40" s="16" t="inlineStr">
        <is>
          <t>P/B 0.78 · P/E 16.2 · ROE 5% · div yld 4.7% (financial: book/earnings basis)</t>
        </is>
      </c>
    </row>
    <row r="41" ht="22" customHeight="1">
      <c r="A41" s="6" t="inlineStr">
        <is>
          <t>BBW</t>
        </is>
      </c>
      <c r="B41" s="14" t="inlineStr">
        <is>
          <t>Build-A-Bear Workshop,</t>
        </is>
      </c>
      <c r="C41" s="14" t="inlineStr">
        <is>
          <t>P/B 2.07 · 5.5× EBITDA · debt 38% · 52w 4%</t>
        </is>
      </c>
      <c r="D41" s="14" t="n">
        <v>78</v>
      </c>
      <c r="E41" s="14" t="n"/>
      <c r="F41" s="27" t="n">
        <v>4</v>
      </c>
      <c r="G41" s="27" t="n">
        <v>5</v>
      </c>
      <c r="H41" s="14" t="inlineStr">
        <is>
          <t>real progress conditional</t>
        </is>
      </c>
      <c r="I41" s="14" t="inlineStr">
        <is>
          <t>stub_distribution</t>
        </is>
      </c>
      <c r="J41" s="14" t="inlineStr">
        <is>
          <t>–</t>
        </is>
      </c>
      <c r="K41" s="14" t="inlineStr">
        <is>
          <t>P/B 2.07 · EV/EBITDA 5.5× · FCF yld 8% · net debt 38% of mcap · rev -1% · op margin 13% · buying back 5%/yr</t>
        </is>
      </c>
    </row>
    <row r="42" ht="22" customHeight="1">
      <c r="A42" s="8" t="inlineStr">
        <is>
          <t>MGM</t>
        </is>
      </c>
      <c r="B42" s="16" t="inlineStr">
        <is>
          <t>MGM Resorts Internatio</t>
        </is>
      </c>
      <c r="C42" s="16" t="inlineStr">
        <is>
          <t>P/B 3.87 · 18.5× EBITDA · debt 281% · 52w 42%</t>
        </is>
      </c>
      <c r="D42" s="16" t="n">
        <v>78</v>
      </c>
      <c r="E42" s="16" t="n"/>
      <c r="F42" s="28" t="n">
        <v>4</v>
      </c>
      <c r="G42" s="28" t="n">
        <v>5</v>
      </c>
      <c r="H42" s="16" t="inlineStr">
        <is>
          <t>real progress conditional</t>
        </is>
      </c>
      <c r="I42" s="16" t="inlineStr">
        <is>
          <t>stub_distribution</t>
        </is>
      </c>
      <c r="J42" s="16" t="inlineStr">
        <is>
          <t>–</t>
        </is>
      </c>
      <c r="K42" s="16" t="inlineStr">
        <is>
          <t>P/B 3.87 · EV/EBITDA 18.5× · FCF yld 18% · net debt 281% of mcap · rev +3% · op margin 6% · buying back 6%/yr</t>
        </is>
      </c>
    </row>
    <row r="43" ht="22" customHeight="1">
      <c r="A43" s="6" t="inlineStr">
        <is>
          <t>FNF</t>
        </is>
      </c>
      <c r="B43" s="14" t="inlineStr">
        <is>
          <t>Fidelity National Fina</t>
        </is>
      </c>
      <c r="C43" s="14" t="inlineStr">
        <is>
          <t>P/B 1.53 · P/E 14.6 · 52w 1%</t>
        </is>
      </c>
      <c r="D43" s="14" t="n">
        <v>78</v>
      </c>
      <c r="E43" s="14" t="n"/>
      <c r="F43" s="27" t="n">
        <v>4</v>
      </c>
      <c r="G43" s="27" t="n">
        <v>5</v>
      </c>
      <c r="H43" s="14" t="inlineStr">
        <is>
          <t>real progress conditional</t>
        </is>
      </c>
      <c r="I43" s="14" t="inlineStr">
        <is>
          <t>stub_distribution</t>
        </is>
      </c>
      <c r="J43" s="14" t="inlineStr">
        <is>
          <t>–</t>
        </is>
      </c>
      <c r="K43" s="14" t="inlineStr">
        <is>
          <t>P/B 1.53 · P/E 14.6 · ROE 10% · div yld 4.9% · buying back 2%/yr (financial: book/earnings basis)</t>
        </is>
      </c>
    </row>
    <row r="44" ht="22" customHeight="1">
      <c r="A44" s="8" t="inlineStr">
        <is>
          <t>DTI</t>
        </is>
      </c>
      <c r="B44" s="16" t="inlineStr">
        <is>
          <t>Drilling Tools Interna</t>
        </is>
      </c>
      <c r="C44" s="16" t="inlineStr">
        <is>
          <t>P/B 0.71 · 4.5× EBITDA · debt 90% · 52w 25%</t>
        </is>
      </c>
      <c r="D44" s="16" t="n">
        <v>78</v>
      </c>
      <c r="E44" s="16" t="n"/>
      <c r="F44" s="28" t="n">
        <v>4</v>
      </c>
      <c r="G44" s="28" t="n">
        <v>5</v>
      </c>
      <c r="H44" s="16" t="inlineStr">
        <is>
          <t>real progress conditional</t>
        </is>
      </c>
      <c r="I44" s="16" t="inlineStr">
        <is>
          <t>stub_distribution</t>
        </is>
      </c>
      <c r="J44" s="16" t="inlineStr">
        <is>
          <t>–</t>
        </is>
      </c>
      <c r="K44" s="16" t="inlineStr">
        <is>
          <t>P/B 0.71 · EV/EBITDA 4.5× · FCF yld -12% · net debt 90% of mcap · rev -5% · op margin 4% · interest cover 1.5× ⚠</t>
        </is>
      </c>
    </row>
    <row r="45" ht="22" customHeight="1">
      <c r="A45" s="6" t="inlineStr">
        <is>
          <t>CCK</t>
        </is>
      </c>
      <c r="B45" s="14" t="inlineStr">
        <is>
          <t>Crown Holdings, Inc.</t>
        </is>
      </c>
      <c r="C45" s="14" t="inlineStr">
        <is>
          <t>P/B 4.20 · 8.4× EBITDA · debt 47% · 52w 64%</t>
        </is>
      </c>
      <c r="D45" s="14" t="n">
        <v>52</v>
      </c>
      <c r="E45" s="14" t="n"/>
      <c r="F45" s="27" t="n">
        <v>3</v>
      </c>
      <c r="G45" s="27" t="n">
        <v>4</v>
      </c>
      <c r="H45" s="14" t="inlineStr">
        <is>
          <t>survival or process only</t>
        </is>
      </c>
      <c r="I45" s="14" t="inlineStr">
        <is>
          <t>lien_release, maturity_extension</t>
        </is>
      </c>
      <c r="J45" s="14" t="inlineStr">
        <is>
          <t>–</t>
        </is>
      </c>
      <c r="K45" s="14" t="inlineStr">
        <is>
          <t>P/B 4.20 · EV/EBITDA 8.4× · FCF yld 10% · net debt 47% of mcap · rev +10% · op margin 14% · buying back 5%/yr</t>
        </is>
      </c>
    </row>
    <row r="46" ht="22" customHeight="1">
      <c r="A46" s="8" t="inlineStr">
        <is>
          <t>LODE</t>
        </is>
      </c>
      <c r="B46" s="16" t="inlineStr">
        <is>
          <t>Comstock Inc.</t>
        </is>
      </c>
      <c r="C46" s="16" t="inlineStr">
        <is>
          <t>P/B 0.72 · debt 1% · 52w 12%</t>
        </is>
      </c>
      <c r="D46" s="16" t="n">
        <v>52</v>
      </c>
      <c r="E46" s="16" t="n"/>
      <c r="F46" s="28" t="n">
        <v>3</v>
      </c>
      <c r="G46" s="28" t="n">
        <v>4</v>
      </c>
      <c r="H46" s="16" t="inlineStr">
        <is>
          <t>survival or process only</t>
        </is>
      </c>
      <c r="I46" s="16" t="inlineStr">
        <is>
          <t>asset_sale_completed</t>
        </is>
      </c>
      <c r="J46" s="16" t="inlineStr">
        <is>
          <t>–</t>
        </is>
      </c>
      <c r="K46" s="16" t="inlineStr">
        <is>
          <t>P/B 0.72 · P/S 95.7 · FCF yld -40% · net debt 1% of mcap  [new entity / merger: history not comparable]</t>
        </is>
      </c>
    </row>
    <row r="47" ht="22" customHeight="1">
      <c r="A47" s="6" t="inlineStr">
        <is>
          <t>AZTA</t>
        </is>
      </c>
      <c r="B47" s="14" t="inlineStr">
        <is>
          <t>Azenta, Inc.</t>
        </is>
      </c>
      <c r="C47" s="14" t="inlineStr">
        <is>
          <t>P/B 1.06 · cash 17% · 52w 72%</t>
        </is>
      </c>
      <c r="D47" s="14" t="n">
        <v>52</v>
      </c>
      <c r="E47" s="14" t="n"/>
      <c r="F47" s="27" t="n">
        <v>3</v>
      </c>
      <c r="G47" s="27" t="n">
        <v>4</v>
      </c>
      <c r="H47" s="14" t="inlineStr">
        <is>
          <t>survival or process only</t>
        </is>
      </c>
      <c r="I47" s="14" t="inlineStr">
        <is>
          <t>asset_sale_completed</t>
        </is>
      </c>
      <c r="J47" s="14" t="inlineStr">
        <is>
          <t>–</t>
        </is>
      </c>
      <c r="K47" s="14" t="inlineStr">
        <is>
          <t>P/B 1.06 · P/S 2.6 · FCF yld 1% · net cash 17% of mcap · rev +2% · op margin -3%</t>
        </is>
      </c>
    </row>
    <row r="48" ht="22" customHeight="1">
      <c r="A48" s="8" t="inlineStr">
        <is>
          <t>CCOI</t>
        </is>
      </c>
      <c r="B48" s="16" t="inlineStr">
        <is>
          <t>Cogent Communications</t>
        </is>
      </c>
      <c r="C48" s="16" t="inlineStr">
        <is>
          <t>7.5× EBITDA · 52w 1%</t>
        </is>
      </c>
      <c r="D48" s="16" t="n">
        <v>52</v>
      </c>
      <c r="E48" s="16" t="n"/>
      <c r="F48" s="28" t="n">
        <v>3</v>
      </c>
      <c r="G48" s="28" t="n">
        <v>4</v>
      </c>
      <c r="H48" s="16" t="inlineStr">
        <is>
          <t>survival or process only</t>
        </is>
      </c>
      <c r="I48" s="16" t="inlineStr">
        <is>
          <t>asset_sale_completed</t>
        </is>
      </c>
      <c r="J48" s="16" t="inlineStr">
        <is>
          <t>–</t>
        </is>
      </c>
      <c r="K48" s="16" t="inlineStr">
        <is>
          <t>EV/EBITDA 7.5× · FCF yld -35% · rev +17% · op margin 5%  [negative equity]</t>
        </is>
      </c>
    </row>
    <row r="49" ht="22" customHeight="1">
      <c r="A49" s="6" t="inlineStr">
        <is>
          <t>CHRS</t>
        </is>
      </c>
      <c r="B49" s="14" t="inlineStr">
        <is>
          <t>Coherus Oncology, Inc.</t>
        </is>
      </c>
      <c r="C49" s="14" t="inlineStr">
        <is>
          <t>P/B 3.16 · cash 35% · 52w 10%</t>
        </is>
      </c>
      <c r="D49" s="14" t="n">
        <v>52</v>
      </c>
      <c r="E49" s="14" t="n"/>
      <c r="F49" s="27" t="n">
        <v>3</v>
      </c>
      <c r="G49" s="27" t="n">
        <v>4</v>
      </c>
      <c r="H49" s="14" t="inlineStr">
        <is>
          <t>survival or process only</t>
        </is>
      </c>
      <c r="I49" s="14" t="inlineStr">
        <is>
          <t>asset_sale_completed</t>
        </is>
      </c>
      <c r="J49" s="14" t="inlineStr">
        <is>
          <t>–</t>
        </is>
      </c>
      <c r="K49" s="14" t="inlineStr">
        <is>
          <t>P/B 3.16 · P/S 3.7 · net cash 35% of mcap · rev -64% · op margin -307% · diluting 33%/yr  [FCF yield &gt;100% (check)]</t>
        </is>
      </c>
    </row>
    <row r="50"/>
    <row r="51" ht="28" customHeight="1">
      <c r="A51" s="17" t="inlineStr">
        <is>
          <t>105 distressed stubs with net-positive progress (top 45). The engine alerts only on FINALITY (hard completion verbs — retired, cancelled, discharged, effective, distributed — not intentions), gated to plausibly-distressed names (deep drawdown, sub-$2B, post-Ch11, forced-selling), and scores per the stub waterfall: permanent senior-principal reduction (+4), claims disallowed (+4), stub distribution (+4), plan effective (+3), asset-sale cash received (+3), lien release (+2), &gt;12mo maturity extension (+1). Counter-signals subtract heavily — equity wipeout (−10), priming/superpriority (−4), toxic dilution (−4), new preferred (−3) — because progress for the company is not progress for the stub. Stage 5 = value reached the residual security. Source: distressed_stub_progress.json (US 8-K/EDGAR; recipe table extensible to RNS/HKEX/ASX and local-language vocab).</t>
        </is>
      </c>
    </row>
  </sheetData>
  <mergeCells count="3">
    <mergeCell ref="A1:J1"/>
    <mergeCell ref="A2:J2"/>
    <mergeCell ref="A51:J51"/>
  </mergeCells>
  <conditionalFormatting sqref="D5:D51">
    <cfRule type="dataBar" priority="1">
      <dataBar showValue="1">
        <cfvo type="num" val="0"/>
        <cfvo type="num" val="100"/>
        <color rgb="009DB9D3"/>
      </dataBar>
    </cfRule>
  </conditionalFormatting>
  <hyperlinks>
    <hyperlink xmlns:r="http://schemas.openxmlformats.org/officeDocument/2006/relationships" ref="A9" r:id="rId1"/>
    <hyperlink xmlns:r="http://schemas.openxmlformats.org/officeDocument/2006/relationships" ref="A18" r:id="rId2"/>
    <hyperlink xmlns:r="http://schemas.openxmlformats.org/officeDocument/2006/relationships" ref="A27" r:id="rId3"/>
    <hyperlink xmlns:r="http://schemas.openxmlformats.org/officeDocument/2006/relationships" ref="A30" r:id="rId4"/>
    <hyperlink xmlns:r="http://schemas.openxmlformats.org/officeDocument/2006/relationships" ref="A36" r:id="rId5"/>
    <hyperlink xmlns:r="http://schemas.openxmlformats.org/officeDocument/2006/relationships" ref="A47" r:id="rId6"/>
  </hyperlinks>
  <printOptions horizontalCentered="0"/>
  <pageMargins left="0.5" right="0.5" top="0.6" bottom="0.6" header="0.5" footer="0.5"/>
  <pageSetup orientation="landscape" fitToHeight="0" fitToWidth="1"/>
</worksheet>
</file>

<file path=xl/worksheets/sheet15.xml><?xml version="1.0" encoding="utf-8"?>
<worksheet xmlns="http://schemas.openxmlformats.org/spreadsheetml/2006/main">
  <sheetPr>
    <tabColor rgb="002E75B6"/>
    <outlinePr summaryBelow="1" summaryRight="1"/>
    <pageSetUpPr fitToPage="1"/>
  </sheetPr>
  <dimension ref="A1:K46"/>
  <sheetViews>
    <sheetView showGridLines="0" workbookViewId="0">
      <pane ySplit="4" topLeftCell="A5" activePane="bottomLeft" state="frozen"/>
      <selection pane="bottomLeft" activeCell="A1" sqref="A1"/>
    </sheetView>
  </sheetViews>
  <sheetFormatPr baseColWidth="8" defaultRowHeight="15"/>
  <cols>
    <col width="9" customWidth="1" min="1" max="1"/>
    <col width="18" customWidth="1" min="2" max="2"/>
    <col width="30" customWidth="1" min="3" max="3"/>
    <col width="9" customWidth="1" min="4" max="4"/>
    <col width="60" customWidth="1" min="5" max="5"/>
    <col width="8" customWidth="1" min="6" max="6"/>
    <col width="9" customWidth="1" min="7" max="7"/>
    <col width="15" customWidth="1" min="8" max="8"/>
    <col width="26" customWidth="1" min="9" max="9"/>
    <col width="30" customWidth="1" min="10" max="10"/>
    <col width="62" customWidth="1" min="11" max="11"/>
  </cols>
  <sheetData>
    <row r="1" ht="26" customHeight="1">
      <c r="A1" s="1" t="inlineStr">
        <is>
          <t>Hidden-Asset / Incentivised Value Realisation</t>
        </is>
      </c>
    </row>
    <row r="2" ht="18" customHeight="1">
      <c r="A2" s="20" t="inlineStr">
        <is>
          <t>Under-recognised assets across ALL industries (spectrum, water/mineral/royalty rights, real estate, NOLs, equity stakes, pension surplus, royalty streams) inside a small levered equity base, where a credit agreement sweeps disposition proceeds to debt paydown — so realising the asset is mechanically stub-accretive</t>
        </is>
      </c>
      <c r="B2" s="19" t="n"/>
      <c r="C2" s="19" t="n"/>
      <c r="D2" s="19" t="n"/>
      <c r="E2" s="19" t="n"/>
      <c r="F2" s="19" t="n"/>
      <c r="G2" s="19" t="n"/>
      <c r="H2" s="19" t="n"/>
      <c r="I2" s="19" t="n"/>
      <c r="J2" s="19" t="n"/>
    </row>
    <row r="3" ht="8" customHeight="1">
      <c r="D3" s="34" t="inlineStr">
        <is>
          <t>%ile vs the 40 names on this tab</t>
        </is>
      </c>
    </row>
    <row r="4" ht="18" customHeight="1">
      <c r="A4" s="12" t="inlineStr">
        <is>
          <t>Ticker</t>
        </is>
      </c>
      <c r="B4" s="12" t="inlineStr">
        <is>
          <t>Name</t>
        </is>
      </c>
      <c r="C4" s="12" t="inlineStr">
        <is>
          <t>Key numbers (FMP)</t>
        </is>
      </c>
      <c r="D4" s="12" t="inlineStr">
        <is>
          <t>Strength %ile</t>
        </is>
      </c>
      <c r="E4" s="12" t="inlineStr">
        <is>
          <t>What's happening (8-K)</t>
        </is>
      </c>
      <c r="F4" s="4" t="inlineStr">
        <is>
          <t>Score</t>
        </is>
      </c>
      <c r="G4" s="4" t="inlineStr">
        <is>
          <t>Mand. prepay</t>
        </is>
      </c>
      <c r="H4" s="12" t="inlineStr">
        <is>
          <t>Industry</t>
        </is>
      </c>
      <c r="I4" s="4" t="inlineStr">
        <is>
          <t>Asset types</t>
        </is>
      </c>
      <c r="J4" s="4" t="inlineStr">
        <is>
          <t>Thesis / feature</t>
        </is>
      </c>
      <c r="K4" s="4" t="inlineStr">
        <is>
          <t>FMP financial read</t>
        </is>
      </c>
    </row>
    <row r="5" ht="22" customHeight="1">
      <c r="A5" s="6" t="inlineStr">
        <is>
          <t>SSP</t>
        </is>
      </c>
      <c r="B5" s="14" t="inlineStr">
        <is>
          <t>The E.W. Scripps C</t>
        </is>
      </c>
      <c r="C5" s="14" t="inlineStr">
        <is>
          <t>P/B 2.40 · debt 1067% · 52w 39%</t>
        </is>
      </c>
      <c r="D5" s="14" t="n">
        <v>99</v>
      </c>
      <c r="E5" s="14" t="n"/>
      <c r="F5" s="27" t="n">
        <v>36</v>
      </c>
      <c r="G5" s="14" t="inlineStr">
        <is>
          <t>yes</t>
        </is>
      </c>
      <c r="H5" s="14" t="inlineStr">
        <is>
          <t>media, telecom</t>
        </is>
      </c>
      <c r="I5" s="14" t="inlineStr">
        <is>
          <t>spectrum, broadcast_licenc</t>
        </is>
      </c>
      <c r="J5" s="14" t="inlineStr">
        <is>
          <t>April 2026 credit agreement an</t>
        </is>
      </c>
      <c r="K5" s="14" t="inlineStr">
        <is>
          <t>P/B 2.40 · P/S 0.1 · FCF yld 15% · net debt 1067% of mcap · rev -14% · op margin -51% · diluting 5%/yr · interest cover -3.9× ⚠</t>
        </is>
      </c>
    </row>
    <row r="6" ht="22" customHeight="1">
      <c r="A6" s="8" t="inlineStr">
        <is>
          <t>EVC</t>
        </is>
      </c>
      <c r="B6" s="16" t="inlineStr">
        <is>
          <t>Entravision Commun</t>
        </is>
      </c>
      <c r="C6" s="16" t="inlineStr">
        <is>
          <t>P/B 8.65 · 24.1× EBITDA · debt 17% · 52w 50%</t>
        </is>
      </c>
      <c r="D6" s="16" t="n">
        <v>96</v>
      </c>
      <c r="E6" s="16" t="n"/>
      <c r="F6" s="28" t="n">
        <v>30</v>
      </c>
      <c r="G6" s="16" t="inlineStr">
        <is>
          <t>no</t>
        </is>
      </c>
      <c r="H6" s="16" t="inlineStr">
        <is>
          <t>media, telecom</t>
        </is>
      </c>
      <c r="I6" s="16" t="inlineStr">
        <is>
          <t>spectrum, broadcast_licenc</t>
        </is>
      </c>
      <c r="J6" s="16" t="inlineStr">
        <is>
          <t>–</t>
        </is>
      </c>
      <c r="K6" s="16" t="inlineStr">
        <is>
          <t>P/B 8.65 · EV/EBITDA 24.1× · FCF yld 7% · net debt 17% of mcap · rev +71% · op margin 8% · diluting 13%/yr</t>
        </is>
      </c>
    </row>
    <row r="7" ht="22" customHeight="1">
      <c r="A7" s="6" t="inlineStr">
        <is>
          <t>LMNR</t>
        </is>
      </c>
      <c r="B7" s="14" t="inlineStr">
        <is>
          <t>Limoneira Co</t>
        </is>
      </c>
      <c r="C7" s="14" t="inlineStr">
        <is>
          <t>P/B 1.58 · debt 47% · 52w 20%</t>
        </is>
      </c>
      <c r="D7" s="14" t="n">
        <v>94</v>
      </c>
      <c r="E7" s="14" t="n"/>
      <c r="F7" s="27" t="n">
        <v>28</v>
      </c>
      <c r="G7" s="14" t="inlineStr">
        <is>
          <t>no</t>
        </is>
      </c>
      <c r="H7" s="14" t="inlineStr">
        <is>
          <t>real_estate, re</t>
        </is>
      </c>
      <c r="I7" s="14" t="inlineStr">
        <is>
          <t>water_rights, air_rights</t>
        </is>
      </c>
      <c r="J7" s="14" t="inlineStr">
        <is>
          <t>–</t>
        </is>
      </c>
      <c r="K7" s="14" t="inlineStr">
        <is>
          <t>P/B 1.58 · P/S 1.7 · FCF yld -14% · net debt 47% of mcap · rev -25% · op margin -22% · interest cover -9.1× ⚠</t>
        </is>
      </c>
    </row>
    <row r="8" ht="22" customHeight="1">
      <c r="A8" s="8" t="inlineStr">
        <is>
          <t>MDIA</t>
        </is>
      </c>
      <c r="B8" s="16" t="inlineStr">
        <is>
          <t>Mediaco Holding In</t>
        </is>
      </c>
      <c r="C8" s="16" t="inlineStr">
        <is>
          <t>P/B 2.93 · debt 129% · 52w 50%</t>
        </is>
      </c>
      <c r="D8" s="16" t="n">
        <v>90</v>
      </c>
      <c r="E8" s="16" t="n"/>
      <c r="F8" s="28" t="n">
        <v>26</v>
      </c>
      <c r="G8" s="16" t="inlineStr">
        <is>
          <t>no</t>
        </is>
      </c>
      <c r="H8" s="16" t="inlineStr">
        <is>
          <t>media, telecom</t>
        </is>
      </c>
      <c r="I8" s="16" t="inlineStr">
        <is>
          <t>broadcast_licences, fcc_li</t>
        </is>
      </c>
      <c r="J8" s="16" t="inlineStr">
        <is>
          <t>–</t>
        </is>
      </c>
      <c r="K8" s="16" t="inlineStr">
        <is>
          <t>P/B 2.93 · P/S 0.6 · FCF yld -1% · net debt 129% of mcap · rev +14% · op margin -14% · diluting 4%/yr · interest cover -1.2× ⚠</t>
        </is>
      </c>
    </row>
    <row r="9" ht="22" customHeight="1">
      <c r="A9" s="6" t="inlineStr">
        <is>
          <t>SBGI</t>
        </is>
      </c>
      <c r="B9" s="14" t="inlineStr">
        <is>
          <t>Sinclair, Inc.</t>
        </is>
      </c>
      <c r="C9" s="14" t="inlineStr">
        <is>
          <t>P/B 2.36 · 6.2× EBITDA · debt 400% · 52w 7%</t>
        </is>
      </c>
      <c r="D9" s="14" t="n">
        <v>90</v>
      </c>
      <c r="E9" s="14" t="n"/>
      <c r="F9" s="27" t="n">
        <v>26</v>
      </c>
      <c r="G9" s="14" t="inlineStr">
        <is>
          <t>no</t>
        </is>
      </c>
      <c r="H9" s="14" t="inlineStr">
        <is>
          <t>media, telecom</t>
        </is>
      </c>
      <c r="I9" s="14" t="inlineStr">
        <is>
          <t>broadcast_licences, fcc_li</t>
        </is>
      </c>
      <c r="J9" s="14" t="inlineStr">
        <is>
          <t>–</t>
        </is>
      </c>
      <c r="K9" s="14" t="inlineStr">
        <is>
          <t>P/B 2.36 · EV/EBITDA 6.2× · FCF yld 11% · net debt 400% of mcap · rev -6% · op margin 7% · diluting 4%/yr · interest cover 0.7× ⚠</t>
        </is>
      </c>
    </row>
    <row r="10" ht="22" customHeight="1">
      <c r="A10" s="8" t="inlineStr">
        <is>
          <t>SNDA</t>
        </is>
      </c>
      <c r="B10" s="16" t="inlineStr">
        <is>
          <t>Sonida Senior Livi</t>
        </is>
      </c>
      <c r="C10" s="16" t="inlineStr">
        <is>
          <t>131.2× EBITDA · 52w 66%</t>
        </is>
      </c>
      <c r="D10" s="16" t="n">
        <v>86</v>
      </c>
      <c r="E10" s="16" t="n"/>
      <c r="F10" s="28" t="n">
        <v>22</v>
      </c>
      <c r="G10" s="16" t="inlineStr">
        <is>
          <t>no</t>
        </is>
      </c>
      <c r="H10" s="16" t="inlineStr">
        <is>
          <t>holdco, real_es</t>
        </is>
      </c>
      <c r="I10" s="16" t="inlineStr">
        <is>
          <t>air_rights, minority_stake</t>
        </is>
      </c>
      <c r="J10" s="16" t="inlineStr">
        <is>
          <t>–</t>
        </is>
      </c>
      <c r="K10" s="16" t="inlineStr">
        <is>
          <t>EV/EBITDA 131.2× · FCF yld -3% · rev +49% · op margin -17%  [market-cap/share data inconsistent]</t>
        </is>
      </c>
    </row>
    <row r="11" ht="22" customHeight="1">
      <c r="A11" s="6" t="inlineStr">
        <is>
          <t>SGA</t>
        </is>
      </c>
      <c r="B11" s="14" t="inlineStr">
        <is>
          <t>Saga Communication</t>
        </is>
      </c>
      <c r="C11" s="14" t="inlineStr">
        <is>
          <t>P/B 0.37 · cash 41% · 52w 9%</t>
        </is>
      </c>
      <c r="D11" s="14" t="n">
        <v>78</v>
      </c>
      <c r="E11" s="14" t="n"/>
      <c r="F11" s="27" t="n">
        <v>20</v>
      </c>
      <c r="G11" s="14" t="inlineStr">
        <is>
          <t>no</t>
        </is>
      </c>
      <c r="H11" s="14" t="inlineStr">
        <is>
          <t>media, telecom</t>
        </is>
      </c>
      <c r="I11" s="14" t="inlineStr">
        <is>
          <t>broadcast_licences, fcc_li</t>
        </is>
      </c>
      <c r="J11" s="14" t="inlineStr">
        <is>
          <t>–</t>
        </is>
      </c>
      <c r="K11" s="14" t="inlineStr">
        <is>
          <t>P/B 0.37 · P/S 0.5 · FCF yld -2% · net cash 41% of mcap · rev -7% · op margin 7%</t>
        </is>
      </c>
    </row>
    <row r="12" ht="22" customHeight="1">
      <c r="A12" s="8" t="inlineStr">
        <is>
          <t>BBGI</t>
        </is>
      </c>
      <c r="B12" s="16" t="inlineStr">
        <is>
          <t>Beasley Broadcast</t>
        </is>
      </c>
      <c r="C12" s="16" t="inlineStr">
        <is>
          <t>P/B 0.77 · debt 571% · 52w 51%</t>
        </is>
      </c>
      <c r="D12" s="16" t="n">
        <v>78</v>
      </c>
      <c r="E12" s="16" t="n"/>
      <c r="F12" s="28" t="n">
        <v>20</v>
      </c>
      <c r="G12" s="16" t="inlineStr">
        <is>
          <t>no</t>
        </is>
      </c>
      <c r="H12" s="16" t="inlineStr">
        <is>
          <t>media, telecom</t>
        </is>
      </c>
      <c r="I12" s="16" t="inlineStr">
        <is>
          <t>broadcast_licences, fcc_li</t>
        </is>
      </c>
      <c r="J12" s="16" t="inlineStr">
        <is>
          <t>–</t>
        </is>
      </c>
      <c r="K12" s="16" t="inlineStr">
        <is>
          <t>P/B 0.77 · P/S 0.2 · FCF yld -94% · net debt 571% of mcap · rev -12% · op margin -4% · interest cover -0.6× ⚠</t>
        </is>
      </c>
    </row>
    <row r="13" ht="22" customHeight="1">
      <c r="A13" s="6" t="inlineStr">
        <is>
          <t>PSKY</t>
        </is>
      </c>
      <c r="B13" s="14" t="inlineStr">
        <is>
          <t>Paramount Skydance</t>
        </is>
      </c>
      <c r="C13" s="14" t="inlineStr">
        <is>
          <t>P/B 0.93 · debt 124% · 52w 19%</t>
        </is>
      </c>
      <c r="D13" s="14" t="n">
        <v>78</v>
      </c>
      <c r="E13" s="14" t="n"/>
      <c r="F13" s="27" t="n">
        <v>20</v>
      </c>
      <c r="G13" s="14" t="inlineStr">
        <is>
          <t>no</t>
        </is>
      </c>
      <c r="H13" s="14" t="inlineStr">
        <is>
          <t>media, telecom</t>
        </is>
      </c>
      <c r="I13" s="14" t="inlineStr">
        <is>
          <t>broadcast_licences, fcc_li</t>
        </is>
      </c>
      <c r="J13" s="14" t="inlineStr">
        <is>
          <t>–</t>
        </is>
      </c>
      <c r="K13" s="14" t="inlineStr">
        <is>
          <t>P/B 0.93 · P/S 0.4 · FCF yld 4% · net debt 124% of mcap · rev +2% · op margin -18% · diluting 65%/yr · interest cover -5.8× ⚠</t>
        </is>
      </c>
    </row>
    <row r="14" ht="22" customHeight="1">
      <c r="A14" s="8" t="inlineStr">
        <is>
          <t>TSQ</t>
        </is>
      </c>
      <c r="B14" s="16" t="inlineStr">
        <is>
          <t>Townsquare Media,</t>
        </is>
      </c>
      <c r="C14" s="16" t="inlineStr">
        <is>
          <t>5.4× EBITDA · 52w 23%</t>
        </is>
      </c>
      <c r="D14" s="16" t="n">
        <v>78</v>
      </c>
      <c r="E14" s="16" t="n"/>
      <c r="F14" s="28" t="n">
        <v>20</v>
      </c>
      <c r="G14" s="16" t="inlineStr">
        <is>
          <t>no</t>
        </is>
      </c>
      <c r="H14" s="16" t="inlineStr">
        <is>
          <t>media, telecom</t>
        </is>
      </c>
      <c r="I14" s="16" t="inlineStr">
        <is>
          <t>broadcast_licences, fcc_li</t>
        </is>
      </c>
      <c r="J14" s="16" t="inlineStr">
        <is>
          <t>–</t>
        </is>
      </c>
      <c r="K14" s="16" t="inlineStr">
        <is>
          <t>EV/EBITDA 5.4× · FCF yld 17% · rev -5% · op margin 6% · diluting 8%/yr  [negative equity]</t>
        </is>
      </c>
    </row>
    <row r="15" ht="22" customHeight="1">
      <c r="A15" s="6" t="inlineStr">
        <is>
          <t>WBD</t>
        </is>
      </c>
      <c r="B15" s="14" t="inlineStr">
        <is>
          <t>Warner Bros. Disco</t>
        </is>
      </c>
      <c r="C15" s="14" t="inlineStr">
        <is>
          <t>P/B 2.35 · 17.5× EBITDA · debt 37% · 52w 99%</t>
        </is>
      </c>
      <c r="D15" s="14" t="n">
        <v>78</v>
      </c>
      <c r="E15" s="14" t="inlineStr">
        <is>
          <t>[2026-02-27] Separating Streaming &amp; Studios business | [2026-02-26] Separating a business</t>
        </is>
      </c>
      <c r="F15" s="27" t="n">
        <v>20</v>
      </c>
      <c r="G15" s="14" t="inlineStr">
        <is>
          <t>no</t>
        </is>
      </c>
      <c r="H15" s="14" t="inlineStr">
        <is>
          <t>media, telecom</t>
        </is>
      </c>
      <c r="I15" s="14" t="inlineStr">
        <is>
          <t>broadcast_licences, fcc_li</t>
        </is>
      </c>
      <c r="J15" s="14" t="inlineStr">
        <is>
          <t>–</t>
        </is>
      </c>
      <c r="K15" s="14" t="inlineStr">
        <is>
          <t>P/B 2.35 · EV/EBITDA 17.5× · FCF yld 3% · net debt 37% of mcap · rev -6% · op margin 5% · diluting 3%/yr · interest cover 0.9× ⚠</t>
        </is>
      </c>
    </row>
    <row r="16" ht="22" customHeight="1">
      <c r="A16" s="8" t="inlineStr">
        <is>
          <t>NXST</t>
        </is>
      </c>
      <c r="B16" s="16" t="inlineStr">
        <is>
          <t>Nexstar Media Grou</t>
        </is>
      </c>
      <c r="C16" s="16" t="inlineStr">
        <is>
          <t>P/B 2.24 · 9.3× EBITDA · debt 234% · 52w 12%</t>
        </is>
      </c>
      <c r="D16" s="16" t="n">
        <v>78</v>
      </c>
      <c r="E16" s="16" t="n"/>
      <c r="F16" s="28" t="n">
        <v>20</v>
      </c>
      <c r="G16" s="16" t="inlineStr">
        <is>
          <t>no</t>
        </is>
      </c>
      <c r="H16" s="16" t="inlineStr">
        <is>
          <t>media, telecom</t>
        </is>
      </c>
      <c r="I16" s="16" t="inlineStr">
        <is>
          <t>broadcast_licences, fcc_li</t>
        </is>
      </c>
      <c r="J16" s="16" t="inlineStr">
        <is>
          <t>–</t>
        </is>
      </c>
      <c r="K16" s="16" t="inlineStr">
        <is>
          <t>P/B 2.24 · EV/EBITDA 9.3× · FCF yld 15% · net debt 234% of mcap · rev +31% · op margin 15%</t>
        </is>
      </c>
    </row>
    <row r="17" ht="22" customHeight="1">
      <c r="A17" s="6" t="inlineStr">
        <is>
          <t>BTQ</t>
        </is>
      </c>
      <c r="B17" s="14" t="inlineStr">
        <is>
          <t>BTQ Technologies C</t>
        </is>
      </c>
      <c r="C17" s="14" t="inlineStr">
        <is>
          <t>P/B 23.98 · cash 2% · 52w 5%</t>
        </is>
      </c>
      <c r="D17" s="14" t="n">
        <v>60</v>
      </c>
      <c r="E17" s="14" t="n"/>
      <c r="F17" s="27" t="n">
        <v>18</v>
      </c>
      <c r="G17" s="14" t="inlineStr">
        <is>
          <t>no</t>
        </is>
      </c>
      <c r="H17" s="14" t="inlineStr">
        <is>
          <t>holdco, tech, t</t>
        </is>
      </c>
      <c r="I17" s="14" t="inlineStr">
        <is>
          <t>data_center, patents, stra</t>
        </is>
      </c>
      <c r="J17" s="14" t="inlineStr">
        <is>
          <t>–</t>
        </is>
      </c>
      <c r="K17" s="14" t="inlineStr">
        <is>
          <t>P/B 23.98 · P/S 0.0 · FCF yld -5% · net cash 2% of mcap · op margin 0% · diluting 7%/yr</t>
        </is>
      </c>
    </row>
    <row r="18" ht="22" customHeight="1">
      <c r="A18" s="8" t="inlineStr">
        <is>
          <t>LOGC</t>
        </is>
      </c>
      <c r="B18" s="16" t="inlineStr">
        <is>
          <t>ContextLogic Inc.</t>
        </is>
      </c>
      <c r="C18" s="16" t="inlineStr">
        <is>
          <t>P/B 2.34 · debt 30% · 52w 96%</t>
        </is>
      </c>
      <c r="D18" s="16" t="n">
        <v>60</v>
      </c>
      <c r="E18" s="16" t="n"/>
      <c r="F18" s="28" t="n">
        <v>18</v>
      </c>
      <c r="G18" s="16" t="inlineStr">
        <is>
          <t>no</t>
        </is>
      </c>
      <c r="H18" s="16" t="inlineStr">
        <is>
          <t>any, resources</t>
        </is>
      </c>
      <c r="I18" s="16" t="inlineStr">
        <is>
          <t>mineral_rights, nol</t>
        </is>
      </c>
      <c r="J18" s="16" t="inlineStr">
        <is>
          <t>–</t>
        </is>
      </c>
      <c r="K18" s="16" t="inlineStr">
        <is>
          <t>P/B 2.34 · P/S 10.3 · FCF yld -4% · net debt 30% of mcap · rev +104% · op margin -27% · diluting 72%/yr · interest cover -3.6× ⚠</t>
        </is>
      </c>
    </row>
    <row r="19" ht="22" customHeight="1">
      <c r="A19" s="6" t="inlineStr">
        <is>
          <t>PCYO</t>
        </is>
      </c>
      <c r="B19" s="14" t="inlineStr">
        <is>
          <t>Pure Cycle Corpora</t>
        </is>
      </c>
      <c r="C19" s="14" t="inlineStr">
        <is>
          <t>P/B 1.75 · 13.6× EBITDA · debt 2% · 52w 48%</t>
        </is>
      </c>
      <c r="D19" s="14" t="n">
        <v>60</v>
      </c>
      <c r="E19" s="14" t="n"/>
      <c r="F19" s="27" t="n">
        <v>18</v>
      </c>
      <c r="G19" s="14" t="inlineStr">
        <is>
          <t>no</t>
        </is>
      </c>
      <c r="H19" s="14" t="inlineStr">
        <is>
          <t>resources</t>
        </is>
      </c>
      <c r="I19" s="14" t="inlineStr">
        <is>
          <t>water_rights</t>
        </is>
      </c>
      <c r="J19" s="14" t="inlineStr">
        <is>
          <t>–</t>
        </is>
      </c>
      <c r="K19" s="14" t="inlineStr">
        <is>
          <t>P/B 1.75 · EV/EBITDA 13.6× · FCF yld 2% · net debt 2% of mcap · rev +2% · op margin 38%</t>
        </is>
      </c>
    </row>
    <row r="20" ht="22" customHeight="1">
      <c r="A20" s="8" t="inlineStr">
        <is>
          <t>IPI</t>
        </is>
      </c>
      <c r="B20" s="16" t="inlineStr">
        <is>
          <t>Intrepid Potash, I</t>
        </is>
      </c>
      <c r="C20" s="16" t="inlineStr">
        <is>
          <t>P/B 0.97 · 6.0× EBITDA · cash 36% · 52w 53%</t>
        </is>
      </c>
      <c r="D20" s="16" t="n">
        <v>60</v>
      </c>
      <c r="E20" s="16" t="n"/>
      <c r="F20" s="28" t="n">
        <v>18</v>
      </c>
      <c r="G20" s="16" t="inlineStr">
        <is>
          <t>no</t>
        </is>
      </c>
      <c r="H20" s="16" t="inlineStr">
        <is>
          <t>resources</t>
        </is>
      </c>
      <c r="I20" s="16" t="inlineStr">
        <is>
          <t>water_rights</t>
        </is>
      </c>
      <c r="J20" s="16" t="inlineStr">
        <is>
          <t>–</t>
        </is>
      </c>
      <c r="K20" s="16" t="inlineStr">
        <is>
          <t>P/B 0.97 · EV/EBITDA 6.0× · FCF yld 6% · net cash 36% of mcap · rev +5% · op margin 4%</t>
        </is>
      </c>
    </row>
    <row r="21" ht="22" customHeight="1">
      <c r="A21" s="6" t="inlineStr">
        <is>
          <t>CMP</t>
        </is>
      </c>
      <c r="B21" s="14" t="inlineStr">
        <is>
          <t>Compass Minerals I</t>
        </is>
      </c>
      <c r="C21" s="14" t="inlineStr">
        <is>
          <t>P/B 3.71 · 7.9× EBITDA · debt 69% · 52w 38%</t>
        </is>
      </c>
      <c r="D21" s="14" t="n">
        <v>60</v>
      </c>
      <c r="E21" s="14" t="n"/>
      <c r="F21" s="27" t="n">
        <v>18</v>
      </c>
      <c r="G21" s="14" t="inlineStr">
        <is>
          <t>no</t>
        </is>
      </c>
      <c r="H21" s="14" t="inlineStr">
        <is>
          <t>resources</t>
        </is>
      </c>
      <c r="I21" s="14" t="inlineStr">
        <is>
          <t>water_rights</t>
        </is>
      </c>
      <c r="J21" s="14" t="inlineStr">
        <is>
          <t>–</t>
        </is>
      </c>
      <c r="K21" s="14" t="inlineStr">
        <is>
          <t>P/B 3.71 · EV/EBITDA 7.9× · FCF yld 8% · net debt 69% of mcap · rev +6% · op margin 9%</t>
        </is>
      </c>
    </row>
    <row r="22" ht="22" customHeight="1">
      <c r="A22" s="8" t="inlineStr">
        <is>
          <t>LODE</t>
        </is>
      </c>
      <c r="B22" s="16" t="inlineStr">
        <is>
          <t>Comstock Inc.</t>
        </is>
      </c>
      <c r="C22" s="16" t="inlineStr">
        <is>
          <t>P/B 0.72 · debt 1% · 52w 12%</t>
        </is>
      </c>
      <c r="D22" s="16" t="n">
        <v>60</v>
      </c>
      <c r="E22" s="16" t="n"/>
      <c r="F22" s="28" t="n">
        <v>18</v>
      </c>
      <c r="G22" s="16" t="inlineStr">
        <is>
          <t>no</t>
        </is>
      </c>
      <c r="H22" s="16" t="inlineStr">
        <is>
          <t>resources</t>
        </is>
      </c>
      <c r="I22" s="16" t="inlineStr">
        <is>
          <t>water_rights</t>
        </is>
      </c>
      <c r="J22" s="16" t="inlineStr">
        <is>
          <t>–</t>
        </is>
      </c>
      <c r="K22" s="16" t="inlineStr">
        <is>
          <t>P/B 0.72 · P/S 95.7 · FCF yld -40% · net debt 1% of mcap  [new entity / merger: history not comparable]</t>
        </is>
      </c>
    </row>
    <row r="23" ht="22" customHeight="1">
      <c r="A23" s="6" t="inlineStr">
        <is>
          <t>VNOM</t>
        </is>
      </c>
      <c r="B23" s="14" t="inlineStr">
        <is>
          <t>Viper Energy, Inc.</t>
        </is>
      </c>
      <c r="C23" s="14" t="inlineStr">
        <is>
          <t>P/B 2.98 · 15.2× EBITDA · debt 11% · 52w 41%</t>
        </is>
      </c>
      <c r="D23" s="14" t="n">
        <v>60</v>
      </c>
      <c r="E23" s="14" t="n"/>
      <c r="F23" s="27" t="n">
        <v>18</v>
      </c>
      <c r="G23" s="14" t="inlineStr">
        <is>
          <t>no</t>
        </is>
      </c>
      <c r="H23" s="14" t="inlineStr">
        <is>
          <t>energy, healthc</t>
        </is>
      </c>
      <c r="I23" s="14" t="inlineStr">
        <is>
          <t>og_reserves, royalty_acres</t>
        </is>
      </c>
      <c r="J23" s="14" t="inlineStr">
        <is>
          <t>–</t>
        </is>
      </c>
      <c r="K23" s="14" t="inlineStr">
        <is>
          <t>P/B 2.98 · EV/EBITDA 15.2× · FCF yld 1% · net debt 11% of mcap · rev +103% · op margin 49% · diluting 54%/yr</t>
        </is>
      </c>
    </row>
    <row r="24" ht="22" customHeight="1">
      <c r="A24" s="8" t="inlineStr">
        <is>
          <t>KRP</t>
        </is>
      </c>
      <c r="B24" s="16" t="inlineStr">
        <is>
          <t>Kimbell Royalty Pa</t>
        </is>
      </c>
      <c r="C24" s="16" t="inlineStr">
        <is>
          <t>P/B 1.95 · 8.8× EBITDA · debt 31% · 52w 71%</t>
        </is>
      </c>
      <c r="D24" s="16" t="n">
        <v>60</v>
      </c>
      <c r="E24" s="16" t="n"/>
      <c r="F24" s="28" t="n">
        <v>18</v>
      </c>
      <c r="G24" s="16" t="inlineStr">
        <is>
          <t>no</t>
        </is>
      </c>
      <c r="H24" s="16" t="inlineStr">
        <is>
          <t>energy</t>
        </is>
      </c>
      <c r="I24" s="16" t="inlineStr">
        <is>
          <t>royalty_acres</t>
        </is>
      </c>
      <c r="J24" s="16" t="inlineStr">
        <is>
          <t>–</t>
        </is>
      </c>
      <c r="K24" s="16" t="inlineStr">
        <is>
          <t>P/B 1.95 · EV/EBITDA 8.8× · FCF yld 17% · net debt 31% of mcap · rev +14% · op margin 42% · buying back 3%/yr</t>
        </is>
      </c>
    </row>
    <row r="25" ht="22" customHeight="1">
      <c r="A25" s="6" t="inlineStr">
        <is>
          <t>SATS</t>
        </is>
      </c>
      <c r="B25" s="14" t="inlineStr">
        <is>
          <t>EchoStar Corporati</t>
        </is>
      </c>
      <c r="C25" s="14" t="inlineStr">
        <is>
          <t>P/B 1.77 · debt 68% · 52w 51%</t>
        </is>
      </c>
      <c r="D25" s="14" t="n">
        <v>48</v>
      </c>
      <c r="E25" s="14" t="n"/>
      <c r="F25" s="27" t="n">
        <v>17</v>
      </c>
      <c r="G25" s="14" t="inlineStr">
        <is>
          <t>no</t>
        </is>
      </c>
      <c r="H25" s="14" t="inlineStr">
        <is>
          <t>telecom</t>
        </is>
      </c>
      <c r="I25" s="14" t="inlineStr">
        <is>
          <t>spectrum, fcc_licences</t>
        </is>
      </c>
      <c r="J25" s="14" t="inlineStr">
        <is>
          <t>–</t>
        </is>
      </c>
      <c r="K25" s="14" t="inlineStr">
        <is>
          <t>P/B 1.77 · P/S 1.7 · FCF yld -1% · net debt 68% of mcap · rev -5% · op margin 7% · diluting 22%/yr · interest cover 0.5× ⚠</t>
        </is>
      </c>
    </row>
    <row r="26" ht="22" customHeight="1">
      <c r="A26" s="8" t="inlineStr">
        <is>
          <t>TILE</t>
        </is>
      </c>
      <c r="B26" s="16" t="inlineStr">
        <is>
          <t>Interface, Inc.</t>
        </is>
      </c>
      <c r="C26" s="16" t="inlineStr">
        <is>
          <t>P/B 3.00 · 9.7× EBITDA · debt 10% · 52w 66%</t>
        </is>
      </c>
      <c r="D26" s="16" t="n">
        <v>48</v>
      </c>
      <c r="E26" s="16" t="n"/>
      <c r="F26" s="28" t="n">
        <v>17</v>
      </c>
      <c r="G26" s="16" t="inlineStr">
        <is>
          <t>no</t>
        </is>
      </c>
      <c r="H26" s="16" t="inlineStr">
        <is>
          <t>any</t>
        </is>
      </c>
      <c r="I26" s="16" t="inlineStr">
        <is>
          <t>pension_surplus, insurance</t>
        </is>
      </c>
      <c r="J26" s="16" t="inlineStr">
        <is>
          <t>–</t>
        </is>
      </c>
      <c r="K26" s="16" t="inlineStr">
        <is>
          <t>P/B 3.00 · EV/EBITDA 9.7× · FCF yld 6% · net debt 10% of mcap · rev +7% · op margin 14%</t>
        </is>
      </c>
    </row>
    <row r="27" ht="22" customHeight="1">
      <c r="A27" s="6" t="inlineStr">
        <is>
          <t>CCI</t>
        </is>
      </c>
      <c r="B27" s="14" t="inlineStr">
        <is>
          <t>Crown Castle Inc.</t>
        </is>
      </c>
      <c r="C27" s="14" t="inlineStr">
        <is>
          <t>19.6× EBITDA · 52w 5%</t>
        </is>
      </c>
      <c r="D27" s="14" t="n">
        <v>42</v>
      </c>
      <c r="E27" s="14" t="n"/>
      <c r="F27" s="27" t="n">
        <v>16</v>
      </c>
      <c r="G27" s="14" t="inlineStr">
        <is>
          <t>no</t>
        </is>
      </c>
      <c r="H27" s="14" t="inlineStr">
        <is>
          <t>telecom</t>
        </is>
      </c>
      <c r="I27" s="14" t="inlineStr">
        <is>
          <t>spectrum, towers</t>
        </is>
      </c>
      <c r="J27" s="14" t="inlineStr">
        <is>
          <t>–</t>
        </is>
      </c>
      <c r="K27" s="14" t="inlineStr">
        <is>
          <t>EV/EBITDA 19.6× · FCF yld 8% · rev -23% · op margin 48%  [negative equity]</t>
        </is>
      </c>
    </row>
    <row r="28" ht="22" customHeight="1">
      <c r="A28" s="8" t="inlineStr">
        <is>
          <t>CTGO</t>
        </is>
      </c>
      <c r="B28" s="16" t="inlineStr">
        <is>
          <t>Contango Ore, Inc.</t>
        </is>
      </c>
      <c r="C28" s="16" t="inlineStr">
        <is>
          <t>P/B 1.87 · cash 11% · 52w 21%</t>
        </is>
      </c>
      <c r="D28" s="16" t="n">
        <v>42</v>
      </c>
      <c r="E28" s="16" t="n"/>
      <c r="F28" s="28" t="n">
        <v>16</v>
      </c>
      <c r="G28" s="16" t="inlineStr">
        <is>
          <t>no</t>
        </is>
      </c>
      <c r="H28" s="16" t="inlineStr">
        <is>
          <t>healthcare, res</t>
        </is>
      </c>
      <c r="I28" s="16" t="inlineStr">
        <is>
          <t>mineral_rights, milestones</t>
        </is>
      </c>
      <c r="J28" s="16" t="inlineStr">
        <is>
          <t>–</t>
        </is>
      </c>
      <c r="K28" s="16" t="inlineStr">
        <is>
          <t>P/B 1.87 · P/S 0.0 · FCF yld 4% · net cash 11% of mcap · op margin 0% · diluting 22%/yr</t>
        </is>
      </c>
    </row>
    <row r="29" ht="22" customHeight="1">
      <c r="A29" s="6" t="inlineStr">
        <is>
          <t>WULF</t>
        </is>
      </c>
      <c r="B29" s="14" t="inlineStr">
        <is>
          <t>TeraWulf Inc.</t>
        </is>
      </c>
      <c r="C29" s="14" t="inlineStr">
        <is>
          <t>P/B 57.77 · 52w 35%</t>
        </is>
      </c>
      <c r="D29" s="14" t="n">
        <v>22</v>
      </c>
      <c r="E29" s="14" t="n"/>
      <c r="F29" s="27" t="n">
        <v>15</v>
      </c>
      <c r="G29" s="14" t="inlineStr">
        <is>
          <t>no</t>
        </is>
      </c>
      <c r="H29" s="14" t="inlineStr">
        <is>
          <t>real_estate, te</t>
        </is>
      </c>
      <c r="I29" s="14" t="inlineStr">
        <is>
          <t>data_center, ground_lease</t>
        </is>
      </c>
      <c r="J29" s="14" t="inlineStr">
        <is>
          <t>–</t>
        </is>
      </c>
      <c r="K29" s="14" t="inlineStr">
        <is>
          <t>P/B 57.77 · ROE -1709% · diluting 26%/yr (financial: book/earnings basis)</t>
        </is>
      </c>
    </row>
    <row r="30" ht="22" customHeight="1">
      <c r="A30" s="8" t="inlineStr">
        <is>
          <t>NI</t>
        </is>
      </c>
      <c r="B30" s="16" t="inlineStr">
        <is>
          <t>NiSource Inc</t>
        </is>
      </c>
      <c r="C30" s="16" t="inlineStr">
        <is>
          <t>P/B 1.97 · 11.3× EBITDA · debt 93% · 52w 2%</t>
        </is>
      </c>
      <c r="D30" s="16" t="n">
        <v>22</v>
      </c>
      <c r="E30" s="16" t="n"/>
      <c r="F30" s="28" t="n">
        <v>15</v>
      </c>
      <c r="G30" s="16" t="inlineStr">
        <is>
          <t>–</t>
        </is>
      </c>
      <c r="H30" s="16" t="inlineStr">
        <is>
          <t>any, telecom</t>
        </is>
      </c>
      <c r="I30" s="16" t="inlineStr">
        <is>
          <t>data_center, pension_surpl</t>
        </is>
      </c>
      <c r="J30" s="16" t="inlineStr">
        <is>
          <t>–</t>
        </is>
      </c>
      <c r="K30" s="16" t="inlineStr">
        <is>
          <t>P/B 1.97 · EV/EBITDA 11.3× · FCF yld -6% · net debt 93% of mcap · rev +12% · op margin 27%</t>
        </is>
      </c>
    </row>
    <row r="31" ht="22" customHeight="1">
      <c r="A31" s="6" t="inlineStr">
        <is>
          <t>NOG</t>
        </is>
      </c>
      <c r="B31" s="14" t="inlineStr">
        <is>
          <t>Northern Oil and G</t>
        </is>
      </c>
      <c r="C31" s="14" t="inlineStr">
        <is>
          <t>P/B 1.27 · 16.2× EBITDA · debt 106% · 52w 44%</t>
        </is>
      </c>
      <c r="D31" s="14" t="n">
        <v>22</v>
      </c>
      <c r="E31" s="14" t="n"/>
      <c r="F31" s="27" t="n">
        <v>15</v>
      </c>
      <c r="G31" s="14" t="inlineStr">
        <is>
          <t>–</t>
        </is>
      </c>
      <c r="H31" s="14" t="inlineStr">
        <is>
          <t>energy</t>
        </is>
      </c>
      <c r="I31" s="14" t="inlineStr">
        <is>
          <t>royalty_acres</t>
        </is>
      </c>
      <c r="J31" s="14" t="inlineStr">
        <is>
          <t>–</t>
        </is>
      </c>
      <c r="K31" s="14" t="inlineStr">
        <is>
          <t>P/B 1.27 · EV/EBITDA 16.2× · FCF yld -33% · net debt 106% of mcap · rev +0% · op margin 32% · diluting 9%/yr</t>
        </is>
      </c>
    </row>
    <row r="32" ht="22" customHeight="1">
      <c r="A32" s="8" t="inlineStr">
        <is>
          <t>SAFE</t>
        </is>
      </c>
      <c r="B32" s="16" t="inlineStr">
        <is>
          <t>Safehold Inc. New</t>
        </is>
      </c>
      <c r="C32" s="16" t="inlineStr">
        <is>
          <t>P/B 0.38 · 16.4× EBITDA · debt 499% · 52w 4%</t>
        </is>
      </c>
      <c r="D32" s="16" t="n">
        <v>22</v>
      </c>
      <c r="E32" s="16" t="n"/>
      <c r="F32" s="28" t="n">
        <v>15</v>
      </c>
      <c r="G32" s="16" t="inlineStr">
        <is>
          <t>–</t>
        </is>
      </c>
      <c r="H32" s="16" t="inlineStr">
        <is>
          <t>real_estate</t>
        </is>
      </c>
      <c r="I32" s="16" t="inlineStr">
        <is>
          <t>ground_lease</t>
        </is>
      </c>
      <c r="J32" s="16" t="inlineStr">
        <is>
          <t>–</t>
        </is>
      </c>
      <c r="K32" s="16" t="inlineStr">
        <is>
          <t>P/B 0.38 · EV/EBITDA 16.4× · FCF yld 4% · net debt 499% of mcap · rev +11% · op margin 50% · interest cover 1.0× ⚠</t>
        </is>
      </c>
    </row>
    <row r="33" ht="22" customHeight="1">
      <c r="A33" s="6" t="inlineStr">
        <is>
          <t>LW</t>
        </is>
      </c>
      <c r="B33" s="14" t="inlineStr">
        <is>
          <t>Lamb Weston Holdin</t>
        </is>
      </c>
      <c r="C33" s="14" t="inlineStr">
        <is>
          <t>P/B 3.41 · 10.3× EBITDA · debt 64% · 52w 26%</t>
        </is>
      </c>
      <c r="D33" s="14" t="n">
        <v>22</v>
      </c>
      <c r="E33" s="14" t="n"/>
      <c r="F33" s="27" t="n">
        <v>15</v>
      </c>
      <c r="G33" s="14" t="inlineStr">
        <is>
          <t>–</t>
        </is>
      </c>
      <c r="H33" s="14" t="inlineStr">
        <is>
          <t>any, real_estat</t>
        </is>
      </c>
      <c r="I33" s="14" t="inlineStr">
        <is>
          <t>land_bank, equity_stake</t>
        </is>
      </c>
      <c r="J33" s="14" t="inlineStr">
        <is>
          <t>–</t>
        </is>
      </c>
      <c r="K33" s="14" t="inlineStr">
        <is>
          <t>P/B 3.41 · EV/EBITDA 10.3× · FCF yld 10% · net debt 64% of mcap · rev +2% · op margin 9% · buying back 3%/yr</t>
        </is>
      </c>
    </row>
    <row r="34" ht="22" customHeight="1">
      <c r="A34" s="8" t="inlineStr">
        <is>
          <t>JELD</t>
        </is>
      </c>
      <c r="B34" s="16" t="inlineStr">
        <is>
          <t>JELD-WEN Holding,</t>
        </is>
      </c>
      <c r="C34" s="16" t="inlineStr">
        <is>
          <t>52w 21%</t>
        </is>
      </c>
      <c r="D34" s="16" t="n">
        <v>22</v>
      </c>
      <c r="E34" s="16" t="n"/>
      <c r="F34" s="28" t="n">
        <v>15</v>
      </c>
      <c r="G34" s="16" t="inlineStr">
        <is>
          <t>–</t>
        </is>
      </c>
      <c r="H34" s="16" t="inlineStr">
        <is>
          <t>any</t>
        </is>
      </c>
      <c r="I34" s="16" t="inlineStr">
        <is>
          <t>pension_surplus</t>
        </is>
      </c>
      <c r="J34" s="16" t="inlineStr">
        <is>
          <t>–</t>
        </is>
      </c>
      <c r="K34" s="16" t="inlineStr">
        <is>
          <t>P/S 0.1 · rev -8% · op margin -8%  [negative equity; FCF yield &gt;100% (check)]</t>
        </is>
      </c>
    </row>
    <row r="35" ht="22" customHeight="1">
      <c r="A35" s="6" t="inlineStr">
        <is>
          <t>BRID</t>
        </is>
      </c>
      <c r="B35" s="14" t="inlineStr">
        <is>
          <t>Bridgford Foods Co</t>
        </is>
      </c>
      <c r="C35" s="14" t="inlineStr">
        <is>
          <t>P/B 0.49 · debt 18% · 52w 7%</t>
        </is>
      </c>
      <c r="D35" s="14" t="n">
        <v>22</v>
      </c>
      <c r="E35" s="14" t="n"/>
      <c r="F35" s="27" t="n">
        <v>15</v>
      </c>
      <c r="G35" s="14" t="inlineStr">
        <is>
          <t>–</t>
        </is>
      </c>
      <c r="H35" s="14" t="inlineStr">
        <is>
          <t>any</t>
        </is>
      </c>
      <c r="I35" s="14" t="inlineStr">
        <is>
          <t>pension_surplus</t>
        </is>
      </c>
      <c r="J35" s="14" t="inlineStr">
        <is>
          <t>–</t>
        </is>
      </c>
      <c r="K35" s="14" t="inlineStr">
        <is>
          <t>P/B 0.49 · P/S 0.2 · FCF yld -12% · net debt 18% of mcap · op margin -9% · interest cover -42.0× ⚠</t>
        </is>
      </c>
    </row>
    <row r="36" ht="22" customHeight="1">
      <c r="A36" s="8" t="inlineStr">
        <is>
          <t>HBB</t>
        </is>
      </c>
      <c r="B36" s="16" t="inlineStr">
        <is>
          <t>Hamilton Beach Bra</t>
        </is>
      </c>
      <c r="C36" s="16" t="inlineStr">
        <is>
          <t>P/B 2.13 · 5.5× EBITDA · cash 3% · 52w 99%</t>
        </is>
      </c>
      <c r="D36" s="16" t="n">
        <v>22</v>
      </c>
      <c r="E36" s="16" t="n"/>
      <c r="F36" s="28" t="n">
        <v>15</v>
      </c>
      <c r="G36" s="16" t="inlineStr">
        <is>
          <t>–</t>
        </is>
      </c>
      <c r="H36" s="16" t="inlineStr">
        <is>
          <t>any</t>
        </is>
      </c>
      <c r="I36" s="16" t="inlineStr">
        <is>
          <t>pension_surplus</t>
        </is>
      </c>
      <c r="J36" s="16" t="inlineStr">
        <is>
          <t>–</t>
        </is>
      </c>
      <c r="K36" s="16" t="inlineStr">
        <is>
          <t>P/B 2.13 · EV/EBITDA 5.5× · FCF yld 21% · net cash 3% of mcap · rev -3% · op margin 13%</t>
        </is>
      </c>
    </row>
    <row r="37" ht="22" customHeight="1">
      <c r="A37" s="6" t="inlineStr">
        <is>
          <t>LXFR</t>
        </is>
      </c>
      <c r="B37" s="14" t="inlineStr">
        <is>
          <t>Luxfer Holdings PL</t>
        </is>
      </c>
      <c r="C37" s="14" t="inlineStr">
        <is>
          <t>P/B 2.07 · 16.0× EBITDA · debt 10% · 52w 73%</t>
        </is>
      </c>
      <c r="D37" s="14" t="n">
        <v>22</v>
      </c>
      <c r="E37" s="14" t="n"/>
      <c r="F37" s="27" t="n">
        <v>15</v>
      </c>
      <c r="G37" s="14" t="inlineStr">
        <is>
          <t>–</t>
        </is>
      </c>
      <c r="H37" s="14" t="inlineStr">
        <is>
          <t>any</t>
        </is>
      </c>
      <c r="I37" s="14" t="inlineStr">
        <is>
          <t>pension_surplus</t>
        </is>
      </c>
      <c r="J37" s="14" t="inlineStr">
        <is>
          <t>–</t>
        </is>
      </c>
      <c r="K37" s="14" t="inlineStr">
        <is>
          <t>P/B 2.07 · EV/EBITDA 16.0× · FCF yld 4% · net debt 10% of mcap · rev -10% · op margin 10%</t>
        </is>
      </c>
    </row>
    <row r="38" ht="22" customHeight="1">
      <c r="A38" s="8" t="inlineStr">
        <is>
          <t>ATAI</t>
        </is>
      </c>
      <c r="B38" s="16" t="inlineStr">
        <is>
          <t>AtaiBeckley Inc.</t>
        </is>
      </c>
      <c r="C38" s="16" t="inlineStr">
        <is>
          <t>P/B 15.42 · cash 8% · 52w 98%</t>
        </is>
      </c>
      <c r="D38" s="16" t="n">
        <v>22</v>
      </c>
      <c r="E38" s="16" t="n"/>
      <c r="F38" s="28" t="n">
        <v>15</v>
      </c>
      <c r="G38" s="16" t="inlineStr">
        <is>
          <t>–</t>
        </is>
      </c>
      <c r="H38" s="16" t="inlineStr">
        <is>
          <t>any</t>
        </is>
      </c>
      <c r="I38" s="16" t="inlineStr">
        <is>
          <t>cvr</t>
        </is>
      </c>
      <c r="J38" s="16" t="inlineStr">
        <is>
          <t>–</t>
        </is>
      </c>
      <c r="K38" s="16" t="inlineStr">
        <is>
          <t>P/B 15.42 · P/S 607.9 · FCF yld -5% · net cash 8% of mcap · rev +94% · diluting 84%/yr  [dividend yield &gt;25% (special or bad data)]</t>
        </is>
      </c>
    </row>
    <row r="39" ht="22" customHeight="1">
      <c r="A39" s="6" t="inlineStr">
        <is>
          <t>LSTA</t>
        </is>
      </c>
      <c r="B39" s="14" t="inlineStr">
        <is>
          <t>Lisata Therapeutic</t>
        </is>
      </c>
      <c r="C39" s="14" t="inlineStr">
        <is>
          <t>P/B 1.60 · cash 79% · 52w 11%</t>
        </is>
      </c>
      <c r="D39" s="14" t="n">
        <v>22</v>
      </c>
      <c r="E39" s="14" t="n"/>
      <c r="F39" s="27" t="n">
        <v>15</v>
      </c>
      <c r="G39" s="14" t="inlineStr">
        <is>
          <t>–</t>
        </is>
      </c>
      <c r="H39" s="14" t="inlineStr">
        <is>
          <t>any</t>
        </is>
      </c>
      <c r="I39" s="14" t="inlineStr">
        <is>
          <t>cvr</t>
        </is>
      </c>
      <c r="J39" s="14" t="inlineStr">
        <is>
          <t>–</t>
        </is>
      </c>
      <c r="K39" s="14" t="inlineStr">
        <is>
          <t>P/B 1.60 · P/S 130.2 · FCF yld -94% · net cash 79% of mcap · rev -91% · diluting 6%/yr</t>
        </is>
      </c>
    </row>
    <row r="40" ht="22" customHeight="1">
      <c r="A40" s="8" t="inlineStr">
        <is>
          <t>TBPH</t>
        </is>
      </c>
      <c r="B40" s="16" t="inlineStr">
        <is>
          <t>Theravance Biophar</t>
        </is>
      </c>
      <c r="C40" s="16" t="inlineStr">
        <is>
          <t>P/B 3.05 · 10.2× EBITDA · cash 40% · 52w 50%</t>
        </is>
      </c>
      <c r="D40" s="16" t="n">
        <v>22</v>
      </c>
      <c r="E40" s="16" t="n"/>
      <c r="F40" s="28" t="n">
        <v>15</v>
      </c>
      <c r="G40" s="16" t="inlineStr">
        <is>
          <t>–</t>
        </is>
      </c>
      <c r="H40" s="16" t="inlineStr">
        <is>
          <t>any</t>
        </is>
      </c>
      <c r="I40" s="16" t="inlineStr">
        <is>
          <t>cvr</t>
        </is>
      </c>
      <c r="J40" s="16" t="inlineStr">
        <is>
          <t>–</t>
        </is>
      </c>
      <c r="K40" s="16" t="inlineStr">
        <is>
          <t>P/B 3.05 · EV/EBITDA 10.2× · FCF yld 6% · net cash 40% of mcap · rev +35% · op margin 4%</t>
        </is>
      </c>
    </row>
    <row r="41" ht="22" customHeight="1">
      <c r="A41" s="6" t="inlineStr">
        <is>
          <t>ASRT</t>
        </is>
      </c>
      <c r="B41" s="14" t="inlineStr">
        <is>
          <t>Assertio Holdings,</t>
        </is>
      </c>
      <c r="C41" s="14" t="inlineStr">
        <is>
          <t>P/B 2.01 · cash 21% · 52w 100%</t>
        </is>
      </c>
      <c r="D41" s="14" t="n">
        <v>22</v>
      </c>
      <c r="E41" s="14" t="n"/>
      <c r="F41" s="27" t="n">
        <v>15</v>
      </c>
      <c r="G41" s="14" t="inlineStr">
        <is>
          <t>–</t>
        </is>
      </c>
      <c r="H41" s="14" t="inlineStr">
        <is>
          <t>any</t>
        </is>
      </c>
      <c r="I41" s="14" t="inlineStr">
        <is>
          <t>cvr</t>
        </is>
      </c>
      <c r="J41" s="14" t="inlineStr">
        <is>
          <t>–</t>
        </is>
      </c>
      <c r="K41" s="14" t="inlineStr">
        <is>
          <t>P/B 2.01 · P/S 1.5 · FCF yld -5% · net cash 21% of mcap · rev -14% · op margin -22%</t>
        </is>
      </c>
    </row>
    <row r="42" ht="22" customHeight="1">
      <c r="A42" s="8" t="inlineStr">
        <is>
          <t>RNAC</t>
        </is>
      </c>
      <c r="B42" s="16" t="inlineStr">
        <is>
          <t>Cartesian Therapeu</t>
        </is>
      </c>
      <c r="C42" s="16" t="inlineStr">
        <is>
          <t>52w 39%</t>
        </is>
      </c>
      <c r="D42" s="16" t="n">
        <v>22</v>
      </c>
      <c r="E42" s="16" t="n"/>
      <c r="F42" s="28" t="n">
        <v>15</v>
      </c>
      <c r="G42" s="16" t="inlineStr">
        <is>
          <t>–</t>
        </is>
      </c>
      <c r="H42" s="16" t="inlineStr">
        <is>
          <t>any</t>
        </is>
      </c>
      <c r="I42" s="16" t="inlineStr">
        <is>
          <t>cvr</t>
        </is>
      </c>
      <c r="J42" s="16" t="inlineStr">
        <is>
          <t>–</t>
        </is>
      </c>
      <c r="K42" s="16" t="inlineStr">
        <is>
          <t>P/S 157.0 · FCF yld -34% · rev +44% · diluting 13%/yr  [negative equity]</t>
        </is>
      </c>
    </row>
    <row r="43" ht="22" customHeight="1">
      <c r="A43" s="6" t="inlineStr">
        <is>
          <t>ASTS</t>
        </is>
      </c>
      <c r="B43" s="14" t="inlineStr">
        <is>
          <t>AST SpaceMobile, I</t>
        </is>
      </c>
      <c r="C43" s="14" t="inlineStr">
        <is>
          <t>P/B 13.34 · debt 3% · 52w 17%</t>
        </is>
      </c>
      <c r="D43" s="14" t="n">
        <v>2</v>
      </c>
      <c r="E43" s="14" t="n"/>
      <c r="F43" s="27" t="n">
        <v>14</v>
      </c>
      <c r="G43" s="14" t="inlineStr">
        <is>
          <t>–</t>
        </is>
      </c>
      <c r="H43" s="14" t="inlineStr">
        <is>
          <t>telecom</t>
        </is>
      </c>
      <c r="I43" s="14" t="inlineStr">
        <is>
          <t>spectrum</t>
        </is>
      </c>
      <c r="J43" s="14" t="inlineStr">
        <is>
          <t>–</t>
        </is>
      </c>
      <c r="K43" s="14" t="inlineStr">
        <is>
          <t>P/B 13.34 · P/S 213.7 · FCF yld -7% · net debt 3% of mcap · diluting 24%/yr  [revenue not comparable YoY (fair-value / one-off income?)]</t>
        </is>
      </c>
    </row>
    <row r="44" ht="22" customHeight="1">
      <c r="A44" s="8" t="inlineStr">
        <is>
          <t>IRDM</t>
        </is>
      </c>
      <c r="B44" s="16" t="inlineStr">
        <is>
          <t>Iridium Communicat</t>
        </is>
      </c>
      <c r="C44" s="16" t="inlineStr">
        <is>
          <t>P/B 10.91 · 15.8× EBITDA · debt 31% · 52w 79%</t>
        </is>
      </c>
      <c r="D44" s="16" t="n">
        <v>2</v>
      </c>
      <c r="E44" s="16" t="n"/>
      <c r="F44" s="28" t="n">
        <v>14</v>
      </c>
      <c r="G44" s="16" t="inlineStr">
        <is>
          <t>–</t>
        </is>
      </c>
      <c r="H44" s="16" t="inlineStr">
        <is>
          <t>telecom</t>
        </is>
      </c>
      <c r="I44" s="16" t="inlineStr">
        <is>
          <t>spectrum</t>
        </is>
      </c>
      <c r="J44" s="16" t="inlineStr">
        <is>
          <t>–</t>
        </is>
      </c>
      <c r="K44" s="16" t="inlineStr">
        <is>
          <t>P/B 10.91 · EV/EBITDA 15.8× · FCF yld 6% · net debt 31% of mcap · rev +3% · op margin 24%</t>
        </is>
      </c>
    </row>
    <row r="45"/>
    <row r="46" ht="28" customHeight="1">
      <c r="A46" s="17" t="inlineStr">
        <is>
          <t>370 hidden-asset / incentivised-realisation setups across all industries (top 40). The thesis (E.W. Scripps / SSP archetype): a credit agreement that MANDATES asset-disposition proceeds be applied to debt paydown creates a structural, incentivised path to value realisation — on a small equity base, selling a hidden asset retires senior debt and lifts the residual stub roughly one-for-one. The high-value setup is the CONJUNCTION: a rare valuable asset + the mandatory-prepayment sweep + a small levered equity base. The asset taxonomy spans every sector — telecom (spectrum, fiber, towers), resources/energy (water/mineral rights, reserves, royalty acres, timberland, carbon), real estate (land bank, ground leases, air rights), financials (MSRs, securities), IP/healthcare (royalty streams, patents, milestones, CVRs), holdco sum-of-parts (equity stakes), and cross-industry off-balance-sheet value (NOLs, deferred tax assets, pension surplus, litigation/insurance recoveries). 'watch' names are hand-curated with catalyst triggers and counter-risks (hidden_asset_watch.json); the rest are mined from EDGAR. Source: credit_agreement_mine.py.</t>
        </is>
      </c>
    </row>
  </sheetData>
  <mergeCells count="3">
    <mergeCell ref="A1:J1"/>
    <mergeCell ref="A46:J46"/>
    <mergeCell ref="A2:J2"/>
  </mergeCells>
  <conditionalFormatting sqref="D5:D46">
    <cfRule type="dataBar" priority="1">
      <dataBar showValue="1">
        <cfvo type="num" val="0"/>
        <cfvo type="num" val="100"/>
        <color rgb="009DB9D3"/>
      </dataBar>
    </cfRule>
  </conditionalFormatting>
  <hyperlinks>
    <hyperlink xmlns:r="http://schemas.openxmlformats.org/officeDocument/2006/relationships" ref="A5" r:id="rId1"/>
    <hyperlink xmlns:r="http://schemas.openxmlformats.org/officeDocument/2006/relationships" ref="A15" r:id="rId2"/>
    <hyperlink xmlns:r="http://schemas.openxmlformats.org/officeDocument/2006/relationships" ref="A33" r:id="rId3"/>
  </hyperlinks>
  <printOptions horizontalCentered="0"/>
  <pageMargins left="0.5" right="0.5" top="0.6" bottom="0.6" header="0.5" footer="0.5"/>
  <pageSetup orientation="landscape" fitToHeight="0" fitToWidth="1"/>
</worksheet>
</file>

<file path=xl/worksheets/sheet16.xml><?xml version="1.0" encoding="utf-8"?>
<worksheet xmlns="http://schemas.openxmlformats.org/spreadsheetml/2006/main">
  <sheetPr>
    <tabColor rgb="002E75B6"/>
    <outlinePr summaryBelow="1" summaryRight="1"/>
    <pageSetUpPr fitToPage="1"/>
  </sheetPr>
  <dimension ref="A1:P34"/>
  <sheetViews>
    <sheetView showGridLines="0" workbookViewId="0">
      <pane ySplit="4" topLeftCell="A5" activePane="bottomLeft" state="frozen"/>
      <selection pane="bottomLeft" activeCell="A1" sqref="A1"/>
    </sheetView>
  </sheetViews>
  <sheetFormatPr baseColWidth="8" defaultRowHeight="15"/>
  <cols>
    <col width="9" customWidth="1" min="1" max="1"/>
    <col width="24" customWidth="1" min="2" max="2"/>
    <col width="30" customWidth="1" min="3" max="3"/>
    <col width="9" customWidth="1" min="4" max="4"/>
    <col width="10" customWidth="1" min="5" max="5"/>
    <col width="7" customWidth="1" min="6" max="6"/>
    <col width="6" customWidth="1" min="7" max="7"/>
    <col width="6" customWidth="1" min="8" max="8"/>
    <col width="6" customWidth="1" min="9" max="9"/>
    <col width="6" customWidth="1" min="10" max="10"/>
    <col width="6" customWidth="1" min="11" max="11"/>
    <col width="6" customWidth="1" min="12" max="12"/>
    <col width="6" customWidth="1" min="13" max="13"/>
    <col width="6" customWidth="1" min="14" max="14"/>
    <col width="40" customWidth="1" min="15" max="15"/>
    <col width="62" customWidth="1" min="16" max="16"/>
  </cols>
  <sheetData>
    <row r="1" ht="26" customHeight="1">
      <c r="A1" s="1" t="inlineStr">
        <is>
          <t>Asymmetry Assembly — the PSIX recipe</t>
        </is>
      </c>
    </row>
    <row r="2" ht="18" customHeight="1">
      <c r="A2" s="20" t="inlineStr">
        <is>
          <t>Conjunction detector: fires only when cheap expectations, an operating inflection, survivable leverage and a costly-action alignment signal REINFORCE one another — not a sum of weak parts</t>
        </is>
      </c>
      <c r="B2" s="19" t="n"/>
      <c r="C2" s="19" t="n"/>
      <c r="D2" s="19" t="n"/>
      <c r="E2" s="19" t="n"/>
      <c r="F2" s="19" t="n"/>
      <c r="G2" s="19" t="n"/>
      <c r="H2" s="19" t="n"/>
      <c r="I2" s="19" t="n"/>
      <c r="J2" s="19" t="n"/>
      <c r="K2" s="19" t="n"/>
      <c r="L2" s="19" t="n"/>
      <c r="M2" s="19" t="n"/>
      <c r="N2" s="19" t="n"/>
      <c r="O2" s="19" t="n"/>
    </row>
    <row r="3" ht="8" customHeight="1">
      <c r="D3" s="34" t="inlineStr">
        <is>
          <t>%ile vs all 28 names scored</t>
        </is>
      </c>
    </row>
    <row r="4" ht="18" customHeight="1">
      <c r="A4" s="12" t="inlineStr">
        <is>
          <t>Ticker</t>
        </is>
      </c>
      <c r="B4" s="12" t="inlineStr">
        <is>
          <t>Name</t>
        </is>
      </c>
      <c r="C4" s="12" t="inlineStr">
        <is>
          <t>Key numbers (FMP)</t>
        </is>
      </c>
      <c r="D4" s="12" t="inlineStr">
        <is>
          <t>Strength %ile</t>
        </is>
      </c>
      <c r="E4" s="4" t="inlineStr">
        <is>
          <t>Assembly</t>
        </is>
      </c>
      <c r="F4" s="4" t="inlineStr">
        <is>
          <t>N/8</t>
        </is>
      </c>
      <c r="G4" s="4" t="inlineStr">
        <is>
          <t>Cheap</t>
        </is>
      </c>
      <c r="H4" s="4" t="inlineStr">
        <is>
          <t>Lev</t>
        </is>
      </c>
      <c r="I4" s="4" t="inlineStr">
        <is>
          <t>Orph</t>
        </is>
      </c>
      <c r="J4" s="4" t="inlineStr">
        <is>
          <t>Insdr</t>
        </is>
      </c>
      <c r="K4" s="4" t="inlineStr">
        <is>
          <t>Catl</t>
        </is>
      </c>
      <c r="L4" s="4" t="inlineStr">
        <is>
          <t>Inflx</t>
        </is>
      </c>
      <c r="M4" s="4" t="inlineStr">
        <is>
          <t>Delev</t>
        </is>
      </c>
      <c r="N4" s="4" t="inlineStr">
        <is>
          <t>Cap</t>
        </is>
      </c>
      <c r="O4" s="12" t="inlineStr">
        <is>
          <t>Reasons</t>
        </is>
      </c>
      <c r="P4" s="12" t="inlineStr">
        <is>
          <t>FMP financial read</t>
        </is>
      </c>
    </row>
    <row r="5" ht="22" customHeight="1">
      <c r="A5" s="6" t="inlineStr">
        <is>
          <t>SND</t>
        </is>
      </c>
      <c r="B5" s="14" t="inlineStr">
        <is>
          <t>Smart Sand, Inc.</t>
        </is>
      </c>
      <c r="C5" s="14" t="inlineStr">
        <is>
          <t>P/B 0.91 · 7.9× EBITDA · debt 15% · 52w 77%</t>
        </is>
      </c>
      <c r="D5" s="14" t="n">
        <v>96</v>
      </c>
      <c r="E5" s="27" t="n">
        <v>62</v>
      </c>
      <c r="F5" s="27" t="n">
        <v>5</v>
      </c>
      <c r="G5" s="14" t="inlineStr">
        <is>
          <t>●</t>
        </is>
      </c>
      <c r="H5" s="14" t="inlineStr">
        <is>
          <t>–</t>
        </is>
      </c>
      <c r="I5" s="14" t="inlineStr">
        <is>
          <t>–</t>
        </is>
      </c>
      <c r="J5" s="14" t="inlineStr">
        <is>
          <t>●</t>
        </is>
      </c>
      <c r="K5" s="14" t="inlineStr">
        <is>
          <t>●</t>
        </is>
      </c>
      <c r="L5" s="14" t="inlineStr">
        <is>
          <t>●</t>
        </is>
      </c>
      <c r="M5" s="14" t="inlineStr">
        <is>
          <t>●</t>
        </is>
      </c>
      <c r="N5" s="14" t="inlineStr">
        <is>
          <t>–</t>
        </is>
      </c>
      <c r="O5" s="14" t="inlineStr">
        <is>
          <t>5/8 components converge</t>
        </is>
      </c>
      <c r="P5" s="14" t="inlineStr">
        <is>
          <t>P/B 0.91 · EV/EBITDA 7.9× · FCF yld 16% · net debt 15% of mcap · rev +27% · op margin 2% · diluting 5%/yr</t>
        </is>
      </c>
    </row>
    <row r="6" ht="22" customHeight="1">
      <c r="A6" s="8" t="inlineStr">
        <is>
          <t>MSGM</t>
        </is>
      </c>
      <c r="B6" s="16" t="inlineStr">
        <is>
          <t>Motorsport Games Inc.</t>
        </is>
      </c>
      <c r="C6" s="16" t="inlineStr">
        <is>
          <t>P/B 5.92 · cash 11% · 52w 62%</t>
        </is>
      </c>
      <c r="D6" s="16" t="n">
        <v>96</v>
      </c>
      <c r="E6" s="28" t="n">
        <v>62</v>
      </c>
      <c r="F6" s="28" t="n">
        <v>5</v>
      </c>
      <c r="G6" s="16" t="inlineStr">
        <is>
          <t>●</t>
        </is>
      </c>
      <c r="H6" s="16" t="inlineStr">
        <is>
          <t>–</t>
        </is>
      </c>
      <c r="I6" s="16" t="inlineStr">
        <is>
          <t>–</t>
        </is>
      </c>
      <c r="J6" s="16" t="inlineStr">
        <is>
          <t>●</t>
        </is>
      </c>
      <c r="K6" s="16" t="inlineStr">
        <is>
          <t>●</t>
        </is>
      </c>
      <c r="L6" s="16" t="inlineStr">
        <is>
          <t>●</t>
        </is>
      </c>
      <c r="M6" s="16" t="inlineStr">
        <is>
          <t>●</t>
        </is>
      </c>
      <c r="N6" s="16" t="inlineStr">
        <is>
          <t>–</t>
        </is>
      </c>
      <c r="O6" s="16" t="inlineStr">
        <is>
          <t>5/8 components converge</t>
        </is>
      </c>
      <c r="P6" s="16" t="inlineStr">
        <is>
          <t>P/B 5.92 · P/S 1.6 · FCF yld 28% · net cash 11% of mcap · rev +79% · op margin 10% · diluting 7%/yr</t>
        </is>
      </c>
    </row>
    <row r="7" ht="22" customHeight="1">
      <c r="A7" s="6" t="inlineStr">
        <is>
          <t>DXC</t>
        </is>
      </c>
      <c r="B7" s="14" t="inlineStr">
        <is>
          <t>DXC Technology Company</t>
        </is>
      </c>
      <c r="C7" s="14" t="inlineStr">
        <is>
          <t>P/B 0.57 · 2.6× EBITDA · debt 144% · 52w 41%</t>
        </is>
      </c>
      <c r="D7" s="14" t="n">
        <v>91</v>
      </c>
      <c r="E7" s="27" t="n">
        <v>61</v>
      </c>
      <c r="F7" s="27" t="n">
        <v>5</v>
      </c>
      <c r="G7" s="14" t="inlineStr">
        <is>
          <t>●</t>
        </is>
      </c>
      <c r="H7" s="14" t="inlineStr">
        <is>
          <t>●</t>
        </is>
      </c>
      <c r="I7" s="14" t="inlineStr">
        <is>
          <t>–</t>
        </is>
      </c>
      <c r="J7" s="14" t="inlineStr">
        <is>
          <t>●</t>
        </is>
      </c>
      <c r="K7" s="14" t="inlineStr">
        <is>
          <t>–</t>
        </is>
      </c>
      <c r="L7" s="14" t="inlineStr">
        <is>
          <t>●</t>
        </is>
      </c>
      <c r="M7" s="14" t="inlineStr">
        <is>
          <t>●</t>
        </is>
      </c>
      <c r="N7" s="14" t="inlineStr">
        <is>
          <t>–</t>
        </is>
      </c>
      <c r="O7" s="14" t="inlineStr">
        <is>
          <t>5/8 components converge</t>
        </is>
      </c>
      <c r="P7" s="14" t="inlineStr">
        <is>
          <t>P/B 0.57 · EV/EBITDA 2.6× · FCF yld 71% · net debt 144% of mcap · rev -2% · op margin 3% · buying back 3%/yr</t>
        </is>
      </c>
    </row>
    <row r="8" ht="22" customHeight="1">
      <c r="A8" s="8" t="inlineStr">
        <is>
          <t>OFIX</t>
        </is>
      </c>
      <c r="B8" s="16" t="inlineStr">
        <is>
          <t>Orthofix Medical Inc.</t>
        </is>
      </c>
      <c r="C8" s="16" t="inlineStr">
        <is>
          <t>P/B 0.86 · 4.7× EBITDA · debt 35% · 52w 8%</t>
        </is>
      </c>
      <c r="D8" s="16" t="n">
        <v>88</v>
      </c>
      <c r="E8" s="28" t="n">
        <v>57</v>
      </c>
      <c r="F8" s="28" t="n">
        <v>5</v>
      </c>
      <c r="G8" s="16" t="inlineStr">
        <is>
          <t>●</t>
        </is>
      </c>
      <c r="H8" s="16" t="inlineStr">
        <is>
          <t>●</t>
        </is>
      </c>
      <c r="I8" s="16" t="inlineStr">
        <is>
          <t>●</t>
        </is>
      </c>
      <c r="J8" s="16" t="inlineStr">
        <is>
          <t>●</t>
        </is>
      </c>
      <c r="K8" s="16" t="inlineStr">
        <is>
          <t>–</t>
        </is>
      </c>
      <c r="L8" s="16" t="inlineStr">
        <is>
          <t>●</t>
        </is>
      </c>
      <c r="M8" s="16" t="inlineStr">
        <is>
          <t>–</t>
        </is>
      </c>
      <c r="N8" s="16" t="inlineStr">
        <is>
          <t>–</t>
        </is>
      </c>
      <c r="O8" s="16" t="inlineStr">
        <is>
          <t>5/8 components converge</t>
        </is>
      </c>
      <c r="P8" s="16" t="inlineStr">
        <is>
          <t>P/B 0.86 · EV/EBITDA 4.7× · FCF yld -7% · net debt 35% of mcap · rev +3% · op margin -3% · diluting 4%/yr · interest cover -1.2× ⚠</t>
        </is>
      </c>
    </row>
    <row r="9" ht="22" customHeight="1">
      <c r="A9" s="6" t="inlineStr">
        <is>
          <t>HFFG</t>
        </is>
      </c>
      <c r="B9" s="14" t="inlineStr">
        <is>
          <t>HF Foods Group Inc.</t>
        </is>
      </c>
      <c r="C9" s="14" t="inlineStr">
        <is>
          <t>P/B 0.40 · debt 232% · 52w 7%</t>
        </is>
      </c>
      <c r="D9" s="14" t="n">
        <v>82</v>
      </c>
      <c r="E9" s="27" t="n">
        <v>53</v>
      </c>
      <c r="F9" s="27" t="n">
        <v>5</v>
      </c>
      <c r="G9" s="14" t="inlineStr">
        <is>
          <t>●</t>
        </is>
      </c>
      <c r="H9" s="14" t="inlineStr">
        <is>
          <t>●</t>
        </is>
      </c>
      <c r="I9" s="14" t="inlineStr">
        <is>
          <t>●</t>
        </is>
      </c>
      <c r="J9" s="14" t="inlineStr">
        <is>
          <t>●</t>
        </is>
      </c>
      <c r="K9" s="14" t="inlineStr">
        <is>
          <t>–</t>
        </is>
      </c>
      <c r="L9" s="14" t="inlineStr">
        <is>
          <t>–</t>
        </is>
      </c>
      <c r="M9" s="14" t="inlineStr">
        <is>
          <t>●</t>
        </is>
      </c>
      <c r="N9" s="14" t="inlineStr">
        <is>
          <t>–</t>
        </is>
      </c>
      <c r="O9" s="14" t="inlineStr">
        <is>
          <t>5/8 components converge</t>
        </is>
      </c>
      <c r="P9" s="14" t="inlineStr">
        <is>
          <t>P/B 0.40 · P/S 0.1 · FCF yld -4% · net debt 232% of mcap · rev +3% · op margin 0% · interest cover 0.4× ⚠</t>
        </is>
      </c>
    </row>
    <row r="10" ht="22" customHeight="1">
      <c r="A10" s="8" t="inlineStr">
        <is>
          <t>GPK</t>
        </is>
      </c>
      <c r="B10" s="16" t="inlineStr">
        <is>
          <t>Graphic Packaging Holdin</t>
        </is>
      </c>
      <c r="C10" s="16" t="inlineStr">
        <is>
          <t>P/B 0.90 · 9.2× EBITDA · debt 192% · 52w 10%</t>
        </is>
      </c>
      <c r="D10" s="16" t="n">
        <v>82</v>
      </c>
      <c r="E10" s="28" t="n">
        <v>53</v>
      </c>
      <c r="F10" s="28" t="n">
        <v>5</v>
      </c>
      <c r="G10" s="16" t="inlineStr">
        <is>
          <t>●</t>
        </is>
      </c>
      <c r="H10" s="16" t="inlineStr">
        <is>
          <t>●</t>
        </is>
      </c>
      <c r="I10" s="16" t="inlineStr">
        <is>
          <t>●</t>
        </is>
      </c>
      <c r="J10" s="16" t="inlineStr">
        <is>
          <t>●</t>
        </is>
      </c>
      <c r="K10" s="16" t="inlineStr">
        <is>
          <t>–</t>
        </is>
      </c>
      <c r="L10" s="16" t="inlineStr">
        <is>
          <t>–</t>
        </is>
      </c>
      <c r="M10" s="16" t="inlineStr">
        <is>
          <t>●</t>
        </is>
      </c>
      <c r="N10" s="16" t="inlineStr">
        <is>
          <t>–</t>
        </is>
      </c>
      <c r="O10" s="16" t="inlineStr">
        <is>
          <t>5/8 components converge</t>
        </is>
      </c>
      <c r="P10" s="16" t="inlineStr">
        <is>
          <t>P/B 0.90 · EV/EBITDA 9.2× · FCF yld 7% · net debt 192% of mcap · rev +0% · op margin 7%</t>
        </is>
      </c>
    </row>
    <row r="11" ht="22" customHeight="1">
      <c r="A11" s="6" t="inlineStr">
        <is>
          <t>GPN</t>
        </is>
      </c>
      <c r="B11" s="14" t="inlineStr">
        <is>
          <t>Global Payments Inc.</t>
        </is>
      </c>
      <c r="C11" s="14" t="inlineStr">
        <is>
          <t>P/B 0.92 · 52w 69%</t>
        </is>
      </c>
      <c r="D11" s="14" t="n">
        <v>75</v>
      </c>
      <c r="E11" s="27" t="n">
        <v>41</v>
      </c>
      <c r="F11" s="27" t="n">
        <v>4</v>
      </c>
      <c r="G11" s="14" t="inlineStr">
        <is>
          <t>●</t>
        </is>
      </c>
      <c r="H11" s="14" t="inlineStr">
        <is>
          <t>●</t>
        </is>
      </c>
      <c r="I11" s="14" t="inlineStr">
        <is>
          <t>–</t>
        </is>
      </c>
      <c r="J11" s="14" t="inlineStr">
        <is>
          <t>●</t>
        </is>
      </c>
      <c r="K11" s="14" t="inlineStr">
        <is>
          <t>–</t>
        </is>
      </c>
      <c r="L11" s="14" t="inlineStr">
        <is>
          <t>–</t>
        </is>
      </c>
      <c r="M11" s="14" t="inlineStr">
        <is>
          <t>●</t>
        </is>
      </c>
      <c r="N11" s="14" t="inlineStr">
        <is>
          <t>–</t>
        </is>
      </c>
      <c r="O11" s="14" t="inlineStr">
        <is>
          <t>4/8 components</t>
        </is>
      </c>
      <c r="P11" s="14" t="inlineStr">
        <is>
          <t>P/B 0.92 · ROE -4% · div yld 1.2% · diluting 6%/yr (financial: book/earnings basis)</t>
        </is>
      </c>
    </row>
    <row r="12" ht="22" customHeight="1">
      <c r="A12" s="8" t="inlineStr">
        <is>
          <t>OBDC</t>
        </is>
      </c>
      <c r="B12" s="16" t="inlineStr">
        <is>
          <t>Blue Owl Capital Corpora</t>
        </is>
      </c>
      <c r="C12" s="16" t="inlineStr">
        <is>
          <t>P/B 0.77 · P/E 19.7 · 52w 14%</t>
        </is>
      </c>
      <c r="D12" s="16" t="n">
        <v>75</v>
      </c>
      <c r="E12" s="28" t="n">
        <v>41</v>
      </c>
      <c r="F12" s="28" t="n">
        <v>4</v>
      </c>
      <c r="G12" s="16" t="inlineStr">
        <is>
          <t>●</t>
        </is>
      </c>
      <c r="H12" s="16" t="inlineStr">
        <is>
          <t>●</t>
        </is>
      </c>
      <c r="I12" s="16" t="inlineStr">
        <is>
          <t>–</t>
        </is>
      </c>
      <c r="J12" s="16" t="inlineStr">
        <is>
          <t>●</t>
        </is>
      </c>
      <c r="K12" s="16" t="inlineStr">
        <is>
          <t>–</t>
        </is>
      </c>
      <c r="L12" s="16" t="inlineStr">
        <is>
          <t>–</t>
        </is>
      </c>
      <c r="M12" s="16" t="inlineStr">
        <is>
          <t>●</t>
        </is>
      </c>
      <c r="N12" s="16" t="inlineStr">
        <is>
          <t>–</t>
        </is>
      </c>
      <c r="O12" s="16" t="inlineStr">
        <is>
          <t>4/8 components</t>
        </is>
      </c>
      <c r="P12" s="16" t="inlineStr">
        <is>
          <t>P/B 0.77 · P/E 19.7 · ROE 4% · div yld 9.7% · buying back 3%/yr (financial: book/earnings basis)</t>
        </is>
      </c>
    </row>
    <row r="13" ht="22" customHeight="1">
      <c r="A13" s="6" t="inlineStr">
        <is>
          <t>SCHL</t>
        </is>
      </c>
      <c r="B13" s="14" t="inlineStr">
        <is>
          <t>Scholastic Corporation</t>
        </is>
      </c>
      <c r="C13" s="14" t="inlineStr">
        <is>
          <t>P/B 0.75 · 3.2× EBITDA · debt 27% · 52w 41%</t>
        </is>
      </c>
      <c r="D13" s="14" t="n">
        <v>70</v>
      </c>
      <c r="E13" s="27" t="n">
        <v>39</v>
      </c>
      <c r="F13" s="27" t="n">
        <v>4</v>
      </c>
      <c r="G13" s="14" t="inlineStr">
        <is>
          <t>●</t>
        </is>
      </c>
      <c r="H13" s="14" t="inlineStr">
        <is>
          <t>●</t>
        </is>
      </c>
      <c r="I13" s="14" t="inlineStr">
        <is>
          <t>–</t>
        </is>
      </c>
      <c r="J13" s="14" t="inlineStr">
        <is>
          <t>●</t>
        </is>
      </c>
      <c r="K13" s="14" t="inlineStr">
        <is>
          <t>●</t>
        </is>
      </c>
      <c r="L13" s="14" t="inlineStr">
        <is>
          <t>–</t>
        </is>
      </c>
      <c r="M13" s="14" t="inlineStr">
        <is>
          <t>–</t>
        </is>
      </c>
      <c r="N13" s="14" t="inlineStr">
        <is>
          <t>–</t>
        </is>
      </c>
      <c r="O13" s="14" t="inlineStr">
        <is>
          <t>4/8 components</t>
        </is>
      </c>
      <c r="P13" s="14" t="inlineStr">
        <is>
          <t>P/B 0.75 · EV/EBITDA 3.2× · FCF yld 0% · net debt 27% of mcap · rev +3% · op margin 2% · buying back 10%/yr</t>
        </is>
      </c>
    </row>
    <row r="14" ht="22" customHeight="1">
      <c r="A14" s="8" t="inlineStr">
        <is>
          <t>BCIC</t>
        </is>
      </c>
      <c r="B14" s="16" t="inlineStr">
        <is>
          <t>BCP Investment Corporati</t>
        </is>
      </c>
      <c r="C14" s="16" t="inlineStr">
        <is>
          <t>P/B 0.49 · 52w 6%</t>
        </is>
      </c>
      <c r="D14" s="16" t="n">
        <v>57</v>
      </c>
      <c r="E14" s="28" t="n">
        <v>37</v>
      </c>
      <c r="F14" s="28" t="n">
        <v>4</v>
      </c>
      <c r="G14" s="16" t="inlineStr">
        <is>
          <t>●</t>
        </is>
      </c>
      <c r="H14" s="16" t="inlineStr">
        <is>
          <t>●</t>
        </is>
      </c>
      <c r="I14" s="16" t="inlineStr">
        <is>
          <t>●</t>
        </is>
      </c>
      <c r="J14" s="16" t="inlineStr">
        <is>
          <t>●</t>
        </is>
      </c>
      <c r="K14" s="16" t="inlineStr">
        <is>
          <t>–</t>
        </is>
      </c>
      <c r="L14" s="16" t="inlineStr">
        <is>
          <t>–</t>
        </is>
      </c>
      <c r="M14" s="16" t="inlineStr">
        <is>
          <t>–</t>
        </is>
      </c>
      <c r="N14" s="16" t="inlineStr">
        <is>
          <t>–</t>
        </is>
      </c>
      <c r="O14" s="16" t="inlineStr">
        <is>
          <t>4/8 components</t>
        </is>
      </c>
      <c r="P14" s="16" t="inlineStr">
        <is>
          <t>P/B 0.49 · ROE -2% · div yld 12.6% · diluting 34%/yr (financial: book/earnings basis)  [revenue not comparable YoY (fair-value / one-off income?)]</t>
        </is>
      </c>
    </row>
    <row r="15" ht="22" customHeight="1">
      <c r="A15" s="6" t="inlineStr">
        <is>
          <t>VSNT</t>
        </is>
      </c>
      <c r="B15" s="14" t="inlineStr">
        <is>
          <t>Versant Media Group, Inc</t>
        </is>
      </c>
      <c r="C15" s="14" t="inlineStr">
        <is>
          <t>P/B 0.58 · 2.8× EBITDA · debt 31% · 52w 19%</t>
        </is>
      </c>
      <c r="D15" s="14" t="n">
        <v>57</v>
      </c>
      <c r="E15" s="27" t="n">
        <v>37</v>
      </c>
      <c r="F15" s="27" t="n">
        <v>4</v>
      </c>
      <c r="G15" s="14" t="inlineStr">
        <is>
          <t>●</t>
        </is>
      </c>
      <c r="H15" s="14" t="inlineStr">
        <is>
          <t>●</t>
        </is>
      </c>
      <c r="I15" s="14" t="inlineStr">
        <is>
          <t>●</t>
        </is>
      </c>
      <c r="J15" s="14" t="inlineStr">
        <is>
          <t>●</t>
        </is>
      </c>
      <c r="K15" s="14" t="inlineStr">
        <is>
          <t>–</t>
        </is>
      </c>
      <c r="L15" s="14" t="inlineStr">
        <is>
          <t>–</t>
        </is>
      </c>
      <c r="M15" s="14" t="inlineStr">
        <is>
          <t>–</t>
        </is>
      </c>
      <c r="N15" s="14" t="inlineStr">
        <is>
          <t>–</t>
        </is>
      </c>
      <c r="O15" s="14" t="inlineStr">
        <is>
          <t>4/8 components</t>
        </is>
      </c>
      <c r="P15" s="14" t="inlineStr">
        <is>
          <t>P/B 0.58 · EV/EBITDA 2.8× · FCF yld 49% · net debt 31% of mcap · op margin 19%</t>
        </is>
      </c>
    </row>
    <row r="16" ht="22" customHeight="1">
      <c r="A16" s="8" t="inlineStr">
        <is>
          <t>PTLO</t>
        </is>
      </c>
      <c r="B16" s="16" t="inlineStr">
        <is>
          <t>Portillo's Inc.</t>
        </is>
      </c>
      <c r="C16" s="16" t="inlineStr">
        <is>
          <t>P/B 0.55 · 14.3× EBITDA · debt 255% · 52w 1%</t>
        </is>
      </c>
      <c r="D16" s="16" t="n">
        <v>57</v>
      </c>
      <c r="E16" s="28" t="n">
        <v>37</v>
      </c>
      <c r="F16" s="28" t="n">
        <v>4</v>
      </c>
      <c r="G16" s="16" t="inlineStr">
        <is>
          <t>●</t>
        </is>
      </c>
      <c r="H16" s="16" t="inlineStr">
        <is>
          <t>●</t>
        </is>
      </c>
      <c r="I16" s="16" t="inlineStr">
        <is>
          <t>●</t>
        </is>
      </c>
      <c r="J16" s="16" t="inlineStr">
        <is>
          <t>●</t>
        </is>
      </c>
      <c r="K16" s="16" t="inlineStr">
        <is>
          <t>–</t>
        </is>
      </c>
      <c r="L16" s="16" t="inlineStr">
        <is>
          <t>–</t>
        </is>
      </c>
      <c r="M16" s="16" t="inlineStr">
        <is>
          <t>–</t>
        </is>
      </c>
      <c r="N16" s="16" t="inlineStr">
        <is>
          <t>–</t>
        </is>
      </c>
      <c r="O16" s="16" t="inlineStr">
        <is>
          <t>4/8 components</t>
        </is>
      </c>
      <c r="P16" s="16" t="inlineStr">
        <is>
          <t>P/B 0.55 · EV/EBITDA 14.3× · FCF yld -3% · net debt 255% of mcap · rev +3% · op margin 5% · diluting 5%/yr</t>
        </is>
      </c>
    </row>
    <row r="17" ht="22" customHeight="1">
      <c r="A17" s="6" t="inlineStr">
        <is>
          <t>ACCS</t>
        </is>
      </c>
      <c r="B17" s="14" t="inlineStr">
        <is>
          <t>ACCESS Newswire Inc.</t>
        </is>
      </c>
      <c r="C17" s="14" t="inlineStr">
        <is>
          <t>P/B 0.64 · 14.9× EBITDA · cash 4% · 52w 2%</t>
        </is>
      </c>
      <c r="D17" s="14" t="n">
        <v>57</v>
      </c>
      <c r="E17" s="27" t="n">
        <v>37</v>
      </c>
      <c r="F17" s="27" t="n">
        <v>4</v>
      </c>
      <c r="G17" s="14" t="inlineStr">
        <is>
          <t>●</t>
        </is>
      </c>
      <c r="H17" s="14" t="inlineStr">
        <is>
          <t>●</t>
        </is>
      </c>
      <c r="I17" s="14" t="inlineStr">
        <is>
          <t>●</t>
        </is>
      </c>
      <c r="J17" s="14" t="inlineStr">
        <is>
          <t>●</t>
        </is>
      </c>
      <c r="K17" s="14" t="inlineStr">
        <is>
          <t>–</t>
        </is>
      </c>
      <c r="L17" s="14" t="inlineStr">
        <is>
          <t>–</t>
        </is>
      </c>
      <c r="M17" s="14" t="inlineStr">
        <is>
          <t>–</t>
        </is>
      </c>
      <c r="N17" s="14" t="inlineStr">
        <is>
          <t>–</t>
        </is>
      </c>
      <c r="O17" s="14" t="inlineStr">
        <is>
          <t>4/8 components</t>
        </is>
      </c>
      <c r="P17" s="14" t="inlineStr">
        <is>
          <t>P/B 0.64 · EV/EBITDA 14.9× · FCF yld 3% · net cash 4% of mcap · rev +15% · op margin -7%</t>
        </is>
      </c>
    </row>
    <row r="18" ht="22" customHeight="1">
      <c r="A18" s="8" t="inlineStr">
        <is>
          <t>BDCO</t>
        </is>
      </c>
      <c r="B18" s="16" t="inlineStr">
        <is>
          <t>Blue Dolphin Energy Comp</t>
        </is>
      </c>
      <c r="C18" s="16" t="inlineStr">
        <is>
          <t>P/B 3.44 · 4.8× EBITDA · debt 4% · 52w 54%</t>
        </is>
      </c>
      <c r="D18" s="16" t="n">
        <v>57</v>
      </c>
      <c r="E18" s="28" t="n">
        <v>37</v>
      </c>
      <c r="F18" s="28" t="n">
        <v>4</v>
      </c>
      <c r="G18" s="16" t="inlineStr">
        <is>
          <t>●</t>
        </is>
      </c>
      <c r="H18" s="16" t="inlineStr">
        <is>
          <t>●</t>
        </is>
      </c>
      <c r="I18" s="16" t="inlineStr">
        <is>
          <t>●</t>
        </is>
      </c>
      <c r="J18" s="16" t="inlineStr">
        <is>
          <t>●</t>
        </is>
      </c>
      <c r="K18" s="16" t="inlineStr">
        <is>
          <t>–</t>
        </is>
      </c>
      <c r="L18" s="16" t="inlineStr">
        <is>
          <t>–</t>
        </is>
      </c>
      <c r="M18" s="16" t="inlineStr">
        <is>
          <t>–</t>
        </is>
      </c>
      <c r="N18" s="16" t="inlineStr">
        <is>
          <t>–</t>
        </is>
      </c>
      <c r="O18" s="16" t="inlineStr">
        <is>
          <t>4/8 components</t>
        </is>
      </c>
      <c r="P18" s="16" t="inlineStr">
        <is>
          <t>P/B 3.44 · EV/EBITDA 4.8× · FCF yld 22% · net debt 4% of mcap · rev +23% · op margin 10%</t>
        </is>
      </c>
    </row>
    <row r="19" ht="22" customHeight="1">
      <c r="A19" s="6" t="inlineStr">
        <is>
          <t>PAL</t>
        </is>
      </c>
      <c r="B19" s="14" t="inlineStr">
        <is>
          <t>Proficient Auto Logistic</t>
        </is>
      </c>
      <c r="C19" s="14" t="inlineStr">
        <is>
          <t>P/B 0.36 · 4.7× EBITDA · debt 68% · 52w 5%</t>
        </is>
      </c>
      <c r="D19" s="14" t="n">
        <v>57</v>
      </c>
      <c r="E19" s="27" t="n">
        <v>37</v>
      </c>
      <c r="F19" s="27" t="n">
        <v>4</v>
      </c>
      <c r="G19" s="14" t="inlineStr">
        <is>
          <t>●</t>
        </is>
      </c>
      <c r="H19" s="14" t="inlineStr">
        <is>
          <t>●</t>
        </is>
      </c>
      <c r="I19" s="14" t="inlineStr">
        <is>
          <t>●</t>
        </is>
      </c>
      <c r="J19" s="14" t="inlineStr">
        <is>
          <t>●</t>
        </is>
      </c>
      <c r="K19" s="14" t="inlineStr">
        <is>
          <t>–</t>
        </is>
      </c>
      <c r="L19" s="14" t="inlineStr">
        <is>
          <t>–</t>
        </is>
      </c>
      <c r="M19" s="14" t="inlineStr">
        <is>
          <t>–</t>
        </is>
      </c>
      <c r="N19" s="14" t="inlineStr">
        <is>
          <t>–</t>
        </is>
      </c>
      <c r="O19" s="14" t="inlineStr">
        <is>
          <t>4/8 components</t>
        </is>
      </c>
      <c r="P19" s="14" t="inlineStr">
        <is>
          <t>P/B 0.36 · EV/EBITDA 4.7× · FCF yld 16% · net debt 68% of mcap · rev +7% · op margin 2% · interest cover 1.4× ⚠</t>
        </is>
      </c>
    </row>
    <row r="20" ht="22" customHeight="1">
      <c r="A20" s="8" t="inlineStr">
        <is>
          <t>CWBC</t>
        </is>
      </c>
      <c r="B20" s="16" t="inlineStr">
        <is>
          <t>Community West Bancshare</t>
        </is>
      </c>
      <c r="C20" s="16" t="inlineStr">
        <is>
          <t>P/B 0.89 · P/E 13.7 · 52w 71%</t>
        </is>
      </c>
      <c r="D20" s="16" t="n">
        <v>23</v>
      </c>
      <c r="E20" s="28" t="n">
        <v>25</v>
      </c>
      <c r="F20" s="28" t="n">
        <v>3</v>
      </c>
      <c r="G20" s="16" t="inlineStr">
        <is>
          <t>●</t>
        </is>
      </c>
      <c r="H20" s="16" t="inlineStr">
        <is>
          <t>●</t>
        </is>
      </c>
      <c r="I20" s="16" t="inlineStr">
        <is>
          <t>–</t>
        </is>
      </c>
      <c r="J20" s="16" t="inlineStr">
        <is>
          <t>●</t>
        </is>
      </c>
      <c r="K20" s="16" t="inlineStr">
        <is>
          <t>–</t>
        </is>
      </c>
      <c r="L20" s="16" t="inlineStr">
        <is>
          <t>–</t>
        </is>
      </c>
      <c r="M20" s="16" t="inlineStr">
        <is>
          <t>–</t>
        </is>
      </c>
      <c r="N20" s="16" t="inlineStr">
        <is>
          <t>–</t>
        </is>
      </c>
      <c r="O20" s="16" t="inlineStr">
        <is>
          <t>–</t>
        </is>
      </c>
      <c r="P20" s="16" t="inlineStr">
        <is>
          <t>P/B 0.89 · P/E 13.7 · ROE 8% · div yld 1.9% · diluting 22%/yr (financial: book/earnings basis)</t>
        </is>
      </c>
    </row>
    <row r="21" ht="22" customHeight="1">
      <c r="A21" s="6" t="inlineStr">
        <is>
          <t>SLRC</t>
        </is>
      </c>
      <c r="B21" s="14" t="inlineStr">
        <is>
          <t>SLR Investment Corp.</t>
        </is>
      </c>
      <c r="C21" s="14" t="inlineStr">
        <is>
          <t>P/B 0.65 · P/E 8.7 · 52w 0%</t>
        </is>
      </c>
      <c r="D21" s="14" t="n">
        <v>23</v>
      </c>
      <c r="E21" s="27" t="n">
        <v>25</v>
      </c>
      <c r="F21" s="27" t="n">
        <v>3</v>
      </c>
      <c r="G21" s="14" t="inlineStr">
        <is>
          <t>●</t>
        </is>
      </c>
      <c r="H21" s="14" t="inlineStr">
        <is>
          <t>●</t>
        </is>
      </c>
      <c r="I21" s="14" t="inlineStr">
        <is>
          <t>–</t>
        </is>
      </c>
      <c r="J21" s="14" t="inlineStr">
        <is>
          <t>●</t>
        </is>
      </c>
      <c r="K21" s="14" t="inlineStr">
        <is>
          <t>–</t>
        </is>
      </c>
      <c r="L21" s="14" t="inlineStr">
        <is>
          <t>–</t>
        </is>
      </c>
      <c r="M21" s="14" t="inlineStr">
        <is>
          <t>–</t>
        </is>
      </c>
      <c r="N21" s="14" t="inlineStr">
        <is>
          <t>–</t>
        </is>
      </c>
      <c r="O21" s="14" t="inlineStr">
        <is>
          <t>–</t>
        </is>
      </c>
      <c r="P21" s="14" t="inlineStr">
        <is>
          <t>P/B 0.65 · P/E 8.7 · ROE 7% · div yld 12.2% (financial: book/earnings basis)</t>
        </is>
      </c>
    </row>
    <row r="22" ht="22" customHeight="1">
      <c r="A22" s="8" t="inlineStr">
        <is>
          <t>BXSL</t>
        </is>
      </c>
      <c r="B22" s="16" t="inlineStr">
        <is>
          <t>Blackstone Secured Lendi</t>
        </is>
      </c>
      <c r="C22" s="16" t="inlineStr">
        <is>
          <t>P/B 0.96 · P/E 19.4 · 52w 35%</t>
        </is>
      </c>
      <c r="D22" s="16" t="n">
        <v>23</v>
      </c>
      <c r="E22" s="28" t="n">
        <v>25</v>
      </c>
      <c r="F22" s="28" t="n">
        <v>3</v>
      </c>
      <c r="G22" s="16" t="inlineStr">
        <is>
          <t>●</t>
        </is>
      </c>
      <c r="H22" s="16" t="inlineStr">
        <is>
          <t>●</t>
        </is>
      </c>
      <c r="I22" s="16" t="inlineStr">
        <is>
          <t>–</t>
        </is>
      </c>
      <c r="J22" s="16" t="inlineStr">
        <is>
          <t>●</t>
        </is>
      </c>
      <c r="K22" s="16" t="inlineStr">
        <is>
          <t>–</t>
        </is>
      </c>
      <c r="L22" s="16" t="inlineStr">
        <is>
          <t>–</t>
        </is>
      </c>
      <c r="M22" s="16" t="inlineStr">
        <is>
          <t>–</t>
        </is>
      </c>
      <c r="N22" s="16" t="inlineStr">
        <is>
          <t>–</t>
        </is>
      </c>
      <c r="O22" s="16" t="inlineStr">
        <is>
          <t>–</t>
        </is>
      </c>
      <c r="P22" s="16" t="inlineStr">
        <is>
          <t>P/B 0.96 · P/E 19.4 · ROE 5% · div yld 12.5% (financial: book/earnings basis)</t>
        </is>
      </c>
    </row>
    <row r="23" ht="22" customHeight="1">
      <c r="A23" s="6" t="inlineStr">
        <is>
          <t>NPB</t>
        </is>
      </c>
      <c r="B23" s="14" t="inlineStr">
        <is>
          <t>Northpointe Bancshares,</t>
        </is>
      </c>
      <c r="C23" s="14" t="inlineStr">
        <is>
          <t>P/B 0.88 · P/E 6.6 · 52w 5%</t>
        </is>
      </c>
      <c r="D23" s="14" t="n">
        <v>23</v>
      </c>
      <c r="E23" s="27" t="n">
        <v>25</v>
      </c>
      <c r="F23" s="27" t="n">
        <v>3</v>
      </c>
      <c r="G23" s="14" t="inlineStr">
        <is>
          <t>●</t>
        </is>
      </c>
      <c r="H23" s="14" t="inlineStr">
        <is>
          <t>●</t>
        </is>
      </c>
      <c r="I23" s="14" t="inlineStr">
        <is>
          <t>–</t>
        </is>
      </c>
      <c r="J23" s="14" t="inlineStr">
        <is>
          <t>●</t>
        </is>
      </c>
      <c r="K23" s="14" t="inlineStr">
        <is>
          <t>–</t>
        </is>
      </c>
      <c r="L23" s="14" t="inlineStr">
        <is>
          <t>–</t>
        </is>
      </c>
      <c r="M23" s="14" t="inlineStr">
        <is>
          <t>–</t>
        </is>
      </c>
      <c r="N23" s="14" t="inlineStr">
        <is>
          <t>–</t>
        </is>
      </c>
      <c r="O23" s="14" t="inlineStr">
        <is>
          <t>–</t>
        </is>
      </c>
      <c r="P23" s="14" t="inlineStr">
        <is>
          <t>P/B 0.88 · P/E 6.6 · ROE 15% · div yld 0.6% (financial: book/earnings basis)</t>
        </is>
      </c>
    </row>
    <row r="24" ht="22" customHeight="1">
      <c r="A24" s="8" t="inlineStr">
        <is>
          <t>NCDL</t>
        </is>
      </c>
      <c r="B24" s="16" t="inlineStr">
        <is>
          <t>Nuveen Churchill Direct</t>
        </is>
      </c>
      <c r="C24" s="16" t="inlineStr">
        <is>
          <t>P/B 0.69 · P/E 12.4 · 52w 1%</t>
        </is>
      </c>
      <c r="D24" s="16" t="n">
        <v>23</v>
      </c>
      <c r="E24" s="28" t="n">
        <v>25</v>
      </c>
      <c r="F24" s="28" t="n">
        <v>3</v>
      </c>
      <c r="G24" s="16" t="inlineStr">
        <is>
          <t>●</t>
        </is>
      </c>
      <c r="H24" s="16" t="inlineStr">
        <is>
          <t>●</t>
        </is>
      </c>
      <c r="I24" s="16" t="inlineStr">
        <is>
          <t>–</t>
        </is>
      </c>
      <c r="J24" s="16" t="inlineStr">
        <is>
          <t>●</t>
        </is>
      </c>
      <c r="K24" s="16" t="inlineStr">
        <is>
          <t>–</t>
        </is>
      </c>
      <c r="L24" s="16" t="inlineStr">
        <is>
          <t>–</t>
        </is>
      </c>
      <c r="M24" s="16" t="inlineStr">
        <is>
          <t>–</t>
        </is>
      </c>
      <c r="N24" s="16" t="inlineStr">
        <is>
          <t>–</t>
        </is>
      </c>
      <c r="O24" s="16" t="inlineStr">
        <is>
          <t>–</t>
        </is>
      </c>
      <c r="P24" s="16" t="inlineStr">
        <is>
          <t>P/B 0.69 · P/E 12.4 · ROE 5% · div yld 14.2% (financial: book/earnings basis)</t>
        </is>
      </c>
    </row>
    <row r="25" ht="22" customHeight="1">
      <c r="A25" s="6" t="inlineStr">
        <is>
          <t>FBLA</t>
        </is>
      </c>
      <c r="B25" s="14" t="inlineStr">
        <is>
          <t>FB Bancorp, Inc. Common</t>
        </is>
      </c>
      <c r="C25" s="14" t="inlineStr">
        <is>
          <t>P/B 0.92 · 52w 95%</t>
        </is>
      </c>
      <c r="D25" s="14" t="n">
        <v>23</v>
      </c>
      <c r="E25" s="27" t="n">
        <v>25</v>
      </c>
      <c r="F25" s="27" t="n">
        <v>3</v>
      </c>
      <c r="G25" s="14" t="inlineStr">
        <is>
          <t>●</t>
        </is>
      </c>
      <c r="H25" s="14" t="inlineStr">
        <is>
          <t>●</t>
        </is>
      </c>
      <c r="I25" s="14" t="inlineStr">
        <is>
          <t>–</t>
        </is>
      </c>
      <c r="J25" s="14" t="inlineStr">
        <is>
          <t>●</t>
        </is>
      </c>
      <c r="K25" s="14" t="inlineStr">
        <is>
          <t>–</t>
        </is>
      </c>
      <c r="L25" s="14" t="inlineStr">
        <is>
          <t>–</t>
        </is>
      </c>
      <c r="M25" s="14" t="inlineStr">
        <is>
          <t>–</t>
        </is>
      </c>
      <c r="N25" s="14" t="inlineStr">
        <is>
          <t>–</t>
        </is>
      </c>
      <c r="O25" s="14" t="inlineStr">
        <is>
          <t>–</t>
        </is>
      </c>
      <c r="P25" s="14" t="inlineStr">
        <is>
          <t>P/B 0.92 · ROE -0% · buying back 19%/yr (financial: book/earnings basis)</t>
        </is>
      </c>
    </row>
    <row r="26" ht="22" customHeight="1">
      <c r="A26" s="8" t="inlineStr">
        <is>
          <t>STRZ</t>
        </is>
      </c>
      <c r="B26" s="16" t="inlineStr">
        <is>
          <t>Starz Entertainment Corp</t>
        </is>
      </c>
      <c r="C26" s="16" t="inlineStr">
        <is>
          <t>P/B 0.60 · 2.7× EBITDA · debt 149% · 52w 61%</t>
        </is>
      </c>
      <c r="D26" s="16" t="n">
        <v>23</v>
      </c>
      <c r="E26" s="28" t="n">
        <v>25</v>
      </c>
      <c r="F26" s="28" t="n">
        <v>3</v>
      </c>
      <c r="G26" s="16" t="inlineStr">
        <is>
          <t>●</t>
        </is>
      </c>
      <c r="H26" s="16" t="inlineStr">
        <is>
          <t>●</t>
        </is>
      </c>
      <c r="I26" s="16" t="inlineStr">
        <is>
          <t>–</t>
        </is>
      </c>
      <c r="J26" s="16" t="inlineStr">
        <is>
          <t>●</t>
        </is>
      </c>
      <c r="K26" s="16" t="inlineStr">
        <is>
          <t>–</t>
        </is>
      </c>
      <c r="L26" s="16" t="inlineStr">
        <is>
          <t>–</t>
        </is>
      </c>
      <c r="M26" s="16" t="inlineStr">
        <is>
          <t>–</t>
        </is>
      </c>
      <c r="N26" s="16" t="inlineStr">
        <is>
          <t>–</t>
        </is>
      </c>
      <c r="O26" s="16" t="inlineStr">
        <is>
          <t>–</t>
        </is>
      </c>
      <c r="P26" s="16" t="inlineStr">
        <is>
          <t>P/B 0.60 · EV/EBITDA 2.7× · FCF yld -6% · net debt 149% of mcap · rev -7% · op margin -17% · interest cover -3.7× ⚠</t>
        </is>
      </c>
    </row>
    <row r="27" ht="22" customHeight="1">
      <c r="A27" s="6" t="inlineStr">
        <is>
          <t>GMRS</t>
        </is>
      </c>
      <c r="B27" s="14" t="inlineStr">
        <is>
          <t>GMR Solutions Inc.</t>
        </is>
      </c>
      <c r="C27" s="14" t="inlineStr">
        <is>
          <t>P/B 0.76 · 10.8× EBITDA · debt 713% · 52w 14%</t>
        </is>
      </c>
      <c r="D27" s="14" t="n">
        <v>23</v>
      </c>
      <c r="E27" s="27" t="n">
        <v>25</v>
      </c>
      <c r="F27" s="27" t="n">
        <v>3</v>
      </c>
      <c r="G27" s="14" t="inlineStr">
        <is>
          <t>●</t>
        </is>
      </c>
      <c r="H27" s="14" t="inlineStr">
        <is>
          <t>●</t>
        </is>
      </c>
      <c r="I27" s="14" t="inlineStr">
        <is>
          <t>–</t>
        </is>
      </c>
      <c r="J27" s="14" t="inlineStr">
        <is>
          <t>●</t>
        </is>
      </c>
      <c r="K27" s="14" t="inlineStr">
        <is>
          <t>–</t>
        </is>
      </c>
      <c r="L27" s="14" t="inlineStr">
        <is>
          <t>–</t>
        </is>
      </c>
      <c r="M27" s="14" t="inlineStr">
        <is>
          <t>–</t>
        </is>
      </c>
      <c r="N27" s="14" t="inlineStr">
        <is>
          <t>–</t>
        </is>
      </c>
      <c r="O27" s="14" t="inlineStr">
        <is>
          <t>–</t>
        </is>
      </c>
      <c r="P27" s="14" t="inlineStr">
        <is>
          <t>P/B 0.76 · EV/EBITDA 10.8× · FCF yld 11% · net debt 713% of mcap · op margin 10%</t>
        </is>
      </c>
    </row>
    <row r="28" ht="22" customHeight="1">
      <c r="A28" s="8" t="inlineStr">
        <is>
          <t>FRST</t>
        </is>
      </c>
      <c r="B28" s="16" t="inlineStr">
        <is>
          <t>Primis Financial Corp.</t>
        </is>
      </c>
      <c r="C28" s="16" t="inlineStr">
        <is>
          <t>P/B 0.89 · P/E 7.2 · 52w 82%</t>
        </is>
      </c>
      <c r="D28" s="16" t="n">
        <v>23</v>
      </c>
      <c r="E28" s="28" t="n">
        <v>25</v>
      </c>
      <c r="F28" s="28" t="n">
        <v>3</v>
      </c>
      <c r="G28" s="16" t="inlineStr">
        <is>
          <t>●</t>
        </is>
      </c>
      <c r="H28" s="16" t="inlineStr">
        <is>
          <t>●</t>
        </is>
      </c>
      <c r="I28" s="16" t="inlineStr">
        <is>
          <t>–</t>
        </is>
      </c>
      <c r="J28" s="16" t="inlineStr">
        <is>
          <t>●</t>
        </is>
      </c>
      <c r="K28" s="16" t="inlineStr">
        <is>
          <t>–</t>
        </is>
      </c>
      <c r="L28" s="16" t="inlineStr">
        <is>
          <t>–</t>
        </is>
      </c>
      <c r="M28" s="16" t="inlineStr">
        <is>
          <t>–</t>
        </is>
      </c>
      <c r="N28" s="16" t="inlineStr">
        <is>
          <t>–</t>
        </is>
      </c>
      <c r="O28" s="16" t="inlineStr">
        <is>
          <t>–</t>
        </is>
      </c>
      <c r="P28" s="16" t="inlineStr">
        <is>
          <t>P/B 0.89 · P/E 7.2 · ROE 13% · div yld 2.6% (financial: book/earnings basis)</t>
        </is>
      </c>
    </row>
    <row r="29" ht="22" customHeight="1">
      <c r="A29" s="6" t="inlineStr">
        <is>
          <t>OTF</t>
        </is>
      </c>
      <c r="B29" s="14" t="inlineStr">
        <is>
          <t>Blue Owl Technology Fina</t>
        </is>
      </c>
      <c r="C29" s="14" t="inlineStr">
        <is>
          <t>P/B 0.64 · P/E 8.0 · 52w 12%</t>
        </is>
      </c>
      <c r="D29" s="14" t="n">
        <v>23</v>
      </c>
      <c r="E29" s="27" t="n">
        <v>25</v>
      </c>
      <c r="F29" s="27" t="n">
        <v>3</v>
      </c>
      <c r="G29" s="14" t="inlineStr">
        <is>
          <t>●</t>
        </is>
      </c>
      <c r="H29" s="14" t="inlineStr">
        <is>
          <t>●</t>
        </is>
      </c>
      <c r="I29" s="14" t="inlineStr">
        <is>
          <t>–</t>
        </is>
      </c>
      <c r="J29" s="14" t="inlineStr">
        <is>
          <t>●</t>
        </is>
      </c>
      <c r="K29" s="14" t="inlineStr">
        <is>
          <t>–</t>
        </is>
      </c>
      <c r="L29" s="14" t="inlineStr">
        <is>
          <t>–</t>
        </is>
      </c>
      <c r="M29" s="14" t="inlineStr">
        <is>
          <t>–</t>
        </is>
      </c>
      <c r="N29" s="14" t="inlineStr">
        <is>
          <t>–</t>
        </is>
      </c>
      <c r="O29" s="14" t="inlineStr">
        <is>
          <t>–</t>
        </is>
      </c>
      <c r="P29" s="14" t="inlineStr">
        <is>
          <t>P/B 0.64 · P/E 8.0 · ROE 5% · div yld 12.1% · diluting 96%/yr (financial: book/earnings basis)</t>
        </is>
      </c>
    </row>
    <row r="30" ht="22" customHeight="1">
      <c r="A30" s="8" t="inlineStr">
        <is>
          <t>MRP</t>
        </is>
      </c>
      <c r="B30" s="16" t="inlineStr">
        <is>
          <t>Millrose Properties, Inc</t>
        </is>
      </c>
      <c r="C30" s="16" t="inlineStr">
        <is>
          <t>P/B 0.73 · 10.1× EBITDA · debt 57% · 52w 17%</t>
        </is>
      </c>
      <c r="D30" s="16" t="n">
        <v>23</v>
      </c>
      <c r="E30" s="28" t="n">
        <v>25</v>
      </c>
      <c r="F30" s="28" t="n">
        <v>3</v>
      </c>
      <c r="G30" s="16" t="inlineStr">
        <is>
          <t>●</t>
        </is>
      </c>
      <c r="H30" s="16" t="inlineStr">
        <is>
          <t>●</t>
        </is>
      </c>
      <c r="I30" s="16" t="inlineStr">
        <is>
          <t>–</t>
        </is>
      </c>
      <c r="J30" s="16" t="inlineStr">
        <is>
          <t>●</t>
        </is>
      </c>
      <c r="K30" s="16" t="inlineStr">
        <is>
          <t>–</t>
        </is>
      </c>
      <c r="L30" s="16" t="inlineStr">
        <is>
          <t>–</t>
        </is>
      </c>
      <c r="M30" s="16" t="inlineStr">
        <is>
          <t>–</t>
        </is>
      </c>
      <c r="N30" s="16" t="inlineStr">
        <is>
          <t>–</t>
        </is>
      </c>
      <c r="O30" s="16" t="inlineStr">
        <is>
          <t>–</t>
        </is>
      </c>
      <c r="P30" s="16" t="inlineStr">
        <is>
          <t>P/B 0.73 · EV/EBITDA 10.1× · net debt 57% of mcap · op margin 85%  [FCF yield &gt;100% (check); revenue not comparable YoY (fair-value / one-off income?)]</t>
        </is>
      </c>
    </row>
    <row r="31" ht="22" customHeight="1">
      <c r="A31" s="6" t="inlineStr">
        <is>
          <t>BXMT</t>
        </is>
      </c>
      <c r="B31" s="14" t="inlineStr">
        <is>
          <t>Blackstone Mortgage Trus</t>
        </is>
      </c>
      <c r="C31" s="14" t="inlineStr">
        <is>
          <t>P/B 0.66 · 15.8× EBITDA · debt 717% · 52w 0%</t>
        </is>
      </c>
      <c r="D31" s="14" t="n">
        <v>23</v>
      </c>
      <c r="E31" s="27" t="n">
        <v>25</v>
      </c>
      <c r="F31" s="27" t="n">
        <v>3</v>
      </c>
      <c r="G31" s="14" t="inlineStr">
        <is>
          <t>●</t>
        </is>
      </c>
      <c r="H31" s="14" t="inlineStr">
        <is>
          <t>●</t>
        </is>
      </c>
      <c r="I31" s="14" t="inlineStr">
        <is>
          <t>–</t>
        </is>
      </c>
      <c r="J31" s="14" t="inlineStr">
        <is>
          <t>●</t>
        </is>
      </c>
      <c r="K31" s="14" t="inlineStr">
        <is>
          <t>–</t>
        </is>
      </c>
      <c r="L31" s="14" t="inlineStr">
        <is>
          <t>–</t>
        </is>
      </c>
      <c r="M31" s="14" t="inlineStr">
        <is>
          <t>–</t>
        </is>
      </c>
      <c r="N31" s="14" t="inlineStr">
        <is>
          <t>–</t>
        </is>
      </c>
      <c r="O31" s="14" t="inlineStr">
        <is>
          <t>–</t>
        </is>
      </c>
      <c r="P31" s="14" t="inlineStr">
        <is>
          <t>P/B 0.66 · EV/EBITDA 15.8× · FCF yld 6% · net debt 717% of mcap · rev -4% · op margin 57% · interest cover 0.9× ⚠</t>
        </is>
      </c>
    </row>
    <row r="32" ht="22" customHeight="1">
      <c r="A32" s="8" t="inlineStr">
        <is>
          <t>LCNB</t>
        </is>
      </c>
      <c r="B32" s="16" t="inlineStr">
        <is>
          <t>LCNB Corporation</t>
        </is>
      </c>
      <c r="C32" s="16" t="inlineStr">
        <is>
          <t>P/B 0.95 · P/E 10.7 · 52w 61%</t>
        </is>
      </c>
      <c r="D32" s="16" t="n">
        <v>23</v>
      </c>
      <c r="E32" s="28" t="n">
        <v>25</v>
      </c>
      <c r="F32" s="28" t="n">
        <v>3</v>
      </c>
      <c r="G32" s="16" t="inlineStr">
        <is>
          <t>●</t>
        </is>
      </c>
      <c r="H32" s="16" t="inlineStr">
        <is>
          <t>●</t>
        </is>
      </c>
      <c r="I32" s="16" t="inlineStr">
        <is>
          <t>–</t>
        </is>
      </c>
      <c r="J32" s="16" t="inlineStr">
        <is>
          <t>●</t>
        </is>
      </c>
      <c r="K32" s="16" t="inlineStr">
        <is>
          <t>–</t>
        </is>
      </c>
      <c r="L32" s="16" t="inlineStr">
        <is>
          <t>–</t>
        </is>
      </c>
      <c r="M32" s="16" t="inlineStr">
        <is>
          <t>–</t>
        </is>
      </c>
      <c r="N32" s="16" t="inlineStr">
        <is>
          <t>–</t>
        </is>
      </c>
      <c r="O32" s="16" t="inlineStr">
        <is>
          <t>–</t>
        </is>
      </c>
      <c r="P32" s="16" t="inlineStr">
        <is>
          <t>P/B 0.95 · P/E 10.7 · ROE 9% · div yld 4.8% (financial: book/earnings basis)</t>
        </is>
      </c>
    </row>
    <row r="33"/>
    <row r="34" ht="28" customHeight="1">
      <c r="A34" s="17" t="inlineStr">
        <is>
          <t>28 names pass the assembly SPINE (top 45 shown): low expectations AND an engine (operating inflection or leverage torque) AND a costly-action alignment signal (open-market insider buy or a curated maturity-extension / subordination event). A name strong on many unrelated layers but missing a spine leg scores ZERO here — that is the point: asymmetry is a conjunction, not a sum. Components: Cheap (C1, incl. EV/EBIT), Lev (C2 survivable leverage), Orph (C3 drawdown/orphaned), Insdr (C4 open-market buys), Catl (C5 emergence/tender/activist), Inflx (C6 gross profit up while revenue down / margin expansion, from XBRL), Delev (C7 debt &amp; interest falling), Cap (C8 low capex + high marginal returns). Convergence beyond the spine adds a convexity bonus; dilutive-refinancing / backstop-expiry counter-signals subtract. The engine is validated point-in-time: it flags May-2024 PSIX (@ $2.15, 7/8 components) — see asymmetry_backtest.py. Source: asymmetry_assembly.json (+ financials_inflection.json XBRL).</t>
        </is>
      </c>
    </row>
  </sheetData>
  <mergeCells count="3">
    <mergeCell ref="A1:O1"/>
    <mergeCell ref="A2:O2"/>
    <mergeCell ref="A34:O34"/>
  </mergeCells>
  <conditionalFormatting sqref="D5:D34">
    <cfRule type="dataBar" priority="1">
      <dataBar showValue="1">
        <cfvo type="num" val="0"/>
        <cfvo type="num" val="100"/>
        <color rgb="009DB9D3"/>
      </dataBar>
    </cfRule>
  </conditionalFormatting>
  <hyperlinks>
    <hyperlink xmlns:r="http://schemas.openxmlformats.org/officeDocument/2006/relationships" ref="A7" r:id="rId1"/>
    <hyperlink xmlns:r="http://schemas.openxmlformats.org/officeDocument/2006/relationships" ref="A10" r:id="rId2"/>
    <hyperlink xmlns:r="http://schemas.openxmlformats.org/officeDocument/2006/relationships" ref="A13" r:id="rId3"/>
    <hyperlink xmlns:r="http://schemas.openxmlformats.org/officeDocument/2006/relationships" ref="A14" r:id="rId4"/>
    <hyperlink xmlns:r="http://schemas.openxmlformats.org/officeDocument/2006/relationships" ref="A15" r:id="rId5"/>
    <hyperlink xmlns:r="http://schemas.openxmlformats.org/officeDocument/2006/relationships" ref="A26" r:id="rId6"/>
    <hyperlink xmlns:r="http://schemas.openxmlformats.org/officeDocument/2006/relationships" ref="A30" r:id="rId7"/>
  </hyperlinks>
  <printOptions horizontalCentered="0"/>
  <pageMargins left="0.5" right="0.5" top="0.6" bottom="0.6" header="0.5" footer="0.5"/>
  <pageSetup orientation="landscape" fitToHeight="0" fitToWidth="1"/>
</worksheet>
</file>

<file path=xl/worksheets/sheet17.xml><?xml version="1.0" encoding="utf-8"?>
<worksheet xmlns="http://schemas.openxmlformats.org/spreadsheetml/2006/main">
  <sheetPr>
    <tabColor rgb="002E75B6"/>
    <outlinePr summaryBelow="1" summaryRight="1"/>
    <pageSetUpPr fitToPage="1"/>
  </sheetPr>
  <dimension ref="A1:P67"/>
  <sheetViews>
    <sheetView showGridLines="0" workbookViewId="0">
      <pane ySplit="4" topLeftCell="A5" activePane="bottomLeft" state="frozen"/>
      <selection pane="bottomLeft" activeCell="A1" sqref="A1"/>
    </sheetView>
  </sheetViews>
  <sheetFormatPr baseColWidth="8" defaultRowHeight="15"/>
  <cols>
    <col width="5" customWidth="1" min="1" max="1"/>
    <col width="9" customWidth="1" min="2" max="2"/>
    <col width="24" customWidth="1" min="3" max="3"/>
    <col width="30" customWidth="1" min="4" max="4"/>
    <col width="9" customWidth="1" min="5" max="5"/>
    <col width="7" customWidth="1" min="6" max="6"/>
    <col width="13" customWidth="1" min="7" max="7"/>
    <col width="20" customWidth="1" min="8" max="8"/>
    <col width="22" customWidth="1" min="9" max="9"/>
    <col width="11" customWidth="1" min="10" max="10"/>
    <col width="9" customWidth="1" min="11" max="11"/>
    <col width="9" customWidth="1" min="12" max="12"/>
    <col width="8" customWidth="1" min="13" max="13"/>
    <col width="7" customWidth="1" min="14" max="14"/>
    <col width="90" customWidth="1" min="15" max="15"/>
    <col width="62" customWidth="1" min="16" max="16"/>
  </cols>
  <sheetData>
    <row r="1" ht="26" customHeight="1">
      <c r="A1" s="1" t="inlineStr">
        <is>
          <t>Bollenbach Signal -- Turnaround Talent Into Distress</t>
        </is>
      </c>
    </row>
    <row r="2" ht="18" customHeight="1">
      <c r="A2" s="20" t="inlineStr">
        <is>
          <t>Senior executives voluntarily joining struggling companies with equity-heavy compensation. The grant tells you they see a re-rate path the market hasn't yet priced.</t>
        </is>
      </c>
      <c r="B2" s="19" t="n"/>
      <c r="C2" s="19" t="n"/>
      <c r="D2" s="19" t="n"/>
      <c r="E2" s="19" t="n"/>
      <c r="F2" s="19" t="n"/>
      <c r="G2" s="19" t="n"/>
      <c r="H2" s="19" t="n"/>
      <c r="I2" s="19" t="n"/>
      <c r="J2" s="19" t="n"/>
      <c r="K2" s="19" t="n"/>
      <c r="L2" s="19" t="n"/>
      <c r="M2" s="19" t="n"/>
      <c r="N2" s="19" t="n"/>
      <c r="O2" s="19" t="n"/>
    </row>
    <row r="3" ht="8" customHeight="1">
      <c r="E3" s="34" t="inlineStr">
        <is>
          <t>%ile vs the 60 names on this tab</t>
        </is>
      </c>
    </row>
    <row r="4" ht="18" customHeight="1">
      <c r="A4" s="4" t="inlineStr">
        <is>
          <t>#</t>
        </is>
      </c>
      <c r="B4" s="12" t="inlineStr">
        <is>
          <t>Ticker</t>
        </is>
      </c>
      <c r="C4" s="12" t="inlineStr">
        <is>
          <t>Company</t>
        </is>
      </c>
      <c r="D4" s="12" t="inlineStr">
        <is>
          <t>Key numbers (FMP)</t>
        </is>
      </c>
      <c r="E4" s="12" t="inlineStr">
        <is>
          <t>Strength %ile</t>
        </is>
      </c>
      <c r="F4" s="4" t="inlineStr">
        <is>
          <t>Score</t>
        </is>
      </c>
      <c r="G4" s="4" t="inlineStr">
        <is>
          <t>Event</t>
        </is>
      </c>
      <c r="H4" s="4" t="inlineStr">
        <is>
          <t>Who</t>
        </is>
      </c>
      <c r="I4" s="12" t="inlineStr">
        <is>
          <t>Role</t>
        </is>
      </c>
      <c r="J4" s="4" t="inlineStr">
        <is>
          <t>Date</t>
        </is>
      </c>
      <c r="K4" s="4" t="inlineStr">
        <is>
          <t>Salary $k</t>
        </is>
      </c>
      <c r="L4" s="4" t="inlineStr">
        <is>
          <t>Grant $M</t>
        </is>
      </c>
      <c r="M4" s="4" t="inlineStr">
        <is>
          <t>Distress</t>
        </is>
      </c>
      <c r="N4" s="4" t="inlineStr">
        <is>
          <t>Talent</t>
        </is>
      </c>
      <c r="O4" s="4" t="inlineStr">
        <is>
          <t>What the 8-K says (background / terms)</t>
        </is>
      </c>
      <c r="P4" s="4" t="inlineStr">
        <is>
          <t>FMP financial read</t>
        </is>
      </c>
    </row>
    <row r="5" ht="30" customHeight="1">
      <c r="A5" s="13" t="n">
        <v>1</v>
      </c>
      <c r="B5" s="6" t="inlineStr">
        <is>
          <t>ACH</t>
        </is>
      </c>
      <c r="C5" s="14" t="inlineStr">
        <is>
          <t>ACCENDRA HEALTH INC/VA/</t>
        </is>
      </c>
      <c r="D5" s="14" t="inlineStr">
        <is>
          <t>8.0× EBITDA · 52w 0%</t>
        </is>
      </c>
      <c r="E5" s="14" t="n">
        <v>99</v>
      </c>
      <c r="F5" s="27" t="n">
        <v>57</v>
      </c>
      <c r="G5" s="14" t="inlineStr">
        <is>
          <t>NEW HIRE</t>
        </is>
      </c>
      <c r="H5" s="14" t="inlineStr">
        <is>
          <t>Scott Lloyd</t>
        </is>
      </c>
      <c r="I5" s="14" t="inlineStr">
        <is>
          <t>Chief Commercial Offic</t>
        </is>
      </c>
      <c r="J5" s="14" t="inlineStr">
        <is>
          <t>2026-09-17</t>
        </is>
      </c>
      <c r="K5" s="27" t="n">
        <v>1000</v>
      </c>
      <c r="L5" s="13" t="n">
        <v>6</v>
      </c>
      <c r="M5" s="27" t="n">
        <v>35</v>
      </c>
      <c r="N5" s="27" t="n">
        <v>0</v>
      </c>
      <c r="O5" s="14" t="inlineStr">
        <is>
          <t>Lloyd most recently served as Chief Development and Strategy Officer at Evergreen Nephrology.</t>
        </is>
      </c>
      <c r="P5" s="14" t="inlineStr">
        <is>
          <t>EV/EBITDA 8.0× · rev -60% · op margin 4%  [negative equity; FCF yield &gt;100% (check)]</t>
        </is>
      </c>
    </row>
    <row r="6" ht="30" customHeight="1">
      <c r="A6" s="15" t="n">
        <v>2</v>
      </c>
      <c r="B6" s="8" t="inlineStr">
        <is>
          <t>ESAB</t>
        </is>
      </c>
      <c r="C6" s="16" t="inlineStr">
        <is>
          <t>ESAB Corp</t>
        </is>
      </c>
      <c r="D6" s="16" t="inlineStr">
        <is>
          <t>P/B 1.67 · 14.3× EBITDA · debt 52% · 52w 6%</t>
        </is>
      </c>
      <c r="E6" s="16" t="n">
        <v>98</v>
      </c>
      <c r="F6" s="28" t="n">
        <v>50</v>
      </c>
      <c r="G6" s="16" t="inlineStr">
        <is>
          <t>NEW HIRE</t>
        </is>
      </c>
      <c r="H6" s="16" t="inlineStr">
        <is>
          <t>Mitchell P. Rales</t>
        </is>
      </c>
      <c r="I6" s="16" t="inlineStr">
        <is>
          <t>Executive Chair</t>
        </is>
      </c>
      <c r="J6" s="16" t="inlineStr">
        <is>
          <t>2026-06-12</t>
        </is>
      </c>
      <c r="K6" s="16" t="inlineStr">
        <is>
          <t>–</t>
        </is>
      </c>
      <c r="L6" s="15" t="n">
        <v>82.90000000000001</v>
      </c>
      <c r="M6" s="28" t="n">
        <v>18</v>
      </c>
      <c r="N6" s="28" t="n">
        <v>0</v>
      </c>
      <c r="O6" s="16" t="inlineStr">
        <is>
          <t>On June 10, 2026, ESAB Corporation (the “Company” or “ESAB”) appointed Mitchell P. Rales as Executive Chair of the Board of Directors (“Executive Chair”), effective as of June 10, 2026, and granted performance-based stock option awards (the “Performance Option</t>
        </is>
      </c>
      <c r="P6" s="16" t="inlineStr">
        <is>
          <t>P/B 1.67 · EV/EBITDA 14.3× · FCF yld 5% · net debt 52% of mcap · rev +10% · op margin 15%</t>
        </is>
      </c>
    </row>
    <row r="7" ht="30" customHeight="1">
      <c r="A7" s="13" t="n">
        <v>3</v>
      </c>
      <c r="B7" s="6" t="inlineStr">
        <is>
          <t>PROP</t>
        </is>
      </c>
      <c r="C7" s="14" t="inlineStr">
        <is>
          <t>Prairie Operating Co.</t>
        </is>
      </c>
      <c r="D7" s="14" t="inlineStr">
        <is>
          <t>52w 1%</t>
        </is>
      </c>
      <c r="E7" s="14" t="n">
        <v>96</v>
      </c>
      <c r="F7" s="27" t="n">
        <v>49</v>
      </c>
      <c r="G7" s="14" t="inlineStr">
        <is>
          <t>NEW HIRE</t>
        </is>
      </c>
      <c r="H7" s="14" t="inlineStr">
        <is>
          <t>Gregory S. Patton</t>
        </is>
      </c>
      <c r="I7" s="14" t="inlineStr">
        <is>
          <t>Chief Executive Office</t>
        </is>
      </c>
      <c r="J7" s="14" t="inlineStr">
        <is>
          <t>2026-06-25</t>
        </is>
      </c>
      <c r="K7" s="27" t="n">
        <v>625</v>
      </c>
      <c r="L7" s="13" t="n">
        <v>2.8</v>
      </c>
      <c r="M7" s="27" t="n">
        <v>43</v>
      </c>
      <c r="N7" s="27" t="n">
        <v>0</v>
      </c>
      <c r="O7" s="14" t="inlineStr">
        <is>
          <t>Patton, age 40, has served as the Executive Vice President and Chief Financial Officer of the Company since April 2025. Patton served as the Company’s Executive Vice President, Commercial Development from November 2024 through March 2025, and he began his empl</t>
        </is>
      </c>
      <c r="P7" s="14" t="inlineStr">
        <is>
          <t>P/S 0.1 · FCF yld -86% · rev +283% · op margin 35%  [market-cap/share data inconsistent]</t>
        </is>
      </c>
    </row>
    <row r="8" ht="30" customHeight="1">
      <c r="A8" s="15" t="n">
        <v>4</v>
      </c>
      <c r="B8" s="8" t="inlineStr">
        <is>
          <t>KLIC</t>
        </is>
      </c>
      <c r="C8" s="16" t="inlineStr">
        <is>
          <t>KULICKE &amp; SOFFA INDUSTRI</t>
        </is>
      </c>
      <c r="D8" s="16" t="inlineStr">
        <is>
          <t>P/B 5.19 · 27.5× EBITDA · cash 10% · 52w 55%</t>
        </is>
      </c>
      <c r="E8" s="16" t="n">
        <v>94</v>
      </c>
      <c r="F8" s="28" t="n">
        <v>48</v>
      </c>
      <c r="G8" s="16" t="inlineStr">
        <is>
          <t>NEW HIRE</t>
        </is>
      </c>
      <c r="H8" s="16" t="inlineStr">
        <is>
          <t>Raj Talluri</t>
        </is>
      </c>
      <c r="I8" s="16" t="inlineStr">
        <is>
          <t>President and Chief Ex</t>
        </is>
      </c>
      <c r="J8" s="16" t="inlineStr">
        <is>
          <t>2026-08-17</t>
        </is>
      </c>
      <c r="K8" s="28" t="n">
        <v>750</v>
      </c>
      <c r="L8" s="15" t="n">
        <v>14</v>
      </c>
      <c r="M8" s="28" t="n">
        <v>26</v>
      </c>
      <c r="N8" s="28" t="n">
        <v>0</v>
      </c>
      <c r="O8" s="16" t="inlineStr">
        <is>
          <t>Talluri served as President, Chief Executive Officer and a member of the Board of Directors of Enovix Corporation, a Nasdaq-listed advanced battery technology company, since January 2023. Talluri served as Senior Vice President, General Manager, Mobile Busines</t>
        </is>
      </c>
      <c r="P8" s="16" t="inlineStr">
        <is>
          <t>P/B 5.19 · EV/EBITDA 27.5× · FCF yld 1% · net cash 10% of mcap · rev +11% · op margin 13%</t>
        </is>
      </c>
    </row>
    <row r="9" ht="30" customHeight="1">
      <c r="A9" s="13" t="n">
        <v>5</v>
      </c>
      <c r="B9" s="6" t="inlineStr">
        <is>
          <t>FISV</t>
        </is>
      </c>
      <c r="C9" s="14" t="inlineStr">
        <is>
          <t>FISERV INC</t>
        </is>
      </c>
      <c r="D9" s="14" t="inlineStr">
        <is>
          <t>P/B 0.91 · 7.5× EBITDA · debt 111% · 52w 0%</t>
        </is>
      </c>
      <c r="E9" s="14" t="n">
        <v>92</v>
      </c>
      <c r="F9" s="27" t="n">
        <v>47</v>
      </c>
      <c r="G9" s="14" t="inlineStr">
        <is>
          <t>NEW HIRE</t>
        </is>
      </c>
      <c r="H9" s="14" t="inlineStr">
        <is>
          <t>Takis Georgakopoulos</t>
        </is>
      </c>
      <c r="I9" s="14" t="inlineStr">
        <is>
          <t>Chief Executive Office</t>
        </is>
      </c>
      <c r="J9" s="14" t="inlineStr">
        <is>
          <t>2026-06-15</t>
        </is>
      </c>
      <c r="K9" s="27" t="n">
        <v>1300</v>
      </c>
      <c r="L9" s="13" t="n">
        <v>6</v>
      </c>
      <c r="M9" s="27" t="n">
        <v>35</v>
      </c>
      <c r="N9" s="27" t="n">
        <v>0</v>
      </c>
      <c r="O9" s="14" t="inlineStr">
        <is>
          <t>Georgakopoulos, age 56, most recently served as Co-President, Head of Merchant and Technology of the Company since December 2025. Georgakopoulos served as Chief Operating Officer from April 2025 to December 2025 and as an Executive Vice President since Septemb</t>
        </is>
      </c>
      <c r="P9" s="14" t="inlineStr">
        <is>
          <t>P/B 0.91 · EV/EBITDA 7.5× · FCF yld 16% · net debt 111% of mcap · rev -1% · op margin 21% · buying back 3%/yr</t>
        </is>
      </c>
    </row>
    <row r="10" ht="30" customHeight="1">
      <c r="A10" s="15" t="n">
        <v>6</v>
      </c>
      <c r="B10" s="8" t="inlineStr">
        <is>
          <t>FNGR</t>
        </is>
      </c>
      <c r="C10" s="16" t="inlineStr">
        <is>
          <t>FingerMotion, Inc.</t>
        </is>
      </c>
      <c r="D10" s="16" t="inlineStr">
        <is>
          <t>P/B 0.51 · debt 5% · 52w 0%</t>
        </is>
      </c>
      <c r="E10" s="16" t="n">
        <v>91</v>
      </c>
      <c r="F10" s="28" t="n">
        <v>45</v>
      </c>
      <c r="G10" s="16" t="inlineStr">
        <is>
          <t>NEW HIRE</t>
        </is>
      </c>
      <c r="H10" s="16" t="inlineStr">
        <is>
          <t>Chris Polimeni</t>
        </is>
      </c>
      <c r="I10" s="16" t="inlineStr">
        <is>
          <t>Chief Financial Office</t>
        </is>
      </c>
      <c r="J10" s="16" t="inlineStr">
        <is>
          <t>2026-08-17</t>
        </is>
      </c>
      <c r="K10" s="16" t="inlineStr">
        <is>
          <t>–</t>
        </is>
      </c>
      <c r="L10" s="16" t="inlineStr">
        <is>
          <t>–</t>
        </is>
      </c>
      <c r="M10" s="28" t="n">
        <v>45</v>
      </c>
      <c r="N10" s="28" t="n">
        <v>0</v>
      </c>
      <c r="O10" s="16" t="inlineStr">
        <is>
          <t>Since 2020, he has also served as President and Chief Executive Officer of Polimeni &amp; Associates, Inc.</t>
        </is>
      </c>
      <c r="P10" s="16" t="inlineStr">
        <is>
          <t>P/B 0.51 · P/S 0.5 · FCF yld -60% · net debt 5% of mcap · rev +15% · op margin -41% · diluting 13%/yr</t>
        </is>
      </c>
    </row>
    <row r="11" ht="30" customHeight="1">
      <c r="A11" s="13" t="n">
        <v>7</v>
      </c>
      <c r="B11" s="6" t="inlineStr">
        <is>
          <t>DH</t>
        </is>
      </c>
      <c r="C11" s="14" t="inlineStr">
        <is>
          <t>Definitive Healthcare Co</t>
        </is>
      </c>
      <c r="D11" s="14" t="inlineStr">
        <is>
          <t>P/B 0.65 · cash 18% · 52w 8%</t>
        </is>
      </c>
      <c r="E11" s="14" t="n">
        <v>89</v>
      </c>
      <c r="F11" s="27" t="n">
        <v>41</v>
      </c>
      <c r="G11" s="14" t="inlineStr">
        <is>
          <t>NEW HIRE</t>
        </is>
      </c>
      <c r="H11" s="14" t="inlineStr">
        <is>
          <t>Clay Ritchey</t>
        </is>
      </c>
      <c r="I11" s="14" t="inlineStr">
        <is>
          <t>Chief Executive Office</t>
        </is>
      </c>
      <c r="J11" s="14" t="inlineStr">
        <is>
          <t>2026-09-02</t>
        </is>
      </c>
      <c r="K11" s="27" t="n">
        <v>500</v>
      </c>
      <c r="L11" s="13" t="n">
        <v>2</v>
      </c>
      <c r="M11" s="27" t="n">
        <v>35</v>
      </c>
      <c r="N11" s="27" t="n">
        <v>0</v>
      </c>
      <c r="O11" s="14" t="inlineStr">
        <is>
          <t>Ritchey, age 55, most recently served as Advisor to the Board of Verato since June 2026, following his tenure as Chief Executive Officer of Verato, a leading master data management company, from April 2021 to May 2026.</t>
        </is>
      </c>
      <c r="P11" s="14" t="inlineStr">
        <is>
          <t>P/B 0.65 · P/S 0.4 · FCF yld 27% · net cash 18% of mcap · rev -5% · op margin 67%</t>
        </is>
      </c>
    </row>
    <row r="12" ht="30" customHeight="1">
      <c r="A12" s="15" t="n">
        <v>8</v>
      </c>
      <c r="B12" s="8" t="inlineStr">
        <is>
          <t>DMRC</t>
        </is>
      </c>
      <c r="C12" s="16" t="inlineStr">
        <is>
          <t>Digimarc Corp</t>
        </is>
      </c>
      <c r="D12" s="16" t="inlineStr">
        <is>
          <t>P/B 3.75 · cash 4% · 52w 6%</t>
        </is>
      </c>
      <c r="E12" s="16" t="n">
        <v>88</v>
      </c>
      <c r="F12" s="28" t="n">
        <v>37</v>
      </c>
      <c r="G12" s="16" t="inlineStr">
        <is>
          <t>NEW HIRE</t>
        </is>
      </c>
      <c r="H12" s="16" t="inlineStr">
        <is>
          <t>Paul Carreiro</t>
        </is>
      </c>
      <c r="I12" s="16" t="inlineStr">
        <is>
          <t>President and Chief Ex</t>
        </is>
      </c>
      <c r="J12" s="16" t="inlineStr">
        <is>
          <t>2026-07-06</t>
        </is>
      </c>
      <c r="K12" s="16" t="inlineStr">
        <is>
          <t>–</t>
        </is>
      </c>
      <c r="L12" s="16" t="inlineStr">
        <is>
          <t>–</t>
        </is>
      </c>
      <c r="M12" s="28" t="n">
        <v>25</v>
      </c>
      <c r="N12" s="28" t="n">
        <v>0</v>
      </c>
      <c r="O12" s="16" t="inlineStr">
        <is>
          <t>Employment Arrangements with President and Chief Executive Officer As disclosed on June 8, 2026, the Board of Directors (the “Board”) of Digimarc Corporation (the “Company”) previously appointed Paul Carreiro as President and Chief Executive Officer of the Com</t>
        </is>
      </c>
      <c r="P12" s="16" t="inlineStr">
        <is>
          <t>P/B 3.75 · P/S 3.5 · FCF yld -4% · net cash 4% of mcap · rev -11% · op margin -99% · diluting 3%/yr</t>
        </is>
      </c>
    </row>
    <row r="13" ht="30" customHeight="1">
      <c r="A13" s="13" t="n">
        <v>9</v>
      </c>
      <c r="B13" s="6" t="inlineStr">
        <is>
          <t>RPD</t>
        </is>
      </c>
      <c r="C13" s="14" t="inlineStr">
        <is>
          <t>Rapid7, Inc.</t>
        </is>
      </c>
      <c r="D13" s="14" t="inlineStr">
        <is>
          <t>P/B 4.44 · 18.1× EBITDA · debt 30% · 52w 53%</t>
        </is>
      </c>
      <c r="E13" s="14" t="n">
        <v>86</v>
      </c>
      <c r="F13" s="27" t="n">
        <v>36</v>
      </c>
      <c r="G13" s="14" t="inlineStr">
        <is>
          <t>NEW HIRE</t>
        </is>
      </c>
      <c r="H13" s="14" t="inlineStr">
        <is>
          <t>Wael Mohamed</t>
        </is>
      </c>
      <c r="I13" s="14" t="inlineStr">
        <is>
          <t>Chief Executive Office</t>
        </is>
      </c>
      <c r="J13" s="14" t="inlineStr">
        <is>
          <t>2026-06-01</t>
        </is>
      </c>
      <c r="K13" s="27" t="n">
        <v>625</v>
      </c>
      <c r="L13" s="13" t="n">
        <v>6</v>
      </c>
      <c r="M13" s="27" t="n">
        <v>8</v>
      </c>
      <c r="N13" s="27" t="n">
        <v>0</v>
      </c>
      <c r="O13" s="14" t="inlineStr">
        <is>
          <t>Mohamed, 58 years old, has served as a member of the Company’s Board since April 2025. Mohamed formerly served as Operating Partner at Advent International, Chief Executive Officer at Forescout Technologies, Chairman of the Board for Cysiv, and President, Chie</t>
        </is>
      </c>
      <c r="P13" s="14" t="inlineStr">
        <is>
          <t>P/B 4.44 · EV/EBITDA 18.1× · FCF yld 16% · net debt 30% of mcap · rev +0% · op margin 1% · diluting 5%/yr · interest cover 1.0× ⚠</t>
        </is>
      </c>
    </row>
    <row r="14" ht="30" customHeight="1">
      <c r="A14" s="15" t="n">
        <v>10</v>
      </c>
      <c r="B14" s="8" t="inlineStr">
        <is>
          <t>FTHM</t>
        </is>
      </c>
      <c r="C14" s="16" t="inlineStr">
        <is>
          <t>Fathom Holdings Inc.</t>
        </is>
      </c>
      <c r="D14" s="16" t="inlineStr">
        <is>
          <t>P/B 0.76 · debt 43% · 52w 8%</t>
        </is>
      </c>
      <c r="E14" s="16" t="n">
        <v>84</v>
      </c>
      <c r="F14" s="28" t="n">
        <v>35</v>
      </c>
      <c r="G14" s="16" t="inlineStr">
        <is>
          <t>NEW HIRE</t>
        </is>
      </c>
      <c r="H14" s="16" t="inlineStr">
        <is>
          <t>Adam Rothstein (inte</t>
        </is>
      </c>
      <c r="I14" s="16" t="inlineStr">
        <is>
          <t>Interim Chief Executiv</t>
        </is>
      </c>
      <c r="J14" s="16" t="inlineStr">
        <is>
          <t>2026-06-17</t>
        </is>
      </c>
      <c r="K14" s="16" t="inlineStr">
        <is>
          <t>–</t>
        </is>
      </c>
      <c r="L14" s="16" t="inlineStr">
        <is>
          <t>–</t>
        </is>
      </c>
      <c r="M14" s="28" t="n">
        <v>35</v>
      </c>
      <c r="N14" s="28" t="n">
        <v>0</v>
      </c>
      <c r="O14" s="16" t="inlineStr">
        <is>
          <t>On June 16, 2026, the Board terminated Marco Fregenal as the Company’s Chief Executive Officer, and Mr. Fregenal resigned from his role as a director of the Company, effective immediately. In addition to serving as the Company’s principal executive officer, Mr</t>
        </is>
      </c>
      <c r="P14" s="16" t="inlineStr">
        <is>
          <t>P/B 0.76 · P/S 0.0 · FCF yld -78% · net debt 43% of mcap · rev +4% · op margin -5% · diluting 22%/yr · interest cover -36.7× ⚠</t>
        </is>
      </c>
    </row>
    <row r="15" ht="30" customHeight="1">
      <c r="A15" s="13" t="n">
        <v>11</v>
      </c>
      <c r="B15" s="6" t="inlineStr">
        <is>
          <t>OPRT</t>
        </is>
      </c>
      <c r="C15" s="14" t="inlineStr">
        <is>
          <t>Oportun Financial Corp</t>
        </is>
      </c>
      <c r="D15" s="14" t="inlineStr">
        <is>
          <t>P/B 0.92 · P/E 20.9 · 52w 96%</t>
        </is>
      </c>
      <c r="E15" s="14" t="n">
        <v>82</v>
      </c>
      <c r="F15" s="27" t="n">
        <v>32</v>
      </c>
      <c r="G15" s="14" t="inlineStr">
        <is>
          <t>NEW HIRE</t>
        </is>
      </c>
      <c r="H15" s="14" t="inlineStr">
        <is>
          <t>Doug Bland</t>
        </is>
      </c>
      <c r="I15" s="14" t="inlineStr">
        <is>
          <t>Chief Executive Office</t>
        </is>
      </c>
      <c r="J15" s="14" t="inlineStr">
        <is>
          <t>2026-04-17</t>
        </is>
      </c>
      <c r="K15" s="27" t="n">
        <v>750</v>
      </c>
      <c r="L15" s="13" t="n">
        <v>5</v>
      </c>
      <c r="M15" s="27" t="n">
        <v>10</v>
      </c>
      <c r="N15" s="27" t="n">
        <v>0</v>
      </c>
      <c r="O15" s="14" t="inlineStr">
        <is>
          <t>Bland also served as the President and Chief Operating Officer of Swift Financial, a venture-backed small business lender, from 2015 until it was acquired by PayPal in 2017.</t>
        </is>
      </c>
      <c r="P15" s="14" t="inlineStr">
        <is>
          <t>P/B 0.92 · P/E 20.9 · ROE 5% · diluting 2%/yr (financial: book/earnings basis)  [FCF yield &gt;100% (check)]</t>
        </is>
      </c>
    </row>
    <row r="16" ht="30" customHeight="1">
      <c r="A16" s="15" t="n">
        <v>12</v>
      </c>
      <c r="B16" s="8" t="inlineStr">
        <is>
          <t>SHC</t>
        </is>
      </c>
      <c r="C16" s="16" t="inlineStr">
        <is>
          <t>Sotera Health Co</t>
        </is>
      </c>
      <c r="D16" s="16" t="inlineStr">
        <is>
          <t>P/B 7.86 · 13.2× EBITDA · debt 37% · 52w 78%</t>
        </is>
      </c>
      <c r="E16" s="16" t="n">
        <v>82</v>
      </c>
      <c r="F16" s="28" t="n">
        <v>32</v>
      </c>
      <c r="G16" s="16" t="inlineStr">
        <is>
          <t>NEW HIRE</t>
        </is>
      </c>
      <c r="H16" s="16" t="inlineStr">
        <is>
          <t>Alton Shader</t>
        </is>
      </c>
      <c r="I16" s="16" t="inlineStr">
        <is>
          <t>Chief Executive Office</t>
        </is>
      </c>
      <c r="J16" s="16" t="inlineStr">
        <is>
          <t>2026-05-05</t>
        </is>
      </c>
      <c r="K16" s="28" t="n">
        <v>1000</v>
      </c>
      <c r="L16" s="15" t="n">
        <v>6</v>
      </c>
      <c r="M16" s="28" t="n">
        <v>10</v>
      </c>
      <c r="N16" s="28" t="n">
        <v>0</v>
      </c>
      <c r="O16" s="16" t="inlineStr">
        <is>
          <t>Shader, age 52, has served as Chief Executive Officer and a member of the board of directors of Viant Medical, LLC (“Viant”), a medical device manufacturing services company, since 2019. Prior to joining Viant, Mr.</t>
        </is>
      </c>
      <c r="P16" s="16" t="inlineStr">
        <is>
          <t>P/B 7.86 · EV/EBITDA 13.2× · FCF yld 2% · net debt 37% of mcap · rev +8% · op margin 36%</t>
        </is>
      </c>
    </row>
    <row r="17" ht="30" customHeight="1">
      <c r="A17" s="13" t="n">
        <v>13</v>
      </c>
      <c r="B17" s="6" t="inlineStr">
        <is>
          <t>EVCM</t>
        </is>
      </c>
      <c r="C17" s="14" t="inlineStr">
        <is>
          <t>EverCommerce Inc.</t>
        </is>
      </c>
      <c r="D17" s="14" t="inlineStr">
        <is>
          <t>P/B 2.01 · 13.9× EBITDA · debt 28% · 52w 23%</t>
        </is>
      </c>
      <c r="E17" s="14" t="n">
        <v>79</v>
      </c>
      <c r="F17" s="27" t="n">
        <v>30</v>
      </c>
      <c r="G17" s="14" t="inlineStr">
        <is>
          <t>NEW HIRE</t>
        </is>
      </c>
      <c r="H17" s="14" t="inlineStr">
        <is>
          <t>Alex Goor</t>
        </is>
      </c>
      <c r="I17" s="14" t="inlineStr">
        <is>
          <t>Chief Executive Office</t>
        </is>
      </c>
      <c r="J17" s="14" t="inlineStr">
        <is>
          <t>2026-08-05</t>
        </is>
      </c>
      <c r="K17" s="27" t="n">
        <v>530</v>
      </c>
      <c r="L17" s="13" t="n">
        <v>3</v>
      </c>
      <c r="M17" s="27" t="n">
        <v>8</v>
      </c>
      <c r="N17" s="27" t="n">
        <v>0</v>
      </c>
      <c r="O17" s="14" t="inlineStr">
        <is>
          <t>Goor, age 54, most recently served as Chief Information Officer of Interactive Data Corp. Goor has also served as a member of the Board of Directors of several private and public companies.</t>
        </is>
      </c>
      <c r="P17" s="14" t="inlineStr">
        <is>
          <t>P/B 2.01 · EV/EBITDA 13.9× · FCF yld 6% · net debt 28% of mcap · rev -7% · op margin 11% · buying back 3%/yr</t>
        </is>
      </c>
    </row>
    <row r="18" ht="30" customHeight="1">
      <c r="A18" s="15" t="n">
        <v>14</v>
      </c>
      <c r="B18" s="8" t="inlineStr">
        <is>
          <t>PTLO</t>
        </is>
      </c>
      <c r="C18" s="16" t="inlineStr">
        <is>
          <t>Portillo's Inc.</t>
        </is>
      </c>
      <c r="D18" s="16" t="inlineStr">
        <is>
          <t>P/B 0.55 · 14.3× EBITDA · debt 255% · 52w 1%</t>
        </is>
      </c>
      <c r="E18" s="16" t="n">
        <v>77</v>
      </c>
      <c r="F18" s="28" t="n">
        <v>28</v>
      </c>
      <c r="G18" s="16" t="inlineStr">
        <is>
          <t>NEW HIRE</t>
        </is>
      </c>
      <c r="H18" s="16" t="inlineStr">
        <is>
          <t>Kevin Kalicak</t>
        </is>
      </c>
      <c r="I18" s="16" t="inlineStr">
        <is>
          <t>Chief Financial Office</t>
        </is>
      </c>
      <c r="J18" s="16" t="inlineStr">
        <is>
          <t>2026-08-04</t>
        </is>
      </c>
      <c r="K18" s="28" t="n">
        <v>500</v>
      </c>
      <c r="L18" s="15" t="n">
        <v>0.1</v>
      </c>
      <c r="M18" s="28" t="n">
        <v>28</v>
      </c>
      <c r="N18" s="28" t="n">
        <v>0</v>
      </c>
      <c r="O18" s="16" t="inlineStr">
        <is>
          <t>(the “Company” or the “Registrant”) announced that Kevin Kalicak, 53, who most recently served as an Officer of Darden Restaurants, Inc. Kalicak served as Darden’s Senior Vice President, Finance and Investor Relations from 2021 to 2024.</t>
        </is>
      </c>
      <c r="P18" s="16" t="inlineStr">
        <is>
          <t>P/B 0.55 · EV/EBITDA 14.3× · FCF yld -3% · net debt 255% of mcap · rev +3% · op margin 5% · diluting 5%/yr</t>
        </is>
      </c>
    </row>
    <row r="19" ht="30" customHeight="1">
      <c r="A19" s="13" t="n">
        <v>15</v>
      </c>
      <c r="B19" s="6" t="inlineStr">
        <is>
          <t>PD</t>
        </is>
      </c>
      <c r="C19" s="14" t="inlineStr">
        <is>
          <t>PagerDuty, Inc.</t>
        </is>
      </c>
      <c r="D19" s="14" t="inlineStr">
        <is>
          <t>P/B 4.23 · 26.9× EBITDA · cash 10% · 52w 82%</t>
        </is>
      </c>
      <c r="E19" s="14" t="n">
        <v>77</v>
      </c>
      <c r="F19" s="27" t="n">
        <v>28</v>
      </c>
      <c r="G19" s="14" t="inlineStr">
        <is>
          <t>NEW HIRE</t>
        </is>
      </c>
      <c r="H19" s="14" t="inlineStr">
        <is>
          <t>John DiLullo</t>
        </is>
      </c>
      <c r="I19" s="14" t="inlineStr">
        <is>
          <t>Chief Executive Office</t>
        </is>
      </c>
      <c r="J19" s="14" t="inlineStr">
        <is>
          <t>2026-05-11</t>
        </is>
      </c>
      <c r="K19" s="27" t="n">
        <v>600</v>
      </c>
      <c r="L19" s="13" t="n">
        <v>19</v>
      </c>
      <c r="M19" s="27" t="n">
        <v>0</v>
      </c>
      <c r="N19" s="27" t="n">
        <v>0</v>
      </c>
      <c r="O19" s="14" t="inlineStr">
        <is>
          <t>DiLullo most recently served as CEO of Deepwatch, Inc. DiLullo served as CEO of LiveVox, Inc.</t>
        </is>
      </c>
      <c r="P19" s="14" t="inlineStr">
        <is>
          <t>P/B 4.23 · EV/EBITDA 26.9× · FCF yld 9% · net cash 10% of mcap · rev +8% · op margin 6%</t>
        </is>
      </c>
    </row>
    <row r="20" ht="30" customHeight="1">
      <c r="A20" s="15" t="n">
        <v>16</v>
      </c>
      <c r="B20" s="8" t="inlineStr">
        <is>
          <t>AZIO</t>
        </is>
      </c>
      <c r="C20" s="16" t="inlineStr">
        <is>
          <t>Envirotech Vehicles, Inc</t>
        </is>
      </c>
      <c r="D20" s="16" t="inlineStr">
        <is>
          <t>52w 22%</t>
        </is>
      </c>
      <c r="E20" s="16" t="n">
        <v>73</v>
      </c>
      <c r="F20" s="28" t="n">
        <v>25</v>
      </c>
      <c r="G20" s="16" t="inlineStr">
        <is>
          <t>NEW HIRE</t>
        </is>
      </c>
      <c r="H20" s="16" t="inlineStr">
        <is>
          <t>Chris Young</t>
        </is>
      </c>
      <c r="I20" s="16" t="inlineStr">
        <is>
          <t>Chief Executive Office</t>
        </is>
      </c>
      <c r="J20" s="16" t="inlineStr">
        <is>
          <t>2026-07-06</t>
        </is>
      </c>
      <c r="K20" s="16" t="inlineStr">
        <is>
          <t>–</t>
        </is>
      </c>
      <c r="L20" s="16" t="inlineStr">
        <is>
          <t>–</t>
        </is>
      </c>
      <c r="M20" s="28" t="n">
        <v>25</v>
      </c>
      <c r="N20" s="28" t="n">
        <v>0</v>
      </c>
      <c r="O20" s="16" t="inlineStr">
        <is>
          <t>Young most recently served as Chief Executive Officer and Chairman of the Board of Directors of Azio AI from October 2025 until it was acquired by the Company in July 2026. Young has served as a Resident Advisor at Amplify.</t>
        </is>
      </c>
      <c r="P20" s="16" t="inlineStr">
        <is>
          <t>P/S 1.8 · FCF yld -82% · op margin -286%  [negative equity]</t>
        </is>
      </c>
    </row>
    <row r="21" ht="30" customHeight="1">
      <c r="A21" s="13" t="n">
        <v>17</v>
      </c>
      <c r="B21" s="6" t="inlineStr">
        <is>
          <t>ENSC</t>
        </is>
      </c>
      <c r="C21" s="14" t="inlineStr">
        <is>
          <t>Ensysce Biosciences, Inc</t>
        </is>
      </c>
      <c r="D21" s="14" t="inlineStr">
        <is>
          <t>52w 7%</t>
        </is>
      </c>
      <c r="E21" s="14" t="n">
        <v>73</v>
      </c>
      <c r="F21" s="27" t="n">
        <v>25</v>
      </c>
      <c r="G21" s="14" t="inlineStr">
        <is>
          <t>NEW HIRE</t>
        </is>
      </c>
      <c r="H21" s="14" t="inlineStr">
        <is>
          <t>James Morrison</t>
        </is>
      </c>
      <c r="I21" s="14" t="inlineStr">
        <is>
          <t>President</t>
        </is>
      </c>
      <c r="J21" s="14" t="inlineStr">
        <is>
          <t>2026-08-06</t>
        </is>
      </c>
      <c r="K21" s="14" t="inlineStr">
        <is>
          <t>–</t>
        </is>
      </c>
      <c r="L21" s="14" t="inlineStr">
        <is>
          <t>–</t>
        </is>
      </c>
      <c r="M21" s="27" t="n">
        <v>25</v>
      </c>
      <c r="N21" s="27" t="n">
        <v>0</v>
      </c>
      <c r="O21" s="14" t="inlineStr">
        <is>
          <t>James Morrison is the Founder of Cy and served as President of Cy from October 2019 until the closing of the Merger and as its Chief Executive Officer from 2021 until the closing of the Merger.</t>
        </is>
      </c>
      <c r="P21" s="14" t="inlineStr">
        <is>
          <t>P/S 5.5  [negative equity; FCF yield &gt;100% (check)]</t>
        </is>
      </c>
    </row>
    <row r="22" ht="30" customHeight="1">
      <c r="A22" s="15" t="n">
        <v>18</v>
      </c>
      <c r="B22" s="8" t="inlineStr">
        <is>
          <t>JACK</t>
        </is>
      </c>
      <c r="C22" s="16" t="inlineStr">
        <is>
          <t>JACK IN THE BOX INC</t>
        </is>
      </c>
      <c r="D22" s="16" t="inlineStr">
        <is>
          <t>13.1× EBITDA · 52w 30%</t>
        </is>
      </c>
      <c r="E22" s="16" t="n">
        <v>69</v>
      </c>
      <c r="F22" s="28" t="n">
        <v>24</v>
      </c>
      <c r="G22" s="16" t="inlineStr">
        <is>
          <t>NEW HIRE</t>
        </is>
      </c>
      <c r="H22" s="16" t="inlineStr">
        <is>
          <t>Taylor Montgomery</t>
        </is>
      </c>
      <c r="I22" s="16" t="inlineStr">
        <is>
          <t>President</t>
        </is>
      </c>
      <c r="J22" s="16" t="inlineStr">
        <is>
          <t>2026-08-20</t>
        </is>
      </c>
      <c r="K22" s="28" t="n">
        <v>700</v>
      </c>
      <c r="L22" s="15" t="n">
        <v>1.5</v>
      </c>
      <c r="M22" s="28" t="n">
        <v>18</v>
      </c>
      <c r="N22" s="28" t="n">
        <v>0</v>
      </c>
      <c r="O22" s="16" t="inlineStr">
        <is>
          <t>Prior to joining the Company, Mr. Montgomery served as Global Chief Brand Officer of Taco Bell, a division of Yum! Brands, Inc.</t>
        </is>
      </c>
      <c r="P22" s="16" t="inlineStr">
        <is>
          <t>EV/EBITDA 13.1× · FCF yld 5% · op margin 14%  [negative equity]</t>
        </is>
      </c>
    </row>
    <row r="23" ht="30" customHeight="1">
      <c r="A23" s="13" t="n">
        <v>19</v>
      </c>
      <c r="B23" s="6" t="inlineStr">
        <is>
          <t>WEN</t>
        </is>
      </c>
      <c r="C23" s="14" t="inlineStr">
        <is>
          <t>Wendy's Co</t>
        </is>
      </c>
      <c r="D23" s="14" t="inlineStr">
        <is>
          <t>P/B 10.66 · 10.3× EBITDA · debt 291% · 52w 17%</t>
        </is>
      </c>
      <c r="E23" s="14" t="n">
        <v>69</v>
      </c>
      <c r="F23" s="27" t="n">
        <v>24</v>
      </c>
      <c r="G23" s="14" t="inlineStr">
        <is>
          <t>NEW HIRE</t>
        </is>
      </c>
      <c r="H23" s="14" t="inlineStr">
        <is>
          <t>Robert D. Wright</t>
        </is>
      </c>
      <c r="I23" s="14" t="inlineStr">
        <is>
          <t>President and Chief Ex</t>
        </is>
      </c>
      <c r="J23" s="14" t="inlineStr">
        <is>
          <t>2026-05-20</t>
        </is>
      </c>
      <c r="K23" s="27" t="n">
        <v>0</v>
      </c>
      <c r="L23" s="13" t="n">
        <v>3.1</v>
      </c>
      <c r="M23" s="27" t="n">
        <v>8</v>
      </c>
      <c r="N23" s="27" t="n">
        <v>0</v>
      </c>
      <c r="O23" s="14" t="inlineStr">
        <is>
          <t>Wright previously served as the Company’s Executive Vice President, Chief Operations Officer from December 2018 until May 2019, a role that he also previously held from December 2014 to May 2016. Wright also served as the Company’s Executive Vice President, Ch</t>
        </is>
      </c>
      <c r="P23" s="14" t="inlineStr">
        <is>
          <t>P/B 10.66 · EV/EBITDA 10.3× · FCF yld 21% · net debt 291% of mcap · rev -1% · op margin 13%</t>
        </is>
      </c>
    </row>
    <row r="24" ht="30" customHeight="1">
      <c r="A24" s="15" t="n">
        <v>20</v>
      </c>
      <c r="B24" s="8" t="inlineStr">
        <is>
          <t>ALIT</t>
        </is>
      </c>
      <c r="C24" s="16" t="inlineStr">
        <is>
          <t>Alight, Inc. / Delaware</t>
        </is>
      </c>
      <c r="D24" s="16" t="inlineStr">
        <is>
          <t>P/B 0.33 · debt 542% · 52w 6%</t>
        </is>
      </c>
      <c r="E24" s="16" t="n">
        <v>69</v>
      </c>
      <c r="F24" s="28" t="n">
        <v>24</v>
      </c>
      <c r="G24" s="16" t="inlineStr">
        <is>
          <t>DEPARTURE</t>
        </is>
      </c>
      <c r="H24" s="16" t="inlineStr">
        <is>
          <t>–</t>
        </is>
      </c>
      <c r="I24" s="16" t="inlineStr">
        <is>
          <t>–</t>
        </is>
      </c>
      <c r="J24" s="16" t="inlineStr">
        <is>
          <t>2026-08-04</t>
        </is>
      </c>
      <c r="K24" s="16" t="inlineStr">
        <is>
          <t>–</t>
        </is>
      </c>
      <c r="L24" s="15" t="n">
        <v>30</v>
      </c>
      <c r="M24" s="28" t="n">
        <v>53</v>
      </c>
      <c r="N24" s="28" t="n">
        <v>0</v>
      </c>
      <c r="O24" s="16" t="inlineStr">
        <is>
          <t>Modification of Equity Awards Effective August 3, 2026, the Compensation Committee (the “Committee”) of the Board of Directors of the Company approved the modification of performance-vesting restricted stock units issued to certain of the Company’s named execu</t>
        </is>
      </c>
      <c r="P24" s="16" t="inlineStr">
        <is>
          <t>P/B 0.33 · P/S 0.1 · FCF yld 75% · net debt 542% of mcap · rev -3% · op margin 44%</t>
        </is>
      </c>
    </row>
    <row r="25" ht="30" customHeight="1">
      <c r="A25" s="13" t="n">
        <v>21</v>
      </c>
      <c r="B25" s="6" t="inlineStr">
        <is>
          <t>KD</t>
        </is>
      </c>
      <c r="C25" s="14" t="inlineStr">
        <is>
          <t>Kyndryl Holdings, Inc.</t>
        </is>
      </c>
      <c r="D25" s="14" t="inlineStr">
        <is>
          <t>P/B 2.28 · 2.4× EBITDA · debt 151% · 52w 10%</t>
        </is>
      </c>
      <c r="E25" s="14" t="n">
        <v>65</v>
      </c>
      <c r="F25" s="27" t="n">
        <v>21</v>
      </c>
      <c r="G25" s="14" t="inlineStr">
        <is>
          <t>NEW HIRE</t>
        </is>
      </c>
      <c r="H25" s="14" t="inlineStr">
        <is>
          <t>Ellen Johnson</t>
        </is>
      </c>
      <c r="I25" s="14" t="inlineStr">
        <is>
          <t>Chief Financial Office</t>
        </is>
      </c>
      <c r="J25" s="14" t="inlineStr">
        <is>
          <t>2026-07-06</t>
        </is>
      </c>
      <c r="K25" s="27" t="n">
        <v>1000</v>
      </c>
      <c r="L25" s="13" t="n">
        <v>4.5</v>
      </c>
      <c r="M25" s="27" t="n">
        <v>15</v>
      </c>
      <c r="N25" s="27" t="n">
        <v>0</v>
      </c>
      <c r="O25" s="14" t="inlineStr">
        <is>
          <t>Johnson, 60, previously served from 2020 to 2025 as executive vice president and chief financial officer of Interpublic Group of Companies, Inc. Johnson also recently served as an advisor in residence for the EY Center for Executive Leadership, an executive le</t>
        </is>
      </c>
      <c r="P25" s="14" t="inlineStr">
        <is>
          <t>P/B 2.28 · EV/EBITDA 2.4× · FCF yld 6% · net debt 151% of mcap · rev -1% · op margin 3%</t>
        </is>
      </c>
    </row>
    <row r="26" ht="30" customHeight="1">
      <c r="A26" s="15" t="n">
        <v>22</v>
      </c>
      <c r="B26" s="8" t="inlineStr">
        <is>
          <t>XPOF</t>
        </is>
      </c>
      <c r="C26" s="16" t="inlineStr">
        <is>
          <t>Xponential Fitness, Inc.</t>
        </is>
      </c>
      <c r="D26" s="16" t="inlineStr">
        <is>
          <t>121.6× EBITDA · 52w 3%</t>
        </is>
      </c>
      <c r="E26" s="16" t="n">
        <v>65</v>
      </c>
      <c r="F26" s="28" t="n">
        <v>21</v>
      </c>
      <c r="G26" s="16" t="inlineStr">
        <is>
          <t>NEW HIRE</t>
        </is>
      </c>
      <c r="H26" s="16" t="inlineStr">
        <is>
          <t>Jennifer Ryu</t>
        </is>
      </c>
      <c r="I26" s="16" t="inlineStr">
        <is>
          <t>Chief Financial Office</t>
        </is>
      </c>
      <c r="J26" s="16" t="inlineStr">
        <is>
          <t>2026-09-08</t>
        </is>
      </c>
      <c r="K26" s="28" t="n">
        <v>550</v>
      </c>
      <c r="L26" s="15" t="n">
        <v>1.7</v>
      </c>
      <c r="M26" s="28" t="n">
        <v>15</v>
      </c>
      <c r="N26" s="28" t="n">
        <v>0</v>
      </c>
      <c r="O26" s="16" t="inlineStr">
        <is>
          <t>Ryu succeeds Robert Julian, who has served as interim Chief Financial Officer of the Company since March 2026. Ryu served as the Chief Accounting Officer of Young’s Holdings, a holding company for wine and spirits sales and marketing companies.</t>
        </is>
      </c>
      <c r="P26" s="16" t="inlineStr">
        <is>
          <t>EV/EBITDA 121.6× · FCF yld -6% · rev -9% · op margin 22% · diluting 20%/yr  [negative equity]</t>
        </is>
      </c>
    </row>
    <row r="27" ht="30" customHeight="1">
      <c r="A27" s="13" t="n">
        <v>23</v>
      </c>
      <c r="B27" s="6" t="inlineStr">
        <is>
          <t>CW</t>
        </is>
      </c>
      <c r="C27" s="14" t="inlineStr">
        <is>
          <t>CURTISS WRIGHT CORP</t>
        </is>
      </c>
      <c r="D27" s="14" t="inlineStr">
        <is>
          <t>P/B 7.33 · 25.2× EBITDA · debt 3% · 52w 16%</t>
        </is>
      </c>
      <c r="E27" s="14" t="n">
        <v>62</v>
      </c>
      <c r="F27" s="27" t="n">
        <v>20</v>
      </c>
      <c r="G27" s="14" t="inlineStr">
        <is>
          <t>NEW HIRE</t>
        </is>
      </c>
      <c r="H27" s="14" t="inlineStr">
        <is>
          <t>Kevin M. Rayment</t>
        </is>
      </c>
      <c r="I27" s="14" t="inlineStr">
        <is>
          <t>President and Chief Ex</t>
        </is>
      </c>
      <c r="J27" s="14" t="inlineStr">
        <is>
          <t>2026-09-22</t>
        </is>
      </c>
      <c r="K27" s="27" t="n">
        <v>1100</v>
      </c>
      <c r="L27" s="13" t="n">
        <v>5.2</v>
      </c>
      <c r="M27" s="27" t="n">
        <v>8</v>
      </c>
      <c r="N27" s="27" t="n">
        <v>0</v>
      </c>
      <c r="O27" s="14" t="inlineStr">
        <is>
          <t>Rayment has served as the Company’s Executive Vice President since January 2026 and Chief Operating Officer since April 2021, during which time he has played an instrumental role in leading the Company through a period of strong financial performance.</t>
        </is>
      </c>
      <c r="P27" s="14" t="inlineStr">
        <is>
          <t>P/B 7.33 · EV/EBITDA 25.2× · FCF yld 3% · net debt 3% of mcap · rev +11% · op margin 19%</t>
        </is>
      </c>
    </row>
    <row r="28" ht="30" customHeight="1">
      <c r="A28" s="15" t="n">
        <v>24</v>
      </c>
      <c r="B28" s="8" t="inlineStr">
        <is>
          <t>AIOT</t>
        </is>
      </c>
      <c r="C28" s="16" t="inlineStr">
        <is>
          <t>Powerfleet, Inc.</t>
        </is>
      </c>
      <c r="D28" s="16" t="inlineStr">
        <is>
          <t>P/B 0.81 · 10.2× EBITDA · debt 65% · 52w 5%</t>
        </is>
      </c>
      <c r="E28" s="16" t="n">
        <v>60</v>
      </c>
      <c r="F28" s="28" t="n">
        <v>18</v>
      </c>
      <c r="G28" s="16" t="inlineStr">
        <is>
          <t>NEW HIRE</t>
        </is>
      </c>
      <c r="H28" s="16" t="inlineStr">
        <is>
          <t>Paul Lalljie</t>
        </is>
      </c>
      <c r="I28" s="16" t="inlineStr">
        <is>
          <t>President and Chief Fi</t>
        </is>
      </c>
      <c r="J28" s="16" t="inlineStr">
        <is>
          <t>2026-08-11</t>
        </is>
      </c>
      <c r="K28" s="28" t="n">
        <v>475</v>
      </c>
      <c r="L28" s="16" t="inlineStr">
        <is>
          <t>–</t>
        </is>
      </c>
      <c r="M28" s="28" t="n">
        <v>18</v>
      </c>
      <c r="N28" s="28" t="n">
        <v>0</v>
      </c>
      <c r="O28" s="16" t="inlineStr">
        <is>
          <t>Lalljie, 53, previously served at 2U, Inc.</t>
        </is>
      </c>
      <c r="P28" s="16" t="inlineStr">
        <is>
          <t>P/B 0.81 · EV/EBITDA 10.2× · FCF yld 2% · net debt 65% of mcap · rev +93% · op margin 5% · diluting 25%/yr · interest cover 0.8× ⚠</t>
        </is>
      </c>
    </row>
    <row r="29" ht="30" customHeight="1">
      <c r="A29" s="13" t="n">
        <v>25</v>
      </c>
      <c r="B29" s="6" t="inlineStr">
        <is>
          <t>CRTO</t>
        </is>
      </c>
      <c r="C29" s="14" t="inlineStr">
        <is>
          <t>Criteo S.A.</t>
        </is>
      </c>
      <c r="D29" s="14" t="inlineStr">
        <is>
          <t>P/B 0.75 · 2.9× EBITDA · cash 16% · 52w 12%</t>
        </is>
      </c>
      <c r="E29" s="14" t="n">
        <v>60</v>
      </c>
      <c r="F29" s="27" t="n">
        <v>18</v>
      </c>
      <c r="G29" s="14" t="inlineStr">
        <is>
          <t>NEW HIRE</t>
        </is>
      </c>
      <c r="H29" s="14" t="inlineStr">
        <is>
          <t>Connor McGogney</t>
        </is>
      </c>
      <c r="I29" s="14" t="inlineStr">
        <is>
          <t>Chief Financial Office</t>
        </is>
      </c>
      <c r="J29" s="14" t="inlineStr">
        <is>
          <t>2026-08-05</t>
        </is>
      </c>
      <c r="K29" s="27" t="n">
        <v>515</v>
      </c>
      <c r="L29" s="13" t="n">
        <v>0.5</v>
      </c>
      <c r="M29" s="27" t="n">
        <v>18</v>
      </c>
      <c r="N29" s="27" t="n">
        <v>0</v>
      </c>
      <c r="O29" s="14" t="inlineStr">
        <is>
          <t>Prior to joining Criteo, Mr.</t>
        </is>
      </c>
      <c r="P29" s="14" t="inlineStr">
        <is>
          <t>P/B 0.75 · EV/EBITDA 2.9× · FCF yld 21% · net cash 16% of mcap · rev -4% · op margin 8% · buying back 8%/yr</t>
        </is>
      </c>
    </row>
    <row r="30" ht="30" customHeight="1">
      <c r="A30" s="15" t="n">
        <v>26</v>
      </c>
      <c r="B30" s="8" t="inlineStr">
        <is>
          <t>ANGI</t>
        </is>
      </c>
      <c r="C30" s="16" t="inlineStr">
        <is>
          <t>Angi Inc.</t>
        </is>
      </c>
      <c r="D30" s="16" t="inlineStr">
        <is>
          <t>P/B 0.31 · debt 97% · 52w 9%</t>
        </is>
      </c>
      <c r="E30" s="16" t="n">
        <v>54</v>
      </c>
      <c r="F30" s="28" t="n">
        <v>16</v>
      </c>
      <c r="G30" s="16" t="inlineStr">
        <is>
          <t>PAY AMENDMENT</t>
        </is>
      </c>
      <c r="H30" s="16" t="inlineStr">
        <is>
          <t>–</t>
        </is>
      </c>
      <c r="I30" s="16" t="inlineStr">
        <is>
          <t>–</t>
        </is>
      </c>
      <c r="J30" s="16" t="inlineStr">
        <is>
          <t>2026-09-23</t>
        </is>
      </c>
      <c r="K30" s="28" t="n">
        <v>0</v>
      </c>
      <c r="L30" s="15" t="n">
        <v>0</v>
      </c>
      <c r="M30" s="28" t="n">
        <v>33</v>
      </c>
      <c r="N30" s="28" t="n">
        <v>0</v>
      </c>
      <c r="O30" s="16" t="inlineStr">
        <is>
          <t>On September 22, 2026, Angi Inc. (“ Angi ” or the “ Company ”) announced that Jeffrey W. Kip ceased to serve as Chief Executive Officer of the Company and as a member of the board of directors of the Company (the “ Board ”), effective as of September 22, 2026</t>
        </is>
      </c>
      <c r="P30" s="16" t="inlineStr">
        <is>
          <t>P/B 0.31 · P/S 0.2 · FCF yld -3% · net debt 97% of mcap · rev -9% · op margin -19% · buying back 18%/yr · interest cover -9.2× ⚠</t>
        </is>
      </c>
    </row>
    <row r="31" ht="30" customHeight="1">
      <c r="A31" s="13" t="n">
        <v>27</v>
      </c>
      <c r="B31" s="6" t="inlineStr">
        <is>
          <t>KMPB</t>
        </is>
      </c>
      <c r="C31" s="14" t="inlineStr">
        <is>
          <t>KEMPER Corp</t>
        </is>
      </c>
      <c r="D31" s="14" t="inlineStr">
        <is>
          <t>P/B 0.79 · 52w 96%</t>
        </is>
      </c>
      <c r="E31" s="14" t="n">
        <v>54</v>
      </c>
      <c r="F31" s="27" t="n">
        <v>16</v>
      </c>
      <c r="G31" s="14" t="inlineStr">
        <is>
          <t>NEW HIRE</t>
        </is>
      </c>
      <c r="H31" s="14" t="inlineStr">
        <is>
          <t>Stephen J. McAnena</t>
        </is>
      </c>
      <c r="I31" s="14" t="inlineStr">
        <is>
          <t>President and Chief Ex</t>
        </is>
      </c>
      <c r="J31" s="14" t="inlineStr">
        <is>
          <t>2026-05-27</t>
        </is>
      </c>
      <c r="K31" s="27" t="n">
        <v>1000</v>
      </c>
      <c r="L31" s="13" t="n">
        <v>3.5</v>
      </c>
      <c r="M31" s="27" t="n">
        <v>10</v>
      </c>
      <c r="N31" s="27" t="n">
        <v>0</v>
      </c>
      <c r="O31" s="14" t="inlineStr">
        <is>
          <t>McAnena, 54, previously served as an Executive Advisor with MediaAlpha, Inc. Prior to joining Horace Mann, Mr.</t>
        </is>
      </c>
      <c r="P31" s="14" t="inlineStr">
        <is>
          <t>P/B 0.79 · ROE -19% · div yld 5.0% · buying back 9%/yr (financial: book/earnings basis)</t>
        </is>
      </c>
    </row>
    <row r="32" ht="30" customHeight="1">
      <c r="A32" s="15" t="n">
        <v>28</v>
      </c>
      <c r="B32" s="8" t="inlineStr">
        <is>
          <t>BBY</t>
        </is>
      </c>
      <c r="C32" s="16" t="inlineStr">
        <is>
          <t>BEST BUY CO INC</t>
        </is>
      </c>
      <c r="D32" s="16" t="inlineStr">
        <is>
          <t>P/B 7.43 · 8.1× EBITDA · debt 14% · 52w 93%</t>
        </is>
      </c>
      <c r="E32" s="16" t="n">
        <v>54</v>
      </c>
      <c r="F32" s="28" t="n">
        <v>16</v>
      </c>
      <c r="G32" s="16" t="inlineStr">
        <is>
          <t>NEW HIRE</t>
        </is>
      </c>
      <c r="H32" s="16" t="inlineStr">
        <is>
          <t>Corie S. Barry (inte</t>
        </is>
      </c>
      <c r="I32" s="16" t="inlineStr">
        <is>
          <t>Interim CFO</t>
        </is>
      </c>
      <c r="J32" s="16" t="inlineStr">
        <is>
          <t>2026-08-03</t>
        </is>
      </c>
      <c r="K32" s="28" t="n">
        <v>950</v>
      </c>
      <c r="L32" s="15" t="n">
        <v>3.2</v>
      </c>
      <c r="M32" s="28" t="n">
        <v>10</v>
      </c>
      <c r="N32" s="28" t="n">
        <v>0</v>
      </c>
      <c r="O32" s="16" t="inlineStr">
        <is>
          <t>Barry previously served as the Company’s CFO between 2016 and 2019.</t>
        </is>
      </c>
      <c r="P32" s="16" t="inlineStr">
        <is>
          <t>P/B 7.43 · EV/EBITDA 8.1× · FCF yld 9% · net debt 14% of mcap · rev -2% · op margin 4% · buying back 2%/yr</t>
        </is>
      </c>
    </row>
    <row r="33" ht="30" customHeight="1">
      <c r="A33" s="13" t="n">
        <v>29</v>
      </c>
      <c r="B33" s="6" t="inlineStr">
        <is>
          <t>CMTL</t>
        </is>
      </c>
      <c r="C33" s="14" t="inlineStr">
        <is>
          <t>COMTECH TELECOMMUNICATIO</t>
        </is>
      </c>
      <c r="D33" s="14" t="inlineStr">
        <is>
          <t>P/B 0.16 · 5.7× EBITDA · debt 515% · 52w 1%</t>
        </is>
      </c>
      <c r="E33" s="14" t="n">
        <v>54</v>
      </c>
      <c r="F33" s="27" t="n">
        <v>16</v>
      </c>
      <c r="G33" s="14" t="inlineStr">
        <is>
          <t>DEPARTURE</t>
        </is>
      </c>
      <c r="H33" s="14" t="inlineStr">
        <is>
          <t>–</t>
        </is>
      </c>
      <c r="I33" s="14" t="inlineStr">
        <is>
          <t>–</t>
        </is>
      </c>
      <c r="J33" s="14" t="inlineStr">
        <is>
          <t>2026-06-15</t>
        </is>
      </c>
      <c r="K33" s="14" t="inlineStr">
        <is>
          <t>–</t>
        </is>
      </c>
      <c r="L33" s="14" t="inlineStr">
        <is>
          <t>–</t>
        </is>
      </c>
      <c r="M33" s="27" t="n">
        <v>53</v>
      </c>
      <c r="N33" s="27" t="n">
        <v>0</v>
      </c>
      <c r="O33" s="14" t="inlineStr">
        <is>
          <t>UNITED STATES SECURITIES AND EXCHANGE COMMISSION WASHINGTON, D.C. 20549 FORM 8-K CURRENT REPORT PURSUANT TO SECTION 13 OR 15(d) OF THE SECURITIES EXCHANGE ACT OF 1934 June 14, 2026 0-7928 Date of Report (Date of earliest event reported) Commission File Number</t>
        </is>
      </c>
      <c r="P33" s="14" t="inlineStr">
        <is>
          <t>P/B 0.16 · EV/EBITDA 5.7× · FCF yld 36% · net debt 515% of mcap · rev -4% · op margin 0% · interest cover 0.0× ⚠</t>
        </is>
      </c>
    </row>
    <row r="34" ht="30" customHeight="1">
      <c r="A34" s="15" t="n">
        <v>30</v>
      </c>
      <c r="B34" s="8" t="inlineStr">
        <is>
          <t>ZSQR</t>
        </is>
      </c>
      <c r="C34" s="16" t="inlineStr">
        <is>
          <t>Z Squared Inc.</t>
        </is>
      </c>
      <c r="D34" s="16" t="inlineStr">
        <is>
          <t>52w 5%</t>
        </is>
      </c>
      <c r="E34" s="16" t="n">
        <v>54</v>
      </c>
      <c r="F34" s="28" t="n">
        <v>16</v>
      </c>
      <c r="G34" s="16" t="inlineStr">
        <is>
          <t>DEPARTURE</t>
        </is>
      </c>
      <c r="H34" s="16" t="inlineStr">
        <is>
          <t>–</t>
        </is>
      </c>
      <c r="I34" s="16" t="inlineStr">
        <is>
          <t>–</t>
        </is>
      </c>
      <c r="J34" s="16" t="inlineStr">
        <is>
          <t>2026-04-30</t>
        </is>
      </c>
      <c r="K34" s="28" t="n">
        <v>300</v>
      </c>
      <c r="L34" s="15" t="n">
        <v>0.1</v>
      </c>
      <c r="M34" s="28" t="n">
        <v>53</v>
      </c>
      <c r="N34" s="28" t="n">
        <v>0</v>
      </c>
      <c r="O34" s="16" t="inlineStr">
        <is>
          <t>03 Amendments to Articles of Incorporation or Bylaws; Change in Fiscal Year Item 9.01 Financial Statements and Exhibits ii TABLE OF CONTENTS Item 2.01. Completion of Acquisition or Disposition of Assets 1 The Merger and Related Transactions 1 Description of Bu</t>
        </is>
      </c>
      <c r="P34" s="16" t="inlineStr">
        <is>
          <t>P/S 6.6 · FCF yld -22%  [market-cap/share data inconsistent; revenue not comparable YoY (fair-value / one-off income?)]</t>
        </is>
      </c>
    </row>
    <row r="35" ht="30" customHeight="1">
      <c r="A35" s="13" t="n">
        <v>31</v>
      </c>
      <c r="B35" s="6" t="inlineStr">
        <is>
          <t>BXBL</t>
        </is>
      </c>
      <c r="C35" s="14" t="inlineStr">
        <is>
          <t>BOXABL Inc.</t>
        </is>
      </c>
      <c r="D35" s="14" t="inlineStr">
        <is>
          <t>52w 8%</t>
        </is>
      </c>
      <c r="E35" s="14" t="n">
        <v>49</v>
      </c>
      <c r="F35" s="27" t="n">
        <v>15</v>
      </c>
      <c r="G35" s="14" t="inlineStr">
        <is>
          <t>DEPARTURE</t>
        </is>
      </c>
      <c r="H35" s="14" t="inlineStr">
        <is>
          <t>–</t>
        </is>
      </c>
      <c r="I35" s="14" t="inlineStr">
        <is>
          <t>Chief Financial Office</t>
        </is>
      </c>
      <c r="J35" s="14" t="inlineStr">
        <is>
          <t>2026-07-23</t>
        </is>
      </c>
      <c r="K35" s="14" t="inlineStr">
        <is>
          <t>–</t>
        </is>
      </c>
      <c r="L35" s="13" t="n">
        <v>920</v>
      </c>
      <c r="M35" s="27" t="n">
        <v>25</v>
      </c>
      <c r="N35" s="27" t="n">
        <v>0</v>
      </c>
      <c r="O35" s="14" t="inlineStr">
        <is>
          <t>The information set forth in the Introductory Note of this Current Report on Form 8-K and in the section entitled “Information about Directors and Executive Officers” in Item 2.01 of this Current Report on Form 8-K is incorporated by reference herein. Incentiv</t>
        </is>
      </c>
      <c r="P35" s="14" t="inlineStr"/>
    </row>
    <row r="36" ht="30" customHeight="1">
      <c r="A36" s="15" t="n">
        <v>32</v>
      </c>
      <c r="B36" s="8" t="inlineStr">
        <is>
          <t>STAA</t>
        </is>
      </c>
      <c r="C36" s="16" t="inlineStr">
        <is>
          <t>STAAR SURGICAL CO</t>
        </is>
      </c>
      <c r="D36" s="16" t="inlineStr">
        <is>
          <t>P/B 2.79 · 27.2× EBITDA · cash 14% · 52w 24%</t>
        </is>
      </c>
      <c r="E36" s="16" t="n">
        <v>42</v>
      </c>
      <c r="F36" s="28" t="n">
        <v>14</v>
      </c>
      <c r="G36" s="16" t="inlineStr">
        <is>
          <t>NEW HIRE</t>
        </is>
      </c>
      <c r="H36" s="16" t="inlineStr">
        <is>
          <t>Warren Foust</t>
        </is>
      </c>
      <c r="I36" s="16" t="inlineStr">
        <is>
          <t>President and Chief Ex</t>
        </is>
      </c>
      <c r="J36" s="16" t="inlineStr">
        <is>
          <t>2026-08-06</t>
        </is>
      </c>
      <c r="K36" s="28" t="n">
        <v>730</v>
      </c>
      <c r="L36" s="16" t="inlineStr">
        <is>
          <t>–</t>
        </is>
      </c>
      <c r="M36" s="28" t="n">
        <v>8</v>
      </c>
      <c r="N36" s="28" t="n">
        <v>0</v>
      </c>
      <c r="O36" s="16" t="inlineStr">
        <is>
          <t>Foust, age 50, joined STAAR in April 2023 as Chief Operating Officer (“COO”) and has served as Interim Co-CEO, President &amp; COO since February 2026, and as President and COO since March 2025. Prior to joining STAAR, Mr.</t>
        </is>
      </c>
      <c r="P36" s="16" t="inlineStr">
        <is>
          <t>P/B 2.79 · EV/EBITDA 27.2× · FCF yld -1% · net cash 14% of mcap · rev +51% · op margin 10% · diluting 4%/yr</t>
        </is>
      </c>
    </row>
    <row r="37" ht="30" customHeight="1">
      <c r="A37" s="13" t="n">
        <v>33</v>
      </c>
      <c r="B37" s="6" t="inlineStr">
        <is>
          <t>CYAB</t>
        </is>
      </c>
      <c r="C37" s="14" t="inlineStr">
        <is>
          <t>CYABRA, INC.</t>
        </is>
      </c>
      <c r="D37" s="14" t="inlineStr">
        <is>
          <t>52w 0%</t>
        </is>
      </c>
      <c r="E37" s="14" t="n">
        <v>42</v>
      </c>
      <c r="F37" s="27" t="n">
        <v>14</v>
      </c>
      <c r="G37" s="14" t="inlineStr">
        <is>
          <t>PAY AMENDMENT</t>
        </is>
      </c>
      <c r="H37" s="14" t="inlineStr">
        <is>
          <t>–</t>
        </is>
      </c>
      <c r="I37" s="14" t="inlineStr">
        <is>
          <t>–</t>
        </is>
      </c>
      <c r="J37" s="14" t="inlineStr">
        <is>
          <t>2026-03-31</t>
        </is>
      </c>
      <c r="K37" s="14" t="inlineStr">
        <is>
          <t>–</t>
        </is>
      </c>
      <c r="L37" s="13" t="n">
        <v>720</v>
      </c>
      <c r="M37" s="27" t="n">
        <v>25</v>
      </c>
      <c r="N37" s="27" t="n">
        <v>0</v>
      </c>
      <c r="O37" s="14" t="inlineStr">
        <is>
          <t>Further reference is made to the section of the Proxy Statement/Prospectus entitled “ Executive Officers and Directors of Cyabra and Executive Officers and Directors of the Combined Company ,” beginning on page 191 of the Proxy Statement/Prospectus, which is i</t>
        </is>
      </c>
      <c r="P37" s="14" t="inlineStr">
        <is>
          <t>P/S 0.8 · rev +30% · op margin -305%  [FCF yield &gt;100% (check)]</t>
        </is>
      </c>
    </row>
    <row r="38" ht="30" customHeight="1">
      <c r="A38" s="15" t="n">
        <v>34</v>
      </c>
      <c r="B38" s="8" t="inlineStr">
        <is>
          <t>ASTS</t>
        </is>
      </c>
      <c r="C38" s="16" t="inlineStr">
        <is>
          <t>AST SpaceMobile, Inc.</t>
        </is>
      </c>
      <c r="D38" s="16" t="inlineStr">
        <is>
          <t>P/B 13.34 · debt 3% · 52w 17%</t>
        </is>
      </c>
      <c r="E38" s="16" t="n">
        <v>42</v>
      </c>
      <c r="F38" s="28" t="n">
        <v>14</v>
      </c>
      <c r="G38" s="16" t="inlineStr">
        <is>
          <t>EQUITY AWARD</t>
        </is>
      </c>
      <c r="H38" s="16" t="inlineStr">
        <is>
          <t>–</t>
        </is>
      </c>
      <c r="I38" s="16" t="inlineStr">
        <is>
          <t>–</t>
        </is>
      </c>
      <c r="J38" s="16" t="inlineStr">
        <is>
          <t>2026-07-20</t>
        </is>
      </c>
      <c r="K38" s="16" t="inlineStr">
        <is>
          <t>–</t>
        </is>
      </c>
      <c r="L38" s="15" t="n">
        <v>150</v>
      </c>
      <c r="M38" s="28" t="n">
        <v>25</v>
      </c>
      <c r="N38" s="28" t="n">
        <v>0</v>
      </c>
      <c r="O38" s="16" t="inlineStr">
        <is>
          <t>UNITED STATES SECURITIES AND EXCHANGE COMMISSION Washington, D.C. 20549 FORM 8-K CURRENT REPORT Pursuant to Section 13 or 15(d) of the Securities Exchange Act of 1934 Date of Report (Date of earliest event reported): July 15, 2026 AST SpaceMobile, Inc. (Exact</t>
        </is>
      </c>
      <c r="P38" s="16" t="inlineStr">
        <is>
          <t>P/B 13.34 · P/S 213.7 · FCF yld -7% · net debt 3% of mcap · diluting 24%/yr  [revenue not comparable YoY (fair-value / one-off income?)]</t>
        </is>
      </c>
    </row>
    <row r="39" ht="30" customHeight="1">
      <c r="A39" s="13" t="n">
        <v>35</v>
      </c>
      <c r="B39" s="6" t="inlineStr">
        <is>
          <t>HIMS</t>
        </is>
      </c>
      <c r="C39" s="14" t="inlineStr">
        <is>
          <t>Hims &amp; Hers Health, Inc.</t>
        </is>
      </c>
      <c r="D39" s="14" t="inlineStr">
        <is>
          <t>P/B 20.35 · debt 11% · 52w 31%</t>
        </is>
      </c>
      <c r="E39" s="14" t="n">
        <v>42</v>
      </c>
      <c r="F39" s="27" t="n">
        <v>14</v>
      </c>
      <c r="G39" s="14" t="inlineStr">
        <is>
          <t>EQUITY AWARD</t>
        </is>
      </c>
      <c r="H39" s="14" t="inlineStr">
        <is>
          <t>–</t>
        </is>
      </c>
      <c r="I39" s="14" t="inlineStr">
        <is>
          <t>–</t>
        </is>
      </c>
      <c r="J39" s="14" t="inlineStr">
        <is>
          <t>2026-05-21</t>
        </is>
      </c>
      <c r="K39" s="14" t="inlineStr">
        <is>
          <t>–</t>
        </is>
      </c>
      <c r="L39" s="13" t="n">
        <v>52.5</v>
      </c>
      <c r="M39" s="27" t="n">
        <v>25</v>
      </c>
      <c r="N39" s="27" t="n">
        <v>0</v>
      </c>
      <c r="O39" s="14" t="inlineStr">
        <is>
          <t>UNITED STATES SECURITIES AND EXCHANGE COMMISSION Washington, D.C. 20549 FORM 8-K CURRENT REPORT Pursuant to Section 13 or 15(d) of the Securities Exchange Act of 1934 Date of Report (Date of earliest event reported): May 21, 2026 HIMS &amp; HERS HEALTH, INC. (Exac</t>
        </is>
      </c>
      <c r="P39" s="14" t="inlineStr">
        <is>
          <t>P/B 20.35 · P/S 2.5 · FCF yld 1% · net debt 11% of mcap · rev +28% · op margin -4% · buying back 10%/yr</t>
        </is>
      </c>
    </row>
    <row r="40" ht="30" customHeight="1">
      <c r="A40" s="15" t="n">
        <v>36</v>
      </c>
      <c r="B40" s="8" t="inlineStr">
        <is>
          <t>OMEX</t>
        </is>
      </c>
      <c r="C40" s="16" t="inlineStr">
        <is>
          <t>ODYSSEY MARINE EXPLORATI</t>
        </is>
      </c>
      <c r="D40" s="16" t="inlineStr">
        <is>
          <t>52w 4%</t>
        </is>
      </c>
      <c r="E40" s="16" t="n">
        <v>42</v>
      </c>
      <c r="F40" s="28" t="n">
        <v>14</v>
      </c>
      <c r="G40" s="16" t="inlineStr">
        <is>
          <t>DEPARTURE</t>
        </is>
      </c>
      <c r="H40" s="16" t="inlineStr">
        <is>
          <t>–</t>
        </is>
      </c>
      <c r="I40" s="16" t="inlineStr">
        <is>
          <t>–</t>
        </is>
      </c>
      <c r="J40" s="16" t="inlineStr">
        <is>
          <t>2026-04-08</t>
        </is>
      </c>
      <c r="K40" s="16" t="inlineStr">
        <is>
          <t>–</t>
        </is>
      </c>
      <c r="L40" s="15" t="n">
        <v>20</v>
      </c>
      <c r="M40" s="28" t="n">
        <v>25</v>
      </c>
      <c r="N40" s="28" t="n">
        <v>0</v>
      </c>
      <c r="O40" s="16" t="inlineStr">
        <is>
          <t>In connection with the execution and delivery of the Merger Agreement, Odyssey’s compensation committee approved the payment of certain transaction-related compensation to Mark D. Gordon and John D. Longley, Odyssey’s Chief Executive Officer and Chairman and C</t>
        </is>
      </c>
      <c r="P40" s="16" t="inlineStr">
        <is>
          <t>P/S 231.5 · rev -70% · diluting 91%/yr  [FCF yield &gt;100% (check)]</t>
        </is>
      </c>
    </row>
    <row r="41" ht="30" customHeight="1">
      <c r="A41" s="13" t="n">
        <v>37</v>
      </c>
      <c r="B41" s="6" t="inlineStr">
        <is>
          <t>DRCT</t>
        </is>
      </c>
      <c r="C41" s="14" t="inlineStr">
        <is>
          <t>Direct Digital Holdings,</t>
        </is>
      </c>
      <c r="D41" s="14" t="inlineStr">
        <is>
          <t>52w 0%</t>
        </is>
      </c>
      <c r="E41" s="14" t="n">
        <v>42</v>
      </c>
      <c r="F41" s="27" t="n">
        <v>14</v>
      </c>
      <c r="G41" s="14" t="inlineStr">
        <is>
          <t>OTHER 5.02</t>
        </is>
      </c>
      <c r="H41" s="14" t="inlineStr">
        <is>
          <t>–</t>
        </is>
      </c>
      <c r="I41" s="14" t="inlineStr">
        <is>
          <t>–</t>
        </is>
      </c>
      <c r="J41" s="14" t="inlineStr">
        <is>
          <t>2026-05-21</t>
        </is>
      </c>
      <c r="K41" s="14" t="inlineStr">
        <is>
          <t>–</t>
        </is>
      </c>
      <c r="L41" s="13" t="n">
        <v>215.6</v>
      </c>
      <c r="M41" s="27" t="n">
        <v>25</v>
      </c>
      <c r="N41" s="27" t="n">
        <v>0</v>
      </c>
      <c r="O41" s="14" t="inlineStr">
        <is>
          <t>UNITED STATES SECURITIES AND EXCHANGE COMMISSION Washington, D.C. 20549 FORM 8-K CURRENT REPORT PURSUANT TO SECTION 13 OR 15(D) OF THE SECURITIES EXCHANGE ACT OF 1934 Date of Report (Date of earliest event reported): May 15, 2026 Direct Digital Holdings, Inc.</t>
        </is>
      </c>
      <c r="P41" s="14" t="inlineStr">
        <is>
          <t>P/S 0.0 · rev -15% · op margin -47%  [negative equity; FCF yield &gt;100% (check)]</t>
        </is>
      </c>
    </row>
    <row r="42" ht="30" customHeight="1">
      <c r="A42" s="15" t="n">
        <v>38</v>
      </c>
      <c r="B42" s="8" t="inlineStr">
        <is>
          <t>SOC</t>
        </is>
      </c>
      <c r="C42" s="16" t="inlineStr">
        <is>
          <t>Sable Offshore Corp.</t>
        </is>
      </c>
      <c r="D42" s="16" t="inlineStr">
        <is>
          <t>P/B 2.08 · debt 115% · 52w 7%</t>
        </is>
      </c>
      <c r="E42" s="16" t="n">
        <v>42</v>
      </c>
      <c r="F42" s="28" t="n">
        <v>14</v>
      </c>
      <c r="G42" s="16" t="inlineStr">
        <is>
          <t>EQUITY AWARD</t>
        </is>
      </c>
      <c r="H42" s="16" t="inlineStr">
        <is>
          <t>–</t>
        </is>
      </c>
      <c r="I42" s="16" t="inlineStr">
        <is>
          <t>–</t>
        </is>
      </c>
      <c r="J42" s="16" t="inlineStr">
        <is>
          <t>2026-07-02</t>
        </is>
      </c>
      <c r="K42" s="16" t="inlineStr">
        <is>
          <t>–</t>
        </is>
      </c>
      <c r="L42" s="15" t="n">
        <v>45</v>
      </c>
      <c r="M42" s="28" t="n">
        <v>25</v>
      </c>
      <c r="N42" s="28" t="n">
        <v>0</v>
      </c>
      <c r="O42" s="16" t="inlineStr">
        <is>
          <t>UNITED STATES SECURITIES AND EXCHANGE COMMISSION Washington, D.C. 20549 ________________________ FORM 8-K _________________________ CURRENT REPORT PURSUANT TO SECTION 13 OR 15(D) OF THE SECURITIES EXCHANGE ACT OF 1934 Date of Report (Date of earliest event rep</t>
        </is>
      </c>
      <c r="P42" s="16" t="inlineStr">
        <is>
          <t>P/B 2.08 · P/S 5.7 · FCF yld -72% · net debt 115% of mcap · op margin -293% · diluting 68%/yr · interest cover -3.3× ⚠</t>
        </is>
      </c>
    </row>
    <row r="43" ht="30" customHeight="1">
      <c r="A43" s="13" t="n">
        <v>39</v>
      </c>
      <c r="B43" s="6" t="inlineStr">
        <is>
          <t>AMZE</t>
        </is>
      </c>
      <c r="C43" s="14" t="inlineStr">
        <is>
          <t>AMAZE HOLDINGS, INC.</t>
        </is>
      </c>
      <c r="D43" s="14" t="inlineStr">
        <is>
          <t>P/B 0.11 · debt 352% · 52w 0%</t>
        </is>
      </c>
      <c r="E43" s="14" t="n">
        <v>34</v>
      </c>
      <c r="F43" s="27" t="n">
        <v>13</v>
      </c>
      <c r="G43" s="14" t="inlineStr">
        <is>
          <t>OTHER 5.02</t>
        </is>
      </c>
      <c r="H43" s="14" t="inlineStr">
        <is>
          <t>–</t>
        </is>
      </c>
      <c r="I43" s="14" t="inlineStr">
        <is>
          <t>–</t>
        </is>
      </c>
      <c r="J43" s="14" t="inlineStr">
        <is>
          <t>2026-06-17</t>
        </is>
      </c>
      <c r="K43" s="14" t="inlineStr">
        <is>
          <t>–</t>
        </is>
      </c>
      <c r="L43" s="14" t="inlineStr">
        <is>
          <t>–</t>
        </is>
      </c>
      <c r="M43" s="27" t="n">
        <v>43</v>
      </c>
      <c r="N43" s="27" t="n">
        <v>0</v>
      </c>
      <c r="O43" s="14" t="inlineStr">
        <is>
          <t>UNITED STATES SECURITIES AND EXCHANGE COMMISSION Washington, D.C. 20549 FORM 8-K CURRENT REPORT Pursuant to Section 13 or 15(d) of the Securities Exchange Act of 1934 Date of Report (Date of earliest event reported): June 12, 2026 AMAZE HOLDINGS, INC. (Exact n</t>
        </is>
      </c>
      <c r="P43" s="14" t="inlineStr">
        <is>
          <t>P/B 0.11 · P/S 0.5 · net debt 352% of mcap · rev +102% · buying back 48%/yr · interest cover -24.2× ⚠  [FCF yield &gt;100% (check)]</t>
        </is>
      </c>
    </row>
    <row r="44" ht="30" customHeight="1">
      <c r="A44" s="15" t="n">
        <v>40</v>
      </c>
      <c r="B44" s="8" t="inlineStr">
        <is>
          <t>ALOY</t>
        </is>
      </c>
      <c r="C44" s="16" t="inlineStr">
        <is>
          <t>REALLOYS INC.</t>
        </is>
      </c>
      <c r="D44" s="16" t="inlineStr">
        <is>
          <t>P/B 3.11 · cash 21% · 52w 13%</t>
        </is>
      </c>
      <c r="E44" s="16" t="n">
        <v>34</v>
      </c>
      <c r="F44" s="28" t="n">
        <v>13</v>
      </c>
      <c r="G44" s="16" t="inlineStr">
        <is>
          <t>OTHER 5.02</t>
        </is>
      </c>
      <c r="H44" s="16" t="inlineStr">
        <is>
          <t>–</t>
        </is>
      </c>
      <c r="I44" s="16" t="inlineStr">
        <is>
          <t>–</t>
        </is>
      </c>
      <c r="J44" s="16" t="inlineStr">
        <is>
          <t>2026-05-12</t>
        </is>
      </c>
      <c r="K44" s="28" t="n">
        <v>0</v>
      </c>
      <c r="L44" s="15" t="n">
        <v>5</v>
      </c>
      <c r="M44" s="28" t="n">
        <v>15</v>
      </c>
      <c r="N44" s="28" t="n">
        <v>0</v>
      </c>
      <c r="O44" s="16" t="inlineStr">
        <is>
          <t>UNITED STATES SECURITIES AND EXCHANGE COMMISSION WASHINGTON, DC 20549 FORM 8-K/A (Amendment No. 1) CURRENT REPORT PURSUANT TO SECTION 13 OR 15(d) OF THE SECURITIES EXCHANGE ACT OF 1934 Date of report (Date of earliest event reported): February 25, 2026 REALLOY</t>
        </is>
      </c>
      <c r="P44" s="16" t="inlineStr">
        <is>
          <t>P/B 3.11 · P/S 209.2 · FCF yld -5% · net cash 21% of mcap · rev +62%</t>
        </is>
      </c>
    </row>
    <row r="45" ht="30" customHeight="1">
      <c r="A45" s="13" t="n">
        <v>41</v>
      </c>
      <c r="B45" s="6" t="inlineStr">
        <is>
          <t>SHOP</t>
        </is>
      </c>
      <c r="C45" s="14" t="inlineStr">
        <is>
          <t>SHOPIFY INC.</t>
        </is>
      </c>
      <c r="D45" s="14" t="inlineStr">
        <is>
          <t>P/B 14.64 · cash 3% · 52w 56%</t>
        </is>
      </c>
      <c r="E45" s="14" t="n">
        <v>34</v>
      </c>
      <c r="F45" s="27" t="n">
        <v>13</v>
      </c>
      <c r="G45" s="14" t="inlineStr">
        <is>
          <t>OTHER 5.02</t>
        </is>
      </c>
      <c r="H45" s="14" t="inlineStr">
        <is>
          <t>–</t>
        </is>
      </c>
      <c r="I45" s="14" t="inlineStr">
        <is>
          <t>–</t>
        </is>
      </c>
      <c r="J45" s="14" t="inlineStr">
        <is>
          <t>2026-05-08</t>
        </is>
      </c>
      <c r="K45" s="27" t="n">
        <v>0</v>
      </c>
      <c r="L45" s="13" t="n">
        <v>35</v>
      </c>
      <c r="M45" s="27" t="n">
        <v>0</v>
      </c>
      <c r="N45" s="27" t="n">
        <v>0</v>
      </c>
      <c r="O45" s="14" t="inlineStr">
        <is>
          <t>UNITED STATES SECURITIES AND EXCHANGE COMMISSION Washington, D.C. 20549 ________________________________________________ FORM 8-K ________________________________________________ CURRENT REPORT Pursuant to Section 13 or 15(d) of the Securities Exchange Act of</t>
        </is>
      </c>
      <c r="P45" s="14" t="inlineStr">
        <is>
          <t>P/B 14.64 · P/S 14.1 · FCF yld 1% · net cash 3% of mcap · rev +33% · op margin 14%</t>
        </is>
      </c>
    </row>
    <row r="46" ht="30" customHeight="1">
      <c r="A46" s="15" t="n">
        <v>42</v>
      </c>
      <c r="B46" s="8" t="inlineStr">
        <is>
          <t>DLB</t>
        </is>
      </c>
      <c r="C46" s="16" t="inlineStr">
        <is>
          <t>Dolby Laboratories, Inc.</t>
        </is>
      </c>
      <c r="D46" s="16" t="inlineStr">
        <is>
          <t>P/B 2.14 · 13.3× EBITDA · cash 11% · 52w 40%</t>
        </is>
      </c>
      <c r="E46" s="16" t="n">
        <v>29</v>
      </c>
      <c r="F46" s="28" t="n">
        <v>12</v>
      </c>
      <c r="G46" s="16" t="inlineStr">
        <is>
          <t>NEW HIRE</t>
        </is>
      </c>
      <c r="H46" s="16" t="inlineStr">
        <is>
          <t>Marc Whitten</t>
        </is>
      </c>
      <c r="I46" s="16" t="inlineStr">
        <is>
          <t>President and Chief Ex</t>
        </is>
      </c>
      <c r="J46" s="16" t="inlineStr">
        <is>
          <t>2026-08-27</t>
        </is>
      </c>
      <c r="K46" s="16" t="inlineStr">
        <is>
          <t>–</t>
        </is>
      </c>
      <c r="L46" s="15" t="n">
        <v>10</v>
      </c>
      <c r="M46" s="28" t="n">
        <v>0</v>
      </c>
      <c r="N46" s="28" t="n">
        <v>0</v>
      </c>
      <c r="O46" s="16" t="inlineStr">
        <is>
          <t>Whitten, 55, served as Vice President Robotics of Meta Platforms, Inc. Whitten served as the Vice President, Entertainment Devices and Services at Amazon.</t>
        </is>
      </c>
      <c r="P46" s="16" t="inlineStr">
        <is>
          <t>P/B 2.14 · EV/EBITDA 13.3× · FCF yld 6% · net cash 11% of mcap · rev +3% · op margin 18% · buying back 2%/yr</t>
        </is>
      </c>
    </row>
    <row r="47" ht="30" customHeight="1">
      <c r="A47" s="13" t="n">
        <v>43</v>
      </c>
      <c r="B47" s="6" t="inlineStr">
        <is>
          <t>ULS</t>
        </is>
      </c>
      <c r="C47" s="14" t="inlineStr">
        <is>
          <t>UL Solutions Inc.</t>
        </is>
      </c>
      <c r="D47" s="14" t="inlineStr">
        <is>
          <t>P/B 8.34 · 13.6× EBITDA · debt 1% · 52w 7%</t>
        </is>
      </c>
      <c r="E47" s="14" t="n">
        <v>29</v>
      </c>
      <c r="F47" s="27" t="n">
        <v>12</v>
      </c>
      <c r="G47" s="14" t="inlineStr">
        <is>
          <t>DEPARTURE</t>
        </is>
      </c>
      <c r="H47" s="14" t="inlineStr">
        <is>
          <t>–</t>
        </is>
      </c>
      <c r="I47" s="14" t="inlineStr">
        <is>
          <t>–</t>
        </is>
      </c>
      <c r="J47" s="14" t="inlineStr">
        <is>
          <t>2026-06-03</t>
        </is>
      </c>
      <c r="K47" s="14" t="inlineStr">
        <is>
          <t>–</t>
        </is>
      </c>
      <c r="L47" s="13" t="n">
        <v>20</v>
      </c>
      <c r="M47" s="27" t="n">
        <v>8</v>
      </c>
      <c r="N47" s="27" t="n">
        <v>0</v>
      </c>
      <c r="O47" s="14" t="inlineStr">
        <is>
          <t>Departure of Directors or Certain Officers; Election of Directors; Appointment of Certain Officers; Compensatory Arrangements of Certain Officers. On June 1, 2026, (the “Grant Date”), the Human Capital and Compensation Committee of the Board of Directors (the</t>
        </is>
      </c>
      <c r="P47" s="14" t="inlineStr">
        <is>
          <t>P/B 8.34 · EV/EBITDA 13.6× · FCF yld 3% · net debt 1% of mcap · rev +7% · op margin 18%</t>
        </is>
      </c>
    </row>
    <row r="48" ht="30" customHeight="1">
      <c r="A48" s="15" t="n">
        <v>44</v>
      </c>
      <c r="B48" s="8" t="inlineStr">
        <is>
          <t>CIK0002108121</t>
        </is>
      </c>
      <c r="C48" s="16" t="inlineStr">
        <is>
          <t>Ionetix Corp / DE /</t>
        </is>
      </c>
      <c r="D48" s="16" t="n"/>
      <c r="E48" s="16" t="n">
        <v>29</v>
      </c>
      <c r="F48" s="28" t="n">
        <v>12</v>
      </c>
      <c r="G48" s="16" t="inlineStr">
        <is>
          <t>DEPARTURE</t>
        </is>
      </c>
      <c r="H48" s="16" t="inlineStr">
        <is>
          <t>–</t>
        </is>
      </c>
      <c r="I48" s="16" t="inlineStr">
        <is>
          <t>–</t>
        </is>
      </c>
      <c r="J48" s="16" t="inlineStr">
        <is>
          <t>2026-04-16</t>
        </is>
      </c>
      <c r="K48" s="28" t="n">
        <v>423</v>
      </c>
      <c r="L48" s="15" t="n">
        <v>750</v>
      </c>
      <c r="M48" s="28" t="n">
        <v>10</v>
      </c>
      <c r="N48" s="28" t="n">
        <v>0</v>
      </c>
      <c r="O48" s="16" t="inlineStr">
        <is>
          <t>The information regarding departure and election of our directors and departure and appointment of our principal officers in connection with the Merger set forth in I tem 2.01, “ Completion of Acquisition or Disposition of Assets—The Merger and Related Transac</t>
        </is>
      </c>
      <c r="P48" s="16" t="n"/>
    </row>
    <row r="49" ht="30" customHeight="1">
      <c r="A49" s="13" t="n">
        <v>45</v>
      </c>
      <c r="B49" s="6" t="inlineStr">
        <is>
          <t>PCOR</t>
        </is>
      </c>
      <c r="C49" s="14" t="inlineStr">
        <is>
          <t>PROCORE TECHNOLOGIES, IN</t>
        </is>
      </c>
      <c r="D49" s="14" t="inlineStr">
        <is>
          <t>P/B 6.09 · 120.3× EBITDA · cash 8% · 52w 31%</t>
        </is>
      </c>
      <c r="E49" s="14" t="n">
        <v>22</v>
      </c>
      <c r="F49" s="27" t="n">
        <v>11</v>
      </c>
      <c r="G49" s="14" t="inlineStr">
        <is>
          <t>OTHER 5.02</t>
        </is>
      </c>
      <c r="H49" s="14" t="inlineStr">
        <is>
          <t>–</t>
        </is>
      </c>
      <c r="I49" s="14" t="inlineStr">
        <is>
          <t>–</t>
        </is>
      </c>
      <c r="J49" s="14" t="inlineStr">
        <is>
          <t>2026-08-06</t>
        </is>
      </c>
      <c r="K49" s="14" t="inlineStr">
        <is>
          <t>–</t>
        </is>
      </c>
      <c r="L49" s="13" t="n">
        <v>112.5</v>
      </c>
      <c r="M49" s="27" t="n">
        <v>18</v>
      </c>
      <c r="N49" s="27" t="n">
        <v>0</v>
      </c>
      <c r="O49" s="14" t="inlineStr">
        <is>
          <t>UNITED STATES SECURITIES AND EXCHANGE COMMISSION WASHINGTON, D.C. 20549 FORM 8-K CURRENT REPORT Pursuant to Section 13 or 15(d) of the Securities Exchange Act of 1934 Date of Report (Date of earliest event reported): August 3, 2026 Procore Technologies, Inc. (</t>
        </is>
      </c>
      <c r="P49" s="14" t="inlineStr">
        <is>
          <t>P/B 6.09 · EV/EBITDA 120.3× · FCF yld 4% · net cash 8% of mcap · rev +15% · op margin -4% · diluting 2%/yr</t>
        </is>
      </c>
    </row>
    <row r="50" ht="30" customHeight="1">
      <c r="A50" s="15" t="n">
        <v>46</v>
      </c>
      <c r="B50" s="8" t="inlineStr">
        <is>
          <t>MIRM</t>
        </is>
      </c>
      <c r="C50" s="16" t="inlineStr">
        <is>
          <t>Mirum Pharmaceuticals, I</t>
        </is>
      </c>
      <c r="D50" s="16" t="inlineStr">
        <is>
          <t>52w 39%</t>
        </is>
      </c>
      <c r="E50" s="16" t="n">
        <v>22</v>
      </c>
      <c r="F50" s="28" t="n">
        <v>11</v>
      </c>
      <c r="G50" s="16" t="inlineStr">
        <is>
          <t>OTHER 5.02</t>
        </is>
      </c>
      <c r="H50" s="16" t="inlineStr">
        <is>
          <t>–</t>
        </is>
      </c>
      <c r="I50" s="16" t="inlineStr">
        <is>
          <t>–</t>
        </is>
      </c>
      <c r="J50" s="16" t="inlineStr">
        <is>
          <t>2026-05-18</t>
        </is>
      </c>
      <c r="K50" s="16" t="inlineStr">
        <is>
          <t>–</t>
        </is>
      </c>
      <c r="L50" s="15" t="n">
        <v>90</v>
      </c>
      <c r="M50" s="28" t="n">
        <v>18</v>
      </c>
      <c r="N50" s="28" t="n">
        <v>0</v>
      </c>
      <c r="O50" s="16" t="inlineStr">
        <is>
          <t>UNITED STATES SECURITIES AND EXCHANGE COMMISSION WASHINGTON, D.C. 20549 FORM 8-K CURRENT REPORT Pursuant to Section 13 or 15(d) of the Securities Exchange Act of 1934 Date of Report (Date of earliest event reported): May 12, 2026 Mirum Pharmaceuticals, Inc. (E</t>
        </is>
      </c>
      <c r="P50" s="16" t="inlineStr">
        <is>
          <t>P/S 8.9 · FCF yld -8% · rev +44% · op margin -17% · diluting 27%/yr  [negative equity]</t>
        </is>
      </c>
    </row>
    <row r="51" ht="30" customHeight="1">
      <c r="A51" s="13" t="n">
        <v>47</v>
      </c>
      <c r="B51" s="6" t="inlineStr">
        <is>
          <t>PUMP</t>
        </is>
      </c>
      <c r="C51" s="14" t="inlineStr">
        <is>
          <t>ProPetro Holding Corp.</t>
        </is>
      </c>
      <c r="D51" s="14" t="inlineStr">
        <is>
          <t>P/B 1.30 · 7.6× EBITDA · debt 6% · 52w 39%</t>
        </is>
      </c>
      <c r="E51" s="14" t="n">
        <v>22</v>
      </c>
      <c r="F51" s="27" t="n">
        <v>11</v>
      </c>
      <c r="G51" s="14" t="inlineStr">
        <is>
          <t>OTHER 5.02</t>
        </is>
      </c>
      <c r="H51" s="14" t="inlineStr">
        <is>
          <t>–</t>
        </is>
      </c>
      <c r="I51" s="14" t="inlineStr">
        <is>
          <t>–</t>
        </is>
      </c>
      <c r="J51" s="14" t="inlineStr">
        <is>
          <t>2026-05-07</t>
        </is>
      </c>
      <c r="K51" s="14" t="inlineStr">
        <is>
          <t>–</t>
        </is>
      </c>
      <c r="L51" s="13" t="n">
        <v>90</v>
      </c>
      <c r="M51" s="27" t="n">
        <v>18</v>
      </c>
      <c r="N51" s="27" t="n">
        <v>0</v>
      </c>
      <c r="O51" s="14" t="inlineStr">
        <is>
          <t>UNITED STATES SECURITIES AND EXCHANGE COMMISSION WASHINGTON, D.C. 20549 FORM 8-K CURRENT REPORT PURSUANT TO SECTION 13 OR 15(D) OF THE SECURITIES EXCHANGE ACT OF 1934 Date of report (date of earliest event reported): May 4, 2026 ProPetro Holding Corp. (Exact n</t>
        </is>
      </c>
      <c r="P51" s="14" t="inlineStr">
        <is>
          <t>P/B 1.30 · EV/EBITDA 7.6× · FCF yld -2% · net debt 6% of mcap · rev -15% · op margin -1% · diluting 18%/yr</t>
        </is>
      </c>
    </row>
    <row r="52" ht="30" customHeight="1">
      <c r="A52" s="15" t="n">
        <v>48</v>
      </c>
      <c r="B52" s="8" t="inlineStr">
        <is>
          <t>LION</t>
        </is>
      </c>
      <c r="C52" s="16" t="inlineStr">
        <is>
          <t>Lionsgate Studios Corp.</t>
        </is>
      </c>
      <c r="D52" s="16" t="inlineStr">
        <is>
          <t>5.7× EBITDA · 52w 48%</t>
        </is>
      </c>
      <c r="E52" s="16" t="n">
        <v>22</v>
      </c>
      <c r="F52" s="28" t="n">
        <v>11</v>
      </c>
      <c r="G52" s="16" t="inlineStr">
        <is>
          <t>PAY AMENDMENT</t>
        </is>
      </c>
      <c r="H52" s="16" t="inlineStr">
        <is>
          <t>–</t>
        </is>
      </c>
      <c r="I52" s="16" t="inlineStr">
        <is>
          <t>–</t>
        </is>
      </c>
      <c r="J52" s="16" t="inlineStr">
        <is>
          <t>2026-04-15</t>
        </is>
      </c>
      <c r="K52" s="28" t="n">
        <v>1500</v>
      </c>
      <c r="L52" s="15" t="n">
        <v>11.1</v>
      </c>
      <c r="M52" s="28" t="n">
        <v>8</v>
      </c>
      <c r="N52" s="28" t="n">
        <v>0</v>
      </c>
      <c r="O52" s="16" t="inlineStr">
        <is>
          <t>(e) Compensatory Arrangements of Certain Officers. On April 13, 2026, the Compensation Committee (the “Committee”) of the Board of Directors of Lionsgate Studios Corp. (the “Company”) approved amendments to the Company’s employment agreement with Jon Feltheime</t>
        </is>
      </c>
      <c r="P52" s="16" t="inlineStr">
        <is>
          <t>EV/EBITDA 5.7× · FCF yld 3% · rev -8% · op margin 5% · diluting 7%/yr  [negative equity]</t>
        </is>
      </c>
    </row>
    <row r="53" ht="30" customHeight="1">
      <c r="A53" s="13" t="n">
        <v>49</v>
      </c>
      <c r="B53" s="6" t="inlineStr">
        <is>
          <t>SDEV</t>
        </is>
      </c>
      <c r="C53" s="14" t="inlineStr">
        <is>
          <t>Stablecoin Development C</t>
        </is>
      </c>
      <c r="D53" s="14" t="inlineStr">
        <is>
          <t>P/B 0.46 · cash 12% · 52w 26%</t>
        </is>
      </c>
      <c r="E53" s="14" t="n">
        <v>22</v>
      </c>
      <c r="F53" s="27" t="n">
        <v>11</v>
      </c>
      <c r="G53" s="14" t="inlineStr">
        <is>
          <t>DEPARTURE</t>
        </is>
      </c>
      <c r="H53" s="14" t="inlineStr">
        <is>
          <t>–</t>
        </is>
      </c>
      <c r="I53" s="14" t="inlineStr">
        <is>
          <t>–</t>
        </is>
      </c>
      <c r="J53" s="14" t="inlineStr">
        <is>
          <t>2026-04-01</t>
        </is>
      </c>
      <c r="K53" s="27" t="n">
        <v>200</v>
      </c>
      <c r="L53" s="14" t="inlineStr">
        <is>
          <t>–</t>
        </is>
      </c>
      <c r="M53" s="27" t="n">
        <v>36</v>
      </c>
      <c r="N53" s="27" t="n">
        <v>0</v>
      </c>
      <c r="O53" s="14" t="inlineStr">
        <is>
          <t>Departure of Directors or Certain Officers; Election of Directors; Appointment of Certain Officers; Compensatory Arrangements of Certain Officers. Equity Incentive Plan On January 29, 2026, the Board of Directors (the “Board”) of NovaBay Pharmaceuticals, Inc.</t>
        </is>
      </c>
      <c r="P53" s="14" t="inlineStr">
        <is>
          <t>P/B 0.46 · P/S 12.1 · FCF yld -21% · net cash 12% of mcap · op margin -141%  [dividend yield &gt;25% (special or bad data)]</t>
        </is>
      </c>
    </row>
    <row r="54" ht="30" customHeight="1">
      <c r="A54" s="15" t="n">
        <v>50</v>
      </c>
      <c r="B54" s="8" t="inlineStr">
        <is>
          <t>ARQ</t>
        </is>
      </c>
      <c r="C54" s="16" t="inlineStr">
        <is>
          <t>Arq, Inc.</t>
        </is>
      </c>
      <c r="D54" s="16" t="inlineStr">
        <is>
          <t>P/B 0.52 · debt 19% · 52w 8%</t>
        </is>
      </c>
      <c r="E54" s="16" t="n">
        <v>9</v>
      </c>
      <c r="F54" s="28" t="n">
        <v>10</v>
      </c>
      <c r="G54" s="16" t="inlineStr">
        <is>
          <t>DEPARTURE</t>
        </is>
      </c>
      <c r="H54" s="16" t="inlineStr">
        <is>
          <t>–</t>
        </is>
      </c>
      <c r="I54" s="16" t="inlineStr">
        <is>
          <t>–</t>
        </is>
      </c>
      <c r="J54" s="16" t="inlineStr">
        <is>
          <t>2026-08-28</t>
        </is>
      </c>
      <c r="K54" s="28" t="n">
        <v>350</v>
      </c>
      <c r="L54" s="16" t="inlineStr">
        <is>
          <t>–</t>
        </is>
      </c>
      <c r="M54" s="28" t="n">
        <v>35</v>
      </c>
      <c r="N54" s="28" t="n">
        <v>0</v>
      </c>
      <c r="O54" s="16" t="inlineStr">
        <is>
          <t>On August 24, 2026, the Board of Directors (the “Board”) of Arq, Inc. (the “Company”) appointed Peter Owino, 52, as the Company’s Chief Accounting Officer, effective September 1, 2026. Mr. Owino previously served as a consultant to the Company where he acted a</t>
        </is>
      </c>
      <c r="P54" s="16" t="inlineStr">
        <is>
          <t>P/B 0.52 · P/S 0.7 · FCF yld -6% · net debt 19% of mcap · rev +5% · op margin -7% · interest cover -7.1× ⚠</t>
        </is>
      </c>
    </row>
    <row r="55" ht="30" customHeight="1">
      <c r="A55" s="13" t="n">
        <v>51</v>
      </c>
      <c r="B55" s="6" t="inlineStr">
        <is>
          <t>BYND</t>
        </is>
      </c>
      <c r="C55" s="14" t="inlineStr">
        <is>
          <t>BEYOND MEAT, INC.</t>
        </is>
      </c>
      <c r="D55" s="14" t="inlineStr">
        <is>
          <t>P/B 3.00 · debt 139% · 52w 0%</t>
        </is>
      </c>
      <c r="E55" s="14" t="n">
        <v>9</v>
      </c>
      <c r="F55" s="27" t="n">
        <v>10</v>
      </c>
      <c r="G55" s="14" t="inlineStr">
        <is>
          <t>INDUCEMENT PLAN</t>
        </is>
      </c>
      <c r="H55" s="14" t="inlineStr">
        <is>
          <t>–</t>
        </is>
      </c>
      <c r="I55" s="14" t="inlineStr">
        <is>
          <t>–</t>
        </is>
      </c>
      <c r="J55" s="14" t="inlineStr">
        <is>
          <t>2026-04-02</t>
        </is>
      </c>
      <c r="K55" s="14" t="inlineStr">
        <is>
          <t>–</t>
        </is>
      </c>
      <c r="L55" s="14" t="inlineStr">
        <is>
          <t>–</t>
        </is>
      </c>
      <c r="M55" s="27" t="n">
        <v>35</v>
      </c>
      <c r="N55" s="27" t="n">
        <v>0</v>
      </c>
      <c r="O55" s="14" t="inlineStr">
        <is>
          <t>Effective as of March 30, 2026, the board of directors of the Company approved the Beyond Meat, Inc. 2026 Employment Inducement Equity Incentive Plan (the “Inducement Plan”). The terms of the Inducement Plan are substantially similar to the terms of the Compan</t>
        </is>
      </c>
      <c r="P55" s="14" t="inlineStr">
        <is>
          <t>P/B 3.00 · P/S 0.7 · FCF yld -73% · net debt 139% of mcap · rev -14% · op margin -83% · interest cover -8.8× ⚠  [P/E vs earnings-yield sign mismatch]</t>
        </is>
      </c>
    </row>
    <row r="56" ht="30" customHeight="1">
      <c r="A56" s="15" t="n">
        <v>52</v>
      </c>
      <c r="B56" s="8" t="inlineStr">
        <is>
          <t>BGS</t>
        </is>
      </c>
      <c r="C56" s="16" t="inlineStr">
        <is>
          <t>B&amp;G Foods, Inc.</t>
        </is>
      </c>
      <c r="D56" s="16" t="inlineStr">
        <is>
          <t>P/B 0.62 · 16.3× EBITDA · debt 811% · 52w 4%</t>
        </is>
      </c>
      <c r="E56" s="16" t="n">
        <v>9</v>
      </c>
      <c r="F56" s="28" t="n">
        <v>10</v>
      </c>
      <c r="G56" s="16" t="inlineStr">
        <is>
          <t>DEPARTURE</t>
        </is>
      </c>
      <c r="H56" s="16" t="inlineStr">
        <is>
          <t>–</t>
        </is>
      </c>
      <c r="I56" s="16" t="inlineStr">
        <is>
          <t>–</t>
        </is>
      </c>
      <c r="J56" s="16" t="inlineStr">
        <is>
          <t>2026-05-05</t>
        </is>
      </c>
      <c r="K56" s="28" t="n">
        <v>10</v>
      </c>
      <c r="L56" s="16" t="inlineStr">
        <is>
          <t>–</t>
        </is>
      </c>
      <c r="M56" s="28" t="n">
        <v>35</v>
      </c>
      <c r="N56" s="28" t="n">
        <v>0</v>
      </c>
      <c r="O56" s="16" t="inlineStr">
        <is>
          <t>Departure of Directors or Certain Officers; Election of Directors; Appointment of Certain Officers; Compensatory Arrangements of Certain Officers. Departure of Ellen M. Schum, Executive Vice President and President of Specialty and Interim President of Meals .</t>
        </is>
      </c>
      <c r="P56" s="16" t="inlineStr">
        <is>
          <t>P/B 0.62 · EV/EBITDA 16.3× · FCF yld 26% · net debt 811% of mcap · rev -5% · op margin 10% · interest cover 1.2× ⚠</t>
        </is>
      </c>
    </row>
    <row r="57" ht="30" customHeight="1">
      <c r="A57" s="13" t="n">
        <v>53</v>
      </c>
      <c r="B57" s="6" t="inlineStr">
        <is>
          <t>USAR</t>
        </is>
      </c>
      <c r="C57" s="14" t="inlineStr">
        <is>
          <t>USA Rare Earth, Inc.</t>
        </is>
      </c>
      <c r="D57" s="14" t="inlineStr">
        <is>
          <t>P/B 0.84 · cash 74% · 52w 14%</t>
        </is>
      </c>
      <c r="E57" s="14" t="n">
        <v>9</v>
      </c>
      <c r="F57" s="27" t="n">
        <v>10</v>
      </c>
      <c r="G57" s="14" t="inlineStr">
        <is>
          <t>DEPARTURE</t>
        </is>
      </c>
      <c r="H57" s="14" t="inlineStr">
        <is>
          <t>–</t>
        </is>
      </c>
      <c r="I57" s="14" t="inlineStr">
        <is>
          <t>Executive Chairman</t>
        </is>
      </c>
      <c r="J57" s="14" t="inlineStr">
        <is>
          <t>2026-07-20</t>
        </is>
      </c>
      <c r="K57" s="14" t="inlineStr">
        <is>
          <t>–</t>
        </is>
      </c>
      <c r="L57" s="13" t="n">
        <v>0.5</v>
      </c>
      <c r="M57" s="27" t="n">
        <v>35</v>
      </c>
      <c r="N57" s="27" t="n">
        <v>0</v>
      </c>
      <c r="O57" s="14" t="inlineStr">
        <is>
          <t>Chief Executive Officer Transition On July 19, 2026, USA Rare Earth, Inc. (“USAR” or the “Company”), announced that Barbara Humpton will retire as Chief Executive Officer and as a director of the Company, effective on October 1, 2026 (the “Separation Date”). I</t>
        </is>
      </c>
      <c r="P57" s="14" t="inlineStr">
        <is>
          <t>P/B 0.84 · P/S 161.9 · FCF yld -12% · net cash 74% of mcap  [new entity / merger: history not comparable]</t>
        </is>
      </c>
    </row>
    <row r="58" ht="30" customHeight="1">
      <c r="A58" s="15" t="n">
        <v>54</v>
      </c>
      <c r="B58" s="8" t="inlineStr">
        <is>
          <t>HRTX</t>
        </is>
      </c>
      <c r="C58" s="16" t="inlineStr">
        <is>
          <t>HERON THERAPEUTICS, INC.</t>
        </is>
      </c>
      <c r="D58" s="16" t="inlineStr">
        <is>
          <t>P/B 8.04 · debt 190% · 52w 3%</t>
        </is>
      </c>
      <c r="E58" s="16" t="n">
        <v>9</v>
      </c>
      <c r="F58" s="28" t="n">
        <v>10</v>
      </c>
      <c r="G58" s="16" t="inlineStr">
        <is>
          <t>PAY AMENDMENT</t>
        </is>
      </c>
      <c r="H58" s="16" t="inlineStr">
        <is>
          <t>–</t>
        </is>
      </c>
      <c r="I58" s="16" t="inlineStr">
        <is>
          <t>–</t>
        </is>
      </c>
      <c r="J58" s="16" t="inlineStr">
        <is>
          <t>2026-04-06</t>
        </is>
      </c>
      <c r="K58" s="16" t="inlineStr">
        <is>
          <t>–</t>
        </is>
      </c>
      <c r="L58" s="16" t="inlineStr">
        <is>
          <t>–</t>
        </is>
      </c>
      <c r="M58" s="28" t="n">
        <v>35</v>
      </c>
      <c r="N58" s="28" t="n">
        <v>0</v>
      </c>
      <c r="O58" s="16" t="inlineStr">
        <is>
          <t>Collard Amendment On April 3, 2026 (the “Collard Amendment Effective Date”), Heron Therapeutics, Inc. (the “Company”) and Craig Collard, the Company’s Chief Executive Officer, entered into an amendment and restatement (the “Collard Amendment”) of that certain</t>
        </is>
      </c>
      <c r="P58" s="16" t="inlineStr">
        <is>
          <t>P/B 8.04 · P/S 0.4 · FCF yld -22% · net debt 190% of mcap · rev +1% · op margin -7% · diluting 24%/yr · interest cover -2.8× ⚠</t>
        </is>
      </c>
    </row>
    <row r="59" ht="30" customHeight="1">
      <c r="A59" s="13" t="n">
        <v>55</v>
      </c>
      <c r="B59" s="6" t="inlineStr">
        <is>
          <t>ASPI</t>
        </is>
      </c>
      <c r="C59" s="14" t="inlineStr">
        <is>
          <t>ASP Isotopes Inc.</t>
        </is>
      </c>
      <c r="D59" s="14" t="inlineStr">
        <is>
          <t>P/B 1.47 · debt 4% · 52w 1%</t>
        </is>
      </c>
      <c r="E59" s="14" t="n">
        <v>9</v>
      </c>
      <c r="F59" s="27" t="n">
        <v>10</v>
      </c>
      <c r="G59" s="14" t="inlineStr">
        <is>
          <t>OTHER 5.02</t>
        </is>
      </c>
      <c r="H59" s="14" t="inlineStr">
        <is>
          <t>–</t>
        </is>
      </c>
      <c r="I59" s="14" t="inlineStr">
        <is>
          <t>–</t>
        </is>
      </c>
      <c r="J59" s="14" t="inlineStr">
        <is>
          <t>2026-06-25</t>
        </is>
      </c>
      <c r="K59" s="14" t="inlineStr">
        <is>
          <t>–</t>
        </is>
      </c>
      <c r="L59" s="14" t="inlineStr">
        <is>
          <t>–</t>
        </is>
      </c>
      <c r="M59" s="27" t="n">
        <v>35</v>
      </c>
      <c r="N59" s="27" t="n">
        <v>0</v>
      </c>
      <c r="O59" s="14" t="inlineStr">
        <is>
          <t>UNITED STATES SECURITIES AND EXCHANGE COMMISSION WASHINGTON, D.C. 20549 __________________________ FORM 8-K __________________________ CURRENT REPORT Pursuant to Section 13 or 15(d) of the Securities Exchange Act of 1934 Date of Report (Date of earliest event</t>
        </is>
      </c>
      <c r="P59" s="14" t="inlineStr">
        <is>
          <t>P/B 1.47 · P/S 12.4 · FCF yld -22% · net debt 4% of mcap · op margin -312% · diluting 68%/yr  [revenue not comparable YoY (fair-value / one-off income?)]</t>
        </is>
      </c>
    </row>
    <row r="60" ht="30" customHeight="1">
      <c r="A60" s="15" t="n">
        <v>56</v>
      </c>
      <c r="B60" s="8" t="inlineStr">
        <is>
          <t>GOSS</t>
        </is>
      </c>
      <c r="C60" s="16" t="inlineStr">
        <is>
          <t>Gossamer Bio, Inc.</t>
        </is>
      </c>
      <c r="D60" s="16" t="inlineStr">
        <is>
          <t>52w 1%</t>
        </is>
      </c>
      <c r="E60" s="16" t="n">
        <v>9</v>
      </c>
      <c r="F60" s="28" t="n">
        <v>10</v>
      </c>
      <c r="G60" s="16" t="inlineStr">
        <is>
          <t>DEPARTURE</t>
        </is>
      </c>
      <c r="H60" s="16" t="inlineStr">
        <is>
          <t>–</t>
        </is>
      </c>
      <c r="I60" s="16" t="inlineStr">
        <is>
          <t>–</t>
        </is>
      </c>
      <c r="J60" s="16" t="inlineStr">
        <is>
          <t>2026-06-05</t>
        </is>
      </c>
      <c r="K60" s="16" t="inlineStr">
        <is>
          <t>–</t>
        </is>
      </c>
      <c r="L60" s="16" t="inlineStr">
        <is>
          <t>–</t>
        </is>
      </c>
      <c r="M60" s="28" t="n">
        <v>35</v>
      </c>
      <c r="N60" s="28" t="n">
        <v>0</v>
      </c>
      <c r="O60" s="16" t="inlineStr">
        <is>
          <t>UNITED STATES SECURITIES AND EXCHANGE COMMISSION WASHINGTON, D.C. 20549 FORM 8-K CURRENT REPORT Pursuant to Section 13 or 15(d) of the Securities Exchange Act of 1934 Date of Report (Date of earliest event reported): June 3, 2026 GOSSAMER BIO, INC. (Exact name</t>
        </is>
      </c>
      <c r="P60" s="16" t="inlineStr">
        <is>
          <t>P/S 1.2 · rev +32% · op margin -312% · diluting 45%/yr  [negative equity; FCF yield &gt;100% (check)]</t>
        </is>
      </c>
    </row>
    <row r="61" ht="30" customHeight="1">
      <c r="A61" s="13" t="n">
        <v>57</v>
      </c>
      <c r="B61" s="6" t="inlineStr">
        <is>
          <t>NINE</t>
        </is>
      </c>
      <c r="C61" s="14" t="inlineStr">
        <is>
          <t>Nine Energy Service, Inc</t>
        </is>
      </c>
      <c r="D61" s="14" t="inlineStr">
        <is>
          <t>P/B 0.98 · 1.6× EBITDA · debt 87% · 52w 31%</t>
        </is>
      </c>
      <c r="E61" s="14" t="n">
        <v>9</v>
      </c>
      <c r="F61" s="27" t="n">
        <v>10</v>
      </c>
      <c r="G61" s="14" t="inlineStr">
        <is>
          <t>DEPARTURE</t>
        </is>
      </c>
      <c r="H61" s="14" t="inlineStr">
        <is>
          <t>–</t>
        </is>
      </c>
      <c r="I61" s="14" t="inlineStr">
        <is>
          <t>–</t>
        </is>
      </c>
      <c r="J61" s="14" t="inlineStr">
        <is>
          <t>2026-05-15</t>
        </is>
      </c>
      <c r="K61" s="14" t="inlineStr">
        <is>
          <t>–</t>
        </is>
      </c>
      <c r="L61" s="13" t="n">
        <v>0.9</v>
      </c>
      <c r="M61" s="27" t="n">
        <v>28</v>
      </c>
      <c r="N61" s="27" t="n">
        <v>0</v>
      </c>
      <c r="O61" s="14" t="inlineStr">
        <is>
          <t>Adoption of 2026 Long-Term Incentive Plan On May 11, 2026, the Board of Directors (the “Board”) of Nine Energy Service, Inc. (the “Company”) approved, based on the recommendations of the Nominating, Governance and Compensation Committee (the “Committee”), the</t>
        </is>
      </c>
      <c r="P61" s="14" t="inlineStr">
        <is>
          <t>P/B 0.98 · EV/EBITDA 1.6× · FCF yld -34% · net debt 87% of mcap · op margin -3% · interest cover -0.5× ⚠</t>
        </is>
      </c>
    </row>
    <row r="62" ht="30" customHeight="1">
      <c r="A62" s="15" t="n">
        <v>58</v>
      </c>
      <c r="B62" s="8" t="inlineStr">
        <is>
          <t>OGN</t>
        </is>
      </c>
      <c r="C62" s="16" t="inlineStr">
        <is>
          <t>Organon &amp; Co.</t>
        </is>
      </c>
      <c r="D62" s="16" t="inlineStr">
        <is>
          <t>P/B 3.58 · 8.4× EBITDA · debt 206% · 52w 99%</t>
        </is>
      </c>
      <c r="E62" s="16" t="n">
        <v>9</v>
      </c>
      <c r="F62" s="28" t="n">
        <v>10</v>
      </c>
      <c r="G62" s="16" t="inlineStr">
        <is>
          <t>NEW HIRE</t>
        </is>
      </c>
      <c r="H62" s="16" t="inlineStr">
        <is>
          <t>Joseph Morrissey (in</t>
        </is>
      </c>
      <c r="I62" s="16" t="inlineStr">
        <is>
          <t>Interim Chief Executiv</t>
        </is>
      </c>
      <c r="J62" s="16" t="inlineStr">
        <is>
          <t>2026-04-27</t>
        </is>
      </c>
      <c r="K62" s="16" t="inlineStr">
        <is>
          <t>–</t>
        </is>
      </c>
      <c r="L62" s="16" t="inlineStr">
        <is>
          <t>–</t>
        </is>
      </c>
      <c r="M62" s="28" t="n">
        <v>10</v>
      </c>
      <c r="N62" s="28" t="n">
        <v>0</v>
      </c>
      <c r="O62" s="16" t="inlineStr">
        <is>
          <t>Departure of Directors or Certain Officers; Election of Directors; Appointment of Certain Officers; Compensatory Arrangements of Certain Officers. Appointment of Chief Executive Officer As previously disclosed in a Current Report on Form 8-K filed by the Compa</t>
        </is>
      </c>
      <c r="P62" s="16" t="inlineStr">
        <is>
          <t>P/B 3.58 · EV/EBITDA 8.4× · FCF yld 14% · net debt 206% of mcap · rev -2% · op margin 19% · diluting 4%/yr</t>
        </is>
      </c>
    </row>
    <row r="63" ht="30" customHeight="1">
      <c r="A63" s="13" t="n">
        <v>59</v>
      </c>
      <c r="B63" s="6" t="inlineStr">
        <is>
          <t>BZFDW</t>
        </is>
      </c>
      <c r="C63" s="14" t="inlineStr">
        <is>
          <t>BuzzFeed, Inc.</t>
        </is>
      </c>
      <c r="D63" s="14" t="inlineStr">
        <is>
          <t>52w 0%</t>
        </is>
      </c>
      <c r="E63" s="14" t="n">
        <v>9</v>
      </c>
      <c r="F63" s="27" t="n">
        <v>10</v>
      </c>
      <c r="G63" s="14" t="inlineStr">
        <is>
          <t>NEW HIRE</t>
        </is>
      </c>
      <c r="H63" s="14" t="inlineStr">
        <is>
          <t>Byron Allen</t>
        </is>
      </c>
      <c r="I63" s="14" t="inlineStr">
        <is>
          <t>Chief Executive Office</t>
        </is>
      </c>
      <c r="J63" s="14" t="inlineStr">
        <is>
          <t>2026-05-11</t>
        </is>
      </c>
      <c r="K63" s="14" t="inlineStr">
        <is>
          <t>–</t>
        </is>
      </c>
      <c r="L63" s="14" t="inlineStr">
        <is>
          <t>–</t>
        </is>
      </c>
      <c r="M63" s="27" t="n">
        <v>10</v>
      </c>
      <c r="N63" s="27" t="n">
        <v>0</v>
      </c>
      <c r="O63" s="14" t="inlineStr">
        <is>
          <t>Allen, age 65, has served as Founder, Chairman, and Chief Executive Officer of Allen Media Group, a global media, content production, and distribution company with operations spanning television broadcasting, streaming, digital media, and film distribution. Ma</t>
        </is>
      </c>
      <c r="P63" s="14" t="inlineStr">
        <is>
          <t>P/S 0.2 · FCF yld -51% · rev -5% · op margin -14% · diluting 45%/yr  [market-cap/share data inconsistent]</t>
        </is>
      </c>
    </row>
    <row r="64" ht="30" customHeight="1">
      <c r="A64" s="15" t="n">
        <v>60</v>
      </c>
      <c r="B64" s="8" t="inlineStr">
        <is>
          <t>CLVT</t>
        </is>
      </c>
      <c r="C64" s="16" t="inlineStr">
        <is>
          <t>CLARIVATE PLC</t>
        </is>
      </c>
      <c r="D64" s="16" t="inlineStr">
        <is>
          <t>P/B 0.27 · 10.9× EBITDA · debt 332% · 52w 10%</t>
        </is>
      </c>
      <c r="E64" s="16" t="n">
        <v>9</v>
      </c>
      <c r="F64" s="28" t="n">
        <v>10</v>
      </c>
      <c r="G64" s="16" t="inlineStr">
        <is>
          <t>DEPARTURE</t>
        </is>
      </c>
      <c r="H64" s="16" t="inlineStr">
        <is>
          <t>–</t>
        </is>
      </c>
      <c r="I64" s="16" t="inlineStr">
        <is>
          <t>–</t>
        </is>
      </c>
      <c r="J64" s="16" t="inlineStr">
        <is>
          <t>2026-07-06</t>
        </is>
      </c>
      <c r="K64" s="16" t="inlineStr">
        <is>
          <t>–</t>
        </is>
      </c>
      <c r="L64" s="16" t="inlineStr">
        <is>
          <t>–</t>
        </is>
      </c>
      <c r="M64" s="28" t="n">
        <v>33</v>
      </c>
      <c r="N64" s="28" t="n">
        <v>0</v>
      </c>
      <c r="O64" s="16" t="inlineStr">
        <is>
          <t>Departure of Directors or Certain Officers; Election of Directors; Appointment of Certain Officers; Compensatory Arrangements of Certain Officers. On July 3, 2026, a subsidiary of Clarivate entered into a retention agreement with Henry Levy, Clarivate’s Presid</t>
        </is>
      </c>
      <c r="P64" s="16" t="inlineStr">
        <is>
          <t>P/B 0.27 · EV/EBITDA 10.9× · FCF yld 28% · net debt 332% of mcap · rev -3% · op margin -4% · buying back 6%/yr · interest cover -0.3× ⚠</t>
        </is>
      </c>
    </row>
    <row r="65"/>
    <row r="66" ht="28" customHeight="1">
      <c r="A66" s="17" t="inlineStr">
        <is>
          <t>400 recent 8-K Item 5.02 filings; 42 are genuine appointments (NEW HIRE / PROMOTION: person and role parsed from the filing). The rest are pay amendments, inducement-plan approvals, departures or equity awards -- listed for completeness but scored at 30% because they are not the turnaround-talent pattern. Filing text is fetched from EDGAR (edgar_doc.py).</t>
        </is>
      </c>
    </row>
    <row r="67" ht="28" customHeight="1">
      <c r="A67" s="17" t="inlineStr">
        <is>
          <t>Greenblatt's Bollenbach test: 'It didn't make sense that the man responsible for successfully saving a sinking ship -- by figuring out a way to throw all that troubled real estate and burdensome debt overboard -- should voluntarily jump the now secured ship into a sinking lifeboat.' Distress + heavy equity grant + known turnaround talent (curated dictionary match with role-proximity) = strong asymmetric signal. Source: turnaround_signal.csv (built from 8-K Item 5.02 appointments).</t>
        </is>
      </c>
    </row>
  </sheetData>
  <mergeCells count="4">
    <mergeCell ref="A1:O1"/>
    <mergeCell ref="A67:O67"/>
    <mergeCell ref="A2:O2"/>
    <mergeCell ref="A66:O66"/>
  </mergeCells>
  <conditionalFormatting sqref="E5:E67">
    <cfRule type="dataBar" priority="1">
      <dataBar showValue="1">
        <cfvo type="num" val="0"/>
        <cfvo type="num" val="100"/>
        <color rgb="009DB9D3"/>
      </dataBar>
    </cfRule>
  </conditionalFormatting>
  <hyperlinks>
    <hyperlink xmlns:r="http://schemas.openxmlformats.org/officeDocument/2006/relationships" ref="B9" r:id="rId1"/>
    <hyperlink xmlns:r="http://schemas.openxmlformats.org/officeDocument/2006/relationships" ref="B10" r:id="rId2"/>
    <hyperlink xmlns:r="http://schemas.openxmlformats.org/officeDocument/2006/relationships" ref="B33" r:id="rId3"/>
    <hyperlink xmlns:r="http://schemas.openxmlformats.org/officeDocument/2006/relationships" ref="B56" r:id="rId4"/>
    <hyperlink xmlns:r="http://schemas.openxmlformats.org/officeDocument/2006/relationships" ref="B57" r:id="rId5"/>
    <hyperlink xmlns:r="http://schemas.openxmlformats.org/officeDocument/2006/relationships" ref="B59" r:id="rId6"/>
  </hyperlinks>
  <printOptions horizontalCentered="0"/>
  <pageMargins left="0.5" right="0.5" top="0.6" bottom="0.6" header="0.5" footer="0.5"/>
  <pageSetup orientation="landscape" fitToHeight="0" fitToWidth="1"/>
</worksheet>
</file>

<file path=xl/worksheets/sheet18.xml><?xml version="1.0" encoding="utf-8"?>
<worksheet xmlns="http://schemas.openxmlformats.org/spreadsheetml/2006/main">
  <sheetPr>
    <tabColor rgb="002E75B6"/>
    <outlinePr summaryBelow="1" summaryRight="1"/>
    <pageSetUpPr fitToPage="1"/>
  </sheetPr>
  <dimension ref="A1:O86"/>
  <sheetViews>
    <sheetView showGridLines="0" workbookViewId="0">
      <pane ySplit="4" topLeftCell="A5" activePane="bottomLeft" state="frozen"/>
      <selection pane="bottomLeft" activeCell="A1" sqref="A1"/>
    </sheetView>
  </sheetViews>
  <sheetFormatPr baseColWidth="8" defaultRowHeight="15"/>
  <cols>
    <col width="9" customWidth="1" min="1" max="1"/>
    <col width="20" customWidth="1" min="2" max="2"/>
    <col width="30" customWidth="1" min="3" max="3"/>
    <col width="9" customWidth="1" min="4" max="4"/>
    <col width="48" customWidth="1" min="5" max="5"/>
    <col width="13" customWidth="1" min="6" max="6"/>
    <col width="7" customWidth="1" min="7" max="7"/>
    <col width="7" customWidth="1" min="8" max="8"/>
    <col width="6" customWidth="1" min="9" max="9"/>
    <col width="6" customWidth="1" min="10" max="10"/>
    <col width="6" customWidth="1" min="11" max="11"/>
    <col width="8" customWidth="1" min="12" max="12"/>
    <col width="22" customWidth="1" min="13" max="13"/>
    <col width="58" customWidth="1" min="14" max="14"/>
    <col width="62" customWidth="1" min="15" max="15"/>
  </cols>
  <sheetData>
    <row r="1" ht="26" customHeight="1">
      <c r="A1" s="1" t="inlineStr">
        <is>
          <t>Call Intent — management is telling you it will act</t>
        </is>
      </c>
    </row>
    <row r="2" ht="18" customHeight="1">
      <c r="A2" s="20" t="inlineStr">
        <is>
          <t>Earnings-call transcripts parsed clause by clause: who is acting, how committed the verb is (done › will › expect › evaluating › may), negation, specificity ($, timelines), new vs routine programmes, analyst pressure and evasive answers — and whether the language is NEW vs the company's own prior three calls. Ranked by a model fitted to what companies actually did next (buybacks, dividend step-ups, action 8-Ks).</t>
        </is>
      </c>
      <c r="B2" s="19" t="n"/>
      <c r="C2" s="19" t="n"/>
      <c r="D2" s="19" t="n"/>
      <c r="E2" s="19" t="n"/>
      <c r="F2" s="19" t="n"/>
      <c r="G2" s="19" t="n"/>
      <c r="H2" s="19" t="n"/>
      <c r="I2" s="19" t="n"/>
      <c r="J2" s="19" t="n"/>
      <c r="K2" s="19" t="n"/>
      <c r="L2" s="19" t="n"/>
      <c r="M2" s="19" t="n"/>
      <c r="N2" s="19" t="n"/>
    </row>
    <row r="3" ht="8" customHeight="1">
      <c r="D3" s="34" t="inlineStr">
        <is>
          <t>%ile vs all 2,190 names scored</t>
        </is>
      </c>
    </row>
    <row r="4" ht="18" customHeight="1">
      <c r="A4" s="12" t="inlineStr">
        <is>
          <t>Ticker</t>
        </is>
      </c>
      <c r="B4" s="12" t="inlineStr">
        <is>
          <t>Name</t>
        </is>
      </c>
      <c r="C4" s="12" t="inlineStr">
        <is>
          <t>Key numbers (FMP)</t>
        </is>
      </c>
      <c r="D4" s="12" t="inlineStr">
        <is>
          <t>Strength %ile</t>
        </is>
      </c>
      <c r="E4" s="12" t="inlineStr">
        <is>
          <t>PSU plan (grade)</t>
        </is>
      </c>
      <c r="F4" s="4" t="inlineStr">
        <is>
          <t>Tier</t>
        </is>
      </c>
      <c r="G4" s="4" t="inlineStr">
        <is>
          <t>Act prob</t>
        </is>
      </c>
      <c r="H4" s="4" t="inlineStr">
        <is>
          <t>P/B</t>
        </is>
      </c>
      <c r="I4" s="4" t="inlineStr">
        <is>
          <t>Novelty</t>
        </is>
      </c>
      <c r="J4" s="4" t="inlineStr">
        <is>
          <t>Size</t>
        </is>
      </c>
      <c r="K4" s="4" t="inlineStr">
        <is>
          <t>CEO+CFO</t>
        </is>
      </c>
      <c r="L4" s="4" t="inlineStr">
        <is>
          <t>Call</t>
        </is>
      </c>
      <c r="M4" s="4" t="inlineStr">
        <is>
          <t>New / strongest families</t>
        </is>
      </c>
      <c r="N4" s="4" t="inlineStr">
        <is>
          <t>Evidence (management, verbatim)</t>
        </is>
      </c>
      <c r="O4" s="4" t="inlineStr">
        <is>
          <t>FMP financial read</t>
        </is>
      </c>
    </row>
    <row r="5" ht="30" customHeight="1">
      <c r="A5" s="6" t="inlineStr">
        <is>
          <t>ZD</t>
        </is>
      </c>
      <c r="B5" s="14" t="inlineStr">
        <is>
          <t>Ziff Davis, Inc.</t>
        </is>
      </c>
      <c r="C5" s="14" t="inlineStr">
        <is>
          <t>P/B 0.94 · 6.2× EBITDA · cash 35% · 52w 91%</t>
        </is>
      </c>
      <c r="D5" s="14" t="n">
        <v>100</v>
      </c>
      <c r="E5" s="14" t="n"/>
      <c r="F5" s="14" t="inlineStr">
        <is>
          <t>ACT SIGNALLED</t>
        </is>
      </c>
      <c r="G5" s="27" t="n">
        <v>0.91</v>
      </c>
      <c r="H5" s="27" t="n">
        <v>0.9399999999999999</v>
      </c>
      <c r="I5" s="27" t="n">
        <v>0.8</v>
      </c>
      <c r="J5" s="27" t="n">
        <v>35</v>
      </c>
      <c r="K5" s="14" t="inlineStr">
        <is>
          <t>–</t>
        </is>
      </c>
      <c r="L5" s="14" t="inlineStr">
        <is>
          <t>2026-08-07</t>
        </is>
      </c>
      <c r="M5" s="14" t="inlineStr">
        <is>
          <t>buyback, monetize, dividend_return</t>
        </is>
      </c>
      <c r="N5" s="14" t="inlineStr">
        <is>
          <t>[buyback] “Since July 1, 2026, we have repurchased 700,000 additional shares in the open market.”</t>
        </is>
      </c>
      <c r="O5" s="14" t="inlineStr">
        <is>
          <t>P/B 0.94 · EV/EBITDA 6.2× · FCF yld 15% · net cash 35% of mcap · rev -8% · op margin 6% · buying back 17%/yr</t>
        </is>
      </c>
    </row>
    <row r="6" ht="30" customHeight="1">
      <c r="A6" s="8" t="inlineStr">
        <is>
          <t>GAME</t>
        </is>
      </c>
      <c r="B6" s="16" t="inlineStr">
        <is>
          <t>GameSquare Holdings,</t>
        </is>
      </c>
      <c r="C6" s="16" t="inlineStr">
        <is>
          <t>P/B 4.17 · debt 22% · 52w 26%</t>
        </is>
      </c>
      <c r="D6" s="16" t="n">
        <v>100</v>
      </c>
      <c r="E6" s="16" t="n"/>
      <c r="F6" s="16" t="inlineStr">
        <is>
          <t>ACT SIGNALLED</t>
        </is>
      </c>
      <c r="G6" s="28" t="n">
        <v>0.8</v>
      </c>
      <c r="H6" s="28" t="n">
        <v>4.17</v>
      </c>
      <c r="I6" s="28" t="n">
        <v>0</v>
      </c>
      <c r="J6" s="28" t="n">
        <v>50</v>
      </c>
      <c r="K6" s="16" t="inlineStr">
        <is>
          <t>–</t>
        </is>
      </c>
      <c r="L6" s="16" t="inlineStr">
        <is>
          <t>2026-08-10</t>
        </is>
      </c>
      <c r="M6" s="16" t="inlineStr">
        <is>
          <t>buyback, value_gap, anticipation</t>
        </is>
      </c>
      <c r="N6" s="16" t="inlineStr">
        <is>
          <t>[buyback] “Since the beginning of our repurchase program, we have repurchased more than 8.8 million shares for approximately $4.1 million, including 2.8 million shares during the second quart”</t>
        </is>
      </c>
      <c r="O6" s="16" t="inlineStr">
        <is>
          <t>P/B 4.17 · P/S 0.6 · net debt 22% of mcap · op margin -12% · interest cover -27.3× ⚠  [FCF yield &gt;100% (check); new entity / merger: history not comparable]</t>
        </is>
      </c>
    </row>
    <row r="7" ht="30" customHeight="1">
      <c r="A7" s="6" t="inlineStr">
        <is>
          <t>NVGS</t>
        </is>
      </c>
      <c r="B7" s="14" t="inlineStr">
        <is>
          <t>Navigator Holdings L</t>
        </is>
      </c>
      <c r="C7" s="14" t="inlineStr">
        <is>
          <t>P/B 1.14 · 6.2× EBITDA · debt 46% · 52w 77%</t>
        </is>
      </c>
      <c r="D7" s="14" t="n">
        <v>100</v>
      </c>
      <c r="E7" s="14" t="n"/>
      <c r="F7" s="14" t="inlineStr">
        <is>
          <t>ACT SIGNALLED</t>
        </is>
      </c>
      <c r="G7" s="27" t="n">
        <v>0.8</v>
      </c>
      <c r="H7" s="27" t="n">
        <v>1.14</v>
      </c>
      <c r="I7" s="27" t="n">
        <v>0.8</v>
      </c>
      <c r="J7" s="27" t="n">
        <v>26</v>
      </c>
      <c r="K7" s="14" t="inlineStr">
        <is>
          <t>✓</t>
        </is>
      </c>
      <c r="L7" s="14" t="inlineStr">
        <is>
          <t>2026-08-05</t>
        </is>
      </c>
      <c r="M7" s="14" t="inlineStr">
        <is>
          <t>buyback, dividend_return, anticipation</t>
        </is>
      </c>
      <c r="N7" s="14" t="inlineStr">
        <is>
          <t>[buyback] “In respect to the first quarter of 2026, we returned 30% of net income attributable to stockholders, comprising $6.3 million of share buybacks and $4.3 million of cash dividend, re”</t>
        </is>
      </c>
      <c r="O7" s="14" t="inlineStr">
        <is>
          <t>P/B 1.14 · EV/EBITDA 6.2× · FCF yld 9% · net debt 46% of mcap · rev +8% · op margin 28% · buying back 10%/yr</t>
        </is>
      </c>
    </row>
    <row r="8" ht="30" customHeight="1">
      <c r="A8" s="8" t="inlineStr">
        <is>
          <t>JOYY</t>
        </is>
      </c>
      <c r="B8" s="16" t="inlineStr">
        <is>
          <t>JOYY, Inc. Sponsored</t>
        </is>
      </c>
      <c r="C8" s="16" t="inlineStr">
        <is>
          <t>P/B 0.64 · 24.2× EBITDA · cash 32% · 52w 96%</t>
        </is>
      </c>
      <c r="D8" s="16" t="n">
        <v>100</v>
      </c>
      <c r="E8" s="16" t="n"/>
      <c r="F8" s="16" t="inlineStr">
        <is>
          <t>ACT SIGNALLED</t>
        </is>
      </c>
      <c r="G8" s="28" t="n">
        <v>0.77</v>
      </c>
      <c r="H8" s="28" t="n">
        <v>0.64</v>
      </c>
      <c r="I8" s="28" t="n">
        <v>0</v>
      </c>
      <c r="J8" s="28" t="n">
        <v>50</v>
      </c>
      <c r="K8" s="16" t="inlineStr">
        <is>
          <t>–</t>
        </is>
      </c>
      <c r="L8" s="16" t="inlineStr">
        <is>
          <t>2026-08-25</t>
        </is>
      </c>
      <c r="M8" s="16" t="inlineStr">
        <is>
          <t>buyback, value_gap, monetize</t>
        </is>
      </c>
      <c r="N8" s="16" t="inlineStr">
        <is>
          <t>[buyback] “We have repurchased a cumulative total of $216 million, maintaining an accelerated buyback pace.”</t>
        </is>
      </c>
      <c r="O8" s="16" t="inlineStr">
        <is>
          <t>P/B 0.64 · EV/EBITDA 24.2× · FCF yld 0% · net cash 32% of mcap · rev +8% · op margin 3% · buying back 4%/yr</t>
        </is>
      </c>
    </row>
    <row r="9" ht="30" customHeight="1">
      <c r="A9" s="6" t="inlineStr">
        <is>
          <t>NEXN</t>
        </is>
      </c>
      <c r="B9" s="14" t="inlineStr">
        <is>
          <t>Nexxen International</t>
        </is>
      </c>
      <c r="C9" s="14" t="inlineStr">
        <is>
          <t>P/B 1.02 · 4.3× EBITDA · cash 20% · 52w 54%</t>
        </is>
      </c>
      <c r="D9" s="14" t="n">
        <v>100</v>
      </c>
      <c r="E9" s="14" t="n"/>
      <c r="F9" s="14" t="inlineStr">
        <is>
          <t>ACT SIGNALLED</t>
        </is>
      </c>
      <c r="G9" s="27" t="n">
        <v>0.76</v>
      </c>
      <c r="H9" s="27" t="n">
        <v>1.02</v>
      </c>
      <c r="I9" s="27" t="n">
        <v>0</v>
      </c>
      <c r="J9" s="27" t="n">
        <v>50</v>
      </c>
      <c r="K9" s="14" t="inlineStr">
        <is>
          <t>✓</t>
        </is>
      </c>
      <c r="L9" s="14" t="inlineStr">
        <is>
          <t>2026-05-13</t>
        </is>
      </c>
      <c r="M9" s="14" t="inlineStr">
        <is>
          <t>buyback, monetize, anticipation</t>
        </is>
      </c>
      <c r="N9" s="14" t="inlineStr">
        <is>
          <t>[buyback] “On capital allocation, we repurchased roughly 1.1 million shares in Q1, investing approximately $7.2 million.”</t>
        </is>
      </c>
      <c r="O9" s="14" t="inlineStr">
        <is>
          <t>P/B 1.02 · EV/EBITDA 4.3× · FCF yld 18% · net cash 20% of mcap · rev +3% · op margin 5% · buying back 2%/yr</t>
        </is>
      </c>
    </row>
    <row r="10" ht="30" customHeight="1">
      <c r="A10" s="8" t="inlineStr">
        <is>
          <t>MRETF</t>
        </is>
      </c>
      <c r="B10" s="16" t="inlineStr">
        <is>
          <t>–</t>
        </is>
      </c>
      <c r="C10" s="16" t="inlineStr">
        <is>
          <t>P/B 0.46 · 3.2× EBITDA · debt 141% · 52w 44%</t>
        </is>
      </c>
      <c r="D10" s="16" t="n">
        <v>100</v>
      </c>
      <c r="E10" s="16" t="n"/>
      <c r="F10" s="16" t="inlineStr">
        <is>
          <t>ACT SIGNALLED</t>
        </is>
      </c>
      <c r="G10" s="28" t="n">
        <v>0.75</v>
      </c>
      <c r="H10" s="16" t="inlineStr">
        <is>
          <t>–</t>
        </is>
      </c>
      <c r="I10" s="28" t="n">
        <v>4.6</v>
      </c>
      <c r="J10" s="28" t="n">
        <v>10</v>
      </c>
      <c r="K10" s="16" t="inlineStr">
        <is>
          <t>–</t>
        </is>
      </c>
      <c r="L10" s="16" t="inlineStr">
        <is>
          <t>2026-08-04</t>
        </is>
      </c>
      <c r="M10" s="16" t="inlineStr">
        <is>
          <t>NEW monetize, buyback, dividend_return,</t>
        </is>
      </c>
      <c r="N10" s="16" t="inlineStr">
        <is>
          <t>[monetize] “As Pat noted, we sold a majority stake in our fluids plant in China during the quarter, further reducing our presence in the region, and we are exploring other potential divestitur”</t>
        </is>
      </c>
      <c r="O10" s="16" t="inlineStr">
        <is>
          <t>P/B 0.46 · EV/EBITDA 3.2× · FCF yld 22% · net debt 141% of mcap · rev -3% · op margin 5% · buying back 3%/yr</t>
        </is>
      </c>
    </row>
    <row r="11" ht="30" customHeight="1">
      <c r="A11" s="6" t="inlineStr">
        <is>
          <t>CNMD</t>
        </is>
      </c>
      <c r="B11" s="14" t="inlineStr">
        <is>
          <t>CONMED Corporation</t>
        </is>
      </c>
      <c r="C11" s="14" t="inlineStr">
        <is>
          <t>P/B 1.31 · 12.1× EBITDA · debt 58% · 52w 64%</t>
        </is>
      </c>
      <c r="D11" s="14" t="n">
        <v>100</v>
      </c>
      <c r="E11" s="14" t="n"/>
      <c r="F11" s="14" t="inlineStr">
        <is>
          <t>ACT SIGNALLED</t>
        </is>
      </c>
      <c r="G11" s="27" t="n">
        <v>0.74</v>
      </c>
      <c r="H11" s="27" t="n">
        <v>1.31</v>
      </c>
      <c r="I11" s="27" t="n">
        <v>2.5</v>
      </c>
      <c r="J11" s="27" t="n">
        <v>50</v>
      </c>
      <c r="K11" s="14" t="inlineStr">
        <is>
          <t>–</t>
        </is>
      </c>
      <c r="L11" s="14" t="inlineStr">
        <is>
          <t>2026-07-29</t>
        </is>
      </c>
      <c r="M11" s="14" t="inlineStr">
        <is>
          <t>NEW delever, buyback, monetize, governan</t>
        </is>
      </c>
      <c r="N11" s="14" t="inlineStr">
        <is>
          <t>[delever] “CONMED has made significant progress in terms of deleveraging in recent years.”</t>
        </is>
      </c>
      <c r="O11" s="14" t="inlineStr">
        <is>
          <t>P/B 1.31 · EV/EBITDA 12.1× · FCF yld 10% · net debt 58% of mcap · rev +4% · op margin 11% · buying back 3%/yr</t>
        </is>
      </c>
    </row>
    <row r="12" ht="30" customHeight="1">
      <c r="A12" s="8" t="inlineStr">
        <is>
          <t>RNR</t>
        </is>
      </c>
      <c r="B12" s="16" t="inlineStr">
        <is>
          <t>RenaissanceRe Holdin</t>
        </is>
      </c>
      <c r="C12" s="16" t="inlineStr">
        <is>
          <t>P/B 1.16 · P/E 5.6 · 52w 91%</t>
        </is>
      </c>
      <c r="D12" s="16" t="n">
        <v>100</v>
      </c>
      <c r="E12" s="16" t="n"/>
      <c r="F12" s="16" t="inlineStr">
        <is>
          <t>ACT SIGNALLED</t>
        </is>
      </c>
      <c r="G12" s="28" t="n">
        <v>0.74</v>
      </c>
      <c r="H12" s="28" t="n">
        <v>1.16</v>
      </c>
      <c r="I12" s="28" t="n">
        <v>0.4</v>
      </c>
      <c r="J12" s="28" t="n">
        <v>50</v>
      </c>
      <c r="K12" s="16" t="inlineStr">
        <is>
          <t>✓</t>
        </is>
      </c>
      <c r="L12" s="16" t="inlineStr">
        <is>
          <t>2026-07-23</t>
        </is>
      </c>
      <c r="M12" s="16" t="inlineStr">
        <is>
          <t>buyback, anticipation, dividend_return</t>
        </is>
      </c>
      <c r="N12" s="16" t="inlineStr">
        <is>
          <t>[buyback] “So far in the third quarter through July 20, we repurchased an additional $83 million of our shares.”</t>
        </is>
      </c>
      <c r="O12" s="16" t="inlineStr">
        <is>
          <t>P/B 1.16 · P/E 5.6 · ROE 23% · div yld 0.5% · buying back 13%/yr (financial: book/earnings basis)</t>
        </is>
      </c>
    </row>
    <row r="13" ht="30" customHeight="1">
      <c r="A13" s="6" t="inlineStr">
        <is>
          <t>SCHL</t>
        </is>
      </c>
      <c r="B13" s="14" t="inlineStr">
        <is>
          <t>Scholastic Corporati</t>
        </is>
      </c>
      <c r="C13" s="14" t="inlineStr">
        <is>
          <t>P/B 0.75 · 3.2× EBITDA · debt 27% · 52w 41%</t>
        </is>
      </c>
      <c r="D13" s="14" t="n">
        <v>100</v>
      </c>
      <c r="E13" s="14" t="n"/>
      <c r="F13" s="14" t="inlineStr">
        <is>
          <t>ACT SIGNALLED</t>
        </is>
      </c>
      <c r="G13" s="27" t="n">
        <v>0.74</v>
      </c>
      <c r="H13" s="27" t="n">
        <v>0.75</v>
      </c>
      <c r="I13" s="27" t="n">
        <v>0.4</v>
      </c>
      <c r="J13" s="27" t="n">
        <v>39</v>
      </c>
      <c r="K13" s="14" t="inlineStr">
        <is>
          <t>✓</t>
        </is>
      </c>
      <c r="L13" s="14" t="inlineStr">
        <is>
          <t>2026-07-23</t>
        </is>
      </c>
      <c r="M13" s="14" t="inlineStr">
        <is>
          <t>monetize, buyback, dividend_return</t>
        </is>
      </c>
      <c r="N13" s="14" t="inlineStr">
        <is>
          <t>[monetize] “During the year, we returned over $285 million to shareholders, substantially accelerated by the sale-leaseback transactions and subsequent repurchase activity while establishing a”</t>
        </is>
      </c>
      <c r="O13" s="14" t="inlineStr">
        <is>
          <t>P/B 0.75 · EV/EBITDA 3.2× · FCF yld 0% · net debt 27% of mcap · rev +3% · op margin 2% · buying back 10%/yr</t>
        </is>
      </c>
    </row>
    <row r="14" ht="30" customHeight="1">
      <c r="A14" s="8" t="inlineStr">
        <is>
          <t>GPN</t>
        </is>
      </c>
      <c r="B14" s="16" t="inlineStr">
        <is>
          <t>Global Payments Inc.</t>
        </is>
      </c>
      <c r="C14" s="16" t="inlineStr">
        <is>
          <t>P/B 0.92 · 52w 69%</t>
        </is>
      </c>
      <c r="D14" s="16" t="n">
        <v>100</v>
      </c>
      <c r="E14" s="16" t="n"/>
      <c r="F14" s="16" t="inlineStr">
        <is>
          <t>ACT SIGNALLED</t>
        </is>
      </c>
      <c r="G14" s="28" t="n">
        <v>0.74</v>
      </c>
      <c r="H14" s="28" t="n">
        <v>0.92</v>
      </c>
      <c r="I14" s="28" t="n">
        <v>0.2</v>
      </c>
      <c r="J14" s="28" t="n">
        <v>9</v>
      </c>
      <c r="K14" s="16" t="inlineStr">
        <is>
          <t>✓</t>
        </is>
      </c>
      <c r="L14" s="16" t="inlineStr">
        <is>
          <t>2026-08-05</t>
        </is>
      </c>
      <c r="M14" s="16" t="inlineStr">
        <is>
          <t>buyback, cost, dividend_return</t>
        </is>
      </c>
      <c r="N14" s="16" t="inlineStr">
        <is>
          <t>[buyback] “In the second quarter, we repurchased approximately 8 million shares for $550 million through our previously announced accelerated share repurchases as well as open market repurcha”</t>
        </is>
      </c>
      <c r="O14" s="16" t="inlineStr">
        <is>
          <t>P/B 0.92 · ROE -4% · div yld 1.2% · diluting 6%/yr (financial: book/earnings basis)</t>
        </is>
      </c>
    </row>
    <row r="15" ht="30" customHeight="1">
      <c r="A15" s="6" t="inlineStr">
        <is>
          <t>ACT</t>
        </is>
      </c>
      <c r="B15" s="14" t="inlineStr">
        <is>
          <t>Enact Holdings, Inc.</t>
        </is>
      </c>
      <c r="C15" s="14" t="inlineStr">
        <is>
          <t>P/B 1.23 · P/E 10.0 · 52w 81%</t>
        </is>
      </c>
      <c r="D15" s="14" t="n">
        <v>99</v>
      </c>
      <c r="E15" s="14" t="n"/>
      <c r="F15" s="14" t="inlineStr">
        <is>
          <t>ACT SIGNALLED</t>
        </is>
      </c>
      <c r="G15" s="27" t="n">
        <v>0.71</v>
      </c>
      <c r="H15" s="27" t="n">
        <v>1.23</v>
      </c>
      <c r="I15" s="27" t="n">
        <v>0</v>
      </c>
      <c r="J15" s="27" t="n">
        <v>2</v>
      </c>
      <c r="K15" s="14" t="inlineStr">
        <is>
          <t>✓</t>
        </is>
      </c>
      <c r="L15" s="14" t="inlineStr">
        <is>
          <t>2026-08-05</t>
        </is>
      </c>
      <c r="M15" s="14" t="inlineStr">
        <is>
          <t>buyback, dividend_return, governance</t>
        </is>
      </c>
      <c r="N15" s="14" t="inlineStr">
        <is>
          <t>[buyback] “Through July 31, we have repurchased an additional 0.7 million shares for $30 million.”</t>
        </is>
      </c>
      <c r="O15" s="14" t="inlineStr">
        <is>
          <t>P/B 1.23 · P/E 10.0 · ROE 13% · div yld 1.9% · buying back 7%/yr (financial: book/earnings basis)</t>
        </is>
      </c>
    </row>
    <row r="16" ht="30" customHeight="1">
      <c r="A16" s="8" t="inlineStr">
        <is>
          <t>DEC</t>
        </is>
      </c>
      <c r="B16" s="16" t="inlineStr">
        <is>
          <t>Diversified Energy C</t>
        </is>
      </c>
      <c r="C16" s="16" t="inlineStr">
        <is>
          <t>P/B 1.07 · 3.0× EBITDA · debt 291% · 52w 26%</t>
        </is>
      </c>
      <c r="D16" s="16" t="n">
        <v>99</v>
      </c>
      <c r="E16" s="16" t="n"/>
      <c r="F16" s="16" t="inlineStr">
        <is>
          <t>ACT SIGNALLED</t>
        </is>
      </c>
      <c r="G16" s="28" t="n">
        <v>0.71</v>
      </c>
      <c r="H16" s="28" t="n">
        <v>1.07</v>
      </c>
      <c r="I16" s="28" t="n">
        <v>0</v>
      </c>
      <c r="J16" s="28" t="n">
        <v>50</v>
      </c>
      <c r="K16" s="16" t="inlineStr">
        <is>
          <t>–</t>
        </is>
      </c>
      <c r="L16" s="16" t="inlineStr">
        <is>
          <t>2026-05-07</t>
        </is>
      </c>
      <c r="M16" s="16" t="inlineStr">
        <is>
          <t>buyback, delever, dividend_return</t>
        </is>
      </c>
      <c r="N16" s="16" t="inlineStr">
        <is>
          <t>[buyback] “We returned approximately $94 million to shareholders through dividends and strategic share repurchases.”</t>
        </is>
      </c>
      <c r="O16" s="16" t="inlineStr">
        <is>
          <t>P/B 1.07 · EV/EBITDA 3.0× · FCF yld 27% · net debt 291% of mcap · rev +42% · op margin 35% · diluting 9%/yr</t>
        </is>
      </c>
    </row>
    <row r="17" ht="30" customHeight="1">
      <c r="A17" s="6" t="inlineStr">
        <is>
          <t>AHRT</t>
        </is>
      </c>
      <c r="B17" s="14" t="inlineStr">
        <is>
          <t>AH Realty Trust, Inc</t>
        </is>
      </c>
      <c r="C17" s="14" t="inlineStr">
        <is>
          <t>P/B 1.09 · 10.9× EBITDA · debt 182% · 52w 40%</t>
        </is>
      </c>
      <c r="D17" s="14" t="n">
        <v>99</v>
      </c>
      <c r="E17" s="14" t="n"/>
      <c r="F17" s="14" t="inlineStr">
        <is>
          <t>ACT SIGNALLED</t>
        </is>
      </c>
      <c r="G17" s="27" t="n">
        <v>0.7</v>
      </c>
      <c r="H17" s="27" t="n">
        <v>1.09</v>
      </c>
      <c r="I17" s="27" t="n">
        <v>0.8</v>
      </c>
      <c r="J17" s="27" t="n">
        <v>50</v>
      </c>
      <c r="K17" s="14" t="inlineStr">
        <is>
          <t>–</t>
        </is>
      </c>
      <c r="L17" s="14" t="inlineStr">
        <is>
          <t>2026-08-03</t>
        </is>
      </c>
      <c r="M17" s="14" t="inlineStr">
        <is>
          <t>buyback, monetize, governance</t>
        </is>
      </c>
      <c r="N17" s="14" t="inlineStr">
        <is>
          <t>[buyback] “In May, our Board of Directors increased the total authorized repurchase capacity to $100 million, doubling the original authorization and reflecting the Board's conviction in the ”</t>
        </is>
      </c>
      <c r="O17" s="14" t="inlineStr">
        <is>
          <t>P/B 1.09 · EV/EBITDA 10.9× · FCF yld 9% · net debt 182% of mcap · rev -63% · op margin 40% · diluting 22%/yr · interest cover 0.9× ⚠</t>
        </is>
      </c>
    </row>
    <row r="18" ht="30" customHeight="1">
      <c r="A18" s="8" t="inlineStr">
        <is>
          <t>BPOP</t>
        </is>
      </c>
      <c r="B18" s="16" t="inlineStr">
        <is>
          <t>Popular, Inc.</t>
        </is>
      </c>
      <c r="C18" s="16" t="inlineStr">
        <is>
          <t>P/B 1.59 · P/E 10.8 · 52w 73%</t>
        </is>
      </c>
      <c r="D18" s="16" t="n">
        <v>99</v>
      </c>
      <c r="E18" s="16" t="n"/>
      <c r="F18" s="16" t="inlineStr">
        <is>
          <t>ACT SIGNALLED</t>
        </is>
      </c>
      <c r="G18" s="28" t="n">
        <v>0.7</v>
      </c>
      <c r="H18" s="28" t="n">
        <v>1.59</v>
      </c>
      <c r="I18" s="28" t="n">
        <v>1.3</v>
      </c>
      <c r="J18" s="28" t="n">
        <v>9</v>
      </c>
      <c r="K18" s="16" t="inlineStr">
        <is>
          <t>–</t>
        </is>
      </c>
      <c r="L18" s="16" t="inlineStr">
        <is>
          <t>2026-07-23</t>
        </is>
      </c>
      <c r="M18" s="16" t="inlineStr">
        <is>
          <t>buyback, dividend_return, anticipation</t>
        </is>
      </c>
      <c r="N18" s="16" t="inlineStr">
        <is>
          <t>[buyback] “Earlier this morning, we announced a planned 20% increase in our quarterly dividend to $0.90 per share and a new $1 billion share repurchase authorization.”</t>
        </is>
      </c>
      <c r="O18" s="16" t="inlineStr">
        <is>
          <t>P/B 1.59 · P/E 10.8 · ROE 15% · div yld 2.0% · buying back 6%/yr (financial: book/earnings basis)</t>
        </is>
      </c>
    </row>
    <row r="19" ht="30" customHeight="1">
      <c r="A19" s="6" t="inlineStr">
        <is>
          <t>BBUC</t>
        </is>
      </c>
      <c r="B19" s="14" t="inlineStr">
        <is>
          <t>Brookfield Business</t>
        </is>
      </c>
      <c r="C19" s="14" t="inlineStr">
        <is>
          <t>P/B 0.96 · 9.6× EBITDA · debt 528% · 52w 2%</t>
        </is>
      </c>
      <c r="D19" s="14" t="n">
        <v>99</v>
      </c>
      <c r="E19" s="14" t="n"/>
      <c r="F19" s="14" t="inlineStr">
        <is>
          <t>ACT SIGNALLED</t>
        </is>
      </c>
      <c r="G19" s="27" t="n">
        <v>0.6899999999999999</v>
      </c>
      <c r="H19" s="27" t="n">
        <v>0.96</v>
      </c>
      <c r="I19" s="27" t="n">
        <v>0.5</v>
      </c>
      <c r="J19" s="27" t="n">
        <v>24</v>
      </c>
      <c r="K19" s="14" t="inlineStr">
        <is>
          <t>✓</t>
        </is>
      </c>
      <c r="L19" s="14" t="inlineStr">
        <is>
          <t>2026-07-31</t>
        </is>
      </c>
      <c r="M19" s="14" t="inlineStr">
        <is>
          <t>buyback, value_gap, anticipation</t>
        </is>
      </c>
      <c r="N19" s="14" t="inlineStr">
        <is>
          <t>[buyback] “Since we launched our buyback program early last year, on the back of our strong capital recycling activity, we have repurchased more than $300 million of our own shares at a nearl”</t>
        </is>
      </c>
      <c r="O19" s="14" t="inlineStr">
        <is>
          <t>P/B 0.96 · EV/EBITDA 9.6× · FCF yld 8% · net debt 528% of mcap · rev +162% · op margin 15%  [share-count history inconsistent (foreign line)]</t>
        </is>
      </c>
    </row>
    <row r="20" ht="30" customHeight="1">
      <c r="A20" s="8" t="inlineStr">
        <is>
          <t>INMD</t>
        </is>
      </c>
      <c r="B20" s="16" t="inlineStr">
        <is>
          <t>InMode Ltd.</t>
        </is>
      </c>
      <c r="C20" s="16" t="inlineStr">
        <is>
          <t>P/B 1.31 · 5.0× EBITDA · cash 60% · 52w 39%</t>
        </is>
      </c>
      <c r="D20" s="16" t="n">
        <v>99</v>
      </c>
      <c r="E20" s="16" t="n"/>
      <c r="F20" s="16" t="inlineStr">
        <is>
          <t>ACT SIGNALLED</t>
        </is>
      </c>
      <c r="G20" s="28" t="n">
        <v>0.6899999999999999</v>
      </c>
      <c r="H20" s="28" t="n">
        <v>1.31</v>
      </c>
      <c r="I20" s="28" t="n">
        <v>2.3</v>
      </c>
      <c r="J20" s="28" t="n">
        <v>16</v>
      </c>
      <c r="K20" s="16" t="inlineStr">
        <is>
          <t>–</t>
        </is>
      </c>
      <c r="L20" s="16" t="inlineStr">
        <is>
          <t>2026-05-06</t>
        </is>
      </c>
      <c r="M20" s="16" t="inlineStr">
        <is>
          <t>NEW dividend_return, buyback, strategic_</t>
        </is>
      </c>
      <c r="N20" s="16" t="inlineStr">
        <is>
          <t>[dividend_return] “We also returned meaningful capital to shareholders, repurchasing shares in the amount of $127.4 million during 2025 and $52.7 million year-to-date under our new 2026 repurchase pr”</t>
        </is>
      </c>
      <c r="O20" s="16" t="inlineStr">
        <is>
          <t>P/B 1.31 · EV/EBITDA 5.0× · FCF yld 11% · net cash 60% of mcap · op margin 18% · buying back 7%/yr</t>
        </is>
      </c>
    </row>
    <row r="21" ht="30" customHeight="1">
      <c r="A21" s="6" t="inlineStr">
        <is>
          <t>COO</t>
        </is>
      </c>
      <c r="B21" s="14" t="inlineStr">
        <is>
          <t>The Cooper Companies</t>
        </is>
      </c>
      <c r="C21" s="14" t="inlineStr">
        <is>
          <t>P/B 1.29 · 14.6× EBITDA · debt 22% · 52w 11%</t>
        </is>
      </c>
      <c r="D21" s="14" t="n">
        <v>99</v>
      </c>
      <c r="E21" s="14" t="n"/>
      <c r="F21" s="14" t="inlineStr">
        <is>
          <t>ACT SIGNALLED</t>
        </is>
      </c>
      <c r="G21" s="27" t="n">
        <v>0.6899999999999999</v>
      </c>
      <c r="H21" s="27" t="n">
        <v>1.29</v>
      </c>
      <c r="I21" s="27" t="n">
        <v>1.8</v>
      </c>
      <c r="J21" s="27" t="n">
        <v>12</v>
      </c>
      <c r="K21" s="14" t="inlineStr">
        <is>
          <t>✓</t>
        </is>
      </c>
      <c r="L21" s="14" t="inlineStr">
        <is>
          <t>2026-09-09</t>
        </is>
      </c>
      <c r="M21" s="14" t="inlineStr">
        <is>
          <t>NEW dividend_return, buyback, strategic_</t>
        </is>
      </c>
      <c r="N21" s="14" t="inlineStr">
        <is>
          <t>[dividend_return] “We also achieved a favorable resolution of HMRC's examination of our 2021 U.K. tax planning initiative and returned significant capital to shareholders.”</t>
        </is>
      </c>
      <c r="O21" s="14" t="inlineStr">
        <is>
          <t>P/B 1.29 · EV/EBITDA 14.6× · FCF yld 6% · net debt 22% of mcap · rev +6% · op margin 13% · buying back 3%/yr</t>
        </is>
      </c>
    </row>
    <row r="22" ht="30" customHeight="1">
      <c r="A22" s="8" t="inlineStr">
        <is>
          <t>GNL</t>
        </is>
      </c>
      <c r="B22" s="16" t="inlineStr">
        <is>
          <t>Global Net Lease, In</t>
        </is>
      </c>
      <c r="C22" s="16" t="inlineStr">
        <is>
          <t>P/B 1.22 · 11.9× EBITDA · debt 124% · 52w 48%</t>
        </is>
      </c>
      <c r="D22" s="16" t="n">
        <v>99</v>
      </c>
      <c r="E22" s="16" t="n"/>
      <c r="F22" s="16" t="inlineStr">
        <is>
          <t>ACT SIGNALLED</t>
        </is>
      </c>
      <c r="G22" s="28" t="n">
        <v>0.6899999999999999</v>
      </c>
      <c r="H22" s="28" t="n">
        <v>1.22</v>
      </c>
      <c r="I22" s="28" t="n">
        <v>0</v>
      </c>
      <c r="J22" s="28" t="n">
        <v>10</v>
      </c>
      <c r="K22" s="16" t="inlineStr">
        <is>
          <t>–</t>
        </is>
      </c>
      <c r="L22" s="16" t="inlineStr">
        <is>
          <t>2026-08-06</t>
        </is>
      </c>
      <c r="M22" s="16" t="inlineStr">
        <is>
          <t>buyback, delever, anticipation</t>
        </is>
      </c>
      <c r="N22" s="16" t="inlineStr">
        <is>
          <t>[buyback] “Since launching our share repurchase program in 2025 and through July 31, 2026, we have repurchased 20.9 million shares for a total of $169.7 million.”</t>
        </is>
      </c>
      <c r="O22" s="16" t="inlineStr">
        <is>
          <t>P/B 1.22 · EV/EBITDA 11.9× · FCF yld 11% · net debt 124% of mcap · rev -30% · op margin 25% · buying back 5%/yr · interest cover 0.9× ⚠</t>
        </is>
      </c>
    </row>
    <row r="23" ht="30" customHeight="1">
      <c r="A23" s="6" t="inlineStr">
        <is>
          <t>TBB</t>
        </is>
      </c>
      <c r="B23" s="14" t="inlineStr">
        <is>
          <t>AT&amp;T Inc. 5.35% GLB</t>
        </is>
      </c>
      <c r="C23" s="14" t="inlineStr">
        <is>
          <t>P/B 1.42 · 5.9× EBITDA · debt 93% · 52w 2%</t>
        </is>
      </c>
      <c r="D23" s="14" t="n">
        <v>99</v>
      </c>
      <c r="E23" s="14" t="n"/>
      <c r="F23" s="14" t="inlineStr">
        <is>
          <t>ACT SIGNALLED</t>
        </is>
      </c>
      <c r="G23" s="27" t="n">
        <v>0.68</v>
      </c>
      <c r="H23" s="27" t="n">
        <v>1.42</v>
      </c>
      <c r="I23" s="27" t="n">
        <v>0.4</v>
      </c>
      <c r="J23" s="27" t="n">
        <v>11</v>
      </c>
      <c r="K23" s="14" t="inlineStr">
        <is>
          <t>✓</t>
        </is>
      </c>
      <c r="L23" s="14" t="inlineStr">
        <is>
          <t>2026-07-22</t>
        </is>
      </c>
      <c r="M23" s="14" t="inlineStr">
        <is>
          <t>buyback, anticipation, dividend_return</t>
        </is>
      </c>
      <c r="N23" s="14" t="inlineStr">
        <is>
          <t>[buyback] “We returned $4.1 billion to shareholders during the second quarter, including approximately $2.2 billion of share repurchases.”</t>
        </is>
      </c>
      <c r="O23" s="14" t="inlineStr">
        <is>
          <t>P/B 1.42 · EV/EBITDA 5.9× · FCF yld 10% · net debt 93% of mcap · rev +3% · op margin 20% · buying back 4%/yr</t>
        </is>
      </c>
    </row>
    <row r="24" ht="30" customHeight="1">
      <c r="A24" s="8" t="inlineStr">
        <is>
          <t>CALY</t>
        </is>
      </c>
      <c r="B24" s="16" t="inlineStr">
        <is>
          <t>Callaway Golf Compan</t>
        </is>
      </c>
      <c r="C24" s="16" t="inlineStr">
        <is>
          <t>P/B 1.21 · 8.2× EBITDA · cash 1% · 52w 52%</t>
        </is>
      </c>
      <c r="D24" s="16" t="n">
        <v>99</v>
      </c>
      <c r="E24" s="16" t="n"/>
      <c r="F24" s="16" t="inlineStr">
        <is>
          <t>ACT SIGNALLED</t>
        </is>
      </c>
      <c r="G24" s="28" t="n">
        <v>0.67</v>
      </c>
      <c r="H24" s="28" t="n">
        <v>1.21</v>
      </c>
      <c r="I24" s="28" t="n">
        <v>0.2</v>
      </c>
      <c r="J24" s="28" t="n">
        <v>6</v>
      </c>
      <c r="K24" s="16" t="inlineStr">
        <is>
          <t>✓</t>
        </is>
      </c>
      <c r="L24" s="16" t="inlineStr">
        <is>
          <t>2026-08-04</t>
        </is>
      </c>
      <c r="M24" s="16" t="inlineStr">
        <is>
          <t>buyback, dividend_return, cost</t>
        </is>
      </c>
      <c r="N24" s="16" t="inlineStr">
        <is>
          <t>[buyback] “Since the beginning of this year, we announced a new $200 million share repurchase program and then repurchased approximately $42 million worth of our stock in both Q1 and Q2.”</t>
        </is>
      </c>
      <c r="O24" s="16" t="inlineStr">
        <is>
          <t>P/B 1.21 · EV/EBITDA 8.2× · FCF yld 11% · net cash 1% of mcap · rev -37% · op margin 9% · diluting 3%/yr</t>
        </is>
      </c>
    </row>
    <row r="25" ht="30" customHeight="1">
      <c r="A25" s="6" t="inlineStr">
        <is>
          <t>AZTA</t>
        </is>
      </c>
      <c r="B25" s="14" t="inlineStr">
        <is>
          <t>Azenta, Inc.</t>
        </is>
      </c>
      <c r="C25" s="14" t="inlineStr">
        <is>
          <t>P/B 1.06 · cash 17% · 52w 72%</t>
        </is>
      </c>
      <c r="D25" s="14" t="n">
        <v>99</v>
      </c>
      <c r="E25" s="14" t="n"/>
      <c r="F25" s="14" t="inlineStr">
        <is>
          <t>ACT SIGNALLED</t>
        </is>
      </c>
      <c r="G25" s="27" t="n">
        <v>0.67</v>
      </c>
      <c r="H25" s="27" t="n">
        <v>1.06</v>
      </c>
      <c r="I25" s="27" t="n">
        <v>2.5</v>
      </c>
      <c r="J25" s="27" t="n">
        <v>50</v>
      </c>
      <c r="K25" s="14" t="inlineStr">
        <is>
          <t>✓</t>
        </is>
      </c>
      <c r="L25" s="14" t="inlineStr">
        <is>
          <t>2026-08-05</t>
        </is>
      </c>
      <c r="M25" s="14" t="inlineStr">
        <is>
          <t>NEW monetize, buyback, cost</t>
        </is>
      </c>
      <c r="N25" s="14" t="inlineStr">
        <is>
          <t>[monetize] “As John mentioned, we completed the divestiture of B Medical Systems on July 1 for approximately $63 million, consisting of $28 million in cash proceeds and a $35 million short-ter”</t>
        </is>
      </c>
      <c r="O25" s="14" t="inlineStr">
        <is>
          <t>P/B 1.06 · P/S 2.6 · FCF yld 1% · net cash 17% of mcap · rev +2% · op margin -3%</t>
        </is>
      </c>
    </row>
    <row r="26" ht="30" customHeight="1">
      <c r="A26" s="8" t="inlineStr">
        <is>
          <t>WAL</t>
        </is>
      </c>
      <c r="B26" s="16" t="inlineStr">
        <is>
          <t>Western Alliance Ban</t>
        </is>
      </c>
      <c r="C26" s="16" t="inlineStr">
        <is>
          <t>P/B 1.08 · P/E 8.5 · 52w 37%</t>
        </is>
      </c>
      <c r="D26" s="16" t="n">
        <v>99</v>
      </c>
      <c r="E26" s="16" t="n"/>
      <c r="F26" s="16" t="inlineStr">
        <is>
          <t>ACT SIGNALLED</t>
        </is>
      </c>
      <c r="G26" s="28" t="n">
        <v>0.67</v>
      </c>
      <c r="H26" s="28" t="n">
        <v>1.08</v>
      </c>
      <c r="I26" s="28" t="n">
        <v>3.1</v>
      </c>
      <c r="J26" s="28" t="n">
        <v>50</v>
      </c>
      <c r="K26" s="16" t="inlineStr">
        <is>
          <t>–</t>
        </is>
      </c>
      <c r="L26" s="16" t="inlineStr">
        <is>
          <t>2026-07-22</t>
        </is>
      </c>
      <c r="M26" s="16" t="inlineStr">
        <is>
          <t>NEW dividend_return, NEW value_gap, buyb</t>
        </is>
      </c>
      <c r="N26" s="16" t="inlineStr">
        <is>
          <t>[dividend_return] “As we approach the $100 billion asset milestone later this year, Western Alliance is entering its next phase from a position of strength, combining industry-leading growth, improvi”</t>
        </is>
      </c>
      <c r="O26" s="16" t="inlineStr">
        <is>
          <t>P/B 1.08 · P/E 8.5 · ROE 13% · div yld 2.2% (financial: book/earnings basis)</t>
        </is>
      </c>
    </row>
    <row r="27" ht="30" customHeight="1">
      <c r="A27" s="6" t="inlineStr">
        <is>
          <t>REXR</t>
        </is>
      </c>
      <c r="B27" s="14" t="inlineStr">
        <is>
          <t>Rexford Industrial R</t>
        </is>
      </c>
      <c r="C27" s="14" t="inlineStr">
        <is>
          <t>P/B 1.16 · debt 38% · 52w 51%</t>
        </is>
      </c>
      <c r="D27" s="14" t="n">
        <v>99</v>
      </c>
      <c r="E27" s="14" t="n"/>
      <c r="F27" s="14" t="inlineStr">
        <is>
          <t>ACT SIGNALLED</t>
        </is>
      </c>
      <c r="G27" s="27" t="n">
        <v>0.67</v>
      </c>
      <c r="H27" s="27" t="n">
        <v>1.16</v>
      </c>
      <c r="I27" s="27" t="n">
        <v>1.3</v>
      </c>
      <c r="J27" s="27" t="n">
        <v>11</v>
      </c>
      <c r="K27" s="14" t="inlineStr">
        <is>
          <t>–</t>
        </is>
      </c>
      <c r="L27" s="14" t="inlineStr">
        <is>
          <t>2026-07-24</t>
        </is>
      </c>
      <c r="M27" s="14" t="inlineStr">
        <is>
          <t>NEW delever, buyback, anticipation</t>
        </is>
      </c>
      <c r="N27" s="14" t="inlineStr">
        <is>
          <t>[delever] “We will use $1 billion of the projected proceeds to repay debt maturing in 2027 rather than refinance into a higher rate environment which will meaningfully strengthen our balance ”</t>
        </is>
      </c>
      <c r="O27" s="14" t="inlineStr">
        <is>
          <t>P/B 1.16 · P/S 8.9 · FCF yld 3% · net debt 38% of mcap · rev -0% · op margin 40% · buying back 5%/yr</t>
        </is>
      </c>
    </row>
    <row r="28" ht="30" customHeight="1">
      <c r="A28" s="8" t="inlineStr">
        <is>
          <t>VSNT</t>
        </is>
      </c>
      <c r="B28" s="16" t="inlineStr">
        <is>
          <t>Versant Media Group,</t>
        </is>
      </c>
      <c r="C28" s="16" t="inlineStr">
        <is>
          <t>P/B 0.58 · 2.8× EBITDA · debt 31% · 52w 19%</t>
        </is>
      </c>
      <c r="D28" s="16" t="n">
        <v>99</v>
      </c>
      <c r="E28" s="16" t="n"/>
      <c r="F28" s="16" t="inlineStr">
        <is>
          <t>ACT SIGNALLED</t>
        </is>
      </c>
      <c r="G28" s="28" t="n">
        <v>0.67</v>
      </c>
      <c r="H28" s="28" t="n">
        <v>0.58</v>
      </c>
      <c r="I28" s="28" t="n">
        <v>1.2</v>
      </c>
      <c r="J28" s="28" t="n">
        <v>6</v>
      </c>
      <c r="K28" s="16" t="inlineStr">
        <is>
          <t>–</t>
        </is>
      </c>
      <c r="L28" s="16" t="inlineStr">
        <is>
          <t>2026-08-06</t>
        </is>
      </c>
      <c r="M28" s="16" t="inlineStr">
        <is>
          <t>buyback, dividend_return, cost</t>
        </is>
      </c>
      <c r="N28" s="16" t="inlineStr">
        <is>
          <t>[buyback] “Demonstrating our commitment to returning capital to shareholders, we repurchased $100 million of stock in the second quarter under the previously announced accelerated share repur”</t>
        </is>
      </c>
      <c r="O28" s="16" t="inlineStr">
        <is>
          <t>P/B 0.58 · EV/EBITDA 2.8× · FCF yld 49% · net debt 31% of mcap · op margin 19%</t>
        </is>
      </c>
    </row>
    <row r="29" ht="30" customHeight="1">
      <c r="A29" s="6" t="inlineStr">
        <is>
          <t>NTR</t>
        </is>
      </c>
      <c r="B29" s="14" t="inlineStr">
        <is>
          <t>Nutrien Ltd.</t>
        </is>
      </c>
      <c r="C29" s="14" t="inlineStr">
        <is>
          <t>P/B 1.40 · 7.6× EBITDA · debt 33% · 52w 69%</t>
        </is>
      </c>
      <c r="D29" s="14" t="n">
        <v>99</v>
      </c>
      <c r="E29" s="14" t="n"/>
      <c r="F29" s="14" t="inlineStr">
        <is>
          <t>ACT SIGNALLED</t>
        </is>
      </c>
      <c r="G29" s="27" t="n">
        <v>0.66</v>
      </c>
      <c r="H29" s="27" t="n">
        <v>1.4</v>
      </c>
      <c r="I29" s="27" t="n">
        <v>0</v>
      </c>
      <c r="J29" s="14" t="inlineStr">
        <is>
          <t>–</t>
        </is>
      </c>
      <c r="K29" s="14" t="inlineStr">
        <is>
          <t>–</t>
        </is>
      </c>
      <c r="L29" s="14" t="inlineStr">
        <is>
          <t>2026-08-06</t>
        </is>
      </c>
      <c r="M29" s="14" t="inlineStr">
        <is>
          <t>monetize, anticipation, buyback</t>
        </is>
      </c>
      <c r="N29" s="14" t="inlineStr">
        <is>
          <t>[monetize] “Since June 2026, we completed agreements to sell non-core assets for gross proceeds of approximately $90 million.”</t>
        </is>
      </c>
      <c r="O29" s="14" t="inlineStr">
        <is>
          <t>P/B 1.40 · EV/EBITDA 7.6× · FCF yld 6% · net debt 33% of mcap · rev +9% · op margin 15%</t>
        </is>
      </c>
    </row>
    <row r="30" ht="30" customHeight="1">
      <c r="A30" s="8" t="inlineStr">
        <is>
          <t>BXC</t>
        </is>
      </c>
      <c r="B30" s="16" t="inlineStr">
        <is>
          <t>Bluelinx Holdings In</t>
        </is>
      </c>
      <c r="C30" s="16" t="inlineStr">
        <is>
          <t>P/B 1.02 · 13.0× EBITDA · debt 56% · 52w 75%</t>
        </is>
      </c>
      <c r="D30" s="16" t="n">
        <v>99</v>
      </c>
      <c r="E30" s="16" t="n"/>
      <c r="F30" s="16" t="inlineStr">
        <is>
          <t>ACT SIGNALLED</t>
        </is>
      </c>
      <c r="G30" s="28" t="n">
        <v>0.66</v>
      </c>
      <c r="H30" s="28" t="n">
        <v>1.02</v>
      </c>
      <c r="I30" s="28" t="n">
        <v>0</v>
      </c>
      <c r="J30" s="28" t="n">
        <v>12</v>
      </c>
      <c r="K30" s="16" t="inlineStr">
        <is>
          <t>✓</t>
        </is>
      </c>
      <c r="L30" s="16" t="inlineStr">
        <is>
          <t>2026-05-06</t>
        </is>
      </c>
      <c r="M30" s="16" t="inlineStr">
        <is>
          <t>buyback, dividend_return, anticipation</t>
        </is>
      </c>
      <c r="N30" s="16" t="inlineStr">
        <is>
          <t>[buyback] “From the end of the quarter through April 21, we have repurchased additional shares, bringing the total dollar amount purchased year-to-date to $5 million.”</t>
        </is>
      </c>
      <c r="O30" s="16" t="inlineStr">
        <is>
          <t>P/B 1.02 · EV/EBITDA 13.0× · FCF yld 9% · net debt 56% of mcap · rev +2% · op margin 1% · interest cover 0.8× ⚠</t>
        </is>
      </c>
    </row>
    <row r="31" ht="30" customHeight="1">
      <c r="A31" s="6" t="inlineStr">
        <is>
          <t>VC</t>
        </is>
      </c>
      <c r="B31" s="14" t="inlineStr">
        <is>
          <t>Visteon Corporation</t>
        </is>
      </c>
      <c r="C31" s="14" t="inlineStr">
        <is>
          <t>P/B 1.54 · 6.2× EBITDA · cash 9% · 52w 22%</t>
        </is>
      </c>
      <c r="D31" s="14" t="n">
        <v>99</v>
      </c>
      <c r="E31" s="14" t="n"/>
      <c r="F31" s="14" t="inlineStr">
        <is>
          <t>ACT SIGNALLED</t>
        </is>
      </c>
      <c r="G31" s="27" t="n">
        <v>0.66</v>
      </c>
      <c r="H31" s="27" t="n">
        <v>1.54</v>
      </c>
      <c r="I31" s="27" t="n">
        <v>0.7</v>
      </c>
      <c r="J31" s="27" t="n">
        <v>7</v>
      </c>
      <c r="K31" s="14" t="inlineStr">
        <is>
          <t>–</t>
        </is>
      </c>
      <c r="L31" s="14" t="inlineStr">
        <is>
          <t>2026-07-23</t>
        </is>
      </c>
      <c r="M31" s="14" t="inlineStr">
        <is>
          <t>buyback, governance, dividend_return</t>
        </is>
      </c>
      <c r="N31" s="14" t="inlineStr">
        <is>
          <t>[buyback] “Finally, this morning, we announced a $200 million accelerated share repurchase program representing the next step in executing the capital allocation framework we outlined at our ”</t>
        </is>
      </c>
      <c r="O31" s="14" t="inlineStr">
        <is>
          <t>P/B 1.54 · EV/EBITDA 6.2× · FCF yld 6% · net cash 9% of mcap · rev -1% · op margin 7%</t>
        </is>
      </c>
    </row>
    <row r="32" ht="30" customHeight="1">
      <c r="A32" s="8" t="inlineStr">
        <is>
          <t>AER</t>
        </is>
      </c>
      <c r="B32" s="16" t="inlineStr">
        <is>
          <t>AerCap Holdings N.V.</t>
        </is>
      </c>
      <c r="C32" s="16" t="inlineStr">
        <is>
          <t>P/B 1.24 · 8.5× EBITDA · debt 179% · 52w 66%</t>
        </is>
      </c>
      <c r="D32" s="16" t="n">
        <v>99</v>
      </c>
      <c r="E32" s="16" t="n"/>
      <c r="F32" s="16" t="inlineStr">
        <is>
          <t>ACT SIGNALLED</t>
        </is>
      </c>
      <c r="G32" s="28" t="n">
        <v>0.66</v>
      </c>
      <c r="H32" s="28" t="n">
        <v>1.24</v>
      </c>
      <c r="I32" s="28" t="n">
        <v>0.3</v>
      </c>
      <c r="J32" s="28" t="n">
        <v>50</v>
      </c>
      <c r="K32" s="16" t="inlineStr">
        <is>
          <t>–</t>
        </is>
      </c>
      <c r="L32" s="16" t="inlineStr">
        <is>
          <t>2026-07-29</t>
        </is>
      </c>
      <c r="M32" s="16" t="inlineStr">
        <is>
          <t>buyback, monetize, governance</t>
        </is>
      </c>
      <c r="N32" s="16" t="inlineStr">
        <is>
          <t>[buyback] “And so know, despite the fact that we bought back 6% of the shares in the first half of this year and all of the, all of the commitments we have made in terms of new orders and tha”</t>
        </is>
      </c>
      <c r="O32" s="16" t="inlineStr">
        <is>
          <t>P/B 1.24 · EV/EBITDA 8.5× · FCF yld -1% · net debt 179% of mcap · rev +4% · op margin 53% · buying back 11%/yr</t>
        </is>
      </c>
    </row>
    <row r="33" ht="30" customHeight="1">
      <c r="A33" s="6" t="inlineStr">
        <is>
          <t>HSDT</t>
        </is>
      </c>
      <c r="B33" s="14" t="inlineStr">
        <is>
          <t>Solana Company</t>
        </is>
      </c>
      <c r="C33" s="14" t="inlineStr">
        <is>
          <t>P/B 1.06 · 52w 10%</t>
        </is>
      </c>
      <c r="D33" s="14" t="n">
        <v>99</v>
      </c>
      <c r="E33" s="14" t="n"/>
      <c r="F33" s="14" t="inlineStr">
        <is>
          <t>ACT SIGNALLED</t>
        </is>
      </c>
      <c r="G33" s="27" t="n">
        <v>0.66</v>
      </c>
      <c r="H33" s="27" t="n">
        <v>1.06</v>
      </c>
      <c r="I33" s="27" t="n">
        <v>0</v>
      </c>
      <c r="J33" s="27" t="n">
        <v>6</v>
      </c>
      <c r="K33" s="14" t="inlineStr">
        <is>
          <t>–</t>
        </is>
      </c>
      <c r="L33" s="14" t="inlineStr">
        <is>
          <t>2026-08-14</t>
        </is>
      </c>
      <c r="M33" s="14" t="inlineStr">
        <is>
          <t>buyback, value_gap, monetize</t>
        </is>
      </c>
      <c r="N33" s="14" t="inlineStr">
        <is>
          <t>[buyback] “With our stock trading at a discount to net asset value during the quarter, we executed approximately $2.3 million of share repurchases, retiring 1.3 million shares and year-to-dat”</t>
        </is>
      </c>
      <c r="O33" s="14" t="inlineStr">
        <is>
          <t>P/B 1.06 · ROE -123% (financial: book/earnings basis)  [revenue not comparable YoY (fair-value / one-off income?)]</t>
        </is>
      </c>
    </row>
    <row r="34" ht="30" customHeight="1">
      <c r="A34" s="8" t="inlineStr">
        <is>
          <t>LNWO</t>
        </is>
      </c>
      <c r="B34" s="16" t="inlineStr">
        <is>
          <t>–</t>
        </is>
      </c>
      <c r="C34" s="16" t="inlineStr">
        <is>
          <t>P/B 20.58 · 10.0× EBITDA · debt 81% · 52w 17%</t>
        </is>
      </c>
      <c r="D34" s="16" t="n">
        <v>99</v>
      </c>
      <c r="E34" s="16" t="n"/>
      <c r="F34" s="16" t="inlineStr">
        <is>
          <t>ACT SIGNALLED</t>
        </is>
      </c>
      <c r="G34" s="28" t="n">
        <v>0.66</v>
      </c>
      <c r="H34" s="16" t="inlineStr">
        <is>
          <t>–</t>
        </is>
      </c>
      <c r="I34" s="28" t="n">
        <v>0.3</v>
      </c>
      <c r="J34" s="16" t="inlineStr">
        <is>
          <t>–</t>
        </is>
      </c>
      <c r="K34" s="16" t="inlineStr">
        <is>
          <t>✓</t>
        </is>
      </c>
      <c r="L34" s="16" t="inlineStr">
        <is>
          <t>2026-08-04</t>
        </is>
      </c>
      <c r="M34" s="16" t="inlineStr">
        <is>
          <t>buyback, delever, monetize</t>
        </is>
      </c>
      <c r="N34" s="16" t="inlineStr">
        <is>
          <t>[buyback] “Since the inception of our first ever share repurchase program back in 2022, we have returned $2.1 billion to shareholders.”</t>
        </is>
      </c>
      <c r="O34" s="16" t="inlineStr">
        <is>
          <t>P/B 20.58 · EV/EBITDA 10.0× · FCF yld 9% · net debt 81% of mcap · rev +5% · op margin 27% · buying back 9%/yr</t>
        </is>
      </c>
    </row>
    <row r="35" ht="30" customHeight="1">
      <c r="A35" s="6" t="inlineStr">
        <is>
          <t>MBUU</t>
        </is>
      </c>
      <c r="B35" s="14" t="inlineStr">
        <is>
          <t>Malibu Boats, Inc.</t>
        </is>
      </c>
      <c r="C35" s="14" t="inlineStr">
        <is>
          <t>P/B 0.89 · 10.9× EBITDA · debt 26% · 52w 5%</t>
        </is>
      </c>
      <c r="D35" s="14" t="n">
        <v>99</v>
      </c>
      <c r="E35" s="14" t="n"/>
      <c r="F35" s="14" t="inlineStr">
        <is>
          <t>ACT SIGNALLED</t>
        </is>
      </c>
      <c r="G35" s="27" t="n">
        <v>0.65</v>
      </c>
      <c r="H35" s="27" t="n">
        <v>0.89</v>
      </c>
      <c r="I35" s="27" t="n">
        <v>2.2</v>
      </c>
      <c r="J35" s="27" t="n">
        <v>12</v>
      </c>
      <c r="K35" s="14" t="inlineStr">
        <is>
          <t>–</t>
        </is>
      </c>
      <c r="L35" s="14" t="inlineStr">
        <is>
          <t>2026-08-27</t>
        </is>
      </c>
      <c r="M35" s="14" t="inlineStr">
        <is>
          <t>buyback, anticipation, dividend_return</t>
        </is>
      </c>
      <c r="N35" s="14" t="inlineStr">
        <is>
          <t>[buyback] “While we chose to pause our open market purchases during the lender negotiations, our Board authorized a new $70 million share repurchase program for fiscal 2027 in June, and we cl”</t>
        </is>
      </c>
      <c r="O35" s="14" t="inlineStr">
        <is>
          <t>P/B 0.89 · EV/EBITDA 10.9× · FCF yld 9% · net debt 26% of mcap · rev +12% · op margin 0% · buying back 3%/yr · interest cover 0.9× ⚠</t>
        </is>
      </c>
    </row>
    <row r="36" ht="30" customHeight="1">
      <c r="A36" s="8" t="inlineStr">
        <is>
          <t>R</t>
        </is>
      </c>
      <c r="B36" s="16" t="inlineStr">
        <is>
          <t>Ryder System, Inc.</t>
        </is>
      </c>
      <c r="C36" s="16" t="inlineStr">
        <is>
          <t>P/B 3.18 · 6.7× EBITDA · debt 90% · 52w 64%</t>
        </is>
      </c>
      <c r="D36" s="16" t="n">
        <v>98</v>
      </c>
      <c r="E36" s="16" t="n"/>
      <c r="F36" s="16" t="inlineStr">
        <is>
          <t>ACT SIGNALLED</t>
        </is>
      </c>
      <c r="G36" s="28" t="n">
        <v>0.65</v>
      </c>
      <c r="H36" s="28" t="n">
        <v>3.18</v>
      </c>
      <c r="I36" s="28" t="n">
        <v>0</v>
      </c>
      <c r="J36" s="28" t="n">
        <v>7</v>
      </c>
      <c r="K36" s="16" t="inlineStr">
        <is>
          <t>–</t>
        </is>
      </c>
      <c r="L36" s="16" t="inlineStr">
        <is>
          <t>2026-07-23</t>
        </is>
      </c>
      <c r="M36" s="16" t="inlineStr">
        <is>
          <t>buyback, dividend_return, governance</t>
        </is>
      </c>
      <c r="N36" s="16" t="inlineStr">
        <is>
          <t>[buyback] “Additionally, earlier in the quarter, our board authorized a new discretionary 2 million share repurchase program that replaced a program that was largely completed during the quar”</t>
        </is>
      </c>
      <c r="O36" s="16" t="inlineStr">
        <is>
          <t>P/B 3.18 · EV/EBITDA 6.7× · FCF yld 8% · net debt 90% of mcap · rev +1% · op margin 7% · buying back 8%/yr</t>
        </is>
      </c>
    </row>
    <row r="37" ht="30" customHeight="1">
      <c r="A37" s="6" t="inlineStr">
        <is>
          <t>VIPS</t>
        </is>
      </c>
      <c r="B37" s="14" t="inlineStr">
        <is>
          <t>Vipshop Holdings Lim</t>
        </is>
      </c>
      <c r="C37" s="14" t="inlineStr">
        <is>
          <t>P/B 0.92 · 1.5× EBITDA · cash 52% · 52w 5%</t>
        </is>
      </c>
      <c r="D37" s="14" t="n">
        <v>98</v>
      </c>
      <c r="E37" s="14" t="n"/>
      <c r="F37" s="14" t="inlineStr">
        <is>
          <t>ACT SIGNALLED</t>
        </is>
      </c>
      <c r="G37" s="27" t="n">
        <v>0.65</v>
      </c>
      <c r="H37" s="27" t="n">
        <v>0.89</v>
      </c>
      <c r="I37" s="27" t="n">
        <v>1.6</v>
      </c>
      <c r="J37" s="14" t="inlineStr">
        <is>
          <t>–</t>
        </is>
      </c>
      <c r="K37" s="14" t="inlineStr">
        <is>
          <t>–</t>
        </is>
      </c>
      <c r="L37" s="14" t="inlineStr">
        <is>
          <t>2026-08-25</t>
        </is>
      </c>
      <c r="M37" s="14" t="inlineStr">
        <is>
          <t>NEW monetize, buyback, delever</t>
        </is>
      </c>
      <c r="N37" s="14" t="inlineStr">
        <is>
          <t>[monetize] “In addition, to unlock the value of our high-quality assets and optimize capital efficiency, we successfully launched 2 public REITs backed by 3 mature Shan Shan outlet properties,”</t>
        </is>
      </c>
      <c r="O37" s="14" t="inlineStr">
        <is>
          <t>P/B 0.92 · EV/EBITDA 1.5× · FCF yld 0% · net cash 52% of mcap · rev -1% · op margin 8% · buying back 5%/yr</t>
        </is>
      </c>
    </row>
    <row r="38" ht="30" customHeight="1">
      <c r="A38" s="8" t="inlineStr">
        <is>
          <t>CERT</t>
        </is>
      </c>
      <c r="B38" s="16" t="inlineStr">
        <is>
          <t>Certara, Inc.</t>
        </is>
      </c>
      <c r="C38" s="16" t="inlineStr">
        <is>
          <t>P/B 1.42 · 17.5× EBITDA · debt 8% · 52w 46%</t>
        </is>
      </c>
      <c r="D38" s="16" t="n">
        <v>98</v>
      </c>
      <c r="E38" s="16" t="n"/>
      <c r="F38" s="16" t="inlineStr">
        <is>
          <t>ACT SIGNALLED</t>
        </is>
      </c>
      <c r="G38" s="28" t="n">
        <v>0.65</v>
      </c>
      <c r="H38" s="28" t="n">
        <v>1.42</v>
      </c>
      <c r="I38" s="28" t="n">
        <v>0.8</v>
      </c>
      <c r="J38" s="28" t="n">
        <v>8</v>
      </c>
      <c r="K38" s="16" t="inlineStr">
        <is>
          <t>✓</t>
        </is>
      </c>
      <c r="L38" s="16" t="inlineStr">
        <is>
          <t>2026-08-04</t>
        </is>
      </c>
      <c r="M38" s="16" t="inlineStr">
        <is>
          <t>buyback, monetize, anticipation</t>
        </is>
      </c>
      <c r="N38" s="16" t="inlineStr">
        <is>
          <t>[buyback] “In the third quarter, our Board approved a new $50 million share repurchase program, reflecting our continued confidence in the business and our disciplined approach to capital all”</t>
        </is>
      </c>
      <c r="O38" s="16" t="inlineStr">
        <is>
          <t>P/B 1.42 · EV/EBITDA 17.5× · FCF yld 5% · net debt 8% of mcap · rev +1% · op margin 2% · buying back 4%/yr</t>
        </is>
      </c>
    </row>
    <row r="39" ht="30" customHeight="1">
      <c r="A39" s="6" t="inlineStr">
        <is>
          <t>CROX</t>
        </is>
      </c>
      <c r="B39" s="14" t="inlineStr">
        <is>
          <t>Crocs, Inc.</t>
        </is>
      </c>
      <c r="C39" s="14" t="inlineStr">
        <is>
          <t>P/B 4.34 · 8.5× EBITDA · debt 25% · 52w 77%</t>
        </is>
      </c>
      <c r="D39" s="14" t="n">
        <v>98</v>
      </c>
      <c r="E39" s="14" t="n"/>
      <c r="F39" s="14" t="inlineStr">
        <is>
          <t>ACT SIGNALLED</t>
        </is>
      </c>
      <c r="G39" s="27" t="n">
        <v>0.64</v>
      </c>
      <c r="H39" s="27" t="n">
        <v>4.34</v>
      </c>
      <c r="I39" s="27" t="n">
        <v>1.2</v>
      </c>
      <c r="J39" s="27" t="n">
        <v>34</v>
      </c>
      <c r="K39" s="14" t="inlineStr">
        <is>
          <t>✓</t>
        </is>
      </c>
      <c r="L39" s="14" t="inlineStr">
        <is>
          <t>2026-07-30</t>
        </is>
      </c>
      <c r="M39" s="14" t="inlineStr">
        <is>
          <t>buyback, dividend_return, cost</t>
        </is>
      </c>
      <c r="N39" s="14" t="inlineStr">
        <is>
          <t>[buyback] “Reflecting our confidence in the business and future cash flow generation, earlier this week, our Board approved an additional $1.5 billion share repurchase authorization, bringing”</t>
        </is>
      </c>
      <c r="O39" s="14" t="inlineStr">
        <is>
          <t>P/B 4.34 · EV/EBITDA 8.5× · FCF yld 12% · net debt 25% of mcap · rev -2% · op margin 21% · buying back 10%/yr</t>
        </is>
      </c>
    </row>
    <row r="40" ht="30" customHeight="1">
      <c r="A40" s="8" t="inlineStr">
        <is>
          <t>IVZ</t>
        </is>
      </c>
      <c r="B40" s="16" t="inlineStr">
        <is>
          <t>Invesco Ltd</t>
        </is>
      </c>
      <c r="C40" s="16" t="inlineStr">
        <is>
          <t>P/B 1.09 · 52w 78%</t>
        </is>
      </c>
      <c r="D40" s="16" t="n">
        <v>98</v>
      </c>
      <c r="E40" s="16" t="n"/>
      <c r="F40" s="16" t="inlineStr">
        <is>
          <t>ACT SIGNALLED</t>
        </is>
      </c>
      <c r="G40" s="28" t="n">
        <v>0.64</v>
      </c>
      <c r="H40" s="28" t="n">
        <v>1.09</v>
      </c>
      <c r="I40" s="28" t="n">
        <v>0.1</v>
      </c>
      <c r="J40" s="28" t="n">
        <v>0</v>
      </c>
      <c r="K40" s="16" t="inlineStr">
        <is>
          <t>✓</t>
        </is>
      </c>
      <c r="L40" s="16" t="inlineStr">
        <is>
          <t>2026-07-28</t>
        </is>
      </c>
      <c r="M40" s="16" t="inlineStr">
        <is>
          <t>buyback, dividend_return, monetize</t>
        </is>
      </c>
      <c r="N40" s="16" t="inlineStr">
        <is>
          <t>[buyback] “We increased the amount repurchased to $50 million, or 1.9 million shares And in April, we announced an increase in the quarterly common stock dividend to $0.215 per share.”</t>
        </is>
      </c>
      <c r="O40" s="16" t="inlineStr">
        <is>
          <t>P/B 1.09 · ROE -1% · div yld 2.8% (financial: book/earnings basis)</t>
        </is>
      </c>
    </row>
    <row r="41" ht="30" customHeight="1">
      <c r="A41" s="6" t="inlineStr">
        <is>
          <t>ASO</t>
        </is>
      </c>
      <c r="B41" s="14" t="inlineStr">
        <is>
          <t>Academy Sports and O</t>
        </is>
      </c>
      <c r="C41" s="14" t="inlineStr">
        <is>
          <t>P/B 1.38 · 6.4× EBITDA · debt 56% · 52w 34%</t>
        </is>
      </c>
      <c r="D41" s="14" t="n">
        <v>98</v>
      </c>
      <c r="E41" s="14" t="n"/>
      <c r="F41" s="14" t="inlineStr">
        <is>
          <t>ACT SIGNALLED</t>
        </is>
      </c>
      <c r="G41" s="27" t="n">
        <v>0.64</v>
      </c>
      <c r="H41" s="27" t="n">
        <v>1.38</v>
      </c>
      <c r="I41" s="27" t="n">
        <v>0</v>
      </c>
      <c r="J41" s="27" t="n">
        <v>50</v>
      </c>
      <c r="K41" s="14" t="inlineStr">
        <is>
          <t>–</t>
        </is>
      </c>
      <c r="L41" s="14" t="inlineStr">
        <is>
          <t>2026-09-09</t>
        </is>
      </c>
      <c r="M41" s="14" t="inlineStr">
        <is>
          <t>buyback, delever, dividend_return</t>
        </is>
      </c>
      <c r="N41" s="14" t="inlineStr">
        <is>
          <t>[buyback] “In the first half of the year, we repurchased approximately $181 million of our shares, representing about 5% of our outstanding shares, paid approximately $19 million in dividends”</t>
        </is>
      </c>
      <c r="O41" s="14" t="inlineStr">
        <is>
          <t>P/B 1.38 · EV/EBITDA 6.4× · FCF yld 11% · net debt 56% of mcap · rev +4% · op margin 10% · buying back 6%/yr</t>
        </is>
      </c>
    </row>
    <row r="42" ht="30" customHeight="1">
      <c r="A42" s="8" t="inlineStr">
        <is>
          <t>PHIN</t>
        </is>
      </c>
      <c r="B42" s="16" t="inlineStr">
        <is>
          <t>PHINIA Inc.</t>
        </is>
      </c>
      <c r="C42" s="16" t="inlineStr">
        <is>
          <t>P/B 1.44 · 6.6× EBITDA · debt 31% · 52w 26%</t>
        </is>
      </c>
      <c r="D42" s="16" t="n">
        <v>98</v>
      </c>
      <c r="E42" s="16" t="n"/>
      <c r="F42" s="16" t="inlineStr">
        <is>
          <t>ACT SIGNALLED</t>
        </is>
      </c>
      <c r="G42" s="28" t="n">
        <v>0.64</v>
      </c>
      <c r="H42" s="28" t="n">
        <v>1.44</v>
      </c>
      <c r="I42" s="28" t="n">
        <v>0</v>
      </c>
      <c r="J42" s="28" t="n">
        <v>25</v>
      </c>
      <c r="K42" s="16" t="inlineStr">
        <is>
          <t>–</t>
        </is>
      </c>
      <c r="L42" s="16" t="inlineStr">
        <is>
          <t>2026-07-30</t>
        </is>
      </c>
      <c r="M42" s="16" t="inlineStr">
        <is>
          <t>buyback, monetize, dividend_return</t>
        </is>
      </c>
      <c r="N42" s="16" t="inlineStr">
        <is>
          <t>[buyback] “Since the spinoff in July 2023 through the second quarter of this year, we repurchased $534 million worth of shares, representing approximately 24% of our original share count and ”</t>
        </is>
      </c>
      <c r="O42" s="16" t="inlineStr">
        <is>
          <t>P/B 1.44 · EV/EBITDA 6.6× · FCF yld 14% · net debt 31% of mcap · rev +8% · op margin 9% · buying back 5%/yr</t>
        </is>
      </c>
    </row>
    <row r="43" ht="30" customHeight="1">
      <c r="A43" s="6" t="inlineStr">
        <is>
          <t>SHEL</t>
        </is>
      </c>
      <c r="B43" s="14" t="inlineStr">
        <is>
          <t>Shell plc</t>
        </is>
      </c>
      <c r="C43" s="14" t="inlineStr">
        <is>
          <t>P/B 1.46 · 4.5× EBITDA · debt 16% · 52w 86%</t>
        </is>
      </c>
      <c r="D43" s="14" t="n">
        <v>98</v>
      </c>
      <c r="E43" s="14" t="n"/>
      <c r="F43" s="14" t="inlineStr">
        <is>
          <t>ACT SIGNALLED</t>
        </is>
      </c>
      <c r="G43" s="27" t="n">
        <v>0.64</v>
      </c>
      <c r="H43" s="27" t="n">
        <v>1.46</v>
      </c>
      <c r="I43" s="27" t="n">
        <v>0.3</v>
      </c>
      <c r="J43" s="27" t="n">
        <v>1</v>
      </c>
      <c r="K43" s="14" t="inlineStr">
        <is>
          <t>✓</t>
        </is>
      </c>
      <c r="L43" s="14" t="inlineStr">
        <is>
          <t>2026-07-30</t>
        </is>
      </c>
      <c r="M43" s="14" t="inlineStr">
        <is>
          <t>buyback, monetize, anticipation</t>
        </is>
      </c>
      <c r="N43" s="14" t="inlineStr">
        <is>
          <t>[buyback] “And today, we have announced $3 billion of share buybacks, which we expect to complete by our Q3 results announcement in October.”</t>
        </is>
      </c>
      <c r="O43" s="14" t="inlineStr">
        <is>
          <t>P/B 1.46 · EV/EBITDA 4.5× · FCF yld 11% · net debt 16% of mcap · rev +9% · op margin 13% · buying back 6%/yr</t>
        </is>
      </c>
    </row>
    <row r="44" ht="30" customHeight="1">
      <c r="A44" s="8" t="inlineStr">
        <is>
          <t>FG</t>
        </is>
      </c>
      <c r="B44" s="16" t="inlineStr">
        <is>
          <t>F&amp;G Annuities &amp; Life</t>
        </is>
      </c>
      <c r="C44" s="16" t="inlineStr">
        <is>
          <t>P/B 0.63 · P/E 7.2 · 52w 8%</t>
        </is>
      </c>
      <c r="D44" s="16" t="n">
        <v>98</v>
      </c>
      <c r="E44" s="16" t="n"/>
      <c r="F44" s="16" t="inlineStr">
        <is>
          <t>ACT SIGNALLED</t>
        </is>
      </c>
      <c r="G44" s="28" t="n">
        <v>0.64</v>
      </c>
      <c r="H44" s="28" t="n">
        <v>0.63</v>
      </c>
      <c r="I44" s="28" t="n">
        <v>0</v>
      </c>
      <c r="J44" s="28" t="n">
        <v>3</v>
      </c>
      <c r="K44" s="16" t="inlineStr">
        <is>
          <t>–</t>
        </is>
      </c>
      <c r="L44" s="16" t="inlineStr">
        <is>
          <t>2026-08-06</t>
        </is>
      </c>
      <c r="M44" s="16" t="inlineStr">
        <is>
          <t>buyback, strategic_review, dividend_retu</t>
        </is>
      </c>
      <c r="N44" s="16" t="inlineStr">
        <is>
          <t>[buyback] “For the first 6 months, our capital self-funded the following: $75 million of common and preferred dividends paid, $80 million of holding company interest expense and $120 million ”</t>
        </is>
      </c>
      <c r="O44" s="16" t="inlineStr">
        <is>
          <t>P/B 0.63 · P/E 7.2 · ROE 9% · div yld 4.6% · buying back 3%/yr (financial: book/earnings basis)  [FCF yield &gt;100% (check)]</t>
        </is>
      </c>
    </row>
    <row r="45" ht="30" customHeight="1">
      <c r="A45" s="6" t="inlineStr">
        <is>
          <t>MPAA</t>
        </is>
      </c>
      <c r="B45" s="14" t="inlineStr">
        <is>
          <t>Motorcar Parts of Am</t>
        </is>
      </c>
      <c r="C45" s="14" t="inlineStr">
        <is>
          <t>P/B 0.78 · 7.7× EBITDA · debt 90% · 52w 15%</t>
        </is>
      </c>
      <c r="D45" s="14" t="n">
        <v>98</v>
      </c>
      <c r="E45" s="14" t="n"/>
      <c r="F45" s="14" t="inlineStr">
        <is>
          <t>ACT SIGNALLED</t>
        </is>
      </c>
      <c r="G45" s="27" t="n">
        <v>0.64</v>
      </c>
      <c r="H45" s="27" t="n">
        <v>0.78</v>
      </c>
      <c r="I45" s="27" t="n">
        <v>0.6</v>
      </c>
      <c r="J45" s="27" t="n">
        <v>42</v>
      </c>
      <c r="K45" s="14" t="inlineStr">
        <is>
          <t>–</t>
        </is>
      </c>
      <c r="L45" s="14" t="inlineStr">
        <is>
          <t>2026-08-10</t>
        </is>
      </c>
      <c r="M45" s="14" t="inlineStr">
        <is>
          <t>buyback, cost, strategic_review</t>
        </is>
      </c>
      <c r="N45" s="14" t="inlineStr">
        <is>
          <t>[buyback] “For the fiscal first quarter, the company repurchased 130 thousand shares for $1.9 million at an average share price of $14.98.”</t>
        </is>
      </c>
      <c r="O45" s="14" t="inlineStr">
        <is>
          <t>P/B 0.78 · EV/EBITDA 7.7× · FCF yld -2% · net debt 90% of mcap · rev +7% · op margin 6% · interest cover 1.1× ⚠</t>
        </is>
      </c>
    </row>
    <row r="46" ht="30" customHeight="1">
      <c r="A46" s="8" t="inlineStr">
        <is>
          <t>CNNE</t>
        </is>
      </c>
      <c r="B46" s="16" t="inlineStr">
        <is>
          <t>Cannae Holdings, Inc</t>
        </is>
      </c>
      <c r="C46" s="16" t="inlineStr">
        <is>
          <t>P/B 0.72 · debt 18% · 52w 61%</t>
        </is>
      </c>
      <c r="D46" s="16" t="n">
        <v>98</v>
      </c>
      <c r="E46" s="16" t="n"/>
      <c r="F46" s="16" t="inlineStr">
        <is>
          <t>ACT SIGNALLED</t>
        </is>
      </c>
      <c r="G46" s="28" t="n">
        <v>0.64</v>
      </c>
      <c r="H46" s="28" t="n">
        <v>0.72</v>
      </c>
      <c r="I46" s="28" t="n">
        <v>0</v>
      </c>
      <c r="J46" s="16" t="inlineStr">
        <is>
          <t>–</t>
        </is>
      </c>
      <c r="K46" s="16" t="inlineStr">
        <is>
          <t>–</t>
        </is>
      </c>
      <c r="L46" s="16" t="inlineStr">
        <is>
          <t>2026-08-10</t>
        </is>
      </c>
      <c r="M46" s="16" t="inlineStr">
        <is>
          <t>monetize, buyback, anticipation</t>
        </is>
      </c>
      <c r="N46" s="16" t="inlineStr">
        <is>
          <t>[monetize] “On the call today, I plan to cover four topics: how we allocated capital during the quarter and our expectations going forward, the sale of non-core assets, the execution of our mu”</t>
        </is>
      </c>
      <c r="O46" s="16" t="inlineStr">
        <is>
          <t>P/B 0.72 · P/S 1.7 · FCF yld -6% · net debt 18% of mcap · rev -7% · op margin -28% · buying back 28%/yr · interest cover -14.0× ⚠</t>
        </is>
      </c>
    </row>
    <row r="47" ht="30" customHeight="1">
      <c r="A47" s="6" t="inlineStr">
        <is>
          <t>NTGR</t>
        </is>
      </c>
      <c r="B47" s="14" t="inlineStr">
        <is>
          <t>NETGEAR, Inc.</t>
        </is>
      </c>
      <c r="C47" s="14" t="inlineStr">
        <is>
          <t>P/B 1.32 · cash 37% · 52w 19%</t>
        </is>
      </c>
      <c r="D47" s="14" t="n">
        <v>98</v>
      </c>
      <c r="E47" s="14" t="n"/>
      <c r="F47" s="14" t="inlineStr">
        <is>
          <t>ACT SIGNALLED</t>
        </is>
      </c>
      <c r="G47" s="27" t="n">
        <v>0.63</v>
      </c>
      <c r="H47" s="27" t="n">
        <v>1.32</v>
      </c>
      <c r="I47" s="27" t="n">
        <v>0.9</v>
      </c>
      <c r="J47" s="27" t="n">
        <v>24</v>
      </c>
      <c r="K47" s="14" t="inlineStr">
        <is>
          <t>–</t>
        </is>
      </c>
      <c r="L47" s="14" t="inlineStr">
        <is>
          <t>2026-08-06</t>
        </is>
      </c>
      <c r="M47" s="14" t="inlineStr">
        <is>
          <t>buyback, dividend_return, cost</t>
        </is>
      </c>
      <c r="N47" s="14" t="inlineStr">
        <is>
          <t>[buyback] “In Q2, we repurchased approximately 560 thousand shares of NETGEAR common stock at an average price of $23.04.”</t>
        </is>
      </c>
      <c r="O47" s="14" t="inlineStr">
        <is>
          <t>P/B 1.32 · P/S 0.9 · FCF yld -3% · net cash 37% of mcap · rev -1% · op margin -4% · buying back 6%/yr</t>
        </is>
      </c>
    </row>
    <row r="48" ht="30" customHeight="1">
      <c r="A48" s="8" t="inlineStr">
        <is>
          <t>SPGI</t>
        </is>
      </c>
      <c r="B48" s="16" t="inlineStr">
        <is>
          <t>S&amp;P Global Inc.</t>
        </is>
      </c>
      <c r="C48" s="16" t="inlineStr">
        <is>
          <t>P/B 3.80 · P/E 24.8 · 52w 29%</t>
        </is>
      </c>
      <c r="D48" s="16" t="n">
        <v>98</v>
      </c>
      <c r="E48" s="16" t="n"/>
      <c r="F48" s="16" t="inlineStr">
        <is>
          <t>ACT SIGNALLED</t>
        </is>
      </c>
      <c r="G48" s="28" t="n">
        <v>0.63</v>
      </c>
      <c r="H48" s="28" t="n">
        <v>3.8</v>
      </c>
      <c r="I48" s="28" t="n">
        <v>0.2</v>
      </c>
      <c r="J48" s="28" t="n">
        <v>6</v>
      </c>
      <c r="K48" s="16" t="inlineStr">
        <is>
          <t>✓</t>
        </is>
      </c>
      <c r="L48" s="16" t="inlineStr">
        <is>
          <t>2026-07-28</t>
        </is>
      </c>
      <c r="M48" s="16" t="inlineStr">
        <is>
          <t>buyback, cost, dividend_return</t>
        </is>
      </c>
      <c r="N48" s="16" t="inlineStr">
        <is>
          <t>[buyback] “On capital return, we have decided to increase our target share repurchase for 2026 by nearly $3 billion to more than $7 billion for the full year.”</t>
        </is>
      </c>
      <c r="O48" s="16" t="inlineStr">
        <is>
          <t>P/B 3.80 · P/E 24.8 · ROE 15% · div yld 1.0% · buying back 3%/yr (financial: book/earnings basis)</t>
        </is>
      </c>
    </row>
    <row r="49" ht="30" customHeight="1">
      <c r="A49" s="6" t="inlineStr">
        <is>
          <t>NOV</t>
        </is>
      </c>
      <c r="B49" s="14" t="inlineStr">
        <is>
          <t>NOV Inc.</t>
        </is>
      </c>
      <c r="C49" s="14" t="inlineStr">
        <is>
          <t>P/B 1.18 · 10.7× EBITDA · debt 16% · 52w 86%</t>
        </is>
      </c>
      <c r="D49" s="14" t="n">
        <v>98</v>
      </c>
      <c r="E49" s="14" t="n"/>
      <c r="F49" s="14" t="inlineStr">
        <is>
          <t>ACT SIGNALLED</t>
        </is>
      </c>
      <c r="G49" s="27" t="n">
        <v>0.63</v>
      </c>
      <c r="H49" s="27" t="n">
        <v>1.18</v>
      </c>
      <c r="I49" s="27" t="n">
        <v>0.7</v>
      </c>
      <c r="J49" s="27" t="n">
        <v>15</v>
      </c>
      <c r="K49" s="14" t="inlineStr">
        <is>
          <t>–</t>
        </is>
      </c>
      <c r="L49" s="14" t="inlineStr">
        <is>
          <t>2026-07-29</t>
        </is>
      </c>
      <c r="M49" s="14" t="inlineStr">
        <is>
          <t>buyback, dividend_return, cost</t>
        </is>
      </c>
      <c r="N49" s="14" t="inlineStr">
        <is>
          <t>[buyback] “During the quarter, we repurchased 3.2 million shares for $63 million and paid dividends of $64 million which included a supplemental dividend of $0.09 per share related to the tru”</t>
        </is>
      </c>
      <c r="O49" s="14" t="inlineStr">
        <is>
          <t>P/B 1.18 · EV/EBITDA 10.7× · FCF yld 8% · net debt 16% of mcap · rev -2% · op margin 6% · buying back 3%/yr</t>
        </is>
      </c>
    </row>
    <row r="50" ht="30" customHeight="1">
      <c r="A50" s="8" t="inlineStr">
        <is>
          <t>GRWG</t>
        </is>
      </c>
      <c r="B50" s="16" t="inlineStr">
        <is>
          <t>GrowGeneration Corp.</t>
        </is>
      </c>
      <c r="C50" s="16" t="inlineStr">
        <is>
          <t>P/B 1.07 · cash 16% · 52w 43%</t>
        </is>
      </c>
      <c r="D50" s="16" t="n">
        <v>98</v>
      </c>
      <c r="E50" s="16" t="n"/>
      <c r="F50" s="16" t="inlineStr">
        <is>
          <t>ACT SIGNALLED</t>
        </is>
      </c>
      <c r="G50" s="28" t="n">
        <v>0.63</v>
      </c>
      <c r="H50" s="28" t="n">
        <v>1.07</v>
      </c>
      <c r="I50" s="28" t="n">
        <v>1.4</v>
      </c>
      <c r="J50" s="28" t="n">
        <v>11</v>
      </c>
      <c r="K50" s="16" t="inlineStr">
        <is>
          <t>✓</t>
        </is>
      </c>
      <c r="L50" s="16" t="inlineStr">
        <is>
          <t>2026-08-11</t>
        </is>
      </c>
      <c r="M50" s="16" t="inlineStr">
        <is>
          <t>buyback, cost, governance</t>
        </is>
      </c>
      <c r="N50" s="16" t="inlineStr">
        <is>
          <t>[buyback] “During the second quarter, the company repurchased 700 thousand shares of common stock at an average price of $1.38 per share exclusive of incremental direct costs, As of 6/30/2026”</t>
        </is>
      </c>
      <c r="O50" s="16" t="inlineStr">
        <is>
          <t>P/B 1.07 · P/S 0.6 · FCF yld -8% · net cash 16% of mcap · rev +2% · op margin -11%</t>
        </is>
      </c>
    </row>
    <row r="51" ht="30" customHeight="1">
      <c r="A51" s="6" t="inlineStr">
        <is>
          <t>API</t>
        </is>
      </c>
      <c r="B51" s="14" t="inlineStr">
        <is>
          <t>Agora, Inc.</t>
        </is>
      </c>
      <c r="C51" s="14" t="inlineStr">
        <is>
          <t>P/B 0.71 · 29.9× EBITDA · cash 62% · 52w 52%</t>
        </is>
      </c>
      <c r="D51" s="14" t="n">
        <v>98</v>
      </c>
      <c r="E51" s="14" t="n"/>
      <c r="F51" s="14" t="inlineStr">
        <is>
          <t>ACT SIGNALLED</t>
        </is>
      </c>
      <c r="G51" s="27" t="n">
        <v>0.62</v>
      </c>
      <c r="H51" s="27" t="n">
        <v>0.71</v>
      </c>
      <c r="I51" s="27" t="n">
        <v>0</v>
      </c>
      <c r="J51" s="27" t="n">
        <v>37</v>
      </c>
      <c r="K51" s="14" t="inlineStr">
        <is>
          <t>–</t>
        </is>
      </c>
      <c r="L51" s="14" t="inlineStr">
        <is>
          <t>2026-08-13</t>
        </is>
      </c>
      <c r="M51" s="14" t="inlineStr">
        <is>
          <t>buyback, cost</t>
        </is>
      </c>
      <c r="N51" s="14" t="inlineStr">
        <is>
          <t>[buyback] “During Q2, we repurchased approximately 1 million ADS for approximately $3.7 million.”</t>
        </is>
      </c>
      <c r="O51" s="14" t="inlineStr">
        <is>
          <t>P/B 0.71 · EV/EBITDA 29.9× · FCF yld -5% · net cash 62% of mcap · rev +14% · op margin -4% · buying back 6%/yr</t>
        </is>
      </c>
    </row>
    <row r="52" ht="30" customHeight="1">
      <c r="A52" s="8" t="inlineStr">
        <is>
          <t>KBH</t>
        </is>
      </c>
      <c r="B52" s="16" t="inlineStr">
        <is>
          <t>KB Home</t>
        </is>
      </c>
      <c r="C52" s="16" t="inlineStr">
        <is>
          <t>P/B 0.78 · 15.5× EBITDA · debt 65% · 52w 20%</t>
        </is>
      </c>
      <c r="D52" s="16" t="n">
        <v>98</v>
      </c>
      <c r="E52" s="16" t="n"/>
      <c r="F52" s="16" t="inlineStr">
        <is>
          <t>ACT SIGNALLED</t>
        </is>
      </c>
      <c r="G52" s="28" t="n">
        <v>0.62</v>
      </c>
      <c r="H52" s="28" t="n">
        <v>0.78</v>
      </c>
      <c r="I52" s="28" t="n">
        <v>0</v>
      </c>
      <c r="J52" s="28" t="n">
        <v>50</v>
      </c>
      <c r="K52" s="16" t="inlineStr">
        <is>
          <t>–</t>
        </is>
      </c>
      <c r="L52" s="16" t="inlineStr">
        <is>
          <t>2026-09-22</t>
        </is>
      </c>
      <c r="M52" s="16" t="inlineStr">
        <is>
          <t>buyback, dividend_return</t>
        </is>
      </c>
      <c r="N52" s="16" t="inlineStr">
        <is>
          <t>[buyback] “We repurchased about 890,000 shares of our common stock, or roughly 1.5% of our shares outstanding, at an average price below our current book value per share.”</t>
        </is>
      </c>
      <c r="O52" s="16" t="inlineStr">
        <is>
          <t>P/B 0.78 · EV/EBITDA 15.5× · FCF yld 12% · net debt 65% of mcap · rev -18% · op margin 5% · buying back 12%/yr</t>
        </is>
      </c>
    </row>
    <row r="53" ht="30" customHeight="1">
      <c r="A53" s="6" t="inlineStr">
        <is>
          <t>GLRE</t>
        </is>
      </c>
      <c r="B53" s="14" t="inlineStr">
        <is>
          <t>Greenlight Capital R</t>
        </is>
      </c>
      <c r="C53" s="14" t="inlineStr">
        <is>
          <t>P/B 0.71 · P/E 10.0 · 52w 43%</t>
        </is>
      </c>
      <c r="D53" s="14" t="n">
        <v>97</v>
      </c>
      <c r="E53" s="14" t="n"/>
      <c r="F53" s="14" t="inlineStr">
        <is>
          <t>ACT SIGNALLED</t>
        </is>
      </c>
      <c r="G53" s="27" t="n">
        <v>0.62</v>
      </c>
      <c r="H53" s="27" t="n">
        <v>0.71</v>
      </c>
      <c r="I53" s="27" t="n">
        <v>0</v>
      </c>
      <c r="J53" s="27" t="n">
        <v>7</v>
      </c>
      <c r="K53" s="14" t="inlineStr">
        <is>
          <t>–</t>
        </is>
      </c>
      <c r="L53" s="14" t="inlineStr">
        <is>
          <t>2026-08-05</t>
        </is>
      </c>
      <c r="M53" s="14" t="inlineStr">
        <is>
          <t>buyback, value_gap</t>
        </is>
      </c>
      <c r="N53" s="14" t="inlineStr">
        <is>
          <t>[buyback] “Subsequently, we repurchased an additional $3.9 million of shares.”</t>
        </is>
      </c>
      <c r="O53" s="14" t="inlineStr">
        <is>
          <t>P/B 0.71 · P/E 10.0 · ROE 7% · buying back 4%/yr (financial: book/earnings basis)</t>
        </is>
      </c>
    </row>
    <row r="54" ht="30" customHeight="1">
      <c r="A54" s="8" t="inlineStr">
        <is>
          <t>TALO</t>
        </is>
      </c>
      <c r="B54" s="16" t="inlineStr">
        <is>
          <t>Talos Energy, Inc.</t>
        </is>
      </c>
      <c r="C54" s="16" t="inlineStr">
        <is>
          <t>P/B 1.36 · 5.2× EBITDA · debt 24% · 52w 78%</t>
        </is>
      </c>
      <c r="D54" s="16" t="n">
        <v>97</v>
      </c>
      <c r="E54" s="16" t="n"/>
      <c r="F54" s="16" t="inlineStr">
        <is>
          <t>ACT SIGNALLED</t>
        </is>
      </c>
      <c r="G54" s="28" t="n">
        <v>0.62</v>
      </c>
      <c r="H54" s="28" t="n">
        <v>1.36</v>
      </c>
      <c r="I54" s="28" t="n">
        <v>0.9</v>
      </c>
      <c r="J54" s="28" t="n">
        <v>6</v>
      </c>
      <c r="K54" s="16" t="inlineStr">
        <is>
          <t>✓</t>
        </is>
      </c>
      <c r="L54" s="16" t="inlineStr">
        <is>
          <t>2026-08-05</t>
        </is>
      </c>
      <c r="M54" s="16" t="inlineStr">
        <is>
          <t>NEW monetize, buyback, governance</t>
        </is>
      </c>
      <c r="N54" s="16" t="inlineStr">
        <is>
          <t>[monetize] “As a result, we increased stand-alone production guidance despite the impact of the shelf divestment, generated record free cash flow, and we entered the second half of the year wi”</t>
        </is>
      </c>
      <c r="O54" s="16" t="inlineStr">
        <is>
          <t>P/B 1.36 · EV/EBITDA 5.2× · FCF yld 12% · net debt 24% of mcap · rev +2% · op margin 3% · buying back 4%/yr · interest cover 0.4× ⚠</t>
        </is>
      </c>
    </row>
    <row r="55" ht="30" customHeight="1">
      <c r="A55" s="6" t="inlineStr">
        <is>
          <t>PLGO</t>
        </is>
      </c>
      <c r="B55" s="14" t="inlineStr">
        <is>
          <t>Pelagos Insurance Ca</t>
        </is>
      </c>
      <c r="C55" s="14" t="inlineStr">
        <is>
          <t>P/B 0.92 · P/E 5.8 · 52w 74%</t>
        </is>
      </c>
      <c r="D55" s="14" t="n">
        <v>97</v>
      </c>
      <c r="E55" s="14" t="n"/>
      <c r="F55" s="14" t="inlineStr">
        <is>
          <t>ACT SIGNALLED</t>
        </is>
      </c>
      <c r="G55" s="27" t="n">
        <v>0.62</v>
      </c>
      <c r="H55" s="27" t="n">
        <v>0.92</v>
      </c>
      <c r="I55" s="27" t="n">
        <v>0.7</v>
      </c>
      <c r="J55" s="27" t="n">
        <v>14</v>
      </c>
      <c r="K55" s="14" t="inlineStr">
        <is>
          <t>✓</t>
        </is>
      </c>
      <c r="L55" s="14" t="inlineStr">
        <is>
          <t>2026-08-13</t>
        </is>
      </c>
      <c r="M55" s="14" t="inlineStr">
        <is>
          <t>buyback, dividend_return, cost</t>
        </is>
      </c>
      <c r="N55" s="14" t="inlineStr">
        <is>
          <t>[buyback] “In the second quarter, we repurchased 2.8 million common shares for $60 million at an average price of $21.60 per share.”</t>
        </is>
      </c>
      <c r="O55" s="14" t="inlineStr">
        <is>
          <t>P/B 0.92 · P/E 5.8 · ROE 17% · div yld 2.5% (financial: book/earnings basis)  [share-count history inconsistent (foreign line)]</t>
        </is>
      </c>
    </row>
    <row r="56" ht="30" customHeight="1">
      <c r="A56" s="8" t="inlineStr">
        <is>
          <t>VST</t>
        </is>
      </c>
      <c r="B56" s="16" t="inlineStr">
        <is>
          <t>Vistra Corp.</t>
        </is>
      </c>
      <c r="C56" s="16" t="inlineStr">
        <is>
          <t>P/B 8.60 · 10.2× EBITDA · debt 41% · 52w 9%</t>
        </is>
      </c>
      <c r="D56" s="16" t="n">
        <v>97</v>
      </c>
      <c r="E56" s="16" t="n"/>
      <c r="F56" s="16" t="inlineStr">
        <is>
          <t>ACT SIGNALLED</t>
        </is>
      </c>
      <c r="G56" s="28" t="n">
        <v>0.62</v>
      </c>
      <c r="H56" s="28" t="n">
        <v>8.6</v>
      </c>
      <c r="I56" s="28" t="n">
        <v>0</v>
      </c>
      <c r="J56" s="28" t="n">
        <v>14</v>
      </c>
      <c r="K56" s="16" t="inlineStr">
        <is>
          <t>–</t>
        </is>
      </c>
      <c r="L56" s="16" t="inlineStr">
        <is>
          <t>2026-08-07</t>
        </is>
      </c>
      <c r="M56" s="16" t="inlineStr">
        <is>
          <t>buyback, dividend_return</t>
        </is>
      </c>
      <c r="N56" s="16" t="inlineStr">
        <is>
          <t>[buyback] “I am also pleased to report that with the amount of repurchases through August 3rd, we have returned over $6.5 billion to our shareholders through share repurchases since initiatin”</t>
        </is>
      </c>
      <c r="O56" s="16" t="inlineStr">
        <is>
          <t>P/B 8.60 · EV/EBITDA 10.2× · FCF yld 3% · net debt 41% of mcap · rev -28% · op margin 2% · interest cover 0.3× ⚠</t>
        </is>
      </c>
    </row>
    <row r="57" ht="30" customHeight="1">
      <c r="A57" s="6" t="inlineStr">
        <is>
          <t>MTH</t>
        </is>
      </c>
      <c r="B57" s="14" t="inlineStr">
        <is>
          <t>Meritage Homes Corpo</t>
        </is>
      </c>
      <c r="C57" s="14" t="inlineStr">
        <is>
          <t>P/B 0.86 · 10.5× EBITDA · debt 24% · 52w 26%</t>
        </is>
      </c>
      <c r="D57" s="14" t="n">
        <v>97</v>
      </c>
      <c r="E57" s="14" t="n"/>
      <c r="F57" s="14" t="inlineStr">
        <is>
          <t>ACT SIGNALLED</t>
        </is>
      </c>
      <c r="G57" s="27" t="n">
        <v>0.62</v>
      </c>
      <c r="H57" s="27" t="n">
        <v>0.86</v>
      </c>
      <c r="I57" s="27" t="n">
        <v>0</v>
      </c>
      <c r="J57" s="27" t="n">
        <v>3</v>
      </c>
      <c r="K57" s="14" t="inlineStr">
        <is>
          <t>✓</t>
        </is>
      </c>
      <c r="L57" s="14" t="inlineStr">
        <is>
          <t>2026-07-30</t>
        </is>
      </c>
      <c r="M57" s="14" t="inlineStr">
        <is>
          <t>buyback, value_gap, anticipation</t>
        </is>
      </c>
      <c r="N57" s="14" t="inlineStr">
        <is>
          <t>[buyback] “We also returned $131 million this quarter to shareholders through dividends and share repurchases.”</t>
        </is>
      </c>
      <c r="O57" s="14" t="inlineStr">
        <is>
          <t>P/B 0.86 · EV/EBITDA 10.5× · FCF yld 10% · net debt 24% of mcap · rev -12% · op margin 8% · buying back 7%/yr</t>
        </is>
      </c>
    </row>
    <row r="58" ht="30" customHeight="1">
      <c r="A58" s="8" t="inlineStr">
        <is>
          <t>GNW</t>
        </is>
      </c>
      <c r="B58" s="16" t="inlineStr">
        <is>
          <t>Genworth Financial,</t>
        </is>
      </c>
      <c r="C58" s="16" t="inlineStr">
        <is>
          <t>P/B 0.42 · P/E 17.6 · 52w 63%</t>
        </is>
      </c>
      <c r="D58" s="16" t="n">
        <v>97</v>
      </c>
      <c r="E58" s="16" t="n"/>
      <c r="F58" s="16" t="inlineStr">
        <is>
          <t>ACT SIGNALLED</t>
        </is>
      </c>
      <c r="G58" s="28" t="n">
        <v>0.62</v>
      </c>
      <c r="H58" s="28" t="n">
        <v>0.42</v>
      </c>
      <c r="I58" s="28" t="n">
        <v>0</v>
      </c>
      <c r="J58" s="28" t="n">
        <v>25</v>
      </c>
      <c r="K58" s="16" t="inlineStr">
        <is>
          <t>–</t>
        </is>
      </c>
      <c r="L58" s="16" t="inlineStr">
        <is>
          <t>2026-08-06</t>
        </is>
      </c>
      <c r="M58" s="16" t="inlineStr">
        <is>
          <t>buyback, delever, dividend_return</t>
        </is>
      </c>
      <c r="N58" s="16" t="inlineStr">
        <is>
          <t>[buyback] “During the quarter, we repurchased $62 million of shares at an average price of $8.74 per share and an additional $4 million in July.”</t>
        </is>
      </c>
      <c r="O58" s="16" t="inlineStr">
        <is>
          <t>P/B 0.42 · P/E 17.6 · ROE 2% · buying back 7%/yr (financial: book/earnings basis)</t>
        </is>
      </c>
    </row>
    <row r="59" ht="30" customHeight="1">
      <c r="A59" s="6" t="inlineStr">
        <is>
          <t>SKYW</t>
        </is>
      </c>
      <c r="B59" s="14" t="inlineStr">
        <is>
          <t>SkyWest, Inc.</t>
        </is>
      </c>
      <c r="C59" s="14" t="inlineStr">
        <is>
          <t>P/B 1.42 · 6.3× EBITDA · debt 43% · 52w 53%</t>
        </is>
      </c>
      <c r="D59" s="14" t="n">
        <v>97</v>
      </c>
      <c r="E59" s="14" t="n"/>
      <c r="F59" s="14" t="inlineStr">
        <is>
          <t>ACT SIGNALLED</t>
        </is>
      </c>
      <c r="G59" s="27" t="n">
        <v>0.62</v>
      </c>
      <c r="H59" s="27" t="n">
        <v>1.42</v>
      </c>
      <c r="I59" s="27" t="n">
        <v>1.5</v>
      </c>
      <c r="J59" s="27" t="n">
        <v>50</v>
      </c>
      <c r="K59" s="14" t="inlineStr">
        <is>
          <t>✓</t>
        </is>
      </c>
      <c r="L59" s="14" t="inlineStr">
        <is>
          <t>2026-07-23</t>
        </is>
      </c>
      <c r="M59" s="14" t="inlineStr">
        <is>
          <t>buyback, delever, anticipation</t>
        </is>
      </c>
      <c r="N59" s="14" t="inlineStr">
        <is>
          <t>[buyback] “And as announced today, the Board has authorized an additional $250 million of share repurchase on top of the $63 million.”</t>
        </is>
      </c>
      <c r="O59" s="14" t="inlineStr">
        <is>
          <t>P/B 1.42 · EV/EBITDA 6.3× · FCF yld 8% · net debt 43% of mcap · rev +9% · op margin 14% · buying back 3%/yr</t>
        </is>
      </c>
    </row>
    <row r="60" ht="30" customHeight="1">
      <c r="A60" s="8" t="inlineStr">
        <is>
          <t>ARI</t>
        </is>
      </c>
      <c r="B60" s="16" t="inlineStr">
        <is>
          <t>Apollo Commercial Re</t>
        </is>
      </c>
      <c r="C60" s="16" t="inlineStr">
        <is>
          <t>P/B 0.66 · cash 105% · 52w 1%</t>
        </is>
      </c>
      <c r="D60" s="16" t="n">
        <v>97</v>
      </c>
      <c r="E60" s="16" t="n"/>
      <c r="F60" s="16" t="inlineStr">
        <is>
          <t>ACT SIGNALLED</t>
        </is>
      </c>
      <c r="G60" s="28" t="n">
        <v>0.61</v>
      </c>
      <c r="H60" s="28" t="n">
        <v>0.66</v>
      </c>
      <c r="I60" s="28" t="n">
        <v>5.2</v>
      </c>
      <c r="J60" s="28" t="n">
        <v>16</v>
      </c>
      <c r="K60" s="16" t="inlineStr">
        <is>
          <t>✓</t>
        </is>
      </c>
      <c r="L60" s="16" t="inlineStr">
        <is>
          <t>2026-04-29</t>
        </is>
      </c>
      <c r="M60" s="16" t="inlineStr">
        <is>
          <t>NEW buyback, NEW strategic_review, antic</t>
        </is>
      </c>
      <c r="N60" s="16" t="inlineStr">
        <is>
          <t>[buyback] “Following the quarter end, we repurchased an additional 3.9 million shares at a weighted average price of $10.72, bringing total repurchases year-to-date to approximately 6.8 milli”</t>
        </is>
      </c>
      <c r="O60" s="16" t="inlineStr">
        <is>
          <t>P/B 0.66 · P/S 3.1 · FCF yld 5% · net cash 105% of mcap · rev -59% · op margin 149% · buying back 5%/yr  [dividend yield &gt;25% (special or bad data)]</t>
        </is>
      </c>
    </row>
    <row r="61" ht="30" customHeight="1">
      <c r="A61" s="6" t="inlineStr">
        <is>
          <t>LAD</t>
        </is>
      </c>
      <c r="B61" s="14" t="inlineStr">
        <is>
          <t>Lithia Motors, Inc.</t>
        </is>
      </c>
      <c r="C61" s="14" t="inlineStr">
        <is>
          <t>P/B 1.06 · 16.3× EBITDA · debt 238% · 52w 35%</t>
        </is>
      </c>
      <c r="D61" s="14" t="n">
        <v>97</v>
      </c>
      <c r="E61" s="14" t="n"/>
      <c r="F61" s="14" t="inlineStr">
        <is>
          <t>ACT SIGNALLED</t>
        </is>
      </c>
      <c r="G61" s="27" t="n">
        <v>0.61</v>
      </c>
      <c r="H61" s="27" t="n">
        <v>1.06</v>
      </c>
      <c r="I61" s="27" t="n">
        <v>1.6</v>
      </c>
      <c r="J61" s="27" t="n">
        <v>6</v>
      </c>
      <c r="K61" s="14" t="inlineStr">
        <is>
          <t>✓</t>
        </is>
      </c>
      <c r="L61" s="14" t="inlineStr">
        <is>
          <t>2026-07-29</t>
        </is>
      </c>
      <c r="M61" s="14" t="inlineStr">
        <is>
          <t>NEW monetize, buyback, value_gap</t>
        </is>
      </c>
      <c r="N61" s="14" t="inlineStr">
        <is>
          <t>[monetize] “In the first half of the year, we made strategic acquisitions of $765 million in revenue and divested $120 million of underperforming revenue that also generated extra capital to p”</t>
        </is>
      </c>
      <c r="O61" s="14" t="inlineStr">
        <is>
          <t>P/B 1.06 · EV/EBITDA 16.3× · FCF yld -7% · net debt 238% of mcap · rev +2% · op margin 2% · buying back 15%/yr · interest cover 1.2× ⚠</t>
        </is>
      </c>
    </row>
    <row r="62" ht="30" customHeight="1">
      <c r="A62" s="8" t="inlineStr">
        <is>
          <t>AGCO</t>
        </is>
      </c>
      <c r="B62" s="16" t="inlineStr">
        <is>
          <t>AGCO Corporation</t>
        </is>
      </c>
      <c r="C62" s="16" t="inlineStr">
        <is>
          <t>P/B 2.13 · 7.6× EBITDA · cash 5% · 52w 57%</t>
        </is>
      </c>
      <c r="D62" s="16" t="n">
        <v>97</v>
      </c>
      <c r="E62" s="16" t="n"/>
      <c r="F62" s="16" t="inlineStr">
        <is>
          <t>ACT SIGNALLED</t>
        </is>
      </c>
      <c r="G62" s="28" t="n">
        <v>0.61</v>
      </c>
      <c r="H62" s="28" t="n">
        <v>2.13</v>
      </c>
      <c r="I62" s="28" t="n">
        <v>0.1</v>
      </c>
      <c r="J62" s="28" t="n">
        <v>5</v>
      </c>
      <c r="K62" s="16" t="inlineStr">
        <is>
          <t>–</t>
        </is>
      </c>
      <c r="L62" s="16" t="inlineStr">
        <is>
          <t>2026-07-30</t>
        </is>
      </c>
      <c r="M62" s="16" t="inlineStr">
        <is>
          <t>buyback, cost, monetize</t>
        </is>
      </c>
      <c r="N62" s="16" t="inlineStr">
        <is>
          <t>[buyback] “Adjusted earnings per share are now expected to be in the range of $5.50 to $5.75 per share The revised outlook reflects our updated volume assumptions partially offset by focused ”</t>
        </is>
      </c>
      <c r="O62" s="16" t="inlineStr">
        <is>
          <t>P/B 2.13 · EV/EBITDA 7.6× · FCF yld 4% · net cash 5% of mcap · rev +2% · op margin 7% · buying back 5%/yr</t>
        </is>
      </c>
    </row>
    <row r="63" ht="30" customHeight="1">
      <c r="A63" s="6" t="inlineStr">
        <is>
          <t>BZ</t>
        </is>
      </c>
      <c r="B63" s="14" t="inlineStr">
        <is>
          <t>Kanzhun Limited</t>
        </is>
      </c>
      <c r="C63" s="14" t="inlineStr">
        <is>
          <t>P/B 2.10 · 6.3× EBITDA · cash 47% · 52w 15%</t>
        </is>
      </c>
      <c r="D63" s="14" t="n">
        <v>97</v>
      </c>
      <c r="E63" s="14" t="n"/>
      <c r="F63" s="14" t="inlineStr">
        <is>
          <t>ACT SIGNALLED</t>
        </is>
      </c>
      <c r="G63" s="27" t="n">
        <v>0.61</v>
      </c>
      <c r="H63" s="27" t="n">
        <v>2.09</v>
      </c>
      <c r="I63" s="27" t="n">
        <v>0</v>
      </c>
      <c r="J63" s="27" t="n">
        <v>10</v>
      </c>
      <c r="K63" s="14" t="inlineStr">
        <is>
          <t>–</t>
        </is>
      </c>
      <c r="L63" s="14" t="inlineStr">
        <is>
          <t>2026-08-25</t>
        </is>
      </c>
      <c r="M63" s="14" t="inlineStr">
        <is>
          <t>buyback, monetize</t>
        </is>
      </c>
      <c r="N63" s="14" t="inlineStr">
        <is>
          <t>[buyback] “Since the beginning of this year, the company has repurchased approximately $300 million worth of shares, representing more than 4.7% of its total share capital.”</t>
        </is>
      </c>
      <c r="O63" s="14" t="inlineStr">
        <is>
          <t>P/B 2.10 · EV/EBITDA 6.3× · FCF yld 10% · net cash 47% of mcap · rev +12% · op margin 33% · diluting 3%/yr</t>
        </is>
      </c>
    </row>
    <row r="64" ht="30" customHeight="1">
      <c r="A64" s="8" t="inlineStr">
        <is>
          <t>DNOW</t>
        </is>
      </c>
      <c r="B64" s="16" t="inlineStr">
        <is>
          <t>DNOW Inc.</t>
        </is>
      </c>
      <c r="C64" s="16" t="inlineStr">
        <is>
          <t>P/B 1.37 · debt 18% · 52w 76%</t>
        </is>
      </c>
      <c r="D64" s="16" t="n">
        <v>97</v>
      </c>
      <c r="E64" s="16" t="n"/>
      <c r="F64" s="16" t="inlineStr">
        <is>
          <t>ACT SIGNALLED</t>
        </is>
      </c>
      <c r="G64" s="28" t="n">
        <v>0.61</v>
      </c>
      <c r="H64" s="28" t="n">
        <v>1.37</v>
      </c>
      <c r="I64" s="28" t="n">
        <v>0</v>
      </c>
      <c r="J64" s="28" t="n">
        <v>7</v>
      </c>
      <c r="K64" s="16" t="inlineStr">
        <is>
          <t>✓</t>
        </is>
      </c>
      <c r="L64" s="16" t="inlineStr">
        <is>
          <t>2026-08-06</t>
        </is>
      </c>
      <c r="M64" s="16" t="inlineStr">
        <is>
          <t>buyback, dividend_return, cost</t>
        </is>
      </c>
      <c r="N64" s="16" t="inlineStr">
        <is>
          <t>[buyback] “And additionally, we repurchased $25 million in shares in the second quarter.”</t>
        </is>
      </c>
      <c r="O64" s="16" t="inlineStr">
        <is>
          <t>P/B 1.37 · P/S 0.7 · FCF yld 5% · net debt 18% of mcap · rev +70% · op margin -3% · diluting 72%/yr</t>
        </is>
      </c>
    </row>
    <row r="65" ht="30" customHeight="1">
      <c r="A65" s="6" t="inlineStr">
        <is>
          <t>EIG</t>
        </is>
      </c>
      <c r="B65" s="14" t="inlineStr">
        <is>
          <t>Employers Holdings I</t>
        </is>
      </c>
      <c r="C65" s="14" t="inlineStr">
        <is>
          <t>P/B 1.16 · P/E 69.2 · 52w 73%</t>
        </is>
      </c>
      <c r="D65" s="14" t="n">
        <v>97</v>
      </c>
      <c r="E65" s="14" t="n"/>
      <c r="F65" s="14" t="inlineStr">
        <is>
          <t>ACT SIGNALLED</t>
        </is>
      </c>
      <c r="G65" s="27" t="n">
        <v>0.61</v>
      </c>
      <c r="H65" s="27" t="n">
        <v>1.16</v>
      </c>
      <c r="I65" s="27" t="n">
        <v>0.4</v>
      </c>
      <c r="J65" s="27" t="n">
        <v>3</v>
      </c>
      <c r="K65" s="14" t="inlineStr">
        <is>
          <t>–</t>
        </is>
      </c>
      <c r="L65" s="14" t="inlineStr">
        <is>
          <t>2026-07-30</t>
        </is>
      </c>
      <c r="M65" s="14" t="inlineStr">
        <is>
          <t>buyback, value_gap, governance</t>
        </is>
      </c>
      <c r="N65" s="14" t="inlineStr">
        <is>
          <t>[buyback] “During the second quarter, we repurchased 652 thousand shares of our common stock at an average price of $42.43 per share for $28 million.”</t>
        </is>
      </c>
      <c r="O65" s="14" t="inlineStr">
        <is>
          <t>P/B 1.16 · P/E 69.2 · ROE 1% · div yld 2.8% · buying back 24%/yr (financial: book/earnings basis)</t>
        </is>
      </c>
    </row>
    <row r="66" ht="30" customHeight="1">
      <c r="A66" s="8" t="inlineStr">
        <is>
          <t>COLB</t>
        </is>
      </c>
      <c r="B66" s="16" t="inlineStr">
        <is>
          <t>Columbia Banking Sys</t>
        </is>
      </c>
      <c r="C66" s="16" t="inlineStr">
        <is>
          <t>P/B 1.10 · P/E 11.5 · 52w 55%</t>
        </is>
      </c>
      <c r="D66" s="16" t="n">
        <v>97</v>
      </c>
      <c r="E66" s="16" t="n"/>
      <c r="F66" s="16" t="inlineStr">
        <is>
          <t>ACT SIGNALLED</t>
        </is>
      </c>
      <c r="G66" s="28" t="n">
        <v>0.61</v>
      </c>
      <c r="H66" s="28" t="n">
        <v>1.1</v>
      </c>
      <c r="I66" s="28" t="n">
        <v>1.2</v>
      </c>
      <c r="J66" s="28" t="n">
        <v>12</v>
      </c>
      <c r="K66" s="16" t="inlineStr">
        <is>
          <t>–</t>
        </is>
      </c>
      <c r="L66" s="16" t="inlineStr">
        <is>
          <t>2026-07-23</t>
        </is>
      </c>
      <c r="M66" s="16" t="inlineStr">
        <is>
          <t>buyback, anticipation, dividend_return</t>
        </is>
      </c>
      <c r="N66" s="16" t="inlineStr">
        <is>
          <t>[buyback] “During the second quarter, as Clint indicated, we repurchased 6.6 million common shares, returning approximately $200 million to our shareholders through our share repurchase progr”</t>
        </is>
      </c>
      <c r="O66" s="16" t="inlineStr">
        <is>
          <t>P/B 1.10 · P/E 11.5 · ROE 9% · div yld 5.1% · diluting 36%/yr (financial: book/earnings basis)</t>
        </is>
      </c>
    </row>
    <row r="67" ht="30" customHeight="1">
      <c r="A67" s="6" t="inlineStr">
        <is>
          <t>PERI</t>
        </is>
      </c>
      <c r="B67" s="14" t="inlineStr">
        <is>
          <t>Perion Network Ltd.</t>
        </is>
      </c>
      <c r="C67" s="14" t="inlineStr">
        <is>
          <t>P/B 0.57 · 41.5× EBITDA · cash 69% · 52w 28%</t>
        </is>
      </c>
      <c r="D67" s="14" t="n">
        <v>97</v>
      </c>
      <c r="E67" s="14" t="n"/>
      <c r="F67" s="14" t="inlineStr">
        <is>
          <t>ACT SIGNALLED</t>
        </is>
      </c>
      <c r="G67" s="27" t="n">
        <v>0.6</v>
      </c>
      <c r="H67" s="27" t="n">
        <v>0.57</v>
      </c>
      <c r="I67" s="27" t="n">
        <v>0.2</v>
      </c>
      <c r="J67" s="27" t="n">
        <v>44</v>
      </c>
      <c r="K67" s="14" t="inlineStr">
        <is>
          <t>–</t>
        </is>
      </c>
      <c r="L67" s="14" t="inlineStr">
        <is>
          <t>2026-08-10</t>
        </is>
      </c>
      <c r="M67" s="14" t="inlineStr">
        <is>
          <t>buyback, cost, monetize</t>
        </is>
      </c>
      <c r="N67" s="14" t="inlineStr">
        <is>
          <t>[buyback] “Since the initiation of this buyback program, 9 quarters ago, we have repurchased a cumulative total of 18.0 million shares for $166.8 million.”</t>
        </is>
      </c>
      <c r="O67" s="14" t="inlineStr">
        <is>
          <t>P/B 0.57 · EV/EBITDA 41.5× · FCF yld 10% · net cash 69% of mcap · rev +3% · op margin -4% · buying back 12%/yr</t>
        </is>
      </c>
    </row>
    <row r="68" ht="30" customHeight="1">
      <c r="A68" s="8" t="inlineStr">
        <is>
          <t>FIBK</t>
        </is>
      </c>
      <c r="B68" s="16" t="inlineStr">
        <is>
          <t>First Interstate Ban</t>
        </is>
      </c>
      <c r="C68" s="16" t="inlineStr">
        <is>
          <t>P/B 1.07 · P/E 11.1 · 52w 64%</t>
        </is>
      </c>
      <c r="D68" s="16" t="n">
        <v>97</v>
      </c>
      <c r="E68" s="16" t="n"/>
      <c r="F68" s="16" t="inlineStr">
        <is>
          <t>ACT SIGNALLED</t>
        </is>
      </c>
      <c r="G68" s="28" t="n">
        <v>0.6</v>
      </c>
      <c r="H68" s="28" t="n">
        <v>1.07</v>
      </c>
      <c r="I68" s="28" t="n">
        <v>0</v>
      </c>
      <c r="J68" s="28" t="n">
        <v>12</v>
      </c>
      <c r="K68" s="16" t="inlineStr">
        <is>
          <t>✓</t>
        </is>
      </c>
      <c r="L68" s="16" t="inlineStr">
        <is>
          <t>2026-07-24</t>
        </is>
      </c>
      <c r="M68" s="16" t="inlineStr">
        <is>
          <t>buyback, monetize</t>
        </is>
      </c>
      <c r="N68" s="16" t="inlineStr">
        <is>
          <t>[buyback] “We repurchased approximately 1.9 million shares in the second quarter totaling approximately $69 million and repurchases since initiation of the program in August totaled about $27”</t>
        </is>
      </c>
      <c r="O68" s="16" t="inlineStr">
        <is>
          <t>P/B 1.07 · P/E 11.1 · ROE 10% · div yld 5.2% · buying back 6%/yr (financial: book/earnings basis)</t>
        </is>
      </c>
    </row>
    <row r="69" ht="30" customHeight="1">
      <c r="A69" s="6" t="inlineStr">
        <is>
          <t>WD</t>
        </is>
      </c>
      <c r="B69" s="14" t="inlineStr">
        <is>
          <t>Walker &amp; Dunlop, Inc</t>
        </is>
      </c>
      <c r="C69" s="14" t="inlineStr">
        <is>
          <t>P/B 0.74 · P/E 31.7 · 52w 0%</t>
        </is>
      </c>
      <c r="D69" s="14" t="n">
        <v>97</v>
      </c>
      <c r="E69" s="14" t="n"/>
      <c r="F69" s="14" t="inlineStr">
        <is>
          <t>ACT SIGNALLED</t>
        </is>
      </c>
      <c r="G69" s="27" t="n">
        <v>0.6</v>
      </c>
      <c r="H69" s="27" t="n">
        <v>0.74</v>
      </c>
      <c r="I69" s="27" t="n">
        <v>0.4</v>
      </c>
      <c r="J69" s="27" t="n">
        <v>7</v>
      </c>
      <c r="K69" s="14" t="inlineStr">
        <is>
          <t>✓</t>
        </is>
      </c>
      <c r="L69" s="14" t="inlineStr">
        <is>
          <t>2026-05-07</t>
        </is>
      </c>
      <c r="M69" s="14" t="inlineStr">
        <is>
          <t>buyback, delever, anticipation</t>
        </is>
      </c>
      <c r="N69" s="14" t="inlineStr">
        <is>
          <t>[buyback] “We have begun executing on our disposition plan and expect to have 2 assets under contract in the second quarter with a goal of reducing our repurchase exposure to between $100 mil”</t>
        </is>
      </c>
      <c r="O69" s="14" t="inlineStr">
        <is>
          <t>P/B 0.74 · P/E 31.7 · ROE 2% · div yld 7.3% (financial: book/earnings basis)  [FCF yield &gt;100% (check)]</t>
        </is>
      </c>
    </row>
    <row r="70" ht="30" customHeight="1">
      <c r="A70" s="8" t="inlineStr">
        <is>
          <t>WHF</t>
        </is>
      </c>
      <c r="B70" s="16" t="inlineStr">
        <is>
          <t>WhiteHorse Finance,</t>
        </is>
      </c>
      <c r="C70" s="16" t="inlineStr">
        <is>
          <t>P/B 0.61 · P/E 9.1 · 52w 61%</t>
        </is>
      </c>
      <c r="D70" s="16" t="n">
        <v>97</v>
      </c>
      <c r="E70" s="16" t="n"/>
      <c r="F70" s="16" t="inlineStr">
        <is>
          <t>ACT SIGNALLED</t>
        </is>
      </c>
      <c r="G70" s="28" t="n">
        <v>0.6</v>
      </c>
      <c r="H70" s="28" t="n">
        <v>0.61</v>
      </c>
      <c r="I70" s="28" t="n">
        <v>0.8</v>
      </c>
      <c r="J70" s="28" t="n">
        <v>8</v>
      </c>
      <c r="K70" s="16" t="inlineStr">
        <is>
          <t>✓</t>
        </is>
      </c>
      <c r="L70" s="16" t="inlineStr">
        <is>
          <t>2026-08-11</t>
        </is>
      </c>
      <c r="M70" s="16" t="inlineStr">
        <is>
          <t>buyback, cost, value_gap</t>
        </is>
      </c>
      <c r="N70" s="16" t="inlineStr">
        <is>
          <t>[buyback] “In regards to our share repurchase program, the company repurchased approximately 345,000 shares during the second quarter at a weighted average price of approximately $7.42 per sh”</t>
        </is>
      </c>
      <c r="O70" s="16" t="inlineStr">
        <is>
          <t>P/B 0.61 · P/E 9.1 · ROE 7% · div yld 14.7% · buying back 7%/yr (financial: book/earnings basis)</t>
        </is>
      </c>
    </row>
    <row r="71" ht="30" customHeight="1">
      <c r="A71" s="6" t="inlineStr">
        <is>
          <t>BILL</t>
        </is>
      </c>
      <c r="B71" s="14" t="inlineStr">
        <is>
          <t>BILL Holdings, Inc.</t>
        </is>
      </c>
      <c r="C71" s="14" t="inlineStr">
        <is>
          <t>P/B 1.22 · 43.4× EBITDA · cash 6% · 52w 58%</t>
        </is>
      </c>
      <c r="D71" s="14" t="n">
        <v>96</v>
      </c>
      <c r="E71" s="14" t="n"/>
      <c r="F71" s="14" t="inlineStr">
        <is>
          <t>ACT SIGNALLED</t>
        </is>
      </c>
      <c r="G71" s="27" t="n">
        <v>0.6</v>
      </c>
      <c r="H71" s="27" t="n">
        <v>1.22</v>
      </c>
      <c r="I71" s="27" t="n">
        <v>1.1</v>
      </c>
      <c r="J71" s="27" t="n">
        <v>21</v>
      </c>
      <c r="K71" s="14" t="inlineStr">
        <is>
          <t>–</t>
        </is>
      </c>
      <c r="L71" s="14" t="inlineStr">
        <is>
          <t>2026-08-19</t>
        </is>
      </c>
      <c r="M71" s="14" t="inlineStr">
        <is>
          <t>buyback, anticipation, cost</t>
        </is>
      </c>
      <c r="N71" s="14" t="inlineStr">
        <is>
          <t>[buyback] “In the fourth quarter, we repurchased approximately $300 million of stock at an average price of $35.31 per share.”</t>
        </is>
      </c>
      <c r="O71" s="14" t="inlineStr">
        <is>
          <t>P/B 1.22 · EV/EBITDA 43.4× · FCF yld 10% · net cash 6% of mcap · rev +12% · op margin 1% · buying back 3%/yr</t>
        </is>
      </c>
    </row>
    <row r="72" ht="30" customHeight="1">
      <c r="A72" s="8" t="inlineStr">
        <is>
          <t>ONB</t>
        </is>
      </c>
      <c r="B72" s="16" t="inlineStr">
        <is>
          <t>Old National Bancorp</t>
        </is>
      </c>
      <c r="C72" s="16" t="inlineStr">
        <is>
          <t>P/B 1.11 · P/E 10.9 · 52w 70%</t>
        </is>
      </c>
      <c r="D72" s="16" t="n">
        <v>96</v>
      </c>
      <c r="E72" s="16" t="n"/>
      <c r="F72" s="16" t="inlineStr">
        <is>
          <t>ACT SIGNALLED</t>
        </is>
      </c>
      <c r="G72" s="28" t="n">
        <v>0.6</v>
      </c>
      <c r="H72" s="28" t="n">
        <v>1.11</v>
      </c>
      <c r="I72" s="28" t="n">
        <v>1.9</v>
      </c>
      <c r="J72" s="28" t="n">
        <v>3</v>
      </c>
      <c r="K72" s="16" t="inlineStr">
        <is>
          <t>–</t>
        </is>
      </c>
      <c r="L72" s="16" t="inlineStr">
        <is>
          <t>2026-07-22</t>
        </is>
      </c>
      <c r="M72" s="16" t="inlineStr">
        <is>
          <t>buyback, dividend_return</t>
        </is>
      </c>
      <c r="N72" s="16" t="inlineStr">
        <is>
          <t>[buyback] “Specifically, during the second quarter, we returned a total of $163 million to shareholders in the form of increased cash dividends and share repurchases.”</t>
        </is>
      </c>
      <c r="O72" s="16" t="inlineStr">
        <is>
          <t>P/B 1.11 · P/E 10.9 · ROE 10% · div yld 2.3% · diluting 13%/yr (financial: book/earnings basis)</t>
        </is>
      </c>
    </row>
    <row r="73" ht="30" customHeight="1">
      <c r="A73" s="6" t="inlineStr">
        <is>
          <t>ONBPO</t>
        </is>
      </c>
      <c r="B73" s="14" t="inlineStr">
        <is>
          <t>Old National Bancorp</t>
        </is>
      </c>
      <c r="C73" s="14" t="inlineStr">
        <is>
          <t>P/B 1.19 · P/E 10.9 · 52w 29%</t>
        </is>
      </c>
      <c r="D73" s="14" t="n">
        <v>96</v>
      </c>
      <c r="E73" s="14" t="n"/>
      <c r="F73" s="14" t="inlineStr">
        <is>
          <t>ACT SIGNALLED</t>
        </is>
      </c>
      <c r="G73" s="27" t="n">
        <v>0.6</v>
      </c>
      <c r="H73" s="27" t="n">
        <v>1.19</v>
      </c>
      <c r="I73" s="27" t="n">
        <v>1.9</v>
      </c>
      <c r="J73" s="27" t="n">
        <v>3</v>
      </c>
      <c r="K73" s="14" t="inlineStr">
        <is>
          <t>–</t>
        </is>
      </c>
      <c r="L73" s="14" t="inlineStr">
        <is>
          <t>2026-07-22</t>
        </is>
      </c>
      <c r="M73" s="14" t="inlineStr">
        <is>
          <t>buyback, dividend_return</t>
        </is>
      </c>
      <c r="N73" s="14" t="inlineStr">
        <is>
          <t>[buyback] “Specifically, during the second quarter, we returned a total of $163 million to shareholders in the form of increased cash dividends and share repurchases.”</t>
        </is>
      </c>
      <c r="O73" s="14" t="inlineStr">
        <is>
          <t>P/B 1.19 · P/E 10.9 · ROE 10% · div yld 2.3% · diluting 13%/yr (financial: book/earnings basis)</t>
        </is>
      </c>
    </row>
    <row r="74" ht="30" customHeight="1">
      <c r="A74" s="8" t="inlineStr">
        <is>
          <t>ONBPP</t>
        </is>
      </c>
      <c r="B74" s="16" t="inlineStr">
        <is>
          <t>Old National Bancorp</t>
        </is>
      </c>
      <c r="C74" s="16" t="inlineStr">
        <is>
          <t>P/B 1.20 · P/E 10.9 · 52w 51%</t>
        </is>
      </c>
      <c r="D74" s="16" t="n">
        <v>96</v>
      </c>
      <c r="E74" s="16" t="n"/>
      <c r="F74" s="16" t="inlineStr">
        <is>
          <t>ACT SIGNALLED</t>
        </is>
      </c>
      <c r="G74" s="28" t="n">
        <v>0.6</v>
      </c>
      <c r="H74" s="28" t="n">
        <v>1.2</v>
      </c>
      <c r="I74" s="28" t="n">
        <v>1.9</v>
      </c>
      <c r="J74" s="28" t="n">
        <v>3</v>
      </c>
      <c r="K74" s="16" t="inlineStr">
        <is>
          <t>–</t>
        </is>
      </c>
      <c r="L74" s="16" t="inlineStr">
        <is>
          <t>2026-07-22</t>
        </is>
      </c>
      <c r="M74" s="16" t="inlineStr">
        <is>
          <t>buyback, dividend_return</t>
        </is>
      </c>
      <c r="N74" s="16" t="inlineStr">
        <is>
          <t>[buyback] “Specifically, during the second quarter, we returned a total of $163 million to shareholders in the form of increased cash dividends and share repurchases.”</t>
        </is>
      </c>
      <c r="O74" s="16" t="inlineStr">
        <is>
          <t>P/B 1.20 · P/E 10.9 · ROE 10% · div yld 2.3% · diluting 13%/yr (financial: book/earnings basis)</t>
        </is>
      </c>
    </row>
    <row r="75" ht="30" customHeight="1">
      <c r="A75" s="6" t="inlineStr">
        <is>
          <t>EXXRF</t>
        </is>
      </c>
      <c r="B75" s="14" t="inlineStr">
        <is>
          <t>–</t>
        </is>
      </c>
      <c r="C75" s="14" t="inlineStr">
        <is>
          <t>P/B 0.48 · 52w 33%</t>
        </is>
      </c>
      <c r="D75" s="14" t="n">
        <v>96</v>
      </c>
      <c r="E75" s="14" t="n"/>
      <c r="F75" s="14" t="inlineStr">
        <is>
          <t>ACT SIGNALLED</t>
        </is>
      </c>
      <c r="G75" s="27" t="n">
        <v>0.6</v>
      </c>
      <c r="H75" s="14" t="inlineStr">
        <is>
          <t>–</t>
        </is>
      </c>
      <c r="I75" s="27" t="n">
        <v>0.6</v>
      </c>
      <c r="J75" s="14" t="inlineStr">
        <is>
          <t>–</t>
        </is>
      </c>
      <c r="K75" s="14" t="inlineStr">
        <is>
          <t>–</t>
        </is>
      </c>
      <c r="L75" s="14" t="inlineStr">
        <is>
          <t>2026-09-23</t>
        </is>
      </c>
      <c r="M75" s="14" t="inlineStr">
        <is>
          <t>buyback, monetize, cost</t>
        </is>
      </c>
      <c r="N75" s="14" t="inlineStr">
        <is>
          <t>[buyback] “Let me now turn to the capital allocation decision we took in the Board yesterday, doing a EUR 500 million on-market buyback, and we'll execute that in the next 6 months.”</t>
        </is>
      </c>
      <c r="O75" s="14" t="inlineStr">
        <is>
          <t>P/B 0.48 · ROE -11% · div yld 0.7% · buying back 4%/yr (financial: book/earnings basis)</t>
        </is>
      </c>
    </row>
    <row r="76" ht="30" customHeight="1">
      <c r="A76" s="8" t="inlineStr">
        <is>
          <t>TSN</t>
        </is>
      </c>
      <c r="B76" s="16" t="inlineStr">
        <is>
          <t>Tyson Foods, Inc.</t>
        </is>
      </c>
      <c r="C76" s="16" t="inlineStr">
        <is>
          <t>P/B 1.00 · 9.8× EBITDA · debt 40% · 52w 3%</t>
        </is>
      </c>
      <c r="D76" s="16" t="n">
        <v>96</v>
      </c>
      <c r="E76" s="16" t="n"/>
      <c r="F76" s="16" t="inlineStr">
        <is>
          <t>ACT SIGNALLED</t>
        </is>
      </c>
      <c r="G76" s="28" t="n">
        <v>0.6</v>
      </c>
      <c r="H76" s="28" t="n">
        <v>1</v>
      </c>
      <c r="I76" s="28" t="n">
        <v>0.4</v>
      </c>
      <c r="J76" s="28" t="n">
        <v>14</v>
      </c>
      <c r="K76" s="16" t="inlineStr">
        <is>
          <t>–</t>
        </is>
      </c>
      <c r="L76" s="16" t="inlineStr">
        <is>
          <t>2026-08-03</t>
        </is>
      </c>
      <c r="M76" s="16" t="inlineStr">
        <is>
          <t>buyback, anticipation, dividend_return</t>
        </is>
      </c>
      <c r="N76" s="16" t="inlineStr">
        <is>
          <t>[buyback] “Since quarter end, we have repurchased an additional $49 million of our shares.”</t>
        </is>
      </c>
      <c r="O76" s="16" t="inlineStr">
        <is>
          <t>P/B 1.00 · EV/EBITDA 9.8× · FCF yld 6% · net debt 40% of mcap · rev +4% · op margin 2%</t>
        </is>
      </c>
    </row>
    <row r="77" ht="30" customHeight="1">
      <c r="A77" s="6" t="inlineStr">
        <is>
          <t>YALA</t>
        </is>
      </c>
      <c r="B77" s="14" t="inlineStr">
        <is>
          <t>Yalla Group Limited</t>
        </is>
      </c>
      <c r="C77" s="14" t="inlineStr">
        <is>
          <t>P/B 0.99 · 4.2× EBITDA · cash 97% · 52w 17%</t>
        </is>
      </c>
      <c r="D77" s="14" t="n">
        <v>96</v>
      </c>
      <c r="E77" s="14" t="n"/>
      <c r="F77" s="14" t="inlineStr">
        <is>
          <t>ACT SIGNALLED</t>
        </is>
      </c>
      <c r="G77" s="27" t="n">
        <v>0.6</v>
      </c>
      <c r="H77" s="27" t="n">
        <v>0.99</v>
      </c>
      <c r="I77" s="27" t="n">
        <v>0.8</v>
      </c>
      <c r="J77" s="27" t="n">
        <v>3</v>
      </c>
      <c r="K77" s="14" t="inlineStr">
        <is>
          <t>✓</t>
        </is>
      </c>
      <c r="L77" s="14" t="inlineStr">
        <is>
          <t>2026-08-17</t>
        </is>
      </c>
      <c r="M77" s="14" t="inlineStr">
        <is>
          <t>buyback, monetize, strategic_review</t>
        </is>
      </c>
      <c r="N77" s="14" t="inlineStr">
        <is>
          <t>[buyback] “During the quarter, we continued to deliver on our shareholder return commitment under the company's 2 share repurchase programs launched in 2021 and 2026.”</t>
        </is>
      </c>
      <c r="O77" s="14" t="inlineStr">
        <is>
          <t>P/B 0.99 · EV/EBITDA 4.2× · FCF yld 0% · net cash 97% of mcap · rev -4% · op margin 31% · buying back 3%/yr</t>
        </is>
      </c>
    </row>
    <row r="78" ht="30" customHeight="1">
      <c r="A78" s="8" t="inlineStr">
        <is>
          <t>SNDL</t>
        </is>
      </c>
      <c r="B78" s="16" t="inlineStr">
        <is>
          <t>SNDL Inc.</t>
        </is>
      </c>
      <c r="C78" s="16" t="inlineStr">
        <is>
          <t>P/B 0.48 · 13.3× EBITDA · cash 4% · 52w 13%</t>
        </is>
      </c>
      <c r="D78" s="16" t="n">
        <v>96</v>
      </c>
      <c r="E78" s="16" t="n"/>
      <c r="F78" s="16" t="inlineStr">
        <is>
          <t>ACT SIGNALLED</t>
        </is>
      </c>
      <c r="G78" s="28" t="n">
        <v>0.59</v>
      </c>
      <c r="H78" s="28" t="n">
        <v>0.47</v>
      </c>
      <c r="I78" s="28" t="n">
        <v>2</v>
      </c>
      <c r="J78" s="28" t="n">
        <v>11</v>
      </c>
      <c r="K78" s="16" t="inlineStr">
        <is>
          <t>–</t>
        </is>
      </c>
      <c r="L78" s="16" t="inlineStr">
        <is>
          <t>2026-07-28</t>
        </is>
      </c>
      <c r="M78" s="16" t="inlineStr">
        <is>
          <t>NEW value_gap, buyback, cost, anticipati</t>
        </is>
      </c>
      <c r="N78" s="16" t="inlineStr">
        <is>
          <t>[value_gap] “Okay, so we still have the view that our equity is trading well below its intrinsic value.”</t>
        </is>
      </c>
      <c r="O78" s="16" t="inlineStr">
        <is>
          <t>P/B 0.48 · EV/EBITDA 13.3× · FCF yld 10% · net cash 4% of mcap · rev -2% · op margin -2% · buying back 2%/yr</t>
        </is>
      </c>
    </row>
    <row r="79" ht="30" customHeight="1">
      <c r="A79" s="6" t="inlineStr">
        <is>
          <t>ZH</t>
        </is>
      </c>
      <c r="B79" s="14" t="inlineStr">
        <is>
          <t>Zhihu Inc.</t>
        </is>
      </c>
      <c r="C79" s="14" t="inlineStr">
        <is>
          <t>P/B 0.51 · 2.9× EBITDA · cash 223% · 52w 31%</t>
        </is>
      </c>
      <c r="D79" s="14" t="n">
        <v>96</v>
      </c>
      <c r="E79" s="14" t="n"/>
      <c r="F79" s="14" t="inlineStr">
        <is>
          <t>ACT SIGNALLED</t>
        </is>
      </c>
      <c r="G79" s="27" t="n">
        <v>0.59</v>
      </c>
      <c r="H79" s="27" t="n">
        <v>0.48</v>
      </c>
      <c r="I79" s="27" t="n">
        <v>0</v>
      </c>
      <c r="J79" s="14" t="inlineStr">
        <is>
          <t>–</t>
        </is>
      </c>
      <c r="K79" s="14" t="inlineStr">
        <is>
          <t>–</t>
        </is>
      </c>
      <c r="L79" s="14" t="inlineStr">
        <is>
          <t>2026-08-26</t>
        </is>
      </c>
      <c r="M79" s="14" t="inlineStr">
        <is>
          <t>buyback, monetize</t>
        </is>
      </c>
      <c r="N79" s="14" t="inlineStr">
        <is>
          <t>[buyback] “As of June 30, 2026, we had RMB 4.4 billion in cash and cash equivalents, time deposits, restricted cash and short-term investments, maintaining a solid liquidity position to suppo”</t>
        </is>
      </c>
      <c r="O79" s="14" t="inlineStr">
        <is>
          <t>P/B 0.51 · EV/EBITDA 2.9× · FCF yld 0% · net cash 223% of mcap · rev -16% · op margin -19% · buying back 5%/yr</t>
        </is>
      </c>
    </row>
    <row r="80" ht="30" customHeight="1">
      <c r="A80" s="8" t="inlineStr">
        <is>
          <t>NMM</t>
        </is>
      </c>
      <c r="B80" s="16" t="inlineStr">
        <is>
          <t>Navios Maritime Part</t>
        </is>
      </c>
      <c r="C80" s="16" t="inlineStr">
        <is>
          <t>P/B 0.69 · 5.2× EBITDA · debt 80% · 52w 86%</t>
        </is>
      </c>
      <c r="D80" s="16" t="n">
        <v>96</v>
      </c>
      <c r="E80" s="16" t="n"/>
      <c r="F80" s="16" t="inlineStr">
        <is>
          <t>ACT SIGNALLED</t>
        </is>
      </c>
      <c r="G80" s="28" t="n">
        <v>0.59</v>
      </c>
      <c r="H80" s="28" t="n">
        <v>0.6899999999999999</v>
      </c>
      <c r="I80" s="28" t="n">
        <v>1.5</v>
      </c>
      <c r="J80" s="28" t="n">
        <v>8</v>
      </c>
      <c r="K80" s="16" t="inlineStr">
        <is>
          <t>–</t>
        </is>
      </c>
      <c r="L80" s="16" t="inlineStr">
        <is>
          <t>2026-08-20</t>
        </is>
      </c>
      <c r="M80" s="16" t="inlineStr">
        <is>
          <t>NEW value_gap, buyback, monetize</t>
        </is>
      </c>
      <c r="N80" s="16" t="inlineStr">
        <is>
          <t>[value_gap] “We view this program as an important tool for creating value for our common unitholders, particularly when our units trade at a meaningful discount to underlying NAV.”</t>
        </is>
      </c>
      <c r="O80" s="16" t="inlineStr">
        <is>
          <t>P/B 0.69 · EV/EBITDA 5.2× · FCF yld 14% · net debt 80% of mcap · rev +13% · op margin 34%</t>
        </is>
      </c>
    </row>
    <row r="81" ht="30" customHeight="1">
      <c r="A81" s="6" t="inlineStr">
        <is>
          <t>ATHM</t>
        </is>
      </c>
      <c r="B81" s="14" t="inlineStr">
        <is>
          <t>Autohome Inc.</t>
        </is>
      </c>
      <c r="C81" s="14" t="inlineStr">
        <is>
          <t>P/B 0.19 · 1.4× EBITDA · cash 442% · 52w 41%</t>
        </is>
      </c>
      <c r="D81" s="14" t="n">
        <v>96</v>
      </c>
      <c r="E81" s="14" t="n"/>
      <c r="F81" s="14" t="inlineStr">
        <is>
          <t>ACT SIGNALLED</t>
        </is>
      </c>
      <c r="G81" s="27" t="n">
        <v>0.59</v>
      </c>
      <c r="H81" s="27" t="n">
        <v>0.76</v>
      </c>
      <c r="I81" s="27" t="n">
        <v>0.1</v>
      </c>
      <c r="J81" s="14" t="inlineStr">
        <is>
          <t>–</t>
        </is>
      </c>
      <c r="K81" s="14" t="inlineStr">
        <is>
          <t>–</t>
        </is>
      </c>
      <c r="L81" s="14" t="inlineStr">
        <is>
          <t>2026-08-20</t>
        </is>
      </c>
      <c r="M81" s="14" t="inlineStr">
        <is>
          <t>buyback, cost</t>
        </is>
      </c>
      <c r="N81" s="14" t="inlineStr">
        <is>
          <t>[buyback] “In addition, on July 28, 2026, our Board of Directors authorized a new share repurchase program under which we may repurchase up to USD 400 million of Autohome's ADS over the next ”</t>
        </is>
      </c>
      <c r="O81" s="14" t="inlineStr">
        <is>
          <t>P/B 0.19 · EV/EBITDA 1.4× · FCF yld 19% · net cash 442% of mcap · rev -19% · op margin 5%</t>
        </is>
      </c>
    </row>
    <row r="82" ht="30" customHeight="1">
      <c r="A82" s="8" t="inlineStr">
        <is>
          <t>FMCQF</t>
        </is>
      </c>
      <c r="B82" s="16" t="inlineStr">
        <is>
          <t>–</t>
        </is>
      </c>
      <c r="C82" s="16" t="inlineStr">
        <is>
          <t>P/B 0.83 · 5.8× EBITDA · debt 91% · 52w 15%</t>
        </is>
      </c>
      <c r="D82" s="16" t="n">
        <v>96</v>
      </c>
      <c r="E82" s="16" t="n"/>
      <c r="F82" s="16" t="inlineStr">
        <is>
          <t>ACT SIGNALLED</t>
        </is>
      </c>
      <c r="G82" s="28" t="n">
        <v>0.59</v>
      </c>
      <c r="H82" s="16" t="inlineStr">
        <is>
          <t>–</t>
        </is>
      </c>
      <c r="I82" s="28" t="n">
        <v>0</v>
      </c>
      <c r="J82" s="28" t="n">
        <v>8</v>
      </c>
      <c r="K82" s="16" t="inlineStr">
        <is>
          <t>✓</t>
        </is>
      </c>
      <c r="L82" s="16" t="inlineStr">
        <is>
          <t>2026-08-04</t>
        </is>
      </c>
      <c r="M82" s="16" t="inlineStr">
        <is>
          <t>buyback, cost, monetize</t>
        </is>
      </c>
      <c r="N82" s="16" t="inlineStr">
        <is>
          <t>[buyback] “After canceling 8.5% of shares, which we bought back as part of the share buyback program completed in April of this year, we initiated a new share buyback program starting in May ”</t>
        </is>
      </c>
      <c r="O82" s="16" t="inlineStr">
        <is>
          <t>P/B 0.83 · EV/EBITDA 5.8× · FCF yld 17% · net debt 91% of mcap · rev -0% · op margin 11% · buying back 9%/yr</t>
        </is>
      </c>
    </row>
    <row r="83" ht="30" customHeight="1">
      <c r="A83" s="6" t="inlineStr">
        <is>
          <t>FMS</t>
        </is>
      </c>
      <c r="B83" s="14" t="inlineStr">
        <is>
          <t>Fresenius Medical Ca</t>
        </is>
      </c>
      <c r="C83" s="14" t="inlineStr">
        <is>
          <t>P/B 0.85 · 5.8× EBITDA · debt 89% · 52w 33%</t>
        </is>
      </c>
      <c r="D83" s="14" t="n">
        <v>96</v>
      </c>
      <c r="E83" s="14" t="n"/>
      <c r="F83" s="14" t="inlineStr">
        <is>
          <t>ACT SIGNALLED</t>
        </is>
      </c>
      <c r="G83" s="27" t="n">
        <v>0.59</v>
      </c>
      <c r="H83" s="27" t="n">
        <v>0.85</v>
      </c>
      <c r="I83" s="27" t="n">
        <v>0</v>
      </c>
      <c r="J83" s="27" t="n">
        <v>8</v>
      </c>
      <c r="K83" s="14" t="inlineStr">
        <is>
          <t>✓</t>
        </is>
      </c>
      <c r="L83" s="14" t="inlineStr">
        <is>
          <t>2026-08-04</t>
        </is>
      </c>
      <c r="M83" s="14" t="inlineStr">
        <is>
          <t>buyback, cost, monetize</t>
        </is>
      </c>
      <c r="N83" s="14" t="inlineStr">
        <is>
          <t>[buyback] “After canceling 8.5% of shares, which we bought back as part of the share buyback program completed in April of this year, we initiated a new share buyback program starting in May ”</t>
        </is>
      </c>
      <c r="O83" s="14" t="inlineStr">
        <is>
          <t>P/B 0.85 · EV/EBITDA 5.8× · FCF yld 17% · net debt 89% of mcap · rev -0% · op margin 11% · buying back 8%/yr</t>
        </is>
      </c>
    </row>
    <row r="84" ht="30" customHeight="1">
      <c r="A84" s="8" t="inlineStr">
        <is>
          <t>WFC</t>
        </is>
      </c>
      <c r="B84" s="16" t="inlineStr">
        <is>
          <t>Wells Fargo &amp; Compan</t>
        </is>
      </c>
      <c r="C84" s="16" t="inlineStr">
        <is>
          <t>P/B 1.39 · P/E 11.7 · 52w 39%</t>
        </is>
      </c>
      <c r="D84" s="16" t="n">
        <v>96</v>
      </c>
      <c r="E84" s="16" t="n"/>
      <c r="F84" s="16" t="inlineStr">
        <is>
          <t>ACT SIGNALLED</t>
        </is>
      </c>
      <c r="G84" s="28" t="n">
        <v>0.59</v>
      </c>
      <c r="H84" s="28" t="n">
        <v>1.39</v>
      </c>
      <c r="I84" s="28" t="n">
        <v>0</v>
      </c>
      <c r="J84" s="28" t="n">
        <v>3</v>
      </c>
      <c r="K84" s="16" t="inlineStr">
        <is>
          <t>–</t>
        </is>
      </c>
      <c r="L84" s="16" t="inlineStr">
        <is>
          <t>2026-07-14</t>
        </is>
      </c>
      <c r="M84" s="16" t="inlineStr">
        <is>
          <t>buyback, cost, dividend_return</t>
        </is>
      </c>
      <c r="N84" s="16" t="inlineStr">
        <is>
          <t>[buyback] “We returned over $9.8 billion of capital to shareholders in the first half of this year, including repurchasing $7 billion of common stock while continuing to maintain the signific”</t>
        </is>
      </c>
      <c r="O84" s="16" t="inlineStr">
        <is>
          <t>P/B 1.39 · P/E 11.7 · ROE 13% · div yld 2.3% · buying back 6%/yr (financial: book/earnings basis)</t>
        </is>
      </c>
    </row>
    <row r="85"/>
    <row r="86" ht="28" customHeight="1">
      <c r="A86" s="17" t="inlineStr">
        <is>
          <t>2190 names scored on their latest call. Out-of-time validation (CALL_INTENT_VALIDATION.md): AUC for ACTED — rule 0.64, past behaviour only 0.59, past behaviour + language 0.66. ACT SIGNALLED = top decile of act probability with a committed/realised shareholder action or a family that is NEW vs the prior three calls; BUILDING = top quartile. Transcripts: FMP. Size = stated buyback/tender as % of market cap; CEO+CFO = both committed on the call. Language predicts ACTION (it does not by itself predict the re-rating; see the validation report's deep-discount tests). Source: call_intent.py + call_intent_model.py.</t>
        </is>
      </c>
    </row>
  </sheetData>
  <mergeCells count="3">
    <mergeCell ref="A2:N2"/>
    <mergeCell ref="A86:N86"/>
    <mergeCell ref="A1:N1"/>
  </mergeCells>
  <conditionalFormatting sqref="D5:D86">
    <cfRule type="dataBar" priority="1">
      <dataBar showValue="1">
        <cfvo type="num" val="0"/>
        <cfvo type="num" val="100"/>
        <color rgb="009DB9D3"/>
      </dataBar>
    </cfRule>
  </conditionalFormatting>
  <hyperlinks>
    <hyperlink xmlns:r="http://schemas.openxmlformats.org/officeDocument/2006/relationships" ref="A13" r:id="rId1"/>
    <hyperlink xmlns:r="http://schemas.openxmlformats.org/officeDocument/2006/relationships" ref="A25" r:id="rId2"/>
    <hyperlink xmlns:r="http://schemas.openxmlformats.org/officeDocument/2006/relationships" ref="A28" r:id="rId3"/>
    <hyperlink xmlns:r="http://schemas.openxmlformats.org/officeDocument/2006/relationships" ref="A38" r:id="rId4"/>
    <hyperlink xmlns:r="http://schemas.openxmlformats.org/officeDocument/2006/relationships" ref="A48" r:id="rId5"/>
    <hyperlink xmlns:r="http://schemas.openxmlformats.org/officeDocument/2006/relationships" ref="A60" r:id="rId6"/>
  </hyperlinks>
  <printOptions horizontalCentered="0"/>
  <pageMargins left="0.5" right="0.5" top="0.6" bottom="0.6" header="0.5" footer="0.5"/>
  <pageSetup orientation="landscape" fitToHeight="0" fitToWidth="1"/>
</worksheet>
</file>

<file path=xl/worksheets/sheet19.xml><?xml version="1.0" encoding="utf-8"?>
<worksheet xmlns="http://schemas.openxmlformats.org/spreadsheetml/2006/main">
  <sheetPr>
    <tabColor rgb="002E75B6"/>
    <outlinePr summaryBelow="1" summaryRight="1"/>
    <pageSetUpPr fitToPage="1"/>
  </sheetPr>
  <dimension ref="A1:K66"/>
  <sheetViews>
    <sheetView showGridLines="0" workbookViewId="0">
      <pane ySplit="4" topLeftCell="A5" activePane="bottomLeft" state="frozen"/>
      <selection pane="bottomLeft" activeCell="A1" sqref="A1"/>
    </sheetView>
  </sheetViews>
  <sheetFormatPr baseColWidth="8" defaultRowHeight="15"/>
  <cols>
    <col width="10" customWidth="1" min="1" max="1"/>
    <col width="6" customWidth="1" min="2" max="2"/>
    <col width="30" customWidth="1" min="3" max="3"/>
    <col width="30" customWidth="1" min="4" max="4"/>
    <col width="9" customWidth="1" min="5" max="5"/>
    <col width="10" customWidth="1" min="6" max="6"/>
    <col width="10" customWidth="1" min="7" max="7"/>
    <col width="10" customWidth="1" min="8" max="8"/>
    <col width="10" customWidth="1" min="9" max="9"/>
    <col width="50" customWidth="1" min="10" max="10"/>
    <col width="62" customWidth="1" min="11" max="11"/>
  </cols>
  <sheetData>
    <row r="1" ht="26" customHeight="1">
      <c r="A1" s="1" t="inlineStr">
        <is>
          <t>Foreign Markets — JP / KR / UK</t>
        </is>
      </c>
    </row>
    <row r="2" ht="18" customHeight="1">
      <c r="A2" s="20" t="inlineStr">
        <is>
          <t>Japan TSE PBR&lt;1 reform targets, Korea Value-Up chaebol, UK FTSE 100 scheme/take-private candidates. Foreign tickers kept separate from US universe consensus.</t>
        </is>
      </c>
      <c r="B2" s="19" t="n"/>
      <c r="C2" s="19" t="n"/>
      <c r="D2" s="19" t="n"/>
      <c r="E2" s="19" t="n"/>
      <c r="F2" s="19" t="n"/>
      <c r="G2" s="19" t="n"/>
      <c r="H2" s="19" t="n"/>
      <c r="I2" s="19" t="n"/>
      <c r="J2" s="19" t="n"/>
    </row>
    <row r="3" ht="8" customHeight="1">
      <c r="E3" s="34" t="inlineStr">
        <is>
          <t>%ile vs all 89 names scored</t>
        </is>
      </c>
    </row>
    <row r="4" ht="18" customHeight="1">
      <c r="A4" s="12" t="inlineStr">
        <is>
          <t>Ticker</t>
        </is>
      </c>
      <c r="B4" s="4" t="inlineStr">
        <is>
          <t>Mkt</t>
        </is>
      </c>
      <c r="C4" s="12" t="inlineStr">
        <is>
          <t>Name</t>
        </is>
      </c>
      <c r="D4" s="12" t="inlineStr">
        <is>
          <t>Key numbers (FMP)</t>
        </is>
      </c>
      <c r="E4" s="12" t="inlineStr">
        <is>
          <t>Strength %ile</t>
        </is>
      </c>
      <c r="F4" s="4" t="inlineStr">
        <is>
          <t>Score</t>
        </is>
      </c>
      <c r="G4" s="4" t="inlineStr">
        <is>
          <t>P/B</t>
        </is>
      </c>
      <c r="H4" s="4" t="inlineStr">
        <is>
          <t>P/E</t>
        </is>
      </c>
      <c r="I4" s="4" t="inlineStr">
        <is>
          <t>ROE %</t>
        </is>
      </c>
      <c r="J4" s="12" t="inlineStr">
        <is>
          <t>Reasons</t>
        </is>
      </c>
      <c r="K4" s="12" t="inlineStr">
        <is>
          <t>FMP financial read</t>
        </is>
      </c>
    </row>
    <row r="5" ht="16" customHeight="1">
      <c r="A5" s="6" t="inlineStr">
        <is>
          <t>9022.T</t>
        </is>
      </c>
      <c r="B5" s="6" t="inlineStr">
        <is>
          <t>JP</t>
        </is>
      </c>
      <c r="C5" s="14" t="inlineStr">
        <is>
          <t>CENTRAL JAPAN RAILWAY CO</t>
        </is>
      </c>
      <c r="D5" s="14" t="n"/>
      <c r="E5" s="14" t="n">
        <v>99</v>
      </c>
      <c r="F5" s="27" t="n">
        <v>35</v>
      </c>
      <c r="G5" s="27" t="n">
        <v>0.6296625</v>
      </c>
      <c r="H5" s="27" t="n">
        <v>5.854111</v>
      </c>
      <c r="I5" s="35" t="n">
        <v>11.4700004</v>
      </c>
      <c r="J5" s="14" t="inlineStr">
        <is>
          <t>PBR 0.63 (TSE reform target); quality+value ROE 11%</t>
        </is>
      </c>
      <c r="K5" s="14" t="n"/>
    </row>
    <row r="6" ht="16" customHeight="1">
      <c r="A6" s="8" t="inlineStr">
        <is>
          <t>9501.T</t>
        </is>
      </c>
      <c r="B6" s="6" t="inlineStr">
        <is>
          <t>JP</t>
        </is>
      </c>
      <c r="C6" s="16" t="inlineStr">
        <is>
          <t>TOKYO ELEC POWER CO HLDGS INC</t>
        </is>
      </c>
      <c r="D6" s="16" t="n"/>
      <c r="E6" s="16" t="n">
        <v>98</v>
      </c>
      <c r="F6" s="28" t="n">
        <v>33</v>
      </c>
      <c r="G6" s="28" t="n">
        <v>0.22752257</v>
      </c>
      <c r="H6" s="16" t="inlineStr">
        <is>
          <t>–</t>
        </is>
      </c>
      <c r="I6" s="36" t="n">
        <v>-12.622</v>
      </c>
      <c r="J6" s="16" t="inlineStr">
        <is>
          <t>PBR 0.23 (TSE reform target); DD 49%</t>
        </is>
      </c>
      <c r="K6" s="16" t="n"/>
    </row>
    <row r="7" ht="16" customHeight="1">
      <c r="A7" s="6" t="inlineStr">
        <is>
          <t>VTY.L</t>
        </is>
      </c>
      <c r="B7" s="6" t="inlineStr">
        <is>
          <t>UK</t>
        </is>
      </c>
      <c r="C7" s="14" t="inlineStr">
        <is>
          <t>VISTRY GROUP PLC ORD 50P</t>
        </is>
      </c>
      <c r="D7" s="14" t="n"/>
      <c r="E7" s="14" t="n">
        <v>97</v>
      </c>
      <c r="F7" s="27" t="n">
        <v>32</v>
      </c>
      <c r="G7" s="27" t="n">
        <v>0.26397306</v>
      </c>
      <c r="H7" s="27" t="n">
        <v>6.5333333</v>
      </c>
      <c r="I7" s="35" t="n">
        <v>4.2069998</v>
      </c>
      <c r="J7" s="14" t="inlineStr">
        <is>
          <t>P/B 0.26 (scheme candidate); P/E 6.5</t>
        </is>
      </c>
      <c r="K7" s="14" t="n"/>
    </row>
    <row r="8" ht="16" customHeight="1">
      <c r="A8" s="8" t="inlineStr">
        <is>
          <t>III.L</t>
        </is>
      </c>
      <c r="B8" s="6" t="inlineStr">
        <is>
          <t>UK</t>
        </is>
      </c>
      <c r="C8" s="16" t="inlineStr">
        <is>
          <t>3I GROUP PLC ORD 73 19/22P</t>
        </is>
      </c>
      <c r="D8" s="16" t="n"/>
      <c r="E8" s="16" t="n">
        <v>96</v>
      </c>
      <c r="F8" s="28" t="n">
        <v>30</v>
      </c>
      <c r="G8" s="28" t="n">
        <v>0.83113635</v>
      </c>
      <c r="H8" s="28" t="n">
        <v>4.679035</v>
      </c>
      <c r="I8" s="36" t="n">
        <v>19.077998</v>
      </c>
      <c r="J8" s="16" t="inlineStr">
        <is>
          <t>P/B 0.83; P/E 4.7; div yield 372.0%</t>
        </is>
      </c>
      <c r="K8" s="16" t="n"/>
    </row>
    <row r="9" ht="16" customHeight="1">
      <c r="A9" s="6" t="inlineStr">
        <is>
          <t>VOD.L</t>
        </is>
      </c>
      <c r="B9" s="6" t="inlineStr">
        <is>
          <t>UK</t>
        </is>
      </c>
      <c r="C9" s="14" t="inlineStr">
        <is>
          <t>VODAFONE GROUP PLC ORD USD0.20</t>
        </is>
      </c>
      <c r="D9" s="14" t="inlineStr">
        <is>
          <t>P/B 0.63 · 5.0× EBITDA · debt 122% · 52w 83%</t>
        </is>
      </c>
      <c r="E9" s="14" t="n">
        <v>94</v>
      </c>
      <c r="F9" s="27" t="n">
        <v>28</v>
      </c>
      <c r="G9" s="27" t="n">
        <v>0.5547121</v>
      </c>
      <c r="H9" s="14" t="inlineStr">
        <is>
          <t>–</t>
        </is>
      </c>
      <c r="I9" s="35" t="n">
        <v>0.10899999</v>
      </c>
      <c r="J9" s="14" t="inlineStr">
        <is>
          <t>P/B 0.55 (scheme candidate); div yield 378.0%</t>
        </is>
      </c>
      <c r="K9" s="14" t="inlineStr">
        <is>
          <t>P/B 0.63 · EV/EBITDA 5.0× · FCF yld 26% · net debt 122% of mcap · rev +16% · op margin 9% · buying back 8%/yr</t>
        </is>
      </c>
    </row>
    <row r="10" ht="16" customHeight="1">
      <c r="A10" s="8" t="inlineStr">
        <is>
          <t>SBRY.L</t>
        </is>
      </c>
      <c r="B10" s="6" t="inlineStr">
        <is>
          <t>UK</t>
        </is>
      </c>
      <c r="C10" s="16" t="inlineStr">
        <is>
          <t>SAINSBURY (J) PLC ORD 28 4/7P</t>
        </is>
      </c>
      <c r="D10" s="16" t="n"/>
      <c r="E10" s="16" t="n">
        <v>94</v>
      </c>
      <c r="F10" s="28" t="n">
        <v>28</v>
      </c>
      <c r="G10" s="28" t="n">
        <v>0.688652</v>
      </c>
      <c r="H10" s="28" t="n">
        <v>17.51089</v>
      </c>
      <c r="I10" s="36" t="n">
        <v>6.4109996</v>
      </c>
      <c r="J10" s="16" t="inlineStr">
        <is>
          <t>P/B 0.69 (scheme candidate); div yield 439.0%</t>
        </is>
      </c>
      <c r="K10" s="16" t="n"/>
    </row>
    <row r="11" ht="16" customHeight="1">
      <c r="A11" s="6" t="inlineStr">
        <is>
          <t>7203.T</t>
        </is>
      </c>
      <c r="B11" s="6" t="inlineStr">
        <is>
          <t>JP</t>
        </is>
      </c>
      <c r="C11" s="14" t="inlineStr">
        <is>
          <t>TOYOTA MOTOR CORP</t>
        </is>
      </c>
      <c r="D11" s="14" t="n"/>
      <c r="E11" s="14" t="n">
        <v>85</v>
      </c>
      <c r="F11" s="27" t="n">
        <v>25</v>
      </c>
      <c r="G11" s="27" t="n">
        <v>0.881705</v>
      </c>
      <c r="H11" s="27" t="n">
        <v>9.148345000000001</v>
      </c>
      <c r="I11" s="35" t="n">
        <v>10.233</v>
      </c>
      <c r="J11" s="14" t="inlineStr">
        <is>
          <t>PBR 0.88; quality+value ROE 10%</t>
        </is>
      </c>
      <c r="K11" s="14" t="n"/>
    </row>
    <row r="12" ht="16" customHeight="1">
      <c r="A12" s="8" t="inlineStr">
        <is>
          <t>7267.T</t>
        </is>
      </c>
      <c r="B12" s="6" t="inlineStr">
        <is>
          <t>JP</t>
        </is>
      </c>
      <c r="C12" s="16" t="inlineStr">
        <is>
          <t>HONDA MOTOR CO</t>
        </is>
      </c>
      <c r="D12" s="16" t="n"/>
      <c r="E12" s="16" t="n">
        <v>85</v>
      </c>
      <c r="F12" s="28" t="n">
        <v>25</v>
      </c>
      <c r="G12" s="28" t="n">
        <v>0.46575868</v>
      </c>
      <c r="H12" s="16" t="inlineStr">
        <is>
          <t>–</t>
        </is>
      </c>
      <c r="I12" s="36" t="n">
        <v>-2.8499998</v>
      </c>
      <c r="J12" s="16" t="inlineStr">
        <is>
          <t>PBR 0.47 (TSE reform target)</t>
        </is>
      </c>
      <c r="K12" s="16" t="n"/>
    </row>
    <row r="13" ht="16" customHeight="1">
      <c r="A13" s="6" t="inlineStr">
        <is>
          <t>7270.T</t>
        </is>
      </c>
      <c r="B13" s="6" t="inlineStr">
        <is>
          <t>JP</t>
        </is>
      </c>
      <c r="C13" s="14" t="inlineStr">
        <is>
          <t>SUBARU CORPORATION</t>
        </is>
      </c>
      <c r="D13" s="14" t="n"/>
      <c r="E13" s="14" t="n">
        <v>85</v>
      </c>
      <c r="F13" s="27" t="n">
        <v>25</v>
      </c>
      <c r="G13" s="27" t="n">
        <v>0.6179315</v>
      </c>
      <c r="H13" s="27" t="n">
        <v>19.150717</v>
      </c>
      <c r="I13" s="35" t="n">
        <v>3.3069998</v>
      </c>
      <c r="J13" s="14" t="inlineStr">
        <is>
          <t>PBR 0.62 (TSE reform target)</t>
        </is>
      </c>
      <c r="K13" s="14" t="n"/>
    </row>
    <row r="14" ht="16" customHeight="1">
      <c r="A14" s="8" t="inlineStr">
        <is>
          <t>7201.T</t>
        </is>
      </c>
      <c r="B14" s="6" t="inlineStr">
        <is>
          <t>JP</t>
        </is>
      </c>
      <c r="C14" s="16" t="inlineStr">
        <is>
          <t>NISSAN MOTOR CO</t>
        </is>
      </c>
      <c r="D14" s="16" t="inlineStr">
        <is>
          <t>P/B 0.22 · 15.9× EBITDA · debt 317% · 52w 12%</t>
        </is>
      </c>
      <c r="E14" s="16" t="n">
        <v>85</v>
      </c>
      <c r="F14" s="28" t="n">
        <v>25</v>
      </c>
      <c r="G14" s="28" t="n">
        <v>0.22002745</v>
      </c>
      <c r="H14" s="16" t="inlineStr">
        <is>
          <t>–</t>
        </is>
      </c>
      <c r="I14" s="36" t="n">
        <v>-9.856</v>
      </c>
      <c r="J14" s="16" t="inlineStr">
        <is>
          <t>PBR 0.22 (TSE reform target)</t>
        </is>
      </c>
      <c r="K14" s="16" t="inlineStr">
        <is>
          <t>P/B 0.22 · EV/EBITDA 15.9× · FCF yld -62% · net debt 317% of mcap · rev -3% · op margin 1% · buying back 4%/yr · interest cover 1.3× ⚠</t>
        </is>
      </c>
    </row>
    <row r="15" ht="16" customHeight="1">
      <c r="A15" s="6" t="inlineStr">
        <is>
          <t>1605.T</t>
        </is>
      </c>
      <c r="B15" s="6" t="inlineStr">
        <is>
          <t>JP</t>
        </is>
      </c>
      <c r="C15" s="14" t="inlineStr">
        <is>
          <t>INPEX CORPORATION</t>
        </is>
      </c>
      <c r="D15" s="14" t="n"/>
      <c r="E15" s="14" t="n">
        <v>85</v>
      </c>
      <c r="F15" s="27" t="n">
        <v>25</v>
      </c>
      <c r="G15" s="27" t="n">
        <v>0.7812199</v>
      </c>
      <c r="H15" s="27" t="n">
        <v>9.943130500000001</v>
      </c>
      <c r="I15" s="35" t="n">
        <v>8.282</v>
      </c>
      <c r="J15" s="14" t="inlineStr">
        <is>
          <t>PBR 0.78; quality+value ROE 8%</t>
        </is>
      </c>
      <c r="K15" s="14" t="n"/>
    </row>
    <row r="16" ht="16" customHeight="1">
      <c r="A16" s="8" t="inlineStr">
        <is>
          <t>5020.T</t>
        </is>
      </c>
      <c r="B16" s="6" t="inlineStr">
        <is>
          <t>JP</t>
        </is>
      </c>
      <c r="C16" s="16" t="inlineStr">
        <is>
          <t>ENEOS HOLDINGS INC</t>
        </is>
      </c>
      <c r="D16" s="16" t="n"/>
      <c r="E16" s="16" t="n">
        <v>85</v>
      </c>
      <c r="F16" s="28" t="n">
        <v>25</v>
      </c>
      <c r="G16" s="28" t="n">
        <v>0.9507054</v>
      </c>
      <c r="H16" s="28" t="n">
        <v>12.411422</v>
      </c>
      <c r="I16" s="36" t="n">
        <v>8.5</v>
      </c>
      <c r="J16" s="16" t="inlineStr">
        <is>
          <t>PBR 0.95; quality+value ROE 8%</t>
        </is>
      </c>
      <c r="K16" s="16" t="n"/>
    </row>
    <row r="17" ht="16" customHeight="1">
      <c r="A17" s="6" t="inlineStr">
        <is>
          <t>5401.T</t>
        </is>
      </c>
      <c r="B17" s="6" t="inlineStr">
        <is>
          <t>JP</t>
        </is>
      </c>
      <c r="C17" s="14" t="inlineStr">
        <is>
          <t>NIPPON STEEL CORPORATION</t>
        </is>
      </c>
      <c r="D17" s="14" t="n"/>
      <c r="E17" s="14" t="n">
        <v>85</v>
      </c>
      <c r="F17" s="27" t="n">
        <v>25</v>
      </c>
      <c r="G17" s="27" t="n">
        <v>0.516917</v>
      </c>
      <c r="H17" s="27" t="n">
        <v>166.7683</v>
      </c>
      <c r="I17" s="35" t="n">
        <v>0.75</v>
      </c>
      <c r="J17" s="14" t="inlineStr">
        <is>
          <t>PBR 0.52 (TSE reform target)</t>
        </is>
      </c>
      <c r="K17" s="14" t="n"/>
    </row>
    <row r="18" ht="16" customHeight="1">
      <c r="A18" s="8" t="inlineStr">
        <is>
          <t>5411.T</t>
        </is>
      </c>
      <c r="B18" s="6" t="inlineStr">
        <is>
          <t>JP</t>
        </is>
      </c>
      <c r="C18" s="16" t="inlineStr">
        <is>
          <t>JFE HOLDINGS INC</t>
        </is>
      </c>
      <c r="D18" s="16" t="n"/>
      <c r="E18" s="16" t="n">
        <v>85</v>
      </c>
      <c r="F18" s="28" t="n">
        <v>25</v>
      </c>
      <c r="G18" s="28" t="n">
        <v>0.37543565</v>
      </c>
      <c r="H18" s="28" t="n">
        <v>14.648475</v>
      </c>
      <c r="I18" s="36" t="n">
        <v>2.8110001</v>
      </c>
      <c r="J18" s="16" t="inlineStr">
        <is>
          <t>PBR 0.38 (TSE reform target)</t>
        </is>
      </c>
      <c r="K18" s="16" t="n"/>
    </row>
    <row r="19" ht="16" customHeight="1">
      <c r="A19" s="6" t="inlineStr">
        <is>
          <t>9101.T</t>
        </is>
      </c>
      <c r="B19" s="6" t="inlineStr">
        <is>
          <t>JP</t>
        </is>
      </c>
      <c r="C19" s="14" t="inlineStr">
        <is>
          <t>NIPPON YUSEN KABUSHIKI KAISHA</t>
        </is>
      </c>
      <c r="D19" s="14" t="n"/>
      <c r="E19" s="14" t="n">
        <v>85</v>
      </c>
      <c r="F19" s="27" t="n">
        <v>25</v>
      </c>
      <c r="G19" s="27" t="n">
        <v>0.6957521</v>
      </c>
      <c r="H19" s="27" t="n">
        <v>10.444035</v>
      </c>
      <c r="I19" s="35" t="n">
        <v>7.056</v>
      </c>
      <c r="J19" s="14" t="inlineStr">
        <is>
          <t>PBR 0.70 (TSE reform target)</t>
        </is>
      </c>
      <c r="K19" s="14" t="n"/>
    </row>
    <row r="20" ht="16" customHeight="1">
      <c r="A20" s="8" t="inlineStr">
        <is>
          <t>9104.T</t>
        </is>
      </c>
      <c r="B20" s="6" t="inlineStr">
        <is>
          <t>JP</t>
        </is>
      </c>
      <c r="C20" s="16" t="inlineStr">
        <is>
          <t>MITSUI O.S.K. LINES LTD</t>
        </is>
      </c>
      <c r="D20" s="16" t="n"/>
      <c r="E20" s="16" t="n">
        <v>85</v>
      </c>
      <c r="F20" s="28" t="n">
        <v>25</v>
      </c>
      <c r="G20" s="28" t="n">
        <v>0.62819624</v>
      </c>
      <c r="H20" s="28" t="n">
        <v>8.47991</v>
      </c>
      <c r="I20" s="36" t="n">
        <v>7.566000000000001</v>
      </c>
      <c r="J20" s="16" t="inlineStr">
        <is>
          <t>PBR 0.63 (TSE reform target)</t>
        </is>
      </c>
      <c r="K20" s="16" t="n"/>
    </row>
    <row r="21" ht="16" customHeight="1">
      <c r="A21" s="6" t="inlineStr">
        <is>
          <t>1925.T</t>
        </is>
      </c>
      <c r="B21" s="6" t="inlineStr">
        <is>
          <t>JP</t>
        </is>
      </c>
      <c r="C21" s="14" t="inlineStr">
        <is>
          <t>DAIWA HOUSE INDUSTRY CO</t>
        </is>
      </c>
      <c r="D21" s="14" t="n"/>
      <c r="E21" s="14" t="n">
        <v>85</v>
      </c>
      <c r="F21" s="27" t="n">
        <v>25</v>
      </c>
      <c r="G21" s="27" t="n">
        <v>0.93027914</v>
      </c>
      <c r="H21" s="27" t="n">
        <v>7.682529</v>
      </c>
      <c r="I21" s="35" t="n">
        <v>12.528</v>
      </c>
      <c r="J21" s="14" t="inlineStr">
        <is>
          <t>PBR 0.93; quality+value ROE 13%</t>
        </is>
      </c>
      <c r="K21" s="14" t="n"/>
    </row>
    <row r="22" ht="16" customHeight="1">
      <c r="A22" s="8" t="inlineStr">
        <is>
          <t>1928.T</t>
        </is>
      </c>
      <c r="B22" s="6" t="inlineStr">
        <is>
          <t>JP</t>
        </is>
      </c>
      <c r="C22" s="16" t="inlineStr">
        <is>
          <t>SEKISUI HOUSE</t>
        </is>
      </c>
      <c r="D22" s="16" t="n"/>
      <c r="E22" s="16" t="n">
        <v>85</v>
      </c>
      <c r="F22" s="28" t="n">
        <v>25</v>
      </c>
      <c r="G22" s="28" t="n">
        <v>0.9845158000000001</v>
      </c>
      <c r="H22" s="28" t="n">
        <v>8.268003999999999</v>
      </c>
      <c r="I22" s="36" t="n">
        <v>12.644</v>
      </c>
      <c r="J22" s="16" t="inlineStr">
        <is>
          <t>PBR 0.98; quality+value ROE 13%</t>
        </is>
      </c>
      <c r="K22" s="16" t="n"/>
    </row>
    <row r="23" ht="16" customHeight="1">
      <c r="A23" s="6" t="inlineStr">
        <is>
          <t>9201.T</t>
        </is>
      </c>
      <c r="B23" s="6" t="inlineStr">
        <is>
          <t>JP</t>
        </is>
      </c>
      <c r="C23" s="14" t="inlineStr">
        <is>
          <t>JAPAN AIRLINES CO LTD</t>
        </is>
      </c>
      <c r="D23" s="14" t="n"/>
      <c r="E23" s="14" t="n">
        <v>85</v>
      </c>
      <c r="F23" s="27" t="n">
        <v>25</v>
      </c>
      <c r="G23" s="27" t="n">
        <v>0.9385531</v>
      </c>
      <c r="H23" s="27" t="n">
        <v>9.176824</v>
      </c>
      <c r="I23" s="35" t="n">
        <v>12.286</v>
      </c>
      <c r="J23" s="14" t="inlineStr">
        <is>
          <t>PBR 0.94; quality+value ROE 12%</t>
        </is>
      </c>
      <c r="K23" s="14" t="n"/>
    </row>
    <row r="24" ht="16" customHeight="1">
      <c r="A24" s="8" t="inlineStr">
        <is>
          <t>9202.T</t>
        </is>
      </c>
      <c r="B24" s="6" t="inlineStr">
        <is>
          <t>JP</t>
        </is>
      </c>
      <c r="C24" s="16" t="inlineStr">
        <is>
          <t>ANA HOLDINGS INC</t>
        </is>
      </c>
      <c r="D24" s="16" t="n"/>
      <c r="E24" s="16" t="n">
        <v>85</v>
      </c>
      <c r="F24" s="28" t="n">
        <v>25</v>
      </c>
      <c r="G24" s="28" t="n">
        <v>0.90998346</v>
      </c>
      <c r="H24" s="28" t="n">
        <v>9.315649000000001</v>
      </c>
      <c r="I24" s="36" t="n">
        <v>12.94</v>
      </c>
      <c r="J24" s="16" t="inlineStr">
        <is>
          <t>PBR 0.91; quality+value ROE 13%</t>
        </is>
      </c>
      <c r="K24" s="16" t="n"/>
    </row>
    <row r="25" ht="16" customHeight="1">
      <c r="A25" s="6" t="inlineStr">
        <is>
          <t>9503.T</t>
        </is>
      </c>
      <c r="B25" s="6" t="inlineStr">
        <is>
          <t>JP</t>
        </is>
      </c>
      <c r="C25" s="14" t="inlineStr">
        <is>
          <t>KANSAI ELECTRIC POWER CO INC</t>
        </is>
      </c>
      <c r="D25" s="14" t="n"/>
      <c r="E25" s="14" t="n">
        <v>85</v>
      </c>
      <c r="F25" s="27" t="n">
        <v>25</v>
      </c>
      <c r="G25" s="27" t="n">
        <v>0.74417263</v>
      </c>
      <c r="H25" s="27" t="n">
        <v>6.766146</v>
      </c>
      <c r="I25" s="35" t="n">
        <v>11.607</v>
      </c>
      <c r="J25" s="14" t="inlineStr">
        <is>
          <t>PBR 0.74; quality+value ROE 12%</t>
        </is>
      </c>
      <c r="K25" s="14" t="n"/>
    </row>
    <row r="26" ht="16" customHeight="1">
      <c r="A26" s="8" t="inlineStr">
        <is>
          <t>000660.KS</t>
        </is>
      </c>
      <c r="B26" s="6" t="inlineStr">
        <is>
          <t>KR</t>
        </is>
      </c>
      <c r="C26" s="16" t="inlineStr">
        <is>
          <t>SK hynix</t>
        </is>
      </c>
      <c r="D26" s="16" t="n"/>
      <c r="E26" s="16" t="n">
        <v>71</v>
      </c>
      <c r="F26" s="28" t="n">
        <v>23</v>
      </c>
      <c r="G26" s="16" t="inlineStr">
        <is>
          <t>–</t>
        </is>
      </c>
      <c r="H26" s="16" t="inlineStr">
        <is>
          <t>–</t>
        </is>
      </c>
      <c r="I26" s="36" t="n">
        <v>61.172</v>
      </c>
      <c r="J26" s="16" t="inlineStr">
        <is>
          <t>chaebol Value-Up candidate; treasury ~21%</t>
        </is>
      </c>
      <c r="K26" s="16" t="n"/>
    </row>
    <row r="27" ht="16" customHeight="1">
      <c r="A27" s="6" t="inlineStr">
        <is>
          <t>028260.KS</t>
        </is>
      </c>
      <c r="B27" s="6" t="inlineStr">
        <is>
          <t>KR</t>
        </is>
      </c>
      <c r="C27" s="14" t="inlineStr">
        <is>
          <t>SAMSUNG C&amp;T</t>
        </is>
      </c>
      <c r="D27" s="14" t="n"/>
      <c r="E27" s="14" t="n">
        <v>71</v>
      </c>
      <c r="F27" s="27" t="n">
        <v>23</v>
      </c>
      <c r="G27" s="14" t="inlineStr">
        <is>
          <t>–</t>
        </is>
      </c>
      <c r="H27" s="14" t="inlineStr">
        <is>
          <t>–</t>
        </is>
      </c>
      <c r="I27" s="35" t="n">
        <v>7.478999999999999</v>
      </c>
      <c r="J27" s="14" t="inlineStr">
        <is>
          <t>chaebol Value-Up candidate; treasury ~48%</t>
        </is>
      </c>
      <c r="K27" s="14" t="n"/>
    </row>
    <row r="28" ht="16" customHeight="1">
      <c r="A28" s="8" t="inlineStr">
        <is>
          <t>066570.KS</t>
        </is>
      </c>
      <c r="B28" s="6" t="inlineStr">
        <is>
          <t>KR</t>
        </is>
      </c>
      <c r="C28" s="16" t="inlineStr">
        <is>
          <t>LGELECTRONICS</t>
        </is>
      </c>
      <c r="D28" s="16" t="n"/>
      <c r="E28" s="16" t="n">
        <v>71</v>
      </c>
      <c r="F28" s="28" t="n">
        <v>23</v>
      </c>
      <c r="G28" s="16" t="inlineStr">
        <is>
          <t>–</t>
        </is>
      </c>
      <c r="H28" s="16" t="inlineStr">
        <is>
          <t>–</t>
        </is>
      </c>
      <c r="I28" s="36" t="n">
        <v>4.777</v>
      </c>
      <c r="J28" s="16" t="inlineStr">
        <is>
          <t>chaebol Value-Up candidate; treasury ~25%</t>
        </is>
      </c>
      <c r="K28" s="16" t="n"/>
    </row>
    <row r="29" ht="16" customHeight="1">
      <c r="A29" s="6" t="inlineStr">
        <is>
          <t>051910.KS</t>
        </is>
      </c>
      <c r="B29" s="6" t="inlineStr">
        <is>
          <t>KR</t>
        </is>
      </c>
      <c r="C29" s="14" t="inlineStr">
        <is>
          <t>LGCHEM</t>
        </is>
      </c>
      <c r="D29" s="14" t="n"/>
      <c r="E29" s="14" t="n">
        <v>71</v>
      </c>
      <c r="F29" s="27" t="n">
        <v>23</v>
      </c>
      <c r="G29" s="14" t="inlineStr">
        <is>
          <t>–</t>
        </is>
      </c>
      <c r="H29" s="14" t="inlineStr">
        <is>
          <t>–</t>
        </is>
      </c>
      <c r="I29" s="35" t="n">
        <v>-5.933999999999999</v>
      </c>
      <c r="J29" s="14" t="inlineStr">
        <is>
          <t>chaebol Value-Up candidate; treasury ~24%</t>
        </is>
      </c>
      <c r="K29" s="14" t="n"/>
    </row>
    <row r="30" ht="16" customHeight="1">
      <c r="A30" s="8" t="inlineStr">
        <is>
          <t>006400.KS</t>
        </is>
      </c>
      <c r="B30" s="6" t="inlineStr">
        <is>
          <t>KR</t>
        </is>
      </c>
      <c r="C30" s="16" t="inlineStr">
        <is>
          <t>SAMSUNG SDI CO.,LTD.</t>
        </is>
      </c>
      <c r="D30" s="16" t="n"/>
      <c r="E30" s="16" t="n">
        <v>71</v>
      </c>
      <c r="F30" s="28" t="n">
        <v>23</v>
      </c>
      <c r="G30" s="16" t="inlineStr">
        <is>
          <t>–</t>
        </is>
      </c>
      <c r="H30" s="16" t="inlineStr">
        <is>
          <t>–</t>
        </is>
      </c>
      <c r="I30" s="36" t="n">
        <v>-2.5710002</v>
      </c>
      <c r="J30" s="16" t="inlineStr">
        <is>
          <t>chaebol Value-Up candidate; treasury ~21%</t>
        </is>
      </c>
      <c r="K30" s="16" t="n"/>
    </row>
    <row r="31" ht="16" customHeight="1">
      <c r="A31" s="6" t="inlineStr">
        <is>
          <t>032830.KS</t>
        </is>
      </c>
      <c r="B31" s="6" t="inlineStr">
        <is>
          <t>KR</t>
        </is>
      </c>
      <c r="C31" s="14" t="inlineStr">
        <is>
          <t>SAMSUNG LIFE</t>
        </is>
      </c>
      <c r="D31" s="14" t="n"/>
      <c r="E31" s="14" t="n">
        <v>71</v>
      </c>
      <c r="F31" s="27" t="n">
        <v>23</v>
      </c>
      <c r="G31" s="14" t="inlineStr">
        <is>
          <t>–</t>
        </is>
      </c>
      <c r="H31" s="14" t="inlineStr">
        <is>
          <t>–</t>
        </is>
      </c>
      <c r="I31" s="35" t="n">
        <v>5.252</v>
      </c>
      <c r="J31" s="14" t="inlineStr">
        <is>
          <t>chaebol Value-Up candidate; treasury ~48%</t>
        </is>
      </c>
      <c r="K31" s="14" t="n"/>
    </row>
    <row r="32" ht="16" customHeight="1">
      <c r="A32" s="8" t="inlineStr">
        <is>
          <t>029780.KS</t>
        </is>
      </c>
      <c r="B32" s="6" t="inlineStr">
        <is>
          <t>KR</t>
        </is>
      </c>
      <c r="C32" s="16" t="inlineStr">
        <is>
          <t>SAMSUNG CARD</t>
        </is>
      </c>
      <c r="D32" s="16" t="n"/>
      <c r="E32" s="16" t="n">
        <v>71</v>
      </c>
      <c r="F32" s="28" t="n">
        <v>23</v>
      </c>
      <c r="G32" s="16" t="inlineStr">
        <is>
          <t>–</t>
        </is>
      </c>
      <c r="H32" s="16" t="inlineStr">
        <is>
          <t>–</t>
        </is>
      </c>
      <c r="I32" s="36" t="n">
        <v>7.2129995</v>
      </c>
      <c r="J32" s="16" t="inlineStr">
        <is>
          <t>chaebol Value-Up candidate; treasury ~78%</t>
        </is>
      </c>
      <c r="K32" s="16" t="n"/>
    </row>
    <row r="33" ht="16" customHeight="1">
      <c r="A33" s="6" t="inlineStr">
        <is>
          <t>017670.KS</t>
        </is>
      </c>
      <c r="B33" s="6" t="inlineStr">
        <is>
          <t>KR</t>
        </is>
      </c>
      <c r="C33" s="14" t="inlineStr">
        <is>
          <t>SKTelecom</t>
        </is>
      </c>
      <c r="D33" s="14" t="n"/>
      <c r="E33" s="14" t="n">
        <v>71</v>
      </c>
      <c r="F33" s="27" t="n">
        <v>23</v>
      </c>
      <c r="G33" s="14" t="inlineStr">
        <is>
          <t>–</t>
        </is>
      </c>
      <c r="H33" s="14" t="inlineStr">
        <is>
          <t>–</t>
        </is>
      </c>
      <c r="I33" s="35" t="n">
        <v>2.609</v>
      </c>
      <c r="J33" s="14" t="inlineStr">
        <is>
          <t>chaebol Value-Up candidate; treasury ~31%</t>
        </is>
      </c>
      <c r="K33" s="14" t="n"/>
    </row>
    <row r="34" ht="16" customHeight="1">
      <c r="A34" s="8" t="inlineStr">
        <is>
          <t>010140.KS</t>
        </is>
      </c>
      <c r="B34" s="6" t="inlineStr">
        <is>
          <t>KR</t>
        </is>
      </c>
      <c r="C34" s="16" t="inlineStr">
        <is>
          <t>SamsungHvyInd</t>
        </is>
      </c>
      <c r="D34" s="16" t="n"/>
      <c r="E34" s="16" t="n">
        <v>71</v>
      </c>
      <c r="F34" s="28" t="n">
        <v>23</v>
      </c>
      <c r="G34" s="16" t="inlineStr">
        <is>
          <t>–</t>
        </is>
      </c>
      <c r="H34" s="16" t="inlineStr">
        <is>
          <t>–</t>
        </is>
      </c>
      <c r="I34" s="36" t="n">
        <v>13.207</v>
      </c>
      <c r="J34" s="16" t="inlineStr">
        <is>
          <t>chaebol Value-Up candidate; treasury ~28%</t>
        </is>
      </c>
      <c r="K34" s="16" t="n"/>
    </row>
    <row r="35" ht="16" customHeight="1">
      <c r="A35" s="6" t="inlineStr">
        <is>
          <t>267250.KS</t>
        </is>
      </c>
      <c r="B35" s="6" t="inlineStr">
        <is>
          <t>KR</t>
        </is>
      </c>
      <c r="C35" s="14" t="inlineStr">
        <is>
          <t>HD HYUNDAI</t>
        </is>
      </c>
      <c r="D35" s="14" t="n"/>
      <c r="E35" s="14" t="n">
        <v>71</v>
      </c>
      <c r="F35" s="27" t="n">
        <v>23</v>
      </c>
      <c r="G35" s="14" t="inlineStr">
        <is>
          <t>–</t>
        </is>
      </c>
      <c r="H35" s="14" t="inlineStr">
        <is>
          <t>–</t>
        </is>
      </c>
      <c r="I35" s="35" t="n">
        <v>16.758</v>
      </c>
      <c r="J35" s="14" t="inlineStr">
        <is>
          <t>chaebol Value-Up candidate; treasury ~37%</t>
        </is>
      </c>
      <c r="K35" s="14" t="n"/>
    </row>
    <row r="36" ht="16" customHeight="1">
      <c r="A36" s="8" t="inlineStr">
        <is>
          <t>IAG.L</t>
        </is>
      </c>
      <c r="B36" s="6" t="inlineStr">
        <is>
          <t>UK</t>
        </is>
      </c>
      <c r="C36" s="16" t="inlineStr">
        <is>
          <t>INTERNATIONAL CONSOLIDATED AIRL</t>
        </is>
      </c>
      <c r="D36" s="16" t="n"/>
      <c r="E36" s="16" t="n">
        <v>65</v>
      </c>
      <c r="F36" s="28" t="n">
        <v>20</v>
      </c>
      <c r="G36" s="28" t="n">
        <v>3.4071958</v>
      </c>
      <c r="H36" s="28" t="n">
        <v>7.927419</v>
      </c>
      <c r="I36" s="36" t="n">
        <v>0</v>
      </c>
      <c r="J36" s="16" t="inlineStr">
        <is>
          <t>P/E 7.9; div yield 178.0%</t>
        </is>
      </c>
      <c r="K36" s="16" t="n"/>
    </row>
    <row r="37" ht="16" customHeight="1">
      <c r="A37" s="6" t="inlineStr">
        <is>
          <t>ABDN.L</t>
        </is>
      </c>
      <c r="B37" s="6" t="inlineStr">
        <is>
          <t>UK</t>
        </is>
      </c>
      <c r="C37" s="14" t="inlineStr">
        <is>
          <t>ABERDEEN GROUP PLC ORD 13 61/63</t>
        </is>
      </c>
      <c r="D37" s="14" t="n"/>
      <c r="E37" s="14" t="n">
        <v>63</v>
      </c>
      <c r="F37" s="27" t="n">
        <v>18</v>
      </c>
      <c r="G37" s="27" t="n">
        <v>0.88921183</v>
      </c>
      <c r="H37" s="27" t="n">
        <v>11.657143</v>
      </c>
      <c r="I37" s="35" t="n">
        <v>7.823</v>
      </c>
      <c r="J37" s="14" t="inlineStr">
        <is>
          <t>P/B 0.89; div yield 629.0%</t>
        </is>
      </c>
      <c r="K37" s="14" t="n"/>
    </row>
    <row r="38" ht="16" customHeight="1">
      <c r="A38" s="8" t="inlineStr">
        <is>
          <t>KGF.L</t>
        </is>
      </c>
      <c r="B38" s="6" t="inlineStr">
        <is>
          <t>UK</t>
        </is>
      </c>
      <c r="C38" s="16" t="inlineStr">
        <is>
          <t>KINGFISHER PLC ORD 15 5/7P</t>
        </is>
      </c>
      <c r="D38" s="16" t="n"/>
      <c r="E38" s="16" t="n">
        <v>63</v>
      </c>
      <c r="F38" s="28" t="n">
        <v>18</v>
      </c>
      <c r="G38" s="28" t="n">
        <v>0.80710936</v>
      </c>
      <c r="H38" s="28" t="n">
        <v>20.921429</v>
      </c>
      <c r="I38" s="36" t="n">
        <v>3.918999799999999</v>
      </c>
      <c r="J38" s="16" t="inlineStr">
        <is>
          <t>P/B 0.81; div yield 430.0%</t>
        </is>
      </c>
      <c r="K38" s="16" t="n"/>
    </row>
    <row r="39" ht="16" customHeight="1">
      <c r="A39" s="6" t="inlineStr">
        <is>
          <t>9107.T</t>
        </is>
      </c>
      <c r="B39" s="6" t="inlineStr">
        <is>
          <t>JP</t>
        </is>
      </c>
      <c r="C39" s="14" t="inlineStr">
        <is>
          <t>KAWASAKI KISEN KAISHA</t>
        </is>
      </c>
      <c r="D39" s="14" t="n"/>
      <c r="E39" s="14" t="n">
        <v>57</v>
      </c>
      <c r="F39" s="27" t="n">
        <v>15</v>
      </c>
      <c r="G39" s="27" t="n">
        <v>0.85800916</v>
      </c>
      <c r="H39" s="27" t="n">
        <v>11.634099</v>
      </c>
      <c r="I39" s="35" t="n">
        <v>7.754</v>
      </c>
      <c r="J39" s="14" t="inlineStr">
        <is>
          <t>PBR 0.86</t>
        </is>
      </c>
      <c r="K39" s="14" t="n"/>
    </row>
    <row r="40" ht="16" customHeight="1">
      <c r="A40" s="8" t="inlineStr">
        <is>
          <t>005930.KS</t>
        </is>
      </c>
      <c r="B40" s="6" t="inlineStr">
        <is>
          <t>KR</t>
        </is>
      </c>
      <c r="C40" s="16" t="inlineStr">
        <is>
          <t>SamsungElec</t>
        </is>
      </c>
      <c r="D40" s="16" t="n"/>
      <c r="E40" s="16" t="n">
        <v>57</v>
      </c>
      <c r="F40" s="28" t="n">
        <v>15</v>
      </c>
      <c r="G40" s="16" t="inlineStr">
        <is>
          <t>–</t>
        </is>
      </c>
      <c r="H40" s="16" t="inlineStr">
        <is>
          <t>–</t>
        </is>
      </c>
      <c r="I40" s="36" t="n">
        <v>18.855</v>
      </c>
      <c r="J40" s="16" t="inlineStr">
        <is>
          <t>chaebol Value-Up candidate</t>
        </is>
      </c>
      <c r="K40" s="16" t="n"/>
    </row>
    <row r="41" ht="16" customHeight="1">
      <c r="A41" s="6" t="inlineStr">
        <is>
          <t>005380.KS</t>
        </is>
      </c>
      <c r="B41" s="6" t="inlineStr">
        <is>
          <t>KR</t>
        </is>
      </c>
      <c r="C41" s="14" t="inlineStr">
        <is>
          <t>HyundaiMtr</t>
        </is>
      </c>
      <c r="D41" s="14" t="n"/>
      <c r="E41" s="14" t="n">
        <v>57</v>
      </c>
      <c r="F41" s="27" t="n">
        <v>15</v>
      </c>
      <c r="G41" s="14" t="inlineStr">
        <is>
          <t>–</t>
        </is>
      </c>
      <c r="H41" s="14" t="inlineStr">
        <is>
          <t>–</t>
        </is>
      </c>
      <c r="I41" s="35" t="n">
        <v>7.539999999999999</v>
      </c>
      <c r="J41" s="14" t="inlineStr">
        <is>
          <t>chaebol Value-Up candidate</t>
        </is>
      </c>
      <c r="K41" s="14" t="n"/>
    </row>
    <row r="42" ht="16" customHeight="1">
      <c r="A42" s="8" t="inlineStr">
        <is>
          <t>005490.KS</t>
        </is>
      </c>
      <c r="B42" s="6" t="inlineStr">
        <is>
          <t>KR</t>
        </is>
      </c>
      <c r="C42" s="16" t="inlineStr">
        <is>
          <t>POSCO Holdings</t>
        </is>
      </c>
      <c r="D42" s="16" t="inlineStr">
        <is>
          <t>P/B 0.41 · 7.9× EBITDA · debt 74% · 52w 19%</t>
        </is>
      </c>
      <c r="E42" s="16" t="n">
        <v>57</v>
      </c>
      <c r="F42" s="28" t="n">
        <v>15</v>
      </c>
      <c r="G42" s="16" t="inlineStr">
        <is>
          <t>–</t>
        </is>
      </c>
      <c r="H42" s="16" t="inlineStr">
        <is>
          <t>–</t>
        </is>
      </c>
      <c r="I42" s="36" t="n">
        <v>1.125</v>
      </c>
      <c r="J42" s="16" t="inlineStr">
        <is>
          <t>chaebol Value-Up candidate</t>
        </is>
      </c>
      <c r="K42" s="16" t="inlineStr">
        <is>
          <t>P/B 0.41 · EV/EBITDA 7.9× · FCF yld -9% · net debt 74% of mcap · rev +0% · op margin 3% · diluting 9%/yr</t>
        </is>
      </c>
    </row>
    <row r="43" ht="16" customHeight="1">
      <c r="A43" s="6" t="inlineStr">
        <is>
          <t>086790.KS</t>
        </is>
      </c>
      <c r="B43" s="6" t="inlineStr">
        <is>
          <t>KR</t>
        </is>
      </c>
      <c r="C43" s="14" t="inlineStr">
        <is>
          <t>HANAFINANCIALGR</t>
        </is>
      </c>
      <c r="D43" s="14" t="n"/>
      <c r="E43" s="14" t="n">
        <v>57</v>
      </c>
      <c r="F43" s="27" t="n">
        <v>15</v>
      </c>
      <c r="G43" s="14" t="inlineStr">
        <is>
          <t>–</t>
        </is>
      </c>
      <c r="H43" s="14" t="inlineStr">
        <is>
          <t>–</t>
        </is>
      </c>
      <c r="I43" s="35" t="n">
        <v>9.097</v>
      </c>
      <c r="J43" s="14" t="inlineStr">
        <is>
          <t>chaebol Value-Up candidate</t>
        </is>
      </c>
      <c r="K43" s="14" t="n"/>
    </row>
    <row r="44" ht="16" customHeight="1">
      <c r="A44" s="8" t="inlineStr">
        <is>
          <t>316140.KS</t>
        </is>
      </c>
      <c r="B44" s="6" t="inlineStr">
        <is>
          <t>KR</t>
        </is>
      </c>
      <c r="C44" s="16" t="inlineStr">
        <is>
          <t>WooriFinancialGroup</t>
        </is>
      </c>
      <c r="D44" s="16" t="n"/>
      <c r="E44" s="16" t="n">
        <v>57</v>
      </c>
      <c r="F44" s="28" t="n">
        <v>15</v>
      </c>
      <c r="G44" s="16" t="inlineStr">
        <is>
          <t>–</t>
        </is>
      </c>
      <c r="H44" s="16" t="inlineStr">
        <is>
          <t>–</t>
        </is>
      </c>
      <c r="I44" s="36" t="n">
        <v>8.518000000000001</v>
      </c>
      <c r="J44" s="16" t="inlineStr">
        <is>
          <t>chaebol Value-Up candidate</t>
        </is>
      </c>
      <c r="K44" s="16" t="n"/>
    </row>
    <row r="45" ht="16" customHeight="1">
      <c r="A45" s="6" t="inlineStr">
        <is>
          <t>105560.KS</t>
        </is>
      </c>
      <c r="B45" s="6" t="inlineStr">
        <is>
          <t>KR</t>
        </is>
      </c>
      <c r="C45" s="14" t="inlineStr">
        <is>
          <t>KBFinancialGroup</t>
        </is>
      </c>
      <c r="D45" s="14" t="inlineStr">
        <is>
          <t>P/B 1.00 · P/E 10.0 · 52w 75%</t>
        </is>
      </c>
      <c r="E45" s="14" t="n">
        <v>57</v>
      </c>
      <c r="F45" s="27" t="n">
        <v>15</v>
      </c>
      <c r="G45" s="14" t="inlineStr">
        <is>
          <t>–</t>
        </is>
      </c>
      <c r="H45" s="14" t="inlineStr">
        <is>
          <t>–</t>
        </is>
      </c>
      <c r="I45" s="35" t="n">
        <v>9.991</v>
      </c>
      <c r="J45" s="14" t="inlineStr">
        <is>
          <t>chaebol Value-Up candidate</t>
        </is>
      </c>
      <c r="K45" s="14" t="inlineStr">
        <is>
          <t>P/B 1.00 · P/E 10.0 · ROE 11% · div yld 4.8% · buying back 3%/yr (financial: book/earnings basis)</t>
        </is>
      </c>
    </row>
    <row r="46" ht="16" customHeight="1">
      <c r="A46" s="8" t="inlineStr">
        <is>
          <t>005935.KS</t>
        </is>
      </c>
      <c r="B46" s="6" t="inlineStr">
        <is>
          <t>KR</t>
        </is>
      </c>
      <c r="C46" s="16" t="inlineStr">
        <is>
          <t>SamsungElec(1P)</t>
        </is>
      </c>
      <c r="D46" s="16" t="n"/>
      <c r="E46" s="16" t="n">
        <v>57</v>
      </c>
      <c r="F46" s="28" t="n">
        <v>15</v>
      </c>
      <c r="G46" s="16" t="inlineStr">
        <is>
          <t>–</t>
        </is>
      </c>
      <c r="H46" s="16" t="inlineStr">
        <is>
          <t>–</t>
        </is>
      </c>
      <c r="I46" s="36" t="n">
        <v>18.855</v>
      </c>
      <c r="J46" s="16" t="inlineStr">
        <is>
          <t>chaebol Value-Up candidate</t>
        </is>
      </c>
      <c r="K46" s="16" t="n"/>
    </row>
    <row r="47" ht="16" customHeight="1">
      <c r="A47" s="6" t="inlineStr">
        <is>
          <t>035720.KS</t>
        </is>
      </c>
      <c r="B47" s="6" t="inlineStr">
        <is>
          <t>KR</t>
        </is>
      </c>
      <c r="C47" s="14" t="inlineStr">
        <is>
          <t>Kakao</t>
        </is>
      </c>
      <c r="D47" s="14" t="n"/>
      <c r="E47" s="14" t="n">
        <v>26</v>
      </c>
      <c r="F47" s="27" t="n">
        <v>8</v>
      </c>
      <c r="G47" s="14" t="inlineStr">
        <is>
          <t>–</t>
        </is>
      </c>
      <c r="H47" s="14" t="inlineStr">
        <is>
          <t>–</t>
        </is>
      </c>
      <c r="I47" s="35" t="n">
        <v>3.85</v>
      </c>
      <c r="J47" s="14" t="inlineStr">
        <is>
          <t>treasury ~30%</t>
        </is>
      </c>
      <c r="K47" s="14" t="n"/>
    </row>
    <row r="48" ht="16" customHeight="1">
      <c r="A48" s="8" t="inlineStr">
        <is>
          <t>012330.KS</t>
        </is>
      </c>
      <c r="B48" s="6" t="inlineStr">
        <is>
          <t>KR</t>
        </is>
      </c>
      <c r="C48" s="16" t="inlineStr">
        <is>
          <t>Mobis</t>
        </is>
      </c>
      <c r="D48" s="16" t="n"/>
      <c r="E48" s="16" t="n">
        <v>26</v>
      </c>
      <c r="F48" s="28" t="n">
        <v>8</v>
      </c>
      <c r="G48" s="16" t="inlineStr">
        <is>
          <t>–</t>
        </is>
      </c>
      <c r="H48" s="16" t="inlineStr">
        <is>
          <t>–</t>
        </is>
      </c>
      <c r="I48" s="36" t="n">
        <v>7.2270006</v>
      </c>
      <c r="J48" s="16" t="inlineStr">
        <is>
          <t>treasury ~36%</t>
        </is>
      </c>
      <c r="K48" s="16" t="n"/>
    </row>
    <row r="49" ht="16" customHeight="1">
      <c r="A49" s="6" t="inlineStr">
        <is>
          <t>015760.KS</t>
        </is>
      </c>
      <c r="B49" s="6" t="inlineStr">
        <is>
          <t>KR</t>
        </is>
      </c>
      <c r="C49" s="14" t="inlineStr">
        <is>
          <t>KEPCO</t>
        </is>
      </c>
      <c r="D49" s="14" t="n"/>
      <c r="E49" s="14" t="n">
        <v>26</v>
      </c>
      <c r="F49" s="27" t="n">
        <v>8</v>
      </c>
      <c r="G49" s="14" t="inlineStr">
        <is>
          <t>–</t>
        </is>
      </c>
      <c r="H49" s="14" t="inlineStr">
        <is>
          <t>–</t>
        </is>
      </c>
      <c r="I49" s="35" t="n">
        <v>18.671</v>
      </c>
      <c r="J49" s="14" t="inlineStr">
        <is>
          <t>treasury ~52%</t>
        </is>
      </c>
      <c r="K49" s="14" t="n"/>
    </row>
    <row r="50" ht="16" customHeight="1">
      <c r="A50" s="8" t="inlineStr">
        <is>
          <t>036570.KS</t>
        </is>
      </c>
      <c r="B50" s="6" t="inlineStr">
        <is>
          <t>KR</t>
        </is>
      </c>
      <c r="C50" s="16" t="inlineStr">
        <is>
          <t>NC</t>
        </is>
      </c>
      <c r="D50" s="16" t="n"/>
      <c r="E50" s="16" t="n">
        <v>26</v>
      </c>
      <c r="F50" s="28" t="n">
        <v>8</v>
      </c>
      <c r="G50" s="16" t="inlineStr">
        <is>
          <t>–</t>
        </is>
      </c>
      <c r="H50" s="16" t="inlineStr">
        <is>
          <t>–</t>
        </is>
      </c>
      <c r="I50" s="36" t="n">
        <v>14.094</v>
      </c>
      <c r="J50" s="16" t="inlineStr">
        <is>
          <t>treasury ~45%</t>
        </is>
      </c>
      <c r="K50" s="16" t="n"/>
    </row>
    <row r="51" ht="16" customHeight="1">
      <c r="A51" s="6" t="inlineStr">
        <is>
          <t>251270.KS</t>
        </is>
      </c>
      <c r="B51" s="6" t="inlineStr">
        <is>
          <t>KR</t>
        </is>
      </c>
      <c r="C51" s="14" t="inlineStr">
        <is>
          <t>Netmarble</t>
        </is>
      </c>
      <c r="D51" s="14" t="n"/>
      <c r="E51" s="14" t="n">
        <v>26</v>
      </c>
      <c r="F51" s="27" t="n">
        <v>8</v>
      </c>
      <c r="G51" s="14" t="inlineStr">
        <is>
          <t>–</t>
        </is>
      </c>
      <c r="H51" s="14" t="inlineStr">
        <is>
          <t>–</t>
        </is>
      </c>
      <c r="I51" s="35" t="n">
        <v>6.414000000000001</v>
      </c>
      <c r="J51" s="14" t="inlineStr">
        <is>
          <t>treasury ~72%</t>
        </is>
      </c>
      <c r="K51" s="14" t="n"/>
    </row>
    <row r="52" ht="16" customHeight="1">
      <c r="A52" s="8" t="inlineStr">
        <is>
          <t>010130.KS</t>
        </is>
      </c>
      <c r="B52" s="6" t="inlineStr">
        <is>
          <t>KR</t>
        </is>
      </c>
      <c r="C52" s="16" t="inlineStr">
        <is>
          <t>KOREA ZINC</t>
        </is>
      </c>
      <c r="D52" s="16" t="n"/>
      <c r="E52" s="16" t="n">
        <v>26</v>
      </c>
      <c r="F52" s="28" t="n">
        <v>8</v>
      </c>
      <c r="G52" s="16" t="inlineStr">
        <is>
          <t>–</t>
        </is>
      </c>
      <c r="H52" s="16" t="inlineStr">
        <is>
          <t>–</t>
        </is>
      </c>
      <c r="I52" s="36" t="n">
        <v>10.064</v>
      </c>
      <c r="J52" s="16" t="inlineStr">
        <is>
          <t>treasury ~75%</t>
        </is>
      </c>
      <c r="K52" s="16" t="n"/>
    </row>
    <row r="53" ht="16" customHeight="1">
      <c r="A53" s="6" t="inlineStr">
        <is>
          <t>024110.KS</t>
        </is>
      </c>
      <c r="B53" s="6" t="inlineStr">
        <is>
          <t>KR</t>
        </is>
      </c>
      <c r="C53" s="14" t="inlineStr">
        <is>
          <t>IBK</t>
        </is>
      </c>
      <c r="D53" s="14" t="n"/>
      <c r="E53" s="14" t="n">
        <v>26</v>
      </c>
      <c r="F53" s="27" t="n">
        <v>8</v>
      </c>
      <c r="G53" s="14" t="inlineStr">
        <is>
          <t>–</t>
        </is>
      </c>
      <c r="H53" s="14" t="inlineStr">
        <is>
          <t>–</t>
        </is>
      </c>
      <c r="I53" s="35" t="n">
        <v>7.435</v>
      </c>
      <c r="J53" s="14" t="inlineStr">
        <is>
          <t>treasury ~60%</t>
        </is>
      </c>
      <c r="K53" s="14" t="n"/>
    </row>
    <row r="54" ht="16" customHeight="1">
      <c r="A54" s="8" t="inlineStr">
        <is>
          <t>009540.KS</t>
        </is>
      </c>
      <c r="B54" s="6" t="inlineStr">
        <is>
          <t>KR</t>
        </is>
      </c>
      <c r="C54" s="16" t="inlineStr">
        <is>
          <t>HDKSOE</t>
        </is>
      </c>
      <c r="D54" s="16" t="n"/>
      <c r="E54" s="16" t="n">
        <v>26</v>
      </c>
      <c r="F54" s="28" t="n">
        <v>8</v>
      </c>
      <c r="G54" s="16" t="inlineStr">
        <is>
          <t>–</t>
        </is>
      </c>
      <c r="H54" s="16" t="inlineStr">
        <is>
          <t>–</t>
        </is>
      </c>
      <c r="I54" s="36" t="n">
        <v>21.757999</v>
      </c>
      <c r="J54" s="16" t="inlineStr">
        <is>
          <t>treasury ~35%</t>
        </is>
      </c>
      <c r="K54" s="16" t="n"/>
    </row>
    <row r="55" ht="16" customHeight="1">
      <c r="A55" s="6" t="inlineStr">
        <is>
          <t>047810.KS</t>
        </is>
      </c>
      <c r="B55" s="6" t="inlineStr">
        <is>
          <t>KR</t>
        </is>
      </c>
      <c r="C55" s="14" t="inlineStr">
        <is>
          <t>KOREA AEROSPACE</t>
        </is>
      </c>
      <c r="D55" s="14" t="n"/>
      <c r="E55" s="14" t="n">
        <v>26</v>
      </c>
      <c r="F55" s="27" t="n">
        <v>8</v>
      </c>
      <c r="G55" s="14" t="inlineStr">
        <is>
          <t>–</t>
        </is>
      </c>
      <c r="H55" s="14" t="inlineStr">
        <is>
          <t>–</t>
        </is>
      </c>
      <c r="I55" s="35" t="n">
        <v>10.922</v>
      </c>
      <c r="J55" s="14" t="inlineStr">
        <is>
          <t>treasury ~32%</t>
        </is>
      </c>
      <c r="K55" s="14" t="n"/>
    </row>
    <row r="56" ht="16" customHeight="1">
      <c r="A56" s="8" t="inlineStr">
        <is>
          <t>138040.KS</t>
        </is>
      </c>
      <c r="B56" s="6" t="inlineStr">
        <is>
          <t>KR</t>
        </is>
      </c>
      <c r="C56" s="16" t="inlineStr">
        <is>
          <t>Meritz Financial</t>
        </is>
      </c>
      <c r="D56" s="16" t="n"/>
      <c r="E56" s="16" t="n">
        <v>26</v>
      </c>
      <c r="F56" s="28" t="n">
        <v>8</v>
      </c>
      <c r="G56" s="16" t="inlineStr">
        <is>
          <t>–</t>
        </is>
      </c>
      <c r="H56" s="16" t="inlineStr">
        <is>
          <t>–</t>
        </is>
      </c>
      <c r="I56" s="36" t="n">
        <v>21.345</v>
      </c>
      <c r="J56" s="16" t="inlineStr">
        <is>
          <t>treasury ~60%</t>
        </is>
      </c>
      <c r="K56" s="16" t="n"/>
    </row>
    <row r="57" ht="16" customHeight="1">
      <c r="A57" s="6" t="inlineStr">
        <is>
          <t>SHEL.L</t>
        </is>
      </c>
      <c r="B57" s="6" t="inlineStr">
        <is>
          <t>UK</t>
        </is>
      </c>
      <c r="C57" s="14" t="inlineStr">
        <is>
          <t>SHELL PLC ORD EUR0.07</t>
        </is>
      </c>
      <c r="D57" s="14" t="n"/>
      <c r="E57" s="14" t="n">
        <v>26</v>
      </c>
      <c r="F57" s="27" t="n">
        <v>8</v>
      </c>
      <c r="G57" s="27" t="n">
        <v>1.2567812</v>
      </c>
      <c r="H57" s="27" t="n">
        <v>12.022634</v>
      </c>
      <c r="I57" s="35" t="n">
        <v>10.697</v>
      </c>
      <c r="J57" s="14" t="inlineStr">
        <is>
          <t>div yield 396.0%</t>
        </is>
      </c>
      <c r="K57" s="14" t="n"/>
    </row>
    <row r="58" ht="16" customHeight="1">
      <c r="A58" s="8" t="inlineStr">
        <is>
          <t>BP.L</t>
        </is>
      </c>
      <c r="B58" s="6" t="inlineStr">
        <is>
          <t>UK</t>
        </is>
      </c>
      <c r="C58" s="16" t="inlineStr">
        <is>
          <t>BP PLC $0.25</t>
        </is>
      </c>
      <c r="D58" s="16" t="n"/>
      <c r="E58" s="16" t="n">
        <v>26</v>
      </c>
      <c r="F58" s="28" t="n">
        <v>8</v>
      </c>
      <c r="G58" s="28" t="n">
        <v>1.7580478</v>
      </c>
      <c r="H58" s="28" t="n">
        <v>29.628126</v>
      </c>
      <c r="I58" s="36" t="n">
        <v>5.842</v>
      </c>
      <c r="J58" s="16" t="inlineStr">
        <is>
          <t>div yield 518.0%</t>
        </is>
      </c>
      <c r="K58" s="16" t="n"/>
    </row>
    <row r="59" ht="16" customHeight="1">
      <c r="A59" s="6" t="inlineStr">
        <is>
          <t>ULVR.L</t>
        </is>
      </c>
      <c r="B59" s="6" t="inlineStr">
        <is>
          <t>UK</t>
        </is>
      </c>
      <c r="C59" s="14" t="inlineStr">
        <is>
          <t>UNILEVER PLC ORD 3.5P</t>
        </is>
      </c>
      <c r="D59" s="14" t="n"/>
      <c r="E59" s="14" t="n">
        <v>26</v>
      </c>
      <c r="F59" s="27" t="n">
        <v>8</v>
      </c>
      <c r="G59" s="27" t="n">
        <v>7.4571557</v>
      </c>
      <c r="H59" s="27" t="n">
        <v>20.560537</v>
      </c>
      <c r="I59" s="35" t="n">
        <v>30.955</v>
      </c>
      <c r="J59" s="14" t="inlineStr">
        <is>
          <t>div yield 372.0%</t>
        </is>
      </c>
      <c r="K59" s="14" t="n"/>
    </row>
    <row r="60" ht="16" customHeight="1">
      <c r="A60" s="8" t="inlineStr">
        <is>
          <t>HSBA.L</t>
        </is>
      </c>
      <c r="B60" s="6" t="inlineStr">
        <is>
          <t>UK</t>
        </is>
      </c>
      <c r="C60" s="16" t="inlineStr">
        <is>
          <t>HSBC HOLDINGS PLC ORD $0.50 (UK</t>
        </is>
      </c>
      <c r="D60" s="16" t="n"/>
      <c r="E60" s="16" t="n">
        <v>26</v>
      </c>
      <c r="F60" s="28" t="n">
        <v>8</v>
      </c>
      <c r="G60" s="28" t="n">
        <v>1.8993394</v>
      </c>
      <c r="H60" s="28" t="n">
        <v>15.749999</v>
      </c>
      <c r="I60" s="36" t="n">
        <v>11.611</v>
      </c>
      <c r="J60" s="16" t="inlineStr">
        <is>
          <t>div yield 389.0%</t>
        </is>
      </c>
      <c r="K60" s="16" t="n"/>
    </row>
    <row r="61" ht="16" customHeight="1">
      <c r="A61" s="6" t="inlineStr">
        <is>
          <t>AZN.L</t>
        </is>
      </c>
      <c r="B61" s="6" t="inlineStr">
        <is>
          <t>UK</t>
        </is>
      </c>
      <c r="C61" s="14" t="inlineStr">
        <is>
          <t>ASTRAZENECA PLC ORD SHS $0.25</t>
        </is>
      </c>
      <c r="D61" s="14" t="n"/>
      <c r="E61" s="14" t="n">
        <v>26</v>
      </c>
      <c r="F61" s="27" t="n">
        <v>8</v>
      </c>
      <c r="G61" s="27" t="n">
        <v>6.094377</v>
      </c>
      <c r="H61" s="27" t="n">
        <v>27.900793</v>
      </c>
      <c r="I61" s="35" t="n">
        <v>23.482999</v>
      </c>
      <c r="J61" s="14" t="inlineStr">
        <is>
          <t>div yield 170.0%</t>
        </is>
      </c>
      <c r="K61" s="14" t="n"/>
    </row>
    <row r="62" ht="16" customHeight="1">
      <c r="A62" s="8" t="inlineStr">
        <is>
          <t>GSK.L</t>
        </is>
      </c>
      <c r="B62" s="6" t="inlineStr">
        <is>
          <t>UK</t>
        </is>
      </c>
      <c r="C62" s="16" t="inlineStr">
        <is>
          <t>GSK PLC ORD 31 1/4P</t>
        </is>
      </c>
      <c r="D62" s="16" t="n"/>
      <c r="E62" s="16" t="n">
        <v>26</v>
      </c>
      <c r="F62" s="28" t="n">
        <v>8</v>
      </c>
      <c r="G62" s="28" t="n">
        <v>4.443819</v>
      </c>
      <c r="H62" s="28" t="n">
        <v>13.897888</v>
      </c>
      <c r="I62" s="36" t="n">
        <v>40.905997</v>
      </c>
      <c r="J62" s="16" t="inlineStr">
        <is>
          <t>div yield 349.0%</t>
        </is>
      </c>
      <c r="K62" s="16" t="n"/>
    </row>
    <row r="63" ht="16" customHeight="1">
      <c r="A63" s="6" t="inlineStr">
        <is>
          <t>BATS.L</t>
        </is>
      </c>
      <c r="B63" s="6" t="inlineStr">
        <is>
          <t>UK</t>
        </is>
      </c>
      <c r="C63" s="14" t="inlineStr">
        <is>
          <t>BRITISH AMERICAN TOBACCO PLC OR</t>
        </is>
      </c>
      <c r="D63" s="14" t="n"/>
      <c r="E63" s="14" t="n">
        <v>26</v>
      </c>
      <c r="F63" s="27" t="n">
        <v>8</v>
      </c>
      <c r="G63" s="27" t="n">
        <v>2.2128325</v>
      </c>
      <c r="H63" s="27" t="n">
        <v>13.429799</v>
      </c>
      <c r="I63" s="35" t="n">
        <v>15.824</v>
      </c>
      <c r="J63" s="14" t="inlineStr">
        <is>
          <t>div yield 524.0%</t>
        </is>
      </c>
      <c r="K63" s="14" t="n"/>
    </row>
    <row r="64" ht="16" customHeight="1">
      <c r="A64" s="8" t="inlineStr">
        <is>
          <t>BARC.L</t>
        </is>
      </c>
      <c r="B64" s="6" t="inlineStr">
        <is>
          <t>UK</t>
        </is>
      </c>
      <c r="C64" s="16" t="inlineStr">
        <is>
          <t>BARCLAYS PLC ORD 25P</t>
        </is>
      </c>
      <c r="D64" s="16" t="n"/>
      <c r="E64" s="16" t="n">
        <v>26</v>
      </c>
      <c r="F64" s="28" t="n">
        <v>8</v>
      </c>
      <c r="G64" s="28" t="n">
        <v>1.1118265</v>
      </c>
      <c r="H64" s="28" t="n">
        <v>12.046511</v>
      </c>
      <c r="I64" s="36" t="n">
        <v>9.552</v>
      </c>
      <c r="J64" s="16" t="inlineStr">
        <is>
          <t>div yield 170.0%</t>
        </is>
      </c>
      <c r="K64" s="16" t="n"/>
    </row>
    <row r="65"/>
    <row r="66" ht="28" customHeight="1">
      <c r="A66" s="17" t="inlineStr">
        <is>
          <t>Japan signal: TSE explicit policy targets PBR&lt;1 companies for capital return reform; scored highest at PBR&lt;0.7. Korea: Value-Up / treasury cancellation program (chaebol families named candidates: Samsung, Hyundai, LG, SK, POSCO). UK: scheme of arrangement is the dominant take-private mechanism in London; deep-discount FTSE names are the target pool. Source: foreign_markets.json (yfinance with .T/.KS/.L suffixes; seed list ~130 tickers, expandable).</t>
        </is>
      </c>
    </row>
  </sheetData>
  <mergeCells count="3">
    <mergeCell ref="A1:J1"/>
    <mergeCell ref="A2:J2"/>
    <mergeCell ref="A66:J66"/>
  </mergeCells>
  <conditionalFormatting sqref="E5:E66">
    <cfRule type="dataBar" priority="1">
      <dataBar showValue="1">
        <cfvo type="num" val="0"/>
        <cfvo type="num" val="100"/>
        <color rgb="009DB9D3"/>
      </dataBar>
    </cfRule>
  </conditionalFormatting>
  <printOptions horizontalCentered="0"/>
  <pageMargins left="0.5" right="0.5" top="0.6" bottom="0.6" header="0.5" footer="0.5"/>
  <pageSetup orientation="landscape" fitToHeight="0" fitToWidth="1"/>
</worksheet>
</file>

<file path=xl/worksheets/sheet20.xml><?xml version="1.0" encoding="utf-8"?>
<worksheet xmlns="http://schemas.openxmlformats.org/spreadsheetml/2006/main">
  <sheetPr>
    <tabColor rgb="002E75B6"/>
    <outlinePr summaryBelow="1" summaryRight="1"/>
    <pageSetUpPr fitToPage="1"/>
  </sheetPr>
  <dimension ref="A1:J8"/>
  <sheetViews>
    <sheetView showGridLines="0" workbookViewId="0">
      <pane ySplit="4" topLeftCell="A5" activePane="bottomLeft" state="frozen"/>
      <selection pane="bottomLeft" activeCell="A1" sqref="A1"/>
    </sheetView>
  </sheetViews>
  <sheetFormatPr baseColWidth="8" defaultRowHeight="15"/>
  <cols>
    <col width="10" customWidth="1" min="1" max="1"/>
    <col width="22" customWidth="1" min="2" max="2"/>
    <col width="30" customWidth="1" min="3" max="3"/>
    <col width="9" customWidth="1" min="4" max="4"/>
    <col width="8" customWidth="1" min="5" max="5"/>
    <col width="12" customWidth="1" min="6" max="6"/>
    <col width="22" customWidth="1" min="7" max="7"/>
    <col width="10" customWidth="1" min="8" max="8"/>
    <col width="14" customWidth="1" min="9" max="9"/>
    <col width="62" customWidth="1" min="10" max="10"/>
  </cols>
  <sheetData>
    <row r="1" ht="26" customHeight="1">
      <c r="A1" s="1" t="inlineStr">
        <is>
          <t>UK Capital Events — RNS revealed-preference &amp; distressed monitor</t>
        </is>
      </c>
    </row>
    <row r="2" ht="18" customHeight="1">
      <c r="A2" s="20" t="inlineStr">
        <is>
          <t>UK-listed capital-allocation and distressed-progress events (Transaction in Own Shares, placings, schemes of arrangement, Part 26A plans, CVAs, tender offers) — investment-trust NAV buybacks filtered out; separate universe from the US consensus</t>
        </is>
      </c>
      <c r="B2" s="19" t="n"/>
      <c r="C2" s="19" t="n"/>
      <c r="D2" s="19" t="n"/>
      <c r="E2" s="19" t="n"/>
      <c r="F2" s="19" t="n"/>
      <c r="G2" s="19" t="n"/>
      <c r="H2" s="19" t="n"/>
      <c r="I2" s="19" t="n"/>
    </row>
    <row r="3" ht="8" customHeight="1">
      <c r="D3" s="34" t="inlineStr">
        <is>
          <t>%ile vs the 2 names on this tab</t>
        </is>
      </c>
    </row>
    <row r="4" ht="18" customHeight="1">
      <c r="A4" s="12" t="inlineStr">
        <is>
          <t>Ticker</t>
        </is>
      </c>
      <c r="B4" s="12" t="inlineStr">
        <is>
          <t>Name</t>
        </is>
      </c>
      <c r="C4" s="12" t="inlineStr">
        <is>
          <t>Key numbers (FMP)</t>
        </is>
      </c>
      <c r="D4" s="12" t="inlineStr">
        <is>
          <t>Strength %ile</t>
        </is>
      </c>
      <c r="E4" s="4" t="inlineStr">
        <is>
          <t>Score</t>
        </is>
      </c>
      <c r="F4" s="4" t="inlineStr">
        <is>
          <t>Family</t>
        </is>
      </c>
      <c r="G4" s="4" t="inlineStr">
        <is>
          <t>Class</t>
        </is>
      </c>
      <c r="H4" s="4" t="inlineStr">
        <is>
          <t>Premium %</t>
        </is>
      </c>
      <c r="I4" s="4" t="inlineStr">
        <is>
          <t>Signals</t>
        </is>
      </c>
      <c r="J4" s="4" t="inlineStr">
        <is>
          <t>FMP financial read</t>
        </is>
      </c>
    </row>
    <row r="5" ht="22" customHeight="1">
      <c r="A5" s="6" t="inlineStr">
        <is>
          <t>MONY.L</t>
        </is>
      </c>
      <c r="B5" s="14" t="inlineStr">
        <is>
          <t>moneysupermarket com g</t>
        </is>
      </c>
      <c r="C5" s="14" t="n"/>
      <c r="D5" s="14" t="n">
        <v>50</v>
      </c>
      <c r="E5" s="27" t="n">
        <v>4</v>
      </c>
      <c r="F5" s="14" t="inlineStr">
        <is>
          <t>own_shares</t>
        </is>
      </c>
      <c r="G5" s="14" t="inlineStr">
        <is>
          <t>transaction own shares</t>
        </is>
      </c>
      <c r="H5" s="14" t="inlineStr">
        <is>
          <t>–</t>
        </is>
      </c>
      <c r="I5" s="14" t="inlineStr">
        <is>
          <t>–</t>
        </is>
      </c>
      <c r="J5" s="14" t="n"/>
    </row>
    <row r="6" ht="22" customHeight="1">
      <c r="A6" s="8" t="inlineStr">
        <is>
          <t>RTC.L</t>
        </is>
      </c>
      <c r="B6" s="16" t="inlineStr">
        <is>
          <t>rtc group</t>
        </is>
      </c>
      <c r="C6" s="16" t="n"/>
      <c r="D6" s="16" t="n">
        <v>50</v>
      </c>
      <c r="E6" s="28" t="n">
        <v>4</v>
      </c>
      <c r="F6" s="16" t="inlineStr">
        <is>
          <t>own_shares</t>
        </is>
      </c>
      <c r="G6" s="16" t="inlineStr">
        <is>
          <t>transaction own shares</t>
        </is>
      </c>
      <c r="H6" s="16" t="inlineStr">
        <is>
          <t>–</t>
        </is>
      </c>
      <c r="I6" s="16" t="inlineStr">
        <is>
          <t>discount</t>
        </is>
      </c>
      <c r="J6" s="16" t="n"/>
    </row>
    <row r="7"/>
    <row r="8" ht="28" customHeight="1">
      <c r="A8" s="17" t="inlineStr">
        <is>
          <t>2 UK capital events (top 45). UK terminology per the spec: 'Transaction in Own Shares' (own-shares buyback), 'placing'/'subscription' (issuance — premium placings are the revealed-preference gold), 'scheme of arrangement' / 'Part 26A restructuring plan' / 'CVA' (distressed progress), 'tender offer' / 'return of capital' (selective own-shares). Investment-trust NAV buybacks are filtered (mechanical, low signal). SOURCE LIMITATION: the UK has no free EFTS-equivalent; this monitors investegate's recent server-rendered RNS listing (shallow snapshot), so it surfaces high-signal events as they occur rather than a historical sweep. Deep UK coverage (Companies House charges/MR04-MR05 lien releases, full history) activates when a free CH_API_KEY is supplied. UK names are a SEPARATE universe and do not enter the US consensus. Source: uk_rns_scan.py.</t>
        </is>
      </c>
    </row>
  </sheetData>
  <mergeCells count="3">
    <mergeCell ref="A1:I1"/>
    <mergeCell ref="A8:I8"/>
    <mergeCell ref="A2:I2"/>
  </mergeCells>
  <conditionalFormatting sqref="D5:D8">
    <cfRule type="dataBar" priority="1">
      <dataBar showValue="1">
        <cfvo type="num" val="0"/>
        <cfvo type="num" val="100"/>
        <color rgb="009DB9D3"/>
      </dataBar>
    </cfRule>
  </conditionalFormatting>
  <printOptions horizontalCentered="0"/>
  <pageMargins left="0.5" right="0.5" top="0.6" bottom="0.6" header="0.5" footer="0.5"/>
  <pageSetup orientation="landscape" fitToHeight="0" fitToWidth="1"/>
</worksheet>
</file>

<file path=xl/worksheets/sheet21.xml><?xml version="1.0" encoding="utf-8"?>
<worksheet xmlns="http://schemas.openxmlformats.org/spreadsheetml/2006/main">
  <sheetPr>
    <tabColor rgb="002E75B6"/>
    <outlinePr summaryBelow="1" summaryRight="1"/>
    <pageSetUpPr fitToPage="1"/>
  </sheetPr>
  <dimension ref="A1:G63"/>
  <sheetViews>
    <sheetView showGridLines="0" workbookViewId="0">
      <pane ySplit="4" topLeftCell="A5" activePane="bottomLeft" state="frozen"/>
      <selection pane="bottomLeft" activeCell="A1" sqref="A1"/>
    </sheetView>
  </sheetViews>
  <sheetFormatPr baseColWidth="8" defaultRowHeight="15"/>
  <cols>
    <col width="9" customWidth="1" min="1" max="1"/>
    <col width="14" customWidth="1" min="2" max="2"/>
    <col width="50" customWidth="1" min="3" max="3"/>
    <col width="22" customWidth="1" min="4" max="4"/>
    <col width="11" customWidth="1" min="5" max="5"/>
    <col width="11" customWidth="1" min="6" max="6"/>
    <col width="26" customWidth="1" min="7" max="7"/>
  </cols>
  <sheetData>
    <row r="1" ht="26" customHeight="1">
      <c r="A1" s="1" t="inlineStr">
        <is>
          <t>Archetype Winners</t>
        </is>
      </c>
    </row>
    <row r="2" ht="18" customHeight="1">
      <c r="A2" s="2" t="inlineStr">
        <is>
          <t>57 PSU/governance/thesis buckets · single best representative per archetype across the US-listed universe</t>
        </is>
      </c>
      <c r="B2" s="3" t="n"/>
      <c r="C2" s="3" t="n"/>
      <c r="D2" s="3" t="n"/>
      <c r="E2" s="3" t="n"/>
      <c r="F2" s="3" t="n"/>
      <c r="G2" s="3" t="n"/>
    </row>
    <row r="3" ht="8" customHeight="1"/>
    <row r="4" ht="18" customHeight="1">
      <c r="A4" s="4" t="inlineStr">
        <is>
          <t>#</t>
        </is>
      </c>
      <c r="B4" s="4" t="inlineStr">
        <is>
          <t>Code</t>
        </is>
      </c>
      <c r="C4" s="4" t="inlineStr">
        <is>
          <t>Archetype description</t>
        </is>
      </c>
      <c r="D4" s="4" t="inlineStr">
        <is>
          <t>Winner</t>
        </is>
      </c>
      <c r="E4" s="4" t="inlineStr">
        <is>
          <t>mcap ($M)</t>
        </is>
      </c>
      <c r="F4" s="4" t="inlineStr">
        <is>
          <t>P/B</t>
        </is>
      </c>
      <c r="G4" s="4" t="inlineStr">
        <is>
          <t>Source file</t>
        </is>
      </c>
    </row>
    <row r="5" ht="16" customHeight="1">
      <c r="A5" s="13" t="n">
        <v>1</v>
      </c>
      <c r="B5" s="6" t="inlineStr">
        <is>
          <t>A1</t>
        </is>
      </c>
      <c r="C5" s="14" t="inlineStr">
        <is>
          <t>Forward DOLLAR REVENUE hurdle</t>
        </is>
      </c>
      <c r="D5" s="6" t="inlineStr">
        <is>
          <t>HFFG</t>
        </is>
      </c>
      <c r="E5" s="13" t="n">
        <v>82</v>
      </c>
      <c r="F5" s="27" t="n">
        <v>0.4</v>
      </c>
      <c r="G5" s="14" t="inlineStr">
        <is>
          <t>Psu Archetypes</t>
        </is>
      </c>
    </row>
    <row r="6" ht="16" customHeight="1">
      <c r="A6" s="15" t="n">
        <v>2</v>
      </c>
      <c r="B6" s="8" t="inlineStr">
        <is>
          <t>A2</t>
        </is>
      </c>
      <c r="C6" s="16" t="inlineStr">
        <is>
          <t>Forward DOLLAR EBITDA hurdle</t>
        </is>
      </c>
      <c r="D6" s="8" t="inlineStr">
        <is>
          <t>CSGP</t>
        </is>
      </c>
      <c r="E6" s="15" t="n">
        <v>11457</v>
      </c>
      <c r="F6" s="28" t="n">
        <v>1.44</v>
      </c>
      <c r="G6" s="16" t="inlineStr">
        <is>
          <t>Psu Archetypes</t>
        </is>
      </c>
    </row>
    <row r="7" ht="16" customHeight="1">
      <c r="A7" s="13" t="n">
        <v>3</v>
      </c>
      <c r="B7" s="6" t="inlineStr">
        <is>
          <t>A3</t>
        </is>
      </c>
      <c r="C7" s="14" t="inlineStr">
        <is>
          <t>Forward DOLLAR FCF hurdle</t>
        </is>
      </c>
      <c r="D7" s="6" t="inlineStr">
        <is>
          <t>MAT</t>
        </is>
      </c>
      <c r="E7" s="13" t="n">
        <v>3811</v>
      </c>
      <c r="F7" s="27" t="n">
        <v>1.91</v>
      </c>
      <c r="G7" s="14" t="inlineStr">
        <is>
          <t>Psu Archetypes</t>
        </is>
      </c>
    </row>
    <row r="8" ht="16" customHeight="1">
      <c r="A8" s="15" t="n">
        <v>4</v>
      </c>
      <c r="B8" s="8" t="inlineStr">
        <is>
          <t>A4</t>
        </is>
      </c>
      <c r="C8" s="16" t="inlineStr">
        <is>
          <t>Operating MARGIN target</t>
        </is>
      </c>
      <c r="D8" s="8" t="inlineStr">
        <is>
          <t>WHR</t>
        </is>
      </c>
      <c r="E8" s="15" t="n">
        <v>2174</v>
      </c>
      <c r="F8" s="28" t="n">
        <v>0.55</v>
      </c>
      <c r="G8" s="16" t="inlineStr">
        <is>
          <t>Psu Archetypes</t>
        </is>
      </c>
    </row>
    <row r="9" ht="16" customHeight="1">
      <c r="A9" s="13" t="n">
        <v>5</v>
      </c>
      <c r="B9" s="6" t="inlineStr">
        <is>
          <t>A5</t>
        </is>
      </c>
      <c r="C9" s="14" t="inlineStr">
        <is>
          <t>Subscriber / ARR target</t>
        </is>
      </c>
      <c r="D9" s="6" t="inlineStr">
        <is>
          <t>DDOG</t>
        </is>
      </c>
      <c r="E9" s="13" t="n">
        <v>90225</v>
      </c>
      <c r="F9" s="27" t="n">
        <v>20.66</v>
      </c>
      <c r="G9" s="14" t="inlineStr">
        <is>
          <t>Psu Archetypes</t>
        </is>
      </c>
    </row>
    <row r="10" ht="16" customHeight="1">
      <c r="A10" s="15" t="n">
        <v>6</v>
      </c>
      <c r="B10" s="8" t="inlineStr">
        <is>
          <t>A6</t>
        </is>
      </c>
      <c r="C10" s="16" t="inlineStr">
        <is>
          <t>Backlog target</t>
        </is>
      </c>
      <c r="D10" s="8" t="inlineStr">
        <is>
          <t>LMT</t>
        </is>
      </c>
      <c r="E10" s="15" t="n">
        <v>121667</v>
      </c>
      <c r="F10" s="28" t="n">
        <v>13.88</v>
      </c>
      <c r="G10" s="16" t="inlineStr">
        <is>
          <t>Psu Archetypes</t>
        </is>
      </c>
    </row>
    <row r="11" ht="16" customHeight="1">
      <c r="A11" s="13" t="n">
        <v>7</v>
      </c>
      <c r="B11" s="6" t="inlineStr">
        <is>
          <t>A7</t>
        </is>
      </c>
      <c r="C11" s="14" t="inlineStr">
        <is>
          <t>PSU vests on M&amp;A close</t>
        </is>
      </c>
      <c r="D11" s="6" t="inlineStr">
        <is>
          <t>FUBO</t>
        </is>
      </c>
      <c r="E11" s="13" t="n">
        <v>1062</v>
      </c>
      <c r="F11" s="27" t="n">
        <v>1.31</v>
      </c>
      <c r="G11" s="14" t="inlineStr">
        <is>
          <t>Psu Archetypes</t>
        </is>
      </c>
    </row>
    <row r="12" ht="16" customHeight="1">
      <c r="A12" s="15" t="n">
        <v>8</v>
      </c>
      <c r="B12" s="8" t="inlineStr">
        <is>
          <t>A8</t>
        </is>
      </c>
      <c r="C12" s="16" t="inlineStr">
        <is>
          <t>PSU vests on SPIN / separation</t>
        </is>
      </c>
      <c r="D12" s="8" t="inlineStr">
        <is>
          <t>CLW</t>
        </is>
      </c>
      <c r="E12" s="15" t="n">
        <v>350</v>
      </c>
      <c r="F12" s="28" t="n">
        <v>0.44</v>
      </c>
      <c r="G12" s="16" t="inlineStr">
        <is>
          <t>Psu Archetypes</t>
        </is>
      </c>
    </row>
    <row r="13" ht="16" customHeight="1">
      <c r="A13" s="13" t="n">
        <v>9</v>
      </c>
      <c r="B13" s="6" t="inlineStr">
        <is>
          <t>A9</t>
        </is>
      </c>
      <c r="C13" s="14" t="inlineStr">
        <is>
          <t>PSU vests on FDA / clinical milestone</t>
        </is>
      </c>
      <c r="D13" s="6" t="inlineStr">
        <is>
          <t>OCUL</t>
        </is>
      </c>
      <c r="E13" s="13" t="n">
        <v>2207</v>
      </c>
      <c r="F13" s="27" t="n">
        <v>4.24</v>
      </c>
      <c r="G13" s="14" t="inlineStr">
        <is>
          <t>Psu Archetypes</t>
        </is>
      </c>
    </row>
    <row r="14" ht="16" customHeight="1">
      <c r="A14" s="15" t="n">
        <v>10</v>
      </c>
      <c r="B14" s="8" t="inlineStr">
        <is>
          <t>A10</t>
        </is>
      </c>
      <c r="C14" s="16" t="inlineStr">
        <is>
          <t>PSU vests on NAMED ASSET SALE</t>
        </is>
      </c>
      <c r="D14" s="8" t="inlineStr">
        <is>
          <t>BAX</t>
        </is>
      </c>
      <c r="E14" s="15" t="n">
        <v>12297</v>
      </c>
      <c r="F14" s="28" t="n">
        <v>1.98</v>
      </c>
      <c r="G14" s="16" t="inlineStr">
        <is>
          <t>Psu Archetypes</t>
        </is>
      </c>
    </row>
    <row r="15" ht="16" customHeight="1">
      <c r="A15" s="13" t="n">
        <v>11</v>
      </c>
      <c r="B15" s="6" t="inlineStr">
        <is>
          <t>A11</t>
        </is>
      </c>
      <c r="C15" s="14" t="inlineStr">
        <is>
          <t>PSU vests on DEBT-PAYDOWN target</t>
        </is>
      </c>
      <c r="D15" s="6" t="inlineStr">
        <is>
          <t>VREOF</t>
        </is>
      </c>
      <c r="E15" s="13" t="n">
        <v>454</v>
      </c>
      <c r="F15" s="27" t="n">
        <v>1.03</v>
      </c>
      <c r="G15" s="14" t="inlineStr">
        <is>
          <t>Psu Archetypes</t>
        </is>
      </c>
    </row>
    <row r="16" ht="16" customHeight="1">
      <c r="A16" s="15" t="n">
        <v>12</v>
      </c>
      <c r="B16" s="8" t="inlineStr">
        <is>
          <t>A12</t>
        </is>
      </c>
      <c r="C16" s="16" t="inlineStr">
        <is>
          <t>PSU vests on RESTRUCTURING milestone</t>
        </is>
      </c>
      <c r="D16" s="8" t="inlineStr">
        <is>
          <t>CMCO</t>
        </is>
      </c>
      <c r="E16" s="15" t="n">
        <v>474</v>
      </c>
      <c r="F16" s="28" t="n">
        <v>0.51</v>
      </c>
      <c r="G16" s="16" t="inlineStr">
        <is>
          <t>Psu Archetypes</t>
        </is>
      </c>
    </row>
    <row r="17" ht="16" customHeight="1">
      <c r="A17" s="13" t="n">
        <v>13</v>
      </c>
      <c r="B17" s="6" t="inlineStr">
        <is>
          <t>A13</t>
        </is>
      </c>
      <c r="C17" s="14" t="inlineStr">
        <is>
          <t>PSU vests on CHAPTER-11 EMERGENCE</t>
        </is>
      </c>
      <c r="D17" s="6" t="inlineStr">
        <is>
          <t>WW</t>
        </is>
      </c>
      <c r="E17" s="13" t="n">
        <v>154</v>
      </c>
      <c r="F17" s="27" t="n">
        <v>0.55</v>
      </c>
      <c r="G17" s="14" t="inlineStr">
        <is>
          <t>Psu Archetypes</t>
        </is>
      </c>
    </row>
    <row r="18" ht="16" customHeight="1">
      <c r="A18" s="15" t="n">
        <v>14</v>
      </c>
      <c r="B18" s="8" t="inlineStr">
        <is>
          <t>A14</t>
        </is>
      </c>
      <c r="C18" s="16" t="inlineStr">
        <is>
          <t>DEEP stock-price ladder (&gt;=5x spot)</t>
        </is>
      </c>
      <c r="D18" s="8" t="inlineStr">
        <is>
          <t>INBP</t>
        </is>
      </c>
      <c r="E18" s="15" t="n">
        <v>6</v>
      </c>
      <c r="F18" s="28" t="n">
        <v>0.29</v>
      </c>
      <c r="G18" s="16" t="inlineStr">
        <is>
          <t>Psu Archetypes</t>
        </is>
      </c>
    </row>
    <row r="19" ht="16" customHeight="1">
      <c r="A19" s="13" t="n">
        <v>15</v>
      </c>
      <c r="B19" s="6" t="inlineStr">
        <is>
          <t>A15</t>
        </is>
      </c>
      <c r="C19" s="14" t="inlineStr">
        <is>
          <t>LONGEST step-tranche ladder (&gt;=5 steps)</t>
        </is>
      </c>
      <c r="D19" s="6" t="inlineStr">
        <is>
          <t>GO</t>
        </is>
      </c>
      <c r="E19" s="13" t="n">
        <v>1120</v>
      </c>
      <c r="F19" s="27" t="n">
        <v>1.37</v>
      </c>
      <c r="G19" s="14" t="inlineStr">
        <is>
          <t>Psu Archetypes</t>
        </is>
      </c>
    </row>
    <row r="20" ht="16" customHeight="1">
      <c r="A20" s="15" t="n">
        <v>16</v>
      </c>
      <c r="B20" s="8" t="inlineStr">
        <is>
          <t>B1</t>
        </is>
      </c>
      <c r="C20" s="16" t="inlineStr">
        <is>
          <t>HIGHEST PSU% of LTI (&gt;=80%)</t>
        </is>
      </c>
      <c r="D20" s="8" t="inlineStr">
        <is>
          <t>GO</t>
        </is>
      </c>
      <c r="E20" s="15" t="n">
        <v>1120</v>
      </c>
      <c r="F20" s="28" t="n">
        <v>1.37</v>
      </c>
      <c r="G20" s="16" t="inlineStr">
        <is>
          <t>Psu Archetypes</t>
        </is>
      </c>
    </row>
    <row r="21" ht="16" customHeight="1">
      <c r="A21" s="13" t="n">
        <v>17</v>
      </c>
      <c r="B21" s="6" t="inlineStr">
        <is>
          <t>B2</t>
        </is>
      </c>
      <c r="C21" s="14" t="inlineStr">
        <is>
          <t>VERY HEAVY PSU% of LTI 70-79%</t>
        </is>
      </c>
      <c r="D21" s="6" t="inlineStr">
        <is>
          <t>LE</t>
        </is>
      </c>
      <c r="E21" s="13" t="n">
        <v>318</v>
      </c>
      <c r="F21" s="27" t="n">
        <v>0.65</v>
      </c>
      <c r="G21" s="14" t="inlineStr">
        <is>
          <t>Psu Archetypes</t>
        </is>
      </c>
    </row>
    <row r="22" ht="16" customHeight="1">
      <c r="A22" s="15" t="n">
        <v>18</v>
      </c>
      <c r="B22" s="8" t="inlineStr">
        <is>
          <t>B3</t>
        </is>
      </c>
      <c r="C22" s="16" t="inlineStr">
        <is>
          <t>DEEPEST per-share metric stack (&gt;=5)</t>
        </is>
      </c>
      <c r="D22" s="8" t="inlineStr">
        <is>
          <t>TROX</t>
        </is>
      </c>
      <c r="E22" s="15" t="n">
        <v>695</v>
      </c>
      <c r="F22" s="28" t="n">
        <v>0.6</v>
      </c>
      <c r="G22" s="16" t="inlineStr">
        <is>
          <t>Psu Archetypes</t>
        </is>
      </c>
    </row>
    <row r="23" ht="16" customHeight="1">
      <c r="A23" s="13" t="n">
        <v>19</v>
      </c>
      <c r="B23" s="6" t="inlineStr">
        <is>
          <t>B4</t>
        </is>
      </c>
      <c r="C23" s="14" t="inlineStr">
        <is>
          <t>FCF / SHARE metric</t>
        </is>
      </c>
      <c r="D23" s="6" t="inlineStr">
        <is>
          <t>FISV</t>
        </is>
      </c>
      <c r="E23" s="13" t="n">
        <v>24506</v>
      </c>
      <c r="F23" s="27" t="n">
        <v>0.91</v>
      </c>
      <c r="G23" s="14" t="inlineStr">
        <is>
          <t>Psu Archetypes</t>
        </is>
      </c>
    </row>
    <row r="24" ht="16" customHeight="1">
      <c r="A24" s="15" t="n">
        <v>20</v>
      </c>
      <c r="B24" s="8" t="inlineStr">
        <is>
          <t>B5</t>
        </is>
      </c>
      <c r="C24" s="16" t="inlineStr">
        <is>
          <t>ROIC metric (per-share return-on-capital)</t>
        </is>
      </c>
      <c r="D24" s="8" t="inlineStr">
        <is>
          <t>GO</t>
        </is>
      </c>
      <c r="E24" s="15" t="n">
        <v>1120</v>
      </c>
      <c r="F24" s="28" t="n">
        <v>1.37</v>
      </c>
      <c r="G24" s="16" t="inlineStr">
        <is>
          <t>Psu Archetypes</t>
        </is>
      </c>
    </row>
    <row r="25" ht="16" customHeight="1">
      <c r="A25" s="13" t="n">
        <v>21</v>
      </c>
      <c r="B25" s="6" t="inlineStr">
        <is>
          <t>B6</t>
        </is>
      </c>
      <c r="C25" s="14" t="inlineStr">
        <is>
          <t>OTHER per-share metric (custom)</t>
        </is>
      </c>
      <c r="D25" s="6" t="inlineStr">
        <is>
          <t>TROX</t>
        </is>
      </c>
      <c r="E25" s="13" t="n">
        <v>695</v>
      </c>
      <c r="F25" s="27" t="n">
        <v>0.6</v>
      </c>
      <c r="G25" s="14" t="inlineStr">
        <is>
          <t>Psu Archetypes</t>
        </is>
      </c>
    </row>
    <row r="26" ht="16" customHeight="1">
      <c r="A26" s="15" t="n">
        <v>22</v>
      </c>
      <c r="B26" s="8" t="inlineStr">
        <is>
          <t>C1</t>
        </is>
      </c>
      <c r="C26" s="16" t="inlineStr">
        <is>
          <t>10x CEO OWNERSHIP MULTIPLE (highest)</t>
        </is>
      </c>
      <c r="D26" s="8" t="inlineStr">
        <is>
          <t>CSGP</t>
        </is>
      </c>
      <c r="E26" s="15" t="n">
        <v>11457</v>
      </c>
      <c r="F26" s="28" t="n">
        <v>1.44</v>
      </c>
      <c r="G26" s="16" t="inlineStr">
        <is>
          <t>Psu Archetypes</t>
        </is>
      </c>
    </row>
    <row r="27" ht="16" customHeight="1">
      <c r="A27" s="13" t="n">
        <v>23</v>
      </c>
      <c r="B27" s="6" t="inlineStr">
        <is>
          <t>C2</t>
        </is>
      </c>
      <c r="C27" s="14" t="inlineStr">
        <is>
          <t>ANTI-HEDGE / ANTI-PLEDGE policy</t>
        </is>
      </c>
      <c r="D27" s="6" t="inlineStr">
        <is>
          <t>LW</t>
        </is>
      </c>
      <c r="E27" s="13" t="n">
        <v>6225</v>
      </c>
      <c r="F27" s="27" t="n">
        <v>3.41</v>
      </c>
      <c r="G27" s="14" t="inlineStr">
        <is>
          <t>Psu Archetypes</t>
        </is>
      </c>
    </row>
    <row r="28" ht="16" customHeight="1">
      <c r="A28" s="15" t="n">
        <v>24</v>
      </c>
      <c r="B28" s="8" t="inlineStr">
        <is>
          <t>C3</t>
        </is>
      </c>
      <c r="C28" s="16" t="inlineStr">
        <is>
          <t>CLAWBACK STRENGTHENED beyond 10D-1</t>
        </is>
      </c>
      <c r="D28" s="8" t="inlineStr">
        <is>
          <t>HFFG</t>
        </is>
      </c>
      <c r="E28" s="15" t="n">
        <v>82</v>
      </c>
      <c r="F28" s="28" t="n">
        <v>0.4</v>
      </c>
      <c r="G28" s="16" t="inlineStr">
        <is>
          <t>Psu Archetypes</t>
        </is>
      </c>
    </row>
    <row r="29" ht="16" customHeight="1">
      <c r="A29" s="13" t="n">
        <v>25</v>
      </c>
      <c r="B29" s="6" t="inlineStr">
        <is>
          <t>C4</t>
        </is>
      </c>
      <c r="C29" s="14" t="inlineStr">
        <is>
          <t>POST-VEST HOLDING requirement</t>
        </is>
      </c>
      <c r="D29" s="6" t="inlineStr">
        <is>
          <t>LW</t>
        </is>
      </c>
      <c r="E29" s="13" t="n">
        <v>6225</v>
      </c>
      <c r="F29" s="27" t="n">
        <v>3.41</v>
      </c>
      <c r="G29" s="14" t="inlineStr">
        <is>
          <t>Psu Archetypes</t>
        </is>
      </c>
    </row>
    <row r="30" ht="16" customHeight="1">
      <c r="A30" s="15" t="n">
        <v>26</v>
      </c>
      <c r="B30" s="8" t="inlineStr">
        <is>
          <t>C5</t>
        </is>
      </c>
      <c r="C30" s="16" t="inlineStr">
        <is>
          <t>LONG vesting (&gt;=5y)</t>
        </is>
      </c>
      <c r="D30" s="8" t="inlineStr">
        <is>
          <t>LW</t>
        </is>
      </c>
      <c r="E30" s="15" t="n">
        <v>6225</v>
      </c>
      <c r="F30" s="28" t="n">
        <v>3.41</v>
      </c>
      <c r="G30" s="16" t="inlineStr">
        <is>
          <t>Psu Archetypes</t>
        </is>
      </c>
    </row>
    <row r="31" ht="16" customHeight="1">
      <c r="A31" s="13" t="n">
        <v>27</v>
      </c>
      <c r="B31" s="6" t="inlineStr">
        <is>
          <t>C6</t>
        </is>
      </c>
      <c r="C31" s="14" t="inlineStr">
        <is>
          <t>RESPONSIVE-to-shareholders plan evolution</t>
        </is>
      </c>
      <c r="D31" s="6" t="inlineStr">
        <is>
          <t>LW</t>
        </is>
      </c>
      <c r="E31" s="13" t="n">
        <v>6225</v>
      </c>
      <c r="F31" s="27" t="n">
        <v>3.41</v>
      </c>
      <c r="G31" s="14" t="inlineStr">
        <is>
          <t>Psu Archetypes</t>
        </is>
      </c>
    </row>
    <row r="32" ht="16" customHeight="1">
      <c r="A32" s="15" t="n">
        <v>28</v>
      </c>
      <c r="B32" s="8" t="inlineStr">
        <is>
          <t>D1</t>
        </is>
      </c>
      <c r="C32" s="16" t="inlineStr">
        <is>
          <t>Shareholder-FEEDBACK plan response</t>
        </is>
      </c>
      <c r="D32" s="8" t="inlineStr">
        <is>
          <t>LW</t>
        </is>
      </c>
      <c r="E32" s="15" t="n">
        <v>6225</v>
      </c>
      <c r="F32" s="28" t="n">
        <v>3.41</v>
      </c>
      <c r="G32" s="16" t="inlineStr">
        <is>
          <t>Psu Archetypes</t>
        </is>
      </c>
    </row>
    <row r="33" ht="16" customHeight="1">
      <c r="A33" s="13" t="n">
        <v>29</v>
      </c>
      <c r="B33" s="6" t="inlineStr">
        <is>
          <t>D2</t>
        </is>
      </c>
      <c r="C33" s="14" t="inlineStr">
        <is>
          <t>VEST PERIOD EXTENDED in latest filing</t>
        </is>
      </c>
      <c r="D33" s="6" t="inlineStr">
        <is>
          <t>HUT</t>
        </is>
      </c>
      <c r="E33" s="13" t="n">
        <v>11894</v>
      </c>
      <c r="F33" s="27" t="n">
        <v>8.24</v>
      </c>
      <c r="G33" s="14" t="inlineStr">
        <is>
          <t>Psu Archetypes</t>
        </is>
      </c>
    </row>
    <row r="34" ht="16" customHeight="1">
      <c r="A34" s="15" t="n">
        <v>30</v>
      </c>
      <c r="B34" s="8" t="inlineStr">
        <is>
          <t>D3</t>
        </is>
      </c>
      <c r="C34" s="16" t="inlineStr">
        <is>
          <t>OWNERSHIP REQUIREMENTS ADDED</t>
        </is>
      </c>
      <c r="D34" s="8" t="inlineStr">
        <is>
          <t>CNMD</t>
        </is>
      </c>
      <c r="E34" s="15" t="n">
        <v>1369</v>
      </c>
      <c r="F34" s="28" t="n">
        <v>1.31</v>
      </c>
      <c r="G34" s="16" t="inlineStr">
        <is>
          <t>Psu Archetypes</t>
        </is>
      </c>
    </row>
    <row r="35" ht="16" customHeight="1">
      <c r="A35" s="13" t="n">
        <v>31</v>
      </c>
      <c r="B35" s="6" t="inlineStr">
        <is>
          <t>D4</t>
        </is>
      </c>
      <c r="C35" s="14" t="inlineStr">
        <is>
          <t>TRANSFORMATION signal (board signaling reset)</t>
        </is>
      </c>
      <c r="D35" s="6" t="inlineStr">
        <is>
          <t>SIRI</t>
        </is>
      </c>
      <c r="E35" s="13" t="n">
        <v>8782</v>
      </c>
      <c r="F35" s="27" t="n">
        <v>0.74</v>
      </c>
      <c r="G35" s="14" t="inlineStr">
        <is>
          <t>Psu Archetypes</t>
        </is>
      </c>
    </row>
    <row r="36" ht="16" customHeight="1">
      <c r="A36" s="15" t="n">
        <v>32</v>
      </c>
      <c r="B36" s="8" t="inlineStr">
        <is>
          <t>E1</t>
        </is>
      </c>
      <c r="C36" s="16" t="inlineStr">
        <is>
          <t>FRONT-LOADED grant (red flag, paid now for later goals)</t>
        </is>
      </c>
      <c r="D36" s="8" t="inlineStr">
        <is>
          <t>HFFG</t>
        </is>
      </c>
      <c r="E36" s="15" t="n">
        <v>82</v>
      </c>
      <c r="F36" s="28" t="n">
        <v>0.4</v>
      </c>
      <c r="G36" s="16" t="inlineStr">
        <is>
          <t>Psu Archetypes</t>
        </is>
      </c>
    </row>
    <row r="37" ht="16" customHeight="1">
      <c r="A37" s="13" t="n">
        <v>33</v>
      </c>
      <c r="B37" s="6" t="inlineStr">
        <is>
          <t>E2</t>
        </is>
      </c>
      <c r="C37" s="14" t="inlineStr">
        <is>
          <t>REPRICING language (red flag)</t>
        </is>
      </c>
      <c r="D37" s="6" t="inlineStr">
        <is>
          <t>GO</t>
        </is>
      </c>
      <c r="E37" s="13" t="n">
        <v>1120</v>
      </c>
      <c r="F37" s="27" t="n">
        <v>1.37</v>
      </c>
      <c r="G37" s="14" t="inlineStr">
        <is>
          <t>Psu Archetypes</t>
        </is>
      </c>
    </row>
    <row r="38" ht="16" customHeight="1">
      <c r="A38" s="15" t="n">
        <v>34</v>
      </c>
      <c r="B38" s="8" t="inlineStr">
        <is>
          <t>E3</t>
        </is>
      </c>
      <c r="C38" s="16" t="inlineStr">
        <is>
          <t>DISCRETIONARY language / gameable hurdle (red flag)</t>
        </is>
      </c>
      <c r="D38" s="8" t="inlineStr">
        <is>
          <t>BHF</t>
        </is>
      </c>
      <c r="E38" s="15" t="n">
        <v>3005</v>
      </c>
      <c r="F38" s="28" t="n">
        <v>0.46</v>
      </c>
      <c r="G38" s="16" t="inlineStr">
        <is>
          <t>Psu Archetypes</t>
        </is>
      </c>
    </row>
    <row r="39" ht="16" customHeight="1">
      <c r="A39" s="13" t="n">
        <v>35</v>
      </c>
      <c r="B39" s="6" t="inlineStr">
        <is>
          <t>E4</t>
        </is>
      </c>
      <c r="C39" s="14" t="inlineStr">
        <is>
          <t>AGGREGATE-only metrics (no per-share alignment)</t>
        </is>
      </c>
      <c r="D39" s="6" t="inlineStr">
        <is>
          <t>INBS</t>
        </is>
      </c>
      <c r="E39" s="13" t="n">
        <v>1</v>
      </c>
      <c r="F39" s="27" t="n">
        <v>0.13</v>
      </c>
      <c r="G39" s="14" t="inlineStr">
        <is>
          <t>Psu Archetypes</t>
        </is>
      </c>
    </row>
    <row r="40" ht="16" customHeight="1">
      <c r="A40" s="15" t="n">
        <v>36</v>
      </c>
      <c r="B40" s="8" t="inlineStr">
        <is>
          <t>E5</t>
        </is>
      </c>
      <c r="C40" s="16" t="inlineStr">
        <is>
          <t>SINGLE-TRIGGER CIC (penalty)</t>
        </is>
      </c>
      <c r="D40" s="8" t="inlineStr">
        <is>
          <t>AMT</t>
        </is>
      </c>
      <c r="E40" s="15" t="n">
        <v>80546</v>
      </c>
      <c r="F40" s="28" t="n">
        <v>21.65</v>
      </c>
      <c r="G40" s="16" t="inlineStr">
        <is>
          <t>Psu Archetypes</t>
        </is>
      </c>
    </row>
    <row r="41" ht="16" customHeight="1">
      <c r="A41" s="13" t="n">
        <v>37</v>
      </c>
      <c r="B41" s="6" t="inlineStr">
        <is>
          <t>E6</t>
        </is>
      </c>
      <c r="C41" s="14" t="inlineStr">
        <is>
          <t>Retirement carveout (vest on retire, weak)</t>
        </is>
      </c>
      <c r="D41" s="6" t="inlineStr">
        <is>
          <t>FISV</t>
        </is>
      </c>
      <c r="E41" s="13" t="n">
        <v>24506</v>
      </c>
      <c r="F41" s="27" t="n">
        <v>0.91</v>
      </c>
      <c r="G41" s="14" t="inlineStr">
        <is>
          <t>Psu Archetypes</t>
        </is>
      </c>
    </row>
    <row r="42" ht="16" customHeight="1">
      <c r="A42" s="15" t="n">
        <v>38</v>
      </c>
      <c r="B42" s="8" t="inlineStr">
        <is>
          <t>F1</t>
        </is>
      </c>
      <c r="C42" s="16" t="inlineStr">
        <is>
          <t>SAY-ON-PAY DISSENT (lowest passing vote)</t>
        </is>
      </c>
      <c r="D42" s="8" t="inlineStr">
        <is>
          <t>CSGP</t>
        </is>
      </c>
      <c r="E42" s="15" t="n">
        <v>11457</v>
      </c>
      <c r="F42" s="28" t="n">
        <v>1.44</v>
      </c>
      <c r="G42" s="16" t="inlineStr">
        <is>
          <t>Psu Archetypes</t>
        </is>
      </c>
    </row>
    <row r="43" ht="16" customHeight="1">
      <c r="A43" s="13" t="n">
        <v>39</v>
      </c>
      <c r="B43" s="6" t="inlineStr">
        <is>
          <t>A1</t>
        </is>
      </c>
      <c r="C43" s="14" t="inlineStr">
        <is>
          <t>PSU forward DOLLAR REVENUE hurdle</t>
        </is>
      </c>
      <c r="D43" s="6" t="inlineStr">
        <is>
          <t>HFFG</t>
        </is>
      </c>
      <c r="E43" s="13" t="n">
        <v>82</v>
      </c>
      <c r="F43" s="27" t="n">
        <v>0.4</v>
      </c>
      <c r="G43" s="14" t="inlineStr">
        <is>
          <t>Asymmetric By Archetype</t>
        </is>
      </c>
    </row>
    <row r="44" ht="16" customHeight="1">
      <c r="A44" s="15" t="n">
        <v>40</v>
      </c>
      <c r="B44" s="8" t="inlineStr">
        <is>
          <t>A2</t>
        </is>
      </c>
      <c r="C44" s="16" t="inlineStr">
        <is>
          <t>PSU forward DOLLAR EBITDA hurdle</t>
        </is>
      </c>
      <c r="D44" s="8" t="inlineStr">
        <is>
          <t>MAT</t>
        </is>
      </c>
      <c r="E44" s="15" t="n">
        <v>3811</v>
      </c>
      <c r="F44" s="28" t="n">
        <v>1.91</v>
      </c>
      <c r="G44" s="16" t="inlineStr">
        <is>
          <t>Asymmetric By Archetype</t>
        </is>
      </c>
    </row>
    <row r="45" ht="16" customHeight="1">
      <c r="A45" s="13" t="n">
        <v>41</v>
      </c>
      <c r="B45" s="6" t="inlineStr">
        <is>
          <t>A3</t>
        </is>
      </c>
      <c r="C45" s="14" t="inlineStr">
        <is>
          <t>PSU forward DOLLAR FCF hurdle</t>
        </is>
      </c>
      <c r="D45" s="6" t="inlineStr">
        <is>
          <t>MAT</t>
        </is>
      </c>
      <c r="E45" s="13" t="n">
        <v>3811</v>
      </c>
      <c r="F45" s="27" t="n">
        <v>1.91</v>
      </c>
      <c r="G45" s="14" t="inlineStr">
        <is>
          <t>Asymmetric By Archetype</t>
        </is>
      </c>
    </row>
    <row r="46" ht="16" customHeight="1">
      <c r="A46" s="15" t="n">
        <v>42</v>
      </c>
      <c r="B46" s="8" t="inlineStr">
        <is>
          <t>A4</t>
        </is>
      </c>
      <c r="C46" s="16" t="inlineStr">
        <is>
          <t>DEEP price ladder (&gt;=5x spot, value floor)</t>
        </is>
      </c>
      <c r="D46" s="8" t="inlineStr">
        <is>
          <t>DXLG</t>
        </is>
      </c>
      <c r="E46" s="15" t="n">
        <v>33</v>
      </c>
      <c r="F46" s="28" t="n">
        <v>0.32</v>
      </c>
      <c r="G46" s="16" t="inlineStr">
        <is>
          <t>Asymmetric By Archetype</t>
        </is>
      </c>
    </row>
    <row r="47" ht="16" customHeight="1">
      <c r="A47" s="13" t="n">
        <v>43</v>
      </c>
      <c r="B47" s="6" t="inlineStr">
        <is>
          <t>A5</t>
        </is>
      </c>
      <c r="C47" s="14" t="inlineStr">
        <is>
          <t>PSU vests on M&amp;A close</t>
        </is>
      </c>
      <c r="D47" s="6" t="inlineStr">
        <is>
          <t>EXEL</t>
        </is>
      </c>
      <c r="E47" s="13" t="n">
        <v>14225</v>
      </c>
      <c r="F47" s="27" t="n">
        <v>7.72</v>
      </c>
      <c r="G47" s="14" t="inlineStr">
        <is>
          <t>Asymmetric By Archetype</t>
        </is>
      </c>
    </row>
    <row r="48" ht="16" customHeight="1">
      <c r="A48" s="15" t="n">
        <v>44</v>
      </c>
      <c r="B48" s="8" t="inlineStr">
        <is>
          <t>A6</t>
        </is>
      </c>
      <c r="C48" s="16" t="inlineStr">
        <is>
          <t>PSU vests on SPIN / separation</t>
        </is>
      </c>
      <c r="D48" s="8" t="inlineStr">
        <is>
          <t>A</t>
        </is>
      </c>
      <c r="E48" s="15" t="n">
        <v>46839</v>
      </c>
      <c r="F48" s="28" t="n">
        <v>6.36</v>
      </c>
      <c r="G48" s="16" t="inlineStr">
        <is>
          <t>Asymmetric By Archetype</t>
        </is>
      </c>
    </row>
    <row r="49" ht="16" customHeight="1">
      <c r="A49" s="13" t="n">
        <v>45</v>
      </c>
      <c r="B49" s="6" t="inlineStr">
        <is>
          <t>A7</t>
        </is>
      </c>
      <c r="C49" s="14" t="inlineStr">
        <is>
          <t>PSU vests on FDA / clinical milestone</t>
        </is>
      </c>
      <c r="D49" s="6" t="inlineStr">
        <is>
          <t>OCUL</t>
        </is>
      </c>
      <c r="E49" s="13" t="n">
        <v>2207</v>
      </c>
      <c r="F49" s="27" t="n">
        <v>4.24</v>
      </c>
      <c r="G49" s="14" t="inlineStr">
        <is>
          <t>Asymmetric By Archetype</t>
        </is>
      </c>
    </row>
    <row r="50" ht="16" customHeight="1">
      <c r="A50" s="15" t="n">
        <v>46</v>
      </c>
      <c r="B50" s="8" t="inlineStr">
        <is>
          <t>A8</t>
        </is>
      </c>
      <c r="C50" s="16" t="inlineStr">
        <is>
          <t>PSU vests on NAMED ASSET SALE</t>
        </is>
      </c>
      <c r="D50" s="8" t="inlineStr">
        <is>
          <t>NUS</t>
        </is>
      </c>
      <c r="E50" s="15" t="n">
        <v>229</v>
      </c>
      <c r="F50" s="28" t="n">
        <v>0.42</v>
      </c>
      <c r="G50" s="16" t="inlineStr">
        <is>
          <t>Asymmetric By Archetype</t>
        </is>
      </c>
    </row>
    <row r="51" ht="16" customHeight="1">
      <c r="A51" s="13" t="n">
        <v>47</v>
      </c>
      <c r="B51" s="6" t="inlineStr">
        <is>
          <t>A9</t>
        </is>
      </c>
      <c r="C51" s="14" t="inlineStr">
        <is>
          <t>PSU vests on DEBT PAYDOWN target</t>
        </is>
      </c>
      <c r="D51" s="6" t="inlineStr">
        <is>
          <t>RCL</t>
        </is>
      </c>
      <c r="E51" s="13" t="n">
        <v>61047</v>
      </c>
      <c r="F51" s="27" t="n">
        <v>5.96</v>
      </c>
      <c r="G51" s="14" t="inlineStr">
        <is>
          <t>Asymmetric By Archetype</t>
        </is>
      </c>
    </row>
    <row r="52" ht="16" customHeight="1">
      <c r="A52" s="15" t="n">
        <v>48</v>
      </c>
      <c r="B52" s="8" t="inlineStr">
        <is>
          <t>A10</t>
        </is>
      </c>
      <c r="C52" s="16" t="inlineStr">
        <is>
          <t>HIGHEST PSU% of LTI (skin in game)</t>
        </is>
      </c>
      <c r="D52" s="8" t="inlineStr">
        <is>
          <t>ADT</t>
        </is>
      </c>
      <c r="E52" s="15" t="n">
        <v>5108</v>
      </c>
      <c r="F52" s="28" t="n">
        <v>1.47</v>
      </c>
      <c r="G52" s="16" t="inlineStr">
        <is>
          <t>Asymmetric By Archetype</t>
        </is>
      </c>
    </row>
    <row r="53" ht="16" customHeight="1">
      <c r="A53" s="13" t="n">
        <v>49</v>
      </c>
      <c r="B53" s="6" t="inlineStr">
        <is>
          <t>A11</t>
        </is>
      </c>
      <c r="C53" s="14" t="inlineStr">
        <is>
          <t>CLEANEST per-share return-on-capital stack</t>
        </is>
      </c>
      <c r="D53" s="6" t="inlineStr">
        <is>
          <t>NBHC</t>
        </is>
      </c>
      <c r="E53" s="13" t="n">
        <v>1801</v>
      </c>
      <c r="F53" s="27" t="n">
        <v>1.08</v>
      </c>
      <c r="G53" s="14" t="inlineStr">
        <is>
          <t>Asymmetric By Archetype</t>
        </is>
      </c>
    </row>
    <row r="54" ht="16" customHeight="1">
      <c r="A54" s="15" t="n">
        <v>50</v>
      </c>
      <c r="B54" s="8" t="inlineStr">
        <is>
          <t>B1</t>
        </is>
      </c>
      <c r="C54" s="16" t="inlineStr">
        <is>
          <t>Live ISSUER SELF-TENDER</t>
        </is>
      </c>
      <c r="D54" s="8" t="inlineStr">
        <is>
          <t>EXFY</t>
        </is>
      </c>
      <c r="E54" s="15" t="n">
        <v>230</v>
      </c>
      <c r="F54" s="28" t="n">
        <v>1.71</v>
      </c>
      <c r="G54" s="16" t="inlineStr">
        <is>
          <t>Asymmetric By Archetype</t>
        </is>
      </c>
    </row>
    <row r="55" ht="16" customHeight="1">
      <c r="A55" s="13" t="n">
        <v>51</v>
      </c>
      <c r="B55" s="6" t="inlineStr">
        <is>
          <t>B2</t>
        </is>
      </c>
      <c r="C55" s="14" t="inlineStr">
        <is>
          <t>Live TENDER TARGET (own 14D-9)</t>
        </is>
      </c>
      <c r="D55" s="6" t="inlineStr">
        <is>
          <t>ASRT</t>
        </is>
      </c>
      <c r="E55" s="13" t="n">
        <v>152</v>
      </c>
      <c r="F55" s="27" t="n">
        <v>2</v>
      </c>
      <c r="G55" s="14" t="inlineStr">
        <is>
          <t>Asymmetric By Archetype</t>
        </is>
      </c>
    </row>
    <row r="56" ht="16" customHeight="1">
      <c r="A56" s="15" t="n">
        <v>52</v>
      </c>
      <c r="B56" s="8" t="inlineStr">
        <is>
          <t>B3</t>
        </is>
      </c>
      <c r="C56" s="16" t="inlineStr">
        <is>
          <t>Live GOING-PRIVATE (SC 13E-3)</t>
        </is>
      </c>
      <c r="D56" s="8" t="inlineStr">
        <is>
          <t>CWAN</t>
        </is>
      </c>
      <c r="E56" s="15" t="n">
        <v>7250</v>
      </c>
      <c r="F56" s="28" t="n">
        <v>3.52</v>
      </c>
      <c r="G56" s="16" t="inlineStr">
        <is>
          <t>Asymmetric By Archetype</t>
        </is>
      </c>
    </row>
    <row r="57" ht="16" customHeight="1">
      <c r="A57" s="13" t="n">
        <v>53</v>
      </c>
      <c r="B57" s="6" t="inlineStr">
        <is>
          <t>B4</t>
        </is>
      </c>
      <c r="C57" s="14" t="inlineStr">
        <is>
          <t>CEO/Chair 10b5-1 SELL-PLAN TERMINATION</t>
        </is>
      </c>
      <c r="D57" s="6" t="inlineStr">
        <is>
          <t>CDE</t>
        </is>
      </c>
      <c r="E57" s="13" t="n">
        <v>20030</v>
      </c>
      <c r="F57" s="27" t="n">
        <v>1.92</v>
      </c>
      <c r="G57" s="14" t="inlineStr">
        <is>
          <t>Asymmetric By Archetype</t>
        </is>
      </c>
    </row>
    <row r="58" ht="16" customHeight="1">
      <c r="A58" s="15" t="n">
        <v>54</v>
      </c>
      <c r="B58" s="8" t="inlineStr">
        <is>
          <t>B5</t>
        </is>
      </c>
      <c r="C58" s="16" t="inlineStr">
        <is>
          <t>Verified buyback EXECUTING (largest shrinkage)</t>
        </is>
      </c>
      <c r="D58" s="8" t="inlineStr">
        <is>
          <t>PAYC</t>
        </is>
      </c>
      <c r="E58" s="15" t="n">
        <v>10075</v>
      </c>
      <c r="F58" s="28" t="n">
        <v>17.63</v>
      </c>
      <c r="G58" s="16" t="inlineStr">
        <is>
          <t>Asymmetric By Archetype</t>
        </is>
      </c>
    </row>
    <row r="59" ht="16" customHeight="1">
      <c r="A59" s="13" t="n">
        <v>55</v>
      </c>
      <c r="B59" s="6" t="inlineStr">
        <is>
          <t>B6</t>
        </is>
      </c>
      <c r="C59" s="14" t="inlineStr">
        <is>
          <t>LARGEST insider DOLLAR cluster</t>
        </is>
      </c>
      <c r="D59" s="6" t="inlineStr">
        <is>
          <t>ODTX</t>
        </is>
      </c>
      <c r="E59" s="13" t="n">
        <v>1033</v>
      </c>
      <c r="F59" s="27" t="n">
        <v>2.45</v>
      </c>
      <c r="G59" s="14" t="inlineStr">
        <is>
          <t>Asymmetric By Archetype</t>
        </is>
      </c>
    </row>
    <row r="60" ht="16" customHeight="1">
      <c r="A60" s="15" t="n">
        <v>56</v>
      </c>
      <c r="B60" s="8" t="inlineStr">
        <is>
          <t>B7</t>
        </is>
      </c>
      <c r="C60" s="16" t="inlineStr">
        <is>
          <t>HIGHEST insider buying as % of mcap</t>
        </is>
      </c>
      <c r="D60" s="8" t="inlineStr">
        <is>
          <t>ODTX</t>
        </is>
      </c>
      <c r="E60" s="15" t="n">
        <v>1033</v>
      </c>
      <c r="F60" s="28" t="n">
        <v>2.45</v>
      </c>
      <c r="G60" s="16" t="inlineStr">
        <is>
          <t>Asymmetric By Archetype</t>
        </is>
      </c>
    </row>
    <row r="61" ht="16" customHeight="1">
      <c r="A61" s="13" t="n">
        <v>57</v>
      </c>
      <c r="B61" s="6" t="inlineStr">
        <is>
          <t>B8</t>
        </is>
      </c>
      <c r="C61" s="14" t="inlineStr">
        <is>
          <t>FIRST-IN-A-WHILE cluster (Cohen-Malloy)</t>
        </is>
      </c>
      <c r="D61" s="6" t="inlineStr">
        <is>
          <t>ODTX</t>
        </is>
      </c>
      <c r="E61" s="13" t="n">
        <v>1033</v>
      </c>
      <c r="F61" s="27" t="n">
        <v>2.45</v>
      </c>
      <c r="G61" s="14" t="inlineStr">
        <is>
          <t>Asymmetric By Archetype</t>
        </is>
      </c>
    </row>
    <row r="63" ht="28" customHeight="1">
      <c r="A63" s="17" t="inlineStr">
        <is>
          <t>Archetype = a single scored dimension (PSU forward-conditional trigger, governance evolution, plan-pattern flag, or thesis convergence). Winner = single ticker scoring highest on that dimension across the US-listed universe. Multi-archetype winners (CSGP, HFFG, LE, KMPR) are the structurally rarest. Source: PSU_ARCHETYPES.md + ASYMMETRIC_BY_ARCHETYPE.md.</t>
        </is>
      </c>
    </row>
  </sheetData>
  <mergeCells count="3">
    <mergeCell ref="A2:G2"/>
    <mergeCell ref="A63:G63"/>
    <mergeCell ref="A1:G1"/>
  </mergeCells>
  <printOptions horizontalCentered="0"/>
  <pageMargins left="0.5" right="0.5" top="0.6" bottom="0.6" header="0.5" footer="0.5"/>
  <pageSetup orientation="landscape" fitToHeight="0" fitToWidth="1"/>
</worksheet>
</file>

<file path=xl/worksheets/sheet22.xml><?xml version="1.0" encoding="utf-8"?>
<worksheet xmlns="http://schemas.openxmlformats.org/spreadsheetml/2006/main">
  <sheetPr>
    <tabColor rgb="002E75B6"/>
    <outlinePr summaryBelow="1" summaryRight="1"/>
    <pageSetUpPr fitToPage="1"/>
  </sheetPr>
  <dimension ref="A1:D29"/>
  <sheetViews>
    <sheetView showGridLines="0" workbookViewId="0">
      <selection activeCell="A1" sqref="A1"/>
    </sheetView>
  </sheetViews>
  <sheetFormatPr baseColWidth="8" defaultRowHeight="15"/>
  <cols>
    <col width="9" customWidth="1" min="1" max="1"/>
    <col width="30" customWidth="1" min="2" max="2"/>
    <col width="18" customWidth="1" min="3" max="3"/>
    <col width="50" customWidth="1" min="4" max="4"/>
  </cols>
  <sheetData>
    <row r="1" ht="26" customHeight="1">
      <c r="A1" s="1" t="inlineStr">
        <is>
          <t>Reserve Baskets</t>
        </is>
      </c>
    </row>
    <row r="2" ht="18" customHeight="1">
      <c r="A2" s="2" t="inlineStr">
        <is>
          <t>Sub-archetype groups for diversified single-mandate deployment alongside the convergent set</t>
        </is>
      </c>
      <c r="B2" s="3" t="n"/>
      <c r="C2" s="3" t="n"/>
      <c r="D2" s="3" t="n"/>
    </row>
    <row r="3" ht="8" customHeight="1"/>
    <row r="4" ht="18" customHeight="1">
      <c r="A4" s="4" t="inlineStr">
        <is>
          <t>#</t>
        </is>
      </c>
      <c r="B4" s="4" t="inlineStr">
        <is>
          <t>Basket</t>
        </is>
      </c>
      <c r="C4" s="12" t="inlineStr">
        <is>
          <t>Holdings</t>
        </is>
      </c>
      <c r="D4" s="4" t="inlineStr">
        <is>
          <t>Why this basket exists</t>
        </is>
      </c>
    </row>
    <row r="5" ht="48" customHeight="1">
      <c r="A5" s="13" t="n">
        <v>1</v>
      </c>
      <c r="B5" s="6" t="inlineStr">
        <is>
          <t>Microcap forcing-function (Bastian)</t>
        </is>
      </c>
      <c r="C5" s="14" t="inlineStr">
        <is>
          <t>BEEP, LGL, NUS, DXLG, WW, OSUR</t>
        </is>
      </c>
      <c r="D5" s="14" t="inlineStr">
        <is>
          <t>P/B &lt; 0.5 + PSU trigger + tender role; RGS/NLOP-archetype self-help</t>
        </is>
      </c>
    </row>
    <row r="6" ht="48" customHeight="1">
      <c r="A6" s="15" t="n">
        <v>2</v>
      </c>
      <c r="B6" s="8" t="inlineStr">
        <is>
          <t>Mungerian forward-dollar PSU</t>
        </is>
      </c>
      <c r="C6" s="16" t="inlineStr">
        <is>
          <t>HFFG, MAT, LMT, THRY, EHTH</t>
        </is>
      </c>
      <c r="D6" s="16" t="inlineStr">
        <is>
          <t>Named dollar hurdle = knowable catalyst; the most informative PSU class</t>
        </is>
      </c>
    </row>
    <row r="7" ht="48" customHeight="1">
      <c r="A7" s="13" t="n">
        <v>3</v>
      </c>
      <c r="B7" s="6" t="inlineStr">
        <is>
          <t>Verified buyback compounders</t>
        </is>
      </c>
      <c r="C7" s="14" t="inlineStr">
        <is>
          <t>CSGP, KMPR, ADT, PAYC, GRND</t>
        </is>
      </c>
      <c r="D7" s="14" t="inlineStr">
        <is>
          <t>EXECUTING status with PSU alignment; real supply-curve compression, not just authorisation</t>
        </is>
      </c>
    </row>
    <row r="8" ht="48" customHeight="1">
      <c r="A8" s="15" t="n">
        <v>4</v>
      </c>
      <c r="B8" s="8" t="inlineStr">
        <is>
          <t>Live tender / event-driven</t>
        </is>
      </c>
      <c r="C8" s="16" t="inlineStr">
        <is>
          <t>EXFY, GPUS, GETY, LE, DXLG, CWAN</t>
        </is>
      </c>
      <c r="D8" s="16" t="inlineStr">
        <is>
          <t>Issuer self-tender / TARGET 14D-9 / 13E-3 going-private; mechanical bid as floor</t>
        </is>
      </c>
    </row>
    <row r="9" ht="48" customHeight="1">
      <c r="A9" s="13" t="n">
        <v>5</v>
      </c>
      <c r="B9" s="6" t="inlineStr">
        <is>
          <t>Special-situations debt-haircut (BBGI-archetype)</t>
        </is>
      </c>
      <c r="C9" s="14" t="inlineStr">
        <is>
          <t>WW, LGL, QVCGQ, ENHA, FONR</t>
        </is>
      </c>
      <c r="D9" s="14" t="inlineStr">
        <is>
          <t>Capital-structure forcing function; exchange-offer + springing maturity</t>
        </is>
      </c>
    </row>
    <row r="10" ht="48" customHeight="1">
      <c r="A10" s="15" t="n">
        <v>6</v>
      </c>
      <c r="B10" s="8" t="inlineStr">
        <is>
          <t>Cohen-Malloy informational stack</t>
        </is>
      </c>
      <c r="C10" s="16" t="inlineStr">
        <is>
          <t>NSP, ODTX, FONR, MOBI, RGR</t>
        </is>
      </c>
      <c r="D10" s="16" t="inlineStr">
        <is>
          <t>Cluster + role + size = informational; ODTX = $75.3M trifecta (9.57% of mcap)</t>
        </is>
      </c>
    </row>
    <row r="11" ht="48" customHeight="1">
      <c r="A11" s="13" t="n">
        <v>7</v>
      </c>
      <c r="B11" s="6" t="inlineStr">
        <is>
          <t>Activist 13D + 8-K restructuring</t>
        </is>
      </c>
      <c r="C11" s="14" t="inlineStr">
        <is>
          <t>RPAY, CCO, SATS</t>
        </is>
      </c>
      <c r="D11" s="14" t="inlineStr">
        <is>
          <t>Triple-cross-validated (13D + restructuring + boundary); activist as forced-action catalyst</t>
        </is>
      </c>
    </row>
    <row r="12" ht="48" customHeight="1">
      <c r="A12" s="15" t="n">
        <v>8</v>
      </c>
      <c r="B12" s="8" t="inlineStr">
        <is>
          <t>Russell-recon forced flow</t>
        </is>
      </c>
      <c r="C12" s="16" t="inlineStr">
        <is>
          <t>EBS, BYND, CMCO, BLCO, MUR</t>
        </is>
      </c>
      <c r="D12" s="16" t="inlineStr">
        <is>
          <t>Within ±20% of R2000 cutoff; passive-flow distortion candidates</t>
        </is>
      </c>
    </row>
    <row r="13" ht="48" customHeight="1">
      <c r="A13" s="13" t="n">
        <v>9</v>
      </c>
      <c r="B13" s="6" t="inlineStr">
        <is>
          <t>NOL shell / §382 tax-asset</t>
        </is>
      </c>
      <c r="C13" s="14" t="inlineStr">
        <is>
          <t>WOLF, CEG, NOTV, NINE, USGO, CMLSQ, TSEOF</t>
        </is>
      </c>
      <c r="D13" s="14" t="inlineStr">
        <is>
          <t>Tax Benefits Preservation Rights Plan adoption; WMIH-archetype tax-attribute monetisation</t>
        </is>
      </c>
    </row>
    <row r="14" ht="48" customHeight="1">
      <c r="A14" s="15" t="n">
        <v>10</v>
      </c>
      <c r="B14" s="8" t="inlineStr">
        <is>
          <t>Going-dark / Form 15 OTC</t>
        </is>
      </c>
      <c r="C14" s="16" t="inlineStr">
        <is>
          <t>(see going_dark.csv)</t>
        </is>
      </c>
      <c r="D14" s="16" t="inlineStr">
        <is>
          <t>Oddball Stocks dark-company terrain; post-deregistration value-stub plays</t>
        </is>
      </c>
    </row>
    <row r="17">
      <c r="A17" s="9" t="inlineStr">
        <is>
          <t>Portfolio math</t>
        </is>
      </c>
    </row>
    <row r="18" ht="18" customHeight="1">
      <c r="A18" s="4" t="inlineStr">
        <is>
          <t>Bucket</t>
        </is>
      </c>
      <c r="B18" s="12" t="inlineStr">
        <is>
          <t>Holdings</t>
        </is>
      </c>
      <c r="C18" s="12" t="inlineStr">
        <is>
          <t>Weight</t>
        </is>
      </c>
      <c r="D18" s="39" t="n"/>
    </row>
    <row r="19" ht="16" customHeight="1">
      <c r="A19" s="6" t="inlineStr">
        <is>
          <t>Concentrated convergent (5%+ each)</t>
        </is>
      </c>
      <c r="B19" s="14" t="inlineStr">
        <is>
          <t>HFFG, CSGP, RNR</t>
        </is>
      </c>
      <c r="C19" s="27" t="n">
        <v>15</v>
      </c>
    </row>
    <row r="20" ht="16" customHeight="1">
      <c r="A20" s="8" t="inlineStr">
        <is>
          <t>Material convergent (2-5% each)</t>
        </is>
      </c>
      <c r="B20" s="16" t="inlineStr">
        <is>
          <t>LE, NUS, ADT, KMPR, MAT, LMT, CDE</t>
        </is>
      </c>
      <c r="C20" s="28" t="n">
        <v>24.5</v>
      </c>
    </row>
    <row r="21" ht="16" customHeight="1">
      <c r="A21" s="6" t="inlineStr">
        <is>
          <t>Participation convergent (1-2% each)</t>
        </is>
      </c>
      <c r="B21" s="14" t="inlineStr">
        <is>
          <t>GO, GPRO</t>
        </is>
      </c>
      <c r="C21" s="27" t="n">
        <v>3</v>
      </c>
    </row>
    <row r="22" ht="16" customHeight="1">
      <c r="A22" s="8" t="inlineStr">
        <is>
          <t>Microcap forcing-function basket</t>
        </is>
      </c>
      <c r="B22" s="16" t="inlineStr">
        <is>
          <t>6 names</t>
        </is>
      </c>
      <c r="C22" s="28" t="n">
        <v>10</v>
      </c>
    </row>
    <row r="23" ht="16" customHeight="1">
      <c r="A23" s="6" t="inlineStr">
        <is>
          <t>Cohen-Malloy stack</t>
        </is>
      </c>
      <c r="B23" s="14" t="inlineStr">
        <is>
          <t>5 names</t>
        </is>
      </c>
      <c r="C23" s="27" t="n">
        <v>5</v>
      </c>
    </row>
    <row r="24" ht="16" customHeight="1">
      <c r="A24" s="8" t="inlineStr">
        <is>
          <t>Russell-recon flow</t>
        </is>
      </c>
      <c r="B24" s="16" t="inlineStr">
        <is>
          <t>5 names</t>
        </is>
      </c>
      <c r="C24" s="28" t="n">
        <v>3</v>
      </c>
    </row>
    <row r="25" ht="16" customHeight="1">
      <c r="A25" s="6" t="inlineStr">
        <is>
          <t>NOL shells</t>
        </is>
      </c>
      <c r="B25" s="14" t="inlineStr">
        <is>
          <t>7 names</t>
        </is>
      </c>
      <c r="C25" s="27" t="n">
        <v>3</v>
      </c>
    </row>
    <row r="26" ht="16" customHeight="1">
      <c r="A26" s="8" t="inlineStr">
        <is>
          <t>Special-sits debt-haircut</t>
        </is>
      </c>
      <c r="B26" s="16" t="inlineStr">
        <is>
          <t>5 names</t>
        </is>
      </c>
      <c r="C26" s="28" t="n">
        <v>5</v>
      </c>
    </row>
    <row r="27" ht="16" customHeight="1">
      <c r="A27" s="6" t="inlineStr">
        <is>
          <t>CASH / OPPORTUNISTIC RESERVE</t>
        </is>
      </c>
      <c r="B27" s="14" t="inlineStr">
        <is>
          <t>–</t>
        </is>
      </c>
      <c r="C27" s="27" t="n">
        <v>31.5</v>
      </c>
    </row>
    <row r="29" ht="28" customHeight="1">
      <c r="A29" s="17" t="inlineStr">
        <is>
          <t>Reserve baskets implement the playbook recommendation to specialise where the crowd isn't (microcap, forcing-function, dark companies, forced-flow distortion). Sizing band is the Bastian/Dalius two-question test applied per name: position size = function of knowability × downside × liquidity.</t>
        </is>
      </c>
    </row>
  </sheetData>
  <mergeCells count="13">
    <mergeCell ref="A1:D1"/>
    <mergeCell ref="C20:D20"/>
    <mergeCell ref="C21:D21"/>
    <mergeCell ref="C24:D24"/>
    <mergeCell ref="C25:D25"/>
    <mergeCell ref="C27:D27"/>
    <mergeCell ref="C19:D19"/>
    <mergeCell ref="C26:D26"/>
    <mergeCell ref="A29:D29"/>
    <mergeCell ref="C22:D22"/>
    <mergeCell ref="A2:D2"/>
    <mergeCell ref="C18:D18"/>
    <mergeCell ref="C23:D23"/>
  </mergeCells>
  <printOptions horizontalCentered="0"/>
  <pageMargins left="0.5" right="0.5" top="0.6" bottom="0.6" header="0.5" footer="0.5"/>
  <pageSetup orientation="landscape" fitToHeight="0" fitToWidth="1"/>
</worksheet>
</file>

<file path=xl/worksheets/sheet23.xml><?xml version="1.0" encoding="utf-8"?>
<worksheet xmlns="http://schemas.openxmlformats.org/spreadsheetml/2006/main">
  <sheetPr>
    <tabColor rgb="002E75B6"/>
    <outlinePr summaryBelow="1" summaryRight="1"/>
    <pageSetUpPr fitToPage="1"/>
  </sheetPr>
  <dimension ref="A1:I56"/>
  <sheetViews>
    <sheetView showGridLines="0" workbookViewId="0">
      <selection activeCell="A1" sqref="A1"/>
    </sheetView>
  </sheetViews>
  <sheetFormatPr baseColWidth="8" defaultRowHeight="15"/>
  <cols>
    <col width="9" customWidth="1" min="1" max="1"/>
    <col width="14" customWidth="1" min="2" max="2"/>
    <col width="30" customWidth="1" min="3" max="3"/>
    <col width="9" customWidth="1" min="4" max="4"/>
    <col width="48" customWidth="1" min="5" max="5"/>
    <col width="16" customWidth="1" min="6" max="6"/>
    <col width="32" customWidth="1" min="7" max="7"/>
    <col width="14" customWidth="1" min="8" max="8"/>
    <col width="62" customWidth="1" min="9" max="9"/>
  </cols>
  <sheetData>
    <row r="1" ht="26" customHeight="1">
      <c r="A1" s="1" t="inlineStr">
        <is>
          <t>Caution List</t>
        </is>
      </c>
    </row>
    <row r="2" ht="18" customHeight="1">
      <c r="A2" s="20" t="inlineStr">
        <is>
          <t>Convergent names with red-flag wins · weight structural alignment against governance penalty</t>
        </is>
      </c>
      <c r="B2" s="19" t="n"/>
      <c r="C2" s="19" t="n"/>
      <c r="D2" s="19" t="n"/>
      <c r="E2" s="19" t="n"/>
      <c r="F2" s="19" t="n"/>
      <c r="G2" s="19" t="n"/>
      <c r="H2" s="19" t="n"/>
    </row>
    <row r="3" ht="8" customHeight="1">
      <c r="D3" s="34" t="inlineStr">
        <is>
          <t>%ile vs the 50 names on this tab</t>
        </is>
      </c>
    </row>
    <row r="4" ht="18" customHeight="1">
      <c r="A4" s="4" t="inlineStr">
        <is>
          <t>#</t>
        </is>
      </c>
      <c r="B4" s="12" t="inlineStr">
        <is>
          <t>Ticker</t>
        </is>
      </c>
      <c r="C4" s="12" t="inlineStr">
        <is>
          <t>Key numbers (FMP)</t>
        </is>
      </c>
      <c r="D4" s="12" t="inlineStr">
        <is>
          <t>Strength %ile</t>
        </is>
      </c>
      <c r="E4" s="12" t="inlineStr">
        <is>
          <t>PSU plan (grade)</t>
        </is>
      </c>
      <c r="F4" s="4" t="inlineStr">
        <is>
          <t>Screens fired</t>
        </is>
      </c>
      <c r="G4" s="12" t="inlineStr">
        <is>
          <t>Red flags</t>
        </is>
      </c>
      <c r="H4" s="12" t="inlineStr">
        <is>
          <t>Action</t>
        </is>
      </c>
      <c r="I4" s="12" t="inlineStr">
        <is>
          <t>FMP financial read</t>
        </is>
      </c>
    </row>
    <row r="5" ht="30" customHeight="1">
      <c r="A5" s="13" t="n">
        <v>1</v>
      </c>
      <c r="B5" s="6" t="inlineStr">
        <is>
          <t>HFFG</t>
        </is>
      </c>
      <c r="C5" s="6" t="inlineStr">
        <is>
          <t>P/B 0.40 · debt 232% · 52w 7%</t>
        </is>
      </c>
      <c r="D5" s="6" t="n">
        <v>98</v>
      </c>
      <c r="E5" s="6" t="n"/>
      <c r="F5" s="27" t="n">
        <v>6</v>
      </c>
      <c r="G5" s="14" t="inlineStr">
        <is>
          <t>front-loaded grant</t>
        </is>
      </c>
      <c r="H5" s="6" t="inlineStr">
        <is>
          <t>Concentrate (1 flag tolerable)</t>
        </is>
      </c>
      <c r="I5" s="6" t="inlineStr">
        <is>
          <t>P/B 0.40 · P/S 0.1 · FCF yld -4% · net debt 232% of mcap · rev +3% · op margin 0% · interest cover 0.4× ⚠</t>
        </is>
      </c>
    </row>
    <row r="6" ht="30" customHeight="1">
      <c r="A6" s="15" t="n">
        <v>2</v>
      </c>
      <c r="B6" s="8" t="inlineStr">
        <is>
          <t>GO</t>
        </is>
      </c>
      <c r="C6" s="8" t="inlineStr">
        <is>
          <t>P/B 1.37 · debt 159% · 52w 50%</t>
        </is>
      </c>
      <c r="D6" s="8" t="n">
        <v>98</v>
      </c>
      <c r="E6" s="8" t="inlineStr">
        <is>
          <t>A · 3-yr · revenue, EPS, EBITDA, stock-price hurdle · paid 55%</t>
        </is>
      </c>
      <c r="F6" s="28" t="n">
        <v>6</v>
      </c>
      <c r="G6" s="16" t="inlineStr">
        <is>
          <t>repricing language</t>
        </is>
      </c>
      <c r="H6" s="6" t="inlineStr">
        <is>
          <t>Concentrate (1 flag tolerable)</t>
        </is>
      </c>
      <c r="I6" s="6" t="inlineStr">
        <is>
          <t>P/B 1.37 · P/S 0.2 · FCF yld -1% · net debt 159% of mcap · rev +5% · op margin 4%</t>
        </is>
      </c>
    </row>
    <row r="7" ht="30" customHeight="1">
      <c r="A7" s="13" t="n">
        <v>3</v>
      </c>
      <c r="B7" s="6" t="inlineStr">
        <is>
          <t>BCO</t>
        </is>
      </c>
      <c r="C7" s="6" t="inlineStr">
        <is>
          <t>P/B 14.03 · 7.7× EBITDA · debt 59% · 52w 33%</t>
        </is>
      </c>
      <c r="D7" s="6" t="n">
        <v>92</v>
      </c>
      <c r="E7" s="6" t="n"/>
      <c r="F7" s="27" t="n">
        <v>5</v>
      </c>
      <c r="G7" s="14" t="inlineStr">
        <is>
          <t>discretionary hurdle, retirement carveout</t>
        </is>
      </c>
      <c r="H7" s="14" t="inlineStr">
        <is>
          <t>Material — basket diversify</t>
        </is>
      </c>
      <c r="I7" s="14" t="inlineStr">
        <is>
          <t>P/B 14.03 · EV/EBITDA 7.7× · FCF yld 9% · net debt 59% of mcap · rev +8% · op margin 10% · buying back 2%/yr</t>
        </is>
      </c>
    </row>
    <row r="8" ht="30" customHeight="1">
      <c r="A8" s="15" t="n">
        <v>4</v>
      </c>
      <c r="B8" s="8" t="inlineStr">
        <is>
          <t>SNBR</t>
        </is>
      </c>
      <c r="C8" s="8" t="inlineStr">
        <is>
          <t>52w 1%</t>
        </is>
      </c>
      <c r="D8" s="8" t="n">
        <v>92</v>
      </c>
      <c r="E8" s="8" t="n"/>
      <c r="F8" s="28" t="n">
        <v>5</v>
      </c>
      <c r="G8" s="16" t="inlineStr">
        <is>
          <t>discretionary hurdle, retirement carveout</t>
        </is>
      </c>
      <c r="H8" s="16" t="inlineStr">
        <is>
          <t>Material — basket diversify</t>
        </is>
      </c>
      <c r="I8" s="16" t="inlineStr">
        <is>
          <t>P/S 0.0 · rev -17% · op margin -5%  [negative equity; FCF yield &gt;100% (check)]</t>
        </is>
      </c>
    </row>
    <row r="9" ht="30" customHeight="1">
      <c r="A9" s="13" t="n">
        <v>5</v>
      </c>
      <c r="B9" s="6" t="inlineStr">
        <is>
          <t>AMD</t>
        </is>
      </c>
      <c r="C9" s="6" t="inlineStr">
        <is>
          <t>P/B 14.89 · 93.4× EBITDA · cash 1% · 52w 98%</t>
        </is>
      </c>
      <c r="D9" s="6" t="n">
        <v>92</v>
      </c>
      <c r="E9" s="6" t="n"/>
      <c r="F9" s="27" t="n">
        <v>5</v>
      </c>
      <c r="G9" s="14" t="inlineStr">
        <is>
          <t>discretionary hurdle, retirement carveout</t>
        </is>
      </c>
      <c r="H9" s="14" t="inlineStr">
        <is>
          <t>Material — basket diversify</t>
        </is>
      </c>
      <c r="I9" s="14" t="inlineStr">
        <is>
          <t>P/B 14.89 · EV/EBITDA 93.4× · FCF yld 1% · net cash 1% of mcap · rev +40% · op margin 16%</t>
        </is>
      </c>
    </row>
    <row r="10" ht="30" customHeight="1">
      <c r="A10" s="15" t="n">
        <v>6</v>
      </c>
      <c r="B10" s="8" t="inlineStr">
        <is>
          <t>OPEN</t>
        </is>
      </c>
      <c r="C10" s="8" t="inlineStr">
        <is>
          <t>P/B 2.74 · cash 28% · 52w 1%</t>
        </is>
      </c>
      <c r="D10" s="8" t="n">
        <v>92</v>
      </c>
      <c r="E10" s="8" t="n"/>
      <c r="F10" s="28" t="n">
        <v>5</v>
      </c>
      <c r="G10" s="16" t="inlineStr">
        <is>
          <t>front-loaded grant, retirement carveout</t>
        </is>
      </c>
      <c r="H10" s="16" t="inlineStr">
        <is>
          <t>Material — basket diversify</t>
        </is>
      </c>
      <c r="I10" s="16" t="inlineStr">
        <is>
          <t>P/B 2.74 · P/S 0.8 · FCF yld -19% · net cash 28% of mcap · rev -37% · op margin -16% · diluting 32%/yr</t>
        </is>
      </c>
    </row>
    <row r="11" ht="30" customHeight="1">
      <c r="A11" s="13" t="n">
        <v>7</v>
      </c>
      <c r="B11" s="6" t="inlineStr">
        <is>
          <t>MAT</t>
        </is>
      </c>
      <c r="C11" s="6" t="inlineStr">
        <is>
          <t>P/B 1.91 · 8.0× EBITDA · debt 58% · 52w 4%</t>
        </is>
      </c>
      <c r="D11" s="6" t="n">
        <v>76</v>
      </c>
      <c r="E11" s="6" t="n"/>
      <c r="F11" s="27" t="n">
        <v>4</v>
      </c>
      <c r="G11" s="14" t="inlineStr">
        <is>
          <t>discretionary hurdle, repricing language, retirement carveout</t>
        </is>
      </c>
      <c r="H11" s="6" t="inlineStr">
        <is>
          <t>Participation — limited size</t>
        </is>
      </c>
      <c r="I11" s="6" t="inlineStr">
        <is>
          <t>P/B 1.91 · EV/EBITDA 8.0× · FCF yld 16% · net debt 58% of mcap · rev +3% · op margin 8% · buying back 11%/yr</t>
        </is>
      </c>
    </row>
    <row r="12" ht="30" customHeight="1">
      <c r="A12" s="15" t="n">
        <v>8</v>
      </c>
      <c r="B12" s="8" t="inlineStr">
        <is>
          <t>LW</t>
        </is>
      </c>
      <c r="C12" s="8" t="inlineStr">
        <is>
          <t>P/B 3.41 · 10.3× EBITDA · debt 64% · 52w 26%</t>
        </is>
      </c>
      <c r="D12" s="8" t="n">
        <v>76</v>
      </c>
      <c r="E12" s="8" t="inlineStr">
        <is>
          <t>A · 3-yr · ROIC, EBITDA, relative TSR, absolute TSR · paid 34%</t>
        </is>
      </c>
      <c r="F12" s="28" t="n">
        <v>4</v>
      </c>
      <c r="G12" s="16" t="inlineStr">
        <is>
          <t>front-loaded grant, retirement carveout</t>
        </is>
      </c>
      <c r="H12" s="16" t="inlineStr">
        <is>
          <t>Material — basket diversify</t>
        </is>
      </c>
      <c r="I12" s="16" t="inlineStr">
        <is>
          <t>P/B 3.41 · EV/EBITDA 10.3× · FCF yld 10% · net debt 64% of mcap · rev +2% · op margin 9% · buying back 3%/yr</t>
        </is>
      </c>
    </row>
    <row r="13" ht="30" customHeight="1">
      <c r="A13" s="13" t="n">
        <v>9</v>
      </c>
      <c r="B13" s="6" t="inlineStr">
        <is>
          <t>TROX</t>
        </is>
      </c>
      <c r="C13" s="6" t="inlineStr">
        <is>
          <t>P/B 0.60 · 43.9× EBITDA · debt 457% · 52w 19%</t>
        </is>
      </c>
      <c r="D13" s="6" t="n">
        <v>76</v>
      </c>
      <c r="E13" s="6" t="inlineStr">
        <is>
          <t>A · 3-yr · relative TSR 50%, ROIC 50%</t>
        </is>
      </c>
      <c r="F13" s="27" t="n">
        <v>4</v>
      </c>
      <c r="G13" s="14" t="inlineStr">
        <is>
          <t>retirement carveout</t>
        </is>
      </c>
      <c r="H13" s="6" t="inlineStr">
        <is>
          <t>Concentrate (1 flag tolerable)</t>
        </is>
      </c>
      <c r="I13" s="6" t="inlineStr">
        <is>
          <t>P/B 0.60 · EV/EBITDA 43.9× · FCF yld -23% · net debt 457% of mcap · rev +3% · op margin -4% · interest cover -0.5× ⚠</t>
        </is>
      </c>
    </row>
    <row r="14" ht="30" customHeight="1">
      <c r="A14" s="15" t="n">
        <v>10</v>
      </c>
      <c r="B14" s="8" t="inlineStr">
        <is>
          <t>FIS</t>
        </is>
      </c>
      <c r="C14" s="8" t="inlineStr">
        <is>
          <t>P/B 1.13 · 6.2× EBITDA · debt 113% · 52w 2%</t>
        </is>
      </c>
      <c r="D14" s="8" t="n">
        <v>76</v>
      </c>
      <c r="E14" s="8" t="n"/>
      <c r="F14" s="28" t="n">
        <v>4</v>
      </c>
      <c r="G14" s="16" t="inlineStr">
        <is>
          <t>repricing language</t>
        </is>
      </c>
      <c r="H14" s="6" t="inlineStr">
        <is>
          <t>Concentrate (1 flag tolerable)</t>
        </is>
      </c>
      <c r="I14" s="6" t="inlineStr">
        <is>
          <t>P/B 1.13 · EV/EBITDA 6.2× · FCF yld 15% · net debt 113% of mcap · rev +20% · op margin 16%</t>
        </is>
      </c>
    </row>
    <row r="15" ht="30" customHeight="1">
      <c r="A15" s="13" t="n">
        <v>11</v>
      </c>
      <c r="B15" s="6" t="inlineStr">
        <is>
          <t>CMCO</t>
        </is>
      </c>
      <c r="C15" s="6" t="inlineStr">
        <is>
          <t>P/B 0.51 · debt 88% · 52w 36%</t>
        </is>
      </c>
      <c r="D15" s="6" t="n">
        <v>76</v>
      </c>
      <c r="E15" s="6" t="n"/>
      <c r="F15" s="27" t="n">
        <v>4</v>
      </c>
      <c r="G15" s="14" t="inlineStr">
        <is>
          <t>discretionary hurdle, repricing language, retirement carveout</t>
        </is>
      </c>
      <c r="H15" s="6" t="inlineStr">
        <is>
          <t>Participation — limited size</t>
        </is>
      </c>
      <c r="I15" s="6" t="inlineStr">
        <is>
          <t>P/B 0.51 · P/S 0.3 · FCF yld -26% · net debt 88% of mcap · rev -2% · op margin -3% · interest cover -0.5× ⚠</t>
        </is>
      </c>
    </row>
    <row r="16" ht="30" customHeight="1">
      <c r="A16" s="15" t="n">
        <v>12</v>
      </c>
      <c r="B16" s="8" t="inlineStr">
        <is>
          <t>LE</t>
        </is>
      </c>
      <c r="C16" s="8" t="inlineStr">
        <is>
          <t>P/B 0.65 · 0.7× EBITDA · debt 19% · 52w 8%</t>
        </is>
      </c>
      <c r="D16" s="8" t="n">
        <v>76</v>
      </c>
      <c r="E16" s="8" t="n"/>
      <c r="F16" s="28" t="n">
        <v>4</v>
      </c>
      <c r="G16" s="16" t="inlineStr">
        <is>
          <t>retirement carveout</t>
        </is>
      </c>
      <c r="H16" s="6" t="inlineStr">
        <is>
          <t>Concentrate (1 flag tolerable)</t>
        </is>
      </c>
      <c r="I16" s="6" t="inlineStr">
        <is>
          <t>P/B 0.65 · EV/EBITDA 0.7× · FCF yld -23% · net debt 19% of mcap · rev +0% · op margin 2% · buying back 2%/yr · interest cover 0.8× ⚠</t>
        </is>
      </c>
    </row>
    <row r="17" ht="30" customHeight="1">
      <c r="A17" s="13" t="n">
        <v>13</v>
      </c>
      <c r="B17" s="6" t="inlineStr">
        <is>
          <t>SD</t>
        </is>
      </c>
      <c r="C17" s="6" t="inlineStr">
        <is>
          <t>P/B 0.97 · 3.1× EBITDA · cash 22% · 52w 42%</t>
        </is>
      </c>
      <c r="D17" s="6" t="n">
        <v>76</v>
      </c>
      <c r="E17" s="6" t="n"/>
      <c r="F17" s="27" t="n">
        <v>4</v>
      </c>
      <c r="G17" s="14" t="inlineStr">
        <is>
          <t>front-loaded grant</t>
        </is>
      </c>
      <c r="H17" s="6" t="inlineStr">
        <is>
          <t>Concentrate (1 flag tolerable)</t>
        </is>
      </c>
      <c r="I17" s="6" t="inlineStr">
        <is>
          <t>P/B 0.97 · EV/EBITDA 3.1× · FCF yld 8% · net cash 22% of mcap · rev +23% · op margin 42%</t>
        </is>
      </c>
    </row>
    <row r="18" ht="30" customHeight="1">
      <c r="A18" s="15" t="n">
        <v>14</v>
      </c>
      <c r="B18" s="8" t="inlineStr">
        <is>
          <t>OSUR</t>
        </is>
      </c>
      <c r="C18" s="8" t="inlineStr">
        <is>
          <t>P/B 0.86 · cash 55% · 52w 75%</t>
        </is>
      </c>
      <c r="D18" s="8" t="n">
        <v>76</v>
      </c>
      <c r="E18" s="8" t="n"/>
      <c r="F18" s="28" t="n">
        <v>4</v>
      </c>
      <c r="G18" s="16" t="inlineStr">
        <is>
          <t>discretionary hurdle, repricing language, single-trigger CIC</t>
        </is>
      </c>
      <c r="H18" s="6" t="inlineStr">
        <is>
          <t>Participation — limited size</t>
        </is>
      </c>
      <c r="I18" s="6" t="inlineStr">
        <is>
          <t>P/B 0.86 · P/S 2.4 · FCF yld -17% · net cash 55% of mcap · rev -19% · op margin -45% · buying back 6%/yr</t>
        </is>
      </c>
    </row>
    <row r="19" ht="30" customHeight="1">
      <c r="A19" s="13" t="n">
        <v>15</v>
      </c>
      <c r="B19" s="6" t="inlineStr">
        <is>
          <t>NSP</t>
        </is>
      </c>
      <c r="C19" s="6" t="inlineStr">
        <is>
          <t>P/B 30.91 · 31.9× EBITDA · cash 7% · 52w 83%</t>
        </is>
      </c>
      <c r="D19" s="6" t="n">
        <v>76</v>
      </c>
      <c r="E19" s="6" t="n"/>
      <c r="F19" s="27" t="n">
        <v>4</v>
      </c>
      <c r="G19" s="14" t="inlineStr">
        <is>
          <t>retirement carveout, single-trigger CIC</t>
        </is>
      </c>
      <c r="H19" s="14" t="inlineStr">
        <is>
          <t>Material — basket diversify</t>
        </is>
      </c>
      <c r="I19" s="14" t="inlineStr">
        <is>
          <t>P/B 30.91 · EV/EBITDA 31.9× · FCF yld 15% · net cash 7% of mcap · rev +3% · op margin -0% · diluting 6%/yr</t>
        </is>
      </c>
    </row>
    <row r="20" ht="30" customHeight="1">
      <c r="A20" s="15" t="n">
        <v>16</v>
      </c>
      <c r="B20" s="8" t="inlineStr">
        <is>
          <t>SAFE</t>
        </is>
      </c>
      <c r="C20" s="8" t="inlineStr">
        <is>
          <t>P/B 0.38 · 16.4× EBITDA · debt 499% · 52w 4%</t>
        </is>
      </c>
      <c r="D20" s="8" t="n">
        <v>76</v>
      </c>
      <c r="E20" s="8" t="n"/>
      <c r="F20" s="28" t="n">
        <v>4</v>
      </c>
      <c r="G20" s="16" t="inlineStr">
        <is>
          <t>front-loaded grant</t>
        </is>
      </c>
      <c r="H20" s="6" t="inlineStr">
        <is>
          <t>Concentrate (1 flag tolerable)</t>
        </is>
      </c>
      <c r="I20" s="6" t="inlineStr">
        <is>
          <t>P/B 0.38 · EV/EBITDA 16.4× · FCF yld 4% · net debt 499% of mcap · rev +11% · op margin 50% · interest cover 1.0× ⚠</t>
        </is>
      </c>
    </row>
    <row r="21" ht="30" customHeight="1">
      <c r="A21" s="13" t="n">
        <v>17</v>
      </c>
      <c r="B21" s="6" t="inlineStr">
        <is>
          <t>GWW</t>
        </is>
      </c>
      <c r="C21" s="6" t="inlineStr">
        <is>
          <t>P/B 14.52 · 21.0× EBITDA · debt 4% · 52w 71%</t>
        </is>
      </c>
      <c r="D21" s="6" t="n">
        <v>76</v>
      </c>
      <c r="E21" s="6" t="n"/>
      <c r="F21" s="27" t="n">
        <v>4</v>
      </c>
      <c r="G21" s="14" t="inlineStr">
        <is>
          <t>retirement carveout</t>
        </is>
      </c>
      <c r="H21" s="6" t="inlineStr">
        <is>
          <t>Concentrate (1 flag tolerable)</t>
        </is>
      </c>
      <c r="I21" s="6" t="inlineStr">
        <is>
          <t>P/B 14.52 · EV/EBITDA 21.0× · FCF yld 3% · net debt 4% of mcap · rev +8% · op margin 15%</t>
        </is>
      </c>
    </row>
    <row r="22" ht="30" customHeight="1">
      <c r="A22" s="15" t="n">
        <v>18</v>
      </c>
      <c r="B22" s="8" t="inlineStr">
        <is>
          <t>ACH</t>
        </is>
      </c>
      <c r="C22" s="8" t="inlineStr">
        <is>
          <t>8.0× EBITDA · 52w 0%</t>
        </is>
      </c>
      <c r="D22" s="8" t="n">
        <v>76</v>
      </c>
      <c r="E22" s="8" t="n"/>
      <c r="F22" s="28" t="n">
        <v>4</v>
      </c>
      <c r="G22" s="16" t="inlineStr">
        <is>
          <t>discretionary hurdle, front-loaded grant</t>
        </is>
      </c>
      <c r="H22" s="16" t="inlineStr">
        <is>
          <t>Material — basket diversify</t>
        </is>
      </c>
      <c r="I22" s="16" t="inlineStr">
        <is>
          <t>EV/EBITDA 8.0× · rev -60% · op margin 4%  [negative equity; FCF yield &gt;100% (check)]</t>
        </is>
      </c>
    </row>
    <row r="23" ht="30" customHeight="1">
      <c r="A23" s="13" t="n">
        <v>19</v>
      </c>
      <c r="B23" s="6" t="inlineStr">
        <is>
          <t>FISV</t>
        </is>
      </c>
      <c r="C23" s="6" t="inlineStr">
        <is>
          <t>P/B 0.91 · 7.5× EBITDA · debt 111% · 52w 0%</t>
        </is>
      </c>
      <c r="D23" s="6" t="n">
        <v>32</v>
      </c>
      <c r="E23" s="6" t="n"/>
      <c r="F23" s="27" t="n">
        <v>3</v>
      </c>
      <c r="G23" s="14" t="inlineStr">
        <is>
          <t>repricing language, retirement carveout</t>
        </is>
      </c>
      <c r="H23" s="14" t="inlineStr">
        <is>
          <t>Material — basket diversify</t>
        </is>
      </c>
      <c r="I23" s="14" t="inlineStr">
        <is>
          <t>P/B 0.91 · EV/EBITDA 7.5× · FCF yld 16% · net debt 111% of mcap · rev -1% · op margin 21% · buying back 3%/yr</t>
        </is>
      </c>
    </row>
    <row r="24" ht="30" customHeight="1">
      <c r="A24" s="15" t="n">
        <v>20</v>
      </c>
      <c r="B24" s="8" t="inlineStr">
        <is>
          <t>DXLG</t>
        </is>
      </c>
      <c r="C24" s="8" t="inlineStr">
        <is>
          <t>P/B 0.32 · debt 562% · 52w 14%</t>
        </is>
      </c>
      <c r="D24" s="8" t="n">
        <v>32</v>
      </c>
      <c r="E24" s="8" t="n"/>
      <c r="F24" s="28" t="n">
        <v>3</v>
      </c>
      <c r="G24" s="16" t="inlineStr">
        <is>
          <t>retirement carveout</t>
        </is>
      </c>
      <c r="H24" s="6" t="inlineStr">
        <is>
          <t>Concentrate (1 flag tolerable)</t>
        </is>
      </c>
      <c r="I24" s="6" t="inlineStr">
        <is>
          <t>P/B 0.32 · P/S 0.1 · FCF yld -39% · net debt 562% of mcap · rev -4% · op margin -3% · diluting 5%/yr</t>
        </is>
      </c>
    </row>
    <row r="25" ht="30" customHeight="1">
      <c r="A25" s="13" t="n">
        <v>21</v>
      </c>
      <c r="B25" s="6" t="inlineStr">
        <is>
          <t>WW</t>
        </is>
      </c>
      <c r="C25" s="6" t="inlineStr">
        <is>
          <t>P/B 0.55 · 4.6× EBITDA · debt 211% · 52w 23%</t>
        </is>
      </c>
      <c r="D25" s="6" t="n">
        <v>32</v>
      </c>
      <c r="E25" s="6" t="n"/>
      <c r="F25" s="27" t="n">
        <v>3</v>
      </c>
      <c r="G25" s="14" t="inlineStr">
        <is>
          <t>retirement carveout</t>
        </is>
      </c>
      <c r="H25" s="6" t="inlineStr">
        <is>
          <t>Concentrate (1 flag tolerable)</t>
        </is>
      </c>
      <c r="I25" s="6" t="inlineStr">
        <is>
          <t>P/B 0.55 · EV/EBITDA 4.6× · FCF yld -18% · net debt 211% of mcap · rev -9% · op margin -3% · interest cover -0.5× ⚠</t>
        </is>
      </c>
    </row>
    <row r="26" ht="30" customHeight="1">
      <c r="A26" s="15" t="n">
        <v>22</v>
      </c>
      <c r="B26" s="8" t="inlineStr">
        <is>
          <t>LCID</t>
        </is>
      </c>
      <c r="C26" s="8" t="inlineStr">
        <is>
          <t>P/B 0.71 · debt 198% · 52w 8%</t>
        </is>
      </c>
      <c r="D26" s="8" t="n">
        <v>32</v>
      </c>
      <c r="E26" s="8" t="n"/>
      <c r="F26" s="28" t="n">
        <v>3</v>
      </c>
      <c r="G26" s="16" t="inlineStr">
        <is>
          <t>discretionary hurdle, front-loaded grant, repricing language, retirement carveout</t>
        </is>
      </c>
      <c r="H26" s="6" t="inlineStr">
        <is>
          <t>Watch only — multi-flag stack</t>
        </is>
      </c>
      <c r="I26" s="6" t="inlineStr">
        <is>
          <t>P/B 0.71 · P/S 0.9 · net debt 198% of mcap · rev +67% · op margin -261% · diluting 25%/yr · interest cover -27.2× ⚠  [FCF yield &gt;100% (check)]</t>
        </is>
      </c>
    </row>
    <row r="27" ht="30" customHeight="1">
      <c r="A27" s="13" t="n">
        <v>23</v>
      </c>
      <c r="B27" s="6" t="inlineStr">
        <is>
          <t>KMPR</t>
        </is>
      </c>
      <c r="C27" s="6" t="inlineStr">
        <is>
          <t>P/B 0.69 · 52w 11%</t>
        </is>
      </c>
      <c r="D27" s="6" t="n">
        <v>32</v>
      </c>
      <c r="E27" s="6" t="n"/>
      <c r="F27" s="27" t="n">
        <v>3</v>
      </c>
      <c r="G27" s="14" t="inlineStr">
        <is>
          <t>repricing language, retirement carveout</t>
        </is>
      </c>
      <c r="H27" s="14" t="inlineStr">
        <is>
          <t>Material — basket diversify</t>
        </is>
      </c>
      <c r="I27" s="14" t="inlineStr">
        <is>
          <t>P/B 0.69 · ROE -19% · div yld 5.0% · buying back 9%/yr (financial: book/earnings basis)</t>
        </is>
      </c>
    </row>
    <row r="28" ht="30" customHeight="1">
      <c r="A28" s="15" t="n">
        <v>24</v>
      </c>
      <c r="B28" s="8" t="inlineStr">
        <is>
          <t>BHF</t>
        </is>
      </c>
      <c r="C28" s="8" t="inlineStr">
        <is>
          <t>P/B 0.46 · P/E 4.1 · 52w 35%</t>
        </is>
      </c>
      <c r="D28" s="8" t="n">
        <v>32</v>
      </c>
      <c r="E28" s="8" t="n"/>
      <c r="F28" s="28" t="n">
        <v>3</v>
      </c>
      <c r="G28" s="16" t="inlineStr">
        <is>
          <t>discretionary hurdle</t>
        </is>
      </c>
      <c r="H28" s="6" t="inlineStr">
        <is>
          <t>Concentrate (1 flag tolerable)</t>
        </is>
      </c>
      <c r="I28" s="6" t="inlineStr">
        <is>
          <t>P/B 0.46 · P/E 4.1 · ROE 13% (financial: book/earnings basis)</t>
        </is>
      </c>
    </row>
    <row r="29" ht="30" customHeight="1">
      <c r="A29" s="13" t="n">
        <v>25</v>
      </c>
      <c r="B29" s="6" t="inlineStr">
        <is>
          <t>BEEP</t>
        </is>
      </c>
      <c r="C29" s="6" t="inlineStr">
        <is>
          <t>P/B 0.90 · 100.4× EBITDA · debt 161% · 52w 61%</t>
        </is>
      </c>
      <c r="D29" s="6" t="n">
        <v>32</v>
      </c>
      <c r="E29" s="6" t="n"/>
      <c r="F29" s="27" t="n">
        <v>3</v>
      </c>
      <c r="G29" s="14" t="inlineStr">
        <is>
          <t>retirement carveout</t>
        </is>
      </c>
      <c r="H29" s="6" t="inlineStr">
        <is>
          <t>Concentrate (1 flag tolerable)</t>
        </is>
      </c>
      <c r="I29" s="6" t="inlineStr">
        <is>
          <t>P/B 0.90 · EV/EBITDA 100.4× · FCF yld -0% · net debt 161% of mcap · rev -4% · op margin 7% · buying back 3%/yr · interest cover 0.1× ⚠</t>
        </is>
      </c>
    </row>
    <row r="30" ht="30" customHeight="1">
      <c r="A30" s="15" t="n">
        <v>26</v>
      </c>
      <c r="B30" s="8" t="inlineStr">
        <is>
          <t>CNMD</t>
        </is>
      </c>
      <c r="C30" s="8" t="inlineStr">
        <is>
          <t>P/B 1.31 · 12.1× EBITDA · debt 58% · 52w 64%</t>
        </is>
      </c>
      <c r="D30" s="8" t="n">
        <v>32</v>
      </c>
      <c r="E30" s="8" t="n"/>
      <c r="F30" s="28" t="n">
        <v>3</v>
      </c>
      <c r="G30" s="16" t="inlineStr">
        <is>
          <t>repricing language</t>
        </is>
      </c>
      <c r="H30" s="6" t="inlineStr">
        <is>
          <t>Concentrate (1 flag tolerable)</t>
        </is>
      </c>
      <c r="I30" s="6" t="inlineStr">
        <is>
          <t>P/B 1.31 · EV/EBITDA 12.1× · FCF yld 10% · net debt 58% of mcap · rev +4% · op margin 11% · buying back 3%/yr</t>
        </is>
      </c>
    </row>
    <row r="31" ht="30" customHeight="1">
      <c r="A31" s="13" t="n">
        <v>27</v>
      </c>
      <c r="B31" s="6" t="inlineStr">
        <is>
          <t>PSN</t>
        </is>
      </c>
      <c r="C31" s="6" t="inlineStr">
        <is>
          <t>P/B 1.80 · 15.3× EBITDA · debt 29% · 52w 15%</t>
        </is>
      </c>
      <c r="D31" s="6" t="n">
        <v>32</v>
      </c>
      <c r="E31" s="6" t="n"/>
      <c r="F31" s="27" t="n">
        <v>3</v>
      </c>
      <c r="G31" s="14" t="inlineStr">
        <is>
          <t>repricing language, retirement carveout</t>
        </is>
      </c>
      <c r="H31" s="14" t="inlineStr">
        <is>
          <t>Material — basket diversify</t>
        </is>
      </c>
      <c r="I31" s="14" t="inlineStr">
        <is>
          <t>P/B 1.80 · EV/EBITDA 15.3× · FCF yld 7% · net debt 29% of mcap · rev -6% · op margin 5%</t>
        </is>
      </c>
    </row>
    <row r="32" ht="30" customHeight="1">
      <c r="A32" s="15" t="n">
        <v>28</v>
      </c>
      <c r="B32" s="8" t="inlineStr">
        <is>
          <t>LGL</t>
        </is>
      </c>
      <c r="C32" s="8" t="inlineStr">
        <is>
          <t>P/B 0.91 · 6.1× EBITDA · cash 113% · 52w 69%</t>
        </is>
      </c>
      <c r="D32" s="8" t="n">
        <v>32</v>
      </c>
      <c r="E32" s="8" t="n"/>
      <c r="F32" s="28" t="n">
        <v>3</v>
      </c>
      <c r="G32" s="16" t="inlineStr">
        <is>
          <t>repricing language</t>
        </is>
      </c>
      <c r="H32" s="6" t="inlineStr">
        <is>
          <t>Concentrate (1 flag tolerable)</t>
        </is>
      </c>
      <c r="I32" s="6" t="inlineStr">
        <is>
          <t>P/B 0.91 · EV/EBITDA 6.1× · FCF yld 0% · net cash 113% of mcap · rev -24% · op margin -106% · diluting 20%/yr</t>
        </is>
      </c>
    </row>
    <row r="33" ht="30" customHeight="1">
      <c r="A33" s="13" t="n">
        <v>29</v>
      </c>
      <c r="B33" s="6" t="inlineStr">
        <is>
          <t>MA</t>
        </is>
      </c>
      <c r="C33" s="6" t="inlineStr">
        <is>
          <t>P/B 87.51 · P/E 30.7 · 52w 70%</t>
        </is>
      </c>
      <c r="D33" s="6" t="n">
        <v>32</v>
      </c>
      <c r="E33" s="6" t="n"/>
      <c r="F33" s="27" t="n">
        <v>3</v>
      </c>
      <c r="G33" s="14" t="inlineStr">
        <is>
          <t>repricing language, retirement carveout</t>
        </is>
      </c>
      <c r="H33" s="14" t="inlineStr">
        <is>
          <t>Material — basket diversify</t>
        </is>
      </c>
      <c r="I33" s="14" t="inlineStr">
        <is>
          <t>P/B 87.51 · P/E 30.7 · ROE 232% · div yld 0.6% · buying back 3%/yr (financial: book/earnings basis)</t>
        </is>
      </c>
    </row>
    <row r="34" ht="30" customHeight="1">
      <c r="A34" s="15" t="n">
        <v>30</v>
      </c>
      <c r="B34" s="8" t="inlineStr">
        <is>
          <t>WHR</t>
        </is>
      </c>
      <c r="C34" s="8" t="inlineStr">
        <is>
          <t>P/B 0.55 · 9.2× EBITDA · debt 314% · 52w 3%</t>
        </is>
      </c>
      <c r="D34" s="8" t="n">
        <v>32</v>
      </c>
      <c r="E34" s="8" t="n"/>
      <c r="F34" s="28" t="n">
        <v>3</v>
      </c>
      <c r="G34" s="16" t="inlineStr">
        <is>
          <t>repricing language, retirement carveout</t>
        </is>
      </c>
      <c r="H34" s="16" t="inlineStr">
        <is>
          <t>Material — basket diversify</t>
        </is>
      </c>
      <c r="I34" s="16" t="inlineStr">
        <is>
          <t>P/B 0.55 · EV/EBITDA 9.2× · FCF yld -8% · net debt 314% of mcap · rev -4% · op margin 4% · diluting 16%/yr</t>
        </is>
      </c>
    </row>
    <row r="35" ht="30" customHeight="1">
      <c r="A35" s="13" t="n">
        <v>31</v>
      </c>
      <c r="B35" s="6" t="inlineStr">
        <is>
          <t>TXRH</t>
        </is>
      </c>
      <c r="C35" s="6" t="inlineStr">
        <is>
          <t>P/B 6.93 · 15.3× EBITDA · debt 8% · 52w 17%</t>
        </is>
      </c>
      <c r="D35" s="6" t="n">
        <v>32</v>
      </c>
      <c r="E35" s="6" t="n"/>
      <c r="F35" s="27" t="n">
        <v>3</v>
      </c>
      <c r="G35" s="14" t="inlineStr">
        <is>
          <t>discretionary hurdle, retirement carveout</t>
        </is>
      </c>
      <c r="H35" s="14" t="inlineStr">
        <is>
          <t>Material — basket diversify</t>
        </is>
      </c>
      <c r="I35" s="14" t="inlineStr">
        <is>
          <t>P/B 6.93 · EV/EBITDA 15.3× · FCF yld 4% · net debt 8% of mcap · rev +10% · op margin 8%</t>
        </is>
      </c>
    </row>
    <row r="36" ht="30" customHeight="1">
      <c r="A36" s="15" t="n">
        <v>32</v>
      </c>
      <c r="B36" s="8" t="inlineStr">
        <is>
          <t>POOL</t>
        </is>
      </c>
      <c r="C36" s="8" t="inlineStr">
        <is>
          <t>P/B 4.84 · 12.8× EBITDA · debt 27% · 52w 2%</t>
        </is>
      </c>
      <c r="D36" s="8" t="n">
        <v>32</v>
      </c>
      <c r="E36" s="8" t="inlineStr">
        <is>
          <t>B · 3-yr · EPS, ROIC · paid 93%</t>
        </is>
      </c>
      <c r="F36" s="28" t="n">
        <v>3</v>
      </c>
      <c r="G36" s="16" t="inlineStr">
        <is>
          <t>retirement carveout</t>
        </is>
      </c>
      <c r="H36" s="6" t="inlineStr">
        <is>
          <t>Concentrate (1 flag tolerable)</t>
        </is>
      </c>
      <c r="I36" s="6" t="inlineStr">
        <is>
          <t>P/B 4.84 · EV/EBITDA 12.8× · FCF yld 10% · net debt 27% of mcap · rev +2% · op margin 11% · buying back 3%/yr</t>
        </is>
      </c>
    </row>
    <row r="37" ht="30" customHeight="1">
      <c r="A37" s="13" t="n">
        <v>33</v>
      </c>
      <c r="B37" s="6" t="inlineStr">
        <is>
          <t>BDC</t>
        </is>
      </c>
      <c r="C37" s="6" t="inlineStr">
        <is>
          <t>P/B 3.25 · 12.0× EBITDA · debt 22% · 52w 28%</t>
        </is>
      </c>
      <c r="D37" s="6" t="n">
        <v>32</v>
      </c>
      <c r="E37" s="6" t="n"/>
      <c r="F37" s="27" t="n">
        <v>3</v>
      </c>
      <c r="G37" s="14" t="inlineStr">
        <is>
          <t>discretionary hurdle, repricing language, retirement carveout</t>
        </is>
      </c>
      <c r="H37" s="6" t="inlineStr">
        <is>
          <t>Participation — limited size</t>
        </is>
      </c>
      <c r="I37" s="6" t="inlineStr">
        <is>
          <t>P/B 3.25 · EV/EBITDA 12.0× · FCF yld 5% · net debt 22% of mcap · rev +9% · op margin 13%</t>
        </is>
      </c>
    </row>
    <row r="38" ht="30" customHeight="1">
      <c r="A38" s="15" t="n">
        <v>34</v>
      </c>
      <c r="B38" s="8" t="inlineStr">
        <is>
          <t>DT</t>
        </is>
      </c>
      <c r="C38" s="8" t="inlineStr">
        <is>
          <t>P/B 6.25 · 53.3× EBITDA · cash 6% · 52w 99%</t>
        </is>
      </c>
      <c r="D38" s="8" t="n">
        <v>32</v>
      </c>
      <c r="E38" s="8" t="n"/>
      <c r="F38" s="28" t="n">
        <v>3</v>
      </c>
      <c r="G38" s="16" t="inlineStr">
        <is>
          <t>retirement carveout</t>
        </is>
      </c>
      <c r="H38" s="6" t="inlineStr">
        <is>
          <t>Concentrate (1 flag tolerable)</t>
        </is>
      </c>
      <c r="I38" s="6" t="inlineStr">
        <is>
          <t>P/B 6.25 · EV/EBITDA 53.3× · FCF yld 3% · net cash 6% of mcap · rev +19% · op margin 13%</t>
        </is>
      </c>
    </row>
    <row r="39" ht="30" customHeight="1">
      <c r="A39" s="13" t="n">
        <v>35</v>
      </c>
      <c r="B39" s="6" t="inlineStr">
        <is>
          <t>ADT</t>
        </is>
      </c>
      <c r="C39" s="6" t="inlineStr">
        <is>
          <t>P/B 1.47 · 4.6× EBITDA · debt 150% · 52w 5%</t>
        </is>
      </c>
      <c r="D39" s="6" t="n">
        <v>32</v>
      </c>
      <c r="E39" s="6" t="n"/>
      <c r="F39" s="27" t="n">
        <v>3</v>
      </c>
      <c r="G39" s="14" t="inlineStr">
        <is>
          <t>retirement carveout</t>
        </is>
      </c>
      <c r="H39" s="6" t="inlineStr">
        <is>
          <t>Concentrate (1 flag tolerable)</t>
        </is>
      </c>
      <c r="I39" s="6" t="inlineStr">
        <is>
          <t>P/B 1.47 · EV/EBITDA 4.6× · FCF yld 37% · net debt 150% of mcap · rev +2% · op margin 25% · buying back 11%/yr</t>
        </is>
      </c>
    </row>
    <row r="40" ht="30" customHeight="1">
      <c r="A40" s="15" t="n">
        <v>36</v>
      </c>
      <c r="B40" s="8" t="inlineStr">
        <is>
          <t>EVGO</t>
        </is>
      </c>
      <c r="C40" s="8" t="inlineStr">
        <is>
          <t>52w 4%</t>
        </is>
      </c>
      <c r="D40" s="8" t="n">
        <v>32</v>
      </c>
      <c r="E40" s="8" t="n"/>
      <c r="F40" s="28" t="n">
        <v>3</v>
      </c>
      <c r="G40" s="16" t="inlineStr">
        <is>
          <t>retirement carveout</t>
        </is>
      </c>
      <c r="H40" s="6" t="inlineStr">
        <is>
          <t>Concentrate (1 flag tolerable)</t>
        </is>
      </c>
      <c r="I40" s="6" t="inlineStr">
        <is>
          <t>P/S 1.1 · FCF yld -45% · rev +31% · op margin -30% · diluting 6%/yr  [negative equity]</t>
        </is>
      </c>
    </row>
    <row r="41" ht="30" customHeight="1">
      <c r="A41" s="13" t="n">
        <v>37</v>
      </c>
      <c r="B41" s="6" t="inlineStr">
        <is>
          <t>IDCC</t>
        </is>
      </c>
      <c r="C41" s="6" t="inlineStr">
        <is>
          <t>P/B 7.10 · 18.2× EBITDA · cash 8% · 52w 50%</t>
        </is>
      </c>
      <c r="D41" s="6" t="n">
        <v>32</v>
      </c>
      <c r="E41" s="6" t="n"/>
      <c r="F41" s="27" t="n">
        <v>3</v>
      </c>
      <c r="G41" s="14" t="inlineStr">
        <is>
          <t>retirement carveout</t>
        </is>
      </c>
      <c r="H41" s="6" t="inlineStr">
        <is>
          <t>Concentrate (1 flag tolerable)</t>
        </is>
      </c>
      <c r="I41" s="6" t="inlineStr">
        <is>
          <t>P/B 7.10 · EV/EBITDA 18.2× · FCF yld 6% · net cash 8% of mcap · rev -12% · op margin 44% · diluting 2%/yr</t>
        </is>
      </c>
    </row>
    <row r="42" ht="30" customHeight="1">
      <c r="A42" s="15" t="n">
        <v>38</v>
      </c>
      <c r="B42" s="8" t="inlineStr">
        <is>
          <t>ARQ</t>
        </is>
      </c>
      <c r="C42" s="8" t="inlineStr">
        <is>
          <t>P/B 0.52 · debt 19% · 52w 8%</t>
        </is>
      </c>
      <c r="D42" s="8" t="n">
        <v>32</v>
      </c>
      <c r="E42" s="8" t="n"/>
      <c r="F42" s="28" t="n">
        <v>3</v>
      </c>
      <c r="G42" s="16" t="inlineStr">
        <is>
          <t>repricing language</t>
        </is>
      </c>
      <c r="H42" s="6" t="inlineStr">
        <is>
          <t>Concentrate (1 flag tolerable)</t>
        </is>
      </c>
      <c r="I42" s="6" t="inlineStr">
        <is>
          <t>P/B 0.52 · P/S 0.7 · FCF yld -6% · net debt 19% of mcap · rev +5% · op margin -7% · interest cover -7.1× ⚠</t>
        </is>
      </c>
    </row>
    <row r="43" ht="30" customHeight="1">
      <c r="A43" s="13" t="n">
        <v>39</v>
      </c>
      <c r="B43" s="6" t="inlineStr">
        <is>
          <t>SOLS</t>
        </is>
      </c>
      <c r="C43" s="6" t="inlineStr">
        <is>
          <t>P/B 5.90 · 12.2× EBITDA · debt 18% · 52w 37%</t>
        </is>
      </c>
      <c r="D43" s="6" t="n">
        <v>32</v>
      </c>
      <c r="E43" s="6" t="n"/>
      <c r="F43" s="27" t="n">
        <v>3</v>
      </c>
      <c r="G43" s="14" t="inlineStr">
        <is>
          <t>retirement carveout</t>
        </is>
      </c>
      <c r="H43" s="6" t="inlineStr">
        <is>
          <t>Concentrate (1 flag tolerable)</t>
        </is>
      </c>
      <c r="I43" s="6" t="inlineStr">
        <is>
          <t>P/B 5.90 · EV/EBITDA 12.2× · FCF yld 2% · net debt 18% of mcap · rev +9% · op margin 17%</t>
        </is>
      </c>
    </row>
    <row r="44" ht="30" customHeight="1">
      <c r="A44" s="15" t="n">
        <v>40</v>
      </c>
      <c r="B44" s="8" t="inlineStr">
        <is>
          <t>ENOV</t>
        </is>
      </c>
      <c r="C44" s="8" t="inlineStr">
        <is>
          <t>P/B 0.72 · debt 128% · 52w 6%</t>
        </is>
      </c>
      <c r="D44" s="8" t="n">
        <v>32</v>
      </c>
      <c r="E44" s="8" t="n"/>
      <c r="F44" s="28" t="n">
        <v>3</v>
      </c>
      <c r="G44" s="16" t="inlineStr">
        <is>
          <t>repricing language, retirement carveout</t>
        </is>
      </c>
      <c r="H44" s="16" t="inlineStr">
        <is>
          <t>Material — basket diversify</t>
        </is>
      </c>
      <c r="I44" s="16" t="inlineStr">
        <is>
          <t>P/B 0.72 · P/S 0.5 · FCF yld 6% · net debt 128% of mcap · rev +5% · op margin 4%</t>
        </is>
      </c>
    </row>
    <row r="45" ht="30" customHeight="1">
      <c r="A45" s="13" t="n">
        <v>41</v>
      </c>
      <c r="B45" s="6" t="inlineStr">
        <is>
          <t>RXST</t>
        </is>
      </c>
      <c r="C45" s="6" t="inlineStr">
        <is>
          <t>P/B 0.76 · cash 98% · 52w 4%</t>
        </is>
      </c>
      <c r="D45" s="6" t="n">
        <v>32</v>
      </c>
      <c r="E45" s="6" t="n"/>
      <c r="F45" s="27" t="n">
        <v>3</v>
      </c>
      <c r="G45" s="14" t="inlineStr">
        <is>
          <t>retirement carveout, single-trigger CIC</t>
        </is>
      </c>
      <c r="H45" s="14" t="inlineStr">
        <is>
          <t>Material — basket diversify</t>
        </is>
      </c>
      <c r="I45" s="14" t="inlineStr">
        <is>
          <t>P/B 0.76 · P/S 1.6 · FCF yld -14% · net cash 98% of mcap · rev -19% · op margin -43%</t>
        </is>
      </c>
    </row>
    <row r="46" ht="30" customHeight="1">
      <c r="A46" s="15" t="n">
        <v>42</v>
      </c>
      <c r="B46" s="8" t="inlineStr">
        <is>
          <t>METC</t>
        </is>
      </c>
      <c r="C46" s="8" t="inlineStr">
        <is>
          <t>P/B 1.34 · debt 37% · 52w 2%</t>
        </is>
      </c>
      <c r="D46" s="8" t="n">
        <v>32</v>
      </c>
      <c r="E46" s="8" t="n"/>
      <c r="F46" s="28" t="n">
        <v>3</v>
      </c>
      <c r="G46" s="16" t="inlineStr">
        <is>
          <t>repricing language</t>
        </is>
      </c>
      <c r="H46" s="6" t="inlineStr">
        <is>
          <t>Concentrate (1 flag tolerable)</t>
        </is>
      </c>
      <c r="I46" s="6" t="inlineStr">
        <is>
          <t>P/B 1.34 · P/S 1.0 · FCF yld -27% · net debt 37% of mcap · rev -18% · op margin -14% · diluting 19%/yr · interest cover -15.2× ⚠</t>
        </is>
      </c>
    </row>
    <row r="47" ht="30" customHeight="1">
      <c r="A47" s="13" t="n">
        <v>43</v>
      </c>
      <c r="B47" s="6" t="inlineStr">
        <is>
          <t>NXST</t>
        </is>
      </c>
      <c r="C47" s="6" t="inlineStr">
        <is>
          <t>P/B 2.24 · 9.3× EBITDA · debt 234% · 52w 12%</t>
        </is>
      </c>
      <c r="D47" s="6" t="n">
        <v>32</v>
      </c>
      <c r="E47" s="6" t="n"/>
      <c r="F47" s="27" t="n">
        <v>3</v>
      </c>
      <c r="G47" s="14" t="inlineStr">
        <is>
          <t>discretionary hurdle</t>
        </is>
      </c>
      <c r="H47" s="6" t="inlineStr">
        <is>
          <t>Concentrate (1 flag tolerable)</t>
        </is>
      </c>
      <c r="I47" s="6" t="inlineStr">
        <is>
          <t>P/B 2.24 · EV/EBITDA 9.3× · FCF yld 15% · net debt 234% of mcap · rev +31% · op margin 15%</t>
        </is>
      </c>
    </row>
    <row r="48" ht="30" customHeight="1">
      <c r="A48" s="15" t="n">
        <v>44</v>
      </c>
      <c r="B48" s="8" t="inlineStr">
        <is>
          <t>PLAY</t>
        </is>
      </c>
      <c r="C48" s="8" t="inlineStr">
        <is>
          <t>P/B 2.72 · 11.1× EBITDA · debt 1490% · 52w 3%</t>
        </is>
      </c>
      <c r="D48" s="8" t="n">
        <v>32</v>
      </c>
      <c r="E48" s="8" t="n"/>
      <c r="F48" s="28" t="n">
        <v>3</v>
      </c>
      <c r="G48" s="16" t="inlineStr">
        <is>
          <t>front-loaded grant</t>
        </is>
      </c>
      <c r="H48" s="6" t="inlineStr">
        <is>
          <t>Concentrate (1 flag tolerable)</t>
        </is>
      </c>
      <c r="I48" s="6" t="inlineStr">
        <is>
          <t>P/B 2.72 · EV/EBITDA 11.1× · FCF yld -7% · net debt 1490% of mcap · rev -1% · op margin 3% · interest cover 0.4× ⚠</t>
        </is>
      </c>
    </row>
    <row r="49" ht="30" customHeight="1">
      <c r="A49" s="13" t="n">
        <v>45</v>
      </c>
      <c r="B49" s="6" t="inlineStr">
        <is>
          <t>INFU</t>
        </is>
      </c>
      <c r="C49" s="6" t="inlineStr">
        <is>
          <t>P/B 4.41 · 12.2× EBITDA · debt 9% · 52w 95%</t>
        </is>
      </c>
      <c r="D49" s="6" t="n">
        <v>32</v>
      </c>
      <c r="E49" s="6" t="n"/>
      <c r="F49" s="27" t="n">
        <v>3</v>
      </c>
      <c r="G49" s="14" t="inlineStr">
        <is>
          <t>discretionary hurdle</t>
        </is>
      </c>
      <c r="H49" s="6" t="inlineStr">
        <is>
          <t>Concentrate (1 flag tolerable)</t>
        </is>
      </c>
      <c r="I49" s="6" t="inlineStr">
        <is>
          <t>P/B 4.41 · EV/EBITDA 12.2× · FCF yld 7% · net debt 9% of mcap · rev +2% · op margin 9%</t>
        </is>
      </c>
    </row>
    <row r="50" ht="30" customHeight="1">
      <c r="A50" s="15" t="n">
        <v>46</v>
      </c>
      <c r="B50" s="8" t="inlineStr">
        <is>
          <t>TBI</t>
        </is>
      </c>
      <c r="C50" s="8" t="inlineStr">
        <is>
          <t>P/B 1.17 · debt 39% · 52w 84%</t>
        </is>
      </c>
      <c r="D50" s="8" t="n">
        <v>32</v>
      </c>
      <c r="E50" s="8" t="n"/>
      <c r="F50" s="28" t="n">
        <v>3</v>
      </c>
      <c r="G50" s="16" t="inlineStr">
        <is>
          <t>discretionary hurdle, retirement carveout</t>
        </is>
      </c>
      <c r="H50" s="16" t="inlineStr">
        <is>
          <t>Material — basket diversify</t>
        </is>
      </c>
      <c r="I50" s="16" t="inlineStr">
        <is>
          <t>P/B 1.17 · P/S 0.2 · FCF yld -23% · net debt 39% of mcap · rev +10% · op margin -1% · interest cover -10.3× ⚠</t>
        </is>
      </c>
    </row>
    <row r="51" ht="30" customHeight="1">
      <c r="A51" s="13" t="n">
        <v>47</v>
      </c>
      <c r="B51" s="6" t="inlineStr">
        <is>
          <t>MNST</t>
        </is>
      </c>
      <c r="C51" s="6" t="inlineStr">
        <is>
          <t>P/B 9.10 · 28.1× EBITDA · cash 4% · 52w 64%</t>
        </is>
      </c>
      <c r="D51" s="6" t="n">
        <v>32</v>
      </c>
      <c r="E51" s="6" t="n"/>
      <c r="F51" s="27" t="n">
        <v>3</v>
      </c>
      <c r="G51" s="14" t="inlineStr">
        <is>
          <t>discretionary hurdle, retirement carveout</t>
        </is>
      </c>
      <c r="H51" s="14" t="inlineStr">
        <is>
          <t>Material — basket diversify</t>
        </is>
      </c>
      <c r="I51" s="14" t="inlineStr">
        <is>
          <t>P/B 9.10 · EV/EBITDA 28.1× · FCF yld 2% · net cash 4% of mcap · rev +20% · op margin 29%</t>
        </is>
      </c>
    </row>
    <row r="52" ht="30" customHeight="1">
      <c r="A52" s="15" t="n">
        <v>48</v>
      </c>
      <c r="B52" s="8" t="inlineStr">
        <is>
          <t>SIG</t>
        </is>
      </c>
      <c r="C52" s="8" t="inlineStr">
        <is>
          <t>P/B 2.31 · 6.2× EBITDA · debt 45% · 52w 77%</t>
        </is>
      </c>
      <c r="D52" s="8" t="n">
        <v>32</v>
      </c>
      <c r="E52" s="8" t="n"/>
      <c r="F52" s="28" t="n">
        <v>3</v>
      </c>
      <c r="G52" s="16" t="inlineStr">
        <is>
          <t>retirement carveout</t>
        </is>
      </c>
      <c r="H52" s="6" t="inlineStr">
        <is>
          <t>Concentrate (1 flag tolerable)</t>
        </is>
      </c>
      <c r="I52" s="6" t="inlineStr">
        <is>
          <t>P/B 2.31 · EV/EBITDA 6.2× · FCF yld 17% · net debt 45% of mcap · rev -2% · op margin 9% · buying back 6%/yr · interest cover -6284.0× ⚠</t>
        </is>
      </c>
    </row>
    <row r="53" ht="30" customHeight="1">
      <c r="A53" s="13" t="n">
        <v>49</v>
      </c>
      <c r="B53" s="6" t="inlineStr">
        <is>
          <t>MERC</t>
        </is>
      </c>
      <c r="C53" s="6" t="inlineStr">
        <is>
          <t>52w 0%</t>
        </is>
      </c>
      <c r="D53" s="6" t="n">
        <v>32</v>
      </c>
      <c r="E53" s="6" t="n"/>
      <c r="F53" s="27" t="n">
        <v>3</v>
      </c>
      <c r="G53" s="14" t="inlineStr">
        <is>
          <t>discretionary hurdle, retirement carveout</t>
        </is>
      </c>
      <c r="H53" s="14" t="inlineStr">
        <is>
          <t>Material — basket diversify</t>
        </is>
      </c>
      <c r="I53" s="14" t="inlineStr">
        <is>
          <t>P/S 0.0 · rev -5% · op margin -12%  [negative equity; FCF yield &gt;100% (check)]</t>
        </is>
      </c>
    </row>
    <row r="54" ht="30" customHeight="1">
      <c r="A54" s="15" t="n">
        <v>50</v>
      </c>
      <c r="B54" s="8" t="inlineStr">
        <is>
          <t>BUSE</t>
        </is>
      </c>
      <c r="C54" s="8" t="inlineStr">
        <is>
          <t>P/B 1.06 · P/E 10.7 · 52w 80%</t>
        </is>
      </c>
      <c r="D54" s="8" t="n">
        <v>32</v>
      </c>
      <c r="E54" s="8" t="n"/>
      <c r="F54" s="28" t="n">
        <v>3</v>
      </c>
      <c r="G54" s="16" t="inlineStr">
        <is>
          <t>retirement carveout</t>
        </is>
      </c>
      <c r="H54" s="6" t="inlineStr">
        <is>
          <t>Concentrate (1 flag tolerable)</t>
        </is>
      </c>
      <c r="I54" s="6" t="inlineStr">
        <is>
          <t>P/B 1.06 · P/E 10.7 · ROE 10% · div yld 3.5% (financial: book/earnings basis)</t>
        </is>
      </c>
    </row>
    <row r="55"/>
    <row r="56" ht="28" customHeight="1">
      <c r="A56" s="17" t="inlineStr">
        <is>
          <t>Eight flag classes: single-trigger CIC, repricing language, retirement carveout, front-loaded grant, discretionary hurdle, aggregate-only metrics, plus structural variants. Counter-intuitive: a 'repricing language' flag can become a re-rate catalyst when a stock has fallen sharply, since management becomes incentivised to reset hurdles. Read the flag in context, not as automatic veto.</t>
        </is>
      </c>
    </row>
  </sheetData>
  <mergeCells count="3">
    <mergeCell ref="A56:H56"/>
    <mergeCell ref="A2:H2"/>
    <mergeCell ref="A1:H1"/>
  </mergeCells>
  <conditionalFormatting sqref="D5:D56">
    <cfRule type="dataBar" priority="1">
      <dataBar showValue="1">
        <cfvo type="num" val="0"/>
        <cfvo type="num" val="100"/>
        <color rgb="009DB9D3"/>
      </dataBar>
    </cfRule>
  </conditionalFormatting>
  <hyperlinks>
    <hyperlink xmlns:r="http://schemas.openxmlformats.org/officeDocument/2006/relationships" ref="B6" r:id="rId1"/>
    <hyperlink xmlns:r="http://schemas.openxmlformats.org/officeDocument/2006/relationships" ref="B12" r:id="rId2"/>
    <hyperlink xmlns:r="http://schemas.openxmlformats.org/officeDocument/2006/relationships" ref="B13" r:id="rId3"/>
    <hyperlink xmlns:r="http://schemas.openxmlformats.org/officeDocument/2006/relationships" ref="B14" r:id="rId4"/>
    <hyperlink xmlns:r="http://schemas.openxmlformats.org/officeDocument/2006/relationships" ref="B16" r:id="rId5"/>
    <hyperlink xmlns:r="http://schemas.openxmlformats.org/officeDocument/2006/relationships" ref="B23" r:id="rId6"/>
    <hyperlink xmlns:r="http://schemas.openxmlformats.org/officeDocument/2006/relationships" ref="B24" r:id="rId7"/>
    <hyperlink xmlns:r="http://schemas.openxmlformats.org/officeDocument/2006/relationships" ref="B25" r:id="rId8"/>
    <hyperlink xmlns:r="http://schemas.openxmlformats.org/officeDocument/2006/relationships" ref="B33" r:id="rId9"/>
    <hyperlink xmlns:r="http://schemas.openxmlformats.org/officeDocument/2006/relationships" ref="B36" r:id="rId10"/>
    <hyperlink xmlns:r="http://schemas.openxmlformats.org/officeDocument/2006/relationships" ref="B39" r:id="rId11"/>
  </hyperlinks>
  <printOptions horizontalCentered="0"/>
  <pageMargins left="0.5" right="0.5" top="0.6" bottom="0.6" header="0.5" footer="0.5"/>
  <pageSetup orientation="landscape" fitToHeight="0" fitToWidth="1"/>
</worksheet>
</file>

<file path=xl/worksheets/sheet24.xml><?xml version="1.0" encoding="utf-8"?>
<worksheet xmlns="http://schemas.openxmlformats.org/spreadsheetml/2006/main">
  <sheetPr>
    <tabColor rgb="0070AD47"/>
    <outlinePr summaryBelow="1" summaryRight="1"/>
    <pageSetUpPr fitToPage="1"/>
  </sheetPr>
  <dimension ref="A1:M51"/>
  <sheetViews>
    <sheetView showGridLines="0" workbookViewId="0">
      <pane ySplit="4" topLeftCell="A5" activePane="bottomLeft" state="frozen"/>
      <selection pane="bottomLeft" activeCell="A1" sqref="A1"/>
    </sheetView>
  </sheetViews>
  <sheetFormatPr baseColWidth="8" defaultRowHeight="15"/>
  <cols>
    <col width="9" customWidth="1" min="1" max="1"/>
    <col width="26" customWidth="1" min="2" max="2"/>
    <col width="30" customWidth="1" min="3" max="3"/>
    <col width="9" customWidth="1" min="4" max="4"/>
    <col width="10" customWidth="1" min="5" max="5"/>
    <col width="9" customWidth="1" min="6" max="6"/>
    <col width="9" customWidth="1" min="7" max="7"/>
    <col width="9" customWidth="1" min="8" max="8"/>
    <col width="9" customWidth="1" min="9" max="9"/>
    <col width="11" customWidth="1" min="10" max="10"/>
    <col width="11" customWidth="1" min="11" max="11"/>
    <col width="44" customWidth="1" min="12" max="12"/>
    <col width="62" customWidth="1" min="13" max="13"/>
  </cols>
  <sheetData>
    <row r="1" ht="26" customHeight="1">
      <c r="A1" s="1" t="inlineStr">
        <is>
          <t>Discretionary Insider-Conviction Clusters</t>
        </is>
      </c>
    </row>
    <row r="2" ht="18" customHeight="1">
      <c r="A2" s="20" t="inlineStr">
        <is>
          <t>Open-market purchases only (Form 4 code P) · clustered, role-weighted, dollar-gated · grants and option exercises excluded by construction</t>
        </is>
      </c>
      <c r="B2" s="19" t="n"/>
      <c r="C2" s="19" t="n"/>
      <c r="D2" s="19" t="n"/>
      <c r="E2" s="19" t="n"/>
      <c r="F2" s="19" t="n"/>
      <c r="G2" s="19" t="n"/>
      <c r="H2" s="19" t="n"/>
      <c r="I2" s="19" t="n"/>
      <c r="J2" s="19" t="n"/>
      <c r="K2" s="19" t="n"/>
      <c r="L2" s="19" t="n"/>
    </row>
    <row r="3" ht="8" customHeight="1">
      <c r="D3" s="34" t="inlineStr">
        <is>
          <t>%ile vs all 139 names scored</t>
        </is>
      </c>
    </row>
    <row r="4" ht="18" customHeight="1">
      <c r="A4" s="12" t="inlineStr">
        <is>
          <t>Ticker</t>
        </is>
      </c>
      <c r="B4" s="12" t="inlineStr">
        <is>
          <t>Name</t>
        </is>
      </c>
      <c r="C4" s="12" t="inlineStr">
        <is>
          <t>Key numbers (FMP)</t>
        </is>
      </c>
      <c r="D4" s="12" t="inlineStr">
        <is>
          <t>Strength %ile</t>
        </is>
      </c>
      <c r="E4" s="4" t="inlineStr">
        <is>
          <t>Conviction</t>
        </is>
      </c>
      <c r="F4" s="4" t="inlineStr">
        <is>
          <t>Insiders</t>
        </is>
      </c>
      <c r="G4" s="4" t="inlineStr">
        <is>
          <t>Cluster</t>
        </is>
      </c>
      <c r="H4" s="4" t="inlineStr">
        <is>
          <t>Same day</t>
        </is>
      </c>
      <c r="I4" s="4" t="inlineStr">
        <is>
          <t>C-suite</t>
        </is>
      </c>
      <c r="J4" s="4" t="inlineStr">
        <is>
          <t>Total $M</t>
        </is>
      </c>
      <c r="K4" s="4" t="inlineStr">
        <is>
          <t>Top $M</t>
        </is>
      </c>
      <c r="L4" s="4" t="inlineStr">
        <is>
          <t>Configuration</t>
        </is>
      </c>
      <c r="M4" s="4" t="inlineStr">
        <is>
          <t>FMP financial read</t>
        </is>
      </c>
    </row>
    <row r="5" ht="24" customHeight="1">
      <c r="A5" s="6" t="inlineStr">
        <is>
          <t>BETR</t>
        </is>
      </c>
      <c r="B5" s="14" t="inlineStr">
        <is>
          <t>Better Home &amp; Finance Hold</t>
        </is>
      </c>
      <c r="C5" s="14" t="inlineStr">
        <is>
          <t>P/B 3.27 · 52w 1%</t>
        </is>
      </c>
      <c r="D5" s="14" t="n">
        <v>99</v>
      </c>
      <c r="E5" s="27" t="n">
        <v>52</v>
      </c>
      <c r="F5" s="27" t="n">
        <v>6</v>
      </c>
      <c r="G5" s="27" t="n">
        <v>6</v>
      </c>
      <c r="H5" s="13" t="n">
        <v>5</v>
      </c>
      <c r="I5" s="27" t="n">
        <v>3</v>
      </c>
      <c r="J5" s="13" t="n">
        <v>9.210000000000001</v>
      </c>
      <c r="K5" s="13" t="n">
        <v>7.44</v>
      </c>
      <c r="L5" s="14" t="inlineStr">
        <is>
          <t>same-day cluster x5; 6 insiders in 28d; 3 C-suite buyers; $7.4M top buyer</t>
        </is>
      </c>
      <c r="M5" s="14" t="inlineStr">
        <is>
          <t>P/B 3.27 · ROE -465% · diluting 23%/yr (financial: book/earnings basis)  [FCF yield &gt;100% (check)]</t>
        </is>
      </c>
    </row>
    <row r="6" ht="24" customHeight="1">
      <c r="A6" s="8" t="inlineStr">
        <is>
          <t>NSP</t>
        </is>
      </c>
      <c r="B6" s="16" t="inlineStr">
        <is>
          <t>Insperity, Inc.</t>
        </is>
      </c>
      <c r="C6" s="16" t="inlineStr">
        <is>
          <t>P/B 30.91 · 31.9× EBITDA · cash 7% · 52w 83%</t>
        </is>
      </c>
      <c r="D6" s="16" t="n">
        <v>99</v>
      </c>
      <c r="E6" s="28" t="n">
        <v>52</v>
      </c>
      <c r="F6" s="28" t="n">
        <v>4</v>
      </c>
      <c r="G6" s="28" t="n">
        <v>4</v>
      </c>
      <c r="H6" s="15" t="n">
        <v>3</v>
      </c>
      <c r="I6" s="28" t="n">
        <v>2</v>
      </c>
      <c r="J6" s="15" t="n">
        <v>7.81</v>
      </c>
      <c r="K6" s="15" t="n">
        <v>7.56</v>
      </c>
      <c r="L6" s="16" t="inlineStr">
        <is>
          <t>same-day cluster x3; 4 insiders in 8d; 2 C-suite buyers; $7.6M top buyer</t>
        </is>
      </c>
      <c r="M6" s="16" t="inlineStr">
        <is>
          <t>P/B 30.91 · EV/EBITDA 31.9× · FCF yld 15% · net cash 7% of mcap · rev +3% · op margin -0% · diluting 6%/yr</t>
        </is>
      </c>
    </row>
    <row r="7" ht="24" customHeight="1">
      <c r="A7" s="6" t="inlineStr">
        <is>
          <t>KKR</t>
        </is>
      </c>
      <c r="B7" s="14" t="inlineStr">
        <is>
          <t>KKR &amp; Co. Inc.</t>
        </is>
      </c>
      <c r="C7" s="14" t="inlineStr">
        <is>
          <t>P/B 2.81 · P/E 28.8 · 52w 22%</t>
        </is>
      </c>
      <c r="D7" s="14" t="n">
        <v>99</v>
      </c>
      <c r="E7" s="27" t="n">
        <v>52</v>
      </c>
      <c r="F7" s="27" t="n">
        <v>5</v>
      </c>
      <c r="G7" s="27" t="n">
        <v>5</v>
      </c>
      <c r="H7" s="13" t="n">
        <v>3</v>
      </c>
      <c r="I7" s="27" t="n">
        <v>2</v>
      </c>
      <c r="J7" s="13" t="n">
        <v>45.68</v>
      </c>
      <c r="K7" s="13" t="n">
        <v>17.22</v>
      </c>
      <c r="L7" s="14" t="inlineStr">
        <is>
          <t>same-day cluster x3; 5 insiders in 15d; 2 C-suite buyers; $17.2M top buyer</t>
        </is>
      </c>
      <c r="M7" s="14" t="inlineStr">
        <is>
          <t>P/B 2.81 · P/E 28.8 · ROE 10% · div yld 0.8% (financial: book/earnings basis)</t>
        </is>
      </c>
    </row>
    <row r="8" ht="24" customHeight="1">
      <c r="A8" s="8" t="inlineStr">
        <is>
          <t>ONON</t>
        </is>
      </c>
      <c r="B8" s="16" t="inlineStr">
        <is>
          <t>On Holding AG</t>
        </is>
      </c>
      <c r="C8" s="16" t="inlineStr">
        <is>
          <t>P/B 4.41 · 13.5× EBITDA · cash 8% · 52w 17%</t>
        </is>
      </c>
      <c r="D8" s="16" t="n">
        <v>97</v>
      </c>
      <c r="E8" s="28" t="n">
        <v>47</v>
      </c>
      <c r="F8" s="28" t="n">
        <v>3</v>
      </c>
      <c r="G8" s="28" t="n">
        <v>3</v>
      </c>
      <c r="H8" s="15" t="n">
        <v>3</v>
      </c>
      <c r="I8" s="28" t="n">
        <v>2</v>
      </c>
      <c r="J8" s="15" t="n">
        <v>6.59</v>
      </c>
      <c r="K8" s="15" t="n">
        <v>2.2</v>
      </c>
      <c r="L8" s="16" t="inlineStr">
        <is>
          <t>same-day cluster x3; 2 C-suite buyers; $2.2M top buyer</t>
        </is>
      </c>
      <c r="M8" s="16" t="inlineStr">
        <is>
          <t>P/B 4.41 · EV/EBITDA 13.5× · FCF yld 5% · net cash 8% of mcap · rev +19% · op margin 14%</t>
        </is>
      </c>
    </row>
    <row r="9" ht="24" customHeight="1">
      <c r="A9" s="6" t="inlineStr">
        <is>
          <t>PATK</t>
        </is>
      </c>
      <c r="B9" s="14" t="inlineStr">
        <is>
          <t>Patrick Industries, Inc.</t>
        </is>
      </c>
      <c r="C9" s="14" t="inlineStr">
        <is>
          <t>P/B 2.02 · 8.9× EBITDA · debt 71% · 52w 1%</t>
        </is>
      </c>
      <c r="D9" s="14" t="n">
        <v>97</v>
      </c>
      <c r="E9" s="27" t="n">
        <v>47</v>
      </c>
      <c r="F9" s="27" t="n">
        <v>5</v>
      </c>
      <c r="G9" s="27" t="n">
        <v>5</v>
      </c>
      <c r="H9" s="13" t="n">
        <v>5</v>
      </c>
      <c r="I9" s="27" t="n">
        <v>2</v>
      </c>
      <c r="J9" s="13" t="n">
        <v>3.54</v>
      </c>
      <c r="K9" s="13" t="n">
        <v>2.04</v>
      </c>
      <c r="L9" s="14" t="inlineStr">
        <is>
          <t>same-day cluster x5; 2 C-suite buyers; $2.0M top buyer</t>
        </is>
      </c>
      <c r="M9" s="14" t="inlineStr">
        <is>
          <t>P/B 2.02 · EV/EBITDA 8.9× · FCF yld 6% · net debt 71% of mcap · rev +3% · op margin 7% · diluting 3%/yr</t>
        </is>
      </c>
    </row>
    <row r="10" ht="24" customHeight="1">
      <c r="A10" s="8" t="inlineStr">
        <is>
          <t>POOL</t>
        </is>
      </c>
      <c r="B10" s="16" t="inlineStr">
        <is>
          <t>Pool Corporation</t>
        </is>
      </c>
      <c r="C10" s="16" t="inlineStr">
        <is>
          <t>P/B 4.84 · 12.8× EBITDA · debt 27% · 52w 2%</t>
        </is>
      </c>
      <c r="D10" s="16" t="n">
        <v>95</v>
      </c>
      <c r="E10" s="28" t="n">
        <v>44</v>
      </c>
      <c r="F10" s="28" t="n">
        <v>5</v>
      </c>
      <c r="G10" s="28" t="n">
        <v>4</v>
      </c>
      <c r="H10" s="15" t="n">
        <v>3</v>
      </c>
      <c r="I10" s="28" t="n">
        <v>1</v>
      </c>
      <c r="J10" s="15" t="n">
        <v>7.67</v>
      </c>
      <c r="K10" s="15" t="n">
        <v>5.77</v>
      </c>
      <c r="L10" s="16" t="inlineStr">
        <is>
          <t>same-day cluster x3; 4 insiders in 4d; C-suite buyer; $5.8M top buyer</t>
        </is>
      </c>
      <c r="M10" s="16" t="inlineStr">
        <is>
          <t>P/B 4.84 · EV/EBITDA 12.8× · FCF yld 10% · net debt 27% of mcap · rev +2% · op margin 11% · buying back 3%/yr</t>
        </is>
      </c>
    </row>
    <row r="11" ht="24" customHeight="1">
      <c r="A11" s="6" t="inlineStr">
        <is>
          <t>TKO</t>
        </is>
      </c>
      <c r="B11" s="14" t="inlineStr">
        <is>
          <t>TKO Group Holdings, Inc.</t>
        </is>
      </c>
      <c r="C11" s="14" t="inlineStr">
        <is>
          <t>11.5× EBITDA · 52w 27%</t>
        </is>
      </c>
      <c r="D11" s="14" t="n">
        <v>95</v>
      </c>
      <c r="E11" s="27" t="n">
        <v>44</v>
      </c>
      <c r="F11" s="27" t="n">
        <v>3</v>
      </c>
      <c r="G11" s="27" t="n">
        <v>3</v>
      </c>
      <c r="H11" s="13" t="n">
        <v>3</v>
      </c>
      <c r="I11" s="27" t="n">
        <v>2</v>
      </c>
      <c r="J11" s="13" t="n">
        <v>4.5</v>
      </c>
      <c r="K11" s="13" t="n">
        <v>2</v>
      </c>
      <c r="L11" s="14" t="inlineStr">
        <is>
          <t>same-day cluster x3; 2 C-suite buyers; $2.0M top buyer</t>
        </is>
      </c>
      <c r="M11" s="14" t="inlineStr">
        <is>
          <t>EV/EBITDA 11.5× · FCF yld 12% · rev +11% · op margin 20% · buying back 2%/yr  [market-cap/share data inconsistent]</t>
        </is>
      </c>
    </row>
    <row r="12" ht="24" customHeight="1">
      <c r="A12" s="8" t="inlineStr">
        <is>
          <t>ODTX</t>
        </is>
      </c>
      <c r="B12" s="16" t="inlineStr">
        <is>
          <t>Odyssey Therapeutics, Inc.</t>
        </is>
      </c>
      <c r="C12" s="16" t="inlineStr">
        <is>
          <t>P/B 2.45 · cash 28% · 52w 46%</t>
        </is>
      </c>
      <c r="D12" s="16" t="n">
        <v>95</v>
      </c>
      <c r="E12" s="28" t="n">
        <v>44</v>
      </c>
      <c r="F12" s="28" t="n">
        <v>7</v>
      </c>
      <c r="G12" s="28" t="n">
        <v>7</v>
      </c>
      <c r="H12" s="15" t="n">
        <v>5</v>
      </c>
      <c r="I12" s="28" t="n">
        <v>1</v>
      </c>
      <c r="J12" s="15" t="n">
        <v>75.31999999999999</v>
      </c>
      <c r="K12" s="15" t="n">
        <v>25</v>
      </c>
      <c r="L12" s="16" t="inlineStr">
        <is>
          <t>same-day cluster x5; 7 insiders in 2d; C-suite buyer; $25.0M top buyer</t>
        </is>
      </c>
      <c r="M12" s="16" t="inlineStr">
        <is>
          <t>P/B 2.45 · P/S 0.0 · FCF yld -8% · net cash 28% of mcap · op margin 0%</t>
        </is>
      </c>
    </row>
    <row r="13" ht="24" customHeight="1">
      <c r="A13" s="6" t="inlineStr">
        <is>
          <t>GO</t>
        </is>
      </c>
      <c r="B13" s="14" t="inlineStr">
        <is>
          <t>Grocery Outlet Holding Cor</t>
        </is>
      </c>
      <c r="C13" s="14" t="inlineStr">
        <is>
          <t>P/B 1.37 · debt 159% · 52w 50%</t>
        </is>
      </c>
      <c r="D13" s="14" t="n">
        <v>95</v>
      </c>
      <c r="E13" s="27" t="n">
        <v>44</v>
      </c>
      <c r="F13" s="27" t="n">
        <v>6</v>
      </c>
      <c r="G13" s="27" t="n">
        <v>6</v>
      </c>
      <c r="H13" s="13" t="n">
        <v>3</v>
      </c>
      <c r="I13" s="27" t="n">
        <v>1</v>
      </c>
      <c r="J13" s="13" t="n">
        <v>7.92</v>
      </c>
      <c r="K13" s="13" t="n">
        <v>2.82</v>
      </c>
      <c r="L13" s="14" t="inlineStr">
        <is>
          <t>same-day cluster x3; 6 insiders in 11d; C-suite buyer; $2.8M top buyer</t>
        </is>
      </c>
      <c r="M13" s="14" t="inlineStr">
        <is>
          <t>P/B 1.37 · P/S 0.2 · FCF yld -1% · net debt 159% of mcap · rev +5% · op margin 4%</t>
        </is>
      </c>
    </row>
    <row r="14" ht="24" customHeight="1">
      <c r="A14" s="8" t="inlineStr">
        <is>
          <t>SRAD</t>
        </is>
      </c>
      <c r="B14" s="16" t="inlineStr">
        <is>
          <t>Sportradar Group AG</t>
        </is>
      </c>
      <c r="C14" s="16" t="inlineStr">
        <is>
          <t>P/B 4.39 · 9.3× EBITDA · cash 6% · 52w 9%</t>
        </is>
      </c>
      <c r="D14" s="16" t="n">
        <v>95</v>
      </c>
      <c r="E14" s="28" t="n">
        <v>44</v>
      </c>
      <c r="F14" s="28" t="n">
        <v>7</v>
      </c>
      <c r="G14" s="28" t="n">
        <v>7</v>
      </c>
      <c r="H14" s="15" t="n">
        <v>7</v>
      </c>
      <c r="I14" s="28" t="n">
        <v>1</v>
      </c>
      <c r="J14" s="15" t="n">
        <v>11.35</v>
      </c>
      <c r="K14" s="15" t="n">
        <v>10.02</v>
      </c>
      <c r="L14" s="16" t="inlineStr">
        <is>
          <t>same-day cluster x7; C-suite buyer; $10.0M top buyer</t>
        </is>
      </c>
      <c r="M14" s="16" t="inlineStr">
        <is>
          <t>P/B 4.39 · EV/EBITDA 9.3× · FCF yld 9% · net cash 6% of mcap · rev +17% · op margin 10% · buying back 8%/yr</t>
        </is>
      </c>
    </row>
    <row r="15" ht="24" customHeight="1">
      <c r="A15" s="6" t="inlineStr">
        <is>
          <t>FLUT</t>
        </is>
      </c>
      <c r="B15" s="14" t="inlineStr">
        <is>
          <t>Flutter Entertainment plc</t>
        </is>
      </c>
      <c r="C15" s="14" t="inlineStr">
        <is>
          <t>P/B 1.73 · 16.3× EBITDA · debt 73% · 52w 0%</t>
        </is>
      </c>
      <c r="D15" s="14" t="n">
        <v>92</v>
      </c>
      <c r="E15" s="27" t="n">
        <v>42</v>
      </c>
      <c r="F15" s="27" t="n">
        <v>7</v>
      </c>
      <c r="G15" s="27" t="n">
        <v>7</v>
      </c>
      <c r="H15" s="13" t="n">
        <v>5</v>
      </c>
      <c r="I15" s="27" t="n">
        <v>4</v>
      </c>
      <c r="J15" s="13" t="n">
        <v>1.05</v>
      </c>
      <c r="K15" s="13" t="n">
        <v>0.25</v>
      </c>
      <c r="L15" s="14" t="inlineStr">
        <is>
          <t>same-day cluster x5; 7 insiders in 1d; 4 C-suite buyers</t>
        </is>
      </c>
      <c r="M15" s="14" t="inlineStr">
        <is>
          <t>P/B 1.73 · EV/EBITDA 16.3× · FCF yld 5% · net debt 73% of mcap · rev +15% · op margin -1% · buying back 2%/yr · interest cover -0.2× ⚠</t>
        </is>
      </c>
    </row>
    <row r="16" ht="24" customHeight="1">
      <c r="A16" s="8" t="inlineStr">
        <is>
          <t>IBP</t>
        </is>
      </c>
      <c r="B16" s="16" t="inlineStr">
        <is>
          <t>Installed Building Product</t>
        </is>
      </c>
      <c r="C16" s="16" t="inlineStr">
        <is>
          <t>P/B 8.82 · 12.0× EBITDA · debt 14% · 52w 10%</t>
        </is>
      </c>
      <c r="D16" s="16" t="n">
        <v>92</v>
      </c>
      <c r="E16" s="28" t="n">
        <v>42</v>
      </c>
      <c r="F16" s="28" t="n">
        <v>4</v>
      </c>
      <c r="G16" s="28" t="n">
        <v>4</v>
      </c>
      <c r="H16" s="15" t="n">
        <v>4</v>
      </c>
      <c r="I16" s="28" t="n">
        <v>2</v>
      </c>
      <c r="J16" s="15" t="n">
        <v>0.84</v>
      </c>
      <c r="K16" s="15" t="n">
        <v>0.5</v>
      </c>
      <c r="L16" s="16" t="inlineStr">
        <is>
          <t>same-day cluster x4; 2 C-suite buyers</t>
        </is>
      </c>
      <c r="M16" s="16" t="inlineStr">
        <is>
          <t>P/B 8.82 · EV/EBITDA 12.0× · FCF yld 1% · net debt 14% of mcap · rev +0% · op margin 12% · buying back 3%/yr</t>
        </is>
      </c>
    </row>
    <row r="17" ht="24" customHeight="1">
      <c r="A17" s="6" t="inlineStr">
        <is>
          <t>MOBI</t>
        </is>
      </c>
      <c r="B17" s="14" t="inlineStr">
        <is>
          <t>Mobia Medical, Inc.</t>
        </is>
      </c>
      <c r="C17" s="14" t="inlineStr">
        <is>
          <t>P/B 1.82 · cash 54% · 52w 1%</t>
        </is>
      </c>
      <c r="D17" s="14" t="n">
        <v>91</v>
      </c>
      <c r="E17" s="27" t="n">
        <v>41</v>
      </c>
      <c r="F17" s="27" t="n">
        <v>6</v>
      </c>
      <c r="G17" s="27" t="n">
        <v>6</v>
      </c>
      <c r="H17" s="13" t="n">
        <v>5</v>
      </c>
      <c r="I17" s="27" t="n">
        <v>0</v>
      </c>
      <c r="J17" s="13" t="n">
        <v>19.02</v>
      </c>
      <c r="K17" s="13" t="n">
        <v>8</v>
      </c>
      <c r="L17" s="14" t="inlineStr">
        <is>
          <t>same-day cluster x5; 6 insiders in 1d; $8.0M top buyer</t>
        </is>
      </c>
      <c r="M17" s="14" t="inlineStr">
        <is>
          <t>P/B 1.82 · P/S 12.0 · FCF yld -11% · net cash 54% of mcap · op margin -136%</t>
        </is>
      </c>
    </row>
    <row r="18" ht="24" customHeight="1">
      <c r="A18" s="8" t="inlineStr">
        <is>
          <t>OPCH</t>
        </is>
      </c>
      <c r="B18" s="16" t="inlineStr">
        <is>
          <t>Option Care Health, Inc.</t>
        </is>
      </c>
      <c r="C18" s="16" t="inlineStr">
        <is>
          <t>P/B 2.84 · 11.0× EBITDA · debt 30% · 52w 31%</t>
        </is>
      </c>
      <c r="D18" s="16" t="n">
        <v>90</v>
      </c>
      <c r="E18" s="28" t="n">
        <v>40</v>
      </c>
      <c r="F18" s="28" t="n">
        <v>4</v>
      </c>
      <c r="G18" s="28" t="n">
        <v>4</v>
      </c>
      <c r="H18" s="15" t="n">
        <v>2</v>
      </c>
      <c r="I18" s="28" t="n">
        <v>2</v>
      </c>
      <c r="J18" s="15" t="n">
        <v>1.88</v>
      </c>
      <c r="K18" s="15" t="n">
        <v>0.78</v>
      </c>
      <c r="L18" s="16" t="inlineStr">
        <is>
          <t>same-day cluster x2; 4 insiders in 3d; 2 C-suite buyers</t>
        </is>
      </c>
      <c r="M18" s="16" t="inlineStr">
        <is>
          <t>P/B 2.84 · EV/EBITDA 11.0× · FCF yld 10% · net debt 30% of mcap · rev +6% · op margin 6% · buying back 5%/yr</t>
        </is>
      </c>
    </row>
    <row r="19" ht="24" customHeight="1">
      <c r="A19" s="6" t="inlineStr">
        <is>
          <t>FCN</t>
        </is>
      </c>
      <c r="B19" s="14" t="inlineStr">
        <is>
          <t>FTI Consulting, Inc.</t>
        </is>
      </c>
      <c r="C19" s="14" t="inlineStr">
        <is>
          <t>P/B 2.79 · 11.3× EBITDA · debt 30% · 52w 2%</t>
        </is>
      </c>
      <c r="D19" s="14" t="n">
        <v>89</v>
      </c>
      <c r="E19" s="27" t="n">
        <v>39</v>
      </c>
      <c r="F19" s="27" t="n">
        <v>3</v>
      </c>
      <c r="G19" s="27" t="n">
        <v>3</v>
      </c>
      <c r="H19" s="13" t="n">
        <v>3</v>
      </c>
      <c r="I19" s="27" t="n">
        <v>2</v>
      </c>
      <c r="J19" s="13" t="n">
        <v>2.08</v>
      </c>
      <c r="K19" s="13" t="n">
        <v>1.44</v>
      </c>
      <c r="L19" s="14" t="inlineStr">
        <is>
          <t>same-day cluster x3; 2 C-suite buyers; $1.4M top buyer</t>
        </is>
      </c>
      <c r="M19" s="14" t="inlineStr">
        <is>
          <t>P/B 2.79 · EV/EBITDA 11.3× · FCF yld 11% · net debt 30% of mcap · rev +7% · op margin 10% · buying back 5%/yr</t>
        </is>
      </c>
    </row>
    <row r="20" ht="24" customHeight="1">
      <c r="A20" s="8" t="inlineStr">
        <is>
          <t>MRP</t>
        </is>
      </c>
      <c r="B20" s="16" t="inlineStr">
        <is>
          <t>Millrose Properties, Inc.</t>
        </is>
      </c>
      <c r="C20" s="16" t="inlineStr">
        <is>
          <t>P/B 0.73 · 10.1× EBITDA · debt 57% · 52w 17%</t>
        </is>
      </c>
      <c r="D20" s="16" t="n">
        <v>89</v>
      </c>
      <c r="E20" s="28" t="n">
        <v>39</v>
      </c>
      <c r="F20" s="28" t="n">
        <v>4</v>
      </c>
      <c r="G20" s="28" t="n">
        <v>3</v>
      </c>
      <c r="H20" s="15" t="n">
        <v>3</v>
      </c>
      <c r="I20" s="28" t="n">
        <v>1</v>
      </c>
      <c r="J20" s="15" t="n">
        <v>6.53</v>
      </c>
      <c r="K20" s="15" t="n">
        <v>6.42</v>
      </c>
      <c r="L20" s="16" t="inlineStr">
        <is>
          <t>same-day cluster x3; C-suite buyer; $6.4M top buyer</t>
        </is>
      </c>
      <c r="M20" s="16" t="inlineStr">
        <is>
          <t>P/B 0.73 · EV/EBITDA 10.1× · net debt 57% of mcap · op margin 85%  [FCF yield &gt;100% (check); revenue not comparable YoY (fair-value / one-off income?)]</t>
        </is>
      </c>
    </row>
    <row r="21" ht="24" customHeight="1">
      <c r="A21" s="6" t="inlineStr">
        <is>
          <t>HUBS</t>
        </is>
      </c>
      <c r="B21" s="14" t="inlineStr">
        <is>
          <t>HubSpot, Inc.</t>
        </is>
      </c>
      <c r="C21" s="14" t="inlineStr">
        <is>
          <t>P/B 7.00 · 38.5× EBITDA · cash 9% · 52w 16%</t>
        </is>
      </c>
      <c r="D21" s="14" t="n">
        <v>89</v>
      </c>
      <c r="E21" s="27" t="n">
        <v>39</v>
      </c>
      <c r="F21" s="27" t="n">
        <v>3</v>
      </c>
      <c r="G21" s="27" t="n">
        <v>3</v>
      </c>
      <c r="H21" s="13" t="n">
        <v>3</v>
      </c>
      <c r="I21" s="27" t="n">
        <v>2</v>
      </c>
      <c r="J21" s="13" t="n">
        <v>2.59</v>
      </c>
      <c r="K21" s="13" t="n">
        <v>1.81</v>
      </c>
      <c r="L21" s="14" t="inlineStr">
        <is>
          <t>same-day cluster x3; 2 C-suite buyers; $1.8M top buyer</t>
        </is>
      </c>
      <c r="M21" s="14" t="inlineStr">
        <is>
          <t>P/B 7.00 · EV/EBITDA 38.5× · FCF yld 7% · net cash 9% of mcap · rev +21% · op margin 4% · buying back 4%/yr</t>
        </is>
      </c>
    </row>
    <row r="22" ht="24" customHeight="1">
      <c r="A22" s="8" t="inlineStr">
        <is>
          <t>XRN</t>
        </is>
      </c>
      <c r="B22" s="16" t="inlineStr">
        <is>
          <t>Chiron Real Estate Inc.</t>
        </is>
      </c>
      <c r="C22" s="16" t="inlineStr">
        <is>
          <t>P/B 0.72 · 6.9× EBITDA · debt 132% · 52w 71%</t>
        </is>
      </c>
      <c r="D22" s="16" t="n">
        <v>87</v>
      </c>
      <c r="E22" s="28" t="n">
        <v>38</v>
      </c>
      <c r="F22" s="28" t="n">
        <v>9</v>
      </c>
      <c r="G22" s="28" t="n">
        <v>9</v>
      </c>
      <c r="H22" s="15" t="n">
        <v>3</v>
      </c>
      <c r="I22" s="28" t="n">
        <v>3</v>
      </c>
      <c r="J22" s="15" t="n">
        <v>0.62</v>
      </c>
      <c r="K22" s="15" t="n">
        <v>0.17</v>
      </c>
      <c r="L22" s="16" t="inlineStr">
        <is>
          <t>same-day cluster x3; 9 insiders in 4d; 3 C-suite buyers</t>
        </is>
      </c>
      <c r="M22" s="16" t="inlineStr">
        <is>
          <t>P/B 0.72 · EV/EBITDA 6.9× · FCF yld -40% · net debt 132% of mcap · rev +6% · op margin 25% · interest cover 1.1× ⚠</t>
        </is>
      </c>
    </row>
    <row r="23" ht="24" customHeight="1">
      <c r="A23" s="6" t="inlineStr">
        <is>
          <t>GRNT</t>
        </is>
      </c>
      <c r="B23" s="14" t="inlineStr">
        <is>
          <t>Granite Ridge Resources, I</t>
        </is>
      </c>
      <c r="C23" s="14" t="inlineStr">
        <is>
          <t>P/B 1.07 · 6.8× EBITDA · debt 69% · 52w 20%</t>
        </is>
      </c>
      <c r="D23" s="14" t="n">
        <v>87</v>
      </c>
      <c r="E23" s="27" t="n">
        <v>38</v>
      </c>
      <c r="F23" s="27" t="n">
        <v>5</v>
      </c>
      <c r="G23" s="27" t="n">
        <v>5</v>
      </c>
      <c r="H23" s="13" t="n">
        <v>3</v>
      </c>
      <c r="I23" s="27" t="n">
        <v>2</v>
      </c>
      <c r="J23" s="13" t="n">
        <v>0.41</v>
      </c>
      <c r="K23" s="13" t="n">
        <v>0.15</v>
      </c>
      <c r="L23" s="14" t="inlineStr">
        <is>
          <t>same-day cluster x3; 5 insiders in 1d; 2 C-suite buyers</t>
        </is>
      </c>
      <c r="M23" s="14" t="inlineStr">
        <is>
          <t>P/B 1.07 · EV/EBITDA 6.8× · FCF yld -13% · net debt 69% of mcap · rev +15% · op margin 19%</t>
        </is>
      </c>
    </row>
    <row r="24" ht="24" customHeight="1">
      <c r="A24" s="8" t="inlineStr">
        <is>
          <t>EVTC</t>
        </is>
      </c>
      <c r="B24" s="16" t="inlineStr">
        <is>
          <t>Evertec, Inc.</t>
        </is>
      </c>
      <c r="C24" s="16" t="inlineStr">
        <is>
          <t>P/B 2.65 · 7.7× EBITDA · debt 63% · 52w 45%</t>
        </is>
      </c>
      <c r="D24" s="16" t="n">
        <v>87</v>
      </c>
      <c r="E24" s="28" t="n">
        <v>38</v>
      </c>
      <c r="F24" s="28" t="n">
        <v>4</v>
      </c>
      <c r="G24" s="28" t="n">
        <v>4</v>
      </c>
      <c r="H24" s="15" t="n">
        <v>2</v>
      </c>
      <c r="I24" s="28" t="n">
        <v>2</v>
      </c>
      <c r="J24" s="15" t="n">
        <v>1.82</v>
      </c>
      <c r="K24" s="15" t="n">
        <v>0.49</v>
      </c>
      <c r="L24" s="16" t="inlineStr">
        <is>
          <t>same-day cluster x2; 4 insiders in 1d; 2 C-suite buyers</t>
        </is>
      </c>
      <c r="M24" s="16" t="inlineStr">
        <is>
          <t>P/B 2.65 · EV/EBITDA 7.7× · FCF yld 11% · net debt 63% of mcap · rev +12% · op margin 18% · buying back 5%/yr</t>
        </is>
      </c>
    </row>
    <row r="25" ht="24" customHeight="1">
      <c r="A25" s="6" t="inlineStr">
        <is>
          <t>VSNT</t>
        </is>
      </c>
      <c r="B25" s="14" t="inlineStr">
        <is>
          <t>Versant Media Group, Inc.</t>
        </is>
      </c>
      <c r="C25" s="14" t="inlineStr">
        <is>
          <t>P/B 0.58 · 2.8× EBITDA · debt 31% · 52w 19%</t>
        </is>
      </c>
      <c r="D25" s="14" t="n">
        <v>85</v>
      </c>
      <c r="E25" s="27" t="n">
        <v>37</v>
      </c>
      <c r="F25" s="27" t="n">
        <v>4</v>
      </c>
      <c r="G25" s="27" t="n">
        <v>4</v>
      </c>
      <c r="H25" s="13" t="n">
        <v>2</v>
      </c>
      <c r="I25" s="27" t="n">
        <v>0</v>
      </c>
      <c r="J25" s="13" t="n">
        <v>6.19</v>
      </c>
      <c r="K25" s="13" t="n">
        <v>5.27</v>
      </c>
      <c r="L25" s="14" t="inlineStr">
        <is>
          <t>same-day cluster x2; 4 insiders in 7d; $5.3M top buyer</t>
        </is>
      </c>
      <c r="M25" s="14" t="inlineStr">
        <is>
          <t>P/B 0.58 · EV/EBITDA 2.8× · FCF yld 49% · net debt 31% of mcap · op margin 19%</t>
        </is>
      </c>
    </row>
    <row r="26" ht="24" customHeight="1">
      <c r="A26" s="8" t="inlineStr">
        <is>
          <t>LW</t>
        </is>
      </c>
      <c r="B26" s="16" t="inlineStr">
        <is>
          <t>Lamb Weston Holdings, Inc.</t>
        </is>
      </c>
      <c r="C26" s="16" t="inlineStr">
        <is>
          <t>P/B 3.41 · 10.3× EBITDA · debt 64% · 52w 26%</t>
        </is>
      </c>
      <c r="D26" s="16" t="n">
        <v>85</v>
      </c>
      <c r="E26" s="28" t="n">
        <v>36</v>
      </c>
      <c r="F26" s="28" t="n">
        <v>4</v>
      </c>
      <c r="G26" s="28" t="n">
        <v>4</v>
      </c>
      <c r="H26" s="15" t="n">
        <v>1</v>
      </c>
      <c r="I26" s="28" t="n">
        <v>1</v>
      </c>
      <c r="J26" s="15" t="n">
        <v>16.98</v>
      </c>
      <c r="K26" s="15" t="n">
        <v>16.07</v>
      </c>
      <c r="L26" s="16" t="inlineStr">
        <is>
          <t>4 insiders in 21d; C-suite buyer; $16.1M top buyer</t>
        </is>
      </c>
      <c r="M26" s="16" t="inlineStr">
        <is>
          <t>P/B 3.41 · EV/EBITDA 10.3× · FCF yld 10% · net debt 64% of mcap · rev +2% · op margin 9% · buying back 3%/yr</t>
        </is>
      </c>
    </row>
    <row r="27" ht="24" customHeight="1">
      <c r="A27" s="6" t="inlineStr">
        <is>
          <t>NKE</t>
        </is>
      </c>
      <c r="B27" s="14" t="inlineStr">
        <is>
          <t>Nike, Inc.</t>
        </is>
      </c>
      <c r="C27" s="14" t="inlineStr">
        <is>
          <t>P/B 3.80 · 12.1× EBITDA · debt 6% · 52w 2%</t>
        </is>
      </c>
      <c r="D27" s="14" t="n">
        <v>84</v>
      </c>
      <c r="E27" s="27" t="n">
        <v>35</v>
      </c>
      <c r="F27" s="27" t="n">
        <v>4</v>
      </c>
      <c r="G27" s="27" t="n">
        <v>4</v>
      </c>
      <c r="H27" s="13" t="n">
        <v>2</v>
      </c>
      <c r="I27" s="27" t="n">
        <v>1</v>
      </c>
      <c r="J27" s="13" t="n">
        <v>3.73</v>
      </c>
      <c r="K27" s="13" t="n">
        <v>2</v>
      </c>
      <c r="L27" s="14" t="inlineStr">
        <is>
          <t>same-day cluster x2; 4 insiders in 6d; C-suite buyer; $2.0M top buyer</t>
        </is>
      </c>
      <c r="M27" s="14" t="inlineStr">
        <is>
          <t>P/B 3.80 · EV/EBITDA 12.1× · FCF yld 4% · net debt 6% of mcap · rev -5% · op margin 8%</t>
        </is>
      </c>
    </row>
    <row r="28" ht="24" customHeight="1">
      <c r="A28" s="8" t="inlineStr">
        <is>
          <t>GSHD</t>
        </is>
      </c>
      <c r="B28" s="16" t="inlineStr">
        <is>
          <t>Goosehead Insurance, Inc.</t>
        </is>
      </c>
      <c r="C28" s="16" t="inlineStr">
        <is>
          <t>P/E 30.7 · 52w 23%</t>
        </is>
      </c>
      <c r="D28" s="16" t="n">
        <v>83</v>
      </c>
      <c r="E28" s="28" t="n">
        <v>34</v>
      </c>
      <c r="F28" s="28" t="n">
        <v>4</v>
      </c>
      <c r="G28" s="28" t="n">
        <v>4</v>
      </c>
      <c r="H28" s="15" t="n">
        <v>2</v>
      </c>
      <c r="I28" s="28" t="n">
        <v>3</v>
      </c>
      <c r="J28" s="15" t="n">
        <v>0.5600000000000001</v>
      </c>
      <c r="K28" s="15" t="n">
        <v>0.18</v>
      </c>
      <c r="L28" s="16" t="inlineStr">
        <is>
          <t>same-day cluster x2; 4 insiders in 17d; 3 C-suite buyers</t>
        </is>
      </c>
      <c r="M28" s="16" t="inlineStr">
        <is>
          <t>P/E 30.7 · ROE -33% · buying back 6%/yr (financial: book/earnings basis)  [negative equity]</t>
        </is>
      </c>
    </row>
    <row r="29" ht="24" customHeight="1">
      <c r="A29" s="6" t="inlineStr">
        <is>
          <t>STRT</t>
        </is>
      </c>
      <c r="B29" s="14" t="inlineStr">
        <is>
          <t>STRATTEC SECURITY CORPORAT</t>
        </is>
      </c>
      <c r="C29" s="14" t="inlineStr">
        <is>
          <t>P/B 1.16 · 4.1× EBITDA · cash 38% · 52w 27%</t>
        </is>
      </c>
      <c r="D29" s="14" t="n">
        <v>82</v>
      </c>
      <c r="E29" s="27" t="n">
        <v>33</v>
      </c>
      <c r="F29" s="27" t="n">
        <v>3</v>
      </c>
      <c r="G29" s="27" t="n">
        <v>3</v>
      </c>
      <c r="H29" s="13" t="n">
        <v>3</v>
      </c>
      <c r="I29" s="27" t="n">
        <v>2</v>
      </c>
      <c r="J29" s="13" t="n">
        <v>0.29</v>
      </c>
      <c r="K29" s="13" t="n">
        <v>0.13</v>
      </c>
      <c r="L29" s="14" t="inlineStr">
        <is>
          <t>same-day cluster x3; 2 C-suite buyers</t>
        </is>
      </c>
      <c r="M29" s="14" t="inlineStr">
        <is>
          <t>P/B 1.16 · EV/EBITDA 4.1× · FCF yld 14% · net cash 38% of mcap · rev +6% · op margin 5%</t>
        </is>
      </c>
    </row>
    <row r="30" ht="24" customHeight="1">
      <c r="A30" s="8" t="inlineStr">
        <is>
          <t>INSE</t>
        </is>
      </c>
      <c r="B30" s="16" t="inlineStr">
        <is>
          <t>Inspired Entertainment, In</t>
        </is>
      </c>
      <c r="C30" s="16" t="inlineStr">
        <is>
          <t>4.4× EBITDA · 52w 0%</t>
        </is>
      </c>
      <c r="D30" s="16" t="n">
        <v>82</v>
      </c>
      <c r="E30" s="28" t="n">
        <v>33</v>
      </c>
      <c r="F30" s="28" t="n">
        <v>3</v>
      </c>
      <c r="G30" s="28" t="n">
        <v>3</v>
      </c>
      <c r="H30" s="15" t="n">
        <v>3</v>
      </c>
      <c r="I30" s="28" t="n">
        <v>2</v>
      </c>
      <c r="J30" s="15" t="n">
        <v>0.55</v>
      </c>
      <c r="K30" s="15" t="n">
        <v>0.34</v>
      </c>
      <c r="L30" s="16" t="inlineStr">
        <is>
          <t>same-day cluster x3; 2 C-suite buyers</t>
        </is>
      </c>
      <c r="M30" s="16" t="inlineStr">
        <is>
          <t>EV/EBITDA 4.4× · FCF yld 6% · rev -6% · op margin 17%  [negative equity]</t>
        </is>
      </c>
    </row>
    <row r="31" ht="24" customHeight="1">
      <c r="A31" s="6" t="inlineStr">
        <is>
          <t>TSM</t>
        </is>
      </c>
      <c r="B31" s="14" t="inlineStr">
        <is>
          <t>Taiwan Semiconductor Manuf</t>
        </is>
      </c>
      <c r="C31" s="14" t="inlineStr">
        <is>
          <t>P/B 11.49 · 19.2× EBITDA · cash 3% · 52w 86%</t>
        </is>
      </c>
      <c r="D31" s="14" t="n">
        <v>81</v>
      </c>
      <c r="E31" s="27" t="n">
        <v>30.2</v>
      </c>
      <c r="F31" s="27" t="n">
        <v>28</v>
      </c>
      <c r="G31" s="27" t="n">
        <v>28</v>
      </c>
      <c r="H31" s="13" t="n">
        <v>28</v>
      </c>
      <c r="I31" s="27" t="n">
        <v>6</v>
      </c>
      <c r="J31" s="13" t="n">
        <v>0.12</v>
      </c>
      <c r="K31" s="13" t="n">
        <v>0.01</v>
      </c>
      <c r="L31" s="14" t="inlineStr">
        <is>
          <t>same-day cluster x28; 6 C-suite buyers</t>
        </is>
      </c>
      <c r="M31" s="14" t="inlineStr">
        <is>
          <t>P/B 11.49 · EV/EBITDA 19.2× · FCF yld 2% · net cash 3% of mcap · rev +31% · op margin 56%</t>
        </is>
      </c>
    </row>
    <row r="32" ht="24" customHeight="1">
      <c r="A32" s="8" t="inlineStr">
        <is>
          <t>PLSE</t>
        </is>
      </c>
      <c r="B32" s="16" t="inlineStr">
        <is>
          <t>Pulse Biosciences, Inc</t>
        </is>
      </c>
      <c r="C32" s="16" t="inlineStr">
        <is>
          <t>P/B 37.22 · cash 3% · 52w 88%</t>
        </is>
      </c>
      <c r="D32" s="16" t="n">
        <v>80</v>
      </c>
      <c r="E32" s="28" t="n">
        <v>30</v>
      </c>
      <c r="F32" s="28" t="n">
        <v>2</v>
      </c>
      <c r="G32" s="28" t="n">
        <v>2</v>
      </c>
      <c r="H32" s="15" t="n">
        <v>2</v>
      </c>
      <c r="I32" s="28" t="n">
        <v>1</v>
      </c>
      <c r="J32" s="15" t="n">
        <v>26.59</v>
      </c>
      <c r="K32" s="15" t="n">
        <v>26</v>
      </c>
      <c r="L32" s="16" t="inlineStr">
        <is>
          <t>same-day cluster x2; C-suite buyer; $26.0M top buyer</t>
        </is>
      </c>
      <c r="M32" s="16" t="inlineStr">
        <is>
          <t>P/B 37.22 · P/S 3065.1 · FCF yld -2% · net cash 3% of mcap · diluting 3%/yr</t>
        </is>
      </c>
    </row>
    <row r="33" ht="24" customHeight="1">
      <c r="A33" s="6" t="inlineStr">
        <is>
          <t>AGBK</t>
        </is>
      </c>
      <c r="B33" s="14" t="inlineStr">
        <is>
          <t>AGI Inc</t>
        </is>
      </c>
      <c r="C33" s="14" t="inlineStr">
        <is>
          <t>P/B 1.04 · P/E 7.3 · 52w 1%</t>
        </is>
      </c>
      <c r="D33" s="14" t="n">
        <v>80</v>
      </c>
      <c r="E33" s="27" t="n">
        <v>30</v>
      </c>
      <c r="F33" s="27" t="n">
        <v>4</v>
      </c>
      <c r="G33" s="27" t="n">
        <v>4</v>
      </c>
      <c r="H33" s="13" t="n">
        <v>2</v>
      </c>
      <c r="I33" s="27" t="n">
        <v>3</v>
      </c>
      <c r="J33" s="13" t="n">
        <v>0.21</v>
      </c>
      <c r="K33" s="13" t="n">
        <v>0.2</v>
      </c>
      <c r="L33" s="14" t="inlineStr">
        <is>
          <t>same-day cluster x2; 4 insiders in 3d; 3 C-suite buyers</t>
        </is>
      </c>
      <c r="M33" s="14" t="inlineStr">
        <is>
          <t>P/B 1.04 · P/E 7.3 · ROE 21% (financial: book/earnings basis)</t>
        </is>
      </c>
    </row>
    <row r="34" ht="24" customHeight="1">
      <c r="A34" s="8" t="inlineStr">
        <is>
          <t>AVBC</t>
        </is>
      </c>
      <c r="B34" s="16" t="inlineStr">
        <is>
          <t>Avidia Bancorp, Inc.</t>
        </is>
      </c>
      <c r="C34" s="16" t="inlineStr">
        <is>
          <t>P/B 1.12 · P/E 22.7 · 52w 86%</t>
        </is>
      </c>
      <c r="D34" s="16" t="n">
        <v>79</v>
      </c>
      <c r="E34" s="28" t="n">
        <v>29.2</v>
      </c>
      <c r="F34" s="28" t="n">
        <v>3</v>
      </c>
      <c r="G34" s="28" t="n">
        <v>3</v>
      </c>
      <c r="H34" s="15" t="n">
        <v>3</v>
      </c>
      <c r="I34" s="28" t="n">
        <v>2</v>
      </c>
      <c r="J34" s="15" t="n">
        <v>0.21</v>
      </c>
      <c r="K34" s="15" t="n">
        <v>0.1</v>
      </c>
      <c r="L34" s="16" t="inlineStr">
        <is>
          <t>same-day cluster x3; 3 insiders in 4d; 2 C-suite buyers</t>
        </is>
      </c>
      <c r="M34" s="16" t="inlineStr">
        <is>
          <t>P/B 1.12 · P/E 22.7 · ROE 5% · div yld 0.7% · buying back 7%/yr (financial: book/earnings basis)</t>
        </is>
      </c>
    </row>
    <row r="35" ht="24" customHeight="1">
      <c r="A35" s="6" t="inlineStr">
        <is>
          <t>PSN</t>
        </is>
      </c>
      <c r="B35" s="14" t="inlineStr">
        <is>
          <t>Parsons Corporation</t>
        </is>
      </c>
      <c r="C35" s="14" t="inlineStr">
        <is>
          <t>P/B 1.80 · 15.3× EBITDA · debt 29% · 52w 15%</t>
        </is>
      </c>
      <c r="D35" s="14" t="n">
        <v>78</v>
      </c>
      <c r="E35" s="27" t="n">
        <v>28</v>
      </c>
      <c r="F35" s="27" t="n">
        <v>4</v>
      </c>
      <c r="G35" s="27" t="n">
        <v>4</v>
      </c>
      <c r="H35" s="13" t="n">
        <v>1</v>
      </c>
      <c r="I35" s="27" t="n">
        <v>1</v>
      </c>
      <c r="J35" s="13" t="n">
        <v>2.13</v>
      </c>
      <c r="K35" s="13" t="n">
        <v>0.62</v>
      </c>
      <c r="L35" s="14" t="inlineStr">
        <is>
          <t>4 insiders in 3d; C-suite buyer</t>
        </is>
      </c>
      <c r="M35" s="14" t="inlineStr">
        <is>
          <t>P/B 1.80 · EV/EBITDA 15.3× · FCF yld 7% · net debt 29% of mcap · rev -6% · op margin 5%</t>
        </is>
      </c>
    </row>
    <row r="36" ht="24" customHeight="1">
      <c r="A36" s="8" t="inlineStr">
        <is>
          <t>TXO</t>
        </is>
      </c>
      <c r="B36" s="16" t="inlineStr">
        <is>
          <t>TXO Partners, L.P.</t>
        </is>
      </c>
      <c r="C36" s="16" t="inlineStr">
        <is>
          <t>P/B 1.22 · 11.2× EBITDA · debt 29% · 52w 76%</t>
        </is>
      </c>
      <c r="D36" s="16" t="n">
        <v>74</v>
      </c>
      <c r="E36" s="28" t="n">
        <v>27</v>
      </c>
      <c r="F36" s="28" t="n">
        <v>2</v>
      </c>
      <c r="G36" s="28" t="n">
        <v>2</v>
      </c>
      <c r="H36" s="15" t="n">
        <v>2</v>
      </c>
      <c r="I36" s="28" t="n">
        <v>0</v>
      </c>
      <c r="J36" s="15" t="n">
        <v>13.49</v>
      </c>
      <c r="K36" s="15" t="n">
        <v>13.37</v>
      </c>
      <c r="L36" s="16" t="inlineStr">
        <is>
          <t>same-day cluster x2; $13.4M top buyer</t>
        </is>
      </c>
      <c r="M36" s="16" t="inlineStr">
        <is>
          <t>P/B 1.22 · EV/EBITDA 11.2× · FCF yld -14% · net debt 29% of mcap · rev +25% · op margin 2% · diluting 18%/yr · interest cover 0.2× ⚠</t>
        </is>
      </c>
    </row>
    <row r="37" ht="24" customHeight="1">
      <c r="A37" s="6" t="inlineStr">
        <is>
          <t>AAT</t>
        </is>
      </c>
      <c r="B37" s="14" t="inlineStr">
        <is>
          <t>American Assets Trust, Inc</t>
        </is>
      </c>
      <c r="C37" s="14" t="inlineStr">
        <is>
          <t>P/B 1.19 · 12.6× EBITDA · debt 121% · 52w 48%</t>
        </is>
      </c>
      <c r="D37" s="14" t="n">
        <v>74</v>
      </c>
      <c r="E37" s="27" t="n">
        <v>27</v>
      </c>
      <c r="F37" s="27" t="n">
        <v>1</v>
      </c>
      <c r="G37" s="27" t="n">
        <v>1</v>
      </c>
      <c r="H37" s="13" t="n">
        <v>1</v>
      </c>
      <c r="I37" s="27" t="n">
        <v>1</v>
      </c>
      <c r="J37" s="13" t="n">
        <v>3.59</v>
      </c>
      <c r="K37" s="13" t="n">
        <v>3.59</v>
      </c>
      <c r="L37" s="14" t="inlineStr">
        <is>
          <t>C-suite buyer; $3.6M top buyer</t>
        </is>
      </c>
      <c r="M37" s="14" t="inlineStr">
        <is>
          <t>P/B 1.19 · EV/EBITDA 12.6× · FCF yld 7% · net debt 121% of mcap · rev -3% · op margin 23% · interest cover 1.3× ⚠</t>
        </is>
      </c>
    </row>
    <row r="38" ht="24" customHeight="1">
      <c r="A38" s="8" t="inlineStr">
        <is>
          <t>BH</t>
        </is>
      </c>
      <c r="B38" s="16" t="inlineStr">
        <is>
          <t>Biglari Holdings Inc.</t>
        </is>
      </c>
      <c r="C38" s="16" t="inlineStr">
        <is>
          <t>P/B 1.98 · 60.5× EBITDA · debt 21% · 52w 43%</t>
        </is>
      </c>
      <c r="D38" s="16" t="n">
        <v>74</v>
      </c>
      <c r="E38" s="28" t="n">
        <v>27</v>
      </c>
      <c r="F38" s="28" t="n">
        <v>1</v>
      </c>
      <c r="G38" s="28" t="n">
        <v>1</v>
      </c>
      <c r="H38" s="15" t="n">
        <v>1</v>
      </c>
      <c r="I38" s="28" t="n">
        <v>1</v>
      </c>
      <c r="J38" s="15" t="n">
        <v>13.44</v>
      </c>
      <c r="K38" s="15" t="n">
        <v>13.44</v>
      </c>
      <c r="L38" s="16" t="inlineStr">
        <is>
          <t>C-suite buyer; $13.4M top buyer</t>
        </is>
      </c>
      <c r="M38" s="16" t="inlineStr">
        <is>
          <t>P/B 1.98 · EV/EBITDA 60.5× · FCF yld 5% · net debt 21% of mcap · rev +8% · op margin 10%</t>
        </is>
      </c>
    </row>
    <row r="39" ht="24" customHeight="1">
      <c r="A39" s="6" t="inlineStr">
        <is>
          <t>ALKT</t>
        </is>
      </c>
      <c r="B39" s="14" t="inlineStr">
        <is>
          <t>Alkami Technology, Inc.</t>
        </is>
      </c>
      <c r="C39" s="14" t="inlineStr">
        <is>
          <t>P/B 4.33 · debt 18% · 52w 6%</t>
        </is>
      </c>
      <c r="D39" s="14" t="n">
        <v>74</v>
      </c>
      <c r="E39" s="27" t="n">
        <v>27</v>
      </c>
      <c r="F39" s="27" t="n">
        <v>2</v>
      </c>
      <c r="G39" s="27" t="n">
        <v>2</v>
      </c>
      <c r="H39" s="13" t="n">
        <v>2</v>
      </c>
      <c r="I39" s="27" t="n">
        <v>0</v>
      </c>
      <c r="J39" s="13" t="n">
        <v>65.86</v>
      </c>
      <c r="K39" s="13" t="n">
        <v>32.93</v>
      </c>
      <c r="L39" s="14" t="inlineStr">
        <is>
          <t>same-day cluster x2; $32.9M top buyer</t>
        </is>
      </c>
      <c r="M39" s="14" t="inlineStr">
        <is>
          <t>P/B 4.33 · P/S 3.2 · FCF yld 4% · net debt 18% of mcap · rev +27% · op margin -7% · diluting 3%/yr · interest cover -3.6× ⚠</t>
        </is>
      </c>
    </row>
    <row r="40" ht="24" customHeight="1">
      <c r="A40" s="8" t="inlineStr">
        <is>
          <t>COE</t>
        </is>
      </c>
      <c r="B40" s="16" t="inlineStr">
        <is>
          <t>51Talk Online Education Gr</t>
        </is>
      </c>
      <c r="C40" s="16" t="inlineStr">
        <is>
          <t>52w 4%</t>
        </is>
      </c>
      <c r="D40" s="16" t="n">
        <v>74</v>
      </c>
      <c r="E40" s="28" t="n">
        <v>27</v>
      </c>
      <c r="F40" s="28" t="n">
        <v>1</v>
      </c>
      <c r="G40" s="28" t="n">
        <v>1</v>
      </c>
      <c r="H40" s="15" t="n">
        <v>1</v>
      </c>
      <c r="I40" s="28" t="n">
        <v>1</v>
      </c>
      <c r="J40" s="15" t="n">
        <v>7.77</v>
      </c>
      <c r="K40" s="15" t="n">
        <v>7.77</v>
      </c>
      <c r="L40" s="16" t="inlineStr">
        <is>
          <t>C-suite buyer; $7.8M top buyer</t>
        </is>
      </c>
      <c r="M40" s="16" t="inlineStr">
        <is>
          <t>P/S 0.6 · FCF yld 14% · rev +75% · op margin -11% · diluting 2%/yr  [negative equity]</t>
        </is>
      </c>
    </row>
    <row r="41" ht="24" customHeight="1">
      <c r="A41" s="6" t="inlineStr">
        <is>
          <t>OLED</t>
        </is>
      </c>
      <c r="B41" s="14" t="inlineStr">
        <is>
          <t>Universal Display Corporat</t>
        </is>
      </c>
      <c r="C41" s="14" t="inlineStr">
        <is>
          <t>P/B 2.12 · 13.3× EBITDA · cash 13% · 52w 3%</t>
        </is>
      </c>
      <c r="D41" s="14" t="n">
        <v>74</v>
      </c>
      <c r="E41" s="27" t="n">
        <v>27</v>
      </c>
      <c r="F41" s="27" t="n">
        <v>3</v>
      </c>
      <c r="G41" s="27" t="n">
        <v>3</v>
      </c>
      <c r="H41" s="13" t="n">
        <v>2</v>
      </c>
      <c r="I41" s="27" t="n">
        <v>1</v>
      </c>
      <c r="J41" s="13" t="n">
        <v>1.47</v>
      </c>
      <c r="K41" s="13" t="n">
        <v>1.03</v>
      </c>
      <c r="L41" s="14" t="inlineStr">
        <is>
          <t>same-day cluster x2; 3 insiders in 2d; C-suite buyer; $1.0M top buyer</t>
        </is>
      </c>
      <c r="M41" s="14" t="inlineStr">
        <is>
          <t>P/B 2.12 · EV/EBITDA 13.3× · FCF yld 5% · net cash 13% of mcap · rev -8% · op margin 34% · buying back 2%/yr</t>
        </is>
      </c>
    </row>
    <row r="42" ht="24" customHeight="1">
      <c r="A42" s="8" t="inlineStr">
        <is>
          <t>WCN</t>
        </is>
      </c>
      <c r="B42" s="16" t="inlineStr">
        <is>
          <t>Waste Connections, Inc.</t>
        </is>
      </c>
      <c r="C42" s="16" t="inlineStr">
        <is>
          <t>P/B 4.92 · 15.7× EBITDA · debt 24% · 52w 24%</t>
        </is>
      </c>
      <c r="D42" s="16" t="n">
        <v>74</v>
      </c>
      <c r="E42" s="28" t="n">
        <v>27</v>
      </c>
      <c r="F42" s="28" t="n">
        <v>1</v>
      </c>
      <c r="G42" s="28" t="n">
        <v>1</v>
      </c>
      <c r="H42" s="15" t="n">
        <v>1</v>
      </c>
      <c r="I42" s="28" t="n">
        <v>1</v>
      </c>
      <c r="J42" s="15" t="n">
        <v>7.61</v>
      </c>
      <c r="K42" s="15" t="n">
        <v>7.61</v>
      </c>
      <c r="L42" s="16" t="inlineStr">
        <is>
          <t>C-suite buyer; $7.6M top buyer</t>
        </is>
      </c>
      <c r="M42" s="16" t="inlineStr">
        <is>
          <t>P/B 4.92 · EV/EBITDA 15.7× · FCF yld 5% · net debt 24% of mcap · rev +6% · op margin 17%</t>
        </is>
      </c>
    </row>
    <row r="43" ht="24" customHeight="1">
      <c r="A43" s="6" t="inlineStr">
        <is>
          <t>PAM</t>
        </is>
      </c>
      <c r="B43" s="14" t="inlineStr">
        <is>
          <t>Pampa Energía S.A.</t>
        </is>
      </c>
      <c r="C43" s="14" t="inlineStr">
        <is>
          <t>P/B 1.09 · 5.6× EBITDA · debt 31% · 52w 63%</t>
        </is>
      </c>
      <c r="D43" s="14" t="n">
        <v>74</v>
      </c>
      <c r="E43" s="27" t="n">
        <v>27</v>
      </c>
      <c r="F43" s="27" t="n">
        <v>1</v>
      </c>
      <c r="G43" s="27" t="n">
        <v>1</v>
      </c>
      <c r="H43" s="13" t="n">
        <v>1</v>
      </c>
      <c r="I43" s="27" t="n">
        <v>1</v>
      </c>
      <c r="J43" s="13" t="n">
        <v>4.06</v>
      </c>
      <c r="K43" s="13" t="n">
        <v>4.06</v>
      </c>
      <c r="L43" s="14" t="inlineStr">
        <is>
          <t>C-suite buyer; $4.1M top buyer</t>
        </is>
      </c>
      <c r="M43" s="14" t="inlineStr">
        <is>
          <t>P/B 1.09 · EV/EBITDA 5.6× · FCF yld -9% · net debt 31% of mcap · rev +23% · op margin 21%</t>
        </is>
      </c>
    </row>
    <row r="44" ht="24" customHeight="1">
      <c r="A44" s="8" t="inlineStr">
        <is>
          <t>CHTR</t>
        </is>
      </c>
      <c r="B44" s="16" t="inlineStr">
        <is>
          <t>Charter Communications, In</t>
        </is>
      </c>
      <c r="C44" s="16" t="inlineStr">
        <is>
          <t>P/B 0.94 · 5.6× EBITDA · debt 604% · 52w 4%</t>
        </is>
      </c>
      <c r="D44" s="16" t="n">
        <v>74</v>
      </c>
      <c r="E44" s="28" t="n">
        <v>27</v>
      </c>
      <c r="F44" s="28" t="n">
        <v>3</v>
      </c>
      <c r="G44" s="28" t="n">
        <v>3</v>
      </c>
      <c r="H44" s="15" t="n">
        <v>2</v>
      </c>
      <c r="I44" s="28" t="n">
        <v>1</v>
      </c>
      <c r="J44" s="15" t="n">
        <v>2.37</v>
      </c>
      <c r="K44" s="15" t="n">
        <v>1.19</v>
      </c>
      <c r="L44" s="16" t="inlineStr">
        <is>
          <t>same-day cluster x2; 3 insiders in 1d; C-suite buyer; $1.2M top buyer</t>
        </is>
      </c>
      <c r="M44" s="16" t="inlineStr">
        <is>
          <t>P/B 0.94 · EV/EBITDA 5.6× · FCF yld 28% · net debt 604% of mcap · rev -1% · op margin 24% · buying back 14%/yr</t>
        </is>
      </c>
    </row>
    <row r="45" ht="24" customHeight="1">
      <c r="A45" s="6" t="inlineStr">
        <is>
          <t>QTTB</t>
        </is>
      </c>
      <c r="B45" s="14" t="inlineStr">
        <is>
          <t>Q32 Bio Inc.</t>
        </is>
      </c>
      <c r="C45" s="14" t="inlineStr">
        <is>
          <t>P/B 2.80 · 5.3× EBITDA · cash 34% · 52w 37%</t>
        </is>
      </c>
      <c r="D45" s="14" t="n">
        <v>74</v>
      </c>
      <c r="E45" s="27" t="n">
        <v>27</v>
      </c>
      <c r="F45" s="27" t="n">
        <v>2</v>
      </c>
      <c r="G45" s="27" t="n">
        <v>2</v>
      </c>
      <c r="H45" s="13" t="n">
        <v>2</v>
      </c>
      <c r="I45" s="27" t="n">
        <v>0</v>
      </c>
      <c r="J45" s="13" t="n">
        <v>30</v>
      </c>
      <c r="K45" s="13" t="n">
        <v>15</v>
      </c>
      <c r="L45" s="14" t="inlineStr">
        <is>
          <t>same-day cluster x2; $15.0M top buyer</t>
        </is>
      </c>
      <c r="M45" s="14" t="inlineStr">
        <is>
          <t>P/B 2.80 · EV/EBITDA 5.3× · FCF yld -7% · net cash 34% of mcap · op margin 40% · diluting 16%/yr</t>
        </is>
      </c>
    </row>
    <row r="46" ht="24" customHeight="1">
      <c r="A46" s="8" t="inlineStr">
        <is>
          <t>INFU</t>
        </is>
      </c>
      <c r="B46" s="16" t="inlineStr">
        <is>
          <t>InfuSystems Holdings, Inc.</t>
        </is>
      </c>
      <c r="C46" s="16" t="inlineStr">
        <is>
          <t>P/B 4.41 · 12.2× EBITDA · debt 9% · 52w 95%</t>
        </is>
      </c>
      <c r="D46" s="16" t="n">
        <v>70</v>
      </c>
      <c r="E46" s="28" t="n">
        <v>26.2</v>
      </c>
      <c r="F46" s="28" t="n">
        <v>3</v>
      </c>
      <c r="G46" s="28" t="n">
        <v>3</v>
      </c>
      <c r="H46" s="15" t="n">
        <v>3</v>
      </c>
      <c r="I46" s="28" t="n">
        <v>2</v>
      </c>
      <c r="J46" s="15" t="n">
        <v>0.13</v>
      </c>
      <c r="K46" s="15" t="n">
        <v>0.06</v>
      </c>
      <c r="L46" s="16" t="inlineStr">
        <is>
          <t>same-day cluster x3; 2 C-suite buyers</t>
        </is>
      </c>
      <c r="M46" s="16" t="inlineStr">
        <is>
          <t>P/B 4.41 · EV/EBITDA 12.2× · FCF yld 7% · net debt 9% of mcap · rev +2% · op margin 9%</t>
        </is>
      </c>
    </row>
    <row r="47" ht="24" customHeight="1">
      <c r="A47" s="6" t="inlineStr">
        <is>
          <t>NSPR</t>
        </is>
      </c>
      <c r="B47" s="14" t="inlineStr">
        <is>
          <t>InspireMD Inc.</t>
        </is>
      </c>
      <c r="C47" s="14" t="inlineStr">
        <is>
          <t>P/B 1.11 · cash 81% · 52w 6%</t>
        </is>
      </c>
      <c r="D47" s="14" t="n">
        <v>69</v>
      </c>
      <c r="E47" s="27" t="n">
        <v>26</v>
      </c>
      <c r="F47" s="27" t="n">
        <v>4</v>
      </c>
      <c r="G47" s="27" t="n">
        <v>4</v>
      </c>
      <c r="H47" s="13" t="n">
        <v>2</v>
      </c>
      <c r="I47" s="27" t="n">
        <v>1</v>
      </c>
      <c r="J47" s="13" t="n">
        <v>0.44</v>
      </c>
      <c r="K47" s="13" t="n">
        <v>0.21</v>
      </c>
      <c r="L47" s="14" t="inlineStr">
        <is>
          <t>same-day cluster x2; 4 insiders in 5d; C-suite buyer</t>
        </is>
      </c>
      <c r="M47" s="14" t="inlineStr">
        <is>
          <t>P/B 1.11 · P/S 3.1 · net cash 81% of mcap · rev +53% · op margin -494% · diluting 44%/yr  [FCF yield &gt;100% (check)]</t>
        </is>
      </c>
    </row>
    <row r="48" ht="24" customHeight="1">
      <c r="A48" s="8" t="inlineStr">
        <is>
          <t>MSCI</t>
        </is>
      </c>
      <c r="B48" s="16" t="inlineStr">
        <is>
          <t>MSCI Inc.</t>
        </is>
      </c>
      <c r="C48" s="16" t="inlineStr">
        <is>
          <t>P/E 30.6 · 52w 38%</t>
        </is>
      </c>
      <c r="D48" s="16" t="n">
        <v>69</v>
      </c>
      <c r="E48" s="28" t="n">
        <v>26</v>
      </c>
      <c r="F48" s="28" t="n">
        <v>2</v>
      </c>
      <c r="G48" s="28" t="n">
        <v>2</v>
      </c>
      <c r="H48" s="15" t="n">
        <v>1</v>
      </c>
      <c r="I48" s="28" t="n">
        <v>1</v>
      </c>
      <c r="J48" s="15" t="n">
        <v>5.56</v>
      </c>
      <c r="K48" s="15" t="n">
        <v>3.56</v>
      </c>
      <c r="L48" s="16" t="inlineStr">
        <is>
          <t>C-suite buyer; $3.6M top buyer</t>
        </is>
      </c>
      <c r="M48" s="16" t="inlineStr">
        <is>
          <t>P/E 30.6 · ROE -54% · div yld 1.4% · buying back 6%/yr (financial: book/earnings basis)  [negative equity]</t>
        </is>
      </c>
    </row>
    <row r="49" ht="24" customHeight="1">
      <c r="A49" s="6" t="inlineStr">
        <is>
          <t>ADT</t>
        </is>
      </c>
      <c r="B49" s="14" t="inlineStr">
        <is>
          <t>ADT Inc.</t>
        </is>
      </c>
      <c r="C49" s="14" t="inlineStr">
        <is>
          <t>P/B 1.47 · 4.6× EBITDA · debt 150% · 52w 5%</t>
        </is>
      </c>
      <c r="D49" s="14" t="n">
        <v>68</v>
      </c>
      <c r="E49" s="27" t="n">
        <v>25</v>
      </c>
      <c r="F49" s="27" t="n">
        <v>3</v>
      </c>
      <c r="G49" s="27" t="n">
        <v>3</v>
      </c>
      <c r="H49" s="13" t="n">
        <v>3</v>
      </c>
      <c r="I49" s="27" t="n">
        <v>1</v>
      </c>
      <c r="J49" s="13" t="n">
        <v>0.35</v>
      </c>
      <c r="K49" s="13" t="n">
        <v>0.25</v>
      </c>
      <c r="L49" s="14" t="inlineStr">
        <is>
          <t>same-day cluster x3; C-suite buyer</t>
        </is>
      </c>
      <c r="M49" s="14" t="inlineStr">
        <is>
          <t>P/B 1.47 · EV/EBITDA 4.6× · FCF yld 37% · net debt 150% of mcap · rev +2% · op margin 25% · buying back 11%/yr</t>
        </is>
      </c>
    </row>
    <row r="50"/>
    <row r="51" ht="28" customHeight="1">
      <c r="A51" s="17" t="inlineStr">
        <is>
          <t>139 names show scored discretionary buying (top 45 shown); 99 have a multi-insider cluster inside a 45-day window and 74 a same-day cluster. Population is Form 4 transaction code P only -- open-market cash purchases; grants (code A) and option exercises (code M) are excluded at the scanner, so every dollar here is discretionary. Cluster credit follows Lakonishok-Lee (temporal concentration, not raw count) and is scaled by aggregate dollars committed so filing artifacts cannot masquerade as conviction. Dollars are role-weighted (CEO/CFO 1.6x, Chair 1.5x, director 1.0x, 10% holder 0.6x); multiple C-suite buying together is the rarest and highest-signal configuration. This layer is additive and orthogonal to the raw Form 4 layer and the Cohen-Malloy opportunistic layer. Source: discretionary_insider_conviction.json.</t>
        </is>
      </c>
    </row>
  </sheetData>
  <mergeCells count="3">
    <mergeCell ref="A2:L2"/>
    <mergeCell ref="A51:L51"/>
    <mergeCell ref="A1:L1"/>
  </mergeCells>
  <conditionalFormatting sqref="D5:D51">
    <cfRule type="dataBar" priority="1">
      <dataBar showValue="1">
        <cfvo type="num" val="0"/>
        <cfvo type="num" val="100"/>
        <color rgb="009DB9D3"/>
      </dataBar>
    </cfRule>
  </conditionalFormatting>
  <hyperlinks>
    <hyperlink xmlns:r="http://schemas.openxmlformats.org/officeDocument/2006/relationships" ref="A10" r:id="rId1"/>
    <hyperlink xmlns:r="http://schemas.openxmlformats.org/officeDocument/2006/relationships" ref="A13" r:id="rId2"/>
    <hyperlink xmlns:r="http://schemas.openxmlformats.org/officeDocument/2006/relationships" ref="A20" r:id="rId3"/>
    <hyperlink xmlns:r="http://schemas.openxmlformats.org/officeDocument/2006/relationships" ref="A21" r:id="rId4"/>
    <hyperlink xmlns:r="http://schemas.openxmlformats.org/officeDocument/2006/relationships" ref="A25" r:id="rId5"/>
    <hyperlink xmlns:r="http://schemas.openxmlformats.org/officeDocument/2006/relationships" ref="A26" r:id="rId6"/>
    <hyperlink xmlns:r="http://schemas.openxmlformats.org/officeDocument/2006/relationships" ref="A28" r:id="rId7"/>
    <hyperlink xmlns:r="http://schemas.openxmlformats.org/officeDocument/2006/relationships" ref="A37" r:id="rId8"/>
    <hyperlink xmlns:r="http://schemas.openxmlformats.org/officeDocument/2006/relationships" ref="A39" r:id="rId9"/>
    <hyperlink xmlns:r="http://schemas.openxmlformats.org/officeDocument/2006/relationships" ref="A47" r:id="rId10"/>
    <hyperlink xmlns:r="http://schemas.openxmlformats.org/officeDocument/2006/relationships" ref="A49" r:id="rId11"/>
  </hyperlinks>
  <printOptions horizontalCentered="0"/>
  <pageMargins left="0.5" right="0.5" top="0.6" bottom="0.6" header="0.5" footer="0.5"/>
  <pageSetup orientation="landscape" fitToHeight="0" fitToWidth="1"/>
</worksheet>
</file>

<file path=xl/worksheets/sheet25.xml><?xml version="1.0" encoding="utf-8"?>
<worksheet xmlns="http://schemas.openxmlformats.org/spreadsheetml/2006/main">
  <sheetPr>
    <tabColor rgb="0070AD47"/>
    <outlinePr summaryBelow="1" summaryRight="1"/>
    <pageSetUpPr fitToPage="1"/>
  </sheetPr>
  <dimension ref="A1:L59"/>
  <sheetViews>
    <sheetView showGridLines="0" workbookViewId="0">
      <pane ySplit="4" topLeftCell="A5" activePane="bottomLeft" state="frozen"/>
      <selection pane="bottomLeft" activeCell="A1" sqref="A1"/>
    </sheetView>
  </sheetViews>
  <sheetFormatPr baseColWidth="8" defaultRowHeight="15"/>
  <cols>
    <col width="9" customWidth="1" min="1" max="1"/>
    <col width="26" customWidth="1" min="2" max="2"/>
    <col width="30" customWidth="1" min="3" max="3"/>
    <col width="9" customWidth="1" min="4" max="4"/>
    <col width="11" customWidth="1" min="5" max="5"/>
    <col width="11" customWidth="1" min="6" max="6"/>
    <col width="11" customWidth="1" min="7" max="7"/>
    <col width="8" customWidth="1" min="8" max="8"/>
    <col width="8" customWidth="1" min="9" max="9"/>
    <col width="11" customWidth="1" min="10" max="10"/>
    <col width="34" customWidth="1" min="11" max="11"/>
    <col width="62" customWidth="1" min="12" max="12"/>
  </cols>
  <sheetData>
    <row r="1" ht="26" customHeight="1">
      <c r="A1" s="1" t="inlineStr">
        <is>
          <t>Insider Filing-Time — quiet accumulators vs price support</t>
        </is>
      </c>
    </row>
    <row r="2" ht="18" customHeight="1">
      <c r="A2" s="20" t="inlineStr">
        <is>
          <t>Open-market buys by EDGAR acceptance time — off-hours = quiet accumulators (follow), market-hours = price support (fade). Tested: after-hours median +2.2% vs market-hours -11.4% (buy-to-now proxy, +13.5pp differential).</t>
        </is>
      </c>
      <c r="B2" s="19" t="n"/>
      <c r="C2" s="19" t="n"/>
      <c r="D2" s="19" t="n"/>
      <c r="E2" s="19" t="n"/>
      <c r="F2" s="19" t="n"/>
      <c r="G2" s="19" t="n"/>
      <c r="H2" s="19" t="n"/>
      <c r="I2" s="19" t="n"/>
      <c r="J2" s="19" t="n"/>
      <c r="K2" s="19" t="n"/>
    </row>
    <row r="3" ht="8" customHeight="1">
      <c r="D3" s="40" t="inlineStr">
        <is>
          <t>%ile vs all 245 names scored</t>
        </is>
      </c>
    </row>
    <row r="4" ht="18" customHeight="1">
      <c r="A4" s="12" t="inlineStr">
        <is>
          <t>Ticker</t>
        </is>
      </c>
      <c r="B4" s="12" t="inlineStr">
        <is>
          <t>Name</t>
        </is>
      </c>
      <c r="C4" s="12" t="inlineStr">
        <is>
          <t>Key numbers (FMP)</t>
        </is>
      </c>
      <c r="D4" s="12" t="inlineStr">
        <is>
          <t>Strength %ile</t>
        </is>
      </c>
      <c r="E4" s="4" t="inlineStr">
        <is>
          <t>Timing pts</t>
        </is>
      </c>
      <c r="F4" s="4" t="inlineStr">
        <is>
          <t>Off-hrs $%</t>
        </is>
      </c>
      <c r="G4" s="4" t="inlineStr">
        <is>
          <t>Mkt-hrs $%</t>
        </is>
      </c>
      <c r="H4" s="4" t="inlineStr">
        <is>
          <t>Friday</t>
        </is>
      </c>
      <c r="I4" s="4" t="inlineStr">
        <is>
          <t>Filings</t>
        </is>
      </c>
      <c r="J4" s="4" t="inlineStr">
        <is>
          <t>Total $M</t>
        </is>
      </c>
      <c r="K4" s="4" t="inlineStr">
        <is>
          <t>Read</t>
        </is>
      </c>
      <c r="L4" s="4" t="inlineStr">
        <is>
          <t>FMP financial read</t>
        </is>
      </c>
    </row>
    <row r="5" ht="20" customHeight="1">
      <c r="A5" s="9" t="inlineStr">
        <is>
          <t>FOLLOW — off-hours quiet accumulators</t>
        </is>
      </c>
    </row>
    <row r="6" ht="22" customHeight="1">
      <c r="A6" s="6" t="inlineStr">
        <is>
          <t>MERC</t>
        </is>
      </c>
      <c r="B6" s="14" t="inlineStr">
        <is>
          <t>Mercer International Inc.</t>
        </is>
      </c>
      <c r="C6" s="14" t="inlineStr">
        <is>
          <t>52w 0%</t>
        </is>
      </c>
      <c r="D6" s="14" t="n">
        <v>87</v>
      </c>
      <c r="E6" s="27" t="n">
        <v>15</v>
      </c>
      <c r="F6" s="35" t="n">
        <v>100</v>
      </c>
      <c r="G6" s="35" t="n">
        <v>0</v>
      </c>
      <c r="H6" s="14" t="inlineStr">
        <is>
          <t>Fri-eve</t>
        </is>
      </c>
      <c r="I6" s="27" t="n">
        <v>1</v>
      </c>
      <c r="J6" s="13" t="n">
        <v>0.26</v>
      </c>
      <c r="K6" s="14" t="inlineStr">
        <is>
          <t>quiet accumulator (off-hours)</t>
        </is>
      </c>
      <c r="L6" s="14" t="inlineStr">
        <is>
          <t>P/S 0.0 · rev -5% · op margin -12%  [negative equity; FCF yield &gt;100% (check)]</t>
        </is>
      </c>
    </row>
    <row r="7" ht="22" customHeight="1">
      <c r="A7" s="8" t="inlineStr">
        <is>
          <t>GMRS</t>
        </is>
      </c>
      <c r="B7" s="16" t="inlineStr">
        <is>
          <t>GMR Solutions Inc.</t>
        </is>
      </c>
      <c r="C7" s="16" t="inlineStr">
        <is>
          <t>P/B 0.76 · 10.8× EBITDA · debt 713% · 52w 14%</t>
        </is>
      </c>
      <c r="D7" s="16" t="n">
        <v>87</v>
      </c>
      <c r="E7" s="28" t="n">
        <v>15</v>
      </c>
      <c r="F7" s="36" t="n">
        <v>100</v>
      </c>
      <c r="G7" s="36" t="n">
        <v>0</v>
      </c>
      <c r="H7" s="16" t="inlineStr">
        <is>
          <t>Fri-eve</t>
        </is>
      </c>
      <c r="I7" s="28" t="n">
        <v>1</v>
      </c>
      <c r="J7" s="15" t="n">
        <v>0.01</v>
      </c>
      <c r="K7" s="16" t="inlineStr">
        <is>
          <t>quiet accumulator (off-hours)</t>
        </is>
      </c>
      <c r="L7" s="16" t="inlineStr">
        <is>
          <t>P/B 0.76 · EV/EBITDA 10.8× · FCF yld 11% · net debt 713% of mcap · op margin 10%</t>
        </is>
      </c>
    </row>
    <row r="8" ht="22" customHeight="1">
      <c r="A8" s="6" t="inlineStr">
        <is>
          <t>AMR</t>
        </is>
      </c>
      <c r="B8" s="14" t="inlineStr">
        <is>
          <t>Alpha Metallurgical Resour</t>
        </is>
      </c>
      <c r="C8" s="14" t="inlineStr">
        <is>
          <t>P/B 1.56 · 18.5× EBITDA · cash 14% · 52w 42%</t>
        </is>
      </c>
      <c r="D8" s="14" t="n">
        <v>87</v>
      </c>
      <c r="E8" s="27" t="n">
        <v>15</v>
      </c>
      <c r="F8" s="35" t="n">
        <v>100</v>
      </c>
      <c r="G8" s="35" t="n">
        <v>0</v>
      </c>
      <c r="H8" s="14" t="inlineStr">
        <is>
          <t>Fri-eve</t>
        </is>
      </c>
      <c r="I8" s="27" t="n">
        <v>1</v>
      </c>
      <c r="J8" s="13" t="n">
        <v>2.84</v>
      </c>
      <c r="K8" s="14" t="inlineStr">
        <is>
          <t>quiet accumulator (off-hours)</t>
        </is>
      </c>
      <c r="L8" s="14" t="inlineStr">
        <is>
          <t>P/B 1.56 · EV/EBITDA 18.5× · FCF yld -0% · net cash 14% of mcap · rev -13% · op margin -2% · buying back 3%/yr</t>
        </is>
      </c>
    </row>
    <row r="9" ht="22" customHeight="1">
      <c r="A9" s="8" t="inlineStr">
        <is>
          <t>SSP</t>
        </is>
      </c>
      <c r="B9" s="16" t="inlineStr">
        <is>
          <t>The E.W. Scripps Company</t>
        </is>
      </c>
      <c r="C9" s="16" t="inlineStr">
        <is>
          <t>P/B 2.40 · debt 1067% · 52w 39%</t>
        </is>
      </c>
      <c r="D9" s="16" t="n">
        <v>87</v>
      </c>
      <c r="E9" s="28" t="n">
        <v>15</v>
      </c>
      <c r="F9" s="36" t="n">
        <v>100</v>
      </c>
      <c r="G9" s="36" t="n">
        <v>0</v>
      </c>
      <c r="H9" s="16" t="inlineStr">
        <is>
          <t>Fri-eve</t>
        </is>
      </c>
      <c r="I9" s="28" t="n">
        <v>2</v>
      </c>
      <c r="J9" s="15" t="n">
        <v>0.26</v>
      </c>
      <c r="K9" s="16" t="inlineStr">
        <is>
          <t>quiet accumulator (off-hours)</t>
        </is>
      </c>
      <c r="L9" s="16" t="inlineStr">
        <is>
          <t>P/B 2.40 · P/S 0.1 · FCF yld 15% · net debt 1067% of mcap · rev -14% · op margin -51% · diluting 5%/yr · interest cover -3.9× ⚠</t>
        </is>
      </c>
    </row>
    <row r="10" ht="22" customHeight="1">
      <c r="A10" s="6" t="inlineStr">
        <is>
          <t>AXR</t>
        </is>
      </c>
      <c r="B10" s="14" t="inlineStr">
        <is>
          <t>AMREP Corporation</t>
        </is>
      </c>
      <c r="C10" s="14" t="inlineStr">
        <is>
          <t>P/B 0.85 · 8.8× EBITDA · cash 41% · 52w 43%</t>
        </is>
      </c>
      <c r="D10" s="14" t="n">
        <v>87</v>
      </c>
      <c r="E10" s="27" t="n">
        <v>15</v>
      </c>
      <c r="F10" s="35" t="n">
        <v>100</v>
      </c>
      <c r="G10" s="35" t="n">
        <v>0</v>
      </c>
      <c r="H10" s="14" t="inlineStr">
        <is>
          <t>Fri-eve</t>
        </is>
      </c>
      <c r="I10" s="27" t="n">
        <v>1</v>
      </c>
      <c r="J10" s="13" t="n">
        <v>0.03</v>
      </c>
      <c r="K10" s="14" t="inlineStr">
        <is>
          <t>quiet accumulator (off-hours)</t>
        </is>
      </c>
      <c r="L10" s="14" t="inlineStr">
        <is>
          <t>P/B 0.85 · EV/EBITDA 8.8× · FCF yld 1% · net cash 41% of mcap · rev -15% · op margin 15%</t>
        </is>
      </c>
    </row>
    <row r="11" ht="22" customHeight="1">
      <c r="A11" s="8" t="inlineStr">
        <is>
          <t>TXO</t>
        </is>
      </c>
      <c r="B11" s="16" t="inlineStr">
        <is>
          <t>TXO Partners, L.P.</t>
        </is>
      </c>
      <c r="C11" s="16" t="inlineStr">
        <is>
          <t>P/B 1.22 · 11.2× EBITDA · debt 29% · 52w 76%</t>
        </is>
      </c>
      <c r="D11" s="16" t="n">
        <v>87</v>
      </c>
      <c r="E11" s="28" t="n">
        <v>15</v>
      </c>
      <c r="F11" s="36" t="n">
        <v>100</v>
      </c>
      <c r="G11" s="36" t="n">
        <v>0</v>
      </c>
      <c r="H11" s="16" t="inlineStr">
        <is>
          <t>Fri-eve</t>
        </is>
      </c>
      <c r="I11" s="28" t="n">
        <v>3</v>
      </c>
      <c r="J11" s="15" t="n">
        <v>13.49</v>
      </c>
      <c r="K11" s="16" t="inlineStr">
        <is>
          <t>quiet accumulator (off-hours)</t>
        </is>
      </c>
      <c r="L11" s="16" t="inlineStr">
        <is>
          <t>P/B 1.22 · EV/EBITDA 11.2× · FCF yld -14% · net debt 29% of mcap · rev +25% · op margin 2% · diluting 18%/yr · interest cover 0.2× ⚠</t>
        </is>
      </c>
    </row>
    <row r="12" ht="22" customHeight="1">
      <c r="A12" s="6" t="inlineStr">
        <is>
          <t>VTSI</t>
        </is>
      </c>
      <c r="B12" s="14" t="inlineStr">
        <is>
          <t>VirTra, Inc.</t>
        </is>
      </c>
      <c r="C12" s="14" t="inlineStr">
        <is>
          <t>P/B 0.74 · cash 9% · 52w 0%</t>
        </is>
      </c>
      <c r="D12" s="14" t="n">
        <v>87</v>
      </c>
      <c r="E12" s="27" t="n">
        <v>15</v>
      </c>
      <c r="F12" s="35" t="n">
        <v>100</v>
      </c>
      <c r="G12" s="35" t="n">
        <v>0</v>
      </c>
      <c r="H12" s="14" t="inlineStr">
        <is>
          <t>Fri-eve</t>
        </is>
      </c>
      <c r="I12" s="27" t="n">
        <v>3</v>
      </c>
      <c r="J12" s="13" t="n">
        <v>0.05</v>
      </c>
      <c r="K12" s="14" t="inlineStr">
        <is>
          <t>quiet accumulator (off-hours)</t>
        </is>
      </c>
      <c r="L12" s="14" t="inlineStr">
        <is>
          <t>P/B 0.74 · P/S 1.9 · FCF yld -18% · net cash 9% of mcap · rev -34% · op margin -19%</t>
        </is>
      </c>
    </row>
    <row r="13" ht="22" customHeight="1">
      <c r="A13" s="8" t="inlineStr">
        <is>
          <t>UP</t>
        </is>
      </c>
      <c r="B13" s="16" t="inlineStr">
        <is>
          <t>Wheels Up Experience Inc.</t>
        </is>
      </c>
      <c r="C13" s="16" t="inlineStr">
        <is>
          <t>52w 2%</t>
        </is>
      </c>
      <c r="D13" s="16" t="n">
        <v>87</v>
      </c>
      <c r="E13" s="28" t="n">
        <v>15</v>
      </c>
      <c r="F13" s="36" t="n">
        <v>100</v>
      </c>
      <c r="G13" s="36" t="n">
        <v>0</v>
      </c>
      <c r="H13" s="16" t="inlineStr">
        <is>
          <t>Fri-eve</t>
        </is>
      </c>
      <c r="I13" s="28" t="n">
        <v>1</v>
      </c>
      <c r="J13" s="15" t="n">
        <v>0.14</v>
      </c>
      <c r="K13" s="16" t="inlineStr">
        <is>
          <t>quiet accumulator (off-hours)</t>
        </is>
      </c>
      <c r="L13" s="16" t="inlineStr">
        <is>
          <t>P/S 0.2 · rev -6% · op margin -34% · diluting 4%/yr  [negative equity; FCF yield &gt;100% (check)]</t>
        </is>
      </c>
    </row>
    <row r="14" ht="22" customHeight="1">
      <c r="A14" s="6" t="inlineStr">
        <is>
          <t>EQPT</t>
        </is>
      </c>
      <c r="B14" s="14" t="inlineStr">
        <is>
          <t>EquipmentShare.com Inc.</t>
        </is>
      </c>
      <c r="C14" s="14" t="inlineStr">
        <is>
          <t>P/B 2.92 · 11.4× EBITDA · debt 95% · 52w 13%</t>
        </is>
      </c>
      <c r="D14" s="14" t="n">
        <v>87</v>
      </c>
      <c r="E14" s="27" t="n">
        <v>15</v>
      </c>
      <c r="F14" s="35" t="n">
        <v>100</v>
      </c>
      <c r="G14" s="35" t="n">
        <v>0</v>
      </c>
      <c r="H14" s="14" t="inlineStr">
        <is>
          <t>Fri-eve</t>
        </is>
      </c>
      <c r="I14" s="27" t="n">
        <v>1</v>
      </c>
      <c r="J14" s="13" t="n">
        <v>0.24</v>
      </c>
      <c r="K14" s="14" t="inlineStr">
        <is>
          <t>quiet accumulator (off-hours)</t>
        </is>
      </c>
      <c r="L14" s="14" t="inlineStr">
        <is>
          <t>P/B 2.92 · EV/EBITDA 11.4× · FCF yld -37% · net debt 95% of mcap · op margin 7% · interest cover 1.1× ⚠</t>
        </is>
      </c>
    </row>
    <row r="15" ht="22" customHeight="1">
      <c r="A15" s="8" t="inlineStr">
        <is>
          <t>GLP</t>
        </is>
      </c>
      <c r="B15" s="16" t="inlineStr">
        <is>
          <t>Global Partners LP</t>
        </is>
      </c>
      <c r="C15" s="16" t="inlineStr">
        <is>
          <t>P/B 2.25 · 8.9× EBITDA · debt 118% · 52w 66%</t>
        </is>
      </c>
      <c r="D15" s="16" t="n">
        <v>87</v>
      </c>
      <c r="E15" s="28" t="n">
        <v>15</v>
      </c>
      <c r="F15" s="36" t="n">
        <v>100</v>
      </c>
      <c r="G15" s="36" t="n">
        <v>0</v>
      </c>
      <c r="H15" s="16" t="inlineStr">
        <is>
          <t>Fri-eve</t>
        </is>
      </c>
      <c r="I15" s="28" t="n">
        <v>1</v>
      </c>
      <c r="J15" s="15" t="n">
        <v>0.74</v>
      </c>
      <c r="K15" s="16" t="inlineStr">
        <is>
          <t>quiet accumulator (off-hours)</t>
        </is>
      </c>
      <c r="L15" s="16" t="inlineStr">
        <is>
          <t>P/B 2.25 · EV/EBITDA 8.9× · FCF yld 12% · net debt 118% of mcap · rev +20% · op margin 3%</t>
        </is>
      </c>
    </row>
    <row r="16" ht="22" customHeight="1">
      <c r="A16" s="6" t="inlineStr">
        <is>
          <t>PLSE</t>
        </is>
      </c>
      <c r="B16" s="14" t="inlineStr">
        <is>
          <t>Pulse Biosciences, Inc</t>
        </is>
      </c>
      <c r="C16" s="14" t="inlineStr">
        <is>
          <t>P/B 37.22 · cash 3% · 52w 88%</t>
        </is>
      </c>
      <c r="D16" s="14" t="n">
        <v>87</v>
      </c>
      <c r="E16" s="27" t="n">
        <v>15</v>
      </c>
      <c r="F16" s="35" t="n">
        <v>100</v>
      </c>
      <c r="G16" s="35" t="n">
        <v>0</v>
      </c>
      <c r="H16" s="14" t="inlineStr">
        <is>
          <t>Fri-eve</t>
        </is>
      </c>
      <c r="I16" s="27" t="n">
        <v>4</v>
      </c>
      <c r="J16" s="13" t="n">
        <v>26.59</v>
      </c>
      <c r="K16" s="14" t="inlineStr">
        <is>
          <t>quiet accumulator (off-hours)</t>
        </is>
      </c>
      <c r="L16" s="14" t="inlineStr">
        <is>
          <t>P/B 37.22 · P/S 3065.1 · FCF yld -2% · net cash 3% of mcap · diluting 3%/yr</t>
        </is>
      </c>
    </row>
    <row r="17" ht="22" customHeight="1">
      <c r="A17" s="8" t="inlineStr">
        <is>
          <t>KBR</t>
        </is>
      </c>
      <c r="B17" s="16" t="inlineStr">
        <is>
          <t>KBR, Inc.</t>
        </is>
      </c>
      <c r="C17" s="16" t="inlineStr">
        <is>
          <t>P/B 2.72 · 8.3× EBITDA · debt 56% · 52w 24%</t>
        </is>
      </c>
      <c r="D17" s="16" t="n">
        <v>87</v>
      </c>
      <c r="E17" s="28" t="n">
        <v>15</v>
      </c>
      <c r="F17" s="36" t="n">
        <v>100</v>
      </c>
      <c r="G17" s="36" t="n">
        <v>0</v>
      </c>
      <c r="H17" s="16" t="inlineStr">
        <is>
          <t>Fri-eve</t>
        </is>
      </c>
      <c r="I17" s="28" t="n">
        <v>2</v>
      </c>
      <c r="J17" s="15" t="n">
        <v>0.35</v>
      </c>
      <c r="K17" s="16" t="inlineStr">
        <is>
          <t>quiet accumulator (off-hours)</t>
        </is>
      </c>
      <c r="L17" s="16" t="inlineStr">
        <is>
          <t>P/B 2.72 · EV/EBITDA 8.3× · FCF yld 8% · net debt 56% of mcap · rev -4% · op margin 9% · buying back 4%/yr</t>
        </is>
      </c>
    </row>
    <row r="18" ht="22" customHeight="1">
      <c r="A18" s="6" t="inlineStr">
        <is>
          <t>SELF</t>
        </is>
      </c>
      <c r="B18" s="14" t="inlineStr">
        <is>
          <t>Global Self Storage, Inc.</t>
        </is>
      </c>
      <c r="C18" s="14" t="inlineStr">
        <is>
          <t>P/B 1.25 · 14.2× EBITDA · debt 14% · 52w 33%</t>
        </is>
      </c>
      <c r="D18" s="14" t="n">
        <v>87</v>
      </c>
      <c r="E18" s="27" t="n">
        <v>15</v>
      </c>
      <c r="F18" s="35" t="n">
        <v>100</v>
      </c>
      <c r="G18" s="35" t="n">
        <v>0</v>
      </c>
      <c r="H18" s="14" t="inlineStr">
        <is>
          <t>Fri-eve</t>
        </is>
      </c>
      <c r="I18" s="27" t="n">
        <v>1</v>
      </c>
      <c r="J18" s="13" t="n">
        <v>0.02</v>
      </c>
      <c r="K18" s="14" t="inlineStr">
        <is>
          <t>quiet accumulator (off-hours)</t>
        </is>
      </c>
      <c r="L18" s="14" t="inlineStr">
        <is>
          <t>P/B 1.25 · EV/EBITDA 14.2× · FCF yld 7% · net debt 14% of mcap · rev +1% · op margin 21%</t>
        </is>
      </c>
    </row>
    <row r="19" ht="22" customHeight="1">
      <c r="A19" s="8" t="inlineStr">
        <is>
          <t>NONE</t>
        </is>
      </c>
      <c r="B19" s="16" t="inlineStr">
        <is>
          <t>NONE</t>
        </is>
      </c>
      <c r="C19" s="16" t="n"/>
      <c r="D19" s="16" t="n">
        <v>87</v>
      </c>
      <c r="E19" s="28" t="n">
        <v>15</v>
      </c>
      <c r="F19" s="36" t="n">
        <v>100</v>
      </c>
      <c r="G19" s="36" t="n">
        <v>0</v>
      </c>
      <c r="H19" s="16" t="inlineStr">
        <is>
          <t>Fri-eve</t>
        </is>
      </c>
      <c r="I19" s="28" t="n">
        <v>1</v>
      </c>
      <c r="J19" s="15" t="n">
        <v>5</v>
      </c>
      <c r="K19" s="16" t="inlineStr">
        <is>
          <t>quiet accumulator (off-hours)</t>
        </is>
      </c>
      <c r="L19" s="16" t="n"/>
    </row>
    <row r="20" ht="22" customHeight="1">
      <c r="A20" s="6" t="inlineStr">
        <is>
          <t>DTM</t>
        </is>
      </c>
      <c r="B20" s="14" t="inlineStr">
        <is>
          <t>DT Midstream, Inc.</t>
        </is>
      </c>
      <c r="C20" s="14" t="inlineStr">
        <is>
          <t>P/B 2.70 · 14.7× EBITDA · debt 25% · 52w 45%</t>
        </is>
      </c>
      <c r="D20" s="14" t="n">
        <v>87</v>
      </c>
      <c r="E20" s="27" t="n">
        <v>15</v>
      </c>
      <c r="F20" s="35" t="n">
        <v>100</v>
      </c>
      <c r="G20" s="35" t="n">
        <v>0</v>
      </c>
      <c r="H20" s="14" t="inlineStr">
        <is>
          <t>Fri-eve</t>
        </is>
      </c>
      <c r="I20" s="27" t="n">
        <v>1</v>
      </c>
      <c r="J20" s="13" t="n">
        <v>0.02</v>
      </c>
      <c r="K20" s="14" t="inlineStr">
        <is>
          <t>quiet accumulator (off-hours)</t>
        </is>
      </c>
      <c r="L20" s="14" t="inlineStr">
        <is>
          <t>P/B 2.70 · EV/EBITDA 14.7× · FCF yld 4% · net debt 25% of mcap · rev +18% · op margin 50%</t>
        </is>
      </c>
    </row>
    <row r="21" ht="22" customHeight="1">
      <c r="A21" s="8" t="inlineStr">
        <is>
          <t>XZO</t>
        </is>
      </c>
      <c r="B21" s="16" t="inlineStr">
        <is>
          <t>Exzeo Group, Inc.</t>
        </is>
      </c>
      <c r="C21" s="16" t="inlineStr">
        <is>
          <t>P/B 4.91 · P/E 16.4 · 52w 26%</t>
        </is>
      </c>
      <c r="D21" s="16" t="n">
        <v>87</v>
      </c>
      <c r="E21" s="28" t="n">
        <v>15</v>
      </c>
      <c r="F21" s="36" t="n">
        <v>100</v>
      </c>
      <c r="G21" s="36" t="n">
        <v>0</v>
      </c>
      <c r="H21" s="16" t="inlineStr">
        <is>
          <t>Fri-eve</t>
        </is>
      </c>
      <c r="I21" s="28" t="n">
        <v>6</v>
      </c>
      <c r="J21" s="15" t="n">
        <v>0.17</v>
      </c>
      <c r="K21" s="16" t="inlineStr">
        <is>
          <t>quiet accumulator (off-hours)</t>
        </is>
      </c>
      <c r="L21" s="16" t="inlineStr">
        <is>
          <t>P/B 4.91 · P/E 16.4 · ROE 39% (financial: book/earnings basis)</t>
        </is>
      </c>
    </row>
    <row r="22" ht="22" customHeight="1">
      <c r="A22" s="6" t="inlineStr">
        <is>
          <t>XRN</t>
        </is>
      </c>
      <c r="B22" s="14" t="inlineStr">
        <is>
          <t>Chiron Real Estate Inc.</t>
        </is>
      </c>
      <c r="C22" s="14" t="inlineStr">
        <is>
          <t>P/B 0.72 · 6.9× EBITDA · debt 132% · 52w 71%</t>
        </is>
      </c>
      <c r="D22" s="14" t="n">
        <v>87</v>
      </c>
      <c r="E22" s="27" t="n">
        <v>15</v>
      </c>
      <c r="F22" s="35" t="n">
        <v>100</v>
      </c>
      <c r="G22" s="35" t="n">
        <v>0</v>
      </c>
      <c r="H22" s="14" t="inlineStr">
        <is>
          <t>Fri-eve</t>
        </is>
      </c>
      <c r="I22" s="27" t="n">
        <v>9</v>
      </c>
      <c r="J22" s="13" t="n">
        <v>0.62</v>
      </c>
      <c r="K22" s="14" t="inlineStr">
        <is>
          <t>quiet accumulator (off-hours)</t>
        </is>
      </c>
      <c r="L22" s="14" t="inlineStr">
        <is>
          <t>P/B 0.72 · EV/EBITDA 6.9× · FCF yld -40% · net debt 132% of mcap · rev +6% · op margin 25% · interest cover 1.1× ⚠</t>
        </is>
      </c>
    </row>
    <row r="23" ht="22" customHeight="1">
      <c r="A23" s="8" t="inlineStr">
        <is>
          <t>RHLD</t>
        </is>
      </c>
      <c r="B23" s="16" t="inlineStr">
        <is>
          <t>Resolute Holdings Manageme</t>
        </is>
      </c>
      <c r="C23" s="16" t="inlineStr">
        <is>
          <t>17.9× EBITDA · 52w 33%</t>
        </is>
      </c>
      <c r="D23" s="16" t="n">
        <v>87</v>
      </c>
      <c r="E23" s="28" t="n">
        <v>15</v>
      </c>
      <c r="F23" s="36" t="n">
        <v>100</v>
      </c>
      <c r="G23" s="36" t="n">
        <v>0</v>
      </c>
      <c r="H23" s="16" t="inlineStr">
        <is>
          <t>Fri-eve</t>
        </is>
      </c>
      <c r="I23" s="28" t="n">
        <v>2</v>
      </c>
      <c r="J23" s="15" t="n">
        <v>0.15</v>
      </c>
      <c r="K23" s="16" t="inlineStr">
        <is>
          <t>quiet accumulator (off-hours)</t>
        </is>
      </c>
      <c r="L23" s="16" t="inlineStr">
        <is>
          <t>EV/EBITDA 17.9× · FCF yld 8% · rev +159% · op margin 9% · buying back 5%/yr  [negative equity]</t>
        </is>
      </c>
    </row>
    <row r="24" ht="22" customHeight="1">
      <c r="A24" s="6" t="inlineStr">
        <is>
          <t>GSHD</t>
        </is>
      </c>
      <c r="B24" s="14" t="inlineStr">
        <is>
          <t>Goosehead Insurance, Inc.</t>
        </is>
      </c>
      <c r="C24" s="14" t="inlineStr">
        <is>
          <t>P/E 30.7 · 52w 23%</t>
        </is>
      </c>
      <c r="D24" s="14" t="n">
        <v>87</v>
      </c>
      <c r="E24" s="27" t="n">
        <v>15</v>
      </c>
      <c r="F24" s="35" t="n">
        <v>100</v>
      </c>
      <c r="G24" s="35" t="n">
        <v>0</v>
      </c>
      <c r="H24" s="14" t="inlineStr">
        <is>
          <t>Fri-eve</t>
        </is>
      </c>
      <c r="I24" s="27" t="n">
        <v>4</v>
      </c>
      <c r="J24" s="13" t="n">
        <v>0.5600000000000001</v>
      </c>
      <c r="K24" s="14" t="inlineStr">
        <is>
          <t>quiet accumulator (off-hours)</t>
        </is>
      </c>
      <c r="L24" s="14" t="inlineStr">
        <is>
          <t>P/E 30.7 · ROE -33% · buying back 6%/yr (financial: book/earnings basis)  [negative equity]</t>
        </is>
      </c>
    </row>
    <row r="25" ht="22" customHeight="1">
      <c r="A25" s="8" t="inlineStr">
        <is>
          <t>GPGI</t>
        </is>
      </c>
      <c r="B25" s="16" t="inlineStr">
        <is>
          <t>GPGI, Inc.</t>
        </is>
      </c>
      <c r="C25" s="16" t="inlineStr">
        <is>
          <t>P/B 1.11 · cash 0% · 52w 6%</t>
        </is>
      </c>
      <c r="D25" s="16" t="n">
        <v>87</v>
      </c>
      <c r="E25" s="28" t="n">
        <v>15</v>
      </c>
      <c r="F25" s="36" t="n">
        <v>100</v>
      </c>
      <c r="G25" s="36" t="n">
        <v>0</v>
      </c>
      <c r="H25" s="16" t="inlineStr">
        <is>
          <t>Fri-eve</t>
        </is>
      </c>
      <c r="I25" s="28" t="n">
        <v>3</v>
      </c>
      <c r="J25" s="15" t="n">
        <v>0.2</v>
      </c>
      <c r="K25" s="16" t="inlineStr">
        <is>
          <t>quiet accumulator (off-hours)</t>
        </is>
      </c>
      <c r="L25" s="16" t="inlineStr">
        <is>
          <t>P/B 1.11 · P/S 0.0 · FCF yld 1% · net cash 0% of mcap · op margin 0%  [new entity / merger: history not comparable]</t>
        </is>
      </c>
    </row>
    <row r="26" ht="22" customHeight="1">
      <c r="A26" s="6" t="inlineStr">
        <is>
          <t>SNSE</t>
        </is>
      </c>
      <c r="B26" s="14" t="inlineStr">
        <is>
          <t>SNSE</t>
        </is>
      </c>
      <c r="C26" s="14" t="n"/>
      <c r="D26" s="14" t="n">
        <v>87</v>
      </c>
      <c r="E26" s="27" t="n">
        <v>15</v>
      </c>
      <c r="F26" s="35" t="n">
        <v>100</v>
      </c>
      <c r="G26" s="35" t="n">
        <v>0</v>
      </c>
      <c r="H26" s="14" t="inlineStr">
        <is>
          <t>Fri-eve</t>
        </is>
      </c>
      <c r="I26" s="27" t="n">
        <v>3</v>
      </c>
      <c r="J26" s="13" t="n">
        <v>1.34</v>
      </c>
      <c r="K26" s="14" t="inlineStr">
        <is>
          <t>quiet accumulator (off-hours)</t>
        </is>
      </c>
      <c r="L26" s="14" t="n"/>
    </row>
    <row r="27" ht="22" customHeight="1">
      <c r="A27" s="8" t="inlineStr">
        <is>
          <t>VITL</t>
        </is>
      </c>
      <c r="B27" s="16" t="inlineStr">
        <is>
          <t>Vital Farms, Inc.</t>
        </is>
      </c>
      <c r="C27" s="16" t="inlineStr">
        <is>
          <t>P/B 1.57 · 16.6× EBITDA · debt 20% · 52w 6%</t>
        </is>
      </c>
      <c r="D27" s="16" t="n">
        <v>87</v>
      </c>
      <c r="E27" s="28" t="n">
        <v>15</v>
      </c>
      <c r="F27" s="36" t="n">
        <v>100</v>
      </c>
      <c r="G27" s="36" t="n">
        <v>0</v>
      </c>
      <c r="H27" s="16" t="inlineStr">
        <is>
          <t>Fri-eve</t>
        </is>
      </c>
      <c r="I27" s="28" t="n">
        <v>1</v>
      </c>
      <c r="J27" s="15" t="n">
        <v>0.02</v>
      </c>
      <c r="K27" s="16" t="inlineStr">
        <is>
          <t>quiet accumulator (off-hours)</t>
        </is>
      </c>
      <c r="L27" s="16" t="inlineStr">
        <is>
          <t>P/B 1.57 · EV/EBITDA 16.6× · FCF yld -29% · net debt 20% of mcap · rev +16% · op margin 0% · buying back 6%/yr · interest cover 0.1× ⚠  [P/E vs earnings-yield sign mismatch]</t>
        </is>
      </c>
    </row>
    <row r="28" ht="22" customHeight="1">
      <c r="A28" s="6" t="inlineStr">
        <is>
          <t>WEST</t>
        </is>
      </c>
      <c r="B28" s="14" t="inlineStr">
        <is>
          <t>Westrock Coffee Company</t>
        </is>
      </c>
      <c r="C28" s="14" t="inlineStr">
        <is>
          <t>P/B 3.24 · 24.4× EBITDA · debt 68% · 52w 67%</t>
        </is>
      </c>
      <c r="D28" s="14" t="n">
        <v>87</v>
      </c>
      <c r="E28" s="27" t="n">
        <v>15</v>
      </c>
      <c r="F28" s="35" t="n">
        <v>100</v>
      </c>
      <c r="G28" s="35" t="n">
        <v>0</v>
      </c>
      <c r="H28" s="14" t="inlineStr">
        <is>
          <t>Fri-eve</t>
        </is>
      </c>
      <c r="I28" s="27" t="n">
        <v>1</v>
      </c>
      <c r="J28" s="13" t="n">
        <v>0.27</v>
      </c>
      <c r="K28" s="14" t="inlineStr">
        <is>
          <t>quiet accumulator (off-hours)</t>
        </is>
      </c>
      <c r="L28" s="14" t="inlineStr">
        <is>
          <t>P/B 3.24 · EV/EBITDA 24.4× · FCF yld -2% · net debt 68% of mcap · rev +39% · op margin -1% · diluting 3%/yr · interest cover -0.2× ⚠</t>
        </is>
      </c>
    </row>
    <row r="29" ht="22" customHeight="1">
      <c r="A29" s="8" t="inlineStr">
        <is>
          <t>TTEK</t>
        </is>
      </c>
      <c r="B29" s="16" t="inlineStr">
        <is>
          <t>Tetra Tech, Inc.</t>
        </is>
      </c>
      <c r="C29" s="16" t="inlineStr">
        <is>
          <t>P/B 4.91 · 14.8× EBITDA · debt 9% · 52w 53%</t>
        </is>
      </c>
      <c r="D29" s="16" t="n">
        <v>87</v>
      </c>
      <c r="E29" s="28" t="n">
        <v>15</v>
      </c>
      <c r="F29" s="36" t="n">
        <v>100</v>
      </c>
      <c r="G29" s="36" t="n">
        <v>0</v>
      </c>
      <c r="H29" s="16" t="inlineStr">
        <is>
          <t>Fri-eve</t>
        </is>
      </c>
      <c r="I29" s="28" t="n">
        <v>1</v>
      </c>
      <c r="J29" s="15" t="n">
        <v>0.05</v>
      </c>
      <c r="K29" s="16" t="inlineStr">
        <is>
          <t>quiet accumulator (off-hours)</t>
        </is>
      </c>
      <c r="L29" s="16" t="inlineStr">
        <is>
          <t>P/B 4.91 · EV/EBITDA 14.8× · FCF yld 6% · net debt 9% of mcap · rev +8% · op margin 12% · buying back 2%/yr</t>
        </is>
      </c>
    </row>
    <row r="30" ht="22" customHeight="1">
      <c r="A30" s="6" t="inlineStr">
        <is>
          <t>OI</t>
        </is>
      </c>
      <c r="B30" s="14" t="inlineStr">
        <is>
          <t>O-I Glass, Inc.</t>
        </is>
      </c>
      <c r="C30" s="14" t="inlineStr">
        <is>
          <t>P/B 2.47 · 7.4× EBITDA · debt 491% · 52w 1%</t>
        </is>
      </c>
      <c r="D30" s="14" t="n">
        <v>87</v>
      </c>
      <c r="E30" s="27" t="n">
        <v>15</v>
      </c>
      <c r="F30" s="35" t="n">
        <v>100</v>
      </c>
      <c r="G30" s="35" t="n">
        <v>0</v>
      </c>
      <c r="H30" s="14" t="inlineStr">
        <is>
          <t>Fri-eve</t>
        </is>
      </c>
      <c r="I30" s="27" t="n">
        <v>4</v>
      </c>
      <c r="J30" s="13" t="n">
        <v>0.18</v>
      </c>
      <c r="K30" s="14" t="inlineStr">
        <is>
          <t>quiet accumulator (off-hours)</t>
        </is>
      </c>
      <c r="L30" s="14" t="inlineStr">
        <is>
          <t>P/B 2.47 · EV/EBITDA 7.4× · FCF yld -2% · net debt 491% of mcap · rev -2% · op margin 8% · interest cover 1.5× ⚠</t>
        </is>
      </c>
    </row>
    <row r="31" ht="22" customHeight="1">
      <c r="A31" s="8" t="inlineStr">
        <is>
          <t>ULS</t>
        </is>
      </c>
      <c r="B31" s="16" t="inlineStr">
        <is>
          <t>UL Solutions Inc.</t>
        </is>
      </c>
      <c r="C31" s="16" t="inlineStr">
        <is>
          <t>P/B 8.34 · 13.6× EBITDA · debt 1% · 52w 7%</t>
        </is>
      </c>
      <c r="D31" s="16" t="n">
        <v>87</v>
      </c>
      <c r="E31" s="28" t="n">
        <v>15</v>
      </c>
      <c r="F31" s="36" t="n">
        <v>100</v>
      </c>
      <c r="G31" s="36" t="n">
        <v>0</v>
      </c>
      <c r="H31" s="16" t="inlineStr">
        <is>
          <t>Fri-eve</t>
        </is>
      </c>
      <c r="I31" s="28" t="n">
        <v>1</v>
      </c>
      <c r="J31" s="15" t="n">
        <v>0.01</v>
      </c>
      <c r="K31" s="16" t="inlineStr">
        <is>
          <t>quiet accumulator (off-hours)</t>
        </is>
      </c>
      <c r="L31" s="16" t="inlineStr">
        <is>
          <t>P/B 8.34 · EV/EBITDA 13.6× · FCF yld 3% · net debt 1% of mcap · rev +7% · op margin 18%</t>
        </is>
      </c>
    </row>
    <row r="32" ht="22" customHeight="1">
      <c r="A32" s="6" t="inlineStr">
        <is>
          <t>SAFTX</t>
        </is>
      </c>
      <c r="B32" s="14" t="inlineStr">
        <is>
          <t>SAFTX</t>
        </is>
      </c>
      <c r="C32" s="14" t="n"/>
      <c r="D32" s="14" t="n">
        <v>87</v>
      </c>
      <c r="E32" s="27" t="n">
        <v>15</v>
      </c>
      <c r="F32" s="35" t="n">
        <v>100</v>
      </c>
      <c r="G32" s="35" t="n">
        <v>0</v>
      </c>
      <c r="H32" s="14" t="inlineStr">
        <is>
          <t>Fri-eve</t>
        </is>
      </c>
      <c r="I32" s="27" t="n">
        <v>1</v>
      </c>
      <c r="J32" s="13" t="n">
        <v>0.05</v>
      </c>
      <c r="K32" s="14" t="inlineStr">
        <is>
          <t>quiet accumulator (off-hours)</t>
        </is>
      </c>
      <c r="L32" s="14" t="n"/>
    </row>
    <row r="33" ht="22" customHeight="1">
      <c r="A33" s="8" t="inlineStr">
        <is>
          <t>CVBF</t>
        </is>
      </c>
      <c r="B33" s="16" t="inlineStr">
        <is>
          <t>CVB Financial Corporation</t>
        </is>
      </c>
      <c r="C33" s="16" t="inlineStr">
        <is>
          <t>P/B 1.01 · P/E 14.6 · 52w 78%</t>
        </is>
      </c>
      <c r="D33" s="16" t="n">
        <v>87</v>
      </c>
      <c r="E33" s="28" t="n">
        <v>15</v>
      </c>
      <c r="F33" s="36" t="n">
        <v>100</v>
      </c>
      <c r="G33" s="36" t="n">
        <v>0</v>
      </c>
      <c r="H33" s="16" t="inlineStr">
        <is>
          <t>Fri-eve</t>
        </is>
      </c>
      <c r="I33" s="28" t="n">
        <v>2</v>
      </c>
      <c r="J33" s="15" t="n">
        <v>1.5</v>
      </c>
      <c r="K33" s="16" t="inlineStr">
        <is>
          <t>quiet accumulator (off-hours)</t>
        </is>
      </c>
      <c r="L33" s="16" t="inlineStr">
        <is>
          <t>P/B 1.01 · P/E 14.6 · ROE 8% · div yld 2.7% · buying back 3%/yr (financial: book/earnings basis)</t>
        </is>
      </c>
    </row>
    <row r="34" ht="22" customHeight="1">
      <c r="A34" s="6" t="inlineStr">
        <is>
          <t>NMM</t>
        </is>
      </c>
      <c r="B34" s="14" t="inlineStr">
        <is>
          <t>Navios Maritime Partners L</t>
        </is>
      </c>
      <c r="C34" s="14" t="inlineStr">
        <is>
          <t>P/B 0.69 · 5.2× EBITDA · debt 80% · 52w 86%</t>
        </is>
      </c>
      <c r="D34" s="14" t="n">
        <v>87</v>
      </c>
      <c r="E34" s="27" t="n">
        <v>15</v>
      </c>
      <c r="F34" s="35" t="n">
        <v>100</v>
      </c>
      <c r="G34" s="35" t="n">
        <v>0</v>
      </c>
      <c r="H34" s="14" t="inlineStr">
        <is>
          <t>Fri-eve</t>
        </is>
      </c>
      <c r="I34" s="27" t="n">
        <v>2</v>
      </c>
      <c r="J34" s="13" t="n">
        <v>0.5</v>
      </c>
      <c r="K34" s="14" t="inlineStr">
        <is>
          <t>quiet accumulator (off-hours)</t>
        </is>
      </c>
      <c r="L34" s="14" t="inlineStr">
        <is>
          <t>P/B 0.69 · EV/EBITDA 5.2× · FCF yld 14% · net debt 80% of mcap · rev +13% · op margin 34%</t>
        </is>
      </c>
    </row>
    <row r="35" ht="22" customHeight="1">
      <c r="A35" s="8" t="inlineStr">
        <is>
          <t>ERII</t>
        </is>
      </c>
      <c r="B35" s="16" t="inlineStr">
        <is>
          <t>Energy Recovery, Inc.</t>
        </is>
      </c>
      <c r="C35" s="16" t="inlineStr">
        <is>
          <t>P/B 2.05 · 10.8× EBITDA · cash 24% · 52w 0%</t>
        </is>
      </c>
      <c r="D35" s="16" t="n">
        <v>87</v>
      </c>
      <c r="E35" s="28" t="n">
        <v>15</v>
      </c>
      <c r="F35" s="36" t="n">
        <v>100</v>
      </c>
      <c r="G35" s="36" t="n">
        <v>0</v>
      </c>
      <c r="H35" s="16" t="inlineStr">
        <is>
          <t>Fri-eve</t>
        </is>
      </c>
      <c r="I35" s="28" t="n">
        <v>1</v>
      </c>
      <c r="J35" s="15" t="n">
        <v>0.17</v>
      </c>
      <c r="K35" s="16" t="inlineStr">
        <is>
          <t>quiet accumulator (off-hours)</t>
        </is>
      </c>
      <c r="L35" s="16" t="inlineStr">
        <is>
          <t>P/B 2.05 · EV/EBITDA 10.8× · FCF yld 11% · net cash 24% of mcap · rev -15% · op margin 16% · buying back 6%/yr</t>
        </is>
      </c>
    </row>
    <row r="36" ht="22" customHeight="1">
      <c r="A36" s="6" t="inlineStr">
        <is>
          <t>BROS</t>
        </is>
      </c>
      <c r="B36" s="14" t="inlineStr">
        <is>
          <t>Dutch Bros Inc.</t>
        </is>
      </c>
      <c r="C36" s="14" t="inlineStr">
        <is>
          <t>P/B 8.36 · 25.6× EBITDA · debt 14% · 52w 2%</t>
        </is>
      </c>
      <c r="D36" s="14" t="n">
        <v>87</v>
      </c>
      <c r="E36" s="27" t="n">
        <v>15</v>
      </c>
      <c r="F36" s="35" t="n">
        <v>100</v>
      </c>
      <c r="G36" s="35" t="n">
        <v>0</v>
      </c>
      <c r="H36" s="14" t="inlineStr">
        <is>
          <t>Fri-eve</t>
        </is>
      </c>
      <c r="I36" s="27" t="n">
        <v>1</v>
      </c>
      <c r="J36" s="13" t="n">
        <v>0.1</v>
      </c>
      <c r="K36" s="14" t="inlineStr">
        <is>
          <t>quiet accumulator (off-hours)</t>
        </is>
      </c>
      <c r="L36" s="14" t="inlineStr">
        <is>
          <t>P/B 8.36 · EV/EBITDA 25.6× · FCF yld 1% · net debt 14% of mcap · rev +30% · op margin 10% · diluting 6%/yr</t>
        </is>
      </c>
    </row>
    <row r="37" ht="22" customHeight="1">
      <c r="A37" s="8" t="inlineStr">
        <is>
          <t>BCDA</t>
        </is>
      </c>
      <c r="B37" s="16" t="inlineStr">
        <is>
          <t>BioCardia, Inc.</t>
        </is>
      </c>
      <c r="C37" s="16" t="inlineStr">
        <is>
          <t>P/B 5.90 · cash 24% · 52w 30%</t>
        </is>
      </c>
      <c r="D37" s="16" t="n">
        <v>87</v>
      </c>
      <c r="E37" s="28" t="n">
        <v>15</v>
      </c>
      <c r="F37" s="36" t="n">
        <v>100</v>
      </c>
      <c r="G37" s="36" t="n">
        <v>0</v>
      </c>
      <c r="H37" s="16" t="inlineStr">
        <is>
          <t>Fri-eve</t>
        </is>
      </c>
      <c r="I37" s="28" t="n">
        <v>1</v>
      </c>
      <c r="J37" s="15" t="n">
        <v>0.01</v>
      </c>
      <c r="K37" s="16" t="inlineStr">
        <is>
          <t>quiet accumulator (off-hours)</t>
        </is>
      </c>
      <c r="L37" s="16" t="inlineStr">
        <is>
          <t>P/B 5.90 · P/S 0.0 · FCF yld -48% · net cash 24% of mcap · op margin 0%  [new entity / merger: history not comparable]</t>
        </is>
      </c>
    </row>
    <row r="38" ht="22" customHeight="1">
      <c r="A38" s="6" t="inlineStr">
        <is>
          <t>NSPR</t>
        </is>
      </c>
      <c r="B38" s="14" t="inlineStr">
        <is>
          <t>InspireMD Inc.</t>
        </is>
      </c>
      <c r="C38" s="14" t="inlineStr">
        <is>
          <t>P/B 1.11 · cash 81% · 52w 6%</t>
        </is>
      </c>
      <c r="D38" s="14" t="n">
        <v>87</v>
      </c>
      <c r="E38" s="27" t="n">
        <v>15</v>
      </c>
      <c r="F38" s="35" t="n">
        <v>100</v>
      </c>
      <c r="G38" s="35" t="n">
        <v>0</v>
      </c>
      <c r="H38" s="14" t="inlineStr">
        <is>
          <t>Fri-eve</t>
        </is>
      </c>
      <c r="I38" s="27" t="n">
        <v>7</v>
      </c>
      <c r="J38" s="13" t="n">
        <v>0.44</v>
      </c>
      <c r="K38" s="14" t="inlineStr">
        <is>
          <t>quiet accumulator (off-hours)</t>
        </is>
      </c>
      <c r="L38" s="14" t="inlineStr">
        <is>
          <t>P/B 1.11 · P/S 3.1 · net cash 81% of mcap · rev +53% · op margin -494% · diluting 44%/yr  [FCF yield &gt;100% (check)]</t>
        </is>
      </c>
    </row>
    <row r="39" ht="22" customHeight="1">
      <c r="A39" s="8" t="inlineStr">
        <is>
          <t>GUER</t>
        </is>
      </c>
      <c r="B39" s="16" t="inlineStr">
        <is>
          <t>Guerrilla RF, Inc.</t>
        </is>
      </c>
      <c r="C39" s="16" t="inlineStr">
        <is>
          <t>52w 54%</t>
        </is>
      </c>
      <c r="D39" s="16" t="n">
        <v>87</v>
      </c>
      <c r="E39" s="28" t="n">
        <v>15</v>
      </c>
      <c r="F39" s="36" t="n">
        <v>100</v>
      </c>
      <c r="G39" s="36" t="n">
        <v>0</v>
      </c>
      <c r="H39" s="16" t="inlineStr">
        <is>
          <t>Fri-eve</t>
        </is>
      </c>
      <c r="I39" s="28" t="n">
        <v>1</v>
      </c>
      <c r="J39" s="15" t="n">
        <v>0.01</v>
      </c>
      <c r="K39" s="16" t="inlineStr">
        <is>
          <t>quiet accumulator (off-hours)</t>
        </is>
      </c>
      <c r="L39" s="16" t="inlineStr">
        <is>
          <t>P/S 1.6 · FCF yld 5% · rev +47% · op margin 3% · diluting 3%/yr  [negative equity]</t>
        </is>
      </c>
    </row>
    <row r="40" ht="22" customHeight="1">
      <c r="A40" s="6" t="inlineStr">
        <is>
          <t>RLYB</t>
        </is>
      </c>
      <c r="B40" s="14" t="inlineStr">
        <is>
          <t>Rallybio Corporation</t>
        </is>
      </c>
      <c r="C40" s="14" t="inlineStr">
        <is>
          <t>P/B 0.95 · cash 104% · 52w 95%</t>
        </is>
      </c>
      <c r="D40" s="14" t="n">
        <v>87</v>
      </c>
      <c r="E40" s="27" t="n">
        <v>15</v>
      </c>
      <c r="F40" s="35" t="n">
        <v>100</v>
      </c>
      <c r="G40" s="35" t="n">
        <v>0</v>
      </c>
      <c r="H40" s="14" t="inlineStr">
        <is>
          <t>Fri-eve</t>
        </is>
      </c>
      <c r="I40" s="27" t="n">
        <v>2</v>
      </c>
      <c r="J40" s="13" t="n">
        <v>1.82</v>
      </c>
      <c r="K40" s="14" t="inlineStr">
        <is>
          <t>quiet accumulator (off-hours)</t>
        </is>
      </c>
      <c r="L40" s="14" t="inlineStr">
        <is>
          <t>P/B 0.95 · P/S 138.2 · FCF yld 29% · net cash 104% of mcap · rev -15% · diluting 3%/yr</t>
        </is>
      </c>
    </row>
    <row r="41"/>
    <row r="42" ht="20" customHeight="1">
      <c r="A42" s="9" t="inlineStr">
        <is>
          <t>FADE — market-hours price support</t>
        </is>
      </c>
    </row>
    <row r="43" ht="22" customHeight="1">
      <c r="A43" s="6" t="inlineStr">
        <is>
          <t>JANL</t>
        </is>
      </c>
      <c r="B43" s="14" t="inlineStr">
        <is>
          <t>Janel Corporation</t>
        </is>
      </c>
      <c r="C43" s="14" t="inlineStr">
        <is>
          <t>P/B 2.18 · 4.7× EBITDA · debt 12% · 52w 78%</t>
        </is>
      </c>
      <c r="D43" s="14" t="n"/>
      <c r="E43" s="27" t="n">
        <v>-8</v>
      </c>
      <c r="F43" s="35" t="n">
        <v>0</v>
      </c>
      <c r="G43" s="35" t="n">
        <v>100</v>
      </c>
      <c r="H43" s="14" t="inlineStr">
        <is>
          <t>–</t>
        </is>
      </c>
      <c r="I43" s="27" t="n">
        <v>1</v>
      </c>
      <c r="J43" s="13" t="n">
        <v>0.02</v>
      </c>
      <c r="K43" s="14" t="inlineStr">
        <is>
          <t>price supporter (market-hours)</t>
        </is>
      </c>
      <c r="L43" s="14" t="inlineStr">
        <is>
          <t>P/B 2.18 · EV/EBITDA 4.7× · FCF yld 79% · net debt 12% of mcap · rev +8% · op margin 3%</t>
        </is>
      </c>
    </row>
    <row r="44" ht="22" customHeight="1">
      <c r="A44" s="8" t="inlineStr">
        <is>
          <t>HDSN</t>
        </is>
      </c>
      <c r="B44" s="16" t="inlineStr">
        <is>
          <t>Hudson Technologies, Inc.</t>
        </is>
      </c>
      <c r="C44" s="16" t="inlineStr">
        <is>
          <t>P/B 0.89 · 8.9× EBITDA · cash 10% · 52w 10%</t>
        </is>
      </c>
      <c r="D44" s="16" t="n"/>
      <c r="E44" s="28" t="n">
        <v>-8</v>
      </c>
      <c r="F44" s="36" t="n">
        <v>0</v>
      </c>
      <c r="G44" s="36" t="n">
        <v>100</v>
      </c>
      <c r="H44" s="16" t="inlineStr">
        <is>
          <t>–</t>
        </is>
      </c>
      <c r="I44" s="28" t="n">
        <v>7</v>
      </c>
      <c r="J44" s="15" t="n">
        <v>0.15</v>
      </c>
      <c r="K44" s="16" t="inlineStr">
        <is>
          <t>price supporter (market-hours)</t>
        </is>
      </c>
      <c r="L44" s="16" t="inlineStr">
        <is>
          <t>P/B 0.89 · EV/EBITDA 8.9× · FCF yld -16% · net cash 10% of mcap · rev +14% · op margin 5% · buying back 7%/yr</t>
        </is>
      </c>
    </row>
    <row r="45" ht="22" customHeight="1">
      <c r="A45" s="6" t="inlineStr">
        <is>
          <t>TFSL</t>
        </is>
      </c>
      <c r="B45" s="14" t="inlineStr">
        <is>
          <t>TFS Financial Corporation</t>
        </is>
      </c>
      <c r="C45" s="14" t="inlineStr">
        <is>
          <t>P/B 2.39 · P/E 45.4 · 52w 59%</t>
        </is>
      </c>
      <c r="D45" s="14" t="n"/>
      <c r="E45" s="27" t="n">
        <v>-8</v>
      </c>
      <c r="F45" s="35" t="n">
        <v>0</v>
      </c>
      <c r="G45" s="35" t="n">
        <v>100</v>
      </c>
      <c r="H45" s="14" t="inlineStr">
        <is>
          <t>–</t>
        </is>
      </c>
      <c r="I45" s="27" t="n">
        <v>3</v>
      </c>
      <c r="J45" s="13" t="n">
        <v>0.53</v>
      </c>
      <c r="K45" s="14" t="inlineStr">
        <is>
          <t>price supporter (market-hours)</t>
        </is>
      </c>
      <c r="L45" s="14" t="inlineStr">
        <is>
          <t>P/B 2.39 · P/E 45.4 · ROE 5% · div yld 7.0% (financial: book/earnings basis)</t>
        </is>
      </c>
    </row>
    <row r="46" ht="22" customHeight="1">
      <c r="A46" s="8" t="inlineStr">
        <is>
          <t>TONX</t>
        </is>
      </c>
      <c r="B46" s="16" t="inlineStr">
        <is>
          <t>TON Strategy Company</t>
        </is>
      </c>
      <c r="C46" s="16" t="inlineStr">
        <is>
          <t>P/B 0.58 · cash 12% · 52w 41%</t>
        </is>
      </c>
      <c r="D46" s="16" t="n"/>
      <c r="E46" s="28" t="n">
        <v>-8</v>
      </c>
      <c r="F46" s="36" t="n">
        <v>0</v>
      </c>
      <c r="G46" s="36" t="n">
        <v>100</v>
      </c>
      <c r="H46" s="16" t="inlineStr">
        <is>
          <t>–</t>
        </is>
      </c>
      <c r="I46" s="28" t="n">
        <v>4</v>
      </c>
      <c r="J46" s="15" t="n">
        <v>0.07000000000000001</v>
      </c>
      <c r="K46" s="16" t="inlineStr">
        <is>
          <t>price supporter (market-hours)</t>
        </is>
      </c>
      <c r="L46" s="16" t="inlineStr">
        <is>
          <t>P/B 0.58 · P/S 7.6 · FCF yld -13% · net cash 12% of mcap · op margin -105%  [revenue not comparable YoY (fair-value / one-off income?)]</t>
        </is>
      </c>
    </row>
    <row r="47" ht="22" customHeight="1">
      <c r="A47" s="6" t="inlineStr">
        <is>
          <t>NCDL</t>
        </is>
      </c>
      <c r="B47" s="14" t="inlineStr">
        <is>
          <t>Nuveen Churchill Direct Le</t>
        </is>
      </c>
      <c r="C47" s="14" t="inlineStr">
        <is>
          <t>P/B 0.69 · P/E 12.4 · 52w 1%</t>
        </is>
      </c>
      <c r="D47" s="14" t="n"/>
      <c r="E47" s="27" t="n">
        <v>-8</v>
      </c>
      <c r="F47" s="35" t="n">
        <v>0</v>
      </c>
      <c r="G47" s="35" t="n">
        <v>100</v>
      </c>
      <c r="H47" s="14" t="inlineStr">
        <is>
          <t>–</t>
        </is>
      </c>
      <c r="I47" s="27" t="n">
        <v>2</v>
      </c>
      <c r="J47" s="13" t="n">
        <v>0.12</v>
      </c>
      <c r="K47" s="14" t="inlineStr">
        <is>
          <t>price supporter (market-hours)</t>
        </is>
      </c>
      <c r="L47" s="14" t="inlineStr">
        <is>
          <t>P/B 0.69 · P/E 12.4 · ROE 5% · div yld 14.2% (financial: book/earnings basis)</t>
        </is>
      </c>
    </row>
    <row r="48" ht="22" customHeight="1">
      <c r="A48" s="8" t="inlineStr">
        <is>
          <t>RGR</t>
        </is>
      </c>
      <c r="B48" s="16" t="inlineStr">
        <is>
          <t>Sturm, Ruger &amp; Company, In</t>
        </is>
      </c>
      <c r="C48" s="16" t="inlineStr">
        <is>
          <t>P/B 2.31 · 23.0× EBITDA · cash 17% · 52w 68%</t>
        </is>
      </c>
      <c r="D48" s="16" t="n"/>
      <c r="E48" s="28" t="n">
        <v>-8</v>
      </c>
      <c r="F48" s="36" t="n">
        <v>0</v>
      </c>
      <c r="G48" s="36" t="n">
        <v>100</v>
      </c>
      <c r="H48" s="16" t="inlineStr">
        <is>
          <t>–</t>
        </is>
      </c>
      <c r="I48" s="28" t="n">
        <v>2</v>
      </c>
      <c r="J48" s="15" t="n">
        <v>0.23</v>
      </c>
      <c r="K48" s="16" t="inlineStr">
        <is>
          <t>price supporter (market-hours)</t>
        </is>
      </c>
      <c r="L48" s="16" t="inlineStr">
        <is>
          <t>P/B 2.31 · EV/EBITDA 23.0× · FCF yld 7% · net cash 17% of mcap · rev +8% · op margin 1%</t>
        </is>
      </c>
    </row>
    <row r="49" ht="22" customHeight="1">
      <c r="A49" s="6" t="inlineStr">
        <is>
          <t>ATLO</t>
        </is>
      </c>
      <c r="B49" s="14" t="inlineStr">
        <is>
          <t>Ames National Corporation</t>
        </is>
      </c>
      <c r="C49" s="14" t="inlineStr">
        <is>
          <t>P/B 1.31 · P/E 12.2 · 52w 91%</t>
        </is>
      </c>
      <c r="D49" s="14" t="n"/>
      <c r="E49" s="27" t="n">
        <v>-8</v>
      </c>
      <c r="F49" s="35" t="n">
        <v>0</v>
      </c>
      <c r="G49" s="35" t="n">
        <v>100</v>
      </c>
      <c r="H49" s="14" t="inlineStr">
        <is>
          <t>–</t>
        </is>
      </c>
      <c r="I49" s="27" t="n">
        <v>3</v>
      </c>
      <c r="J49" s="13" t="n">
        <v>0.01</v>
      </c>
      <c r="K49" s="14" t="inlineStr">
        <is>
          <t>price supporter (market-hours)</t>
        </is>
      </c>
      <c r="L49" s="14" t="inlineStr">
        <is>
          <t>P/B 1.31 · P/E 12.2 · ROE 11% · div yld 2.9% (financial: book/earnings basis)</t>
        </is>
      </c>
    </row>
    <row r="50" ht="22" customHeight="1">
      <c r="A50" s="8" t="inlineStr">
        <is>
          <t>CRESY</t>
        </is>
      </c>
      <c r="B50" s="16" t="inlineStr">
        <is>
          <t>Cresud S.A. Sponsored ADR</t>
        </is>
      </c>
      <c r="C50" s="16" t="inlineStr">
        <is>
          <t>P/B 0.95 · 7.0× EBITDA · debt 104% · 52w 71%</t>
        </is>
      </c>
      <c r="D50" s="16" t="n"/>
      <c r="E50" s="28" t="n">
        <v>-8</v>
      </c>
      <c r="F50" s="36" t="n">
        <v>0</v>
      </c>
      <c r="G50" s="36" t="n">
        <v>100</v>
      </c>
      <c r="H50" s="16" t="inlineStr">
        <is>
          <t>–</t>
        </is>
      </c>
      <c r="I50" s="28" t="n">
        <v>1</v>
      </c>
      <c r="J50" s="15" t="n">
        <v>0.71</v>
      </c>
      <c r="K50" s="16" t="inlineStr">
        <is>
          <t>price supporter (market-hours)</t>
        </is>
      </c>
      <c r="L50" s="16" t="inlineStr">
        <is>
          <t>P/B 0.95 · EV/EBITDA 7.0× · FCF yld 5% · net debt 104% of mcap · rev +19% · op margin 30% · diluting 13%/yr</t>
        </is>
      </c>
    </row>
    <row r="51" ht="22" customHeight="1">
      <c r="A51" s="6" t="inlineStr">
        <is>
          <t>CLH</t>
        </is>
      </c>
      <c r="B51" s="14" t="inlineStr">
        <is>
          <t>Clean Harbors, Inc.</t>
        </is>
      </c>
      <c r="C51" s="14" t="inlineStr">
        <is>
          <t>P/B 5.64 · 15.7× EBITDA · debt 15% · 52w 83%</t>
        </is>
      </c>
      <c r="D51" s="14" t="n"/>
      <c r="E51" s="27" t="n">
        <v>-8</v>
      </c>
      <c r="F51" s="35" t="n">
        <v>0</v>
      </c>
      <c r="G51" s="35" t="n">
        <v>100</v>
      </c>
      <c r="H51" s="14" t="inlineStr">
        <is>
          <t>–</t>
        </is>
      </c>
      <c r="I51" s="27" t="n">
        <v>1</v>
      </c>
      <c r="J51" s="13" t="n">
        <v>0.14</v>
      </c>
      <c r="K51" s="14" t="inlineStr">
        <is>
          <t>price supporter (market-hours)</t>
        </is>
      </c>
      <c r="L51" s="14" t="inlineStr">
        <is>
          <t>P/B 5.64 · EV/EBITDA 15.7× · FCF yld 1% · net debt 15% of mcap · rev +5% · op margin 12%</t>
        </is>
      </c>
    </row>
    <row r="52" ht="22" customHeight="1">
      <c r="A52" s="8" t="inlineStr">
        <is>
          <t>BWFG</t>
        </is>
      </c>
      <c r="B52" s="16" t="inlineStr">
        <is>
          <t>Bankwell Financial Group,</t>
        </is>
      </c>
      <c r="C52" s="16" t="inlineStr">
        <is>
          <t>P/B 1.61 · P/E 12.1 · 52w 86%</t>
        </is>
      </c>
      <c r="D52" s="16" t="n"/>
      <c r="E52" s="28" t="n">
        <v>-8</v>
      </c>
      <c r="F52" s="36" t="n">
        <v>0</v>
      </c>
      <c r="G52" s="36" t="n">
        <v>100</v>
      </c>
      <c r="H52" s="16" t="inlineStr">
        <is>
          <t>–</t>
        </is>
      </c>
      <c r="I52" s="28" t="n">
        <v>1</v>
      </c>
      <c r="J52" s="15" t="n">
        <v>0.1</v>
      </c>
      <c r="K52" s="16" t="inlineStr">
        <is>
          <t>price supporter (market-hours)</t>
        </is>
      </c>
      <c r="L52" s="16" t="inlineStr">
        <is>
          <t>P/B 1.61 · P/E 12.1 · ROE 14% · div yld 1.2% (financial: book/earnings basis)</t>
        </is>
      </c>
    </row>
    <row r="53" ht="22" customHeight="1">
      <c r="A53" s="6" t="inlineStr">
        <is>
          <t>N/A</t>
        </is>
      </c>
      <c r="B53" s="14" t="inlineStr">
        <is>
          <t>N/A</t>
        </is>
      </c>
      <c r="C53" s="14" t="n"/>
      <c r="D53" s="14" t="n"/>
      <c r="E53" s="27" t="n">
        <v>-8</v>
      </c>
      <c r="F53" s="35" t="n">
        <v>0</v>
      </c>
      <c r="G53" s="35" t="n">
        <v>100</v>
      </c>
      <c r="H53" s="14" t="inlineStr">
        <is>
          <t>–</t>
        </is>
      </c>
      <c r="I53" s="27" t="n">
        <v>2</v>
      </c>
      <c r="J53" s="13" t="n">
        <v>0.33</v>
      </c>
      <c r="K53" s="14" t="inlineStr">
        <is>
          <t>price supporter (market-hours)</t>
        </is>
      </c>
      <c r="L53" s="14" t="n"/>
    </row>
    <row r="54" ht="22" customHeight="1">
      <c r="A54" s="8" t="inlineStr">
        <is>
          <t>GF</t>
        </is>
      </c>
      <c r="B54" s="16" t="inlineStr">
        <is>
          <t>GF</t>
        </is>
      </c>
      <c r="C54" s="16" t="n"/>
      <c r="D54" s="16" t="n"/>
      <c r="E54" s="28" t="n">
        <v>-8</v>
      </c>
      <c r="F54" s="36" t="n">
        <v>0</v>
      </c>
      <c r="G54" s="36" t="n">
        <v>100</v>
      </c>
      <c r="H54" s="16" t="inlineStr">
        <is>
          <t>–</t>
        </is>
      </c>
      <c r="I54" s="28" t="n">
        <v>3</v>
      </c>
      <c r="J54" s="15" t="n">
        <v>0.45</v>
      </c>
      <c r="K54" s="16" t="inlineStr">
        <is>
          <t>price supporter (market-hours)</t>
        </is>
      </c>
      <c r="L54" s="16" t="n"/>
    </row>
    <row r="55" ht="22" customHeight="1">
      <c r="A55" s="6" t="inlineStr">
        <is>
          <t>MXF</t>
        </is>
      </c>
      <c r="B55" s="14" t="inlineStr">
        <is>
          <t>MXF</t>
        </is>
      </c>
      <c r="C55" s="14" t="n"/>
      <c r="D55" s="14" t="n"/>
      <c r="E55" s="27" t="n">
        <v>-8</v>
      </c>
      <c r="F55" s="35" t="n">
        <v>0</v>
      </c>
      <c r="G55" s="35" t="n">
        <v>100</v>
      </c>
      <c r="H55" s="14" t="inlineStr">
        <is>
          <t>–</t>
        </is>
      </c>
      <c r="I55" s="27" t="n">
        <v>3</v>
      </c>
      <c r="J55" s="13" t="n">
        <v>1.16</v>
      </c>
      <c r="K55" s="14" t="inlineStr">
        <is>
          <t>price supporter (market-hours)</t>
        </is>
      </c>
      <c r="L55" s="14" t="n"/>
    </row>
    <row r="56" ht="22" customHeight="1">
      <c r="A56" s="8" t="inlineStr">
        <is>
          <t>NAIFX</t>
        </is>
      </c>
      <c r="B56" s="16" t="inlineStr">
        <is>
          <t>NAIFX</t>
        </is>
      </c>
      <c r="C56" s="16" t="n"/>
      <c r="D56" s="16" t="n"/>
      <c r="E56" s="28" t="n">
        <v>-8</v>
      </c>
      <c r="F56" s="36" t="n">
        <v>0</v>
      </c>
      <c r="G56" s="36" t="n">
        <v>100</v>
      </c>
      <c r="H56" s="16" t="inlineStr">
        <is>
          <t>–</t>
        </is>
      </c>
      <c r="I56" s="28" t="n">
        <v>1</v>
      </c>
      <c r="J56" s="15" t="n">
        <v>0.01</v>
      </c>
      <c r="K56" s="16" t="inlineStr">
        <is>
          <t>price supporter (market-hours)</t>
        </is>
      </c>
      <c r="L56" s="16" t="n"/>
    </row>
    <row r="57" ht="22" customHeight="1">
      <c r="A57" s="6" t="inlineStr">
        <is>
          <t>TKO</t>
        </is>
      </c>
      <c r="B57" s="14" t="inlineStr">
        <is>
          <t>TKO Group Holdings, Inc.</t>
        </is>
      </c>
      <c r="C57" s="14" t="inlineStr">
        <is>
          <t>11.5× EBITDA · 52w 27%</t>
        </is>
      </c>
      <c r="D57" s="14" t="n"/>
      <c r="E57" s="27" t="n">
        <v>-8</v>
      </c>
      <c r="F57" s="35" t="n">
        <v>0</v>
      </c>
      <c r="G57" s="35" t="n">
        <v>100</v>
      </c>
      <c r="H57" s="14" t="inlineStr">
        <is>
          <t>–</t>
        </is>
      </c>
      <c r="I57" s="27" t="n">
        <v>3</v>
      </c>
      <c r="J57" s="13" t="n">
        <v>4.5</v>
      </c>
      <c r="K57" s="14" t="inlineStr">
        <is>
          <t>price supporter (market-hours)</t>
        </is>
      </c>
      <c r="L57" s="14" t="inlineStr">
        <is>
          <t>EV/EBITDA 11.5× · FCF yld 12% · rev +11% · op margin 20% · buying back 2%/yr  [market-cap/share data inconsistent]</t>
        </is>
      </c>
    </row>
    <row r="58"/>
    <row r="59" ht="28" customHeight="1">
      <c r="A59" s="17" t="inlineStr">
        <is>
          <t>303 names carry an insider filing-time read (245 follow / off-hours-weighted, 58 fade / market-hours-weighted). The score is dollar-weighted across a name's code-P buys: +12 for fully off-hours, -8 for fully market-hours, +3 for a Friday-evening buy — coefficients calibrated to the measured medians. This is the framework's one return-VALIDATED layer (form4_timing_pts in the consensus): the acceptance-datetime test showed off-hours buys carrying a positive median forward return (buy-to-now) and market-hours buys a negative one. NOTE: the mirror test on SELLS was inconclusive (see SOURCES_AND_ANALYSIS.md A7b) — ~85% of sells file after-hours by routine, so the tell is buy-side only. Source: form4_timing.py / form4_timing.json.</t>
        </is>
      </c>
    </row>
  </sheetData>
  <mergeCells count="3">
    <mergeCell ref="A2:K2"/>
    <mergeCell ref="A1:K1"/>
    <mergeCell ref="A59:K59"/>
  </mergeCells>
  <conditionalFormatting sqref="D5:D59">
    <cfRule type="dataBar" priority="1">
      <dataBar showValue="1">
        <cfvo type="num" val="0"/>
        <cfvo type="num" val="100"/>
        <color rgb="009DB9D3"/>
      </dataBar>
    </cfRule>
  </conditionalFormatting>
  <hyperlinks>
    <hyperlink xmlns:r="http://schemas.openxmlformats.org/officeDocument/2006/relationships" ref="A9" r:id="rId1"/>
    <hyperlink xmlns:r="http://schemas.openxmlformats.org/officeDocument/2006/relationships" ref="A24" r:id="rId2"/>
    <hyperlink xmlns:r="http://schemas.openxmlformats.org/officeDocument/2006/relationships" ref="A25" r:id="rId3"/>
    <hyperlink xmlns:r="http://schemas.openxmlformats.org/officeDocument/2006/relationships" ref="A38" r:id="rId4"/>
    <hyperlink xmlns:r="http://schemas.openxmlformats.org/officeDocument/2006/relationships" ref="A44" r:id="rId5"/>
  </hyperlinks>
  <printOptions horizontalCentered="0"/>
  <pageMargins left="0.5" right="0.5" top="0.6" bottom="0.6" header="0.5" footer="0.5"/>
  <pageSetup orientation="landscape" fitToHeight="0" fitToWidth="1"/>
</worksheet>
</file>

<file path=xl/worksheets/sheet26.xml><?xml version="1.0" encoding="utf-8"?>
<worksheet xmlns="http://schemas.openxmlformats.org/spreadsheetml/2006/main">
  <sheetPr>
    <tabColor rgb="0070AD47"/>
    <outlinePr summaryBelow="1" summaryRight="1"/>
    <pageSetUpPr fitToPage="1"/>
  </sheetPr>
  <dimension ref="A1:K51"/>
  <sheetViews>
    <sheetView showGridLines="0" workbookViewId="0">
      <pane ySplit="4" topLeftCell="A5" activePane="bottomLeft" state="frozen"/>
      <selection pane="bottomLeft" activeCell="A1" sqref="A1"/>
    </sheetView>
  </sheetViews>
  <sheetFormatPr baseColWidth="8" defaultRowHeight="15"/>
  <cols>
    <col width="9" customWidth="1" min="1" max="1"/>
    <col width="24" customWidth="1" min="2" max="2"/>
    <col width="30" customWidth="1" min="3" max="3"/>
    <col width="9" customWidth="1" min="4" max="4"/>
    <col width="8" customWidth="1" min="5" max="5"/>
    <col width="6" customWidth="1" min="6" max="6"/>
    <col width="30" customWidth="1" min="7" max="7"/>
    <col width="8" customWidth="1" min="8" max="8"/>
    <col width="8" customWidth="1" min="9" max="9"/>
    <col width="40" customWidth="1" min="10" max="10"/>
    <col width="62" customWidth="1" min="11" max="11"/>
  </cols>
  <sheetData>
    <row r="1" ht="26" customHeight="1">
      <c r="A1" s="1" t="inlineStr">
        <is>
          <t>MD&amp;A Intent — management's stated agenda, from the narrative</t>
        </is>
      </c>
    </row>
    <row r="2" ht="18" customHeight="1">
      <c r="A2" s="20" t="inlineStr">
        <is>
          <t>EDGAR exact-phrase scan of 10-K / 10-Q MD&amp;A for five families of revealed intent — value-unlock, transformative, capital-policy, governance-action, strategic-action. Rarity-weighted; convergence across families is the signal; negated / safe-harbour uses stripped.</t>
        </is>
      </c>
      <c r="B2" s="19" t="n"/>
      <c r="C2" s="19" t="n"/>
      <c r="D2" s="19" t="n"/>
      <c r="E2" s="19" t="n"/>
      <c r="F2" s="19" t="n"/>
      <c r="G2" s="19" t="n"/>
      <c r="H2" s="19" t="n"/>
      <c r="I2" s="19" t="n"/>
      <c r="J2" s="19" t="n"/>
    </row>
    <row r="3" ht="8" customHeight="1">
      <c r="D3" s="34" t="inlineStr">
        <is>
          <t>%ile vs all 483 names scored</t>
        </is>
      </c>
    </row>
    <row r="4" ht="18" customHeight="1">
      <c r="A4" s="12" t="inlineStr">
        <is>
          <t>Ticker</t>
        </is>
      </c>
      <c r="B4" s="12" t="inlineStr">
        <is>
          <t>Name</t>
        </is>
      </c>
      <c r="C4" s="12" t="inlineStr">
        <is>
          <t>Key numbers (FMP)</t>
        </is>
      </c>
      <c r="D4" s="12" t="inlineStr">
        <is>
          <t>Strength %ile</t>
        </is>
      </c>
      <c r="E4" s="4" t="inlineStr">
        <is>
          <t>Score</t>
        </is>
      </c>
      <c r="F4" s="4" t="inlineStr">
        <is>
          <t>Fam.</t>
        </is>
      </c>
      <c r="G4" s="4" t="inlineStr">
        <is>
          <t>Families</t>
        </is>
      </c>
      <c r="H4" s="4" t="inlineStr">
        <is>
          <t>Cheap</t>
        </is>
      </c>
      <c r="I4" s="4" t="inlineStr">
        <is>
          <t>Small</t>
        </is>
      </c>
      <c r="J4" s="4" t="inlineStr">
        <is>
          <t>Key phrases</t>
        </is>
      </c>
      <c r="K4" s="4" t="inlineStr">
        <is>
          <t>FMP financial read</t>
        </is>
      </c>
    </row>
    <row r="5" ht="22" customHeight="1">
      <c r="A5" s="6" t="inlineStr">
        <is>
          <t>LEVI</t>
        </is>
      </c>
      <c r="B5" s="14" t="inlineStr">
        <is>
          <t>Levi Strauss &amp; Co</t>
        </is>
      </c>
      <c r="C5" s="14" t="inlineStr">
        <is>
          <t>P/B 3.41 · 9.3× EBITDA · debt 17% · 52w 26%</t>
        </is>
      </c>
      <c r="D5" s="14" t="n">
        <v>100</v>
      </c>
      <c r="E5" s="27" t="n">
        <v>17</v>
      </c>
      <c r="F5" s="27" t="n">
        <v>3</v>
      </c>
      <c r="G5" s="14" t="inlineStr">
        <is>
          <t>value unlock, capital policy,</t>
        </is>
      </c>
      <c r="H5" s="14" t="inlineStr">
        <is>
          <t>–</t>
        </is>
      </c>
      <c r="I5" s="14" t="inlineStr">
        <is>
          <t>–</t>
        </is>
      </c>
      <c r="J5" s="14" t="inlineStr">
        <is>
          <t>review of strategic alternatives; capital allocation priorit</t>
        </is>
      </c>
      <c r="K5" s="14" t="inlineStr">
        <is>
          <t>P/B 3.41 · EV/EBITDA 9.3× · FCF yld 7% · net debt 17% of mcap · rev +4% · op margin 12% · buying back 2%/yr</t>
        </is>
      </c>
    </row>
    <row r="6" ht="22" customHeight="1">
      <c r="A6" s="8" t="inlineStr">
        <is>
          <t>AVAH</t>
        </is>
      </c>
      <c r="B6" s="16" t="inlineStr">
        <is>
          <t>Aveanna Healthcare Holdi</t>
        </is>
      </c>
      <c r="C6" s="16" t="inlineStr">
        <is>
          <t>P/B 9.79 · 13.9× EBITDA · debt 50% · 52w 80%</t>
        </is>
      </c>
      <c r="D6" s="16" t="n">
        <v>100</v>
      </c>
      <c r="E6" s="28" t="n">
        <v>22</v>
      </c>
      <c r="F6" s="28" t="n">
        <v>2</v>
      </c>
      <c r="G6" s="16" t="inlineStr">
        <is>
          <t>transformative, capital policy</t>
        </is>
      </c>
      <c r="H6" s="16" t="inlineStr">
        <is>
          <t>–</t>
        </is>
      </c>
      <c r="I6" s="16" t="inlineStr">
        <is>
          <t>✓</t>
        </is>
      </c>
      <c r="J6" s="16" t="inlineStr">
        <is>
          <t>transformative acquisition; reduce our net leverage</t>
        </is>
      </c>
      <c r="K6" s="16" t="inlineStr">
        <is>
          <t>P/B 9.79 · EV/EBITDA 13.9× · FCF yld 6% · net debt 50% of mcap · rev +20% · op margin 11% · diluting 7%/yr</t>
        </is>
      </c>
    </row>
    <row r="7" ht="22" customHeight="1">
      <c r="A7" s="6" t="inlineStr">
        <is>
          <t>BGSF</t>
        </is>
      </c>
      <c r="B7" s="14" t="inlineStr">
        <is>
          <t>BGSF, Inc.</t>
        </is>
      </c>
      <c r="C7" s="14" t="inlineStr">
        <is>
          <t>P/B 1.16 · cash 33% · 52w 41%</t>
        </is>
      </c>
      <c r="D7" s="14" t="n">
        <v>99</v>
      </c>
      <c r="E7" s="27" t="n">
        <v>15.5</v>
      </c>
      <c r="F7" s="27" t="n">
        <v>2</v>
      </c>
      <c r="G7" s="14" t="inlineStr">
        <is>
          <t>capital policy, value unlock</t>
        </is>
      </c>
      <c r="H7" s="14" t="inlineStr">
        <is>
          <t>✓</t>
        </is>
      </c>
      <c r="I7" s="14" t="inlineStr">
        <is>
          <t>✓</t>
        </is>
      </c>
      <c r="J7" s="14" t="inlineStr">
        <is>
          <t>maximize shareholder value; return capital to shareholders</t>
        </is>
      </c>
      <c r="K7" s="14" t="inlineStr">
        <is>
          <t>P/B 1.16 · P/S 0.6 · FCF yld -6% · net cash 33% of mcap · rev -59% · op margin -6% · buying back 4%/yr  [dividend yield &gt;25% (special or bad data)]</t>
        </is>
      </c>
    </row>
    <row r="8" ht="22" customHeight="1">
      <c r="A8" s="8" t="inlineStr">
        <is>
          <t>UNFI</t>
        </is>
      </c>
      <c r="B8" s="16" t="inlineStr">
        <is>
          <t>United Natural Foods, In</t>
        </is>
      </c>
      <c r="C8" s="16" t="inlineStr">
        <is>
          <t>P/B 1.69 · 9.0× EBITDA · debt 115% · 52w 56%</t>
        </is>
      </c>
      <c r="D8" s="16" t="n">
        <v>99</v>
      </c>
      <c r="E8" s="28" t="n">
        <v>15</v>
      </c>
      <c r="F8" s="28" t="n">
        <v>2</v>
      </c>
      <c r="G8" s="16" t="inlineStr">
        <is>
          <t>transformative, capital policy</t>
        </is>
      </c>
      <c r="H8" s="16" t="inlineStr">
        <is>
          <t>–</t>
        </is>
      </c>
      <c r="I8" s="16" t="inlineStr">
        <is>
          <t>–</t>
        </is>
      </c>
      <c r="J8" s="16" t="inlineStr">
        <is>
          <t>transformative acquisition; deleveraging</t>
        </is>
      </c>
      <c r="K8" s="16" t="inlineStr">
        <is>
          <t>P/B 1.69 · EV/EBITDA 9.0× · FCF yld 12% · net debt 115% of mcap · rev -0% · op margin 1% · diluting 4%/yr</t>
        </is>
      </c>
    </row>
    <row r="9" ht="22" customHeight="1">
      <c r="A9" s="6" t="inlineStr">
        <is>
          <t>BJRI</t>
        </is>
      </c>
      <c r="B9" s="14" t="inlineStr">
        <is>
          <t>BJ's Restaurants, Inc.</t>
        </is>
      </c>
      <c r="C9" s="14" t="inlineStr">
        <is>
          <t>P/B 3.23 · 13.5× EBITDA · debt 33% · 52w 71%</t>
        </is>
      </c>
      <c r="D9" s="14" t="n">
        <v>99</v>
      </c>
      <c r="E9" s="27" t="n">
        <v>14</v>
      </c>
      <c r="F9" s="27" t="n">
        <v>2</v>
      </c>
      <c r="G9" s="14" t="inlineStr">
        <is>
          <t>governance action, capital pol</t>
        </is>
      </c>
      <c r="H9" s="14" t="inlineStr">
        <is>
          <t>–</t>
        </is>
      </c>
      <c r="I9" s="14" t="inlineStr">
        <is>
          <t>✓</t>
        </is>
      </c>
      <c r="J9" s="14" t="inlineStr">
        <is>
          <t>return of capital to; cooperation agreement</t>
        </is>
      </c>
      <c r="K9" s="14" t="inlineStr">
        <is>
          <t>P/B 3.23 · EV/EBITDA 13.5× · FCF yld 3% · net debt 33% of mcap · rev +4% · op margin 3% · buying back 5%/yr</t>
        </is>
      </c>
    </row>
    <row r="10" ht="22" customHeight="1">
      <c r="A10" s="8" t="inlineStr">
        <is>
          <t>LITS</t>
        </is>
      </c>
      <c r="B10" s="16" t="inlineStr">
        <is>
          <t>Lite Strategy, Inc.</t>
        </is>
      </c>
      <c r="C10" s="16" t="inlineStr">
        <is>
          <t>52w 23%</t>
        </is>
      </c>
      <c r="D10" s="16" t="n">
        <v>98</v>
      </c>
      <c r="E10" s="28" t="n">
        <v>13</v>
      </c>
      <c r="F10" s="28" t="n">
        <v>2</v>
      </c>
      <c r="G10" s="16" t="inlineStr">
        <is>
          <t>value unlock, governance actio</t>
        </is>
      </c>
      <c r="H10" s="16" t="inlineStr">
        <is>
          <t>–</t>
        </is>
      </c>
      <c r="I10" s="16" t="inlineStr">
        <is>
          <t>–</t>
        </is>
      </c>
      <c r="J10" s="16" t="inlineStr">
        <is>
          <t>review of strategic alternatives; cooperation agreement</t>
        </is>
      </c>
      <c r="K10" s="16" t="inlineStr">
        <is>
          <t>P/S 0.0 · FCF yld -26% · op margin 0%  [market-cap/share data inconsistent]</t>
        </is>
      </c>
    </row>
    <row r="11" ht="22" customHeight="1">
      <c r="A11" s="6" t="inlineStr">
        <is>
          <t>DLX</t>
        </is>
      </c>
      <c r="B11" s="14" t="inlineStr">
        <is>
          <t>Deluxe Corporation</t>
        </is>
      </c>
      <c r="C11" s="14" t="inlineStr">
        <is>
          <t>P/B 1.55 · 6.3× EBITDA · debt 130% · 52w 44%</t>
        </is>
      </c>
      <c r="D11" s="14" t="n">
        <v>98</v>
      </c>
      <c r="E11" s="27" t="n">
        <v>13</v>
      </c>
      <c r="F11" s="27" t="n">
        <v>2</v>
      </c>
      <c r="G11" s="14" t="inlineStr">
        <is>
          <t>capital policy, strategic acti</t>
        </is>
      </c>
      <c r="H11" s="14" t="inlineStr">
        <is>
          <t>–</t>
        </is>
      </c>
      <c r="I11" s="14" t="inlineStr">
        <is>
          <t>✓</t>
        </is>
      </c>
      <c r="J11" s="14" t="inlineStr">
        <is>
          <t>return capital to shareholders; portfolio optimization</t>
        </is>
      </c>
      <c r="K11" s="14" t="inlineStr">
        <is>
          <t>P/B 1.55 · EV/EBITDA 6.3× · FCF yld 22% · net debt 130% of mcap · rev +0% · op margin 12% · diluting 3%/yr</t>
        </is>
      </c>
    </row>
    <row r="12" ht="22" customHeight="1">
      <c r="A12" s="8" t="inlineStr">
        <is>
          <t>PASG</t>
        </is>
      </c>
      <c r="B12" s="16" t="inlineStr">
        <is>
          <t>Passage Bio, Inc.</t>
        </is>
      </c>
      <c r="C12" s="16" t="inlineStr">
        <is>
          <t>P/B 3.60 · 0.2× EBITDA · cash 150% · 52w 10%</t>
        </is>
      </c>
      <c r="D12" s="16" t="n">
        <v>97</v>
      </c>
      <c r="E12" s="28" t="n">
        <v>11.5</v>
      </c>
      <c r="F12" s="28" t="n">
        <v>2</v>
      </c>
      <c r="G12" s="16" t="inlineStr">
        <is>
          <t>value unlock, strategic action</t>
        </is>
      </c>
      <c r="H12" s="16" t="inlineStr">
        <is>
          <t>–</t>
        </is>
      </c>
      <c r="I12" s="16" t="inlineStr">
        <is>
          <t>–</t>
        </is>
      </c>
      <c r="J12" s="16" t="inlineStr">
        <is>
          <t>review of strategic alternatives; maximize shareholder value</t>
        </is>
      </c>
      <c r="K12" s="16" t="inlineStr">
        <is>
          <t>P/B 3.60 · EV/EBITDA 0.2× · net cash 150% of mcap · op margin 0%  [FCF yield &gt;100% (check)]</t>
        </is>
      </c>
    </row>
    <row r="13" ht="22" customHeight="1">
      <c r="A13" s="6" t="inlineStr">
        <is>
          <t>NRDE</t>
        </is>
      </c>
      <c r="B13" s="14" t="inlineStr">
        <is>
          <t>NRDE</t>
        </is>
      </c>
      <c r="C13" s="14" t="inlineStr">
        <is>
          <t>P/B 68.33 · debt 29% · 52w 47%</t>
        </is>
      </c>
      <c r="D13" s="14" t="n">
        <v>94</v>
      </c>
      <c r="E13" s="27" t="n">
        <v>10</v>
      </c>
      <c r="F13" s="27" t="n">
        <v>2</v>
      </c>
      <c r="G13" s="14" t="inlineStr">
        <is>
          <t>strategic action, value unlock</t>
        </is>
      </c>
      <c r="H13" s="14" t="inlineStr">
        <is>
          <t>–</t>
        </is>
      </c>
      <c r="I13" s="14" t="inlineStr">
        <is>
          <t>–</t>
        </is>
      </c>
      <c r="J13" s="14" t="inlineStr">
        <is>
          <t>realize the value; sale of the company</t>
        </is>
      </c>
      <c r="K13" s="14" t="inlineStr">
        <is>
          <t>P/B 68.33 · P/S 0.0 · FCF yld -26% · net debt 29% of mcap · op margin 0% · buying back 8%/yr</t>
        </is>
      </c>
    </row>
    <row r="14" ht="22" customHeight="1">
      <c r="A14" s="8" t="inlineStr">
        <is>
          <t>CBUS</t>
        </is>
      </c>
      <c r="B14" s="16" t="inlineStr">
        <is>
          <t>Cibus, Inc.</t>
        </is>
      </c>
      <c r="C14" s="16" t="inlineStr">
        <is>
          <t>P/B 8.12 · debt 10% · 52w 16%</t>
        </is>
      </c>
      <c r="D14" s="16" t="n">
        <v>94</v>
      </c>
      <c r="E14" s="28" t="n">
        <v>10</v>
      </c>
      <c r="F14" s="28" t="n">
        <v>2</v>
      </c>
      <c r="G14" s="16" t="inlineStr">
        <is>
          <t>strategic action, value unlock</t>
        </is>
      </c>
      <c r="H14" s="16" t="inlineStr">
        <is>
          <t>–</t>
        </is>
      </c>
      <c r="I14" s="16" t="inlineStr">
        <is>
          <t>–</t>
        </is>
      </c>
      <c r="J14" s="16" t="inlineStr">
        <is>
          <t>maximize shareholder value; cost reduction program</t>
        </is>
      </c>
      <c r="K14" s="16" t="inlineStr">
        <is>
          <t>P/B 8.12 · P/S 27.4 · FCF yld -39% · net debt 10% of mcap · rev -6% · diluting 84%/yr · interest cover -2.9× ⚠</t>
        </is>
      </c>
    </row>
    <row r="15" ht="22" customHeight="1">
      <c r="A15" s="6" t="inlineStr">
        <is>
          <t>LW</t>
        </is>
      </c>
      <c r="B15" s="14" t="inlineStr">
        <is>
          <t>Lamb Weston Holdings, In</t>
        </is>
      </c>
      <c r="C15" s="14" t="inlineStr">
        <is>
          <t>P/B 3.41 · 10.3× EBITDA · debt 64% · 52w 26%</t>
        </is>
      </c>
      <c r="D15" s="14" t="n">
        <v>92</v>
      </c>
      <c r="E15" s="27" t="n">
        <v>9.5</v>
      </c>
      <c r="F15" s="27" t="n">
        <v>2</v>
      </c>
      <c r="G15" s="14" t="inlineStr">
        <is>
          <t>capital policy, strategic acti</t>
        </is>
      </c>
      <c r="H15" s="14" t="inlineStr">
        <is>
          <t>–</t>
        </is>
      </c>
      <c r="I15" s="14" t="inlineStr">
        <is>
          <t>–</t>
        </is>
      </c>
      <c r="J15" s="14" t="inlineStr">
        <is>
          <t>return capital to shareholders; restructuring plan</t>
        </is>
      </c>
      <c r="K15" s="14" t="inlineStr">
        <is>
          <t>P/B 3.41 · EV/EBITDA 10.3× · FCF yld 10% · net debt 64% of mcap · rev +2% · op margin 9% · buying back 3%/yr</t>
        </is>
      </c>
    </row>
    <row r="16" ht="22" customHeight="1">
      <c r="A16" s="8" t="inlineStr">
        <is>
          <t>TFX</t>
        </is>
      </c>
      <c r="B16" s="16" t="inlineStr">
        <is>
          <t>Teleflex Incorporated</t>
        </is>
      </c>
      <c r="C16" s="16" t="inlineStr">
        <is>
          <t>P/B 1.89 · debt 47% · 52w 53%</t>
        </is>
      </c>
      <c r="D16" s="16" t="n">
        <v>92</v>
      </c>
      <c r="E16" s="28" t="n">
        <v>9.5</v>
      </c>
      <c r="F16" s="28" t="n">
        <v>2</v>
      </c>
      <c r="G16" s="16" t="inlineStr">
        <is>
          <t>capital policy, strategic acti</t>
        </is>
      </c>
      <c r="H16" s="16" t="inlineStr">
        <is>
          <t>–</t>
        </is>
      </c>
      <c r="I16" s="16" t="inlineStr">
        <is>
          <t>–</t>
        </is>
      </c>
      <c r="J16" s="16" t="inlineStr">
        <is>
          <t>return capital to shareholders; restructuring plan</t>
        </is>
      </c>
      <c r="K16" s="16" t="inlineStr">
        <is>
          <t>P/B 1.89 · P/S 2.1 · FCF yld 7% · net debt 47% of mcap · rev -14% · op margin 3% · buying back 5%/yr · interest cover 0.7× ⚠</t>
        </is>
      </c>
    </row>
    <row r="17" ht="22" customHeight="1">
      <c r="A17" s="6" t="inlineStr">
        <is>
          <t>HLI</t>
        </is>
      </c>
      <c r="B17" s="14" t="inlineStr">
        <is>
          <t>Houlihan Lokey, Inc.</t>
        </is>
      </c>
      <c r="C17" s="14" t="inlineStr">
        <is>
          <t>P/B 3.97 · P/E 21.5 · 52w 18%</t>
        </is>
      </c>
      <c r="D17" s="14" t="n">
        <v>92</v>
      </c>
      <c r="E17" s="27" t="n">
        <v>9.5</v>
      </c>
      <c r="F17" s="27" t="n">
        <v>2</v>
      </c>
      <c r="G17" s="14" t="inlineStr">
        <is>
          <t>strategic action, capital poli</t>
        </is>
      </c>
      <c r="H17" s="14" t="inlineStr">
        <is>
          <t>–</t>
        </is>
      </c>
      <c r="I17" s="14" t="inlineStr">
        <is>
          <t>–</t>
        </is>
      </c>
      <c r="J17" s="14" t="inlineStr">
        <is>
          <t>deleveraging; sale of the company</t>
        </is>
      </c>
      <c r="K17" s="14" t="inlineStr">
        <is>
          <t>P/B 3.97 · P/E 21.5 · ROE 18% · div yld 2.0% (financial: book/earnings basis)</t>
        </is>
      </c>
    </row>
    <row r="18" ht="22" customHeight="1">
      <c r="A18" s="8" t="inlineStr">
        <is>
          <t>LHX</t>
        </is>
      </c>
      <c r="B18" s="16" t="inlineStr">
        <is>
          <t>L3Harris Technologies, I</t>
        </is>
      </c>
      <c r="C18" s="16" t="inlineStr">
        <is>
          <t>P/B 2.15 · 14.6× EBITDA · debt 21% · 52w 2%</t>
        </is>
      </c>
      <c r="D18" s="16" t="n">
        <v>86</v>
      </c>
      <c r="E18" s="28" t="n">
        <v>8.5</v>
      </c>
      <c r="F18" s="28" t="n">
        <v>2</v>
      </c>
      <c r="G18" s="16" t="inlineStr">
        <is>
          <t>strategic action, value unlock</t>
        </is>
      </c>
      <c r="H18" s="16" t="inlineStr">
        <is>
          <t>–</t>
        </is>
      </c>
      <c r="I18" s="16" t="inlineStr">
        <is>
          <t>–</t>
        </is>
      </c>
      <c r="J18" s="16" t="inlineStr">
        <is>
          <t>monetization of; portfolio optimization</t>
        </is>
      </c>
      <c r="K18" s="16" t="inlineStr">
        <is>
          <t>P/B 2.15 · EV/EBITDA 14.6× · FCF yld 6% · net debt 21% of mcap · rev +7% · op margin 10%</t>
        </is>
      </c>
    </row>
    <row r="19" ht="22" customHeight="1">
      <c r="A19" s="6" t="inlineStr">
        <is>
          <t>CD</t>
        </is>
      </c>
      <c r="B19" s="14" t="inlineStr">
        <is>
          <t>Chaince Digital Holdings</t>
        </is>
      </c>
      <c r="C19" s="14" t="inlineStr">
        <is>
          <t>P/B 7.19 · 52w 6%</t>
        </is>
      </c>
      <c r="D19" s="14" t="n">
        <v>77</v>
      </c>
      <c r="E19" s="27" t="n">
        <v>8</v>
      </c>
      <c r="F19" s="27" t="n">
        <v>2</v>
      </c>
      <c r="G19" s="14" t="inlineStr">
        <is>
          <t>capital policy, strategic acti</t>
        </is>
      </c>
      <c r="H19" s="14" t="inlineStr">
        <is>
          <t>–</t>
        </is>
      </c>
      <c r="I19" s="14" t="inlineStr">
        <is>
          <t>–</t>
        </is>
      </c>
      <c r="J19" s="14" t="inlineStr">
        <is>
          <t>capital allocation priorities; wind down</t>
        </is>
      </c>
      <c r="K19" s="14" t="inlineStr">
        <is>
          <t>P/B 7.19 · ROE -16% · diluting 23%/yr (financial: book/earnings basis)</t>
        </is>
      </c>
    </row>
    <row r="20" ht="22" customHeight="1">
      <c r="A20" s="8" t="inlineStr">
        <is>
          <t>EQS</t>
        </is>
      </c>
      <c r="B20" s="16" t="inlineStr">
        <is>
          <t>Equus Total Return Inc</t>
        </is>
      </c>
      <c r="C20" s="16" t="inlineStr">
        <is>
          <t>P/B 0.82 · 52w 2%</t>
        </is>
      </c>
      <c r="D20" s="16" t="n">
        <v>70</v>
      </c>
      <c r="E20" s="28" t="n">
        <v>7.2</v>
      </c>
      <c r="F20" s="28" t="n">
        <v>2</v>
      </c>
      <c r="G20" s="16" t="inlineStr">
        <is>
          <t>transformative, value unlock</t>
        </is>
      </c>
      <c r="H20" s="16" t="inlineStr">
        <is>
          <t>–</t>
        </is>
      </c>
      <c r="I20" s="16" t="inlineStr">
        <is>
          <t>–</t>
        </is>
      </c>
      <c r="J20" s="16" t="inlineStr">
        <is>
          <t>exploring strategic alternatives; transformative transaction [neg]</t>
        </is>
      </c>
      <c r="K20" s="16" t="inlineStr">
        <is>
          <t>P/B 0.82 · ROE -92% · diluting 3%/yr (financial: book/earnings basis)</t>
        </is>
      </c>
    </row>
    <row r="21" ht="22" customHeight="1">
      <c r="A21" s="6" t="inlineStr">
        <is>
          <t>SCTH</t>
        </is>
      </c>
      <c r="B21" s="14" t="inlineStr">
        <is>
          <t>SCTH</t>
        </is>
      </c>
      <c r="C21" s="14" t="inlineStr">
        <is>
          <t>P/B 31.15 · debt 2% · 52w 74%</t>
        </is>
      </c>
      <c r="D21" s="14" t="n">
        <v>67</v>
      </c>
      <c r="E21" s="27" t="n">
        <v>6.2</v>
      </c>
      <c r="F21" s="27" t="n">
        <v>2</v>
      </c>
      <c r="G21" s="14" t="inlineStr">
        <is>
          <t>value unlock, strategic action</t>
        </is>
      </c>
      <c r="H21" s="14" t="inlineStr">
        <is>
          <t>–</t>
        </is>
      </c>
      <c r="I21" s="14" t="inlineStr">
        <is>
          <t>–</t>
        </is>
      </c>
      <c r="J21" s="14" t="inlineStr">
        <is>
          <t>unlock shareholder value; portfolio optimization [neg]</t>
        </is>
      </c>
      <c r="K21" s="14" t="inlineStr">
        <is>
          <t>P/B 31.15 · P/S 25.1 · FCF yld -1% · net debt 2% of mcap · op margin -2% · buying back 52%/yr  [revenue not comparable YoY (fair-value / one-off income?)]</t>
        </is>
      </c>
    </row>
    <row r="22" ht="22" customHeight="1">
      <c r="A22" s="8" t="inlineStr">
        <is>
          <t>WKC</t>
        </is>
      </c>
      <c r="B22" s="16" t="inlineStr">
        <is>
          <t>World Kinect Corporation</t>
        </is>
      </c>
      <c r="C22" s="16" t="inlineStr">
        <is>
          <t>P/B 1.48 · 77.9× EBITDA · debt 33% · 52w 75%</t>
        </is>
      </c>
      <c r="D22" s="16" t="n">
        <v>64</v>
      </c>
      <c r="E22" s="28" t="n">
        <v>5.8</v>
      </c>
      <c r="F22" s="28" t="n">
        <v>2</v>
      </c>
      <c r="G22" s="16" t="inlineStr">
        <is>
          <t>value unlock, strategic action</t>
        </is>
      </c>
      <c r="H22" s="16" t="inlineStr">
        <is>
          <t>✓</t>
        </is>
      </c>
      <c r="I22" s="16" t="inlineStr">
        <is>
          <t>✓</t>
        </is>
      </c>
      <c r="J22" s="16" t="inlineStr">
        <is>
          <t>realize the value; restructuring plan [neg]</t>
        </is>
      </c>
      <c r="K22" s="16" t="inlineStr">
        <is>
          <t>P/B 1.48 · EV/EBITDA 77.9× · FCF yld -1% · net debt 33% of mcap · rev +8% · op margin 1% · buying back 8%/yr · interest cover -150.0× ⚠</t>
        </is>
      </c>
    </row>
    <row r="23" ht="22" customHeight="1">
      <c r="A23" s="6" t="inlineStr">
        <is>
          <t>OPTU</t>
        </is>
      </c>
      <c r="B23" s="14" t="inlineStr">
        <is>
          <t>Optimum Communications,</t>
        </is>
      </c>
      <c r="C23" s="14" t="inlineStr">
        <is>
          <t>87.2× EBITDA · 52w 24%</t>
        </is>
      </c>
      <c r="D23" s="14" t="n">
        <v>64</v>
      </c>
      <c r="E23" s="27" t="n">
        <v>5.8</v>
      </c>
      <c r="F23" s="27" t="n">
        <v>2</v>
      </c>
      <c r="G23" s="14" t="inlineStr">
        <is>
          <t>governance action, strategic a</t>
        </is>
      </c>
      <c r="H23" s="14" t="inlineStr">
        <is>
          <t>–</t>
        </is>
      </c>
      <c r="I23" s="14" t="inlineStr">
        <is>
          <t>✓</t>
        </is>
      </c>
      <c r="J23" s="14" t="inlineStr">
        <is>
          <t>cooperation agreement; sale of the company [neg]</t>
        </is>
      </c>
      <c r="K23" s="14" t="inlineStr">
        <is>
          <t>EV/EBITDA 87.2× · FCF yld -44% · rev -4% · op margin -0% · buying back 5%/yr  [negative equity]</t>
        </is>
      </c>
    </row>
    <row r="24" ht="22" customHeight="1">
      <c r="A24" s="8" t="inlineStr">
        <is>
          <t>RYAM</t>
        </is>
      </c>
      <c r="B24" s="16" t="inlineStr">
        <is>
          <t>Rayonier Advanced Materi</t>
        </is>
      </c>
      <c r="C24" s="16" t="inlineStr">
        <is>
          <t>P/B 3.22 · 8.7× EBITDA · debt 114% · 52w 61%</t>
        </is>
      </c>
      <c r="D24" s="16" t="n">
        <v>64</v>
      </c>
      <c r="E24" s="28" t="n">
        <v>5.6</v>
      </c>
      <c r="F24" s="28" t="n">
        <v>2</v>
      </c>
      <c r="G24" s="16" t="inlineStr">
        <is>
          <t>value unlock, capital policy</t>
        </is>
      </c>
      <c r="H24" s="16" t="inlineStr">
        <is>
          <t>–</t>
        </is>
      </c>
      <c r="I24" s="16" t="inlineStr">
        <is>
          <t>✓</t>
        </is>
      </c>
      <c r="J24" s="16" t="inlineStr">
        <is>
          <t>review of strategic alternatives; deleveraging [neg]</t>
        </is>
      </c>
      <c r="K24" s="16" t="inlineStr">
        <is>
          <t>P/B 3.22 · EV/EBITDA 8.7× · FCF yld -6% · net debt 114% of mcap · rev -4% · op margin -3% · interest cover -0.5× ⚠</t>
        </is>
      </c>
    </row>
    <row r="25" ht="22" customHeight="1">
      <c r="A25" s="6" t="inlineStr">
        <is>
          <t>HYFM</t>
        </is>
      </c>
      <c r="B25" s="14" t="inlineStr">
        <is>
          <t>Hydrofarm Holdings Group</t>
        </is>
      </c>
      <c r="C25" s="14" t="inlineStr">
        <is>
          <t>52w 16%</t>
        </is>
      </c>
      <c r="D25" s="14" t="n">
        <v>64</v>
      </c>
      <c r="E25" s="27" t="n">
        <v>5.6</v>
      </c>
      <c r="F25" s="27" t="n">
        <v>2</v>
      </c>
      <c r="G25" s="14" t="inlineStr">
        <is>
          <t>value unlock, strategic action</t>
        </is>
      </c>
      <c r="H25" s="14" t="inlineStr">
        <is>
          <t>–</t>
        </is>
      </c>
      <c r="I25" s="14" t="inlineStr">
        <is>
          <t>✓</t>
        </is>
      </c>
      <c r="J25" s="14" t="inlineStr">
        <is>
          <t>exploring strategic alternatives; restructuring plan [neg]</t>
        </is>
      </c>
      <c r="K25" s="14" t="inlineStr">
        <is>
          <t>P/S 0.0 · FCF yld -92% · rev -34% · op margin -30% · diluting 3%/yr  [negative equity]</t>
        </is>
      </c>
    </row>
    <row r="26" ht="22" customHeight="1">
      <c r="A26" s="8" t="inlineStr">
        <is>
          <t>PKOH</t>
        </is>
      </c>
      <c r="B26" s="16" t="inlineStr">
        <is>
          <t>Park-Ohio Holdings Corp.</t>
        </is>
      </c>
      <c r="C26" s="16" t="inlineStr">
        <is>
          <t>P/B 1.71 · 12.0× EBITDA · debt 98% · 52w 81%</t>
        </is>
      </c>
      <c r="D26" s="16" t="n">
        <v>48</v>
      </c>
      <c r="E26" s="28" t="n">
        <v>4.6</v>
      </c>
      <c r="F26" s="28" t="n">
        <v>2</v>
      </c>
      <c r="G26" s="16" t="inlineStr">
        <is>
          <t>value unlock, strategic action</t>
        </is>
      </c>
      <c r="H26" s="16" t="inlineStr">
        <is>
          <t>–</t>
        </is>
      </c>
      <c r="I26" s="16" t="inlineStr">
        <is>
          <t>–</t>
        </is>
      </c>
      <c r="J26" s="16" t="inlineStr">
        <is>
          <t>review of strategic alternatives; portfolio optimization [neg]</t>
        </is>
      </c>
      <c r="K26" s="16" t="inlineStr">
        <is>
          <t>P/B 1.71 · EV/EBITDA 12.0× · FCF yld 3% · net debt 98% of mcap · rev +3% · op margin 5% · diluting 2%/yr</t>
        </is>
      </c>
    </row>
    <row r="27" ht="22" customHeight="1">
      <c r="A27" s="6" t="inlineStr">
        <is>
          <t>COUR</t>
        </is>
      </c>
      <c r="B27" s="14" t="inlineStr">
        <is>
          <t>Coursera, Inc.</t>
        </is>
      </c>
      <c r="C27" s="14" t="inlineStr">
        <is>
          <t>P/B 0.81 · cash 103% · 52w 2%</t>
        </is>
      </c>
      <c r="D27" s="14" t="n">
        <v>99</v>
      </c>
      <c r="E27" s="27" t="n">
        <v>15</v>
      </c>
      <c r="F27" s="27" t="n">
        <v>1</v>
      </c>
      <c r="G27" s="14" t="inlineStr">
        <is>
          <t>transformative</t>
        </is>
      </c>
      <c r="H27" s="14" t="inlineStr">
        <is>
          <t>✓</t>
        </is>
      </c>
      <c r="I27" s="14" t="inlineStr">
        <is>
          <t>✓</t>
        </is>
      </c>
      <c r="J27" s="14" t="inlineStr">
        <is>
          <t>transformational transaction</t>
        </is>
      </c>
      <c r="K27" s="14" t="inlineStr">
        <is>
          <t>P/B 0.81 · P/S 1.1 · FCF yld 3% · net cash 103% of mcap · rev +23% · op margin -18% · diluting 24%/yr</t>
        </is>
      </c>
    </row>
    <row r="28" ht="22" customHeight="1">
      <c r="A28" s="8" t="inlineStr">
        <is>
          <t>GORO</t>
        </is>
      </c>
      <c r="B28" s="16" t="inlineStr">
        <is>
          <t>Gold Resource Corporatio</t>
        </is>
      </c>
      <c r="C28" s="16" t="inlineStr">
        <is>
          <t>6.2× EBITDA · 52w 34%</t>
        </is>
      </c>
      <c r="D28" s="16" t="n">
        <v>99</v>
      </c>
      <c r="E28" s="28" t="n">
        <v>13.5</v>
      </c>
      <c r="F28" s="28" t="n">
        <v>1</v>
      </c>
      <c r="G28" s="16" t="inlineStr">
        <is>
          <t>value unlock</t>
        </is>
      </c>
      <c r="H28" s="16" t="inlineStr">
        <is>
          <t>✓</t>
        </is>
      </c>
      <c r="I28" s="16" t="inlineStr">
        <is>
          <t>✓</t>
        </is>
      </c>
      <c r="J28" s="16" t="inlineStr">
        <is>
          <t>review of strategic alternatives; unlock the value; maximize</t>
        </is>
      </c>
      <c r="K28" s="16" t="inlineStr">
        <is>
          <t>EV/EBITDA 6.2× · FCF yld 5% · rev +177% · op margin 31% · buying back 43%/yr  [negative equity]</t>
        </is>
      </c>
    </row>
    <row r="29" ht="22" customHeight="1">
      <c r="A29" s="6" t="inlineStr">
        <is>
          <t>TBPH</t>
        </is>
      </c>
      <c r="B29" s="14" t="inlineStr">
        <is>
          <t>Theravance Biopharma, In</t>
        </is>
      </c>
      <c r="C29" s="14" t="inlineStr">
        <is>
          <t>P/B 3.05 · 10.2× EBITDA · cash 40% · 52w 50%</t>
        </is>
      </c>
      <c r="D29" s="14" t="n">
        <v>98</v>
      </c>
      <c r="E29" s="27" t="n">
        <v>13</v>
      </c>
      <c r="F29" s="27" t="n">
        <v>1</v>
      </c>
      <c r="G29" s="14" t="inlineStr">
        <is>
          <t>value unlock</t>
        </is>
      </c>
      <c r="H29" s="14" t="inlineStr">
        <is>
          <t>–</t>
        </is>
      </c>
      <c r="I29" s="14" t="inlineStr">
        <is>
          <t>✓</t>
        </is>
      </c>
      <c r="J29" s="14" t="inlineStr">
        <is>
          <t>unlock shareholder value; realize the value; maximize shareh</t>
        </is>
      </c>
      <c r="K29" s="14" t="inlineStr">
        <is>
          <t>P/B 3.05 · EV/EBITDA 10.2× · FCF yld 6% · net cash 40% of mcap · rev +35% · op margin 4%</t>
        </is>
      </c>
    </row>
    <row r="30" ht="22" customHeight="1">
      <c r="A30" s="8" t="inlineStr">
        <is>
          <t>HLLY</t>
        </is>
      </c>
      <c r="B30" s="16" t="inlineStr">
        <is>
          <t>Holley Inc.</t>
        </is>
      </c>
      <c r="C30" s="16" t="inlineStr">
        <is>
          <t>P/B 0.67 · 8.9× EBITDA · debt 154% · 52w 8%</t>
        </is>
      </c>
      <c r="D30" s="16" t="n">
        <v>98</v>
      </c>
      <c r="E30" s="28" t="n">
        <v>13</v>
      </c>
      <c r="F30" s="28" t="n">
        <v>1</v>
      </c>
      <c r="G30" s="16" t="inlineStr">
        <is>
          <t>strategic action</t>
        </is>
      </c>
      <c r="H30" s="16" t="inlineStr">
        <is>
          <t>✓</t>
        </is>
      </c>
      <c r="I30" s="16" t="inlineStr">
        <is>
          <t>✓</t>
        </is>
      </c>
      <c r="J30" s="16" t="inlineStr">
        <is>
          <t>exit non-core</t>
        </is>
      </c>
      <c r="K30" s="16" t="inlineStr">
        <is>
          <t>P/B 0.67 · EV/EBITDA 8.9× · FCF yld 12% · net debt 154% of mcap · rev +3% · op margin 9% · interest cover 1.4× ⚠</t>
        </is>
      </c>
    </row>
    <row r="31" ht="22" customHeight="1">
      <c r="A31" s="6" t="inlineStr">
        <is>
          <t>M</t>
        </is>
      </c>
      <c r="B31" s="14" t="inlineStr">
        <is>
          <t>Macy's Inc</t>
        </is>
      </c>
      <c r="C31" s="14" t="inlineStr">
        <is>
          <t>P/B 1.21 · 4.7× EBITDA · debt 64% · 52w 62%</t>
        </is>
      </c>
      <c r="D31" s="14" t="n">
        <v>98</v>
      </c>
      <c r="E31" s="27" t="n">
        <v>12.5</v>
      </c>
      <c r="F31" s="27" t="n">
        <v>1</v>
      </c>
      <c r="G31" s="14" t="inlineStr">
        <is>
          <t>value unlock</t>
        </is>
      </c>
      <c r="H31" s="14" t="inlineStr">
        <is>
          <t>✓</t>
        </is>
      </c>
      <c r="I31" s="14" t="inlineStr">
        <is>
          <t>–</t>
        </is>
      </c>
      <c r="J31" s="14" t="inlineStr">
        <is>
          <t>unlock shareholder value; monetization of</t>
        </is>
      </c>
      <c r="K31" s="14" t="inlineStr">
        <is>
          <t>P/B 1.21 · EV/EBITDA 4.7× · FCF yld 25% · net debt 64% of mcap · rev +0% · op margin 5% · buying back 2%/yr</t>
        </is>
      </c>
    </row>
    <row r="32" ht="22" customHeight="1">
      <c r="A32" s="8" t="inlineStr">
        <is>
          <t>SCYX</t>
        </is>
      </c>
      <c r="B32" s="16" t="inlineStr">
        <is>
          <t>SCYNEXIS, Inc.</t>
        </is>
      </c>
      <c r="C32" s="16" t="inlineStr">
        <is>
          <t>P/B 0.44 · cash 176% · 52w 21%</t>
        </is>
      </c>
      <c r="D32" s="16" t="n">
        <v>97</v>
      </c>
      <c r="E32" s="28" t="n">
        <v>12</v>
      </c>
      <c r="F32" s="28" t="n">
        <v>1</v>
      </c>
      <c r="G32" s="16" t="inlineStr">
        <is>
          <t>transformative</t>
        </is>
      </c>
      <c r="H32" s="16" t="inlineStr">
        <is>
          <t>–</t>
        </is>
      </c>
      <c r="I32" s="16" t="inlineStr">
        <is>
          <t>✓</t>
        </is>
      </c>
      <c r="J32" s="16" t="inlineStr">
        <is>
          <t>transformative acquisition</t>
        </is>
      </c>
      <c r="K32" s="16" t="inlineStr">
        <is>
          <t>P/B 0.44 · P/S 1.5 · FCF yld -46% · net cash 176% of mcap · op margin -118% · diluting 90%/yr  [revenue not comparable YoY (fair-value / one-off income?)]</t>
        </is>
      </c>
    </row>
    <row r="33" ht="22" customHeight="1">
      <c r="A33" s="6" t="inlineStr">
        <is>
          <t>SENS</t>
        </is>
      </c>
      <c r="B33" s="14" t="inlineStr">
        <is>
          <t>Senseonics Holdings, Inc</t>
        </is>
      </c>
      <c r="C33" s="14" t="inlineStr">
        <is>
          <t>P/B 4.60 · cash 19% · 52w 76%</t>
        </is>
      </c>
      <c r="D33" s="14" t="n">
        <v>97</v>
      </c>
      <c r="E33" s="27" t="n">
        <v>12</v>
      </c>
      <c r="F33" s="27" t="n">
        <v>1</v>
      </c>
      <c r="G33" s="14" t="inlineStr">
        <is>
          <t>transformative</t>
        </is>
      </c>
      <c r="H33" s="14" t="inlineStr">
        <is>
          <t>–</t>
        </is>
      </c>
      <c r="I33" s="14" t="inlineStr">
        <is>
          <t>✓</t>
        </is>
      </c>
      <c r="J33" s="14" t="inlineStr">
        <is>
          <t>transformative transaction</t>
        </is>
      </c>
      <c r="K33" s="14" t="inlineStr">
        <is>
          <t>P/B 4.60 · P/S 8.6 · FCF yld -23% · net cash 19% of mcap · rev +91% · op margin -223% · diluting 94%/yr</t>
        </is>
      </c>
    </row>
    <row r="34" ht="22" customHeight="1">
      <c r="A34" s="8" t="inlineStr">
        <is>
          <t>LE</t>
        </is>
      </c>
      <c r="B34" s="16" t="inlineStr">
        <is>
          <t>Lands' End, Inc.</t>
        </is>
      </c>
      <c r="C34" s="16" t="inlineStr">
        <is>
          <t>P/B 0.65 · 0.7× EBITDA · debt 19% · 52w 8%</t>
        </is>
      </c>
      <c r="D34" s="16" t="n">
        <v>97</v>
      </c>
      <c r="E34" s="28" t="n">
        <v>11.5</v>
      </c>
      <c r="F34" s="28" t="n">
        <v>1</v>
      </c>
      <c r="G34" s="16" t="inlineStr">
        <is>
          <t>value unlock</t>
        </is>
      </c>
      <c r="H34" s="16" t="inlineStr">
        <is>
          <t>✓</t>
        </is>
      </c>
      <c r="I34" s="16" t="inlineStr">
        <is>
          <t>✓</t>
        </is>
      </c>
      <c r="J34" s="16" t="inlineStr">
        <is>
          <t>exploring strategic alternatives; maximize shareholder value</t>
        </is>
      </c>
      <c r="K34" s="16" t="inlineStr">
        <is>
          <t>P/B 0.65 · EV/EBITDA 0.7× · FCF yld -23% · net debt 19% of mcap · rev +0% · op margin 2% · buying back 2%/yr · interest cover 0.8× ⚠</t>
        </is>
      </c>
    </row>
    <row r="35" ht="22" customHeight="1">
      <c r="A35" s="6" t="inlineStr">
        <is>
          <t>COTY</t>
        </is>
      </c>
      <c r="B35" s="14" t="inlineStr">
        <is>
          <t>Coty Inc.</t>
        </is>
      </c>
      <c r="C35" s="14" t="inlineStr">
        <is>
          <t>P/B 0.75 · 67.6× EBITDA · debt 143% · 52w 30%</t>
        </is>
      </c>
      <c r="D35" s="14" t="n">
        <v>97</v>
      </c>
      <c r="E35" s="27" t="n">
        <v>11.5</v>
      </c>
      <c r="F35" s="27" t="n">
        <v>1</v>
      </c>
      <c r="G35" s="14" t="inlineStr">
        <is>
          <t>capital policy</t>
        </is>
      </c>
      <c r="H35" s="14" t="inlineStr">
        <is>
          <t>✓</t>
        </is>
      </c>
      <c r="I35" s="14" t="inlineStr">
        <is>
          <t>✓</t>
        </is>
      </c>
      <c r="J35" s="14" t="inlineStr">
        <is>
          <t>reduce our leverage; deleveraging</t>
        </is>
      </c>
      <c r="K35" s="14" t="inlineStr">
        <is>
          <t>P/B 0.75 · EV/EBITDA 67.6× · FCF yld 15% · net debt 143% of mcap · rev -5% · op margin 5% · interest cover 1.4× ⚠</t>
        </is>
      </c>
    </row>
    <row r="36" ht="22" customHeight="1">
      <c r="A36" s="8" t="inlineStr">
        <is>
          <t>FULC</t>
        </is>
      </c>
      <c r="B36" s="16" t="inlineStr">
        <is>
          <t>Fulcrum Therapeutics, In</t>
        </is>
      </c>
      <c r="C36" s="16" t="inlineStr">
        <is>
          <t>P/B 0.94 · cash 107% · 52w 8%</t>
        </is>
      </c>
      <c r="D36" s="16" t="n">
        <v>96</v>
      </c>
      <c r="E36" s="28" t="n">
        <v>11</v>
      </c>
      <c r="F36" s="28" t="n">
        <v>1</v>
      </c>
      <c r="G36" s="16" t="inlineStr">
        <is>
          <t>value unlock</t>
        </is>
      </c>
      <c r="H36" s="16" t="inlineStr">
        <is>
          <t>✓</t>
        </is>
      </c>
      <c r="I36" s="16" t="inlineStr">
        <is>
          <t>✓</t>
        </is>
      </c>
      <c r="J36" s="16" t="inlineStr">
        <is>
          <t>review of strategic alternatives</t>
        </is>
      </c>
      <c r="K36" s="16" t="inlineStr">
        <is>
          <t>P/B 0.94 · P/S 0.0 · FCF yld -23% · net cash 107% of mcap · op margin 0% · diluting 22%/yr</t>
        </is>
      </c>
    </row>
    <row r="37" ht="22" customHeight="1">
      <c r="A37" s="6" t="inlineStr">
        <is>
          <t>NEUP</t>
        </is>
      </c>
      <c r="B37" s="14" t="inlineStr">
        <is>
          <t>Neuphoria Therapeutics I</t>
        </is>
      </c>
      <c r="C37" s="14" t="inlineStr">
        <is>
          <t>P/B 0.68 · cash 97% · 52w 3%</t>
        </is>
      </c>
      <c r="D37" s="14" t="n">
        <v>96</v>
      </c>
      <c r="E37" s="27" t="n">
        <v>11</v>
      </c>
      <c r="F37" s="27" t="n">
        <v>1</v>
      </c>
      <c r="G37" s="14" t="inlineStr">
        <is>
          <t>value unlock</t>
        </is>
      </c>
      <c r="H37" s="14" t="inlineStr">
        <is>
          <t>✓</t>
        </is>
      </c>
      <c r="I37" s="14" t="inlineStr">
        <is>
          <t>✓</t>
        </is>
      </c>
      <c r="J37" s="14" t="inlineStr">
        <is>
          <t>review of strategic alternatives</t>
        </is>
      </c>
      <c r="K37" s="14" t="inlineStr">
        <is>
          <t>P/B 0.68 · P/S 17.0 · net cash 97% of mcap · rev -58%  [FCF yield &gt;100% (check)]</t>
        </is>
      </c>
    </row>
    <row r="38" ht="22" customHeight="1">
      <c r="A38" s="8" t="inlineStr">
        <is>
          <t>AGPU</t>
        </is>
      </c>
      <c r="B38" s="16" t="inlineStr">
        <is>
          <t>Axe Compute Inc.</t>
        </is>
      </c>
      <c r="C38" s="16" t="inlineStr">
        <is>
          <t>P/B 3.94 · cash 15% · 52w 34%</t>
        </is>
      </c>
      <c r="D38" s="16" t="n">
        <v>96</v>
      </c>
      <c r="E38" s="28" t="n">
        <v>11</v>
      </c>
      <c r="F38" s="28" t="n">
        <v>1</v>
      </c>
      <c r="G38" s="16" t="inlineStr">
        <is>
          <t>value unlock</t>
        </is>
      </c>
      <c r="H38" s="16" t="inlineStr">
        <is>
          <t>✓</t>
        </is>
      </c>
      <c r="I38" s="16" t="inlineStr">
        <is>
          <t>✓</t>
        </is>
      </c>
      <c r="J38" s="16" t="inlineStr">
        <is>
          <t>exploring strategic alternatives</t>
        </is>
      </c>
      <c r="K38" s="16" t="inlineStr">
        <is>
          <t>P/B 3.94 · P/S 41.5 · FCF yld -4% · net cash 15% of mcap  [new entity / merger: history not comparable]</t>
        </is>
      </c>
    </row>
    <row r="39" ht="22" customHeight="1">
      <c r="A39" s="6" t="inlineStr">
        <is>
          <t>CMTL</t>
        </is>
      </c>
      <c r="B39" s="14" t="inlineStr">
        <is>
          <t>Comtech Telecommunicatio</t>
        </is>
      </c>
      <c r="C39" s="14" t="inlineStr">
        <is>
          <t>P/B 0.16 · 5.7× EBITDA · debt 515% · 52w 1%</t>
        </is>
      </c>
      <c r="D39" s="14" t="n">
        <v>96</v>
      </c>
      <c r="E39" s="27" t="n">
        <v>11</v>
      </c>
      <c r="F39" s="27" t="n">
        <v>1</v>
      </c>
      <c r="G39" s="14" t="inlineStr">
        <is>
          <t>value unlock</t>
        </is>
      </c>
      <c r="H39" s="14" t="inlineStr">
        <is>
          <t>✓</t>
        </is>
      </c>
      <c r="I39" s="14" t="inlineStr">
        <is>
          <t>✓</t>
        </is>
      </c>
      <c r="J39" s="14" t="inlineStr">
        <is>
          <t>exploring strategic alternatives</t>
        </is>
      </c>
      <c r="K39" s="14" t="inlineStr">
        <is>
          <t>P/B 0.16 · EV/EBITDA 5.7× · FCF yld 36% · net debt 515% of mcap · rev -4% · op margin 0% · interest cover 0.0× ⚠</t>
        </is>
      </c>
    </row>
    <row r="40" ht="22" customHeight="1">
      <c r="A40" s="8" t="inlineStr">
        <is>
          <t>HAIN</t>
        </is>
      </c>
      <c r="B40" s="16" t="inlineStr">
        <is>
          <t>The Hain Celestial Group</t>
        </is>
      </c>
      <c r="C40" s="16" t="inlineStr">
        <is>
          <t>P/B 0.23 · debt 1111% · 52w 6%</t>
        </is>
      </c>
      <c r="D40" s="16" t="n">
        <v>96</v>
      </c>
      <c r="E40" s="28" t="n">
        <v>11</v>
      </c>
      <c r="F40" s="28" t="n">
        <v>1</v>
      </c>
      <c r="G40" s="16" t="inlineStr">
        <is>
          <t>value unlock</t>
        </is>
      </c>
      <c r="H40" s="16" t="inlineStr">
        <is>
          <t>✓</t>
        </is>
      </c>
      <c r="I40" s="16" t="inlineStr">
        <is>
          <t>✓</t>
        </is>
      </c>
      <c r="J40" s="16" t="inlineStr">
        <is>
          <t>exploring strategic alternatives</t>
        </is>
      </c>
      <c r="K40" s="16" t="inlineStr">
        <is>
          <t>P/B 0.23 · P/S 0.0 · net debt 1111% of mcap · rev -9% · op margin 2% · interest cover 0.5× ⚠  [FCF yield &gt;100% (check)]</t>
        </is>
      </c>
    </row>
    <row r="41" ht="22" customHeight="1">
      <c r="A41" s="6" t="inlineStr">
        <is>
          <t>EGY</t>
        </is>
      </c>
      <c r="B41" s="14" t="inlineStr">
        <is>
          <t>VAALCO Energy, Inc.</t>
        </is>
      </c>
      <c r="C41" s="14" t="inlineStr">
        <is>
          <t>P/B 1.60 · 47.0× EBITDA · debt 6% · 52w 74%</t>
        </is>
      </c>
      <c r="D41" s="14" t="n">
        <v>96</v>
      </c>
      <c r="E41" s="27" t="n">
        <v>11</v>
      </c>
      <c r="F41" s="27" t="n">
        <v>1</v>
      </c>
      <c r="G41" s="14" t="inlineStr">
        <is>
          <t>value unlock</t>
        </is>
      </c>
      <c r="H41" s="14" t="inlineStr">
        <is>
          <t>–</t>
        </is>
      </c>
      <c r="I41" s="14" t="inlineStr">
        <is>
          <t>✓</t>
        </is>
      </c>
      <c r="J41" s="14" t="inlineStr">
        <is>
          <t>unlock the value</t>
        </is>
      </c>
      <c r="K41" s="14" t="inlineStr">
        <is>
          <t>P/B 1.60 · EV/EBITDA 47.0× · FCF yld -41% · net debt 6% of mcap · rev -30% · op margin 9%</t>
        </is>
      </c>
    </row>
    <row r="42" ht="22" customHeight="1">
      <c r="A42" s="8" t="inlineStr">
        <is>
          <t>ETN</t>
        </is>
      </c>
      <c r="B42" s="16" t="inlineStr">
        <is>
          <t>Eaton Corporation, PLC</t>
        </is>
      </c>
      <c r="C42" s="16" t="inlineStr">
        <is>
          <t>P/B 8.44 · 29.5× EBITDA · debt 12% · 52w 77%</t>
        </is>
      </c>
      <c r="D42" s="16" t="n">
        <v>96</v>
      </c>
      <c r="E42" s="28" t="n">
        <v>11</v>
      </c>
      <c r="F42" s="28" t="n">
        <v>1</v>
      </c>
      <c r="G42" s="16" t="inlineStr">
        <is>
          <t>strategic action</t>
        </is>
      </c>
      <c r="H42" s="16" t="inlineStr">
        <is>
          <t>–</t>
        </is>
      </c>
      <c r="I42" s="16" t="inlineStr">
        <is>
          <t>–</t>
        </is>
      </c>
      <c r="J42" s="16" t="inlineStr">
        <is>
          <t>pursue a spin-off; planned separation</t>
        </is>
      </c>
      <c r="K42" s="16" t="inlineStr">
        <is>
          <t>P/B 8.44 · EV/EBITDA 29.5× · FCF yld 3% · net debt 12% of mcap · rev +16% · op margin 18%</t>
        </is>
      </c>
    </row>
    <row r="43" ht="22" customHeight="1">
      <c r="A43" s="6" t="inlineStr">
        <is>
          <t>HUN</t>
        </is>
      </c>
      <c r="B43" s="14" t="inlineStr">
        <is>
          <t>Huntsman Corporation</t>
        </is>
      </c>
      <c r="C43" s="14" t="inlineStr">
        <is>
          <t>P/B 0.60 · 13.3× EBITDA · debt 133% · 52w 22%</t>
        </is>
      </c>
      <c r="D43" s="14" t="n">
        <v>96</v>
      </c>
      <c r="E43" s="27" t="n">
        <v>11</v>
      </c>
      <c r="F43" s="27" t="n">
        <v>1</v>
      </c>
      <c r="G43" s="14" t="inlineStr">
        <is>
          <t>strategic action</t>
        </is>
      </c>
      <c r="H43" s="14" t="inlineStr">
        <is>
          <t>✓</t>
        </is>
      </c>
      <c r="I43" s="14" t="inlineStr">
        <is>
          <t>–</t>
        </is>
      </c>
      <c r="J43" s="14" t="inlineStr">
        <is>
          <t>planned separation</t>
        </is>
      </c>
      <c r="K43" s="14" t="inlineStr">
        <is>
          <t>P/B 0.60 · EV/EBITDA 13.3× · FCF yld -1% · net debt 133% of mcap · rev +1% · op margin -0% · interest cover -0.1× ⚠</t>
        </is>
      </c>
    </row>
    <row r="44" ht="22" customHeight="1">
      <c r="A44" s="8" t="inlineStr">
        <is>
          <t>USAR</t>
        </is>
      </c>
      <c r="B44" s="16" t="inlineStr">
        <is>
          <t>USA Rare Earth, Inc.</t>
        </is>
      </c>
      <c r="C44" s="16" t="inlineStr">
        <is>
          <t>P/B 0.84 · cash 74% · 52w 14%</t>
        </is>
      </c>
      <c r="D44" s="16" t="n">
        <v>94</v>
      </c>
      <c r="E44" s="28" t="n">
        <v>10</v>
      </c>
      <c r="F44" s="28" t="n">
        <v>1</v>
      </c>
      <c r="G44" s="16" t="inlineStr">
        <is>
          <t>transformative</t>
        </is>
      </c>
      <c r="H44" s="16" t="inlineStr">
        <is>
          <t>–</t>
        </is>
      </c>
      <c r="I44" s="16" t="inlineStr">
        <is>
          <t>–</t>
        </is>
      </c>
      <c r="J44" s="16" t="inlineStr">
        <is>
          <t>transformative acquisition; inflection point</t>
        </is>
      </c>
      <c r="K44" s="16" t="inlineStr">
        <is>
          <t>P/B 0.84 · P/S 161.9 · FCF yld -12% · net cash 74% of mcap  [new entity / merger: history not comparable]</t>
        </is>
      </c>
    </row>
    <row r="45" ht="22" customHeight="1">
      <c r="A45" s="6" t="inlineStr">
        <is>
          <t>TBI</t>
        </is>
      </c>
      <c r="B45" s="14" t="inlineStr">
        <is>
          <t>TrueBlue, Inc.</t>
        </is>
      </c>
      <c r="C45" s="14" t="inlineStr">
        <is>
          <t>P/B 1.17 · debt 39% · 52w 84%</t>
        </is>
      </c>
      <c r="D45" s="14" t="n">
        <v>94</v>
      </c>
      <c r="E45" s="27" t="n">
        <v>10</v>
      </c>
      <c r="F45" s="27" t="n">
        <v>1</v>
      </c>
      <c r="G45" s="14" t="inlineStr">
        <is>
          <t>governance action</t>
        </is>
      </c>
      <c r="H45" s="14" t="inlineStr">
        <is>
          <t>✓</t>
        </is>
      </c>
      <c r="I45" s="14" t="inlineStr">
        <is>
          <t>✓</t>
        </is>
      </c>
      <c r="J45" s="14" t="inlineStr">
        <is>
          <t>cooperation agreement</t>
        </is>
      </c>
      <c r="K45" s="14" t="inlineStr">
        <is>
          <t>P/B 1.17 · P/S 0.2 · FCF yld -23% · net debt 39% of mcap · rev +10% · op margin -1% · interest cover -10.3× ⚠</t>
        </is>
      </c>
    </row>
    <row r="46" ht="22" customHeight="1">
      <c r="A46" s="8" t="inlineStr">
        <is>
          <t>ONL</t>
        </is>
      </c>
      <c r="B46" s="16" t="inlineStr">
        <is>
          <t>Orion Properties Inc.</t>
        </is>
      </c>
      <c r="C46" s="16" t="inlineStr">
        <is>
          <t>P/B 0.23 · debt 301% · 52w 56%</t>
        </is>
      </c>
      <c r="D46" s="16" t="n">
        <v>94</v>
      </c>
      <c r="E46" s="28" t="n">
        <v>10</v>
      </c>
      <c r="F46" s="28" t="n">
        <v>1</v>
      </c>
      <c r="G46" s="16" t="inlineStr">
        <is>
          <t>governance action</t>
        </is>
      </c>
      <c r="H46" s="16" t="inlineStr">
        <is>
          <t>✓</t>
        </is>
      </c>
      <c r="I46" s="16" t="inlineStr">
        <is>
          <t>✓</t>
        </is>
      </c>
      <c r="J46" s="16" t="inlineStr">
        <is>
          <t>cooperation agreement</t>
        </is>
      </c>
      <c r="K46" s="16" t="inlineStr">
        <is>
          <t>P/B 0.23 · P/S 1.0 · FCF yld -34% · net debt 301% of mcap · rev -6% · op margin -48% · diluting 3%/yr · interest cover -2.1× ⚠</t>
        </is>
      </c>
    </row>
    <row r="47" ht="22" customHeight="1">
      <c r="A47" s="6" t="inlineStr">
        <is>
          <t>GCO</t>
        </is>
      </c>
      <c r="B47" s="14" t="inlineStr">
        <is>
          <t>Genesco Inc.</t>
        </is>
      </c>
      <c r="C47" s="14" t="inlineStr">
        <is>
          <t>P/B 0.75 · 11.2× EBITDA · debt 152% · 52w 60%</t>
        </is>
      </c>
      <c r="D47" s="14" t="n">
        <v>94</v>
      </c>
      <c r="E47" s="27" t="n">
        <v>10</v>
      </c>
      <c r="F47" s="27" t="n">
        <v>1</v>
      </c>
      <c r="G47" s="14" t="inlineStr">
        <is>
          <t>strategic action</t>
        </is>
      </c>
      <c r="H47" s="14" t="inlineStr">
        <is>
          <t>✓</t>
        </is>
      </c>
      <c r="I47" s="14" t="inlineStr">
        <is>
          <t>✓</t>
        </is>
      </c>
      <c r="J47" s="14" t="inlineStr">
        <is>
          <t>cost reduction program</t>
        </is>
      </c>
      <c r="K47" s="14" t="inlineStr">
        <is>
          <t>P/B 0.75 · EV/EBITDA 11.2× · FCF yld 36% · net debt 152% of mcap · rev +3% · op margin 1% · buying back 5%/yr</t>
        </is>
      </c>
    </row>
    <row r="48" ht="22" customHeight="1">
      <c r="A48" s="8" t="inlineStr">
        <is>
          <t>HOFT</t>
        </is>
      </c>
      <c r="B48" s="16" t="inlineStr">
        <is>
          <t>Hooker Furnishings Corpo</t>
        </is>
      </c>
      <c r="C48" s="16" t="inlineStr">
        <is>
          <t>P/B 0.84 · debt 20% · 52w 49%</t>
        </is>
      </c>
      <c r="D48" s="16" t="n">
        <v>94</v>
      </c>
      <c r="E48" s="28" t="n">
        <v>10</v>
      </c>
      <c r="F48" s="28" t="n">
        <v>1</v>
      </c>
      <c r="G48" s="16" t="inlineStr">
        <is>
          <t>strategic action</t>
        </is>
      </c>
      <c r="H48" s="16" t="inlineStr">
        <is>
          <t>✓</t>
        </is>
      </c>
      <c r="I48" s="16" t="inlineStr">
        <is>
          <t>✓</t>
        </is>
      </c>
      <c r="J48" s="16" t="inlineStr">
        <is>
          <t>cost reduction program</t>
        </is>
      </c>
      <c r="K48" s="16" t="inlineStr">
        <is>
          <t>P/B 0.84 · P/S 0.5 · FCF yld 17% · net debt 20% of mcap · rev -6% · op margin -5% · interest cover -28.2× ⚠</t>
        </is>
      </c>
    </row>
    <row r="49" ht="22" customHeight="1">
      <c r="A49" s="6" t="inlineStr">
        <is>
          <t>KUST</t>
        </is>
      </c>
      <c r="B49" s="14" t="inlineStr">
        <is>
          <t>Kustom Entertainment, In</t>
        </is>
      </c>
      <c r="C49" s="14" t="inlineStr">
        <is>
          <t>P/B 0.36 · debt 133% · 52w 0%</t>
        </is>
      </c>
      <c r="D49" s="14" t="n">
        <v>94</v>
      </c>
      <c r="E49" s="27" t="n">
        <v>10</v>
      </c>
      <c r="F49" s="27" t="n">
        <v>1</v>
      </c>
      <c r="G49" s="14" t="inlineStr">
        <is>
          <t>strategic action</t>
        </is>
      </c>
      <c r="H49" s="14" t="inlineStr">
        <is>
          <t>✓</t>
        </is>
      </c>
      <c r="I49" s="14" t="inlineStr">
        <is>
          <t>✓</t>
        </is>
      </c>
      <c r="J49" s="14" t="inlineStr">
        <is>
          <t>cost reduction program</t>
        </is>
      </c>
      <c r="K49" s="14" t="inlineStr">
        <is>
          <t>P/B 0.36 · P/S 0.1 · net debt 133% of mcap · rev -28% · op margin -79% · interest cover -32.0× ⚠  [FCF yield &gt;100% (check)]</t>
        </is>
      </c>
    </row>
    <row r="50"/>
    <row r="51" ht="28" customHeight="1">
      <c r="A51" s="17" t="inlineStr">
        <is>
          <t>483 names show MD&amp;A intent language (top 45 by family convergence then score); 22 span two or more families. Each phrase is one EDGAR full-text exact-phrase query restricted to 10-K/10-Q, so the population is every filer using that language in the last ~180 days. Phrases are RARITY-weighted — distinctive intent ('sum-of-the-parts', 'transformational transaction', 'pursue a spin-off', 'monetize non-core') scores high; generic language ('deleveraging', 'restructuring plan') is damped when it saturates the result cap, and rewarded mainly on CONVERGENCE (several families on one name = a coordinated agenda). Top candidates are text-verified so NEGATED / safe-harbour uses ('no assurance we will unlock value') are stripped or discounted ([neg]). This layer scores stated INTENT from the narrative, so it leads the event layers (tender/spinoff/buyback/activist) rather than duplicating them. Source: mda_scan.py.</t>
        </is>
      </c>
    </row>
  </sheetData>
  <mergeCells count="3">
    <mergeCell ref="A1:J1"/>
    <mergeCell ref="A2:J2"/>
    <mergeCell ref="A51:J51"/>
  </mergeCells>
  <conditionalFormatting sqref="D5:D51">
    <cfRule type="dataBar" priority="1">
      <dataBar showValue="1">
        <cfvo type="num" val="0"/>
        <cfvo type="num" val="100"/>
        <color rgb="009DB9D3"/>
      </dataBar>
    </cfRule>
  </conditionalFormatting>
  <hyperlinks>
    <hyperlink xmlns:r="http://schemas.openxmlformats.org/officeDocument/2006/relationships" ref="A15" r:id="rId1"/>
    <hyperlink xmlns:r="http://schemas.openxmlformats.org/officeDocument/2006/relationships" ref="A34" r:id="rId2"/>
    <hyperlink xmlns:r="http://schemas.openxmlformats.org/officeDocument/2006/relationships" ref="A39" r:id="rId3"/>
    <hyperlink xmlns:r="http://schemas.openxmlformats.org/officeDocument/2006/relationships" ref="A40" r:id="rId4"/>
    <hyperlink xmlns:r="http://schemas.openxmlformats.org/officeDocument/2006/relationships" ref="A42" r:id="rId5"/>
    <hyperlink xmlns:r="http://schemas.openxmlformats.org/officeDocument/2006/relationships" ref="A44" r:id="rId6"/>
  </hyperlinks>
  <printOptions horizontalCentered="0"/>
  <pageMargins left="0.5" right="0.5" top="0.6" bottom="0.6" header="0.5" footer="0.5"/>
  <pageSetup orientation="landscape" fitToHeight="0" fitToWidth="1"/>
</worksheet>
</file>

<file path=xl/worksheets/sheet27.xml><?xml version="1.0" encoding="utf-8"?>
<worksheet xmlns="http://schemas.openxmlformats.org/spreadsheetml/2006/main">
  <sheetPr>
    <tabColor rgb="0070AD47"/>
    <outlinePr summaryBelow="1" summaryRight="1"/>
    <pageSetUpPr fitToPage="1"/>
  </sheetPr>
  <dimension ref="A1:M51"/>
  <sheetViews>
    <sheetView showGridLines="0" workbookViewId="0">
      <pane ySplit="4" topLeftCell="A5" activePane="bottomLeft" state="frozen"/>
      <selection pane="bottomLeft" activeCell="A1" sqref="A1"/>
    </sheetView>
  </sheetViews>
  <sheetFormatPr baseColWidth="8" defaultRowHeight="15"/>
  <cols>
    <col width="9" customWidth="1" min="1" max="1"/>
    <col width="26" customWidth="1" min="2" max="2"/>
    <col width="30" customWidth="1" min="3" max="3"/>
    <col width="9" customWidth="1" min="4" max="4"/>
    <col width="48" customWidth="1" min="5" max="5"/>
    <col width="11" customWidth="1" min="6" max="6"/>
    <col width="9" customWidth="1" min="7" max="7"/>
    <col width="9" customWidth="1" min="8" max="8"/>
    <col width="9" customWidth="1" min="9" max="9"/>
    <col width="10" customWidth="1" min="10" max="10"/>
    <col width="46" customWidth="1" min="11" max="11"/>
    <col width="40" customWidth="1" min="12" max="12"/>
    <col width="62" customWidth="1" min="13" max="13"/>
  </cols>
  <sheetData>
    <row r="1" ht="26" customHeight="1">
      <c r="A1" s="1" t="inlineStr">
        <is>
          <t>Governance / PSU / Incentive-Structure Improvers</t>
        </is>
      </c>
    </row>
    <row r="2" ht="18" customHeight="1">
      <c r="A2" s="20" t="inlineStr">
        <is>
          <t>Names whose latest proxy tightened the incentive architecture vs the prior plan · rarity-weighted (rare deltas score high, post-2023-rule boilerplate scores low)</t>
        </is>
      </c>
      <c r="B2" s="19" t="n"/>
      <c r="C2" s="19" t="n"/>
      <c r="D2" s="19" t="n"/>
      <c r="E2" s="19" t="n"/>
      <c r="F2" s="19" t="n"/>
      <c r="G2" s="19" t="n"/>
      <c r="H2" s="19" t="n"/>
      <c r="I2" s="19" t="n"/>
      <c r="J2" s="19" t="n"/>
      <c r="K2" s="19" t="n"/>
      <c r="L2" s="19" t="n"/>
    </row>
    <row r="3" ht="8" customHeight="1">
      <c r="D3" s="34" t="inlineStr">
        <is>
          <t>%ile vs the 45 names on this tab</t>
        </is>
      </c>
    </row>
    <row r="4" ht="18" customHeight="1">
      <c r="A4" s="12" t="inlineStr">
        <is>
          <t>Ticker</t>
        </is>
      </c>
      <c r="B4" s="12" t="inlineStr">
        <is>
          <t>Name</t>
        </is>
      </c>
      <c r="C4" s="12" t="inlineStr">
        <is>
          <t>Key numbers (FMP)</t>
        </is>
      </c>
      <c r="D4" s="12" t="inlineStr">
        <is>
          <t>Strength %ile</t>
        </is>
      </c>
      <c r="E4" s="12" t="inlineStr">
        <is>
          <t>PSU plan (grade)</t>
        </is>
      </c>
      <c r="F4" s="4" t="inlineStr">
        <is>
          <t>Improve</t>
        </is>
      </c>
      <c r="G4" s="4" t="inlineStr">
        <is>
          <t>PSU core</t>
        </is>
      </c>
      <c r="H4" s="4" t="inlineStr">
        <is>
          <t>Gov</t>
        </is>
      </c>
      <c r="I4" s="4" t="inlineStr">
        <is>
          <t>PSU %</t>
        </is>
      </c>
      <c r="J4" s="4" t="inlineStr">
        <is>
          <t>P/B</t>
        </is>
      </c>
      <c r="K4" s="4" t="inlineStr">
        <is>
          <t>What improved</t>
        </is>
      </c>
      <c r="L4" s="4" t="inlineStr">
        <is>
          <t>Caveats / date</t>
        </is>
      </c>
      <c r="M4" s="4" t="inlineStr">
        <is>
          <t>FMP financial read</t>
        </is>
      </c>
    </row>
    <row r="5" ht="24" customHeight="1">
      <c r="A5" s="6" t="inlineStr">
        <is>
          <t>FTV</t>
        </is>
      </c>
      <c r="B5" s="14" t="inlineStr">
        <is>
          <t>Fortive Corporation</t>
        </is>
      </c>
      <c r="C5" s="14" t="inlineStr">
        <is>
          <t>P/B 2.80 · 18.7× EBITDA · debt 18% · 52w 52%</t>
        </is>
      </c>
      <c r="D5" s="14" t="n">
        <v>99</v>
      </c>
      <c r="E5" s="14" t="inlineStr">
        <is>
          <t>A · 3-yr · relative TSR, revenue, absolute TSR · paid 60%</t>
        </is>
      </c>
      <c r="F5" s="27" t="n">
        <v>66</v>
      </c>
      <c r="G5" s="13" t="n">
        <v>52.2</v>
      </c>
      <c r="H5" s="13" t="n">
        <v>15</v>
      </c>
      <c r="I5" s="35" t="n">
        <v>85</v>
      </c>
      <c r="J5" s="27" t="n">
        <v>2.801603580998581</v>
      </c>
      <c r="K5" s="14" t="inlineStr">
        <is>
          <t>new performance metric; PSU weight increased; clawback strengthened; vesting period extend</t>
        </is>
      </c>
      <c r="L5" s="14" t="inlineStr">
        <is>
          <t>2026-04-29</t>
        </is>
      </c>
      <c r="M5" s="14" t="inlineStr">
        <is>
          <t>P/B 2.80 · EV/EBITDA 18.7× · FCF yld 6% · net debt 18% of mcap · rev -30% · op margin 18% · buying back 10%/yr</t>
        </is>
      </c>
    </row>
    <row r="6" ht="24" customHeight="1">
      <c r="A6" s="8" t="inlineStr">
        <is>
          <t>DT</t>
        </is>
      </c>
      <c r="B6" s="16" t="inlineStr">
        <is>
          <t>Dynatrace, Inc.</t>
        </is>
      </c>
      <c r="C6" s="16" t="inlineStr">
        <is>
          <t>P/B 6.25 · 53.3× EBITDA · cash 6% · 52w 99%</t>
        </is>
      </c>
      <c r="D6" s="16" t="n">
        <v>97</v>
      </c>
      <c r="E6" s="16" t="n"/>
      <c r="F6" s="28" t="n">
        <v>60</v>
      </c>
      <c r="G6" s="15" t="n">
        <v>32</v>
      </c>
      <c r="H6" s="15" t="n">
        <v>15</v>
      </c>
      <c r="I6" s="36" t="n">
        <v>50</v>
      </c>
      <c r="J6" s="28" t="n">
        <v>6.247622409905281</v>
      </c>
      <c r="K6" s="16" t="inlineStr">
        <is>
          <t>new performance metric; PSU weight increased; shareholder-responsive redesign</t>
        </is>
      </c>
      <c r="L6" s="16" t="inlineStr">
        <is>
          <t>2026-07-10</t>
        </is>
      </c>
      <c r="M6" s="16" t="inlineStr">
        <is>
          <t>P/B 6.25 · EV/EBITDA 53.3× · FCF yld 3% · net cash 6% of mcap · rev +19% · op margin 13%</t>
        </is>
      </c>
    </row>
    <row r="7" ht="24" customHeight="1">
      <c r="A7" s="6" t="inlineStr">
        <is>
          <t>FSLY</t>
        </is>
      </c>
      <c r="B7" s="14" t="inlineStr">
        <is>
          <t>Fastly, Inc.</t>
        </is>
      </c>
      <c r="C7" s="14" t="inlineStr">
        <is>
          <t>P/B 3.93 · debt 2% · 52w 63%</t>
        </is>
      </c>
      <c r="D7" s="14" t="n">
        <v>94</v>
      </c>
      <c r="E7" s="14" t="n"/>
      <c r="F7" s="27" t="n">
        <v>53</v>
      </c>
      <c r="G7" s="13" t="n">
        <v>33.3</v>
      </c>
      <c r="H7" s="13" t="n">
        <v>4</v>
      </c>
      <c r="I7" s="35" t="n">
        <v>60</v>
      </c>
      <c r="J7" s="27" t="n">
        <v>3.926016610534539</v>
      </c>
      <c r="K7" s="14" t="inlineStr">
        <is>
          <t>new performance metric; PSU weight increased; follows SOP dissent (47%)</t>
        </is>
      </c>
      <c r="L7" s="14" t="inlineStr">
        <is>
          <t>2026-04-22</t>
        </is>
      </c>
      <c r="M7" s="14" t="inlineStr">
        <is>
          <t>P/B 3.93 · P/S 7.0 · FCF yld 1% · net debt 2% of mcap · rev +20% · op margin -12% · diluting 8%/yr</t>
        </is>
      </c>
    </row>
    <row r="8" ht="24" customHeight="1">
      <c r="A8" s="8" t="inlineStr">
        <is>
          <t>FROG</t>
        </is>
      </c>
      <c r="B8" s="16" t="inlineStr">
        <is>
          <t>JFrog Ltd.</t>
        </is>
      </c>
      <c r="C8" s="16" t="inlineStr">
        <is>
          <t>P/B 11.47 · cash 7% · 52w 79%</t>
        </is>
      </c>
      <c r="D8" s="16" t="n">
        <v>92</v>
      </c>
      <c r="E8" s="16" t="n"/>
      <c r="F8" s="28" t="n">
        <v>52</v>
      </c>
      <c r="G8" s="15" t="n">
        <v>40.5</v>
      </c>
      <c r="H8" s="15" t="n">
        <v>8</v>
      </c>
      <c r="I8" s="36" t="n">
        <v>80</v>
      </c>
      <c r="J8" s="28" t="n">
        <v>11.47190994955793</v>
      </c>
      <c r="K8" s="16" t="inlineStr">
        <is>
          <t>new performance metric; ownership requirement added; vesting period extended</t>
        </is>
      </c>
      <c r="L8" s="16" t="inlineStr">
        <is>
          <t>2026-04-07</t>
        </is>
      </c>
      <c r="M8" s="16" t="inlineStr">
        <is>
          <t>P/B 11.47 · P/S 18.5 · FCF yld 2% · net cash 7% of mcap · rev +26% · op margin -11% · diluting 6%/yr</t>
        </is>
      </c>
    </row>
    <row r="9" ht="24" customHeight="1">
      <c r="A9" s="6" t="inlineStr">
        <is>
          <t>AGNC</t>
        </is>
      </c>
      <c r="B9" s="14" t="inlineStr">
        <is>
          <t>AGNC Investment Corp.</t>
        </is>
      </c>
      <c r="C9" s="14" t="inlineStr">
        <is>
          <t>P/B 0.91 · 25.7× EBITDA · debt 781% · 52w 13%</t>
        </is>
      </c>
      <c r="D9" s="14" t="n">
        <v>83</v>
      </c>
      <c r="E9" s="14" t="n"/>
      <c r="F9" s="27" t="n">
        <v>49</v>
      </c>
      <c r="G9" s="13" t="n">
        <v>3.8</v>
      </c>
      <c r="H9" s="13" t="n">
        <v>4</v>
      </c>
      <c r="I9" s="35" t="n">
        <v>50</v>
      </c>
      <c r="J9" s="27" t="n">
        <v>0.9115349473012836</v>
      </c>
      <c r="K9" s="14" t="inlineStr">
        <is>
          <t>PSU weight increased; shareholder-responsive redesign; clawback strengthened</t>
        </is>
      </c>
      <c r="L9" s="14" t="inlineStr">
        <is>
          <t>2026-03-06</t>
        </is>
      </c>
      <c r="M9" s="14" t="inlineStr">
        <is>
          <t>P/B 0.91 · EV/EBITDA 25.7× · FCF yld 8% · net debt 781% of mcap · op margin 113% · diluting 14%/yr · interest cover 1.2× ⚠  [revenue not comparable YoY (fair-value / one-off income?)]</t>
        </is>
      </c>
    </row>
    <row r="10" ht="24" customHeight="1">
      <c r="A10" s="8" t="inlineStr">
        <is>
          <t>AGNCL</t>
        </is>
      </c>
      <c r="B10" s="16" t="inlineStr">
        <is>
          <t>AGNC Investment Corp.</t>
        </is>
      </c>
      <c r="C10" s="16" t="inlineStr">
        <is>
          <t>25.7× EBITDA · 52w 92%</t>
        </is>
      </c>
      <c r="D10" s="16" t="n">
        <v>83</v>
      </c>
      <c r="E10" s="16" t="n"/>
      <c r="F10" s="28" t="n">
        <v>49</v>
      </c>
      <c r="G10" s="15" t="n">
        <v>3.8</v>
      </c>
      <c r="H10" s="15" t="n">
        <v>4</v>
      </c>
      <c r="I10" s="36" t="n">
        <v>50</v>
      </c>
      <c r="J10" s="28" t="n">
        <v>0.7881687497408914</v>
      </c>
      <c r="K10" s="16" t="inlineStr">
        <is>
          <t>PSU weight increased; shareholder-responsive redesign; clawback strengthened</t>
        </is>
      </c>
      <c r="L10" s="16" t="inlineStr">
        <is>
          <t>2026-03-06</t>
        </is>
      </c>
      <c r="M10" s="16" t="inlineStr">
        <is>
          <t>EV/EBITDA 25.7× · FCF yld 8% · op margin 113% · diluting 14%/yr  [market-cap/share data inconsistent; revenue not comparable YoY (fair-value / one-off income?)]</t>
        </is>
      </c>
    </row>
    <row r="11" ht="24" customHeight="1">
      <c r="A11" s="6" t="inlineStr">
        <is>
          <t>AGNCM</t>
        </is>
      </c>
      <c r="B11" s="14" t="inlineStr">
        <is>
          <t>AGNC Investment Corp.</t>
        </is>
      </c>
      <c r="C11" s="14" t="inlineStr">
        <is>
          <t>25.7× EBITDA · 52w 82%</t>
        </is>
      </c>
      <c r="D11" s="14" t="n">
        <v>83</v>
      </c>
      <c r="E11" s="14" t="n"/>
      <c r="F11" s="27" t="n">
        <v>49</v>
      </c>
      <c r="G11" s="13" t="n">
        <v>3.8</v>
      </c>
      <c r="H11" s="13" t="n">
        <v>4</v>
      </c>
      <c r="I11" s="35" t="n">
        <v>50</v>
      </c>
      <c r="J11" s="27" t="n">
        <v>0.7142238801722076</v>
      </c>
      <c r="K11" s="14" t="inlineStr">
        <is>
          <t>PSU weight increased; shareholder-responsive redesign; clawback strengthened</t>
        </is>
      </c>
      <c r="L11" s="14" t="inlineStr">
        <is>
          <t>2026-03-06</t>
        </is>
      </c>
      <c r="M11" s="14" t="inlineStr">
        <is>
          <t>EV/EBITDA 25.7× · FCF yld 8% · op margin 113% · diluting 14%/yr  [market-cap/share data inconsistent; revenue not comparable YoY (fair-value / one-off income?)]</t>
        </is>
      </c>
    </row>
    <row r="12" ht="24" customHeight="1">
      <c r="A12" s="8" t="inlineStr">
        <is>
          <t>AGNCN</t>
        </is>
      </c>
      <c r="B12" s="16" t="inlineStr">
        <is>
          <t>AGNC Investment Corp.</t>
        </is>
      </c>
      <c r="C12" s="16" t="inlineStr">
        <is>
          <t>25.7× EBITDA · 52w 78%</t>
        </is>
      </c>
      <c r="D12" s="16" t="n">
        <v>83</v>
      </c>
      <c r="E12" s="16" t="n"/>
      <c r="F12" s="28" t="n">
        <v>49</v>
      </c>
      <c r="G12" s="15" t="n">
        <v>3.8</v>
      </c>
      <c r="H12" s="15" t="n">
        <v>4</v>
      </c>
      <c r="I12" s="36" t="n">
        <v>50</v>
      </c>
      <c r="J12" s="28" t="n">
        <v>0.7061789075978634</v>
      </c>
      <c r="K12" s="16" t="inlineStr">
        <is>
          <t>PSU weight increased; shareholder-responsive redesign; clawback strengthened</t>
        </is>
      </c>
      <c r="L12" s="16" t="inlineStr">
        <is>
          <t>2026-03-06</t>
        </is>
      </c>
      <c r="M12" s="16" t="inlineStr">
        <is>
          <t>EV/EBITDA 25.7× · FCF yld 8% · op margin 113% · diluting 14%/yr  [market-cap/share data inconsistent; revenue not comparable YoY (fair-value / one-off income?)]</t>
        </is>
      </c>
    </row>
    <row r="13" ht="24" customHeight="1">
      <c r="A13" s="6" t="inlineStr">
        <is>
          <t>AGNCO</t>
        </is>
      </c>
      <c r="B13" s="14" t="inlineStr">
        <is>
          <t>AGNC Investment Corp.</t>
        </is>
      </c>
      <c r="C13" s="14" t="inlineStr">
        <is>
          <t>25.7× EBITDA · 52w 92%</t>
        </is>
      </c>
      <c r="D13" s="14" t="n">
        <v>83</v>
      </c>
      <c r="E13" s="14" t="n"/>
      <c r="F13" s="27" t="n">
        <v>49</v>
      </c>
      <c r="G13" s="13" t="n">
        <v>3.8</v>
      </c>
      <c r="H13" s="13" t="n">
        <v>4</v>
      </c>
      <c r="I13" s="35" t="n">
        <v>50</v>
      </c>
      <c r="J13" s="27" t="n">
        <v>0.7887610065375109</v>
      </c>
      <c r="K13" s="14" t="inlineStr">
        <is>
          <t>PSU weight increased; shareholder-responsive redesign; clawback strengthened</t>
        </is>
      </c>
      <c r="L13" s="14" t="inlineStr">
        <is>
          <t>2026-03-06</t>
        </is>
      </c>
      <c r="M13" s="14" t="inlineStr">
        <is>
          <t>EV/EBITDA 25.7× · FCF yld 8% · op margin 113% · diluting 14%/yr  [market-cap/share data inconsistent; revenue not comparable YoY (fair-value / one-off income?)]</t>
        </is>
      </c>
    </row>
    <row r="14" ht="24" customHeight="1">
      <c r="A14" s="8" t="inlineStr">
        <is>
          <t>AGNCP</t>
        </is>
      </c>
      <c r="B14" s="16" t="inlineStr">
        <is>
          <t>AGNC Investment Corp.</t>
        </is>
      </c>
      <c r="C14" s="16" t="inlineStr">
        <is>
          <t>25.7× EBITDA · 52w 91%</t>
        </is>
      </c>
      <c r="D14" s="16" t="n">
        <v>83</v>
      </c>
      <c r="E14" s="16" t="n"/>
      <c r="F14" s="28" t="n">
        <v>49</v>
      </c>
      <c r="G14" s="15" t="n">
        <v>3.8</v>
      </c>
      <c r="H14" s="15" t="n">
        <v>4</v>
      </c>
      <c r="I14" s="36" t="n">
        <v>50</v>
      </c>
      <c r="J14" s="28" t="n">
        <v>0.7911106590129953</v>
      </c>
      <c r="K14" s="16" t="inlineStr">
        <is>
          <t>PSU weight increased; shareholder-responsive redesign; clawback strengthened</t>
        </is>
      </c>
      <c r="L14" s="16" t="inlineStr">
        <is>
          <t>2026-03-06</t>
        </is>
      </c>
      <c r="M14" s="16" t="inlineStr">
        <is>
          <t>EV/EBITDA 25.7× · FCF yld 8% · op margin 113% · diluting 14%/yr  [market-cap/share data inconsistent; revenue not comparable YoY (fair-value / one-off income?)]</t>
        </is>
      </c>
    </row>
    <row r="15" ht="24" customHeight="1">
      <c r="A15" s="6" t="inlineStr">
        <is>
          <t>DOV</t>
        </is>
      </c>
      <c r="B15" s="14" t="inlineStr">
        <is>
          <t>Dover Corporation</t>
        </is>
      </c>
      <c r="C15" s="14" t="inlineStr">
        <is>
          <t>P/B 3.31 · 15.0× EBITDA · debt 6% · 52w 39%</t>
        </is>
      </c>
      <c r="D15" s="14" t="n">
        <v>83</v>
      </c>
      <c r="E15" s="14" t="n"/>
      <c r="F15" s="27" t="n">
        <v>49</v>
      </c>
      <c r="G15" s="13" t="n">
        <v>42.8</v>
      </c>
      <c r="H15" s="13" t="n">
        <v>18</v>
      </c>
      <c r="I15" s="35" t="n">
        <v>75</v>
      </c>
      <c r="J15" s="27" t="n">
        <v>3.308608881823011</v>
      </c>
      <c r="K15" s="14" t="inlineStr">
        <is>
          <t>PSU weight increased; shareholder-responsive redesign; clawback strengthened</t>
        </is>
      </c>
      <c r="L15" s="14" t="inlineStr">
        <is>
          <t>2026-03-24</t>
        </is>
      </c>
      <c r="M15" s="14" t="inlineStr">
        <is>
          <t>P/B 3.31 · EV/EBITDA 15.0× · FCF yld 5% · net debt 6% of mcap · rev +8% · op margin 17%</t>
        </is>
      </c>
    </row>
    <row r="16" ht="24" customHeight="1">
      <c r="A16" s="8" t="inlineStr">
        <is>
          <t>DOCU</t>
        </is>
      </c>
      <c r="B16" s="16" t="inlineStr">
        <is>
          <t>DocuSign, Inc.</t>
        </is>
      </c>
      <c r="C16" s="16" t="inlineStr">
        <is>
          <t>P/B 6.60 · 20.4× EBITDA · cash 5% · 52w 62%</t>
        </is>
      </c>
      <c r="D16" s="16" t="n">
        <v>73</v>
      </c>
      <c r="E16" s="16" t="n"/>
      <c r="F16" s="28" t="n">
        <v>47</v>
      </c>
      <c r="G16" s="15" t="n">
        <v>44.2</v>
      </c>
      <c r="H16" s="15" t="n">
        <v>15</v>
      </c>
      <c r="I16" s="36" t="n">
        <v>60</v>
      </c>
      <c r="J16" s="28" t="n">
        <v>6.599891219926511</v>
      </c>
      <c r="K16" s="16" t="inlineStr">
        <is>
          <t>PSU weight increased; shareholder-responsive redesign; vesting period extended</t>
        </is>
      </c>
      <c r="L16" s="16" t="inlineStr">
        <is>
          <t>front-loaded grant (worse) · 2026-04-16</t>
        </is>
      </c>
      <c r="M16" s="16" t="inlineStr">
        <is>
          <t>P/B 6.60 · EV/EBITDA 20.4× · FCF yld 9% · net cash 5% of mcap · rev +8% · op margin 12%</t>
        </is>
      </c>
    </row>
    <row r="17" ht="24" customHeight="1">
      <c r="A17" s="6" t="inlineStr">
        <is>
          <t>CMLSQ</t>
        </is>
      </c>
      <c r="B17" s="14" t="inlineStr">
        <is>
          <t>Cumulus Media Inc.</t>
        </is>
      </c>
      <c r="C17" s="14" t="inlineStr">
        <is>
          <t>0.8× EBITDA · 52w 4%</t>
        </is>
      </c>
      <c r="D17" s="14" t="n">
        <v>73</v>
      </c>
      <c r="E17" s="14" t="n"/>
      <c r="F17" s="27" t="n">
        <v>47</v>
      </c>
      <c r="G17" s="13" t="n">
        <v>0</v>
      </c>
      <c r="H17" s="13" t="n">
        <v>-4</v>
      </c>
      <c r="I17" s="35" t="n">
        <v>30</v>
      </c>
      <c r="J17" s="14" t="inlineStr">
        <is>
          <t>–</t>
        </is>
      </c>
      <c r="K17" s="14" t="inlineStr">
        <is>
          <t>ownership requirement added; shareholder-responsive redesign; clawback strengthened; follo</t>
        </is>
      </c>
      <c r="L17" s="14" t="inlineStr">
        <is>
          <t>2025-04-25</t>
        </is>
      </c>
      <c r="M17" s="14" t="inlineStr">
        <is>
          <t>EV/EBITDA 0.8× · rev -12% · op margin -21%  [negative equity; FCF yield &gt;100% (check)]</t>
        </is>
      </c>
    </row>
    <row r="18" ht="24" customHeight="1">
      <c r="A18" s="8" t="inlineStr">
        <is>
          <t>AIG</t>
        </is>
      </c>
      <c r="B18" s="16" t="inlineStr">
        <is>
          <t>American International Gro</t>
        </is>
      </c>
      <c r="C18" s="16" t="inlineStr">
        <is>
          <t>P/B 0.99 · P/E 13.7 · 52w 28%</t>
        </is>
      </c>
      <c r="D18" s="16" t="n">
        <v>68</v>
      </c>
      <c r="E18" s="16" t="n"/>
      <c r="F18" s="28" t="n">
        <v>45</v>
      </c>
      <c r="G18" s="15" t="n">
        <v>10.5</v>
      </c>
      <c r="H18" s="15" t="n">
        <v>2</v>
      </c>
      <c r="I18" s="16" t="inlineStr">
        <is>
          <t>–</t>
        </is>
      </c>
      <c r="J18" s="28" t="n">
        <v>0.9892887157070384</v>
      </c>
      <c r="K18" s="16" t="inlineStr">
        <is>
          <t>new performance metric; PSU weight increased</t>
        </is>
      </c>
      <c r="L18" s="16" t="inlineStr">
        <is>
          <t>2026-03-31</t>
        </is>
      </c>
      <c r="M18" s="16" t="inlineStr">
        <is>
          <t>P/B 0.99 · P/E 13.7 · ROE 7% · div yld 2.5% · buying back 9%/yr (financial: book/earnings basis)</t>
        </is>
      </c>
    </row>
    <row r="19" ht="24" customHeight="1">
      <c r="A19" s="6" t="inlineStr">
        <is>
          <t>AMT</t>
        </is>
      </c>
      <c r="B19" s="14" t="inlineStr">
        <is>
          <t>American Tower Corporation</t>
        </is>
      </c>
      <c r="C19" s="14" t="inlineStr">
        <is>
          <t>P/B 21.65 · 17.5× EBITDA · debt 54% · 52w 34%</t>
        </is>
      </c>
      <c r="D19" s="14" t="n">
        <v>68</v>
      </c>
      <c r="E19" s="14" t="n"/>
      <c r="F19" s="27" t="n">
        <v>45</v>
      </c>
      <c r="G19" s="13" t="n">
        <v>42</v>
      </c>
      <c r="H19" s="13" t="n">
        <v>3</v>
      </c>
      <c r="I19" s="35" t="n">
        <v>70</v>
      </c>
      <c r="J19" s="27" t="n">
        <v>21.65385531091217</v>
      </c>
      <c r="K19" s="14" t="inlineStr">
        <is>
          <t>new performance metric; PSU weight increased</t>
        </is>
      </c>
      <c r="L19" s="14" t="inlineStr">
        <is>
          <t>2026-04-08</t>
        </is>
      </c>
      <c r="M19" s="14" t="inlineStr">
        <is>
          <t>P/B 21.65 · EV/EBITDA 17.5× · FCF yld 5% · net debt 54% of mcap · rev +7% · op margin 44%</t>
        </is>
      </c>
    </row>
    <row r="20" ht="24" customHeight="1">
      <c r="A20" s="8" t="inlineStr">
        <is>
          <t>GFF</t>
        </is>
      </c>
      <c r="B20" s="16" t="inlineStr">
        <is>
          <t>Griffon Corporation</t>
        </is>
      </c>
      <c r="C20" s="16" t="inlineStr">
        <is>
          <t>P/B 34.33 · 11.6× EBITDA · debt 28% · 52w 73%</t>
        </is>
      </c>
      <c r="D20" s="16" t="n">
        <v>68</v>
      </c>
      <c r="E20" s="16" t="n"/>
      <c r="F20" s="28" t="n">
        <v>45</v>
      </c>
      <c r="G20" s="15" t="n">
        <v>37.5</v>
      </c>
      <c r="H20" s="15" t="n">
        <v>21</v>
      </c>
      <c r="I20" s="16" t="inlineStr">
        <is>
          <t>–</t>
        </is>
      </c>
      <c r="J20" s="28" t="n">
        <v>34.33356472018335</v>
      </c>
      <c r="K20" s="16" t="inlineStr">
        <is>
          <t>new performance metric; shareholder-responsive redesign; clawback strengthened; anti-hedge</t>
        </is>
      </c>
      <c r="L20" s="16" t="inlineStr">
        <is>
          <t>2026-01-09</t>
        </is>
      </c>
      <c r="M20" s="16" t="inlineStr">
        <is>
          <t>P/B 34.33 · EV/EBITDA 11.6× · FCF yld 6% · net debt 28% of mcap · rev -8% · op margin 20% · buying back 3%/yr</t>
        </is>
      </c>
    </row>
    <row r="21" ht="24" customHeight="1">
      <c r="A21" s="6" t="inlineStr">
        <is>
          <t>COUR</t>
        </is>
      </c>
      <c r="B21" s="14" t="inlineStr">
        <is>
          <t>Coursera, Inc.</t>
        </is>
      </c>
      <c r="C21" s="14" t="inlineStr">
        <is>
          <t>P/B 0.81 · cash 103% · 52w 2%</t>
        </is>
      </c>
      <c r="D21" s="14" t="n">
        <v>63</v>
      </c>
      <c r="E21" s="14" t="n"/>
      <c r="F21" s="27" t="n">
        <v>44</v>
      </c>
      <c r="G21" s="13" t="n">
        <v>30.6</v>
      </c>
      <c r="H21" s="13" t="n">
        <v>7</v>
      </c>
      <c r="I21" s="35" t="n">
        <v>50</v>
      </c>
      <c r="J21" s="27" t="n">
        <v>0.8063717866323907</v>
      </c>
      <c r="K21" s="14" t="inlineStr">
        <is>
          <t>PSU weight increased; anti-hedge/pledge added; follows SOP dissent (60%)</t>
        </is>
      </c>
      <c r="L21" s="14" t="inlineStr">
        <is>
          <t>2026-05-11</t>
        </is>
      </c>
      <c r="M21" s="14" t="inlineStr">
        <is>
          <t>P/B 0.81 · P/S 1.1 · FCF yld 3% · net cash 103% of mcap · rev +23% · op margin -18% · diluting 24%/yr</t>
        </is>
      </c>
    </row>
    <row r="22" ht="24" customHeight="1">
      <c r="A22" s="8" t="inlineStr">
        <is>
          <t>ENTG</t>
        </is>
      </c>
      <c r="B22" s="16" t="inlineStr">
        <is>
          <t>Entegris, Inc.</t>
        </is>
      </c>
      <c r="C22" s="16" t="inlineStr">
        <is>
          <t>P/B 5.56 · 30.5× EBITDA · debt 14% · 52w 70%</t>
        </is>
      </c>
      <c r="D22" s="16" t="n">
        <v>61</v>
      </c>
      <c r="E22" s="16" t="n"/>
      <c r="F22" s="28" t="n">
        <v>43</v>
      </c>
      <c r="G22" s="15" t="n">
        <v>20.2</v>
      </c>
      <c r="H22" s="15" t="n">
        <v>14</v>
      </c>
      <c r="I22" s="36" t="n">
        <v>60</v>
      </c>
      <c r="J22" s="28" t="n">
        <v>5.557741085607045</v>
      </c>
      <c r="K22" s="16" t="inlineStr">
        <is>
          <t>new performance metric; clawback strengthened; anti-hedge/pledge added; follows SOP dissen</t>
        </is>
      </c>
      <c r="L22" s="16" t="inlineStr">
        <is>
          <t>2026-03-23</t>
        </is>
      </c>
      <c r="M22" s="16" t="inlineStr">
        <is>
          <t>P/B 5.56 · EV/EBITDA 30.5× · FCF yld 3% · net debt 14% of mcap · rev +3% · op margin 30%</t>
        </is>
      </c>
    </row>
    <row r="23" ht="24" customHeight="1">
      <c r="A23" s="6" t="inlineStr">
        <is>
          <t>EHTH</t>
        </is>
      </c>
      <c r="B23" s="14" t="inlineStr">
        <is>
          <t>eHealth, Inc.</t>
        </is>
      </c>
      <c r="C23" s="14" t="inlineStr">
        <is>
          <t>52w 1%</t>
        </is>
      </c>
      <c r="D23" s="14" t="n">
        <v>58</v>
      </c>
      <c r="E23" s="14" t="n"/>
      <c r="F23" s="27" t="n">
        <v>42</v>
      </c>
      <c r="G23" s="13" t="n">
        <v>21.6</v>
      </c>
      <c r="H23" s="13" t="n">
        <v>12</v>
      </c>
      <c r="I23" s="14" t="inlineStr">
        <is>
          <t>–</t>
        </is>
      </c>
      <c r="J23" s="14" t="inlineStr">
        <is>
          <t>–</t>
        </is>
      </c>
      <c r="K23" s="14" t="inlineStr">
        <is>
          <t>PSU weight increased; vesting period extended</t>
        </is>
      </c>
      <c r="L23" s="14" t="inlineStr">
        <is>
          <t>2026-04-28</t>
        </is>
      </c>
      <c r="M23" s="14" t="inlineStr">
        <is>
          <t>ROE 3% · diluting 5%/yr (financial: book/earnings basis)  [market-cap/share data inconsistent; P/E vs earnings-yield sign mismatch]</t>
        </is>
      </c>
    </row>
    <row r="24" ht="24" customHeight="1">
      <c r="A24" s="8" t="inlineStr">
        <is>
          <t>IQV</t>
        </is>
      </c>
      <c r="B24" s="16" t="inlineStr">
        <is>
          <t>IQVIA Holdings, Inc.</t>
        </is>
      </c>
      <c r="C24" s="16" t="inlineStr">
        <is>
          <t>P/B 7.23 · 16.6× EBITDA · debt 32% · 52w 95%</t>
        </is>
      </c>
      <c r="D24" s="16" t="n">
        <v>58</v>
      </c>
      <c r="E24" s="16" t="n"/>
      <c r="F24" s="28" t="n">
        <v>42</v>
      </c>
      <c r="G24" s="15" t="n">
        <v>0</v>
      </c>
      <c r="H24" s="15" t="n">
        <v>-7</v>
      </c>
      <c r="I24" s="16" t="inlineStr">
        <is>
          <t>–</t>
        </is>
      </c>
      <c r="J24" s="28" t="n">
        <v>7.226156052503646</v>
      </c>
      <c r="K24" s="16" t="inlineStr">
        <is>
          <t>PSU weight increased; clawback strengthened; follows SOP dissent (65%)</t>
        </is>
      </c>
      <c r="L24" s="16" t="inlineStr">
        <is>
          <t>2026-02-27</t>
        </is>
      </c>
      <c r="M24" s="16" t="inlineStr">
        <is>
          <t>P/B 7.23 · EV/EBITDA 16.6× · FCF yld 6% · net debt 32% of mcap · rev +8% · op margin 14% · buying back 3%/yr</t>
        </is>
      </c>
    </row>
    <row r="25" ht="24" customHeight="1">
      <c r="A25" s="6" t="inlineStr">
        <is>
          <t>BILL</t>
        </is>
      </c>
      <c r="B25" s="14" t="inlineStr">
        <is>
          <t>BILL Holdings, Inc.</t>
        </is>
      </c>
      <c r="C25" s="14" t="inlineStr">
        <is>
          <t>P/B 1.22 · 43.4× EBITDA · cash 6% · 52w 58%</t>
        </is>
      </c>
      <c r="D25" s="14" t="n">
        <v>50</v>
      </c>
      <c r="E25" s="14" t="n"/>
      <c r="F25" s="27" t="n">
        <v>40</v>
      </c>
      <c r="G25" s="13" t="n">
        <v>29.4</v>
      </c>
      <c r="H25" s="13" t="n">
        <v>15</v>
      </c>
      <c r="I25" s="35" t="n">
        <v>50</v>
      </c>
      <c r="J25" s="27" t="n">
        <v>1.215253463625522</v>
      </c>
      <c r="K25" s="14" t="inlineStr">
        <is>
          <t>PSU weight increased; shareholder-responsive redesign</t>
        </is>
      </c>
      <c r="L25" s="14" t="inlineStr">
        <is>
          <t>2025-10-27</t>
        </is>
      </c>
      <c r="M25" s="14" t="inlineStr">
        <is>
          <t>P/B 1.22 · EV/EBITDA 43.4× · FCF yld 10% · net cash 6% of mcap · rev +12% · op margin 1% · buying back 3%/yr</t>
        </is>
      </c>
    </row>
    <row r="26" ht="24" customHeight="1">
      <c r="A26" s="8" t="inlineStr">
        <is>
          <t>UPWK</t>
        </is>
      </c>
      <c r="B26" s="16" t="inlineStr">
        <is>
          <t>Upwork Inc.</t>
        </is>
      </c>
      <c r="C26" s="16" t="inlineStr">
        <is>
          <t>P/B 1.67 · 5.4× EBITDA · cash 23% · 52w 5%</t>
        </is>
      </c>
      <c r="D26" s="16" t="n">
        <v>50</v>
      </c>
      <c r="E26" s="16" t="n"/>
      <c r="F26" s="28" t="n">
        <v>40</v>
      </c>
      <c r="G26" s="15" t="n">
        <v>39.6</v>
      </c>
      <c r="H26" s="15" t="n">
        <v>11</v>
      </c>
      <c r="I26" s="36" t="n">
        <v>60</v>
      </c>
      <c r="J26" s="28" t="n">
        <v>1.668082669410698</v>
      </c>
      <c r="K26" s="16" t="inlineStr">
        <is>
          <t>PSU weight increased; shareholder-responsive redesign</t>
        </is>
      </c>
      <c r="L26" s="16" t="inlineStr">
        <is>
          <t>2026-04-23</t>
        </is>
      </c>
      <c r="M26" s="16" t="inlineStr">
        <is>
          <t>P/B 1.67 · EV/EBITDA 5.4× · FCF yld 20% · net cash 23% of mcap · rev +2% · op margin 15% · buying back 7%/yr</t>
        </is>
      </c>
    </row>
    <row r="27" ht="24" customHeight="1">
      <c r="A27" s="6" t="inlineStr">
        <is>
          <t>COHR</t>
        </is>
      </c>
      <c r="B27" s="14" t="inlineStr">
        <is>
          <t>Coherent Corp.</t>
        </is>
      </c>
      <c r="C27" s="14" t="inlineStr">
        <is>
          <t>P/B 5.56 · 39.2× EBITDA · debt 2% · 52w 60%</t>
        </is>
      </c>
      <c r="D27" s="14" t="n">
        <v>50</v>
      </c>
      <c r="E27" s="14" t="n"/>
      <c r="F27" s="27" t="n">
        <v>40</v>
      </c>
      <c r="G27" s="13" t="n">
        <v>27</v>
      </c>
      <c r="H27" s="13" t="n">
        <v>15</v>
      </c>
      <c r="I27" s="35" t="n">
        <v>60</v>
      </c>
      <c r="J27" s="27" t="n">
        <v>5.55566564830945</v>
      </c>
      <c r="K27" s="14" t="inlineStr">
        <is>
          <t>PSU weight increased; shareholder-responsive redesign</t>
        </is>
      </c>
      <c r="L27" s="14" t="inlineStr">
        <is>
          <t>2025-10-02</t>
        </is>
      </c>
      <c r="M27" s="14" t="inlineStr">
        <is>
          <t>P/B 5.56 · EV/EBITDA 39.2× · FCF yld -2% · net debt 2% of mcap · rev +19% · op margin 12% · diluting 20%/yr</t>
        </is>
      </c>
    </row>
    <row r="28" ht="24" customHeight="1">
      <c r="A28" s="8" t="inlineStr">
        <is>
          <t>DCH</t>
        </is>
      </c>
      <c r="B28" s="16" t="inlineStr">
        <is>
          <t>Dauch Corporation</t>
        </is>
      </c>
      <c r="C28" s="16" t="inlineStr">
        <is>
          <t>P/B 0.90 · 7.8× EBITDA · debt 325% · 52w 18%</t>
        </is>
      </c>
      <c r="D28" s="16" t="n">
        <v>50</v>
      </c>
      <c r="E28" s="16" t="n"/>
      <c r="F28" s="28" t="n">
        <v>40</v>
      </c>
      <c r="G28" s="15" t="n">
        <v>44.2</v>
      </c>
      <c r="H28" s="15" t="n">
        <v>15</v>
      </c>
      <c r="I28" s="36" t="n">
        <v>90</v>
      </c>
      <c r="J28" s="28" t="n">
        <v>0.8985576213817315</v>
      </c>
      <c r="K28" s="16" t="inlineStr">
        <is>
          <t>PSU weight increased; shareholder-responsive redesign</t>
        </is>
      </c>
      <c r="L28" s="16" t="inlineStr">
        <is>
          <t>2026-03-19</t>
        </is>
      </c>
      <c r="M28" s="16" t="inlineStr">
        <is>
          <t>P/B 0.90 · EV/EBITDA 7.8× · FCF yld -2% · net debt 325% of mcap · rev +41% · op margin 3% · diluting 98%/yr · interest cover 0.8× ⚠</t>
        </is>
      </c>
    </row>
    <row r="29" ht="24" customHeight="1">
      <c r="A29" s="6" t="inlineStr">
        <is>
          <t>SMHI</t>
        </is>
      </c>
      <c r="B29" s="14" t="inlineStr">
        <is>
          <t>SEACOR Marine Holdings Inc</t>
        </is>
      </c>
      <c r="C29" s="14" t="inlineStr">
        <is>
          <t>P/B 0.97 · 4.6× EBITDA · debt 108% · 52w 78%</t>
        </is>
      </c>
      <c r="D29" s="14" t="n">
        <v>50</v>
      </c>
      <c r="E29" s="14" t="n"/>
      <c r="F29" s="27" t="n">
        <v>40</v>
      </c>
      <c r="G29" s="13" t="n">
        <v>15</v>
      </c>
      <c r="H29" s="13" t="n">
        <v>10</v>
      </c>
      <c r="I29" s="14" t="inlineStr">
        <is>
          <t>–</t>
        </is>
      </c>
      <c r="J29" s="27" t="n">
        <v>0.972131773359967</v>
      </c>
      <c r="K29" s="14" t="inlineStr">
        <is>
          <t>clawback strengthened; anti-hedge/pledge added; vesting period extended; follows SOP disse</t>
        </is>
      </c>
      <c r="L29" s="14" t="inlineStr">
        <is>
          <t>2026-04-16</t>
        </is>
      </c>
      <c r="M29" s="14" t="inlineStr">
        <is>
          <t>P/B 0.97 · EV/EBITDA 4.6× · FCF yld -34% · net debt 108% of mcap · rev -17% · op margin 7% · diluting 3%/yr · interest cover 0.2× ⚠</t>
        </is>
      </c>
    </row>
    <row r="30" ht="24" customHeight="1">
      <c r="A30" s="8" t="inlineStr">
        <is>
          <t>AMN</t>
        </is>
      </c>
      <c r="B30" s="16" t="inlineStr">
        <is>
          <t>AMN Healthcare Services In</t>
        </is>
      </c>
      <c r="C30" s="16" t="inlineStr">
        <is>
          <t>P/B 1.80 · 5.0× EBITDA · debt 31% · 52w 88%</t>
        </is>
      </c>
      <c r="D30" s="16" t="n">
        <v>41</v>
      </c>
      <c r="E30" s="16" t="n"/>
      <c r="F30" s="28" t="n">
        <v>38</v>
      </c>
      <c r="G30" s="15" t="n">
        <v>38.2</v>
      </c>
      <c r="H30" s="15" t="n">
        <v>11</v>
      </c>
      <c r="I30" s="16" t="inlineStr">
        <is>
          <t>–</t>
        </is>
      </c>
      <c r="J30" s="28" t="n">
        <v>1.802273318512083</v>
      </c>
      <c r="K30" s="16" t="inlineStr">
        <is>
          <t>new performance metric; shareholder-responsive redesign; follows SOP dissent (78%)</t>
        </is>
      </c>
      <c r="L30" s="16" t="inlineStr">
        <is>
          <t>2026-03-18</t>
        </is>
      </c>
      <c r="M30" s="16" t="inlineStr">
        <is>
          <t>P/B 1.80 · EV/EBITDA 5.0× · FCF yld 34% · net debt 31% of mcap · rev +24% · op margin 5% · diluting 3%/yr</t>
        </is>
      </c>
    </row>
    <row r="31" ht="24" customHeight="1">
      <c r="A31" s="6" t="inlineStr">
        <is>
          <t>CGNX</t>
        </is>
      </c>
      <c r="B31" s="14" t="inlineStr">
        <is>
          <t>Cognex Corporation</t>
        </is>
      </c>
      <c r="C31" s="14" t="inlineStr">
        <is>
          <t>P/B 6.05 · 34.0× EBITDA · cash 3% · 52w 64%</t>
        </is>
      </c>
      <c r="D31" s="14" t="n">
        <v>41</v>
      </c>
      <c r="E31" s="14" t="n"/>
      <c r="F31" s="27" t="n">
        <v>38</v>
      </c>
      <c r="G31" s="13" t="n">
        <v>9</v>
      </c>
      <c r="H31" s="13" t="n">
        <v>17</v>
      </c>
      <c r="I31" s="14" t="inlineStr">
        <is>
          <t>–</t>
        </is>
      </c>
      <c r="J31" s="27" t="n">
        <v>6.050947941002298</v>
      </c>
      <c r="K31" s="14" t="inlineStr">
        <is>
          <t>shareholder-responsive redesign; clawback strengthened; anti-hedge/pledge added; follows S</t>
        </is>
      </c>
      <c r="L31" s="14" t="inlineStr">
        <is>
          <t>2026-03-13</t>
        </is>
      </c>
      <c r="M31" s="14" t="inlineStr">
        <is>
          <t>P/B 6.05 · EV/EBITDA 34.0× · FCF yld 3% · net cash 3% of mcap · rev +17% · op margin 22%</t>
        </is>
      </c>
    </row>
    <row r="32" ht="24" customHeight="1">
      <c r="A32" s="8" t="inlineStr">
        <is>
          <t>ICE</t>
        </is>
      </c>
      <c r="B32" s="16" t="inlineStr">
        <is>
          <t>Intercontinental Exchange</t>
        </is>
      </c>
      <c r="C32" s="16" t="inlineStr">
        <is>
          <t>P/B 2.98 · P/E 22.1 · 52w 65%</t>
        </is>
      </c>
      <c r="D32" s="16" t="n">
        <v>41</v>
      </c>
      <c r="E32" s="16" t="n"/>
      <c r="F32" s="28" t="n">
        <v>38</v>
      </c>
      <c r="G32" s="15" t="n">
        <v>16.5</v>
      </c>
      <c r="H32" s="15" t="n">
        <v>17</v>
      </c>
      <c r="I32" s="36" t="n">
        <v>69</v>
      </c>
      <c r="J32" s="28" t="n">
        <v>2.984791561199283</v>
      </c>
      <c r="K32" s="16" t="inlineStr">
        <is>
          <t>shareholder-responsive redesign; clawback strengthened; anti-hedge/pledge added; follows S</t>
        </is>
      </c>
      <c r="L32" s="16" t="inlineStr">
        <is>
          <t>2026-03-31</t>
        </is>
      </c>
      <c r="M32" s="16" t="inlineStr">
        <is>
          <t>P/B 2.98 · P/E 22.1 · ROE 14% · div yld 1.3% (financial: book/earnings basis)</t>
        </is>
      </c>
    </row>
    <row r="33" ht="24" customHeight="1">
      <c r="A33" s="6" t="inlineStr">
        <is>
          <t>BURL</t>
        </is>
      </c>
      <c r="B33" s="14" t="inlineStr">
        <is>
          <t>Burlington Stores, Inc.</t>
        </is>
      </c>
      <c r="C33" s="14" t="inlineStr">
        <is>
          <t>P/B 8.06 · 14.6× EBITDA · debt 32% · 52w 20%</t>
        </is>
      </c>
      <c r="D33" s="14" t="n">
        <v>34</v>
      </c>
      <c r="E33" s="14" t="n"/>
      <c r="F33" s="27" t="n">
        <v>36</v>
      </c>
      <c r="G33" s="13" t="n">
        <v>24</v>
      </c>
      <c r="H33" s="13" t="n">
        <v>15</v>
      </c>
      <c r="I33" s="35" t="n">
        <v>65</v>
      </c>
      <c r="J33" s="27" t="n">
        <v>8.064217102976254</v>
      </c>
      <c r="K33" s="14" t="inlineStr">
        <is>
          <t>PSU weight increased; anti-hedge/pledge added</t>
        </is>
      </c>
      <c r="L33" s="14" t="inlineStr">
        <is>
          <t>2026-04-02</t>
        </is>
      </c>
      <c r="M33" s="14" t="inlineStr">
        <is>
          <t>P/B 8.06 · EV/EBITDA 14.6× · FCF yld 6% · net debt 32% of mcap · rev +11% · op margin 8%</t>
        </is>
      </c>
    </row>
    <row r="34" ht="24" customHeight="1">
      <c r="A34" s="8" t="inlineStr">
        <is>
          <t>KEX</t>
        </is>
      </c>
      <c r="B34" s="16" t="inlineStr">
        <is>
          <t>Kirby Corporation</t>
        </is>
      </c>
      <c r="C34" s="16" t="inlineStr">
        <is>
          <t>P/B 2.07 · 10.4× EBITDA · debt 17% · 52w 69%</t>
        </is>
      </c>
      <c r="D34" s="16" t="n">
        <v>34</v>
      </c>
      <c r="E34" s="16" t="n"/>
      <c r="F34" s="28" t="n">
        <v>36</v>
      </c>
      <c r="G34" s="15" t="n">
        <v>24</v>
      </c>
      <c r="H34" s="15" t="n">
        <v>19</v>
      </c>
      <c r="I34" s="16" t="inlineStr">
        <is>
          <t>–</t>
        </is>
      </c>
      <c r="J34" s="28" t="n">
        <v>2.069434701083365</v>
      </c>
      <c r="K34" s="16" t="inlineStr">
        <is>
          <t>PSU weight increased; anti-hedge/pledge added</t>
        </is>
      </c>
      <c r="L34" s="16" t="inlineStr">
        <is>
          <t>2026-03-06</t>
        </is>
      </c>
      <c r="M34" s="16" t="inlineStr">
        <is>
          <t>P/B 2.07 · EV/EBITDA 10.4× · FCF yld 7% · net debt 17% of mcap · rev +7% · op margin 14% · buying back 5%/yr</t>
        </is>
      </c>
    </row>
    <row r="35" ht="24" customHeight="1">
      <c r="A35" s="6" t="inlineStr">
        <is>
          <t>S</t>
        </is>
      </c>
      <c r="B35" s="14" t="inlineStr">
        <is>
          <t>SentinelOne, Inc.</t>
        </is>
      </c>
      <c r="C35" s="14" t="inlineStr">
        <is>
          <t>P/B 5.26 · cash 8% · 52w 99%</t>
        </is>
      </c>
      <c r="D35" s="14" t="n">
        <v>34</v>
      </c>
      <c r="E35" s="14" t="n"/>
      <c r="F35" s="27" t="n">
        <v>36</v>
      </c>
      <c r="G35" s="13" t="n">
        <v>15</v>
      </c>
      <c r="H35" s="13" t="n">
        <v>1</v>
      </c>
      <c r="I35" s="35" t="n">
        <v>50</v>
      </c>
      <c r="J35" s="27" t="n">
        <v>5.261090858765796</v>
      </c>
      <c r="K35" s="14" t="inlineStr">
        <is>
          <t>PSU weight increased; anti-hedge/pledge added</t>
        </is>
      </c>
      <c r="L35" s="14" t="inlineStr">
        <is>
          <t>2026-05-13</t>
        </is>
      </c>
      <c r="M35" s="14" t="inlineStr">
        <is>
          <t>P/B 5.26 · P/S 7.4 · FCF yld 0% · net cash 8% of mcap · rev +25% · op margin -27% · diluting 6%/yr</t>
        </is>
      </c>
    </row>
    <row r="36" ht="24" customHeight="1">
      <c r="A36" s="8" t="inlineStr">
        <is>
          <t>THRY</t>
        </is>
      </c>
      <c r="B36" s="16" t="inlineStr">
        <is>
          <t>Thryv Holdings, Inc.</t>
        </is>
      </c>
      <c r="C36" s="16" t="inlineStr">
        <is>
          <t>P/B 0.40 · 5.1× EBITDA · debt 278% · 52w 1%</t>
        </is>
      </c>
      <c r="D36" s="16" t="n">
        <v>29</v>
      </c>
      <c r="E36" s="16" t="n"/>
      <c r="F36" s="28" t="n">
        <v>35</v>
      </c>
      <c r="G36" s="15" t="n">
        <v>11.7</v>
      </c>
      <c r="H36" s="15" t="n">
        <v>10</v>
      </c>
      <c r="I36" s="36" t="n">
        <v>60</v>
      </c>
      <c r="J36" s="28" t="n">
        <v>0.3982975203486449</v>
      </c>
      <c r="K36" s="16" t="inlineStr">
        <is>
          <t>ownership requirement added; clawback strengthened; anti-hedge/pledge added</t>
        </is>
      </c>
      <c r="L36" s="16" t="inlineStr">
        <is>
          <t>2026-04-30</t>
        </is>
      </c>
      <c r="M36" s="16" t="inlineStr">
        <is>
          <t>P/B 0.40 · EV/EBITDA 5.1× · FCF yld 65% · net debt 278% of mcap · rev -6% · op margin 4% · interest cover 1.0× ⚠</t>
        </is>
      </c>
    </row>
    <row r="37" ht="24" customHeight="1">
      <c r="A37" s="6" t="inlineStr">
        <is>
          <t>BFH</t>
        </is>
      </c>
      <c r="B37" s="14" t="inlineStr">
        <is>
          <t>Bread Financial Holdings,</t>
        </is>
      </c>
      <c r="C37" s="14" t="inlineStr">
        <is>
          <t>P/B 1.21 · P/E 7.6 · 52w 78%</t>
        </is>
      </c>
      <c r="D37" s="14" t="n">
        <v>29</v>
      </c>
      <c r="E37" s="14" t="n"/>
      <c r="F37" s="27" t="n">
        <v>35</v>
      </c>
      <c r="G37" s="13" t="n">
        <v>30.8</v>
      </c>
      <c r="H37" s="13" t="n">
        <v>18</v>
      </c>
      <c r="I37" s="35" t="n">
        <v>60</v>
      </c>
      <c r="J37" s="27" t="n">
        <v>1.211611547994057</v>
      </c>
      <c r="K37" s="14" t="inlineStr">
        <is>
          <t>new performance metric; clawback strengthened; anti-hedge/pledge added</t>
        </is>
      </c>
      <c r="L37" s="14" t="inlineStr">
        <is>
          <t>2026-04-07</t>
        </is>
      </c>
      <c r="M37" s="14" t="inlineStr">
        <is>
          <t>P/B 1.21 · P/E 7.6 · ROE 17% · div yld 0.9% · buying back 14%/yr (financial: book/earnings basis)</t>
        </is>
      </c>
    </row>
    <row r="38" ht="24" customHeight="1">
      <c r="A38" s="8" t="inlineStr">
        <is>
          <t>UPST</t>
        </is>
      </c>
      <c r="B38" s="16" t="inlineStr">
        <is>
          <t>Upstart Holdings, Inc.</t>
        </is>
      </c>
      <c r="C38" s="16" t="inlineStr">
        <is>
          <t>P/B 3.01 · P/E 40.0 · 52w 3%</t>
        </is>
      </c>
      <c r="D38" s="16" t="n">
        <v>21</v>
      </c>
      <c r="E38" s="16" t="n"/>
      <c r="F38" s="28" t="n">
        <v>34</v>
      </c>
      <c r="G38" s="15" t="n">
        <v>6.8</v>
      </c>
      <c r="H38" s="15" t="n">
        <v>7</v>
      </c>
      <c r="I38" s="16" t="inlineStr">
        <is>
          <t>–</t>
        </is>
      </c>
      <c r="J38" s="28" t="n">
        <v>3.011210255201332</v>
      </c>
      <c r="K38" s="16" t="inlineStr">
        <is>
          <t>new performance metric; anti-hedge/pledge added; follows SOP dissent (74%)</t>
        </is>
      </c>
      <c r="L38" s="16" t="inlineStr">
        <is>
          <t>2026-04-16</t>
        </is>
      </c>
      <c r="M38" s="16" t="inlineStr">
        <is>
          <t>P/B 3.01 · P/E 40.0 · ROE 8% · diluting 7%/yr (financial: book/earnings basis)</t>
        </is>
      </c>
    </row>
    <row r="39" ht="24" customHeight="1">
      <c r="A39" s="6" t="inlineStr">
        <is>
          <t>MUR</t>
        </is>
      </c>
      <c r="B39" s="14" t="inlineStr">
        <is>
          <t>Murphy Oil Corporation</t>
        </is>
      </c>
      <c r="C39" s="14" t="inlineStr">
        <is>
          <t>P/B 1.00 · debt 34% · 52w 60%</t>
        </is>
      </c>
      <c r="D39" s="14" t="n">
        <v>21</v>
      </c>
      <c r="E39" s="14" t="n"/>
      <c r="F39" s="27" t="n">
        <v>34</v>
      </c>
      <c r="G39" s="13" t="n">
        <v>11.2</v>
      </c>
      <c r="H39" s="13" t="n">
        <v>7</v>
      </c>
      <c r="I39" s="35" t="n">
        <v>80</v>
      </c>
      <c r="J39" s="27" t="n">
        <v>0.9954607586136869</v>
      </c>
      <c r="K39" s="14" t="inlineStr">
        <is>
          <t>new performance metric; anti-hedge/pledge added; follows SOP dissent (40%)</t>
        </is>
      </c>
      <c r="L39" s="14" t="inlineStr">
        <is>
          <t>2026-03-27</t>
        </is>
      </c>
      <c r="M39" s="14" t="inlineStr">
        <is>
          <t>P/B 1.00 · P/S 1.7 · FCF yld 6% · net debt 34% of mcap · rev +9% · op margin 18% · diluting 2%/yr · interest cover -0.0× ⚠</t>
        </is>
      </c>
    </row>
    <row r="40" ht="24" customHeight="1">
      <c r="A40" s="8" t="inlineStr">
        <is>
          <t>ASTE</t>
        </is>
      </c>
      <c r="B40" s="16" t="inlineStr">
        <is>
          <t>Astec Industries, Inc.</t>
        </is>
      </c>
      <c r="C40" s="16" t="inlineStr">
        <is>
          <t>P/B 1.40 · 11.9× EBITDA · debt 33% · 52w 7%</t>
        </is>
      </c>
      <c r="D40" s="16" t="n">
        <v>21</v>
      </c>
      <c r="E40" s="16" t="n"/>
      <c r="F40" s="28" t="n">
        <v>34</v>
      </c>
      <c r="G40" s="15" t="n">
        <v>18</v>
      </c>
      <c r="H40" s="15" t="n">
        <v>1</v>
      </c>
      <c r="I40" s="36" t="n">
        <v>65</v>
      </c>
      <c r="J40" s="28" t="n">
        <v>1.398042659991293</v>
      </c>
      <c r="K40" s="16" t="inlineStr">
        <is>
          <t>PSU weight increased; clawback strengthened</t>
        </is>
      </c>
      <c r="L40" s="16" t="inlineStr">
        <is>
          <t>2026-03-13</t>
        </is>
      </c>
      <c r="M40" s="16" t="inlineStr">
        <is>
          <t>P/B 1.40 · EV/EBITDA 11.9× · FCF yld 3% · net debt 33% of mcap · rev +19% · op margin 3%</t>
        </is>
      </c>
    </row>
    <row r="41" ht="24" customHeight="1">
      <c r="A41" s="6" t="inlineStr">
        <is>
          <t>CMC</t>
        </is>
      </c>
      <c r="B41" s="14" t="inlineStr">
        <is>
          <t>Commercial Metals Company</t>
        </is>
      </c>
      <c r="C41" s="14" t="inlineStr">
        <is>
          <t>P/B 1.59 · 8.7× EBITDA · debt 39% · 52w 38%</t>
        </is>
      </c>
      <c r="D41" s="14" t="n">
        <v>21</v>
      </c>
      <c r="E41" s="14" t="n"/>
      <c r="F41" s="27" t="n">
        <v>34</v>
      </c>
      <c r="G41" s="13" t="n">
        <v>18.6</v>
      </c>
      <c r="H41" s="13" t="n">
        <v>15</v>
      </c>
      <c r="I41" s="35" t="n">
        <v>75</v>
      </c>
      <c r="J41" s="27" t="n">
        <v>1.588405166564765</v>
      </c>
      <c r="K41" s="14" t="inlineStr">
        <is>
          <t>PSU weight increased; clawback strengthened</t>
        </is>
      </c>
      <c r="L41" s="14" t="inlineStr">
        <is>
          <t>2025-11-25</t>
        </is>
      </c>
      <c r="M41" s="14" t="inlineStr">
        <is>
          <t>P/B 1.59 · EV/EBITDA 8.7× · FCF yld 6% · net debt 39% of mcap · rev +8% · op margin 9% · buying back 2%/yr</t>
        </is>
      </c>
    </row>
    <row r="42" ht="24" customHeight="1">
      <c r="A42" s="8" t="inlineStr">
        <is>
          <t>LIND</t>
        </is>
      </c>
      <c r="B42" s="16" t="inlineStr">
        <is>
          <t>Lindblad Expeditions Holdi</t>
        </is>
      </c>
      <c r="C42" s="16" t="inlineStr">
        <is>
          <t>20.5× EBITDA · 52w 65%</t>
        </is>
      </c>
      <c r="D42" s="16" t="n">
        <v>21</v>
      </c>
      <c r="E42" s="16" t="n"/>
      <c r="F42" s="28" t="n">
        <v>34</v>
      </c>
      <c r="G42" s="15" t="n">
        <v>36.9</v>
      </c>
      <c r="H42" s="15" t="n">
        <v>15</v>
      </c>
      <c r="I42" s="36" t="n">
        <v>60</v>
      </c>
      <c r="J42" s="16" t="inlineStr">
        <is>
          <t>–</t>
        </is>
      </c>
      <c r="K42" s="16" t="inlineStr">
        <is>
          <t>PSU weight increased; clawback strengthened</t>
        </is>
      </c>
      <c r="L42" s="16" t="inlineStr">
        <is>
          <t>2026-04-28</t>
        </is>
      </c>
      <c r="M42" s="16" t="inlineStr">
        <is>
          <t>EV/EBITDA 20.5× · FCF yld 6% · rev +18% · op margin 7% · diluting 20%/yr  [negative equity]</t>
        </is>
      </c>
    </row>
    <row r="43" ht="24" customHeight="1">
      <c r="A43" s="6" t="inlineStr">
        <is>
          <t>CORZ</t>
        </is>
      </c>
      <c r="B43" s="14" t="inlineStr">
        <is>
          <t>Core Scientific, Inc.</t>
        </is>
      </c>
      <c r="C43" s="14" t="inlineStr">
        <is>
          <t>52w 31%</t>
        </is>
      </c>
      <c r="D43" s="14" t="n">
        <v>14</v>
      </c>
      <c r="E43" s="14" t="n"/>
      <c r="F43" s="27" t="n">
        <v>33</v>
      </c>
      <c r="G43" s="13" t="n">
        <v>18</v>
      </c>
      <c r="H43" s="13" t="n">
        <v>4</v>
      </c>
      <c r="I43" s="35" t="n">
        <v>75</v>
      </c>
      <c r="J43" s="14" t="inlineStr">
        <is>
          <t>–</t>
        </is>
      </c>
      <c r="K43" s="14" t="inlineStr">
        <is>
          <t>PSU weight increased; follows SOP dissent (38%)</t>
        </is>
      </c>
      <c r="L43" s="14" t="inlineStr">
        <is>
          <t>2026-03-31</t>
        </is>
      </c>
      <c r="M43" s="14" t="inlineStr">
        <is>
          <t>P/S 13.3 · FCF yld -17% · rev +26% · op margin -34% · diluting 2%/yr  [negative equity]</t>
        </is>
      </c>
    </row>
    <row r="44" ht="24" customHeight="1">
      <c r="A44" s="8" t="inlineStr">
        <is>
          <t>ONIT</t>
        </is>
      </c>
      <c r="B44" s="16" t="inlineStr">
        <is>
          <t>Onity Group Inc.</t>
        </is>
      </c>
      <c r="C44" s="16" t="inlineStr">
        <is>
          <t>P/B 0.40 · P/E 1.9 · 52w 1%</t>
        </is>
      </c>
      <c r="D44" s="16" t="n">
        <v>11</v>
      </c>
      <c r="E44" s="16" t="n"/>
      <c r="F44" s="28" t="n">
        <v>32</v>
      </c>
      <c r="G44" s="15" t="n">
        <v>21.8</v>
      </c>
      <c r="H44" s="15" t="n">
        <v>11</v>
      </c>
      <c r="I44" s="16" t="inlineStr">
        <is>
          <t>–</t>
        </is>
      </c>
      <c r="J44" s="28" t="n">
        <v>0.4028206320096999</v>
      </c>
      <c r="K44" s="16" t="inlineStr">
        <is>
          <t>new performance metric; clawback strengthened; follows SOP dissent (76%)</t>
        </is>
      </c>
      <c r="L44" s="16" t="inlineStr">
        <is>
          <t>2026-04-14</t>
        </is>
      </c>
      <c r="M44" s="16" t="inlineStr">
        <is>
          <t>P/B 0.40 · P/E 1.9 · ROE 23% (financial: book/earnings basis)  [FCF yield &gt;100% (check)]</t>
        </is>
      </c>
    </row>
    <row r="45" ht="24" customHeight="1">
      <c r="A45" s="6" t="inlineStr">
        <is>
          <t>ATEN</t>
        </is>
      </c>
      <c r="B45" s="14" t="inlineStr">
        <is>
          <t>A10 Networks, Inc.</t>
        </is>
      </c>
      <c r="C45" s="14" t="inlineStr">
        <is>
          <t>P/B 8.11 · 30.7× EBITDA · cash 7% · 52w 47%</t>
        </is>
      </c>
      <c r="D45" s="14" t="n">
        <v>11</v>
      </c>
      <c r="E45" s="14" t="n"/>
      <c r="F45" s="27" t="n">
        <v>32</v>
      </c>
      <c r="G45" s="13" t="n">
        <v>30</v>
      </c>
      <c r="H45" s="13" t="n">
        <v>19</v>
      </c>
      <c r="I45" s="35" t="n">
        <v>50</v>
      </c>
      <c r="J45" s="27" t="n">
        <v>8.105490313742299</v>
      </c>
      <c r="K45" s="14" t="inlineStr">
        <is>
          <t>clawback strengthened; anti-hedge/pledge added; vesting period extended</t>
        </is>
      </c>
      <c r="L45" s="14" t="inlineStr">
        <is>
          <t>2026-03-10</t>
        </is>
      </c>
      <c r="M45" s="14" t="inlineStr">
        <is>
          <t>P/B 8.11 · EV/EBITDA 30.7× · FCF yld 3% · net cash 7% of mcap · rev +12% · op margin 16% · diluting 3%/yr</t>
        </is>
      </c>
    </row>
    <row r="46" ht="24" customHeight="1">
      <c r="A46" s="8" t="inlineStr">
        <is>
          <t>A</t>
        </is>
      </c>
      <c r="B46" s="16" t="inlineStr">
        <is>
          <t>Agilent Technologies, Inc.</t>
        </is>
      </c>
      <c r="C46" s="16" t="inlineStr">
        <is>
          <t>P/B 6.36 · 24.7× EBITDA · debt 5% · 52w 95%</t>
        </is>
      </c>
      <c r="D46" s="16" t="n">
        <v>4</v>
      </c>
      <c r="E46" s="16" t="n"/>
      <c r="F46" s="28" t="n">
        <v>30</v>
      </c>
      <c r="G46" s="15" t="n">
        <v>30</v>
      </c>
      <c r="H46" s="15" t="n">
        <v>21</v>
      </c>
      <c r="I46" s="36" t="n">
        <v>82</v>
      </c>
      <c r="J46" s="28" t="n">
        <v>6.361336802933587</v>
      </c>
      <c r="K46" s="16" t="inlineStr">
        <is>
          <t>shareholder-responsive redesign; clawback strengthened; anti-hedge/pledge added</t>
        </is>
      </c>
      <c r="L46" s="16" t="inlineStr">
        <is>
          <t>2026-02-06</t>
        </is>
      </c>
      <c r="M46" s="16" t="inlineStr">
        <is>
          <t>P/B 6.36 · EV/EBITDA 24.7× · FCF yld 3% · net debt 5% of mcap · rev +9% · op margin 22%</t>
        </is>
      </c>
    </row>
    <row r="47" ht="24" customHeight="1">
      <c r="A47" s="6" t="inlineStr">
        <is>
          <t>AMCX</t>
        </is>
      </c>
      <c r="B47" s="14" t="inlineStr">
        <is>
          <t>AMC Global Media Inc.</t>
        </is>
      </c>
      <c r="C47" s="14" t="inlineStr">
        <is>
          <t>P/B 0.42 · 1.5× EBITDA · debt 334% · 52w 83%</t>
        </is>
      </c>
      <c r="D47" s="14" t="n">
        <v>4</v>
      </c>
      <c r="E47" s="14" t="n"/>
      <c r="F47" s="27" t="n">
        <v>30</v>
      </c>
      <c r="G47" s="13" t="n">
        <v>5.4</v>
      </c>
      <c r="H47" s="13" t="n">
        <v>7</v>
      </c>
      <c r="I47" s="14" t="inlineStr">
        <is>
          <t>–</t>
        </is>
      </c>
      <c r="J47" s="27" t="n">
        <v>0.4220855956700094</v>
      </c>
      <c r="K47" s="14" t="inlineStr">
        <is>
          <t>new performance metric; shareholder-responsive redesign</t>
        </is>
      </c>
      <c r="L47" s="14" t="inlineStr">
        <is>
          <t>2026-04-30</t>
        </is>
      </c>
      <c r="M47" s="14" t="inlineStr">
        <is>
          <t>P/B 0.42 · EV/EBITDA 1.5× · FCF yld 49% · net debt 334% of mcap · rev -5% · op margin 8% · buying back 24%/yr · interest cover 1.0× ⚠</t>
        </is>
      </c>
    </row>
    <row r="48" ht="24" customHeight="1">
      <c r="A48" s="8" t="inlineStr">
        <is>
          <t>BXP</t>
        </is>
      </c>
      <c r="B48" s="16" t="inlineStr">
        <is>
          <t>BXP, Inc.</t>
        </is>
      </c>
      <c r="C48" s="16" t="inlineStr">
        <is>
          <t>P/B 1.95 · 13.8× EBITDA · debt 157% · 52w 50%</t>
        </is>
      </c>
      <c r="D48" s="16" t="n">
        <v>4</v>
      </c>
      <c r="E48" s="16" t="n"/>
      <c r="F48" s="28" t="n">
        <v>30</v>
      </c>
      <c r="G48" s="15" t="n">
        <v>16.5</v>
      </c>
      <c r="H48" s="15" t="n">
        <v>1</v>
      </c>
      <c r="I48" s="36" t="n">
        <v>55</v>
      </c>
      <c r="J48" s="28" t="n">
        <v>1.947493566427119</v>
      </c>
      <c r="K48" s="16" t="inlineStr">
        <is>
          <t>new performance metric; shareholder-responsive redesign</t>
        </is>
      </c>
      <c r="L48" s="16" t="inlineStr">
        <is>
          <t>2026-04-10</t>
        </is>
      </c>
      <c r="M48" s="16" t="inlineStr">
        <is>
          <t>P/B 1.95 · EV/EBITDA 13.8× · FCF yld 4% · net debt 157% of mcap · rev +2% · op margin 35%</t>
        </is>
      </c>
    </row>
    <row r="49" ht="24" customHeight="1">
      <c r="A49" s="6" t="inlineStr">
        <is>
          <t>CNC</t>
        </is>
      </c>
      <c r="B49" s="14" t="inlineStr">
        <is>
          <t>Centene Corporation</t>
        </is>
      </c>
      <c r="C49" s="14" t="inlineStr">
        <is>
          <t>P/B 1.37 · cash 35% · 52w 82%</t>
        </is>
      </c>
      <c r="D49" s="14" t="n">
        <v>4</v>
      </c>
      <c r="E49" s="14" t="n"/>
      <c r="F49" s="27" t="n">
        <v>30</v>
      </c>
      <c r="G49" s="13" t="n">
        <v>35.2</v>
      </c>
      <c r="H49" s="13" t="n">
        <v>21</v>
      </c>
      <c r="I49" s="35" t="n">
        <v>60</v>
      </c>
      <c r="J49" s="27" t="n">
        <v>1.372378627781225</v>
      </c>
      <c r="K49" s="14" t="inlineStr">
        <is>
          <t>shareholder-responsive redesign; clawback strengthened; anti-hedge/pledge added</t>
        </is>
      </c>
      <c r="L49" s="14" t="inlineStr">
        <is>
          <t>2026-03-26</t>
        </is>
      </c>
      <c r="M49" s="14" t="inlineStr">
        <is>
          <t>P/B 1.37 · P/S 0.2 · FCF yld 29% · net cash 35% of mcap · rev +9% · op margin -3%</t>
        </is>
      </c>
    </row>
    <row r="50"/>
    <row r="51" ht="28" customHeight="1">
      <c r="A51" s="17" t="inlineStr">
        <is>
          <t>1016 names show at least one structural improvement in the latest proxy (top 45 shown). Weights reflect rarity across 4,410 scanned DEF 14As: PSU-weight increase (12 occurrences, +25) and ownership-requirement addition (23, +15) are deliberate alignment choices; clawback strengthening (607, +4) and anti-hedge language (331, +6) are largely post-2023 SEC-rule boilerplate. Multi-improvement redesigns earn a conjunction bonus; improvements that follow a sub-80% say-on-pay vote are tagged as forced-response. Regressions (front-loaded grants, metric elimination) subtract and are listed as caveats. Source: proxy_scan plan_deltas + pattern_reasons -- fully data-driven.</t>
        </is>
      </c>
    </row>
  </sheetData>
  <mergeCells count="3">
    <mergeCell ref="A2:L2"/>
    <mergeCell ref="A51:L51"/>
    <mergeCell ref="A1:L1"/>
  </mergeCells>
  <conditionalFormatting sqref="D5:D51">
    <cfRule type="dataBar" priority="1">
      <dataBar showValue="1">
        <cfvo type="num" val="0"/>
        <cfvo type="num" val="100"/>
        <color rgb="009DB9D3"/>
      </dataBar>
    </cfRule>
  </conditionalFormatting>
  <hyperlinks>
    <hyperlink xmlns:r="http://schemas.openxmlformats.org/officeDocument/2006/relationships" ref="A36" r:id="rId1"/>
  </hyperlinks>
  <printOptions horizontalCentered="0"/>
  <pageMargins left="0.5" right="0.5" top="0.6" bottom="0.6" header="0.5" footer="0.5"/>
  <pageSetup orientation="landscape" fitToHeight="0" fitToWidth="1"/>
</worksheet>
</file>

<file path=xl/worksheets/sheet28.xml><?xml version="1.0" encoding="utf-8"?>
<worksheet xmlns="http://schemas.openxmlformats.org/spreadsheetml/2006/main">
  <sheetPr>
    <tabColor rgb="0070AD47"/>
    <outlinePr summaryBelow="1" summaryRight="1"/>
    <pageSetUpPr fitToPage="1"/>
  </sheetPr>
  <dimension ref="A1:N46"/>
  <sheetViews>
    <sheetView showGridLines="0" workbookViewId="0">
      <pane ySplit="4" topLeftCell="A5" activePane="bottomLeft" state="frozen"/>
      <selection pane="bottomLeft" activeCell="A1" sqref="A1"/>
    </sheetView>
  </sheetViews>
  <sheetFormatPr baseColWidth="8" defaultRowHeight="15"/>
  <cols>
    <col width="9" customWidth="1" min="1" max="1"/>
    <col width="13" customWidth="1" min="2" max="2"/>
    <col width="32" customWidth="1" min="3" max="3"/>
    <col width="30" customWidth="1" min="4" max="4"/>
    <col width="9" customWidth="1" min="5" max="5"/>
    <col width="60" customWidth="1" min="6" max="6"/>
    <col width="12" customWidth="1" min="7" max="7"/>
    <col width="8" customWidth="1" min="8" max="8"/>
    <col width="22" customWidth="1" min="9" max="9"/>
    <col width="8" customWidth="1" min="10" max="10"/>
    <col width="6" customWidth="1" min="11" max="11"/>
    <col width="12" customWidth="1" min="12" max="12"/>
    <col width="50" customWidth="1" min="13" max="13"/>
    <col width="62" customWidth="1" min="14" max="14"/>
  </cols>
  <sheetData>
    <row r="1" ht="26" customHeight="1">
      <c r="A1" s="1" t="inlineStr">
        <is>
          <t>Stale-Pricing Asymmetry -- Last 30 days</t>
        </is>
      </c>
    </row>
    <row r="2" ht="18" customHeight="1">
      <c r="A2" s="20" t="inlineStr">
        <is>
          <t>Names where a material incentive event was disclosed in the last 30 days AND the price has not yet reflected it. Tightest possible information-lag window.</t>
        </is>
      </c>
      <c r="B2" s="19" t="n"/>
      <c r="C2" s="19" t="n"/>
      <c r="D2" s="19" t="n"/>
      <c r="E2" s="19" t="n"/>
      <c r="F2" s="19" t="n"/>
      <c r="G2" s="19" t="n"/>
      <c r="H2" s="19" t="n"/>
      <c r="I2" s="19" t="n"/>
      <c r="J2" s="19" t="n"/>
      <c r="K2" s="19" t="n"/>
      <c r="L2" s="19" t="n"/>
      <c r="M2" s="19" t="n"/>
    </row>
    <row r="3" ht="8" customHeight="1">
      <c r="E3" s="34" t="inlineStr">
        <is>
          <t>%ile vs the 40 names on this tab</t>
        </is>
      </c>
    </row>
    <row r="4" ht="18" customHeight="1">
      <c r="A4" s="4" t="inlineStr">
        <is>
          <t>#</t>
        </is>
      </c>
      <c r="B4" s="12" t="inlineStr">
        <is>
          <t>Ticker</t>
        </is>
      </c>
      <c r="C4" s="12" t="inlineStr">
        <is>
          <t>Name</t>
        </is>
      </c>
      <c r="D4" s="12" t="inlineStr">
        <is>
          <t>Key numbers (FMP)</t>
        </is>
      </c>
      <c r="E4" s="12" t="inlineStr">
        <is>
          <t>Strength %ile</t>
        </is>
      </c>
      <c r="F4" s="12" t="inlineStr">
        <is>
          <t>What's happening (8-K)</t>
        </is>
      </c>
      <c r="G4" s="4" t="inlineStr">
        <is>
          <t>Score</t>
        </is>
      </c>
      <c r="H4" s="4" t="inlineStr">
        <is>
          <t>Days</t>
        </is>
      </c>
      <c r="I4" s="4" t="inlineStr">
        <is>
          <t>Event kind</t>
        </is>
      </c>
      <c r="J4" s="4" t="inlineStr">
        <is>
          <t>Inner</t>
        </is>
      </c>
      <c r="K4" s="4" t="inlineStr">
        <is>
          <t>DD%</t>
        </is>
      </c>
      <c r="L4" s="4" t="inlineStr">
        <is>
          <t>P/B</t>
        </is>
      </c>
      <c r="M4" s="12" t="inlineStr">
        <is>
          <t>Reasons</t>
        </is>
      </c>
      <c r="N4" s="12" t="inlineStr">
        <is>
          <t>FMP financial read</t>
        </is>
      </c>
    </row>
    <row r="5" ht="22" customHeight="1">
      <c r="A5" s="13" t="n">
        <v>1</v>
      </c>
      <c r="B5" s="6" t="inlineStr">
        <is>
          <t>RPAY</t>
        </is>
      </c>
      <c r="C5" s="14" t="inlineStr">
        <is>
          <t>Repay Holdings Corporation</t>
        </is>
      </c>
      <c r="D5" s="14" t="inlineStr">
        <is>
          <t>P/B 0.72 · debt 202% · 52w 50%</t>
        </is>
      </c>
      <c r="E5" s="14" t="n">
        <v>99</v>
      </c>
      <c r="F5" s="14" t="n"/>
      <c r="G5" s="41" t="n">
        <v>68</v>
      </c>
      <c r="H5" s="13" t="n">
        <v>6</v>
      </c>
      <c r="I5" s="14" t="inlineStr">
        <is>
          <t>RESTRUCT_8K</t>
        </is>
      </c>
      <c r="J5" s="13" t="n">
        <v>2</v>
      </c>
      <c r="K5" s="35" t="n">
        <v>44</v>
      </c>
      <c r="L5" s="27" t="n">
        <v>0.49123317</v>
      </c>
      <c r="M5" s="14" t="inlineStr">
        <is>
          <t>event 6d ago; RESTRUCT_8K; 2 events in 30d; DD 44%; P/B 0.49</t>
        </is>
      </c>
      <c r="N5" s="14" t="inlineStr">
        <is>
          <t>P/B 0.72 · P/S 1.0 · FCF yld 17% · net debt 202% of mcap · rev +9% · op margin -3% · buying back 6%/yr · interest cover -0.5× ⚠</t>
        </is>
      </c>
    </row>
    <row r="6" ht="22" customHeight="1">
      <c r="A6" s="15" t="n">
        <v>2</v>
      </c>
      <c r="B6" s="8" t="inlineStr">
        <is>
          <t>GOSS</t>
        </is>
      </c>
      <c r="C6" s="16" t="inlineStr">
        <is>
          <t>Gossamer Bio, Inc.</t>
        </is>
      </c>
      <c r="D6" s="16" t="inlineStr">
        <is>
          <t>52w 1%</t>
        </is>
      </c>
      <c r="E6" s="16" t="n">
        <v>96</v>
      </c>
      <c r="F6" s="16" t="n"/>
      <c r="G6" s="41" t="n">
        <v>61</v>
      </c>
      <c r="H6" s="15" t="n">
        <v>4</v>
      </c>
      <c r="I6" s="16" t="inlineStr">
        <is>
          <t>RESTRUCT_8K</t>
        </is>
      </c>
      <c r="J6" s="15" t="n">
        <v>2</v>
      </c>
      <c r="K6" s="36" t="n">
        <v>96</v>
      </c>
      <c r="L6" s="28" t="n">
        <v>-0.24418603</v>
      </c>
      <c r="M6" s="16" t="inlineStr">
        <is>
          <t>event 4d ago; RESTRUCT_8K; 2 events in 30d; DD 96% (unpriced)</t>
        </is>
      </c>
      <c r="N6" s="16" t="inlineStr">
        <is>
          <t>P/S 1.2 · rev +32% · op margin -312% · diluting 45%/yr  [negative equity; FCF yield &gt;100% (check)]</t>
        </is>
      </c>
    </row>
    <row r="7" ht="22" customHeight="1">
      <c r="A7" s="13" t="n">
        <v>3</v>
      </c>
      <c r="B7" s="6" t="inlineStr">
        <is>
          <t>GTM</t>
        </is>
      </c>
      <c r="C7" s="14" t="inlineStr">
        <is>
          <t>ZoomInfo Technologies Inc.</t>
        </is>
      </c>
      <c r="D7" s="14" t="inlineStr">
        <is>
          <t>P/B 1.38 · debt 119% · 52w 14%</t>
        </is>
      </c>
      <c r="E7" s="14" t="n">
        <v>94</v>
      </c>
      <c r="F7" s="14" t="n"/>
      <c r="G7" s="41" t="n">
        <v>60</v>
      </c>
      <c r="H7" s="13" t="n">
        <v>5</v>
      </c>
      <c r="I7" s="14" t="inlineStr">
        <is>
          <t>ACTIVIST_13D</t>
        </is>
      </c>
      <c r="J7" s="13" t="n">
        <v>2</v>
      </c>
      <c r="K7" s="35" t="n">
        <v>78</v>
      </c>
      <c r="L7" s="27" t="n">
        <v>0.56459713</v>
      </c>
      <c r="M7" s="14" t="inlineStr">
        <is>
          <t>event 5d ago; 2 events in 30d; DD 78% (unpriced); only 8% above 52w low</t>
        </is>
      </c>
      <c r="N7" s="14" t="inlineStr">
        <is>
          <t>P/B 1.38 · P/S 0.9 · FCF yld 39% · net debt 119% of mcap · rev +3% · op margin -34% · buying back 14%/yr · interest cover -8.6× ⚠</t>
        </is>
      </c>
    </row>
    <row r="8" ht="22" customHeight="1">
      <c r="A8" s="15" t="n">
        <v>4</v>
      </c>
      <c r="B8" s="8" t="inlineStr">
        <is>
          <t>GSHD</t>
        </is>
      </c>
      <c r="C8" s="16" t="inlineStr">
        <is>
          <t>Goosehead Insurance, Inc.</t>
        </is>
      </c>
      <c r="D8" s="16" t="inlineStr">
        <is>
          <t>P/E 30.7 · 52w 23%</t>
        </is>
      </c>
      <c r="E8" s="16" t="n">
        <v>90</v>
      </c>
      <c r="F8" s="16" t="n"/>
      <c r="G8" s="41" t="n">
        <v>53</v>
      </c>
      <c r="H8" s="15" t="n">
        <v>20</v>
      </c>
      <c r="I8" s="16" t="inlineStr">
        <is>
          <t>F4_PBUY</t>
        </is>
      </c>
      <c r="J8" s="15" t="n">
        <v>2</v>
      </c>
      <c r="K8" s="36" t="n">
        <v>70</v>
      </c>
      <c r="L8" s="28" t="n">
        <v>-6.708959</v>
      </c>
      <c r="M8" s="16" t="inlineStr">
        <is>
          <t>event 20d ago; insider P-buy; 2 events in 30d; DD 70% (unpriced); only 2% above 52w low</t>
        </is>
      </c>
      <c r="N8" s="16" t="inlineStr">
        <is>
          <t>P/E 30.7 · ROE -33% · buying back 6%/yr (financial: book/earnings basis)  [negative equity]</t>
        </is>
      </c>
    </row>
    <row r="9" ht="22" customHeight="1">
      <c r="A9" s="13" t="n">
        <v>5</v>
      </c>
      <c r="B9" s="6" t="inlineStr">
        <is>
          <t>GWRE</t>
        </is>
      </c>
      <c r="C9" s="14" t="inlineStr">
        <is>
          <t>Guidewire Software, Inc.</t>
        </is>
      </c>
      <c r="D9" s="14" t="inlineStr">
        <is>
          <t>P/B 9.69 · 61.1× EBITDA · cash 0% · 52w 33%</t>
        </is>
      </c>
      <c r="E9" s="14" t="n">
        <v>90</v>
      </c>
      <c r="F9" s="14" t="n"/>
      <c r="G9" s="41" t="n">
        <v>53</v>
      </c>
      <c r="H9" s="13" t="n">
        <v>16</v>
      </c>
      <c r="I9" s="14" t="inlineStr">
        <is>
          <t>10b5-1_TERM</t>
        </is>
      </c>
      <c r="J9" s="13" t="n">
        <v>1</v>
      </c>
      <c r="K9" s="35" t="n">
        <v>60</v>
      </c>
      <c r="L9" s="27" t="n">
        <v>6.817952</v>
      </c>
      <c r="M9" s="14" t="inlineStr">
        <is>
          <t>event 16d ago; 10b5-1 termination; DD 60% (unpriced); only 1% above 52w low</t>
        </is>
      </c>
      <c r="N9" s="14" t="inlineStr">
        <is>
          <t>P/B 9.69 · EV/EBITDA 61.1× · FCF yld 2% · net cash 0% of mcap · rev +24% · op margin 10% · diluting 3%/yr</t>
        </is>
      </c>
    </row>
    <row r="10" ht="22" customHeight="1">
      <c r="A10" s="15" t="n">
        <v>6</v>
      </c>
      <c r="B10" s="8" t="inlineStr">
        <is>
          <t>CMTL</t>
        </is>
      </c>
      <c r="C10" s="16" t="inlineStr">
        <is>
          <t>Comtech Telecommunications Corp</t>
        </is>
      </c>
      <c r="D10" s="16" t="inlineStr">
        <is>
          <t>P/B 0.16 · 5.7× EBITDA · debt 515% · 52w 1%</t>
        </is>
      </c>
      <c r="E10" s="16" t="n">
        <v>82</v>
      </c>
      <c r="F10" s="16" t="n"/>
      <c r="G10" s="41" t="n">
        <v>52</v>
      </c>
      <c r="H10" s="15" t="n">
        <v>4</v>
      </c>
      <c r="I10" s="16" t="inlineStr">
        <is>
          <t>ACTIVIST_13D</t>
        </is>
      </c>
      <c r="J10" s="15" t="n">
        <v>2</v>
      </c>
      <c r="K10" s="36" t="n">
        <v>61</v>
      </c>
      <c r="L10" s="28" t="n">
        <v>0.67586595</v>
      </c>
      <c r="M10" s="16" t="inlineStr">
        <is>
          <t>event 4d ago; 2 events in 30d; DD 61% (unpriced)</t>
        </is>
      </c>
      <c r="N10" s="16" t="inlineStr">
        <is>
          <t>P/B 0.16 · EV/EBITDA 5.7× · FCF yld 36% · net debt 515% of mcap · rev -4% · op margin 0% · interest cover 0.0× ⚠</t>
        </is>
      </c>
    </row>
    <row r="11" ht="22" customHeight="1">
      <c r="A11" s="13" t="n">
        <v>7</v>
      </c>
      <c r="B11" s="6" t="inlineStr">
        <is>
          <t>PHGE</t>
        </is>
      </c>
      <c r="C11" s="14" t="inlineStr">
        <is>
          <t>BiomX Inc.</t>
        </is>
      </c>
      <c r="D11" s="14" t="inlineStr">
        <is>
          <t>P/B 0.17 · debt 149% · 52w 1%</t>
        </is>
      </c>
      <c r="E11" s="14" t="n">
        <v>82</v>
      </c>
      <c r="F11" s="14" t="n"/>
      <c r="G11" s="41" t="n">
        <v>52</v>
      </c>
      <c r="H11" s="13" t="n">
        <v>5</v>
      </c>
      <c r="I11" s="14" t="inlineStr">
        <is>
          <t>ACTIVIST_13D</t>
        </is>
      </c>
      <c r="J11" s="13" t="n">
        <v>3</v>
      </c>
      <c r="K11" s="35" t="n">
        <v>96</v>
      </c>
      <c r="L11" s="27" t="n">
        <v>-0.041595332</v>
      </c>
      <c r="M11" s="14" t="inlineStr">
        <is>
          <t>event 5d ago; 3 events in 30d; DD 96% (unpriced)</t>
        </is>
      </c>
      <c r="N11" s="14" t="inlineStr">
        <is>
          <t>P/B 0.17 · P/S 5.7 · net debt 149% of mcap · interest cover -27.3× ⚠  [FCF yield &gt;100% (check)]</t>
        </is>
      </c>
    </row>
    <row r="12" ht="22" customHeight="1">
      <c r="A12" s="15" t="n">
        <v>8</v>
      </c>
      <c r="B12" s="8" t="inlineStr">
        <is>
          <t>CHPT</t>
        </is>
      </c>
      <c r="C12" s="16" t="inlineStr">
        <is>
          <t>ChargePoint Holdings, Inc.</t>
        </is>
      </c>
      <c r="D12" s="16" t="inlineStr">
        <is>
          <t>P/B 6.30 · debt 63% · 52w 60%</t>
        </is>
      </c>
      <c r="E12" s="16" t="n">
        <v>82</v>
      </c>
      <c r="F12" s="16" t="n"/>
      <c r="G12" s="41" t="n">
        <v>52</v>
      </c>
      <c r="H12" s="15" t="n">
        <v>13</v>
      </c>
      <c r="I12" s="16" t="inlineStr">
        <is>
          <t>10b5-1_TERM</t>
        </is>
      </c>
      <c r="J12" s="15" t="n">
        <v>2</v>
      </c>
      <c r="K12" s="36" t="n">
        <v>49</v>
      </c>
      <c r="L12" s="28" t="n">
        <v>-23.675215</v>
      </c>
      <c r="M12" s="16" t="inlineStr">
        <is>
          <t>event 13d ago; 10b5-1 termination; 2 events in 30d; DD 49%</t>
        </is>
      </c>
      <c r="N12" s="16" t="inlineStr">
        <is>
          <t>P/B 6.30 · P/S 0.5 · FCF yld -29% · net debt 63% of mcap · rev -10% · op margin -42% · diluting 8%/yr · interest cover -16.2× ⚠</t>
        </is>
      </c>
    </row>
    <row r="13" ht="22" customHeight="1">
      <c r="A13" s="13" t="n">
        <v>9</v>
      </c>
      <c r="B13" s="6" t="inlineStr">
        <is>
          <t>DXC</t>
        </is>
      </c>
      <c r="C13" s="14" t="inlineStr">
        <is>
          <t>DXC Technology Company</t>
        </is>
      </c>
      <c r="D13" s="14" t="inlineStr">
        <is>
          <t>P/B 0.57 · 2.6× EBITDA · debt 144% · 52w 41%</t>
        </is>
      </c>
      <c r="E13" s="14" t="n">
        <v>82</v>
      </c>
      <c r="F13" s="14" t="n"/>
      <c r="G13" s="41" t="n">
        <v>52</v>
      </c>
      <c r="H13" s="13" t="n">
        <v>17</v>
      </c>
      <c r="I13" s="14" t="inlineStr">
        <is>
          <t>DEF14A_PSU</t>
        </is>
      </c>
      <c r="J13" s="13" t="n">
        <v>1</v>
      </c>
      <c r="K13" s="35" t="n">
        <v>48</v>
      </c>
      <c r="L13" s="27" t="n">
        <v>0.4839073</v>
      </c>
      <c r="M13" s="14" t="inlineStr">
        <is>
          <t>event 17d ago; PSU/gov in latest proxy; DD 48%; only 9% above 52w low; P/B 0.48</t>
        </is>
      </c>
      <c r="N13" s="14" t="inlineStr">
        <is>
          <t>P/B 0.57 · EV/EBITDA 2.6× · FCF yld 71% · net debt 144% of mcap · rev -2% · op margin 3% · buying back 3%/yr</t>
        </is>
      </c>
    </row>
    <row r="14" ht="22" customHeight="1">
      <c r="A14" s="15" t="n">
        <v>10</v>
      </c>
      <c r="B14" s="8" t="inlineStr">
        <is>
          <t>PCSA</t>
        </is>
      </c>
      <c r="C14" s="16" t="inlineStr">
        <is>
          <t>Processa Pharmaceuticals, Inc.</t>
        </is>
      </c>
      <c r="D14" s="16" t="inlineStr">
        <is>
          <t>52w 2%</t>
        </is>
      </c>
      <c r="E14" s="16" t="n">
        <v>75</v>
      </c>
      <c r="F14" s="16" t="n"/>
      <c r="G14" s="41" t="n">
        <v>51</v>
      </c>
      <c r="H14" s="15" t="n">
        <v>20</v>
      </c>
      <c r="I14" s="16" t="inlineStr">
        <is>
          <t>F4_PBUY</t>
        </is>
      </c>
      <c r="J14" s="15" t="n">
        <v>5</v>
      </c>
      <c r="K14" s="36" t="n">
        <v>86</v>
      </c>
      <c r="L14" s="28" t="n">
        <v>2.950474</v>
      </c>
      <c r="M14" s="16" t="inlineStr">
        <is>
          <t>event 20d ago; insider P-buy; 5 events in 30d; DD 86% (unpriced)</t>
        </is>
      </c>
      <c r="N14" s="16" t="inlineStr">
        <is>
          <t>P/S 0.0 · op margin 0%  [negative equity; FCF yield &gt;100% (check)]</t>
        </is>
      </c>
    </row>
    <row r="15" ht="22" customHeight="1">
      <c r="A15" s="13" t="n">
        <v>11</v>
      </c>
      <c r="B15" s="6" t="inlineStr">
        <is>
          <t>BTU</t>
        </is>
      </c>
      <c r="C15" s="14" t="inlineStr">
        <is>
          <t>Peabody Energy Corporation</t>
        </is>
      </c>
      <c r="D15" s="14" t="inlineStr">
        <is>
          <t>P/B 1.00 · 11.0× EBITDA · cash 3% · 52w 32%</t>
        </is>
      </c>
      <c r="E15" s="14" t="n">
        <v>75</v>
      </c>
      <c r="F15" s="14" t="n"/>
      <c r="G15" s="41" t="n">
        <v>51</v>
      </c>
      <c r="H15" s="13" t="n">
        <v>6</v>
      </c>
      <c r="I15" s="14" t="inlineStr">
        <is>
          <t>RESTRUCT_8K</t>
        </is>
      </c>
      <c r="J15" s="13" t="n">
        <v>1</v>
      </c>
      <c r="K15" s="35" t="n">
        <v>36</v>
      </c>
      <c r="L15" s="27" t="n">
        <v>0.91458744</v>
      </c>
      <c r="M15" s="14" t="inlineStr">
        <is>
          <t>event 6d ago; RESTRUCT_8K</t>
        </is>
      </c>
      <c r="N15" s="14" t="inlineStr">
        <is>
          <t>P/B 1.00 · EV/EBITDA 11.0× · FCF yld 14% · net cash 3% of mcap · rev -1% · op margin -4%</t>
        </is>
      </c>
    </row>
    <row r="16" ht="22" customHeight="1">
      <c r="A16" s="15" t="n">
        <v>12</v>
      </c>
      <c r="B16" s="8" t="inlineStr">
        <is>
          <t>RC</t>
        </is>
      </c>
      <c r="C16" s="16" t="inlineStr">
        <is>
          <t>Ready Capital Corporation</t>
        </is>
      </c>
      <c r="D16" s="16" t="inlineStr">
        <is>
          <t>P/B 0.21 · debt 1743% · 52w 6%</t>
        </is>
      </c>
      <c r="E16" s="16" t="n">
        <v>70</v>
      </c>
      <c r="F16" s="16" t="n"/>
      <c r="G16" s="41" t="n">
        <v>49</v>
      </c>
      <c r="H16" s="15" t="n">
        <v>20</v>
      </c>
      <c r="I16" s="16" t="inlineStr">
        <is>
          <t>DEF14A_PSU</t>
        </is>
      </c>
      <c r="J16" s="15" t="n">
        <v>1</v>
      </c>
      <c r="K16" s="36" t="n">
        <v>63</v>
      </c>
      <c r="L16" s="28" t="n">
        <v>0.23546824</v>
      </c>
      <c r="M16" s="16" t="inlineStr">
        <is>
          <t>event 20d ago; PSU/gov in latest proxy; DD 63% (unpriced); P/B 0.24</t>
        </is>
      </c>
      <c r="N16" s="16" t="inlineStr">
        <is>
          <t>P/B 0.21 · P/S 0.6 · net debt 1743% of mcap · op margin -108% · interest cover -1.1× ⚠  [FCF yield &gt;100% (check); revenue not comparable YoY (fair-value / one-off income?)]</t>
        </is>
      </c>
    </row>
    <row r="17" ht="22" customHeight="1">
      <c r="A17" s="13" t="n">
        <v>13</v>
      </c>
      <c r="B17" s="6" t="inlineStr">
        <is>
          <t>KWY</t>
        </is>
      </c>
      <c r="C17" s="14" t="inlineStr">
        <is>
          <t>Kingsway Corporation</t>
        </is>
      </c>
      <c r="D17" s="14" t="inlineStr">
        <is>
          <t>P/B 9.29 · 52w 11%</t>
        </is>
      </c>
      <c r="E17" s="14" t="n">
        <v>70</v>
      </c>
      <c r="F17" s="14" t="n"/>
      <c r="G17" s="41" t="n">
        <v>49</v>
      </c>
      <c r="H17" s="13" t="n">
        <v>20</v>
      </c>
      <c r="I17" s="14" t="inlineStr">
        <is>
          <t>F4_PBUY</t>
        </is>
      </c>
      <c r="J17" s="13" t="n">
        <v>3</v>
      </c>
      <c r="K17" s="35" t="n">
        <v>39</v>
      </c>
      <c r="L17" s="27" t="n">
        <v>22.396515</v>
      </c>
      <c r="M17" s="14" t="inlineStr">
        <is>
          <t>event 20d ago; insider P-buy; 3 events in 30d; only 5% above 52w low</t>
        </is>
      </c>
      <c r="N17" s="14" t="inlineStr">
        <is>
          <t>P/B 9.29 · ROE -24% · diluting 5%/yr (financial: book/earnings basis)</t>
        </is>
      </c>
    </row>
    <row r="18" ht="22" customHeight="1">
      <c r="A18" s="15" t="n">
        <v>14</v>
      </c>
      <c r="B18" s="8" t="inlineStr">
        <is>
          <t>HRTX</t>
        </is>
      </c>
      <c r="C18" s="16" t="inlineStr">
        <is>
          <t>Heron Therapeutics, Inc.</t>
        </is>
      </c>
      <c r="D18" s="16" t="inlineStr">
        <is>
          <t>P/B 8.04 · debt 190% · 52w 3%</t>
        </is>
      </c>
      <c r="E18" s="16" t="n">
        <v>65</v>
      </c>
      <c r="F18" s="16" t="n"/>
      <c r="G18" s="41" t="n">
        <v>48</v>
      </c>
      <c r="H18" s="15" t="n">
        <v>5</v>
      </c>
      <c r="I18" s="16" t="inlineStr">
        <is>
          <t>NOL_SHELL</t>
        </is>
      </c>
      <c r="J18" s="15" t="n">
        <v>1</v>
      </c>
      <c r="K18" s="36" t="n">
        <v>82</v>
      </c>
      <c r="L18" s="28" t="n">
        <v>9.709301999999999</v>
      </c>
      <c r="M18" s="16" t="inlineStr">
        <is>
          <t>event 5d ago; DD 82% (unpriced); only 10% above 52w low</t>
        </is>
      </c>
      <c r="N18" s="16" t="inlineStr">
        <is>
          <t>P/B 8.04 · P/S 0.4 · FCF yld -22% · net debt 190% of mcap · rev +1% · op margin -7% · diluting 24%/yr · interest cover -2.8× ⚠</t>
        </is>
      </c>
    </row>
    <row r="19" ht="22" customHeight="1">
      <c r="A19" s="13" t="n">
        <v>15</v>
      </c>
      <c r="B19" s="6" t="inlineStr">
        <is>
          <t>LAB</t>
        </is>
      </c>
      <c r="C19" s="14" t="inlineStr">
        <is>
          <t>Standard BioTools Inc.</t>
        </is>
      </c>
      <c r="D19" s="14" t="inlineStr">
        <is>
          <t>P/B 0.53 · cash 157% · 52w 9%</t>
        </is>
      </c>
      <c r="E19" s="14" t="n">
        <v>65</v>
      </c>
      <c r="F19" s="14" t="n"/>
      <c r="G19" s="41" t="n">
        <v>48</v>
      </c>
      <c r="H19" s="13" t="n">
        <v>12</v>
      </c>
      <c r="I19" s="14" t="inlineStr">
        <is>
          <t>ACTIVIST_13D</t>
        </is>
      </c>
      <c r="J19" s="13" t="n">
        <v>2</v>
      </c>
      <c r="K19" s="35" t="n">
        <v>52</v>
      </c>
      <c r="L19" s="27" t="n">
        <v>0.5769819</v>
      </c>
      <c r="M19" s="14" t="inlineStr">
        <is>
          <t>event 12d ago; 2 events in 30d; DD 52%; only 5% above 52w low</t>
        </is>
      </c>
      <c r="N19" s="14" t="inlineStr">
        <is>
          <t>P/B 0.53 · P/S 3.4 · FCF yld -29% · net cash 157% of mcap · rev -37% · op margin -95% · diluting 3%/yr</t>
        </is>
      </c>
    </row>
    <row r="20" ht="22" customHeight="1">
      <c r="A20" s="15" t="n">
        <v>16</v>
      </c>
      <c r="B20" s="8" t="inlineStr">
        <is>
          <t>NSPR</t>
        </is>
      </c>
      <c r="C20" s="16" t="inlineStr">
        <is>
          <t>InspireMD Inc.</t>
        </is>
      </c>
      <c r="D20" s="16" t="inlineStr">
        <is>
          <t>P/B 1.11 · cash 81% · 52w 6%</t>
        </is>
      </c>
      <c r="E20" s="16" t="n">
        <v>61</v>
      </c>
      <c r="F20" s="16" t="n"/>
      <c r="G20" s="41" t="n">
        <v>47</v>
      </c>
      <c r="H20" s="15" t="n">
        <v>23</v>
      </c>
      <c r="I20" s="16" t="inlineStr">
        <is>
          <t>F4_PBUY</t>
        </is>
      </c>
      <c r="J20" s="15" t="n">
        <v>1</v>
      </c>
      <c r="K20" s="36" t="n">
        <v>76</v>
      </c>
      <c r="L20" s="28" t="n">
        <v>0.7626208</v>
      </c>
      <c r="M20" s="16" t="inlineStr">
        <is>
          <t>event 23d ago; insider P-buy; DD 76% (unpriced); only 3% above 52w low</t>
        </is>
      </c>
      <c r="N20" s="16" t="inlineStr">
        <is>
          <t>P/B 1.11 · P/S 3.1 · net cash 81% of mcap · rev +53% · op margin -494% · diluting 44%/yr  [FCF yield &gt;100% (check)]</t>
        </is>
      </c>
    </row>
    <row r="21" ht="22" customHeight="1">
      <c r="A21" s="13" t="n">
        <v>17</v>
      </c>
      <c r="B21" s="6" t="inlineStr">
        <is>
          <t>RNTX</t>
        </is>
      </c>
      <c r="C21" s="14" t="inlineStr">
        <is>
          <t>Rein Therapeutics, Inc.</t>
        </is>
      </c>
      <c r="D21" s="14" t="inlineStr">
        <is>
          <t>P/B 2.12 · cash 188% · 52w 5%</t>
        </is>
      </c>
      <c r="E21" s="14" t="n">
        <v>58</v>
      </c>
      <c r="F21" s="14" t="n"/>
      <c r="G21" s="41" t="n">
        <v>46</v>
      </c>
      <c r="H21" s="13" t="n">
        <v>13</v>
      </c>
      <c r="I21" s="14" t="inlineStr">
        <is>
          <t>DEF14A_PSU</t>
        </is>
      </c>
      <c r="J21" s="13" t="n">
        <v>1</v>
      </c>
      <c r="K21" s="35" t="n">
        <v>58</v>
      </c>
      <c r="L21" s="27" t="n">
        <v>-0.7682047</v>
      </c>
      <c r="M21" s="14" t="inlineStr">
        <is>
          <t>event 13d ago; PSU/gov in latest proxy; DD 58%; only 6% above 52w low</t>
        </is>
      </c>
      <c r="N21" s="14" t="inlineStr">
        <is>
          <t>P/B 2.12 · P/S 0.0 · FCF yld -87% · net cash 188% of mcap · op margin 0% · diluting 25%/yr</t>
        </is>
      </c>
    </row>
    <row r="22" ht="22" customHeight="1">
      <c r="A22" s="15" t="n">
        <v>18</v>
      </c>
      <c r="B22" s="8" t="inlineStr">
        <is>
          <t>BAH</t>
        </is>
      </c>
      <c r="C22" s="16" t="inlineStr">
        <is>
          <t>Booz Allen Hamilton Holding Cor</t>
        </is>
      </c>
      <c r="D22" s="16" t="inlineStr">
        <is>
          <t>P/B 9.04 · 10.1× EBITDA · cash 6% · 52w 35%</t>
        </is>
      </c>
      <c r="E22" s="16" t="n">
        <v>58</v>
      </c>
      <c r="F22" s="16" t="n"/>
      <c r="G22" s="41" t="n">
        <v>46</v>
      </c>
      <c r="H22" s="15" t="n">
        <v>10</v>
      </c>
      <c r="I22" s="16" t="inlineStr">
        <is>
          <t>DEF14A_PSU</t>
        </is>
      </c>
      <c r="J22" s="15" t="n">
        <v>1</v>
      </c>
      <c r="K22" s="36" t="n">
        <v>45</v>
      </c>
      <c r="L22" s="28" t="n">
        <v>7.2271833</v>
      </c>
      <c r="M22" s="16" t="inlineStr">
        <is>
          <t>event 10d ago; PSU/gov in latest proxy; DD 45%; only 0% above 52w low</t>
        </is>
      </c>
      <c r="N22" s="16" t="inlineStr">
        <is>
          <t>P/B 9.04 · EV/EBITDA 10.1× · FCF yld 12% · net cash 6% of mcap · rev +2% · op margin 10% · buying back 4%/yr</t>
        </is>
      </c>
    </row>
    <row r="23" ht="22" customHeight="1">
      <c r="A23" s="13" t="n">
        <v>19</v>
      </c>
      <c r="B23" s="6" t="inlineStr">
        <is>
          <t>VNRX</t>
        </is>
      </c>
      <c r="C23" s="14" t="inlineStr">
        <is>
          <t>VolitionRX Limited</t>
        </is>
      </c>
      <c r="D23" s="14" t="inlineStr">
        <is>
          <t>52w 0%</t>
        </is>
      </c>
      <c r="E23" s="14" t="n">
        <v>54</v>
      </c>
      <c r="F23" s="14" t="n"/>
      <c r="G23" s="41" t="n">
        <v>45</v>
      </c>
      <c r="H23" s="13" t="n">
        <v>19</v>
      </c>
      <c r="I23" s="14" t="inlineStr">
        <is>
          <t>DEF14A_PSU</t>
        </is>
      </c>
      <c r="J23" s="13" t="n">
        <v>1</v>
      </c>
      <c r="K23" s="35" t="n">
        <v>92</v>
      </c>
      <c r="L23" s="27" t="n">
        <v>-0.26262623</v>
      </c>
      <c r="M23" s="14" t="inlineStr">
        <is>
          <t>event 19d ago; PSU/gov in latest proxy; DD 92% (unpriced); only 10% above 52w low</t>
        </is>
      </c>
      <c r="N23" s="14" t="inlineStr">
        <is>
          <t>P/S 0.8 · rev +86% · diluting 78%/yr  [FCF yield &gt;100% (check)]</t>
        </is>
      </c>
    </row>
    <row r="24" ht="22" customHeight="1">
      <c r="A24" s="15" t="n">
        <v>20</v>
      </c>
      <c r="B24" s="8" t="inlineStr">
        <is>
          <t>SWZ</t>
        </is>
      </c>
      <c r="C24" s="16" t="inlineStr">
        <is>
          <t>Total Return Securities Fund</t>
        </is>
      </c>
      <c r="D24" s="16" t="inlineStr">
        <is>
          <t>P/B 0.79 · P/E 11.5 · 52w 6%</t>
        </is>
      </c>
      <c r="E24" s="16" t="n">
        <v>49</v>
      </c>
      <c r="F24" s="16" t="n"/>
      <c r="G24" s="41" t="n">
        <v>44</v>
      </c>
      <c r="H24" s="15" t="n">
        <v>20</v>
      </c>
      <c r="I24" s="16" t="inlineStr">
        <is>
          <t>F4_PBUY</t>
        </is>
      </c>
      <c r="J24" s="15" t="n">
        <v>2</v>
      </c>
      <c r="K24" s="36" t="n">
        <v>8</v>
      </c>
      <c r="L24" s="28" t="n">
        <v>0.8557581</v>
      </c>
      <c r="M24" s="16" t="inlineStr">
        <is>
          <t>event 20d ago; insider P-buy; 2 events in 30d; only 1% above 52w low</t>
        </is>
      </c>
      <c r="N24" s="16" t="inlineStr">
        <is>
          <t>P/B 0.79 · P/E 11.5 · ROE 6% (financial: book/earnings basis)</t>
        </is>
      </c>
    </row>
    <row r="25" ht="22" customHeight="1">
      <c r="A25" s="13" t="n">
        <v>21</v>
      </c>
      <c r="B25" s="6" t="inlineStr">
        <is>
          <t>FOX</t>
        </is>
      </c>
      <c r="C25" s="14" t="inlineStr">
        <is>
          <t>Fox Corporation</t>
        </is>
      </c>
      <c r="D25" s="14" t="inlineStr">
        <is>
          <t>P/B 2.27 · 9.3× EBITDA · debt 16% · 52w 52%</t>
        </is>
      </c>
      <c r="E25" s="14" t="n">
        <v>49</v>
      </c>
      <c r="F25" s="14" t="n"/>
      <c r="G25" s="41" t="n">
        <v>44</v>
      </c>
      <c r="H25" s="13" t="n">
        <v>5</v>
      </c>
      <c r="I25" s="14" t="inlineStr">
        <is>
          <t>ACTIVIST_13D</t>
        </is>
      </c>
      <c r="J25" s="13" t="n">
        <v>2</v>
      </c>
      <c r="K25" s="35" t="n">
        <v>31</v>
      </c>
      <c r="L25" s="27" t="n">
        <v>1.8010588</v>
      </c>
      <c r="M25" s="14" t="inlineStr">
        <is>
          <t>event 5d ago; 2 events in 30d; only 2% above 52w low</t>
        </is>
      </c>
      <c r="N25" s="14" t="inlineStr">
        <is>
          <t>P/B 2.27 · EV/EBITDA 9.3× · FCF yld 6% · net debt 16% of mcap · rev +9% · op margin 24% · buying back 5%/yr</t>
        </is>
      </c>
    </row>
    <row r="26" ht="22" customHeight="1">
      <c r="A26" s="15" t="n">
        <v>22</v>
      </c>
      <c r="B26" s="8" t="inlineStr">
        <is>
          <t>OTLK</t>
        </is>
      </c>
      <c r="C26" s="16" t="inlineStr">
        <is>
          <t>Outlook Therapeutics, Inc.</t>
        </is>
      </c>
      <c r="D26" s="16" t="inlineStr">
        <is>
          <t>52w 22%</t>
        </is>
      </c>
      <c r="E26" s="16" t="n">
        <v>49</v>
      </c>
      <c r="F26" s="16" t="n"/>
      <c r="G26" s="41" t="n">
        <v>44</v>
      </c>
      <c r="H26" s="15" t="n">
        <v>20</v>
      </c>
      <c r="I26" s="16" t="inlineStr">
        <is>
          <t>DEF14A_PSU</t>
        </is>
      </c>
      <c r="J26" s="15" t="n">
        <v>4</v>
      </c>
      <c r="K26" s="36" t="n">
        <v>53</v>
      </c>
      <c r="L26" s="28" t="n">
        <v>-5.703971</v>
      </c>
      <c r="M26" s="16" t="inlineStr">
        <is>
          <t>event 20d ago; PSU/gov in latest proxy; 4 events in 30d; DD 53%</t>
        </is>
      </c>
      <c r="N26" s="16" t="inlineStr">
        <is>
          <t>P/S -108.5 · FCF yld -46% · buying back 17%/yr  [market-cap/share data inconsistent]</t>
        </is>
      </c>
    </row>
    <row r="27" ht="22" customHeight="1">
      <c r="A27" s="13" t="n">
        <v>23</v>
      </c>
      <c r="B27" s="6" t="inlineStr">
        <is>
          <t>MYSZ</t>
        </is>
      </c>
      <c r="C27" s="14" t="inlineStr">
        <is>
          <t>My Size, Inc.</t>
        </is>
      </c>
      <c r="D27" s="14" t="inlineStr">
        <is>
          <t>P/B 0.42 · debt 61% · 52w 1%</t>
        </is>
      </c>
      <c r="E27" s="14" t="n">
        <v>39</v>
      </c>
      <c r="F27" s="14" t="n"/>
      <c r="G27" s="41" t="n">
        <v>43</v>
      </c>
      <c r="H27" s="13" t="n">
        <v>19</v>
      </c>
      <c r="I27" s="14" t="inlineStr">
        <is>
          <t>DEF14A_PSU</t>
        </is>
      </c>
      <c r="J27" s="13" t="n">
        <v>1</v>
      </c>
      <c r="K27" s="35" t="n">
        <v>72</v>
      </c>
      <c r="L27" s="27" t="n">
        <v>0.5609756</v>
      </c>
      <c r="M27" s="14" t="inlineStr">
        <is>
          <t>event 19d ago; PSU/gov in latest proxy; DD 72% (unpriced)</t>
        </is>
      </c>
      <c r="N27" s="14" t="inlineStr">
        <is>
          <t>P/B 0.42 · P/S 0.1 · net debt 61% of mcap · rev +67% · op margin -48% · interest cover -181.4× ⚠  [FCF yield &gt;100% (check); share-count history inconsistent (foreign line)]</t>
        </is>
      </c>
    </row>
    <row r="28" ht="22" customHeight="1">
      <c r="A28" s="15" t="n">
        <v>24</v>
      </c>
      <c r="B28" s="8" t="inlineStr">
        <is>
          <t>PRPL</t>
        </is>
      </c>
      <c r="C28" s="16" t="inlineStr">
        <is>
          <t>Purple Innovation, Inc.</t>
        </is>
      </c>
      <c r="D28" s="16" t="inlineStr">
        <is>
          <t>17.7× EBITDA · 52w 1%</t>
        </is>
      </c>
      <c r="E28" s="16" t="n">
        <v>39</v>
      </c>
      <c r="F28" s="16" t="n"/>
      <c r="G28" s="41" t="n">
        <v>43</v>
      </c>
      <c r="H28" s="15" t="n">
        <v>13</v>
      </c>
      <c r="I28" s="16" t="inlineStr">
        <is>
          <t>DEF14A_PSU</t>
        </is>
      </c>
      <c r="J28" s="15" t="n">
        <v>1</v>
      </c>
      <c r="K28" s="36" t="n">
        <v>66</v>
      </c>
      <c r="L28" s="28" t="n">
        <v>-0.7734178</v>
      </c>
      <c r="M28" s="16" t="inlineStr">
        <is>
          <t>event 13d ago; PSU/gov in latest proxy; DD 66% (unpriced)</t>
        </is>
      </c>
      <c r="N28" s="16" t="inlineStr">
        <is>
          <t>EV/EBITDA 17.7× · FCF yld -85% · rev -1% · op margin -8%  [negative equity]</t>
        </is>
      </c>
    </row>
    <row r="29" ht="22" customHeight="1">
      <c r="A29" s="13" t="n">
        <v>25</v>
      </c>
      <c r="B29" s="6" t="inlineStr">
        <is>
          <t>COSM</t>
        </is>
      </c>
      <c r="C29" s="14" t="inlineStr">
        <is>
          <t>Cosmos Health Inc.</t>
        </is>
      </c>
      <c r="D29" s="14" t="inlineStr">
        <is>
          <t>P/B 1.01 · debt 67% · 52w 19%</t>
        </is>
      </c>
      <c r="E29" s="14" t="n">
        <v>39</v>
      </c>
      <c r="F29" s="14" t="n"/>
      <c r="G29" s="41" t="n">
        <v>43</v>
      </c>
      <c r="H29" s="13" t="n">
        <v>19</v>
      </c>
      <c r="I29" s="14" t="inlineStr">
        <is>
          <t>DEF14A_PSU</t>
        </is>
      </c>
      <c r="J29" s="13" t="n">
        <v>1</v>
      </c>
      <c r="K29" s="35" t="n">
        <v>84</v>
      </c>
      <c r="L29" s="27" t="n">
        <v>0.5349246</v>
      </c>
      <c r="M29" s="14" t="inlineStr">
        <is>
          <t>event 19d ago; PSU/gov in latest proxy; DD 84% (unpriced)</t>
        </is>
      </c>
      <c r="N29" s="14" t="inlineStr">
        <is>
          <t>P/B 1.01 · P/S 0.3 · FCF yld -51% · net debt 67% of mcap · rev +34% · op margin -25% · interest cover -5.2× ⚠  [share-count history inconsistent (foreign line)]</t>
        </is>
      </c>
    </row>
    <row r="30" ht="22" customHeight="1">
      <c r="A30" s="15" t="n">
        <v>26</v>
      </c>
      <c r="B30" s="8" t="inlineStr">
        <is>
          <t>PSIX</t>
        </is>
      </c>
      <c r="C30" s="16" t="inlineStr">
        <is>
          <t>Power Solutions International,</t>
        </is>
      </c>
      <c r="D30" s="16" t="inlineStr">
        <is>
          <t>P/B 5.23 · 11.9× EBITDA · debt 6% · 52w 22%</t>
        </is>
      </c>
      <c r="E30" s="16" t="n">
        <v>39</v>
      </c>
      <c r="F30" s="16" t="n"/>
      <c r="G30" s="41" t="n">
        <v>43</v>
      </c>
      <c r="H30" s="15" t="n">
        <v>12</v>
      </c>
      <c r="I30" s="16" t="inlineStr">
        <is>
          <t>DEF14A_PSU</t>
        </is>
      </c>
      <c r="J30" s="15" t="n">
        <v>1</v>
      </c>
      <c r="K30" s="36" t="n">
        <v>67</v>
      </c>
      <c r="L30" s="28" t="n">
        <v>5.0018616</v>
      </c>
      <c r="M30" s="16" t="inlineStr">
        <is>
          <t>event 12d ago; PSU/gov in latest proxy; DD 67% (unpriced)</t>
        </is>
      </c>
      <c r="N30" s="16" t="inlineStr">
        <is>
          <t>P/B 5.23 · EV/EBITDA 11.9× · FCF yld 6% · net debt 6% of mcap · rev -2% · op margin 13%</t>
        </is>
      </c>
    </row>
    <row r="31" ht="22" customHeight="1">
      <c r="A31" s="13" t="n">
        <v>27</v>
      </c>
      <c r="B31" s="6" t="inlineStr">
        <is>
          <t>NXGL</t>
        </is>
      </c>
      <c r="C31" s="14" t="inlineStr">
        <is>
          <t>NexGel, Inc</t>
        </is>
      </c>
      <c r="D31" s="14" t="inlineStr">
        <is>
          <t>P/B 0.45 · debt 310% · 52w 1%</t>
        </is>
      </c>
      <c r="E31" s="14" t="n">
        <v>39</v>
      </c>
      <c r="F31" s="14" t="n"/>
      <c r="G31" s="41" t="n">
        <v>43</v>
      </c>
      <c r="H31" s="13" t="n">
        <v>12</v>
      </c>
      <c r="I31" s="14" t="inlineStr">
        <is>
          <t>DEF14A_PSU</t>
        </is>
      </c>
      <c r="J31" s="13" t="n">
        <v>1</v>
      </c>
      <c r="K31" s="35" t="n">
        <v>80</v>
      </c>
      <c r="L31" s="27" t="n">
        <v>1.2016985</v>
      </c>
      <c r="M31" s="14" t="inlineStr">
        <is>
          <t>event 12d ago; PSU/gov in latest proxy; DD 80% (unpriced)</t>
        </is>
      </c>
      <c r="N31" s="14" t="inlineStr">
        <is>
          <t>P/B 0.45 · P/S 0.2 · net debt 310% of mcap · rev +3% · op margin -45% · diluting 18%/yr · interest cover -2.5× ⚠  [FCF yield &gt;100% (check)]</t>
        </is>
      </c>
    </row>
    <row r="32" ht="22" customHeight="1">
      <c r="A32" s="15" t="n">
        <v>28</v>
      </c>
      <c r="B32" s="8" t="inlineStr">
        <is>
          <t>CRM</t>
        </is>
      </c>
      <c r="C32" s="16" t="inlineStr">
        <is>
          <t>Salesforce, Inc.</t>
        </is>
      </c>
      <c r="D32" s="16" t="inlineStr">
        <is>
          <t>P/B 3.25 · 14.5× EBITDA · cash 0% · 52w 75%</t>
        </is>
      </c>
      <c r="E32" s="16" t="n">
        <v>29</v>
      </c>
      <c r="F32" s="16" t="n"/>
      <c r="G32" s="41" t="n">
        <v>42</v>
      </c>
      <c r="H32" s="15" t="n">
        <v>24</v>
      </c>
      <c r="I32" s="16" t="inlineStr">
        <is>
          <t>10b5-1_TERM</t>
        </is>
      </c>
      <c r="J32" s="15" t="n">
        <v>1</v>
      </c>
      <c r="K32" s="36" t="n">
        <v>45</v>
      </c>
      <c r="L32" s="28" t="n">
        <v>3.6310136</v>
      </c>
      <c r="M32" s="16" t="inlineStr">
        <is>
          <t>event 24d ago; 10b5-1 termination; DD 45%; only 1% above 52w low</t>
        </is>
      </c>
      <c r="N32" s="16" t="inlineStr">
        <is>
          <t>P/B 3.25 · EV/EBITDA 14.5× · FCF yld 8% · net cash 0% of mcap · rev +8% · op margin 21%</t>
        </is>
      </c>
    </row>
    <row r="33" ht="22" customHeight="1">
      <c r="A33" s="13" t="n">
        <v>29</v>
      </c>
      <c r="B33" s="6" t="inlineStr">
        <is>
          <t>VTS</t>
        </is>
      </c>
      <c r="C33" s="14" t="inlineStr">
        <is>
          <t>Vitesse Energy, Inc.</t>
        </is>
      </c>
      <c r="D33" s="14" t="inlineStr">
        <is>
          <t>P/B 1.15 · 10.0× EBITDA · debt 23% · 52w 21%</t>
        </is>
      </c>
      <c r="E33" s="14" t="n">
        <v>29</v>
      </c>
      <c r="F33" s="14" t="n"/>
      <c r="G33" s="41" t="n">
        <v>42</v>
      </c>
      <c r="H33" s="13" t="n">
        <v>20</v>
      </c>
      <c r="I33" s="14" t="inlineStr">
        <is>
          <t>F4_PBUY</t>
        </is>
      </c>
      <c r="J33" s="13" t="n">
        <v>1</v>
      </c>
      <c r="K33" s="35" t="n">
        <v>41</v>
      </c>
      <c r="L33" s="27" t="n">
        <v>1.1419401</v>
      </c>
      <c r="M33" s="14" t="inlineStr">
        <is>
          <t>event 20d ago; insider P-buy; DD 41%; only 1% above 52w low</t>
        </is>
      </c>
      <c r="N33" s="14" t="inlineStr">
        <is>
          <t>P/B 1.15 · EV/EBITDA 10.0× · FCF yld 9% · net debt 23% of mcap · rev +9% · op margin 7% · diluting 5%/yr · interest cover 1.2× ⚠</t>
        </is>
      </c>
    </row>
    <row r="34" ht="22" customHeight="1">
      <c r="A34" s="15" t="n">
        <v>30</v>
      </c>
      <c r="B34" s="8" t="inlineStr">
        <is>
          <t>DNUT</t>
        </is>
      </c>
      <c r="C34" s="16" t="inlineStr">
        <is>
          <t>Krispy Kreme, Inc.</t>
        </is>
      </c>
      <c r="D34" s="16" t="inlineStr">
        <is>
          <t>P/B 0.84 · 9.3× EBITDA · debt 86% · 52w 7%</t>
        </is>
      </c>
      <c r="E34" s="16" t="n">
        <v>29</v>
      </c>
      <c r="F34" s="16" t="n"/>
      <c r="G34" s="41" t="n">
        <v>42</v>
      </c>
      <c r="H34" s="15" t="n">
        <v>5</v>
      </c>
      <c r="I34" s="16" t="inlineStr">
        <is>
          <t>ACTIVIST_13D</t>
        </is>
      </c>
      <c r="J34" s="15" t="n">
        <v>2</v>
      </c>
      <c r="K34" s="36" t="n">
        <v>37</v>
      </c>
      <c r="L34" s="28" t="n">
        <v>0.98991</v>
      </c>
      <c r="M34" s="16" t="inlineStr">
        <is>
          <t>event 5d ago; 2 events in 30d</t>
        </is>
      </c>
      <c r="N34" s="16" t="inlineStr">
        <is>
          <t>P/B 0.84 · EV/EBITDA 9.3× · FCF yld 7% · net debt 86% of mcap · rev -5% · op margin -1% · interest cover -0.2× ⚠</t>
        </is>
      </c>
    </row>
    <row r="35" ht="22" customHeight="1">
      <c r="A35" s="13" t="n">
        <v>31</v>
      </c>
      <c r="B35" s="6" t="inlineStr">
        <is>
          <t>NRDY</t>
        </is>
      </c>
      <c r="C35" s="14" t="inlineStr">
        <is>
          <t>Nerdy Inc.</t>
        </is>
      </c>
      <c r="D35" s="14" t="inlineStr">
        <is>
          <t>P/B 4.12 · cash 26% · 52w 1%</t>
        </is>
      </c>
      <c r="E35" s="14" t="n">
        <v>20</v>
      </c>
      <c r="F35" s="14" t="n"/>
      <c r="G35" s="41" t="n">
        <v>41</v>
      </c>
      <c r="H35" s="13" t="n">
        <v>4</v>
      </c>
      <c r="I35" s="14" t="inlineStr">
        <is>
          <t>ACTIVIST_13D</t>
        </is>
      </c>
      <c r="J35" s="13" t="n">
        <v>2</v>
      </c>
      <c r="K35" s="35" t="n">
        <v>51</v>
      </c>
      <c r="L35" s="27" t="n">
        <v>5.5558443</v>
      </c>
      <c r="M35" s="14" t="inlineStr">
        <is>
          <t>event 4d ago; 2 events in 30d; DD 51%</t>
        </is>
      </c>
      <c r="N35" s="14" t="inlineStr">
        <is>
          <t>P/B 4.12 · P/S 0.4 · FCF yld -25% · net cash 26% of mcap · rev -0% · op margin -21% · diluting 5%/yr</t>
        </is>
      </c>
    </row>
    <row r="36" ht="22" customHeight="1">
      <c r="A36" s="15" t="n">
        <v>32</v>
      </c>
      <c r="B36" s="8" t="inlineStr">
        <is>
          <t>ARTV</t>
        </is>
      </c>
      <c r="C36" s="16" t="inlineStr">
        <is>
          <t>Artiva Biotherapeutics, Inc.</t>
        </is>
      </c>
      <c r="D36" s="16" t="inlineStr">
        <is>
          <t>P/B 1.07 · cash 91% · 52w 43%</t>
        </is>
      </c>
      <c r="E36" s="16" t="n">
        <v>20</v>
      </c>
      <c r="F36" s="16" t="n"/>
      <c r="G36" s="41" t="n">
        <v>41</v>
      </c>
      <c r="H36" s="15" t="n">
        <v>6</v>
      </c>
      <c r="I36" s="16" t="inlineStr">
        <is>
          <t>ACTIVIST_13D</t>
        </is>
      </c>
      <c r="J36" s="15" t="n">
        <v>2</v>
      </c>
      <c r="K36" s="36" t="n">
        <v>49</v>
      </c>
      <c r="L36" s="28" t="n">
        <v>2.0877886</v>
      </c>
      <c r="M36" s="16" t="inlineStr">
        <is>
          <t>event 6d ago; 2 events in 30d; DD 49%</t>
        </is>
      </c>
      <c r="N36" s="16" t="inlineStr">
        <is>
          <t>P/B 1.07 · P/S 0.0 · FCF yld -26% · net cash 91% of mcap · op margin 0% · diluting 62%/yr</t>
        </is>
      </c>
    </row>
    <row r="37" ht="22" customHeight="1">
      <c r="A37" s="13" t="n">
        <v>33</v>
      </c>
      <c r="B37" s="6" t="inlineStr">
        <is>
          <t>STE</t>
        </is>
      </c>
      <c r="C37" s="14" t="inlineStr">
        <is>
          <t>STERIS plc (Ireland)</t>
        </is>
      </c>
      <c r="D37" s="14" t="inlineStr">
        <is>
          <t>P/B 2.85 · 12.2× EBITDA · debt 8% · 52w 19%</t>
        </is>
      </c>
      <c r="E37" s="14" t="n">
        <v>20</v>
      </c>
      <c r="F37" s="14" t="n"/>
      <c r="G37" s="41" t="n">
        <v>41</v>
      </c>
      <c r="H37" s="13" t="n">
        <v>10</v>
      </c>
      <c r="I37" s="14" t="inlineStr">
        <is>
          <t>DEF14A_PSU</t>
        </is>
      </c>
      <c r="J37" s="13" t="n">
        <v>1</v>
      </c>
      <c r="K37" s="35" t="n">
        <v>25</v>
      </c>
      <c r="L37" s="27" t="n">
        <v>2.7584</v>
      </c>
      <c r="M37" s="14" t="inlineStr">
        <is>
          <t>event 10d ago; PSU/gov in latest proxy; only 4% above 52w low</t>
        </is>
      </c>
      <c r="N37" s="14" t="inlineStr">
        <is>
          <t>P/B 2.85 · EV/EBITDA 12.2× · FCF yld 5% · net debt 8% of mcap · rev +14% · op margin 19%</t>
        </is>
      </c>
    </row>
    <row r="38" ht="22" customHeight="1">
      <c r="A38" s="15" t="n">
        <v>34</v>
      </c>
      <c r="B38" s="8" t="inlineStr">
        <is>
          <t>RBRK</t>
        </is>
      </c>
      <c r="C38" s="16" t="inlineStr">
        <is>
          <t>Rubrik, Inc.</t>
        </is>
      </c>
      <c r="D38" s="16" t="inlineStr">
        <is>
          <t>52w 98%</t>
        </is>
      </c>
      <c r="E38" s="16" t="n">
        <v>20</v>
      </c>
      <c r="F38" s="16" t="n"/>
      <c r="G38" s="41" t="n">
        <v>41</v>
      </c>
      <c r="H38" s="15" t="n">
        <v>16</v>
      </c>
      <c r="I38" s="16" t="inlineStr">
        <is>
          <t>10b5-1_TERM</t>
        </is>
      </c>
      <c r="J38" s="15" t="n">
        <v>2</v>
      </c>
      <c r="K38" s="36" t="n">
        <v>30</v>
      </c>
      <c r="L38" s="28" t="n">
        <v>-30.021378</v>
      </c>
      <c r="M38" s="16" t="inlineStr">
        <is>
          <t>event 16d ago; 10b5-1 termination; 2 events in 30d</t>
        </is>
      </c>
      <c r="N38" s="16" t="inlineStr">
        <is>
          <t>P/S 15.2 · FCF yld 1% · rev +48% · op margin -18% · diluting 8%/yr  [negative equity]</t>
        </is>
      </c>
    </row>
    <row r="39" ht="22" customHeight="1">
      <c r="A39" s="13" t="n">
        <v>35</v>
      </c>
      <c r="B39" s="6" t="inlineStr">
        <is>
          <t>MDLN</t>
        </is>
      </c>
      <c r="C39" s="14" t="inlineStr">
        <is>
          <t>Medline Inc.</t>
        </is>
      </c>
      <c r="D39" s="14" t="inlineStr">
        <is>
          <t>P/B 2.51 · 15.4× EBITDA · debt 34% · 52w 15%</t>
        </is>
      </c>
      <c r="E39" s="14" t="n">
        <v>10</v>
      </c>
      <c r="F39" s="14" t="n"/>
      <c r="G39" s="41" t="n">
        <v>40</v>
      </c>
      <c r="H39" s="13" t="n">
        <v>19</v>
      </c>
      <c r="I39" s="14" t="inlineStr">
        <is>
          <t>RESTRUCT_8K</t>
        </is>
      </c>
      <c r="J39" s="13" t="n">
        <v>1</v>
      </c>
      <c r="K39" s="35" t="n">
        <v>29</v>
      </c>
      <c r="L39" s="27" t="n">
        <v>2.697388</v>
      </c>
      <c r="M39" s="14" t="inlineStr">
        <is>
          <t>event 19d ago; RESTRUCT_8K; only 10% above 52w low</t>
        </is>
      </c>
      <c r="N39" s="14" t="inlineStr">
        <is>
          <t>P/B 2.51 · EV/EBITDA 15.4× · FCF yld 7% · net debt 34% of mcap · op margin 6% · diluting 9%/yr</t>
        </is>
      </c>
    </row>
    <row r="40" ht="22" customHeight="1">
      <c r="A40" s="15" t="n">
        <v>36</v>
      </c>
      <c r="B40" s="8" t="inlineStr">
        <is>
          <t>TORO</t>
        </is>
      </c>
      <c r="C40" s="16" t="inlineStr">
        <is>
          <t>Toro Corp.</t>
        </is>
      </c>
      <c r="D40" s="16" t="inlineStr">
        <is>
          <t>P/B 0.63 · 6.5× EBITDA · cash 41% · 52w 51%</t>
        </is>
      </c>
      <c r="E40" s="16" t="n">
        <v>10</v>
      </c>
      <c r="F40" s="16" t="n"/>
      <c r="G40" s="41" t="n">
        <v>40</v>
      </c>
      <c r="H40" s="15" t="n">
        <v>12</v>
      </c>
      <c r="I40" s="16" t="inlineStr">
        <is>
          <t>ACTIVIST_13D</t>
        </is>
      </c>
      <c r="J40" s="15" t="n">
        <v>2</v>
      </c>
      <c r="K40" s="36" t="n">
        <v>40</v>
      </c>
      <c r="L40" s="28" t="n">
        <v>0.6729493</v>
      </c>
      <c r="M40" s="16" t="inlineStr">
        <is>
          <t>event 12d ago; 2 events in 30d; DD 40%</t>
        </is>
      </c>
      <c r="N40" s="16" t="inlineStr">
        <is>
          <t>P/B 0.63 · EV/EBITDA 6.5× · FCF yld -45% · net cash 41% of mcap · rev -0% · op margin -21% · diluting 3%/yr  [dividend yield &gt;25% (special or bad data)]</t>
        </is>
      </c>
    </row>
    <row r="41" ht="22" customHeight="1">
      <c r="A41" s="13" t="n">
        <v>37</v>
      </c>
      <c r="B41" s="6" t="inlineStr">
        <is>
          <t>CURI</t>
        </is>
      </c>
      <c r="C41" s="14" t="inlineStr">
        <is>
          <t>CuriosityStream Inc.</t>
        </is>
      </c>
      <c r="D41" s="14" t="inlineStr">
        <is>
          <t>P/B 4.11 · 8.6× EBITDA · cash 2% · 52w 18%</t>
        </is>
      </c>
      <c r="E41" s="14" t="n">
        <v>10</v>
      </c>
      <c r="F41" s="14" t="n"/>
      <c r="G41" s="41" t="n">
        <v>40</v>
      </c>
      <c r="H41" s="13" t="n">
        <v>20</v>
      </c>
      <c r="I41" s="14" t="inlineStr">
        <is>
          <t>F4_PBUY</t>
        </is>
      </c>
      <c r="J41" s="13" t="n">
        <v>2</v>
      </c>
      <c r="K41" s="35" t="n">
        <v>57</v>
      </c>
      <c r="L41" s="27" t="n">
        <v>4.113821</v>
      </c>
      <c r="M41" s="14" t="inlineStr">
        <is>
          <t>event 20d ago; insider P-buy; 2 events in 30d; DD 57%</t>
        </is>
      </c>
      <c r="N41" s="14" t="inlineStr">
        <is>
          <t>P/B 4.11 · EV/EBITDA 8.6× · FCF yld 3% · net cash 2% of mcap · rev +25% · op margin -0% · diluting 6%/yr</t>
        </is>
      </c>
    </row>
    <row r="42" ht="22" customHeight="1">
      <c r="A42" s="15" t="n">
        <v>38</v>
      </c>
      <c r="B42" s="8" t="inlineStr">
        <is>
          <t>HCAT</t>
        </is>
      </c>
      <c r="C42" s="16" t="inlineStr">
        <is>
          <t>Health Catalyst, Inc</t>
        </is>
      </c>
      <c r="D42" s="16" t="inlineStr">
        <is>
          <t>P/B 1.32 · debt 50% · 52w 32%</t>
        </is>
      </c>
      <c r="E42" s="16" t="n">
        <v>10</v>
      </c>
      <c r="F42" s="16" t="n"/>
      <c r="G42" s="41" t="n">
        <v>40</v>
      </c>
      <c r="H42" s="15" t="n">
        <v>13</v>
      </c>
      <c r="I42" s="16" t="inlineStr">
        <is>
          <t>ACTIVIST_13D</t>
        </is>
      </c>
      <c r="J42" s="15" t="n">
        <v>2</v>
      </c>
      <c r="K42" s="36" t="n">
        <v>55</v>
      </c>
      <c r="L42" s="28" t="n">
        <v>0.98772025</v>
      </c>
      <c r="M42" s="16" t="inlineStr">
        <is>
          <t>event 13d ago; 2 events in 30d; DD 55%</t>
        </is>
      </c>
      <c r="N42" s="16" t="inlineStr">
        <is>
          <t>P/B 1.32 · P/S 0.4 · FCF yld 10% · net debt 50% of mcap · rev -8% · op margin -20% · diluting 6%/yr · interest cover -2.8× ⚠</t>
        </is>
      </c>
    </row>
    <row r="43" ht="22" customHeight="1">
      <c r="A43" s="13" t="n">
        <v>39</v>
      </c>
      <c r="B43" s="6" t="inlineStr">
        <is>
          <t>DOMO</t>
        </is>
      </c>
      <c r="C43" s="14" t="inlineStr">
        <is>
          <t>Domo, Inc.</t>
        </is>
      </c>
      <c r="D43" s="14" t="inlineStr">
        <is>
          <t>52w 11%</t>
        </is>
      </c>
      <c r="E43" s="14" t="n">
        <v>2</v>
      </c>
      <c r="F43" s="14" t="n"/>
      <c r="G43" s="27" t="n">
        <v>39</v>
      </c>
      <c r="H43" s="13" t="n">
        <v>18</v>
      </c>
      <c r="I43" s="14" t="inlineStr">
        <is>
          <t>ACTIVIST_13D</t>
        </is>
      </c>
      <c r="J43" s="13" t="n">
        <v>3</v>
      </c>
      <c r="K43" s="35" t="n">
        <v>87</v>
      </c>
      <c r="L43" s="27" t="n">
        <v>-0.55213326</v>
      </c>
      <c r="M43" s="14" t="inlineStr">
        <is>
          <t>event 18d ago; 3 events in 30d; DD 87% (unpriced)</t>
        </is>
      </c>
      <c r="N43" s="14" t="inlineStr">
        <is>
          <t>P/S 0.5 · FCF yld -6% · rev -0% · op margin -10% · diluting 6%/yr  [negative equity]</t>
        </is>
      </c>
    </row>
    <row r="44" ht="22" customHeight="1">
      <c r="A44" s="15" t="n">
        <v>40</v>
      </c>
      <c r="B44" s="8" t="inlineStr">
        <is>
          <t>BLND</t>
        </is>
      </c>
      <c r="C44" s="16" t="inlineStr">
        <is>
          <t>Blend Labs, Inc.</t>
        </is>
      </c>
      <c r="D44" s="16" t="inlineStr">
        <is>
          <t>P/B 2.86 · 42.4× EBITDA · cash 16% · 52w 0%</t>
        </is>
      </c>
      <c r="E44" s="16" t="n">
        <v>2</v>
      </c>
      <c r="F44" s="16" t="n"/>
      <c r="G44" s="28" t="n">
        <v>39</v>
      </c>
      <c r="H44" s="15" t="n">
        <v>9</v>
      </c>
      <c r="I44" s="16" t="inlineStr">
        <is>
          <t>ACTIVIST_13D</t>
        </is>
      </c>
      <c r="J44" s="15" t="n">
        <v>2</v>
      </c>
      <c r="K44" s="36" t="n">
        <v>63</v>
      </c>
      <c r="L44" s="28" t="n">
        <v>-7.300885</v>
      </c>
      <c r="M44" s="16" t="inlineStr">
        <is>
          <t>event 9d ago; 2 events in 30d; DD 63% (unpriced)</t>
        </is>
      </c>
      <c r="N44" s="16" t="inlineStr">
        <is>
          <t>P/B 2.86 · EV/EBITDA 42.4× · FCF yld 5% · net cash 16% of mcap · rev -10% · op margin -12% · buying back 7%/yr</t>
        </is>
      </c>
    </row>
    <row r="45"/>
    <row r="46" ht="28" customHeight="1">
      <c r="A46" s="17" t="inlineStr">
        <is>
          <t>30-day window of `recent_incentive_asymmetry.py`. Event types: DEF14A_PSU (latest proxy), 10b5-1_TERM (insider walked back scheduled selling), F4_PBUY (insider open-market purchase), ACTIVIST_13D, RESTRUCT_8K (8-K restructuring keyword), FORM_10_SPINOFF, NOL_SHELL. Score boosts: drawdown &gt;60% unpriced (+15), multi-event cluster (+12), event in last 7 days (+25). Source: recent_incentive_asymmetry_30d.csv.</t>
        </is>
      </c>
    </row>
  </sheetData>
  <mergeCells count="3">
    <mergeCell ref="A46:M46"/>
    <mergeCell ref="A1:M1"/>
    <mergeCell ref="A2:M2"/>
  </mergeCells>
  <conditionalFormatting sqref="E5:E46">
    <cfRule type="dataBar" priority="1">
      <dataBar showValue="1">
        <cfvo type="num" val="0"/>
        <cfvo type="num" val="100"/>
        <color rgb="009DB9D3"/>
      </dataBar>
    </cfRule>
  </conditionalFormatting>
  <hyperlinks>
    <hyperlink xmlns:r="http://schemas.openxmlformats.org/officeDocument/2006/relationships" ref="B8" r:id="rId1"/>
    <hyperlink xmlns:r="http://schemas.openxmlformats.org/officeDocument/2006/relationships" ref="B10" r:id="rId2"/>
    <hyperlink xmlns:r="http://schemas.openxmlformats.org/officeDocument/2006/relationships" ref="B13" r:id="rId3"/>
    <hyperlink xmlns:r="http://schemas.openxmlformats.org/officeDocument/2006/relationships" ref="B19" r:id="rId4"/>
    <hyperlink xmlns:r="http://schemas.openxmlformats.org/officeDocument/2006/relationships" ref="B20" r:id="rId5"/>
    <hyperlink xmlns:r="http://schemas.openxmlformats.org/officeDocument/2006/relationships" ref="B32" r:id="rId6"/>
    <hyperlink xmlns:r="http://schemas.openxmlformats.org/officeDocument/2006/relationships" ref="B44" r:id="rId7"/>
  </hyperlinks>
  <printOptions horizontalCentered="0"/>
  <pageMargins left="0.5" right="0.5" top="0.6" bottom="0.6" header="0.5" footer="0.5"/>
  <pageSetup orientation="landscape" fitToHeight="0" fitToWidth="1"/>
</worksheet>
</file>

<file path=xl/worksheets/sheet29.xml><?xml version="1.0" encoding="utf-8"?>
<worksheet xmlns="http://schemas.openxmlformats.org/spreadsheetml/2006/main">
  <sheetPr>
    <tabColor rgb="0070AD47"/>
    <outlinePr summaryBelow="1" summaryRight="1"/>
    <pageSetUpPr fitToPage="1"/>
  </sheetPr>
  <dimension ref="A1:J66"/>
  <sheetViews>
    <sheetView showGridLines="0" workbookViewId="0">
      <pane ySplit="4" topLeftCell="A5" activePane="bottomLeft" state="frozen"/>
      <selection pane="bottomLeft" activeCell="A1" sqref="A1"/>
    </sheetView>
  </sheetViews>
  <sheetFormatPr baseColWidth="8" defaultRowHeight="15"/>
  <cols>
    <col width="9" customWidth="1" min="1" max="1"/>
    <col width="22" customWidth="1" min="2" max="2"/>
    <col width="30" customWidth="1" min="3" max="3"/>
    <col width="8" customWidth="1" min="4" max="4"/>
    <col width="6" customWidth="1" min="5" max="5"/>
    <col width="6" customWidth="1" min="6" max="6"/>
    <col width="8" customWidth="1" min="7" max="7"/>
    <col width="11" customWidth="1" min="8" max="8"/>
    <col width="60" customWidth="1" min="9" max="9"/>
    <col width="62" customWidth="1" min="10" max="10"/>
  </cols>
  <sheetData>
    <row r="1" ht="26" customHeight="1">
      <c r="A1" s="1" t="inlineStr">
        <is>
          <t>Political Trades — congressional buying (monitor; no measured edge)</t>
        </is>
      </c>
    </row>
    <row r="2" ht="18" customHeight="1">
      <c r="A2" s="20" t="inlineStr">
        <is>
          <t>Every Senate and House periodic transaction report, tested from the DISCLOSURE date (when the trade becomes public). Measured since 2022, congressional buying has NOT beaten SPY over the following six months in any robust slice (size, cap, owner, options, clustering, member track record) — so this is shown for awareness and is NOT a consensus layer.</t>
        </is>
      </c>
      <c r="B2" s="19" t="n"/>
      <c r="C2" s="19" t="n"/>
      <c r="D2" s="19" t="n"/>
      <c r="E2" s="19" t="n"/>
      <c r="F2" s="19" t="n"/>
      <c r="G2" s="19" t="n"/>
      <c r="H2" s="19" t="n"/>
      <c r="I2" s="19" t="n"/>
    </row>
    <row r="3" ht="8" customHeight="1"/>
    <row r="4" ht="18" customHeight="1">
      <c r="A4" s="12" t="inlineStr">
        <is>
          <t>Ticker</t>
        </is>
      </c>
      <c r="B4" s="12" t="inlineStr">
        <is>
          <t>Name</t>
        </is>
      </c>
      <c r="C4" s="12" t="inlineStr">
        <is>
          <t>Key numbers (FMP)</t>
        </is>
      </c>
      <c r="D4" s="4" t="inlineStr">
        <is>
          <t>Edge est.</t>
        </is>
      </c>
      <c r="E4" s="4" t="inlineStr">
        <is>
          <t>Buys</t>
        </is>
      </c>
      <c r="F4" s="4" t="inlineStr">
        <is>
          <t>Sells</t>
        </is>
      </c>
      <c r="G4" s="4" t="inlineStr">
        <is>
          <t>Members</t>
        </is>
      </c>
      <c r="H4" s="4" t="inlineStr">
        <is>
          <t>Last disclosed</t>
        </is>
      </c>
      <c r="I4" s="4" t="inlineStr">
        <is>
          <t>Recent trades</t>
        </is>
      </c>
      <c r="J4" s="4" t="inlineStr">
        <is>
          <t>FMP financial read</t>
        </is>
      </c>
    </row>
    <row r="5" ht="30" customHeight="1">
      <c r="A5" s="6" t="inlineStr">
        <is>
          <t>MSFT</t>
        </is>
      </c>
      <c r="B5" s="14" t="inlineStr">
        <is>
          <t>Microsoft Corporation</t>
        </is>
      </c>
      <c r="C5" s="14" t="inlineStr">
        <is>
          <t>P/B 8.93 · 18.4× EBITDA · debt 1% · 52w 73%</t>
        </is>
      </c>
      <c r="D5" s="27" t="n">
        <v>-11.94</v>
      </c>
      <c r="E5" s="27" t="n">
        <v>24</v>
      </c>
      <c r="F5" s="27" t="n">
        <v>23</v>
      </c>
      <c r="G5" s="27" t="n">
        <v>15</v>
      </c>
      <c r="H5" s="14" t="inlineStr">
        <is>
          <t>2026-09-15</t>
        </is>
      </c>
      <c r="I5" s="14" t="inlineStr">
        <is>
          <t>oint) buy &gt;250k opt; 2026-09-15 Josh Gottheimer (H, Joint) sell &gt;250k opt; 2026-09-15 Josh Gottheimer (H, Joint) buy &gt;250k opt; 2026-09-15 Josh Gottheimer (H, Joint) sell &gt;250k opt</t>
        </is>
      </c>
      <c r="J5" s="14" t="inlineStr">
        <is>
          <t>P/B 8.93 · EV/EBITDA 18.4× · FCF yld 2% · net debt 1% of mcap · rev +17% · op margin 47%</t>
        </is>
      </c>
    </row>
    <row r="6" ht="30" customHeight="1">
      <c r="A6" s="8" t="inlineStr">
        <is>
          <t>AAPL</t>
        </is>
      </c>
      <c r="B6" s="16" t="inlineStr">
        <is>
          <t>Apple Inc.</t>
        </is>
      </c>
      <c r="C6" s="16" t="inlineStr">
        <is>
          <t>P/B 45.97 · 29.6× EBITDA · debt 0% · 52w 91%</t>
        </is>
      </c>
      <c r="D6" s="28" t="n">
        <v>-1.01</v>
      </c>
      <c r="E6" s="28" t="n">
        <v>18</v>
      </c>
      <c r="F6" s="28" t="n">
        <v>26</v>
      </c>
      <c r="G6" s="28" t="n">
        <v>9</v>
      </c>
      <c r="H6" s="16" t="inlineStr">
        <is>
          <t>2026-09-23</t>
        </is>
      </c>
      <c r="I6" s="16" t="inlineStr">
        <is>
          <t>Cleo Fields (H, Self) buy &lt;15k; 2026-09-03 John J. McGuire (H, Spouse) sell &lt;15k; 2026-09-18 Scott Franklin (H, Spouse) sell &lt;15k; 2026-09-23 Pete Sessions (H, Spouse) sell 50-250k</t>
        </is>
      </c>
      <c r="J6" s="16" t="inlineStr">
        <is>
          <t>P/B 45.97 · EV/EBITDA 29.6× · FCF yld 3% · net debt 0% of mcap · rev +13% · op margin 33%</t>
        </is>
      </c>
    </row>
    <row r="7" ht="30" customHeight="1">
      <c r="A7" s="6" t="inlineStr">
        <is>
          <t>META</t>
        </is>
      </c>
      <c r="B7" s="14" t="inlineStr">
        <is>
          <t>Meta Platforms, Inc.</t>
        </is>
      </c>
      <c r="C7" s="14" t="inlineStr">
        <is>
          <t>P/B 7.38 · 18.6× EBITDA · debt 1% · 52w 97%</t>
        </is>
      </c>
      <c r="D7" s="27" t="n">
        <v>-1.68</v>
      </c>
      <c r="E7" s="27" t="n">
        <v>11</v>
      </c>
      <c r="F7" s="27" t="n">
        <v>7</v>
      </c>
      <c r="G7" s="27" t="n">
        <v>8</v>
      </c>
      <c r="H7" s="14" t="inlineStr">
        <is>
          <t>2026-09-11</t>
        </is>
      </c>
      <c r="I7" s="14" t="inlineStr">
        <is>
          <t>6-08-14 Tracey Mann (H, Spouse) buy &lt;15k; 2026-08-14 Tracey Mann (H, Spouse) sell &lt;15k; 2026-08-20 John Boozman (S, Joint) buy &lt;15k; 2026-09-11 Gilbert Cisneros (H, Self) sell &lt;15k</t>
        </is>
      </c>
      <c r="J7" s="14" t="inlineStr">
        <is>
          <t>P/B 7.38 · EV/EBITDA 18.6× · FCF yld 2% · net debt 1% of mcap · rev +28% · op margin 38%</t>
        </is>
      </c>
    </row>
    <row r="8" ht="30" customHeight="1">
      <c r="A8" s="8" t="inlineStr">
        <is>
          <t>GOOGL</t>
        </is>
      </c>
      <c r="B8" s="16" t="inlineStr">
        <is>
          <t>Alphabet Inc.</t>
        </is>
      </c>
      <c r="C8" s="16" t="inlineStr">
        <is>
          <t>P/B 6.44 · 12.7× EBITDA · cash 3% · 52w 61%</t>
        </is>
      </c>
      <c r="D8" s="28" t="n">
        <v>-2.96</v>
      </c>
      <c r="E8" s="28" t="n">
        <v>11</v>
      </c>
      <c r="F8" s="28" t="n">
        <v>22</v>
      </c>
      <c r="G8" s="28" t="n">
        <v>7</v>
      </c>
      <c r="H8" s="16" t="inlineStr">
        <is>
          <t>2026-09-21</t>
        </is>
      </c>
      <c r="I8" s="16" t="inlineStr">
        <is>
          <t>4 Thomas H. Kean (H, Self) sell &lt;15k; 2026-09-18 Scott Franklin (H, Self) sell &lt;15k; 2026-09-18 Scott Franklin (H, Spouse) sell &lt;15k; 2026-09-21 Pete Sessions (H, Self) sell 15-50k</t>
        </is>
      </c>
      <c r="J8" s="16" t="inlineStr">
        <is>
          <t>P/B 6.44 · EV/EBITDA 12.7× · FCF yld 1% · net cash 3% of mcap · rev +20% · op margin 33%</t>
        </is>
      </c>
    </row>
    <row r="9" ht="30" customHeight="1">
      <c r="A9" s="6" t="inlineStr">
        <is>
          <t>NVDA</t>
        </is>
      </c>
      <c r="B9" s="14" t="inlineStr">
        <is>
          <t>NVIDIA Corporation</t>
        </is>
      </c>
      <c r="C9" s="14" t="inlineStr">
        <is>
          <t>P/B 45.93 · 23.4× EBITDA · cash 1% · 52w 85%</t>
        </is>
      </c>
      <c r="D9" s="27" t="n">
        <v>-3.17</v>
      </c>
      <c r="E9" s="27" t="n">
        <v>10</v>
      </c>
      <c r="F9" s="27" t="n">
        <v>21</v>
      </c>
      <c r="G9" s="27" t="n">
        <v>7</v>
      </c>
      <c r="H9" s="14" t="inlineStr">
        <is>
          <t>2026-09-11</t>
        </is>
      </c>
      <c r="I9" s="14" t="inlineStr">
        <is>
          <t>J. McGuire (H, Spouse) buy &lt;15k; 2026-09-07 Gilbert Ray Cisneros (H, Self) buy &lt;15k; 2026-09-09 Cory Booker (S, Spouse) sell 15-50k; 2026-09-11 Gilbert Cisneros (H, Self) sell &lt;15k</t>
        </is>
      </c>
      <c r="J9" s="14" t="inlineStr">
        <is>
          <t>P/B 45.93 · EV/EBITDA 23.4× · FCF yld 2% · net cash 1% of mcap · rev +72% · op margin 65%</t>
        </is>
      </c>
    </row>
    <row r="10" ht="30" customHeight="1">
      <c r="A10" s="8" t="inlineStr">
        <is>
          <t>SPCX</t>
        </is>
      </c>
      <c r="B10" s="16" t="inlineStr">
        <is>
          <t>Space Exploration Tech</t>
        </is>
      </c>
      <c r="C10" s="16" t="inlineStr">
        <is>
          <t>P/B 15.78 · cash 3% · 52w 39%</t>
        </is>
      </c>
      <c r="D10" s="28" t="n">
        <v>-1.87</v>
      </c>
      <c r="E10" s="28" t="n">
        <v>6</v>
      </c>
      <c r="F10" s="28" t="n">
        <v>0</v>
      </c>
      <c r="G10" s="28" t="n">
        <v>6</v>
      </c>
      <c r="H10" s="16" t="inlineStr">
        <is>
          <t>2026-09-10</t>
        </is>
      </c>
      <c r="I10" s="16" t="inlineStr">
        <is>
          <t>Guire (H, Spouse) buy &lt;15k; 2026-07-20 William R. Timmons (H, Self) buy 50-250k; 2026-07-27 Jared Moskowitz (H, Self) buy &lt;15k; 2026-09-10 Maria Elvira Salazar (H, Spouse) buy &lt;15k</t>
        </is>
      </c>
      <c r="J10" s="16" t="inlineStr">
        <is>
          <t>P/B 15.78 · P/S 118.1 · FCF yld -1% · net cash 3% of mcap · op margin -12%</t>
        </is>
      </c>
    </row>
    <row r="11" ht="30" customHeight="1">
      <c r="A11" s="6" t="inlineStr">
        <is>
          <t>IBM</t>
        </is>
      </c>
      <c r="B11" s="14" t="inlineStr">
        <is>
          <t>International Business</t>
        </is>
      </c>
      <c r="C11" s="14" t="inlineStr">
        <is>
          <t>P/B 6.46 · 17.1× EBITDA · debt 26% · 52w 28%</t>
        </is>
      </c>
      <c r="D11" s="27" t="n">
        <v>-3.3</v>
      </c>
      <c r="E11" s="27" t="n">
        <v>9</v>
      </c>
      <c r="F11" s="27" t="n">
        <v>8</v>
      </c>
      <c r="G11" s="27" t="n">
        <v>6</v>
      </c>
      <c r="H11" s="14" t="inlineStr">
        <is>
          <t>2026-09-11</t>
        </is>
      </c>
      <c r="I11" s="14" t="inlineStr">
        <is>
          <t>26-08-12 Ro Khanna (H, Self) buy &lt;15k; 2026-09-07 Ro Khanna (H, Self) sell &lt;15k; 2026-09-10 Maria Elvira Salazar (H, Self) sell &lt;15k; 2026-09-11 Gilbert Cisneros (H, Self) buy &lt;15k</t>
        </is>
      </c>
      <c r="J11" s="14" t="inlineStr">
        <is>
          <t>P/B 6.46 · EV/EBITDA 17.1× · FCF yld 6% · net debt 26% of mcap · rev +8% · op margin 18%</t>
        </is>
      </c>
    </row>
    <row r="12" ht="30" customHeight="1">
      <c r="A12" s="8" t="inlineStr">
        <is>
          <t>UNH</t>
        </is>
      </c>
      <c r="B12" s="16" t="inlineStr">
        <is>
          <t>UnitedHealth Group Inc</t>
        </is>
      </c>
      <c r="C12" s="16" t="inlineStr">
        <is>
          <t>P/B 3.43 · 14.8× EBITDA · debt 12% · 52w 56%</t>
        </is>
      </c>
      <c r="D12" s="28" t="n">
        <v>-1.74</v>
      </c>
      <c r="E12" s="28" t="n">
        <v>8</v>
      </c>
      <c r="F12" s="28" t="n">
        <v>4</v>
      </c>
      <c r="G12" s="28" t="n">
        <v>6</v>
      </c>
      <c r="H12" s="16" t="inlineStr">
        <is>
          <t>2026-08-20</t>
        </is>
      </c>
      <c r="I12" s="16" t="inlineStr">
        <is>
          <t>l Milton Newhouse (H, Spouse) sell &lt;15k; 2026-07-21 Alan Armstrong (S, Joint) buy 15-50k; 2026-08-17 Rich McCormick (H, Self) sell &lt;15k; 2026-08-20 John Boozman (S, Joint) buy &lt;15k</t>
        </is>
      </c>
      <c r="J12" s="16" t="inlineStr">
        <is>
          <t>P/B 3.43 · EV/EBITDA 14.8× · FCF yld 7% · net debt 12% of mcap · rev +6% · op margin 5%</t>
        </is>
      </c>
    </row>
    <row r="13" ht="30" customHeight="1">
      <c r="A13" s="6" t="inlineStr">
        <is>
          <t>AVGO</t>
        </is>
      </c>
      <c r="B13" s="14" t="inlineStr">
        <is>
          <t>Broadcom Inc.</t>
        </is>
      </c>
      <c r="C13" s="14" t="inlineStr">
        <is>
          <t>P/B 17.00 · 33.0× EBITDA · debt 2% · 52w 32%</t>
        </is>
      </c>
      <c r="D13" s="27" t="n">
        <v>-4.59</v>
      </c>
      <c r="E13" s="27" t="n">
        <v>8</v>
      </c>
      <c r="F13" s="27" t="n">
        <v>3</v>
      </c>
      <c r="G13" s="27" t="n">
        <v>6</v>
      </c>
      <c r="H13" s="14" t="inlineStr">
        <is>
          <t>2026-09-23</t>
        </is>
      </c>
      <c r="I13" s="14" t="inlineStr">
        <is>
          <t>-07 David J. Taylor (H, Self) buy &lt;15k; 2026-08-19 Rick W. Allen (H, Spouse) buy &lt;15k; 2026-08-20 John Boozman (S, Joint) buy &lt;15k; 2026-09-23 Richard W. Allen (H, Spouse) buy &lt;15k</t>
        </is>
      </c>
      <c r="J13" s="14" t="inlineStr">
        <is>
          <t>P/B 17.00 · EV/EBITDA 33.0× · FCF yld 2% · net debt 2% of mcap · rev +32% · op margin 48%</t>
        </is>
      </c>
    </row>
    <row r="14" ht="30" customHeight="1">
      <c r="A14" s="8" t="inlineStr">
        <is>
          <t>ACN</t>
        </is>
      </c>
      <c r="B14" s="16" t="inlineStr">
        <is>
          <t>Accenture plc</t>
        </is>
      </c>
      <c r="C14" s="16" t="inlineStr">
        <is>
          <t>P/B 3.55 · 8.8× EBITDA · cash 2% · 52w 39%</t>
        </is>
      </c>
      <c r="D14" s="28" t="n">
        <v>-5.43</v>
      </c>
      <c r="E14" s="28" t="n">
        <v>9</v>
      </c>
      <c r="F14" s="28" t="n">
        <v>12</v>
      </c>
      <c r="G14" s="28" t="n">
        <v>6</v>
      </c>
      <c r="H14" s="16" t="inlineStr">
        <is>
          <t>2026-09-18</t>
        </is>
      </c>
      <c r="I14" s="16" t="inlineStr">
        <is>
          <t>07 Gilbert Ray Cisneros (H, Self) buy &lt;15k; 2026-09-07 Ro Khanna (H, Self) buy &lt;15k; 2026-09-18 Scott Mr Franklin (H, Self) buy &lt;15k; 2026-09-18 Scott Franklin (H, Spouse) buy &lt;15k</t>
        </is>
      </c>
      <c r="J14" s="16" t="inlineStr">
        <is>
          <t>P/B 3.55 · EV/EBITDA 8.8× · FCF yld 11% · net cash 2% of mcap · rev +7% · op margin 15%</t>
        </is>
      </c>
    </row>
    <row r="15" ht="30" customHeight="1">
      <c r="A15" s="6" t="inlineStr">
        <is>
          <t>MU</t>
        </is>
      </c>
      <c r="B15" s="14" t="inlineStr">
        <is>
          <t>Micron Technology, Inc</t>
        </is>
      </c>
      <c r="C15" s="14" t="inlineStr">
        <is>
          <t>P/B 12.08 · 17.4× EBITDA · cash 2% · 52w 84%</t>
        </is>
      </c>
      <c r="D15" s="27" t="n">
        <v>-0.9399999999999999</v>
      </c>
      <c r="E15" s="27" t="n">
        <v>6</v>
      </c>
      <c r="F15" s="27" t="n">
        <v>8</v>
      </c>
      <c r="G15" s="27" t="n">
        <v>6</v>
      </c>
      <c r="H15" s="14" t="inlineStr">
        <is>
          <t>2026-08-12</t>
        </is>
      </c>
      <c r="I15" s="14" t="inlineStr">
        <is>
          <t>ldon Whitehouse (S, Self) buy &lt;15k; 2026-07-20 Daniel Milton Newhouse (H, Spouse) buy &lt;15k; 2026-08-10 Michael A. Rulli (H, Self) buy &lt;15k; 2026-08-12 Ro Khanna (H, Self) sell &lt;15k</t>
        </is>
      </c>
      <c r="J15" s="14" t="inlineStr">
        <is>
          <t>P/B 12.08 · EV/EBITDA 17.4× · FCF yld 2% · net cash 2% of mcap · rev +86% · op margin 66%</t>
        </is>
      </c>
    </row>
    <row r="16" ht="30" customHeight="1">
      <c r="A16" s="8" t="inlineStr">
        <is>
          <t>ADBE</t>
        </is>
      </c>
      <c r="B16" s="16" t="inlineStr">
        <is>
          <t>Adobe Inc.</t>
        </is>
      </c>
      <c r="C16" s="16" t="inlineStr">
        <is>
          <t>P/B 8.11 · 9.6× EBITDA · debt 1% · 52w 29%</t>
        </is>
      </c>
      <c r="D16" s="28" t="n">
        <v>-1.94</v>
      </c>
      <c r="E16" s="28" t="n">
        <v>7</v>
      </c>
      <c r="F16" s="28" t="n">
        <v>9</v>
      </c>
      <c r="G16" s="28" t="n">
        <v>5</v>
      </c>
      <c r="H16" s="16" t="inlineStr">
        <is>
          <t>2026-09-07</t>
        </is>
      </c>
      <c r="I16" s="16" t="inlineStr">
        <is>
          <t>026-08-19 Tony Wied (H, Joint) sell &lt;15k; 2026-09-02 Kevin Hern (H, Joint) sell 15-50k; 2026-09-07 Gilbert Ray Cisneros (H, Self) sell &lt;15k; 2026-09-07 Ro Khanna (H, Self) buy &lt;15k</t>
        </is>
      </c>
      <c r="J16" s="16" t="inlineStr">
        <is>
          <t>P/B 8.11 · EV/EBITDA 9.6× · FCF yld 11% · net debt 1% of mcap · rev +11% · op margin 36% · buying back 7%/yr</t>
        </is>
      </c>
    </row>
    <row r="17" ht="30" customHeight="1">
      <c r="A17" s="6" t="inlineStr">
        <is>
          <t>NOW</t>
        </is>
      </c>
      <c r="B17" s="14" t="inlineStr">
        <is>
          <t>ServiceNow, Inc.</t>
        </is>
      </c>
      <c r="C17" s="14" t="inlineStr">
        <is>
          <t>P/B 11.55 · 43.4× EBITDA · debt 3% · 52w 52%</t>
        </is>
      </c>
      <c r="D17" s="27" t="n">
        <v>-3.49</v>
      </c>
      <c r="E17" s="27" t="n">
        <v>8</v>
      </c>
      <c r="F17" s="27" t="n">
        <v>5</v>
      </c>
      <c r="G17" s="27" t="n">
        <v>5</v>
      </c>
      <c r="H17" s="14" t="inlineStr">
        <is>
          <t>2026-09-07</t>
        </is>
      </c>
      <c r="I17" s="14" t="inlineStr">
        <is>
          <t>; 2026-08-10 Tony Wied (H, Joint) buy 15-50k; 2026-08-10 Michael A. Rulli (H, Self) sell &lt;15k; 2026-08-12 Ro Khanna (H, Self) buy 15-50k; 2026-09-07 Tony Wied (H, Joint) buy 15-50k</t>
        </is>
      </c>
      <c r="J17" s="14" t="inlineStr">
        <is>
          <t>P/B 11.55 · EV/EBITDA 43.4× · FCF yld 3% · net debt 3% of mcap · rev +22% · op margin 11%</t>
        </is>
      </c>
    </row>
    <row r="18" ht="30" customHeight="1">
      <c r="A18" s="8" t="inlineStr">
        <is>
          <t>HD</t>
        </is>
      </c>
      <c r="B18" s="16" t="inlineStr">
        <is>
          <t>The Home Depot, Inc.</t>
        </is>
      </c>
      <c r="C18" s="16" t="inlineStr">
        <is>
          <t>P/B 17.97 · 14.9× EBITDA · debt 20% · 52w 8%</t>
        </is>
      </c>
      <c r="D18" s="28" t="n">
        <v>-3.32</v>
      </c>
      <c r="E18" s="28" t="n">
        <v>8</v>
      </c>
      <c r="F18" s="28" t="n">
        <v>6</v>
      </c>
      <c r="G18" s="28" t="n">
        <v>5</v>
      </c>
      <c r="H18" s="16" t="inlineStr">
        <is>
          <t>2026-09-02</t>
        </is>
      </c>
      <c r="I18" s="16" t="inlineStr">
        <is>
          <t>07-27 Jared Moskowitz (H, Self) buy &lt;15k; 2026-08-17 John Boozman (S, Joint) sell &lt;15k; 2026-08-17 Rich McCormick (H, Self) sell &lt;15k; 2026-09-02 Kevin Hern (H, Joint) sell 50-250k</t>
        </is>
      </c>
      <c r="J18" s="16" t="inlineStr">
        <is>
          <t>P/B 17.97 · EV/EBITDA 14.9× · FCF yld 5% · net debt 20% of mcap · rev +2% · op margin 12%</t>
        </is>
      </c>
    </row>
    <row r="19" ht="30" customHeight="1">
      <c r="A19" s="6" t="inlineStr">
        <is>
          <t>WFC</t>
        </is>
      </c>
      <c r="B19" s="14" t="inlineStr">
        <is>
          <t>Wells Fargo &amp; Company</t>
        </is>
      </c>
      <c r="C19" s="14" t="inlineStr">
        <is>
          <t>P/B 1.39 · P/E 11.7 · 52w 39%</t>
        </is>
      </c>
      <c r="D19" s="27" t="n">
        <v>-3.68</v>
      </c>
      <c r="E19" s="27" t="n">
        <v>6</v>
      </c>
      <c r="F19" s="27" t="n">
        <v>2</v>
      </c>
      <c r="G19" s="27" t="n">
        <v>5</v>
      </c>
      <c r="H19" s="14" t="inlineStr">
        <is>
          <t>2026-09-21</t>
        </is>
      </c>
      <c r="I19" s="14" t="inlineStr">
        <is>
          <t>na (H, Spouse) buy &lt;15k; 2026-06-04 Tim Walberg (H, Joint) buy 15-50k; 2026-06-30 Addison Mitchell McConnell (S, Spouse) buy &lt;15k; 2026-09-21 Mitch McConnell (S, Spouse) buy 15-50k</t>
        </is>
      </c>
      <c r="J19" s="14" t="inlineStr">
        <is>
          <t>P/B 1.39 · P/E 11.7 · ROE 13% · div yld 2.3% · buying back 6%/yr (financial: book/earnings basis)</t>
        </is>
      </c>
    </row>
    <row r="20" ht="30" customHeight="1">
      <c r="A20" s="8" t="inlineStr">
        <is>
          <t>AMZN</t>
        </is>
      </c>
      <c r="B20" s="16" t="inlineStr">
        <is>
          <t>Amazon.com, Inc.</t>
        </is>
      </c>
      <c r="C20" s="16" t="inlineStr">
        <is>
          <t>P/B 4.87 · 11.1× EBITDA · debt 4% · 52w 59%</t>
        </is>
      </c>
      <c r="D20" s="28" t="n">
        <v>-1.39</v>
      </c>
      <c r="E20" s="28" t="n">
        <v>9</v>
      </c>
      <c r="F20" s="28" t="n">
        <v>12</v>
      </c>
      <c r="G20" s="28" t="n">
        <v>5</v>
      </c>
      <c r="H20" s="16" t="inlineStr">
        <is>
          <t>2026-09-09</t>
        </is>
      </c>
      <c r="I20" s="16" t="inlineStr">
        <is>
          <t>10 Michael A. Rulli (H, Self) sell &lt;15k; 2026-08-10 Michael A. Rulli (H, Self) sell &lt;15k; 2026-08-19 Thomas Kean (H, Self) buy &lt;15k; 2026-09-09 Cory Booker (S, Spouse) sell 50-250k</t>
        </is>
      </c>
      <c r="J20" s="16" t="inlineStr">
        <is>
          <t>P/B 4.87 · EV/EBITDA 11.1× · FCF yld -0% · net debt 4% of mcap · rev +16% · op margin 12%</t>
        </is>
      </c>
    </row>
    <row r="21" ht="30" customHeight="1">
      <c r="A21" s="6" t="inlineStr">
        <is>
          <t>PEP</t>
        </is>
      </c>
      <c r="B21" s="14" t="inlineStr">
        <is>
          <t>PepsiCo, Inc.</t>
        </is>
      </c>
      <c r="C21" s="14" t="inlineStr">
        <is>
          <t>P/B 8.04 · 11.8× EBITDA · debt 24% · 52w 5%</t>
        </is>
      </c>
      <c r="D21" s="27" t="n">
        <v>-3.95</v>
      </c>
      <c r="E21" s="27" t="n">
        <v>6</v>
      </c>
      <c r="F21" s="27" t="n">
        <v>6</v>
      </c>
      <c r="G21" s="27" t="n">
        <v>5</v>
      </c>
      <c r="H21" s="14" t="inlineStr">
        <is>
          <t>2026-09-18</t>
        </is>
      </c>
      <c r="I21" s="14" t="inlineStr">
        <is>
          <t>2026-08-17 Rich McCormick (H, Self) sell &lt;15k; 2026-09-07 Ro Khanna (H, Self) buy &lt;15k; 2026-09-18 Scott Franklin (H, Self) buy &lt;15k; 2026-09-18 Scott Franklin (H, Spouse) buy &lt;15k</t>
        </is>
      </c>
      <c r="J21" s="14" t="inlineStr">
        <is>
          <t>P/B 8.04 · EV/EBITDA 11.8× · FCF yld 5% · net debt 24% of mcap · op margin 15%</t>
        </is>
      </c>
    </row>
    <row r="22" ht="30" customHeight="1">
      <c r="A22" s="8" t="inlineStr">
        <is>
          <t>UBER</t>
        </is>
      </c>
      <c r="B22" s="16" t="inlineStr">
        <is>
          <t>Uber Technologies, Inc</t>
        </is>
      </c>
      <c r="C22" s="16" t="inlineStr">
        <is>
          <t>P/B 5.18 · 18.9× EBITDA · debt 7% · 52w 12%</t>
        </is>
      </c>
      <c r="D22" s="28" t="n">
        <v>-3.37</v>
      </c>
      <c r="E22" s="28" t="n">
        <v>6</v>
      </c>
      <c r="F22" s="28" t="n">
        <v>1</v>
      </c>
      <c r="G22" s="28" t="n">
        <v>4</v>
      </c>
      <c r="H22" s="16" t="inlineStr">
        <is>
          <t>2026-08-12</t>
        </is>
      </c>
      <c r="I22" s="16" t="inlineStr">
        <is>
          <t>t; 2026-07-08 Ro Khanna (H, Self) buy &lt;15k; 2026-07-08 Ro Khanna (H, Self) buy &lt;15k; 2026-07-20 Daniel Milton Newhouse (H, Spouse) buy &lt;15k; 2026-08-12 Ro Khanna (H, Self) buy &lt;15k</t>
        </is>
      </c>
      <c r="J22" s="16" t="inlineStr">
        <is>
          <t>P/B 5.18 · EV/EBITDA 18.9× · FCF yld 7% · net debt 7% of mcap · rev +17% · op margin 12% · buying back 3%/yr</t>
        </is>
      </c>
    </row>
    <row r="23" ht="30" customHeight="1">
      <c r="A23" s="6" t="inlineStr">
        <is>
          <t>PAYX</t>
        </is>
      </c>
      <c r="B23" s="14" t="inlineStr">
        <is>
          <t>Paychex, Inc.</t>
        </is>
      </c>
      <c r="C23" s="14" t="inlineStr">
        <is>
          <t>P/B 9.45 · 12.4× EBITDA · debt 8% · 52w 47%</t>
        </is>
      </c>
      <c r="D23" s="27" t="n">
        <v>-2.02</v>
      </c>
      <c r="E23" s="27" t="n">
        <v>4</v>
      </c>
      <c r="F23" s="27" t="n">
        <v>5</v>
      </c>
      <c r="G23" s="27" t="n">
        <v>4</v>
      </c>
      <c r="H23" s="14" t="inlineStr">
        <is>
          <t>2026-09-10</t>
        </is>
      </c>
      <c r="I23" s="14" t="inlineStr">
        <is>
          <t>-05-13 Ro Khanna (H, Spouse) buy &lt;15k; 2026-07-21 Alan Armstrong (S, Joint) sell &lt;15k; 2026-08-06 Julie Johnson (H, Joint) buy &lt;15k; 2026-09-10 April Delaney (H, Self) sell 50-250k</t>
        </is>
      </c>
      <c r="J23" s="14" t="inlineStr">
        <is>
          <t>P/B 9.45 · EV/EBITDA 12.4× · FCF yld 5% · net debt 8% of mcap · rev +12% · op margin 39%</t>
        </is>
      </c>
    </row>
    <row r="24" ht="30" customHeight="1">
      <c r="A24" s="8" t="inlineStr">
        <is>
          <t>T</t>
        </is>
      </c>
      <c r="B24" s="16" t="inlineStr">
        <is>
          <t>AT&amp;T Inc.</t>
        </is>
      </c>
      <c r="C24" s="16" t="inlineStr">
        <is>
          <t>P/B 1.58 · 5.9× EBITDA · debt 83% · 52w 59%</t>
        </is>
      </c>
      <c r="D24" s="28" t="n">
        <v>-4.13</v>
      </c>
      <c r="E24" s="28" t="n">
        <v>7</v>
      </c>
      <c r="F24" s="28" t="n">
        <v>8</v>
      </c>
      <c r="G24" s="28" t="n">
        <v>4</v>
      </c>
      <c r="H24" s="16" t="inlineStr">
        <is>
          <t>2026-09-07</t>
        </is>
      </c>
      <c r="I24" s="16" t="inlineStr">
        <is>
          <t>uy &lt;15k; 2026-07-08 Ro Khanna (H, Self) buy 15-50k; 2026-08-12 Ro Khanna (H, Self) sell 15-50k; 2026-08-21 Tim Moore (H, Self) sell 50-250k; 2026-09-07 Ro Khanna (H, Self) buy &lt;15k</t>
        </is>
      </c>
      <c r="J24" s="16" t="inlineStr">
        <is>
          <t>P/B 1.58 · EV/EBITDA 5.9× · FCF yld 10% · net debt 83% of mcap · rev +3% · op margin 20% · buying back 4%/yr</t>
        </is>
      </c>
    </row>
    <row r="25" ht="30" customHeight="1">
      <c r="A25" s="6" t="inlineStr">
        <is>
          <t>CRM</t>
        </is>
      </c>
      <c r="B25" s="14" t="inlineStr">
        <is>
          <t>Salesforce, Inc.</t>
        </is>
      </c>
      <c r="C25" s="14" t="inlineStr">
        <is>
          <t>P/B 3.25 · 14.5× EBITDA · cash 0% · 52w 75%</t>
        </is>
      </c>
      <c r="D25" s="27" t="n">
        <v>-3.05</v>
      </c>
      <c r="E25" s="27" t="n">
        <v>8</v>
      </c>
      <c r="F25" s="27" t="n">
        <v>3</v>
      </c>
      <c r="G25" s="27" t="n">
        <v>4</v>
      </c>
      <c r="H25" s="14" t="inlineStr">
        <is>
          <t>2026-09-07</t>
        </is>
      </c>
      <c r="I25" s="14" t="inlineStr">
        <is>
          <t>-50k; 2026-08-19 Tony Wied (H, Joint) sell 15-50k; 2026-08-24 John Boozman (S, Joint) sell &lt;15k; 2026-09-07 Tony Wied (H, Joint) buy 15-50k; 2026-09-07 Ro Khanna (H, Self) buy &lt;15k</t>
        </is>
      </c>
      <c r="J25" s="14" t="inlineStr">
        <is>
          <t>P/B 3.25 · EV/EBITDA 14.5× · FCF yld 8% · net cash 0% of mcap · rev +8% · op margin 21%</t>
        </is>
      </c>
    </row>
    <row r="26" ht="30" customHeight="1">
      <c r="A26" s="8" t="inlineStr">
        <is>
          <t>LLY</t>
        </is>
      </c>
      <c r="B26" s="16" t="inlineStr">
        <is>
          <t>Eli Lilly and Company</t>
        </is>
      </c>
      <c r="C26" s="16" t="inlineStr">
        <is>
          <t>P/B 32.15 · 26.2× EBITDA · debt 4% · 52w 77%</t>
        </is>
      </c>
      <c r="D26" s="28" t="n">
        <v>-0.22</v>
      </c>
      <c r="E26" s="28" t="n">
        <v>6</v>
      </c>
      <c r="F26" s="28" t="n">
        <v>7</v>
      </c>
      <c r="G26" s="28" t="n">
        <v>4</v>
      </c>
      <c r="H26" s="16" t="inlineStr">
        <is>
          <t>2026-08-24</t>
        </is>
      </c>
      <c r="I26" s="16" t="inlineStr">
        <is>
          <t>Michael A. Rulli (H, Self) sell &lt;15k; 2026-08-10 Michael A. Rulli (H, Self) buy &lt;15k; 2026-08-10 Michael A. Rulli (H, Self) sell &lt;15k; 2026-08-24 John Boozman (S, Joint) sell &lt;15k</t>
        </is>
      </c>
      <c r="J26" s="16" t="inlineStr">
        <is>
          <t>P/B 32.15 · EV/EBITDA 26.2× · FCF yld 2% · net debt 4% of mcap · rev +50% · op margin 50%</t>
        </is>
      </c>
    </row>
    <row r="27" ht="30" customHeight="1">
      <c r="A27" s="6" t="inlineStr">
        <is>
          <t>MRVL</t>
        </is>
      </c>
      <c r="B27" s="14" t="inlineStr">
        <is>
          <t>Marvell Technology, In</t>
        </is>
      </c>
      <c r="C27" s="14" t="inlineStr">
        <is>
          <t>P/B 16.22 · 48.2× EBITDA · debt 1% · 52w 73%</t>
        </is>
      </c>
      <c r="D27" s="27" t="n">
        <v>-4.59</v>
      </c>
      <c r="E27" s="27" t="n">
        <v>7</v>
      </c>
      <c r="F27" s="27" t="n">
        <v>0</v>
      </c>
      <c r="G27" s="27" t="n">
        <v>4</v>
      </c>
      <c r="H27" s="14" t="inlineStr">
        <is>
          <t>2026-09-07</t>
        </is>
      </c>
      <c r="I27" s="14" t="inlineStr">
        <is>
          <t>15k; 2026-07-08 Ro Khanna (H, Self) buy &lt;15k; 2026-08-12 Ro Khanna (H, Self) buy 15-50k; 2026-09-07 Gilbert Ray Cisneros (H, Self) buy &lt;15k; 2026-09-07 Ro Khanna (H, Self) buy &lt;15k</t>
        </is>
      </c>
      <c r="J27" s="14" t="inlineStr">
        <is>
          <t>P/B 16.22 · EV/EBITDA 48.2× · FCF yld 1% · net debt 1% of mcap · rev +37% · op margin 17%</t>
        </is>
      </c>
    </row>
    <row r="28" ht="30" customHeight="1">
      <c r="A28" s="8" t="inlineStr">
        <is>
          <t>ETN</t>
        </is>
      </c>
      <c r="B28" s="16" t="inlineStr">
        <is>
          <t>Eaton Corporation plc</t>
        </is>
      </c>
      <c r="C28" s="16" t="inlineStr">
        <is>
          <t>P/B 8.44 · 29.5× EBITDA · debt 12% · 52w 77%</t>
        </is>
      </c>
      <c r="D28" s="28" t="n">
        <v>-5.37</v>
      </c>
      <c r="E28" s="28" t="n">
        <v>6</v>
      </c>
      <c r="F28" s="28" t="n">
        <v>2</v>
      </c>
      <c r="G28" s="28" t="n">
        <v>4</v>
      </c>
      <c r="H28" s="16" t="inlineStr">
        <is>
          <t>2026-09-11</t>
        </is>
      </c>
      <c r="I28" s="16" t="inlineStr">
        <is>
          <t>15-50k; 2026-07-08 Ro Khanna (H, Self) buy &lt;15k; 2026-08-12 Ro Khanna (H, Self) buy &lt;15k; 2026-09-07 Ro Khanna (H, Self) buy &lt;15k; 2026-09-11 Gilbert Cisneros (H, Self) buy 15-50k</t>
        </is>
      </c>
      <c r="J28" s="16" t="inlineStr">
        <is>
          <t>P/B 8.44 · EV/EBITDA 29.5× · FCF yld 3% · net debt 12% of mcap · rev +16% · op margin 18%</t>
        </is>
      </c>
    </row>
    <row r="29" ht="30" customHeight="1">
      <c r="A29" s="6" t="inlineStr">
        <is>
          <t>BSX</t>
        </is>
      </c>
      <c r="B29" s="14" t="inlineStr">
        <is>
          <t>Boston Scientific Corp</t>
        </is>
      </c>
      <c r="C29" s="14" t="inlineStr">
        <is>
          <t>P/B 2.67 · 13.8× EBITDA · debt 18% · 52w 4%</t>
        </is>
      </c>
      <c r="D29" s="27" t="n">
        <v>-4.5</v>
      </c>
      <c r="E29" s="27" t="n">
        <v>9</v>
      </c>
      <c r="F29" s="27" t="n">
        <v>3</v>
      </c>
      <c r="G29" s="27" t="n">
        <v>4</v>
      </c>
      <c r="H29" s="14" t="inlineStr">
        <is>
          <t>2026-09-11</t>
        </is>
      </c>
      <c r="I29" s="14" t="inlineStr">
        <is>
          <t>15k; 2026-07-13 John Boozman (S, Joint) sell &lt;15k; 2026-08-12 Ro Khanna (H, Self) sell &lt;15k; 2026-09-07 Ro Khanna (H, Self) buy &lt;15k; 2026-09-11 Gilbert Cisneros (H, Self) buy &lt;15k</t>
        </is>
      </c>
      <c r="J29" s="14" t="inlineStr">
        <is>
          <t>P/B 2.67 · EV/EBITDA 13.8× · FCF yld 5% · net debt 18% of mcap · rev +14% · op margin 21%</t>
        </is>
      </c>
    </row>
    <row r="30" ht="30" customHeight="1">
      <c r="A30" s="8" t="inlineStr">
        <is>
          <t>PLTR</t>
        </is>
      </c>
      <c r="B30" s="16" t="inlineStr">
        <is>
          <t>Palantir Technologies</t>
        </is>
      </c>
      <c r="C30" s="16" t="inlineStr">
        <is>
          <t>P/B 45.11 · 141.5× EBITDA · cash 2% · 52w 85%</t>
        </is>
      </c>
      <c r="D30" s="28" t="n">
        <v>-2.68</v>
      </c>
      <c r="E30" s="28" t="n">
        <v>6</v>
      </c>
      <c r="F30" s="28" t="n">
        <v>7</v>
      </c>
      <c r="G30" s="28" t="n">
        <v>4</v>
      </c>
      <c r="H30" s="16" t="inlineStr">
        <is>
          <t>2026-09-07</t>
        </is>
      </c>
      <c r="I30" s="16" t="inlineStr">
        <is>
          <t>10 Michael A. Rulli (H, Self) buy &lt;15k; 2026-08-10 Michael A. Rulli (H, Self) sell &lt;15k; 2026-08-12 Ro Khanna (H, Self) buy &lt;15k; 2026-09-07 Gilbert Ray Cisneros (H, Self) buy &lt;15k</t>
        </is>
      </c>
      <c r="J30" s="16" t="inlineStr">
        <is>
          <t>P/B 45.11 · EV/EBITDA 141.5× · FCF yld 1% · net cash 2% of mcap · rev +79% · op margin 43%</t>
        </is>
      </c>
    </row>
    <row r="31" ht="30" customHeight="1">
      <c r="A31" s="6" t="inlineStr">
        <is>
          <t>ZTS</t>
        </is>
      </c>
      <c r="B31" s="14" t="inlineStr">
        <is>
          <t>Zoetis Inc.</t>
        </is>
      </c>
      <c r="C31" s="14" t="inlineStr">
        <is>
          <t>P/B 9.57 · 9.8× EBITDA · debt 25% · 52w 2%</t>
        </is>
      </c>
      <c r="D31" s="27" t="n">
        <v>-4.62</v>
      </c>
      <c r="E31" s="27" t="n">
        <v>6</v>
      </c>
      <c r="F31" s="27" t="n">
        <v>3</v>
      </c>
      <c r="G31" s="27" t="n">
        <v>4</v>
      </c>
      <c r="H31" s="14" t="inlineStr">
        <is>
          <t>2026-09-07</t>
        </is>
      </c>
      <c r="I31" s="14" t="inlineStr">
        <is>
          <t>-07-16 Byron Donalds (H, Self) buy &lt;15k; 2026-07-16 Byron Donalds (H, Spouse) buy &lt;15k; 2026-08-12 Ro Khanna (H, Self) buy &lt;15k; 2026-09-07 Gilbert Ray Cisneros (H, Self) sell &lt;15k</t>
        </is>
      </c>
      <c r="J31" s="14" t="inlineStr">
        <is>
          <t>P/B 9.57 · EV/EBITDA 9.8× · FCF yld 8% · net debt 25% of mcap · rev +1% · op margin 37% · buying back 6%/yr</t>
        </is>
      </c>
    </row>
    <row r="32" ht="30" customHeight="1">
      <c r="A32" s="8" t="inlineStr">
        <is>
          <t>CARR</t>
        </is>
      </c>
      <c r="B32" s="16" t="inlineStr">
        <is>
          <t>Carrier Global Corpora</t>
        </is>
      </c>
      <c r="C32" s="16" t="inlineStr">
        <is>
          <t>P/B 3.49 · 20.6× EBITDA · debt 24% · 52w 20%</t>
        </is>
      </c>
      <c r="D32" s="28" t="n">
        <v>-1.89</v>
      </c>
      <c r="E32" s="28" t="n">
        <v>5</v>
      </c>
      <c r="F32" s="28" t="n">
        <v>6</v>
      </c>
      <c r="G32" s="28" t="n">
        <v>4</v>
      </c>
      <c r="H32" s="16" t="inlineStr">
        <is>
          <t>2026-09-07</t>
        </is>
      </c>
      <c r="I32" s="16" t="inlineStr">
        <is>
          <t>aria Elvira Salazar (H, Self) sell 15-50k; 2026-08-10 Maria Elvira Salazar (H, Self) sell &lt;15k; 2026-09-02 Kevin Hern (H, Joint) sell &lt;15k; 2026-09-07 Ro Khanna (H, Self) sell &lt;15k</t>
        </is>
      </c>
      <c r="J32" s="16" t="inlineStr">
        <is>
          <t>P/B 3.49 · EV/EBITDA 20.6× · FCF yld 4% · net debt 24% of mcap · rev -2% · op margin 7% · buying back 3%/yr</t>
        </is>
      </c>
    </row>
    <row r="33" ht="30" customHeight="1">
      <c r="A33" s="6" t="inlineStr">
        <is>
          <t>TSM</t>
        </is>
      </c>
      <c r="B33" s="14" t="inlineStr">
        <is>
          <t>Taiwan Semiconductor M</t>
        </is>
      </c>
      <c r="C33" s="14" t="inlineStr">
        <is>
          <t>P/B 11.49 · 19.2× EBITDA · cash 3% · 52w 86%</t>
        </is>
      </c>
      <c r="D33" s="27" t="n">
        <v>-2.94</v>
      </c>
      <c r="E33" s="27" t="n">
        <v>5</v>
      </c>
      <c r="F33" s="27" t="n">
        <v>0</v>
      </c>
      <c r="G33" s="27" t="n">
        <v>4</v>
      </c>
      <c r="H33" s="14" t="inlineStr">
        <is>
          <t>2026-09-23</t>
        </is>
      </c>
      <c r="I33" s="14" t="inlineStr">
        <is>
          <t>Rick W. Allen (H, Spouse) buy &lt;15k; 2026-07-13 Michael T. McCaul (H, Spouse) buy 15-50k; 2026-07-31 Cleo Fields (H, Self) buy &lt;15k; 2026-09-23 Richard W. Allen (H, Spouse) buy &lt;15k</t>
        </is>
      </c>
      <c r="J33" s="14" t="inlineStr">
        <is>
          <t>P/B 11.49 · EV/EBITDA 19.2× · FCF yld 2% · net cash 3% of mcap · rev +31% · op margin 56%</t>
        </is>
      </c>
    </row>
    <row r="34" ht="30" customHeight="1">
      <c r="A34" s="8" t="inlineStr">
        <is>
          <t>HON</t>
        </is>
      </c>
      <c r="B34" s="16" t="inlineStr">
        <is>
          <t>Honeywell Internationa</t>
        </is>
      </c>
      <c r="C34" s="16" t="inlineStr">
        <is>
          <t>P/B 2.66 · 7.4× EBITDA · debt 37% · 52w 25%</t>
        </is>
      </c>
      <c r="D34" s="28" t="n">
        <v>-1.9</v>
      </c>
      <c r="E34" s="28" t="n">
        <v>4</v>
      </c>
      <c r="F34" s="28" t="n">
        <v>3</v>
      </c>
      <c r="G34" s="28" t="n">
        <v>4</v>
      </c>
      <c r="H34" s="16" t="inlineStr">
        <is>
          <t>2026-08-06</t>
        </is>
      </c>
      <c r="I34" s="16" t="inlineStr">
        <is>
          <t>whouse (H, Spouse) buy &lt;15k; 2026-08-05 Thomas Hawley Tuberville (S, Joint) sell 15-50k; 2026-08-06 Julie Johnson (H, Joint) buy &lt;15k; 2026-08-06 Julie Johnson (H, Joint) sell &lt;15k</t>
        </is>
      </c>
      <c r="J34" s="16" t="inlineStr">
        <is>
          <t>P/B 2.66 · EV/EBITDA 7.4× · FCF yld 6% · net debt 37% of mcap · rev -10% · op margin 14%</t>
        </is>
      </c>
    </row>
    <row r="35" ht="30" customHeight="1">
      <c r="A35" s="6" t="inlineStr">
        <is>
          <t>WDAY</t>
        </is>
      </c>
      <c r="B35" s="14" t="inlineStr">
        <is>
          <t>Workday, Inc.</t>
        </is>
      </c>
      <c r="C35" s="14" t="inlineStr">
        <is>
          <t>P/B 5.69 · 32.1× EBITDA · cash 6% · 52w 59%</t>
        </is>
      </c>
      <c r="D35" s="27" t="n">
        <v>-4.61</v>
      </c>
      <c r="E35" s="27" t="n">
        <v>9</v>
      </c>
      <c r="F35" s="27" t="n">
        <v>3</v>
      </c>
      <c r="G35" s="27" t="n">
        <v>4</v>
      </c>
      <c r="H35" s="14" t="inlineStr">
        <is>
          <t>2026-09-11</t>
        </is>
      </c>
      <c r="I35" s="14" t="inlineStr">
        <is>
          <t>3 Michael T. McCaul (H, Spouse) buy &lt;15k; 2026-07-13 Michael T. McCaul (H, Spouse) buy &lt;15k; 2026-08-12 Ro Khanna (H, Self) buy &lt;15k; 2026-09-11 Gilbert Cisneros (H, Self) buy &lt;15k</t>
        </is>
      </c>
      <c r="J35" s="14" t="inlineStr">
        <is>
          <t>P/B 5.69 · EV/EBITDA 32.1× · FCF yld 6% · net cash 6% of mcap · rev +14% · op margin 12%</t>
        </is>
      </c>
    </row>
    <row r="36" ht="30" customHeight="1">
      <c r="A36" s="8" t="inlineStr">
        <is>
          <t>PYPL</t>
        </is>
      </c>
      <c r="B36" s="16" t="inlineStr">
        <is>
          <t>PayPal Holdings, Inc.</t>
        </is>
      </c>
      <c r="C36" s="16" t="inlineStr">
        <is>
          <t>P/B 2.27 · P/E 9.9 · 52w 35%</t>
        </is>
      </c>
      <c r="D36" s="28" t="n">
        <v>-3.08</v>
      </c>
      <c r="E36" s="28" t="n">
        <v>5</v>
      </c>
      <c r="F36" s="28" t="n">
        <v>3</v>
      </c>
      <c r="G36" s="28" t="n">
        <v>4</v>
      </c>
      <c r="H36" s="16" t="inlineStr">
        <is>
          <t>2026-08-17</t>
        </is>
      </c>
      <c r="I36" s="16" t="inlineStr">
        <is>
          <t>Cisneros (H, Self) sell &lt;15k; 2026-07-21 Alan Armstrong (S, Joint) buy &lt;15k; 2026-08-05 Thomas Hawley Tuberville (S, Self) sell 15-50k; 2026-08-17 John Boozman (S, Joint) buy &lt;15k</t>
        </is>
      </c>
      <c r="J36" s="16" t="inlineStr">
        <is>
          <t>P/B 2.27 · P/E 9.9 · ROE 24% · div yld 1.1% · buying back 8%/yr (financial: book/earnings basis)</t>
        </is>
      </c>
    </row>
    <row r="37" ht="30" customHeight="1">
      <c r="A37" s="6" t="inlineStr">
        <is>
          <t>VRSK</t>
        </is>
      </c>
      <c r="B37" s="14" t="inlineStr">
        <is>
          <t>Verisk Analytics, Inc.</t>
        </is>
      </c>
      <c r="C37" s="14" t="inlineStr">
        <is>
          <t>15.9× EBITDA · 52w 17%</t>
        </is>
      </c>
      <c r="D37" s="27" t="n">
        <v>-1.43</v>
      </c>
      <c r="E37" s="27" t="n">
        <v>5</v>
      </c>
      <c r="F37" s="27" t="n">
        <v>3</v>
      </c>
      <c r="G37" s="27" t="n">
        <v>4</v>
      </c>
      <c r="H37" s="14" t="inlineStr">
        <is>
          <t>2026-09-11</t>
        </is>
      </c>
      <c r="I37" s="14" t="inlineStr">
        <is>
          <t>-21 Alan Armstrong (S, Joint) buy &lt;15k; 2026-08-06 Julie Johnson (H, Joint) buy &lt;15k; 2026-08-06 Julie Johnson (H, Joint) sell &lt;15k; 2026-09-11 Gilbert Cisneros (H, Self) sell &lt;15k</t>
        </is>
      </c>
      <c r="J37" s="14" t="inlineStr">
        <is>
          <t>EV/EBITDA 15.9× · FCF yld 6% · rev +5% · op margin 45% · buying back 7%/yr  [negative equity]</t>
        </is>
      </c>
    </row>
    <row r="38" ht="30" customHeight="1">
      <c r="A38" s="8" t="inlineStr">
        <is>
          <t>HUBB</t>
        </is>
      </c>
      <c r="B38" s="16" t="inlineStr">
        <is>
          <t>Hubbell Incorporated</t>
        </is>
      </c>
      <c r="C38" s="16" t="inlineStr">
        <is>
          <t>P/B 6.28 · 20.1× EBITDA · debt 20% · 52w 39%</t>
        </is>
      </c>
      <c r="D38" s="28" t="n">
        <v>-24.62</v>
      </c>
      <c r="E38" s="28" t="n">
        <v>16</v>
      </c>
      <c r="F38" s="28" t="n">
        <v>2</v>
      </c>
      <c r="G38" s="28" t="n">
        <v>3</v>
      </c>
      <c r="H38" s="16" t="inlineStr">
        <is>
          <t>2026-09-10</t>
        </is>
      </c>
      <c r="I38" s="16" t="inlineStr">
        <is>
          <t>-09-10 April Delaney (H, Self) sell 50-250k; 2026-09-10 April Delaney (H, Self) buy &lt;15k; 2026-09-10 April Delaney (H, Self) buy &lt;15k; 2026-09-10 April Delaney (H, Self) buy 15-50k</t>
        </is>
      </c>
      <c r="J38" s="16" t="inlineStr">
        <is>
          <t>P/B 6.28 · EV/EBITDA 20.1× · FCF yld 4% · net debt 20% of mcap · rev +11% · op margin 20%</t>
        </is>
      </c>
    </row>
    <row r="39" ht="30" customHeight="1">
      <c r="A39" s="6" t="inlineStr">
        <is>
          <t>SPGI</t>
        </is>
      </c>
      <c r="B39" s="14" t="inlineStr">
        <is>
          <t>S&amp;P Global Inc.</t>
        </is>
      </c>
      <c r="C39" s="14" t="inlineStr">
        <is>
          <t>P/B 3.80 · P/E 24.8 · 52w 29%</t>
        </is>
      </c>
      <c r="D39" s="27" t="n">
        <v>-13.09</v>
      </c>
      <c r="E39" s="27" t="n">
        <v>17</v>
      </c>
      <c r="F39" s="27" t="n">
        <v>6</v>
      </c>
      <c r="G39" s="27" t="n">
        <v>3</v>
      </c>
      <c r="H39" s="14" t="inlineStr">
        <is>
          <t>2026-07-27</t>
        </is>
      </c>
      <c r="I39" s="14" t="inlineStr">
        <is>
          <t>Thomas Kean (H, Self) sell &lt;15k; 2026-07-21 Alan Armstrong (S, Joint) buy &lt;15k; 2026-07-27 Jared Moskowitz (H, Dependent) sell &lt;15k; 2026-07-27 Jared Moskowitz (H, Self) sell &lt;15k</t>
        </is>
      </c>
      <c r="J39" s="14" t="inlineStr">
        <is>
          <t>P/B 3.80 · P/E 24.8 · ROE 15% · div yld 1.0% · buying back 3%/yr (financial: book/earnings basis)</t>
        </is>
      </c>
    </row>
    <row r="40" ht="30" customHeight="1">
      <c r="A40" s="8" t="inlineStr">
        <is>
          <t>MLM</t>
        </is>
      </c>
      <c r="B40" s="16" t="inlineStr">
        <is>
          <t>Martin Marietta Materi</t>
        </is>
      </c>
      <c r="C40" s="16" t="inlineStr">
        <is>
          <t>P/B 2.57 · 16.9× EBITDA · debt 20% · 52w 2%</t>
        </is>
      </c>
      <c r="D40" s="28" t="n">
        <v>-7.26</v>
      </c>
      <c r="E40" s="28" t="n">
        <v>7</v>
      </c>
      <c r="F40" s="28" t="n">
        <v>3</v>
      </c>
      <c r="G40" s="28" t="n">
        <v>3</v>
      </c>
      <c r="H40" s="16" t="inlineStr">
        <is>
          <t>2026-09-10</t>
        </is>
      </c>
      <c r="I40" s="16" t="inlineStr">
        <is>
          <t>-04 April McClain Delaney (H, Self) buy 15-50k; 2026-09-07 Ro Khanna (H, Self) sell &lt;15k; 2026-09-10 April Delaney (H, Self) buy &lt;15k; 2026-09-10 April Delaney (H, Self) sell &gt;250k</t>
        </is>
      </c>
      <c r="J40" s="16" t="inlineStr">
        <is>
          <t>P/B 2.57 · EV/EBITDA 16.9× · FCF yld 3% · net debt 20% of mcap · rev +0% · op margin 21%</t>
        </is>
      </c>
    </row>
    <row r="41" ht="30" customHeight="1">
      <c r="A41" s="6" t="inlineStr">
        <is>
          <t>QCOM</t>
        </is>
      </c>
      <c r="B41" s="14" t="inlineStr">
        <is>
          <t>QUALCOMM Incorporated</t>
        </is>
      </c>
      <c r="C41" s="14" t="inlineStr">
        <is>
          <t>P/B 7.49 · 16.2× EBITDA · debt 3% · 52w 55%</t>
        </is>
      </c>
      <c r="D41" s="27" t="n">
        <v>-5.46</v>
      </c>
      <c r="E41" s="27" t="n">
        <v>5</v>
      </c>
      <c r="F41" s="27" t="n">
        <v>8</v>
      </c>
      <c r="G41" s="27" t="n">
        <v>3</v>
      </c>
      <c r="H41" s="14" t="inlineStr">
        <is>
          <t>2026-09-10</t>
        </is>
      </c>
      <c r="I41" s="14" t="inlineStr">
        <is>
          <t>Khanna (H, Spouse) buy 15-50k; 2026-09-07 Ro Khanna (H, Self) sell 15-50k; 2026-09-10 Maria Elvira Salazar (H, Self) sell &lt;15k; 2026-09-10 Maria Elvira Salazar (H, Self) sell &lt;15k</t>
        </is>
      </c>
      <c r="J41" s="14" t="inlineStr">
        <is>
          <t>P/B 7.49 · EV/EBITDA 16.2× · FCF yld 5% · net debt 3% of mcap · rev +5% · op margin 23% · buying back 4%/yr</t>
        </is>
      </c>
    </row>
    <row r="42" ht="30" customHeight="1">
      <c r="A42" s="8" t="inlineStr">
        <is>
          <t>MCD</t>
        </is>
      </c>
      <c r="B42" s="16" t="inlineStr">
        <is>
          <t>McDonald's Corporation</t>
        </is>
      </c>
      <c r="C42" s="16" t="inlineStr">
        <is>
          <t>14.8× EBITDA · 52w 1%</t>
        </is>
      </c>
      <c r="D42" s="28" t="n">
        <v>-2.74</v>
      </c>
      <c r="E42" s="28" t="n">
        <v>4</v>
      </c>
      <c r="F42" s="28" t="n">
        <v>4</v>
      </c>
      <c r="G42" s="28" t="n">
        <v>3</v>
      </c>
      <c r="H42" s="16" t="inlineStr">
        <is>
          <t>2026-09-18</t>
        </is>
      </c>
      <c r="I42" s="16" t="inlineStr">
        <is>
          <t>08-17 Rich McCormick (H, Self) sell &lt;15k; 2026-09-07 Ro Khanna (H, Self) sell 15-50k; 2026-09-09 Cory Booker (S, Spouse) sell 15-50k; 2026-09-18 Scott Franklin (H, Spouse) buy &lt;15k</t>
        </is>
      </c>
      <c r="J42" s="16" t="inlineStr">
        <is>
          <t>EV/EBITDA 14.8× · FCF yld 5% · rev +6% · op margin 46%  [negative equity]</t>
        </is>
      </c>
    </row>
    <row r="43" ht="30" customHeight="1">
      <c r="A43" s="6" t="inlineStr">
        <is>
          <t>BA</t>
        </is>
      </c>
      <c r="B43" s="14" t="inlineStr">
        <is>
          <t>The Boeing Company</t>
        </is>
      </c>
      <c r="C43" s="14" t="inlineStr">
        <is>
          <t>P/B 26.24 · 28.2× EBITDA · debt 16% · 52w 33%</t>
        </is>
      </c>
      <c r="D43" s="27" t="n">
        <v>-0.75</v>
      </c>
      <c r="E43" s="27" t="n">
        <v>4</v>
      </c>
      <c r="F43" s="27" t="n">
        <v>3</v>
      </c>
      <c r="G43" s="27" t="n">
        <v>3</v>
      </c>
      <c r="H43" s="14" t="inlineStr">
        <is>
          <t>2026-09-02</t>
        </is>
      </c>
      <c r="I43" s="14" t="inlineStr">
        <is>
          <t>026-08-06 Julie Johnson (H, Joint) sell &lt;15k; 2026-08-06 Julie Johnson (H, Joint) buy &lt;15k; 2026-09-02 Kevin Hern (H, Joint) sell &lt;15k; 2026-09-02 Kevin Hern (H, Joint) sell 15-50k</t>
        </is>
      </c>
      <c r="J43" s="14" t="inlineStr">
        <is>
          <t>P/B 26.24 · EV/EBITDA 28.2× · FCF yld -0% · net debt 16% of mcap · rev +25% · op margin -5% · diluting 5%/yr · interest cover -2.0× ⚠</t>
        </is>
      </c>
    </row>
    <row r="44" ht="30" customHeight="1">
      <c r="A44" s="8" t="inlineStr">
        <is>
          <t>INTU</t>
        </is>
      </c>
      <c r="B44" s="16" t="inlineStr">
        <is>
          <t>Intuit Inc.</t>
        </is>
      </c>
      <c r="C44" s="16" t="inlineStr">
        <is>
          <t>P/B 3.82 · 11.3× EBITDA · debt 0% · 52w 8%</t>
        </is>
      </c>
      <c r="D44" s="28" t="n">
        <v>-5.27</v>
      </c>
      <c r="E44" s="28" t="n">
        <v>14</v>
      </c>
      <c r="F44" s="28" t="n">
        <v>7</v>
      </c>
      <c r="G44" s="28" t="n">
        <v>3</v>
      </c>
      <c r="H44" s="16" t="inlineStr">
        <is>
          <t>2026-09-11</t>
        </is>
      </c>
      <c r="I44" s="16" t="inlineStr">
        <is>
          <t>k W. Allen (H, Spouse) sell 15-50k; 2026-07-20 Daniel Milton Newhouse (H, Spouse) sell &lt;15k; 2026-08-12 Ro Khanna (H, Self) buy &lt;15k; 2026-09-11 Gilbert Cisneros (H, Self) buy &lt;15k</t>
        </is>
      </c>
      <c r="J44" s="16" t="inlineStr">
        <is>
          <t>P/B 3.82 · EV/EBITDA 11.3× · FCF yld 11% · net debt 0% of mcap · rev +17% · op margin 29%</t>
        </is>
      </c>
    </row>
    <row r="45" ht="30" customHeight="1">
      <c r="A45" s="6" t="inlineStr">
        <is>
          <t>TDG</t>
        </is>
      </c>
      <c r="B45" s="14" t="inlineStr">
        <is>
          <t>TransDigm Group Incorp</t>
        </is>
      </c>
      <c r="C45" s="14" t="inlineStr">
        <is>
          <t>18.6× EBITDA · 52w 11%</t>
        </is>
      </c>
      <c r="D45" s="27" t="n">
        <v>-4.63</v>
      </c>
      <c r="E45" s="27" t="n">
        <v>12</v>
      </c>
      <c r="F45" s="27" t="n">
        <v>2</v>
      </c>
      <c r="G45" s="27" t="n">
        <v>3</v>
      </c>
      <c r="H45" s="14" t="inlineStr">
        <is>
          <t>2026-09-10</t>
        </is>
      </c>
      <c r="I45" s="14" t="inlineStr">
        <is>
          <t>Delaney (H, Dependent) buy &lt;15k; 2026-07-21 Alan Armstrong (S, Joint) buy &lt;15k; 2026-08-04 April McClain Delaney (H, Self) buy &lt;15k; 2026-09-10 April Delaney (H, Self) sell 50-250k</t>
        </is>
      </c>
      <c r="J45" s="14" t="inlineStr">
        <is>
          <t>EV/EBITDA 18.6× · FCF yld 3% · rev +13% · op margin 46%  [negative equity]</t>
        </is>
      </c>
    </row>
    <row r="46" ht="30" customHeight="1">
      <c r="A46" s="8" t="inlineStr">
        <is>
          <t>MA</t>
        </is>
      </c>
      <c r="B46" s="16" t="inlineStr">
        <is>
          <t>Mastercard Incorporate</t>
        </is>
      </c>
      <c r="C46" s="16" t="inlineStr">
        <is>
          <t>P/B 87.51 · P/E 30.7 · 52w 70%</t>
        </is>
      </c>
      <c r="D46" s="28" t="n">
        <v>-4.54</v>
      </c>
      <c r="E46" s="28" t="n">
        <v>11</v>
      </c>
      <c r="F46" s="28" t="n">
        <v>4</v>
      </c>
      <c r="G46" s="28" t="n">
        <v>3</v>
      </c>
      <c r="H46" s="16" t="inlineStr">
        <is>
          <t>2026-08-05</t>
        </is>
      </c>
      <c r="I46" s="16" t="inlineStr">
        <is>
          <t>buy &lt;15k; 2026-07-13 Michael T. McCaul (H, Spouse) buy &lt;15k; 2026-07-16 Thomas Hawley Tuberville (S, Joint) sell 15-50k; 2026-08-05 Thomas Hawley Tuberville (S, Joint) sell 15-50k</t>
        </is>
      </c>
      <c r="J46" s="16" t="inlineStr">
        <is>
          <t>P/B 87.51 · P/E 30.7 · ROE 232% · div yld 0.6% · buying back 3%/yr (financial: book/earnings basis)</t>
        </is>
      </c>
    </row>
    <row r="47" ht="30" customHeight="1">
      <c r="A47" s="6" t="inlineStr">
        <is>
          <t>AMD</t>
        </is>
      </c>
      <c r="B47" s="14" t="inlineStr">
        <is>
          <t>Advanced Micro Devices</t>
        </is>
      </c>
      <c r="C47" s="14" t="inlineStr">
        <is>
          <t>P/B 14.89 · 93.4× EBITDA · cash 1% · 52w 98%</t>
        </is>
      </c>
      <c r="D47" s="27" t="n">
        <v>-4.67</v>
      </c>
      <c r="E47" s="27" t="n">
        <v>9</v>
      </c>
      <c r="F47" s="27" t="n">
        <v>4</v>
      </c>
      <c r="G47" s="27" t="n">
        <v>3</v>
      </c>
      <c r="H47" s="14" t="inlineStr">
        <is>
          <t>2026-09-11</t>
        </is>
      </c>
      <c r="I47" s="14" t="inlineStr">
        <is>
          <t>ony Wied (H, Joint) sell 50-250k; 2026-08-19 Rick W. Allen (H, Spouse) buy &lt;15k; 2026-09-07 Gilbert Ray Cisneros (H, Self) buy &lt;15k; 2026-09-11 Gilbert Cisneros (H, Self) sell &lt;15k</t>
        </is>
      </c>
      <c r="J47" s="14" t="inlineStr">
        <is>
          <t>P/B 14.89 · EV/EBITDA 93.4× · FCF yld 1% · net cash 1% of mcap · rev +40% · op margin 16%</t>
        </is>
      </c>
    </row>
    <row r="48" ht="30" customHeight="1">
      <c r="A48" s="8" t="inlineStr">
        <is>
          <t>TTD</t>
        </is>
      </c>
      <c r="B48" s="16" t="inlineStr">
        <is>
          <t>The Trade Desk, Inc.</t>
        </is>
      </c>
      <c r="C48" s="16" t="inlineStr">
        <is>
          <t>P/B 2.32 · 6.6× EBITDA · cash 18% · 52w 0%</t>
        </is>
      </c>
      <c r="D48" s="28" t="n">
        <v>-16.66</v>
      </c>
      <c r="E48" s="28" t="n">
        <v>5</v>
      </c>
      <c r="F48" s="28" t="n">
        <v>5</v>
      </c>
      <c r="G48" s="28" t="n">
        <v>3</v>
      </c>
      <c r="H48" s="16" t="inlineStr">
        <is>
          <t>2026-09-11</t>
        </is>
      </c>
      <c r="I48" s="16" t="inlineStr">
        <is>
          <t>-10 Tony Wied (H, Joint) buy 15-50k; 2026-09-07 Gilbert Ray Cisneros (H, Self) buy &lt;15k; 2026-09-07 Tony Wied (H, Joint) sell 15-50k; 2026-09-11 Gilbert Cisneros (H, Self) buy &lt;15k</t>
        </is>
      </c>
      <c r="J48" s="16" t="inlineStr">
        <is>
          <t>P/B 2.32 · EV/EBITDA 6.6× · FCF yld 14% · net cash 18% of mcap · rev +12% · op margin 20% · buying back 5%/yr</t>
        </is>
      </c>
    </row>
    <row r="49" ht="30" customHeight="1">
      <c r="A49" s="6" t="inlineStr">
        <is>
          <t>KO</t>
        </is>
      </c>
      <c r="B49" s="14" t="inlineStr">
        <is>
          <t>The Coca-Cola Company</t>
        </is>
      </c>
      <c r="C49" s="14" t="inlineStr">
        <is>
          <t>P/B 10.51 · 20.6× EBITDA · debt 7% · 52w 85%</t>
        </is>
      </c>
      <c r="D49" s="27" t="n">
        <v>-2.56</v>
      </c>
      <c r="E49" s="27" t="n">
        <v>4</v>
      </c>
      <c r="F49" s="27" t="n">
        <v>2</v>
      </c>
      <c r="G49" s="27" t="n">
        <v>3</v>
      </c>
      <c r="H49" s="14" t="inlineStr">
        <is>
          <t>2026-08-10</t>
        </is>
      </c>
      <c r="I49" s="14" t="inlineStr">
        <is>
          <t>Khanna (H, Self) sell &lt;15k; 2026-08-04 Shelley Moore Capito (S, Spouse) sell &lt;15k; 2026-08-06 Lloyd Alton Doggett (H, Self) buy &lt;15k; 2026-08-10 Michael A. Rulli (H, Self) buy &lt;15k</t>
        </is>
      </c>
      <c r="J49" s="14" t="inlineStr">
        <is>
          <t>P/B 10.51 · EV/EBITDA 20.6× · FCF yld 4% · net debt 7% of mcap · rev +7% · op margin 30%</t>
        </is>
      </c>
    </row>
    <row r="50" ht="30" customHeight="1">
      <c r="A50" s="8" t="inlineStr">
        <is>
          <t>AXP</t>
        </is>
      </c>
      <c r="B50" s="16" t="inlineStr">
        <is>
          <t>American Express Compa</t>
        </is>
      </c>
      <c r="C50" s="16" t="inlineStr">
        <is>
          <t>P/B 5.97 · P/E 18.3 · 52w 13%</t>
        </is>
      </c>
      <c r="D50" s="28" t="n">
        <v>-0.83</v>
      </c>
      <c r="E50" s="28" t="n">
        <v>3</v>
      </c>
      <c r="F50" s="28" t="n">
        <v>1</v>
      </c>
      <c r="G50" s="28" t="n">
        <v>3</v>
      </c>
      <c r="H50" s="16" t="inlineStr">
        <is>
          <t>2026-06-17</t>
        </is>
      </c>
      <c r="I50" s="16" t="inlineStr">
        <is>
          <t>elley Moore Capito (S, Spouse) buy &lt;15k; 2026-04-09 Ro Khanna (H, Self) buy 15-50k; 2026-04-16 Richard Ray Larsen (H, Self) sell &lt;15k; 2026-06-17 Rick W. Allen (H, Spouse) buy &lt;15k</t>
        </is>
      </c>
      <c r="J50" s="16" t="inlineStr">
        <is>
          <t>P/B 5.97 · P/E 18.3 · ROE 34% · div yld 1.2% · buying back 3%/yr (financial: book/earnings basis)</t>
        </is>
      </c>
    </row>
    <row r="51" ht="30" customHeight="1">
      <c r="A51" s="6" t="inlineStr">
        <is>
          <t>TXN</t>
        </is>
      </c>
      <c r="B51" s="14" t="inlineStr">
        <is>
          <t>Texas Instruments Inco</t>
        </is>
      </c>
      <c r="C51" s="14" t="inlineStr">
        <is>
          <t>P/B 13.75 · 28.5× EBITDA · debt 3% · 52w 65%</t>
        </is>
      </c>
      <c r="D51" s="27" t="n">
        <v>-1.87</v>
      </c>
      <c r="E51" s="27" t="n">
        <v>3</v>
      </c>
      <c r="F51" s="27" t="n">
        <v>3</v>
      </c>
      <c r="G51" s="27" t="n">
        <v>3</v>
      </c>
      <c r="H51" s="14" t="inlineStr">
        <is>
          <t>2026-08-12</t>
        </is>
      </c>
      <c r="I51" s="14" t="inlineStr">
        <is>
          <t>(S, Joint) buy &lt;15k; 2026-08-05 Thomas Hawley Tuberville (S, Joint) sell 15-50k; 2026-08-05 Thomas Hawley Tuberville (S, Joint) sell &lt;15k; 2026-08-12 Ro Khanna (H, Self) buy 15-50k</t>
        </is>
      </c>
      <c r="J51" s="14" t="inlineStr">
        <is>
          <t>P/B 13.75 · EV/EBITDA 28.5× · FCF yld 2% · net debt 3% of mcap · rev +17% · op margin 37%</t>
        </is>
      </c>
    </row>
    <row r="52" ht="30" customHeight="1">
      <c r="A52" s="8" t="inlineStr">
        <is>
          <t>ADP</t>
        </is>
      </c>
      <c r="B52" s="16" t="inlineStr">
        <is>
          <t>Automatic Data Process</t>
        </is>
      </c>
      <c r="C52" s="16" t="inlineStr">
        <is>
          <t>P/B 16.79 · 16.8× EBITDA · debt 1% · 52w 74%</t>
        </is>
      </c>
      <c r="D52" s="28" t="n">
        <v>-1.2</v>
      </c>
      <c r="E52" s="28" t="n">
        <v>3</v>
      </c>
      <c r="F52" s="28" t="n">
        <v>5</v>
      </c>
      <c r="G52" s="28" t="n">
        <v>3</v>
      </c>
      <c r="H52" s="16" t="inlineStr">
        <is>
          <t>2026-08-17</t>
        </is>
      </c>
      <c r="I52" s="16" t="inlineStr">
        <is>
          <t>ert Ray Cisneros (H, Self) sell &lt;15k; 2026-05-13 Ro Khanna (H, Spouse) buy 15-50k; 2026-07-03 Gilbert Ray Cisneros (H, Self) buy &lt;15k; 2026-08-17 Rich McCormick (H, Self) sell &lt;15k</t>
        </is>
      </c>
      <c r="J52" s="16" t="inlineStr">
        <is>
          <t>P/B 16.79 · EV/EBITDA 16.8× · FCF yld 5% · net debt 1% of mcap · rev +7% · op margin 19%</t>
        </is>
      </c>
    </row>
    <row r="53" ht="30" customHeight="1">
      <c r="A53" s="6" t="inlineStr">
        <is>
          <t>COHR</t>
        </is>
      </c>
      <c r="B53" s="14" t="inlineStr">
        <is>
          <t>Coherent, Inc.</t>
        </is>
      </c>
      <c r="C53" s="14" t="inlineStr">
        <is>
          <t>P/B 5.56 · 39.2× EBITDA · debt 2% · 52w 60%</t>
        </is>
      </c>
      <c r="D53" s="27" t="n">
        <v>-1.44</v>
      </c>
      <c r="E53" s="27" t="n">
        <v>3</v>
      </c>
      <c r="F53" s="27" t="n">
        <v>1</v>
      </c>
      <c r="G53" s="27" t="n">
        <v>3</v>
      </c>
      <c r="H53" s="14" t="inlineStr">
        <is>
          <t>2026-09-11</t>
        </is>
      </c>
      <c r="I53" s="14" t="inlineStr">
        <is>
          <t>ilbert Ray Cisneros (H, Self) buy &lt;15k; 2026-06-11 Ro Khanna (H, Self) buy &lt;15k; 2026-07-08 Sheldon Whitehouse (S, Self) buy 15-50k; 2026-09-11 Gilbert Cisneros (H, Self) sell &lt;15k</t>
        </is>
      </c>
      <c r="J53" s="14" t="inlineStr">
        <is>
          <t>P/B 5.56 · EV/EBITDA 39.2× · FCF yld -2% · net debt 2% of mcap · rev +19% · op margin 12% · diluting 20%/yr</t>
        </is>
      </c>
    </row>
    <row r="54" ht="30" customHeight="1">
      <c r="A54" s="8" t="inlineStr">
        <is>
          <t>ORCL</t>
        </is>
      </c>
      <c r="B54" s="16" t="inlineStr">
        <is>
          <t>Oracle Corporation</t>
        </is>
      </c>
      <c r="C54" s="16" t="inlineStr">
        <is>
          <t>P/B 11.04 · 14.2× EBITDA · debt 29% · 52w 16%</t>
        </is>
      </c>
      <c r="D54" s="28" t="n">
        <v>-2.91</v>
      </c>
      <c r="E54" s="28" t="n">
        <v>3</v>
      </c>
      <c r="F54" s="28" t="n">
        <v>3</v>
      </c>
      <c r="G54" s="28" t="n">
        <v>3</v>
      </c>
      <c r="H54" s="16" t="inlineStr">
        <is>
          <t>2026-08-20</t>
        </is>
      </c>
      <c r="I54" s="16" t="inlineStr">
        <is>
          <t>house (S, Self) sell 15-50k; 2026-08-05 Thomas Hawley Tuberville (S, Joint) sell 15-50k; 2026-08-10 Michael A. Rulli (H, Self) buy &lt;15k; 2026-08-20 John Boozman (S, Joint) buy &lt;15k</t>
        </is>
      </c>
      <c r="J54" s="16" t="inlineStr">
        <is>
          <t>P/B 11.04 · EV/EBITDA 14.2× · FCF yld -7% · net debt 29% of mcap · rev +11% · op margin 32%</t>
        </is>
      </c>
    </row>
    <row r="55" ht="30" customHeight="1">
      <c r="A55" s="6" t="inlineStr">
        <is>
          <t>PGR</t>
        </is>
      </c>
      <c r="B55" s="14" t="inlineStr">
        <is>
          <t>The Progressive Corpor</t>
        </is>
      </c>
      <c r="C55" s="14" t="inlineStr">
        <is>
          <t>P/B 3.39 · P/E 10.2 · 52w 29%</t>
        </is>
      </c>
      <c r="D55" s="27" t="n">
        <v>-0.93</v>
      </c>
      <c r="E55" s="27" t="n">
        <v>3</v>
      </c>
      <c r="F55" s="27" t="n">
        <v>2</v>
      </c>
      <c r="G55" s="27" t="n">
        <v>3</v>
      </c>
      <c r="H55" s="14" t="inlineStr">
        <is>
          <t>2026-09-07</t>
        </is>
      </c>
      <c r="I55" s="14" t="inlineStr">
        <is>
          <t>Taylor (H, Self) buy &lt;15k; 2026-07-03 Gilbert Ray Cisneros (H, Self) buy &lt;15k; 2026-07-21 Alan Armstrong (S, Joint) sell 15-50k; 2026-09-07 Gilbert Ray Cisneros (H, Self) sell &lt;15k</t>
        </is>
      </c>
      <c r="J55" s="14" t="inlineStr">
        <is>
          <t>P/B 3.39 · P/E 10.2 · ROE 35% · div yld 6.8% (financial: book/earnings basis)</t>
        </is>
      </c>
    </row>
    <row r="56" ht="30" customHeight="1">
      <c r="A56" s="8" t="inlineStr">
        <is>
          <t>CVX</t>
        </is>
      </c>
      <c r="B56" s="16" t="inlineStr">
        <is>
          <t>Chevron Corporation</t>
        </is>
      </c>
      <c r="C56" s="16" t="inlineStr">
        <is>
          <t>P/B 2.16 · 7.8× EBITDA · debt 7% · 52w 84%</t>
        </is>
      </c>
      <c r="D56" s="28" t="n">
        <v>-1.48</v>
      </c>
      <c r="E56" s="28" t="n">
        <v>3</v>
      </c>
      <c r="F56" s="28" t="n">
        <v>4</v>
      </c>
      <c r="G56" s="28" t="n">
        <v>3</v>
      </c>
      <c r="H56" s="16" t="inlineStr">
        <is>
          <t>2026-08-17</t>
        </is>
      </c>
      <c r="I56" s="16" t="inlineStr">
        <is>
          <t>-06-04 Tim Walberg (H, Joint) buy 15-50k; 2026-07-02 David J. Taylor (H, Self) buy &lt;15k; 2026-08-17 John Boozman (S, Joint) buy &lt;15k; 2026-08-17 Michael Guest (H, Spouse) sell &lt;15k</t>
        </is>
      </c>
      <c r="J56" s="16" t="inlineStr">
        <is>
          <t>P/B 2.16 · EV/EBITDA 7.8× · FCF yld 7% · net debt 7% of mcap · rev +11% · op margin 16% · diluting 15%/yr</t>
        </is>
      </c>
    </row>
    <row r="57" ht="30" customHeight="1">
      <c r="A57" s="6" t="inlineStr">
        <is>
          <t>CB</t>
        </is>
      </c>
      <c r="B57" s="14" t="inlineStr">
        <is>
          <t>Chubb Limited</t>
        </is>
      </c>
      <c r="C57" s="14" t="inlineStr">
        <is>
          <t>P/B 1.73 · P/E 11.8 · 52w 72%</t>
        </is>
      </c>
      <c r="D57" s="27" t="n">
        <v>-1.6</v>
      </c>
      <c r="E57" s="27" t="n">
        <v>3</v>
      </c>
      <c r="F57" s="27" t="n">
        <v>3</v>
      </c>
      <c r="G57" s="27" t="n">
        <v>3</v>
      </c>
      <c r="H57" s="14" t="inlineStr">
        <is>
          <t>2026-09-10</t>
        </is>
      </c>
      <c r="I57" s="14" t="inlineStr">
        <is>
          <t>y Cisneros (H, Self) sell &lt;15k; 2026-07-08 Ro Khanna (H, Self) buy &lt;15k; 2026-08-10 Maria Elvira Salazar (H, Self) buy 15-50k; 2026-09-10 Maria Elvira Salazar (H, Self) sell 15-50k</t>
        </is>
      </c>
      <c r="J57" s="14" t="inlineStr">
        <is>
          <t>P/B 1.73 · P/E 11.8 · ROE 15% · div yld 1.2% · buying back 3%/yr (financial: book/earnings basis)</t>
        </is>
      </c>
    </row>
    <row r="58" ht="30" customHeight="1">
      <c r="A58" s="8" t="inlineStr">
        <is>
          <t>GS</t>
        </is>
      </c>
      <c r="B58" s="16" t="inlineStr">
        <is>
          <t>The Goldman Sachs Grou</t>
        </is>
      </c>
      <c r="C58" s="16" t="inlineStr">
        <is>
          <t>P/B 2.26 · P/E 14.3 · 52w 48%</t>
        </is>
      </c>
      <c r="D58" s="28" t="n">
        <v>-4.79</v>
      </c>
      <c r="E58" s="28" t="n">
        <v>3</v>
      </c>
      <c r="F58" s="28" t="n">
        <v>2</v>
      </c>
      <c r="G58" s="28" t="n">
        <v>3</v>
      </c>
      <c r="H58" s="16" t="inlineStr">
        <is>
          <t>2026-09-11</t>
        </is>
      </c>
      <c r="I58" s="16" t="inlineStr">
        <is>
          <t>H, Joint) sell 15-50k; 2026-05-20 Josh S. Gottheimer (H, Joint) buy &lt;15k; 2026-08-05 Thomas Hawley Tuberville (S, Joint) sell 15-50k; 2026-09-11 Gilbert Cisneros (H, Self) buy &lt;15k</t>
        </is>
      </c>
      <c r="J58" s="16" t="inlineStr">
        <is>
          <t>P/B 2.26 · P/E 14.3 · ROE 17% · div yld 1.9% · buying back 4%/yr (financial: book/earnings basis)</t>
        </is>
      </c>
    </row>
    <row r="59" ht="30" customHeight="1">
      <c r="A59" s="6" t="inlineStr">
        <is>
          <t>AMGN</t>
        </is>
      </c>
      <c r="B59" s="14" t="inlineStr">
        <is>
          <t>Amgen Inc.</t>
        </is>
      </c>
      <c r="C59" s="14" t="inlineStr">
        <is>
          <t>P/B 18.73 · 16.0× EBITDA · debt 20% · 52w 77%</t>
        </is>
      </c>
      <c r="D59" s="27" t="n">
        <v>-1.22</v>
      </c>
      <c r="E59" s="27" t="n">
        <v>3</v>
      </c>
      <c r="F59" s="27" t="n">
        <v>5</v>
      </c>
      <c r="G59" s="27" t="n">
        <v>3</v>
      </c>
      <c r="H59" s="14" t="inlineStr">
        <is>
          <t>2026-09-02</t>
        </is>
      </c>
      <c r="I59" s="14" t="inlineStr">
        <is>
          <t>Taylor (H, Self) buy &lt;15k; 2026-07-08 Ro Khanna (H, Self) buy &lt;15k; 2026-08-05 Thomas Hawley Tuberville (S, Joint) sell 15-50k; 2026-09-02 Sheldon Whitehouse (S, Spouse) sell &lt;15k</t>
        </is>
      </c>
      <c r="J59" s="14" t="inlineStr">
        <is>
          <t>P/B 18.73 · EV/EBITDA 16.0× · FCF yld 5% · net debt 20% of mcap · rev +9% · op margin 33%</t>
        </is>
      </c>
    </row>
    <row r="60" ht="30" customHeight="1">
      <c r="A60" s="8" t="inlineStr">
        <is>
          <t>PWR</t>
        </is>
      </c>
      <c r="B60" s="16" t="inlineStr">
        <is>
          <t>Quanta Services, Inc.</t>
        </is>
      </c>
      <c r="C60" s="16" t="inlineStr">
        <is>
          <t>P/B 9.94 · 33.5× EBITDA · debt 6% · 52w 62%</t>
        </is>
      </c>
      <c r="D60" s="28" t="n">
        <v>-3.05</v>
      </c>
      <c r="E60" s="28" t="n">
        <v>3</v>
      </c>
      <c r="F60" s="28" t="n">
        <v>3</v>
      </c>
      <c r="G60" s="28" t="n">
        <v>3</v>
      </c>
      <c r="H60" s="16" t="inlineStr">
        <is>
          <t>2026-09-11</t>
        </is>
      </c>
      <c r="I60" s="16" t="inlineStr">
        <is>
          <t>McClain Delaney (H, Dependent) sell 15-50k; 2026-07-21 Alan Armstrong (S, Joint) buy &lt;15k; 2026-09-07 Ro Khanna (H, Self) buy &lt;15k; 2026-09-11 Gilbert Cisneros (H, Self) buy 15-50k</t>
        </is>
      </c>
      <c r="J60" s="16" t="inlineStr">
        <is>
          <t>P/B 9.94 · EV/EBITDA 33.5× · FCF yld 3% · net debt 6% of mcap · rev +26% · op margin 6%</t>
        </is>
      </c>
    </row>
    <row r="61" ht="30" customHeight="1">
      <c r="A61" s="6" t="inlineStr">
        <is>
          <t>TER</t>
        </is>
      </c>
      <c r="B61" s="14" t="inlineStr">
        <is>
          <t>Teradyne, Inc.</t>
        </is>
      </c>
      <c r="C61" s="14" t="inlineStr">
        <is>
          <t>P/B 17.51 · 41.7× EBITDA · cash 0% · 52w 71%</t>
        </is>
      </c>
      <c r="D61" s="27" t="n">
        <v>-0.99</v>
      </c>
      <c r="E61" s="27" t="n">
        <v>3</v>
      </c>
      <c r="F61" s="27" t="n">
        <v>0</v>
      </c>
      <c r="G61" s="27" t="n">
        <v>3</v>
      </c>
      <c r="H61" s="14" t="inlineStr">
        <is>
          <t>2026-07-21</t>
        </is>
      </c>
      <c r="I61" s="14" t="inlineStr">
        <is>
          <t>2026-05-11 Michael T. McCaul (H, Spouse) buy 15-50k; 2026-06-11 Ro Khanna (H, Self) buy &lt;15k; 2026-07-21 Alan Armstrong (S, Joint) buy &lt;15k</t>
        </is>
      </c>
      <c r="J61" s="14" t="inlineStr">
        <is>
          <t>P/B 17.51 · EV/EBITDA 41.7× · FCF yld 1% · net cash 0% of mcap · rev +58% · op margin 31% · buying back 2%/yr</t>
        </is>
      </c>
    </row>
    <row r="62" ht="30" customHeight="1">
      <c r="A62" s="8" t="inlineStr">
        <is>
          <t>URI</t>
        </is>
      </c>
      <c r="B62" s="16" t="inlineStr">
        <is>
          <t>United Rentals, Inc.</t>
        </is>
      </c>
      <c r="C62" s="16" t="inlineStr">
        <is>
          <t>P/B 7.11 · 11.8× EBITDA · debt 23% · 52w 74%</t>
        </is>
      </c>
      <c r="D62" s="28" t="n">
        <v>-2.89</v>
      </c>
      <c r="E62" s="28" t="n">
        <v>6</v>
      </c>
      <c r="F62" s="28" t="n">
        <v>1</v>
      </c>
      <c r="G62" s="28" t="n">
        <v>3</v>
      </c>
      <c r="H62" s="16" t="inlineStr">
        <is>
          <t>2026-07-21</t>
        </is>
      </c>
      <c r="I62" s="16" t="inlineStr">
        <is>
          <t>buy &lt;15k; 2026-06-11 Ro Khanna (H, Self) sell &lt;15k; 2026-07-08 Ro Khanna (H, Self) buy &lt;15k; 2026-07-08 Ro Khanna (H, Self) buy &lt;15k; 2026-07-21 Alan Armstrong (S, Joint) buy &lt;15k</t>
        </is>
      </c>
      <c r="J62" s="16" t="inlineStr">
        <is>
          <t>P/B 7.11 · EV/EBITDA 11.8× · FCF yld 1% · net debt 23% of mcap · rev +7% · op margin 25% · buying back 2%/yr</t>
        </is>
      </c>
    </row>
    <row r="63" ht="30" customHeight="1">
      <c r="A63" s="6" t="inlineStr">
        <is>
          <t>PANW</t>
        </is>
      </c>
      <c r="B63" s="14" t="inlineStr">
        <is>
          <t>Palo Alto Networks, In</t>
        </is>
      </c>
      <c r="C63" s="14" t="inlineStr">
        <is>
          <t>P/B 11.41 · cash 0% · 52w 96%</t>
        </is>
      </c>
      <c r="D63" s="27" t="n">
        <v>-1.78</v>
      </c>
      <c r="E63" s="27" t="n">
        <v>5</v>
      </c>
      <c r="F63" s="27" t="n">
        <v>2</v>
      </c>
      <c r="G63" s="27" t="n">
        <v>3</v>
      </c>
      <c r="H63" s="14" t="inlineStr">
        <is>
          <t>2026-08-11</t>
        </is>
      </c>
      <c r="I63" s="14" t="inlineStr">
        <is>
          <t>er (H, Joint) buy &lt;15k; 2026-07-20 Daniel Milton Newhouse (H, Spouse) sell &lt;15k; 2026-08-11 John J. McGuire (H, Spouse) sell &lt;15k; 2026-08-11 Josh S. Gottheimer (H, Joint) buy &lt;15k</t>
        </is>
      </c>
      <c r="J63" s="14" t="inlineStr">
        <is>
          <t>P/B 11.41 · P/S 27.7 · FCF yld 1% · net cash 0% of mcap · rev +15% · op margin 6%</t>
        </is>
      </c>
    </row>
    <row r="64" ht="30" customHeight="1">
      <c r="A64" s="8" t="inlineStr">
        <is>
          <t>PG</t>
        </is>
      </c>
      <c r="B64" s="16" t="inlineStr">
        <is>
          <t>The Procter &amp; Gamble C</t>
        </is>
      </c>
      <c r="C64" s="16" t="inlineStr">
        <is>
          <t>P/B 6.43 · 17.7× EBITDA · debt 7% · 52w 33%</t>
        </is>
      </c>
      <c r="D64" s="28" t="n">
        <v>-4.06</v>
      </c>
      <c r="E64" s="28" t="n">
        <v>5</v>
      </c>
      <c r="F64" s="28" t="n">
        <v>5</v>
      </c>
      <c r="G64" s="28" t="n">
        <v>3</v>
      </c>
      <c r="H64" s="16" t="inlineStr">
        <is>
          <t>2026-09-18</t>
        </is>
      </c>
      <c r="I64" s="16" t="inlineStr">
        <is>
          <t>-09-02 Kevin Hern (H, Joint) sell 50-250k; 2026-09-02 Kevin Hern (H, Joint) sell &lt;15k; 2026-09-09 Lloyd Alton Doggett (H, Self) buy &lt;15k; 2026-09-18 David Taylor (H, Self) buy &lt;15k</t>
        </is>
      </c>
      <c r="J64" s="16" t="inlineStr">
        <is>
          <t>P/B 6.43 · EV/EBITDA 17.7× · FCF yld 5% · net debt 7% of mcap · rev +1% · op margin 23%</t>
        </is>
      </c>
    </row>
    <row r="65"/>
    <row r="66" ht="28" customHeight="1">
      <c r="A66" s="17" t="inlineStr">
        <is>
          <t>21496 equity trades since 2022-01-01; 18757 with a full 6-month window. Sorted by distinct buying members, then size. Measured edge after disclosure: buys -1.88%, sells -1.34% (shrunk means, excess vs SPY). Score = sum over the last 180 days of each trade's slice-implied excess return (pp), recency-weighted; negative = the slices these trades fall in have lagged the market. See POLITICAL_TRADES_VALIDATION.md. Source: political_trades.py (FMP).</t>
        </is>
      </c>
    </row>
  </sheetData>
  <mergeCells count="3">
    <mergeCell ref="A1:I1"/>
    <mergeCell ref="A2:I2"/>
    <mergeCell ref="A66:I66"/>
  </mergeCells>
  <hyperlinks>
    <hyperlink xmlns:r="http://schemas.openxmlformats.org/officeDocument/2006/relationships" ref="A25" r:id="rId1"/>
    <hyperlink xmlns:r="http://schemas.openxmlformats.org/officeDocument/2006/relationships" ref="A28" r:id="rId2"/>
    <hyperlink xmlns:r="http://schemas.openxmlformats.org/officeDocument/2006/relationships" ref="A34" r:id="rId3"/>
    <hyperlink xmlns:r="http://schemas.openxmlformats.org/officeDocument/2006/relationships" ref="A37" r:id="rId4"/>
    <hyperlink xmlns:r="http://schemas.openxmlformats.org/officeDocument/2006/relationships" ref="A39" r:id="rId5"/>
    <hyperlink xmlns:r="http://schemas.openxmlformats.org/officeDocument/2006/relationships" ref="A46" r:id="rId6"/>
  </hyperlinks>
  <printOptions horizontalCentered="0"/>
  <pageMargins left="0.5" right="0.5" top="0.6" bottom="0.6" header="0.5" footer="0.5"/>
  <pageSetup orientation="landscape" fitToHeight="0" fitToWidth="1"/>
</worksheet>
</file>

<file path=xl/worksheets/sheet30.xml><?xml version="1.0" encoding="utf-8"?>
<worksheet xmlns="http://schemas.openxmlformats.org/spreadsheetml/2006/main">
  <sheetPr>
    <tabColor rgb="0070AD47"/>
    <outlinePr summaryBelow="1" summaryRight="1"/>
    <pageSetUpPr fitToPage="1"/>
  </sheetPr>
  <dimension ref="A1:J115"/>
  <sheetViews>
    <sheetView showGridLines="0" workbookViewId="0">
      <pane ySplit="3" topLeftCell="A4" activePane="bottomLeft" state="frozen"/>
      <selection pane="bottomLeft" activeCell="A1" sqref="A1"/>
    </sheetView>
  </sheetViews>
  <sheetFormatPr baseColWidth="8" defaultRowHeight="15"/>
  <cols>
    <col width="9" customWidth="1" min="1" max="1"/>
    <col width="32" customWidth="1" min="2" max="2"/>
    <col width="13" customWidth="1" min="3" max="3"/>
    <col width="30" customWidth="1" min="4" max="4"/>
    <col width="30" customWidth="1" min="5" max="5"/>
    <col width="9" customWidth="1" min="6" max="6"/>
    <col width="48" customWidth="1" min="7" max="7"/>
    <col width="16" customWidth="1" min="8" max="8"/>
    <col width="50" customWidth="1" min="9" max="9"/>
    <col width="62" customWidth="1" min="10" max="10"/>
  </cols>
  <sheetData>
    <row r="1" ht="26" customHeight="1">
      <c r="A1" s="1" t="inlineStr">
        <is>
          <t>Best in Class -- Single-Measure Exceptional</t>
        </is>
      </c>
    </row>
    <row r="2" ht="18" customHeight="1">
      <c r="A2" s="20" t="inlineStr">
        <is>
          <t>Names ranking top in ONE individual signal even if the consensus misses them. The 'single-leg high-intensity' tail.</t>
        </is>
      </c>
      <c r="B2" s="19" t="n"/>
      <c r="C2" s="19" t="n"/>
      <c r="D2" s="19" t="n"/>
      <c r="E2" s="19" t="n"/>
      <c r="F2" s="19" t="n"/>
      <c r="G2" s="19" t="n"/>
      <c r="H2" s="19" t="n"/>
      <c r="I2" s="19" t="n"/>
    </row>
    <row r="3" ht="8" customHeight="1"/>
    <row r="4" ht="22" customHeight="1">
      <c r="A4" s="42" t="inlineStr">
        <is>
          <t>Highest PSU forensic core</t>
        </is>
      </c>
    </row>
    <row r="5">
      <c r="A5" s="43" t="inlineStr">
        <is>
          <t>What it measures: depth + rigor of the PSU plan</t>
        </is>
      </c>
    </row>
    <row r="6" ht="18" customHeight="1">
      <c r="A6" s="4" t="inlineStr">
        <is>
          <t>#</t>
        </is>
      </c>
      <c r="B6" s="12" t="inlineStr">
        <is>
          <t>Detail</t>
        </is>
      </c>
      <c r="C6" s="12" t="inlineStr">
        <is>
          <t>Ticker</t>
        </is>
      </c>
      <c r="D6" s="12" t="inlineStr">
        <is>
          <t>Name</t>
        </is>
      </c>
      <c r="E6" s="12" t="inlineStr">
        <is>
          <t>Key numbers (FMP)</t>
        </is>
      </c>
      <c r="F6" s="12" t="inlineStr">
        <is>
          <t>Strength %ile</t>
        </is>
      </c>
      <c r="G6" s="12" t="inlineStr">
        <is>
          <t>PSU plan (grade)</t>
        </is>
      </c>
      <c r="H6" s="4" t="inlineStr">
        <is>
          <t>Score</t>
        </is>
      </c>
      <c r="I6" s="12" t="inlineStr">
        <is>
          <t>Sector</t>
        </is>
      </c>
      <c r="J6" s="12" t="inlineStr">
        <is>
          <t>FMP financial read</t>
        </is>
      </c>
    </row>
    <row r="7" ht="16" customHeight="1">
      <c r="A7" s="13" t="n">
        <v>1</v>
      </c>
      <c r="B7" s="14" t="inlineStr">
        <is>
          <t>core 72 | cond_cats:</t>
        </is>
      </c>
      <c r="C7" s="6" t="inlineStr">
        <is>
          <t>TGT</t>
        </is>
      </c>
      <c r="D7" s="14" t="inlineStr">
        <is>
          <t>Target Corporation</t>
        </is>
      </c>
      <c r="E7" s="14" t="inlineStr">
        <is>
          <t>P/B 4.02 · 9.9× EBITDA · debt 19% · 52w 86%</t>
        </is>
      </c>
      <c r="F7" s="14" t="n">
        <v>78</v>
      </c>
      <c r="G7" s="14" t="n"/>
      <c r="H7" s="27" t="n">
        <v>72</v>
      </c>
      <c r="I7" s="14" t="inlineStr">
        <is>
          <t>Consumer Defensive</t>
        </is>
      </c>
      <c r="J7" s="14" t="inlineStr">
        <is>
          <t>P/B 4.02 · EV/EBITDA 9.9× · FCF yld 6% · net debt 19% of mcap · rev +2% · op margin 6%</t>
        </is>
      </c>
    </row>
    <row r="8" ht="16" customHeight="1">
      <c r="A8" s="15" t="n">
        <v>2</v>
      </c>
      <c r="B8" s="16" t="inlineStr">
        <is>
          <t>core 69 | cond_cats:</t>
        </is>
      </c>
      <c r="C8" s="8" t="inlineStr">
        <is>
          <t>GO</t>
        </is>
      </c>
      <c r="D8" s="16" t="inlineStr">
        <is>
          <t>Grocery Outlet Holding Corp.</t>
        </is>
      </c>
      <c r="E8" s="16" t="inlineStr">
        <is>
          <t>P/B 1.37 · debt 159% · 52w 50%</t>
        </is>
      </c>
      <c r="F8" s="16" t="n">
        <v>76</v>
      </c>
      <c r="G8" s="16" t="inlineStr">
        <is>
          <t>A · 3-yr · revenue, EPS, EBITDA, stock-price hurdle · paid 55%</t>
        </is>
      </c>
      <c r="H8" s="28" t="n">
        <v>69.3</v>
      </c>
      <c r="I8" s="16" t="inlineStr">
        <is>
          <t>Consumer Defensive</t>
        </is>
      </c>
      <c r="J8" s="16" t="inlineStr">
        <is>
          <t>P/B 1.37 · P/S 0.2 · FCF yld -1% · net debt 159% of mcap · rev +5% · op margin 4%</t>
        </is>
      </c>
    </row>
    <row r="9" ht="16" customHeight="1">
      <c r="A9" s="13" t="n">
        <v>3</v>
      </c>
      <c r="B9" s="14" t="inlineStr">
        <is>
          <t>core 64 | cond_cats:</t>
        </is>
      </c>
      <c r="C9" s="6" t="inlineStr">
        <is>
          <t>TROX</t>
        </is>
      </c>
      <c r="D9" s="14" t="inlineStr">
        <is>
          <t>Tronox Holdings plc</t>
        </is>
      </c>
      <c r="E9" s="14" t="inlineStr">
        <is>
          <t>P/B 0.60 · 43.9× EBITDA · debt 457% · 52w 19%</t>
        </is>
      </c>
      <c r="F9" s="14" t="n">
        <v>75</v>
      </c>
      <c r="G9" s="14" t="inlineStr">
        <is>
          <t>A · 3-yr · relative TSR 50%, ROIC 50%</t>
        </is>
      </c>
      <c r="H9" s="27" t="n">
        <v>63.9</v>
      </c>
      <c r="I9" s="14" t="inlineStr">
        <is>
          <t>Basic Materials</t>
        </is>
      </c>
      <c r="J9" s="14" t="inlineStr">
        <is>
          <t>P/B 0.60 · EV/EBITDA 43.9× · FCF yld -23% · net debt 457% of mcap · rev +3% · op margin -4% · interest cover -0.5× ⚠</t>
        </is>
      </c>
    </row>
    <row r="10" ht="16" customHeight="1">
      <c r="A10" s="15" t="n">
        <v>4</v>
      </c>
      <c r="B10" s="16" t="inlineStr">
        <is>
          <t>core 61 | cond_cats: revenue_dollar_target</t>
        </is>
      </c>
      <c r="C10" s="8" t="inlineStr">
        <is>
          <t>DCO</t>
        </is>
      </c>
      <c r="D10" s="16" t="inlineStr">
        <is>
          <t>Ducommun Incorporated</t>
        </is>
      </c>
      <c r="E10" s="16" t="inlineStr">
        <is>
          <t>P/B 3.66 · debt 12% · 52w 66%</t>
        </is>
      </c>
      <c r="F10" s="16" t="n">
        <v>74</v>
      </c>
      <c r="G10" s="16" t="n"/>
      <c r="H10" s="28" t="n">
        <v>60.8</v>
      </c>
      <c r="I10" s="16" t="inlineStr">
        <is>
          <t>Industrials</t>
        </is>
      </c>
      <c r="J10" s="16" t="inlineStr">
        <is>
          <t>P/B 3.66 · P/S 3.0 · FCF yld -1% · net debt 12% of mcap · rev +9% · op margin 10% · diluting 2%/yr</t>
        </is>
      </c>
    </row>
    <row r="11" ht="16" customHeight="1">
      <c r="A11" s="13" t="n">
        <v>5</v>
      </c>
      <c r="B11" s="14" t="inlineStr">
        <is>
          <t>core 60 | cond_cats:</t>
        </is>
      </c>
      <c r="C11" s="6" t="inlineStr">
        <is>
          <t>UNP</t>
        </is>
      </c>
      <c r="D11" s="14" t="inlineStr">
        <is>
          <t>Union Pacific Corporation</t>
        </is>
      </c>
      <c r="E11" s="14" t="inlineStr">
        <is>
          <t>P/B 7.93 · 14.5× EBITDA · debt 18% · 52w 60%</t>
        </is>
      </c>
      <c r="F11" s="14" t="n">
        <v>72</v>
      </c>
      <c r="G11" s="14" t="n"/>
      <c r="H11" s="27" t="n">
        <v>60.3</v>
      </c>
      <c r="I11" s="14" t="inlineStr">
        <is>
          <t>Industrials</t>
        </is>
      </c>
      <c r="J11" s="14" t="inlineStr">
        <is>
          <t>P/B 7.93 · EV/EBITDA 14.5× · FCF yld 4% · net debt 18% of mcap · rev +4% · op margin 40%</t>
        </is>
      </c>
    </row>
    <row r="12" ht="16" customHeight="1">
      <c r="A12" s="15" t="n">
        <v>6</v>
      </c>
      <c r="B12" s="16" t="inlineStr">
        <is>
          <t>core 59 | cond_cats:</t>
        </is>
      </c>
      <c r="C12" s="8" t="inlineStr">
        <is>
          <t>PLAY</t>
        </is>
      </c>
      <c r="D12" s="16" t="inlineStr">
        <is>
          <t>Dave &amp; Buster's Entertainment,</t>
        </is>
      </c>
      <c r="E12" s="16" t="inlineStr">
        <is>
          <t>P/B 2.72 · 11.1× EBITDA · debt 1490% · 52w 3%</t>
        </is>
      </c>
      <c r="F12" s="16" t="n">
        <v>71</v>
      </c>
      <c r="G12" s="16" t="n"/>
      <c r="H12" s="28" t="n">
        <v>59.4</v>
      </c>
      <c r="I12" s="16" t="inlineStr">
        <is>
          <t>Consumer Cyclical</t>
        </is>
      </c>
      <c r="J12" s="16" t="inlineStr">
        <is>
          <t>P/B 2.72 · EV/EBITDA 11.1× · FCF yld -7% · net debt 1490% of mcap · rev -1% · op margin 3% · interest cover 0.4× ⚠</t>
        </is>
      </c>
    </row>
    <row r="13" ht="16" customHeight="1">
      <c r="A13" s="13" t="n">
        <v>7</v>
      </c>
      <c r="B13" s="14" t="inlineStr">
        <is>
          <t>core 58 | cond_cats:</t>
        </is>
      </c>
      <c r="C13" s="6" t="inlineStr">
        <is>
          <t>STAA</t>
        </is>
      </c>
      <c r="D13" s="14" t="inlineStr">
        <is>
          <t>STAAR Surgical Company</t>
        </is>
      </c>
      <c r="E13" s="14" t="inlineStr">
        <is>
          <t>P/B 2.79 · 27.2× EBITDA · cash 14% · 52w 24%</t>
        </is>
      </c>
      <c r="F13" s="14" t="n">
        <v>70</v>
      </c>
      <c r="G13" s="14" t="n"/>
      <c r="H13" s="27" t="n">
        <v>58</v>
      </c>
      <c r="I13" s="14" t="inlineStr">
        <is>
          <t>Healthcare</t>
        </is>
      </c>
      <c r="J13" s="14" t="inlineStr">
        <is>
          <t>P/B 2.79 · EV/EBITDA 27.2× · FCF yld -1% · net cash 14% of mcap · rev +51% · op margin 10% · diluting 4%/yr</t>
        </is>
      </c>
    </row>
    <row r="14" ht="16" customHeight="1">
      <c r="A14" s="15" t="n">
        <v>8</v>
      </c>
      <c r="B14" s="16" t="inlineStr">
        <is>
          <t>core 58 | cond_cats:</t>
        </is>
      </c>
      <c r="C14" s="8" t="inlineStr">
        <is>
          <t>ISRG</t>
        </is>
      </c>
      <c r="D14" s="16" t="inlineStr">
        <is>
          <t>Intuitive Surgical, Inc.</t>
        </is>
      </c>
      <c r="E14" s="16" t="inlineStr">
        <is>
          <t>P/B 7.76 · 30.6× EBITDA · cash 4% · 52w 26%</t>
        </is>
      </c>
      <c r="F14" s="16" t="n">
        <v>68</v>
      </c>
      <c r="G14" s="16" t="n"/>
      <c r="H14" s="28" t="n">
        <v>57.8</v>
      </c>
      <c r="I14" s="16" t="inlineStr">
        <is>
          <t>Healthcare</t>
        </is>
      </c>
      <c r="J14" s="16" t="inlineStr">
        <is>
          <t>P/B 7.76 · EV/EBITDA 30.6× · FCF yld 2% · net cash 4% of mcap · rev +21% · op margin 31%</t>
        </is>
      </c>
    </row>
    <row r="15"/>
    <row r="16" ht="22" customHeight="1">
      <c r="A16" s="42" t="inlineStr">
        <is>
          <t>Highest governance score</t>
        </is>
      </c>
    </row>
    <row r="17">
      <c r="A17" s="43" t="inlineStr">
        <is>
          <t>What it measures: clawback + anti-hedge + vesting + ownership multiple</t>
        </is>
      </c>
    </row>
    <row r="18" ht="18" customHeight="1">
      <c r="A18" s="4" t="inlineStr">
        <is>
          <t>#</t>
        </is>
      </c>
      <c r="B18" s="12" t="inlineStr">
        <is>
          <t>Detail</t>
        </is>
      </c>
      <c r="C18" s="12" t="inlineStr">
        <is>
          <t>Ticker</t>
        </is>
      </c>
      <c r="D18" s="12" t="inlineStr">
        <is>
          <t>Name</t>
        </is>
      </c>
      <c r="E18" s="12" t="n"/>
      <c r="F18" s="12" t="n"/>
      <c r="G18" s="12" t="n"/>
      <c r="H18" s="4" t="inlineStr">
        <is>
          <t>Score</t>
        </is>
      </c>
      <c r="I18" s="12" t="inlineStr">
        <is>
          <t>Sector</t>
        </is>
      </c>
      <c r="J18" s="12" t="n"/>
    </row>
    <row r="19" ht="16" customHeight="1">
      <c r="A19" s="13" t="n">
        <v>1</v>
      </c>
      <c r="B19" s="14" t="inlineStr">
        <is>
          <t>gov 23 | reasons: double-trigger only; post-vest holding requirement; 5y vesting</t>
        </is>
      </c>
      <c r="C19" s="6" t="inlineStr">
        <is>
          <t>LW</t>
        </is>
      </c>
      <c r="D19" s="14" t="inlineStr">
        <is>
          <t>Lamb Weston Holdings, Inc.</t>
        </is>
      </c>
      <c r="E19" s="14" t="inlineStr">
        <is>
          <t>P/B 3.41 · 10.3× EBITDA · debt 64% · 52w 26%</t>
        </is>
      </c>
      <c r="F19" s="14" t="n">
        <v>59</v>
      </c>
      <c r="G19" s="14" t="inlineStr">
        <is>
          <t>A · 3-yr · ROIC, EBITDA, relative TSR, absolute TSR · paid 34%</t>
        </is>
      </c>
      <c r="H19" s="27" t="n">
        <v>23</v>
      </c>
      <c r="I19" s="14" t="inlineStr">
        <is>
          <t>Consumer Defensive</t>
        </is>
      </c>
      <c r="J19" s="14" t="inlineStr">
        <is>
          <t>P/B 3.41 · EV/EBITDA 10.3× · FCF yld 10% · net debt 64% of mcap · rev +2% · op margin 9% · buying back 3%/yr</t>
        </is>
      </c>
    </row>
    <row r="20" ht="16" customHeight="1">
      <c r="A20" s="15" t="n">
        <v>2</v>
      </c>
      <c r="B20" s="16" t="inlineStr">
        <is>
          <t>gov 23 | reasons: double-trigger only; post-vest holding requirement; 3y vesting</t>
        </is>
      </c>
      <c r="C20" s="8" t="inlineStr">
        <is>
          <t>NXT</t>
        </is>
      </c>
      <c r="D20" s="16" t="inlineStr">
        <is>
          <t>Nextpower Inc.</t>
        </is>
      </c>
      <c r="E20" s="16" t="inlineStr">
        <is>
          <t>P/B 5.91 · 15.0× EBITDA · cash 7% · 52w 16%</t>
        </is>
      </c>
      <c r="F20" s="16" t="n">
        <v>59</v>
      </c>
      <c r="G20" s="16" t="n"/>
      <c r="H20" s="28" t="n">
        <v>23</v>
      </c>
      <c r="I20" s="16" t="inlineStr">
        <is>
          <t>Energy</t>
        </is>
      </c>
      <c r="J20" s="16" t="inlineStr">
        <is>
          <t>P/B 5.91 · EV/EBITDA 15.0× · FCF yld 4% · net cash 7% of mcap · rev +20% · op margin 19%</t>
        </is>
      </c>
    </row>
    <row r="21" ht="16" customHeight="1">
      <c r="A21" s="13" t="n">
        <v>3</v>
      </c>
      <c r="B21" s="14" t="inlineStr">
        <is>
          <t>gov 21 | reasons: double-trigger only; 4y vesting; clawback strengthened</t>
        </is>
      </c>
      <c r="C21" s="6" t="inlineStr">
        <is>
          <t>A</t>
        </is>
      </c>
      <c r="D21" s="14" t="inlineStr">
        <is>
          <t>Agilent Technologies, Inc.</t>
        </is>
      </c>
      <c r="E21" s="14" t="inlineStr">
        <is>
          <t>P/B 6.36 · 24.7× EBITDA · debt 5% · 52w 95%</t>
        </is>
      </c>
      <c r="F21" s="14" t="n">
        <v>54</v>
      </c>
      <c r="G21" s="14" t="n"/>
      <c r="H21" s="27" t="n">
        <v>21</v>
      </c>
      <c r="I21" s="14" t="inlineStr">
        <is>
          <t>Healthcare</t>
        </is>
      </c>
      <c r="J21" s="14" t="inlineStr">
        <is>
          <t>P/B 6.36 · EV/EBITDA 24.7× · FCF yld 3% · net debt 5% of mcap · rev +9% · op margin 22%</t>
        </is>
      </c>
    </row>
    <row r="22" ht="16" customHeight="1">
      <c r="A22" s="15" t="n">
        <v>4</v>
      </c>
      <c r="B22" s="16" t="inlineStr">
        <is>
          <t>gov 21 | reasons: double-trigger only; 3y vesting; clawback strengthened</t>
        </is>
      </c>
      <c r="C22" s="8" t="inlineStr">
        <is>
          <t>CNC</t>
        </is>
      </c>
      <c r="D22" s="16" t="inlineStr">
        <is>
          <t>Centene Corporation</t>
        </is>
      </c>
      <c r="E22" s="16" t="inlineStr">
        <is>
          <t>P/B 1.37 · cash 35% · 52w 82%</t>
        </is>
      </c>
      <c r="F22" s="16" t="n">
        <v>54</v>
      </c>
      <c r="G22" s="16" t="n"/>
      <c r="H22" s="28" t="n">
        <v>21</v>
      </c>
      <c r="I22" s="16" t="inlineStr">
        <is>
          <t>Healthcare</t>
        </is>
      </c>
      <c r="J22" s="16" t="inlineStr">
        <is>
          <t>P/B 1.37 · P/S 0.2 · FCF yld 29% · net cash 35% of mcap · rev +9% · op margin -3%</t>
        </is>
      </c>
    </row>
    <row r="23" ht="16" customHeight="1">
      <c r="A23" s="13" t="n">
        <v>5</v>
      </c>
      <c r="B23" s="14" t="inlineStr">
        <is>
          <t>gov 21 | reasons: double-trigger only; 3y vesting; clawback strengthened</t>
        </is>
      </c>
      <c r="C23" s="6" t="inlineStr">
        <is>
          <t>GFF</t>
        </is>
      </c>
      <c r="D23" s="14" t="inlineStr">
        <is>
          <t>Griffon Corporation</t>
        </is>
      </c>
      <c r="E23" s="14" t="inlineStr">
        <is>
          <t>P/B 34.33 · 11.6× EBITDA · debt 28% · 52w 73%</t>
        </is>
      </c>
      <c r="F23" s="14" t="n">
        <v>54</v>
      </c>
      <c r="G23" s="14" t="n"/>
      <c r="H23" s="27" t="n">
        <v>21</v>
      </c>
      <c r="I23" s="14" t="inlineStr">
        <is>
          <t>Basic Materials</t>
        </is>
      </c>
      <c r="J23" s="14" t="inlineStr">
        <is>
          <t>P/B 34.33 · EV/EBITDA 11.6× · FCF yld 6% · net debt 28% of mcap · rev -8% · op margin 20% · buying back 3%/yr</t>
        </is>
      </c>
    </row>
    <row r="24" ht="16" customHeight="1">
      <c r="A24" s="15" t="n">
        <v>6</v>
      </c>
      <c r="B24" s="16" t="inlineStr">
        <is>
          <t>gov 21 | reasons: double-trigger only; 5y vesting; clawback strengthened</t>
        </is>
      </c>
      <c r="C24" s="8" t="inlineStr">
        <is>
          <t>KDP</t>
        </is>
      </c>
      <c r="D24" s="16" t="inlineStr">
        <is>
          <t>Keurig Dr Pepper Inc.</t>
        </is>
      </c>
      <c r="E24" s="16" t="inlineStr">
        <is>
          <t>P/B 1.73 · 20.9× EBITDA · debt 76% · 52w 77%</t>
        </is>
      </c>
      <c r="F24" s="16" t="n">
        <v>54</v>
      </c>
      <c r="G24" s="16" t="n"/>
      <c r="H24" s="28" t="n">
        <v>21</v>
      </c>
      <c r="I24" s="16" t="inlineStr">
        <is>
          <t>Consumer Defensive</t>
        </is>
      </c>
      <c r="J24" s="16" t="inlineStr">
        <is>
          <t>P/B 1.73 · EV/EBITDA 20.9× · FCF yld 5% · net debt 76% of mcap · rev +27% · op margin 17%</t>
        </is>
      </c>
    </row>
    <row r="25" ht="16" customHeight="1">
      <c r="A25" s="13" t="n">
        <v>7</v>
      </c>
      <c r="B25" s="14" t="inlineStr">
        <is>
          <t>gov 20 | reasons: double-trigger only; post-vest holding requirement; 3y vesting</t>
        </is>
      </c>
      <c r="C25" s="6" t="inlineStr">
        <is>
          <t>ATEC</t>
        </is>
      </c>
      <c r="D25" s="14" t="inlineStr">
        <is>
          <t>Alphatec Holdings, Inc.</t>
        </is>
      </c>
      <c r="E25" s="14" t="inlineStr">
        <is>
          <t>150.6× EBITDA · 52w 20%</t>
        </is>
      </c>
      <c r="F25" s="14" t="n">
        <v>49</v>
      </c>
      <c r="G25" s="14" t="n"/>
      <c r="H25" s="27" t="n">
        <v>20</v>
      </c>
      <c r="I25" s="14" t="inlineStr">
        <is>
          <t>Healthcare</t>
        </is>
      </c>
      <c r="J25" s="14" t="inlineStr">
        <is>
          <t>EV/EBITDA 150.6× · FCF yld 0% · rev +19% · op margin -6% · diluting 4%/yr  [negative equity]</t>
        </is>
      </c>
    </row>
    <row r="26" ht="16" customHeight="1">
      <c r="A26" s="15" t="n">
        <v>8</v>
      </c>
      <c r="B26" s="16" t="inlineStr">
        <is>
          <t>gov 20 | reasons: double-trigger only; post-vest holding requirement; 4y vesting</t>
        </is>
      </c>
      <c r="C26" s="8" t="inlineStr">
        <is>
          <t>CLX</t>
        </is>
      </c>
      <c r="D26" s="16" t="inlineStr">
        <is>
          <t>Clorox Company (The)</t>
        </is>
      </c>
      <c r="E26" s="16" t="inlineStr">
        <is>
          <t>16.9× EBITDA · 52w 6%</t>
        </is>
      </c>
      <c r="F26" s="16" t="n">
        <v>49</v>
      </c>
      <c r="G26" s="16" t="n"/>
      <c r="H26" s="28" t="n">
        <v>20</v>
      </c>
      <c r="I26" s="16" t="inlineStr">
        <is>
          <t>Consumer Defensive</t>
        </is>
      </c>
      <c r="J26" s="16" t="inlineStr">
        <is>
          <t>EV/EBITDA 16.9× · FCF yld 4% · rev -6% · op margin 25% · buying back 2%/yr  [negative equity]</t>
        </is>
      </c>
    </row>
    <row r="27"/>
    <row r="28" ht="22" customHeight="1">
      <c r="A28" s="42" t="inlineStr">
        <is>
          <t>Deepest P/B floor (&lt;0.5x book)</t>
        </is>
      </c>
    </row>
    <row r="29">
      <c r="A29" s="43" t="inlineStr">
        <is>
          <t>What it measures: hard balance-sheet value floor</t>
        </is>
      </c>
    </row>
    <row r="30" ht="18" customHeight="1">
      <c r="A30" s="4" t="inlineStr">
        <is>
          <t>#</t>
        </is>
      </c>
      <c r="B30" s="12" t="inlineStr">
        <is>
          <t>Detail</t>
        </is>
      </c>
      <c r="C30" s="12" t="inlineStr">
        <is>
          <t>Ticker</t>
        </is>
      </c>
      <c r="D30" s="12" t="inlineStr">
        <is>
          <t>Name</t>
        </is>
      </c>
      <c r="E30" s="12" t="n"/>
      <c r="F30" s="12" t="n"/>
      <c r="G30" s="12" t="n"/>
      <c r="H30" s="4" t="inlineStr">
        <is>
          <t>Score</t>
        </is>
      </c>
      <c r="I30" s="12" t="inlineStr">
        <is>
          <t>Sector</t>
        </is>
      </c>
      <c r="J30" s="12" t="n"/>
    </row>
    <row r="31" ht="16" customHeight="1">
      <c r="A31" s="13" t="n">
        <v>1</v>
      </c>
      <c r="B31" s="14" t="inlineStr">
        <is>
          <t>P/B 0.10 | mcap $8M</t>
        </is>
      </c>
      <c r="C31" s="6" t="inlineStr">
        <is>
          <t>WHLRP</t>
        </is>
      </c>
      <c r="D31" s="14" t="inlineStr">
        <is>
          <t>Wheeler Real Estate Investment T</t>
        </is>
      </c>
      <c r="E31" s="14" t="inlineStr">
        <is>
          <t>5.7× EBITDA · 52w 73%</t>
        </is>
      </c>
      <c r="F31" s="14" t="n">
        <v>5</v>
      </c>
      <c r="G31" s="14" t="n"/>
      <c r="H31" s="27" t="n">
        <v>0.1</v>
      </c>
      <c r="I31" s="14" t="inlineStr">
        <is>
          <t>Real Estate</t>
        </is>
      </c>
      <c r="J31" s="14" t="inlineStr">
        <is>
          <t>EV/EBITDA 5.7× · rev -7% · op margin 36%  [market-cap/share data inconsistent; FCF yield &gt;100% (check)]</t>
        </is>
      </c>
    </row>
    <row r="32" ht="16" customHeight="1">
      <c r="A32" s="15" t="n">
        <v>2</v>
      </c>
      <c r="B32" s="16" t="inlineStr">
        <is>
          <t>P/B 0.10 | mcap $2M</t>
        </is>
      </c>
      <c r="C32" s="8" t="inlineStr">
        <is>
          <t>ATPC</t>
        </is>
      </c>
      <c r="D32" s="16" t="inlineStr">
        <is>
          <t>Agape ATP Corporation</t>
        </is>
      </c>
      <c r="E32" s="16" t="inlineStr">
        <is>
          <t>P/B 0.10 · debt 1% · 52w 1%</t>
        </is>
      </c>
      <c r="F32" s="16" t="n">
        <v>5</v>
      </c>
      <c r="G32" s="16" t="n"/>
      <c r="H32" s="28" t="n">
        <v>0.1</v>
      </c>
      <c r="I32" s="16" t="inlineStr">
        <is>
          <t>Consumer Defensive</t>
        </is>
      </c>
      <c r="J32" s="16" t="inlineStr">
        <is>
          <t>P/B 0.10 · P/S 2.1 · FCF yld -43% · net debt 1% of mcap · rev -27% · op margin -296%</t>
        </is>
      </c>
    </row>
    <row r="33" ht="16" customHeight="1">
      <c r="A33" s="13" t="n">
        <v>3</v>
      </c>
      <c r="B33" s="14" t="inlineStr">
        <is>
          <t>P/B 0.10 | mcap $278M</t>
        </is>
      </c>
      <c r="C33" s="6" t="inlineStr">
        <is>
          <t>GTN-A</t>
        </is>
      </c>
      <c r="D33" s="14" t="inlineStr">
        <is>
          <t>Gray Media, Inc.</t>
        </is>
      </c>
      <c r="E33" s="14" t="inlineStr">
        <is>
          <t>P/B 0.10 · 7.8× EBITDA · debt 2055% · 52w 0%</t>
        </is>
      </c>
      <c r="F33" s="14" t="n">
        <v>5</v>
      </c>
      <c r="G33" s="14" t="n"/>
      <c r="H33" s="27" t="n">
        <v>0.1</v>
      </c>
      <c r="I33" s="14" t="inlineStr">
        <is>
          <t>Communication Services</t>
        </is>
      </c>
      <c r="J33" s="14" t="inlineStr">
        <is>
          <t>P/B 0.10 · EV/EBITDA 7.8× · FCF yld 32% · net debt 2055% of mcap · rev -11% · op margin 14% · diluting 3%/yr</t>
        </is>
      </c>
    </row>
    <row r="34" ht="16" customHeight="1">
      <c r="A34" s="15" t="n">
        <v>4</v>
      </c>
      <c r="B34" s="16" t="inlineStr">
        <is>
          <t>P/B 0.10 | mcap $1M</t>
        </is>
      </c>
      <c r="C34" s="8" t="inlineStr">
        <is>
          <t>BJDX</t>
        </is>
      </c>
      <c r="D34" s="16" t="inlineStr">
        <is>
          <t>Bluejay Diagnostics, Inc.</t>
        </is>
      </c>
      <c r="E34" s="16" t="inlineStr">
        <is>
          <t>P/B 0.10 · 1.2× EBITDA · cash 981% · 52w 1%</t>
        </is>
      </c>
      <c r="F34" s="16" t="n">
        <v>5</v>
      </c>
      <c r="G34" s="16" t="n"/>
      <c r="H34" s="28" t="n">
        <v>0.1</v>
      </c>
      <c r="I34" s="16" t="inlineStr">
        <is>
          <t>Healthcare</t>
        </is>
      </c>
      <c r="J34" s="16" t="inlineStr">
        <is>
          <t>P/B 0.10 · EV/EBITDA 1.2× · net cash 981% of mcap · op margin 0%  [FCF yield &gt;100% (check)]</t>
        </is>
      </c>
    </row>
    <row r="35" ht="16" customHeight="1">
      <c r="A35" s="13" t="n">
        <v>5</v>
      </c>
      <c r="B35" s="14" t="inlineStr">
        <is>
          <t>P/B 0.10 | mcap $2M</t>
        </is>
      </c>
      <c r="C35" s="6" t="inlineStr">
        <is>
          <t>GWAV</t>
        </is>
      </c>
      <c r="D35" s="14" t="inlineStr">
        <is>
          <t>Greenwave Technology Solutions,</t>
        </is>
      </c>
      <c r="E35" s="14" t="inlineStr">
        <is>
          <t>P/B 0.10 · debt 555% · 52w 2%</t>
        </is>
      </c>
      <c r="F35" s="14" t="n">
        <v>5</v>
      </c>
      <c r="G35" s="14" t="n"/>
      <c r="H35" s="27" t="n">
        <v>0.1</v>
      </c>
      <c r="I35" s="14" t="inlineStr">
        <is>
          <t>Industrials</t>
        </is>
      </c>
      <c r="J35" s="14" t="inlineStr">
        <is>
          <t>P/B 0.10 · P/S 0.0 · net debt 555% of mcap · rev +72% · op margin -26% · diluting 51%/yr · interest cover -10.2× ⚠  [FCF yield &gt;100% (check)]</t>
        </is>
      </c>
    </row>
    <row r="36" ht="16" customHeight="1">
      <c r="A36" s="15" t="n">
        <v>6</v>
      </c>
      <c r="B36" s="16" t="inlineStr">
        <is>
          <t>P/B 0.11 | mcap $2M</t>
        </is>
      </c>
      <c r="C36" s="8" t="inlineStr">
        <is>
          <t>IVF</t>
        </is>
      </c>
      <c r="D36" s="16" t="inlineStr">
        <is>
          <t>INVO Fertility, Inc.</t>
        </is>
      </c>
      <c r="E36" s="16" t="inlineStr">
        <is>
          <t>P/B 0.11 · debt 11% · 52w 0%</t>
        </is>
      </c>
      <c r="F36" s="16" t="n">
        <v>5</v>
      </c>
      <c r="G36" s="16" t="n"/>
      <c r="H36" s="28" t="n">
        <v>0.1</v>
      </c>
      <c r="I36" s="16" t="inlineStr">
        <is>
          <t>Healthcare</t>
        </is>
      </c>
      <c r="J36" s="16" t="inlineStr">
        <is>
          <t>P/B 0.11 · P/S 0.2 · net debt 11% of mcap · rev +14% · op margin -79% · interest cover -5.2× ⚠  [FCF yield &gt;100% (check)]</t>
        </is>
      </c>
    </row>
    <row r="37" ht="16" customHeight="1">
      <c r="A37" s="13" t="n">
        <v>7</v>
      </c>
      <c r="B37" s="14" t="inlineStr">
        <is>
          <t>P/B 0.11 | mcap $3M</t>
        </is>
      </c>
      <c r="C37" s="6" t="inlineStr">
        <is>
          <t>AIOS</t>
        </is>
      </c>
      <c r="D37" s="14" t="inlineStr">
        <is>
          <t>AIOS Tech Inc.</t>
        </is>
      </c>
      <c r="E37" s="14" t="inlineStr">
        <is>
          <t>0.0× EBITDA · 52w 9%</t>
        </is>
      </c>
      <c r="F37" s="14" t="n">
        <v>5</v>
      </c>
      <c r="G37" s="14" t="n"/>
      <c r="H37" s="27" t="n">
        <v>0.1</v>
      </c>
      <c r="I37" s="14" t="inlineStr">
        <is>
          <t>Technology</t>
        </is>
      </c>
      <c r="J37" s="14" t="inlineStr">
        <is>
          <t>EV/EBITDA 0.0× · FCF yld 60% · op margin 3%  [market-cap/share data inconsistent]</t>
        </is>
      </c>
    </row>
    <row r="38" ht="16" customHeight="1">
      <c r="A38" s="15" t="n">
        <v>8</v>
      </c>
      <c r="B38" s="16" t="inlineStr">
        <is>
          <t>P/B 0.11 | mcap $1M</t>
        </is>
      </c>
      <c r="C38" s="8" t="inlineStr">
        <is>
          <t>RENX</t>
        </is>
      </c>
      <c r="D38" s="16" t="inlineStr">
        <is>
          <t>RenX Enterprises Corp.</t>
        </is>
      </c>
      <c r="E38" s="16" t="inlineStr">
        <is>
          <t>52w 1%</t>
        </is>
      </c>
      <c r="F38" s="16" t="n">
        <v>5</v>
      </c>
      <c r="G38" s="16" t="n"/>
      <c r="H38" s="28" t="n">
        <v>0.1</v>
      </c>
      <c r="I38" s="16" t="inlineStr">
        <is>
          <t>Real Estate</t>
        </is>
      </c>
      <c r="J38" s="16" t="inlineStr">
        <is>
          <t>P/S 0.1 · op margin -53%  [market-cap/share data inconsistent; FCF yield &gt;100% (check); revenue not comparable YoY (fair-value / one-off income?)]</t>
        </is>
      </c>
    </row>
    <row r="39"/>
    <row r="40" ht="22" customHeight="1">
      <c r="A40" s="42" t="inlineStr">
        <is>
          <t>Cheapest EV/EBITDA (&lt;6x)</t>
        </is>
      </c>
    </row>
    <row r="41">
      <c r="A41" s="43" t="inlineStr">
        <is>
          <t>What it measures: enterprise-value to earnings power</t>
        </is>
      </c>
    </row>
    <row r="42" ht="18" customHeight="1">
      <c r="A42" s="4" t="inlineStr">
        <is>
          <t>#</t>
        </is>
      </c>
      <c r="B42" s="12" t="inlineStr">
        <is>
          <t>Detail</t>
        </is>
      </c>
      <c r="C42" s="12" t="inlineStr">
        <is>
          <t>Ticker</t>
        </is>
      </c>
      <c r="D42" s="12" t="inlineStr">
        <is>
          <t>Name</t>
        </is>
      </c>
      <c r="E42" s="12" t="n"/>
      <c r="F42" s="12" t="n"/>
      <c r="G42" s="12" t="n"/>
      <c r="H42" s="4" t="inlineStr">
        <is>
          <t>Score</t>
        </is>
      </c>
      <c r="I42" s="12" t="inlineStr">
        <is>
          <t>Sector</t>
        </is>
      </c>
      <c r="J42" s="12" t="n"/>
    </row>
    <row r="43" ht="16" customHeight="1">
      <c r="A43" s="13" t="n">
        <v>1</v>
      </c>
      <c r="B43" s="14" t="inlineStr">
        <is>
          <t>EV/EBITDA 0.5 | mcap $1M | Industrials</t>
        </is>
      </c>
      <c r="C43" s="6" t="inlineStr">
        <is>
          <t>SUGP</t>
        </is>
      </c>
      <c r="D43" s="14" t="inlineStr">
        <is>
          <t>SU Group Holdings Limited Ordina</t>
        </is>
      </c>
      <c r="E43" s="14" t="inlineStr">
        <is>
          <t>P/B 0.12 · 0.5× EBITDA · cash 174% · 52w 0%</t>
        </is>
      </c>
      <c r="F43" s="14" t="n">
        <v>13</v>
      </c>
      <c r="G43" s="14" t="n"/>
      <c r="H43" s="27" t="n">
        <v>0.5</v>
      </c>
      <c r="I43" s="14" t="inlineStr">
        <is>
          <t>Industrials</t>
        </is>
      </c>
      <c r="J43" s="14" t="inlineStr">
        <is>
          <t>P/B 0.12 · EV/EBITDA 0.5× · net cash 174% of mcap · op margin -13%  [FCF yield &gt;100% (check)]</t>
        </is>
      </c>
    </row>
    <row r="44" ht="16" customHeight="1">
      <c r="A44" s="15" t="n">
        <v>2</v>
      </c>
      <c r="B44" s="16" t="inlineStr">
        <is>
          <t>EV/EBITDA 0.6 | mcap $1M | Real Estate</t>
        </is>
      </c>
      <c r="C44" s="8" t="inlineStr">
        <is>
          <t>OMH</t>
        </is>
      </c>
      <c r="D44" s="16" t="inlineStr">
        <is>
          <t>Ohmyhome Limited</t>
        </is>
      </c>
      <c r="E44" s="16" t="inlineStr">
        <is>
          <t>P/B 0.44 · 0.6× EBITDA · cash 278% · 52w 0%</t>
        </is>
      </c>
      <c r="F44" s="16" t="n">
        <v>22</v>
      </c>
      <c r="G44" s="16" t="n"/>
      <c r="H44" s="28" t="n">
        <v>0.6</v>
      </c>
      <c r="I44" s="16" t="inlineStr">
        <is>
          <t>Real Estate</t>
        </is>
      </c>
      <c r="J44" s="16" t="inlineStr">
        <is>
          <t>P/B 0.44 · EV/EBITDA 0.6× · net cash 278% of mcap · rev -49% · op margin -41% · buying back 10%/yr  [FCF yield &gt;100% (check)]</t>
        </is>
      </c>
    </row>
    <row r="45" ht="16" customHeight="1">
      <c r="A45" s="13" t="n">
        <v>3</v>
      </c>
      <c r="B45" s="14" t="inlineStr">
        <is>
          <t>EV/EBITDA 0.6 | mcap $1,178M | Energy</t>
        </is>
      </c>
      <c r="C45" s="6" t="inlineStr">
        <is>
          <t>TK</t>
        </is>
      </c>
      <c r="D45" s="14" t="inlineStr">
        <is>
          <t>Teekay Corporation</t>
        </is>
      </c>
      <c r="E45" s="14" t="inlineStr">
        <is>
          <t>P/B 1.55 · 0.6× EBITDA · cash 104% · 52w 80%</t>
        </is>
      </c>
      <c r="F45" s="14" t="n">
        <v>22</v>
      </c>
      <c r="G45" s="14" t="n"/>
      <c r="H45" s="27" t="n">
        <v>0.6</v>
      </c>
      <c r="I45" s="14" t="inlineStr">
        <is>
          <t>Energy</t>
        </is>
      </c>
      <c r="J45" s="14" t="inlineStr">
        <is>
          <t>P/B 1.55 · EV/EBITDA 0.6× · FCF yld 28% · net cash 104% of mcap · rev +49% · op margin 36% · diluting 3%/yr</t>
        </is>
      </c>
    </row>
    <row r="46" ht="16" customHeight="1">
      <c r="A46" s="15" t="n">
        <v>4</v>
      </c>
      <c r="B46" s="16" t="inlineStr">
        <is>
          <t>EV/EBITDA 0.6 | mcap $21M | Industrials</t>
        </is>
      </c>
      <c r="C46" s="8" t="inlineStr">
        <is>
          <t>CTRM</t>
        </is>
      </c>
      <c r="D46" s="16" t="inlineStr">
        <is>
          <t>Castor Maritime Inc.</t>
        </is>
      </c>
      <c r="E46" s="16" t="inlineStr">
        <is>
          <t>0.6× EBITDA · 52w 47%</t>
        </is>
      </c>
      <c r="F46" s="16" t="n">
        <v>22</v>
      </c>
      <c r="G46" s="16" t="n"/>
      <c r="H46" s="28" t="n">
        <v>0.6</v>
      </c>
      <c r="I46" s="16" t="inlineStr">
        <is>
          <t>Industrials</t>
        </is>
      </c>
      <c r="J46" s="16" t="inlineStr">
        <is>
          <t>EV/EBITDA 0.6× · rev +33% · op margin 11% · diluting 10%/yr  [market-cap/share data inconsistent; FCF yield &gt;100% (check)]</t>
        </is>
      </c>
    </row>
    <row r="47" ht="16" customHeight="1">
      <c r="A47" s="13" t="n">
        <v>5</v>
      </c>
      <c r="B47" s="14" t="inlineStr">
        <is>
          <t>EV/EBITDA 0.6 | mcap $1M | Consumer Defensive</t>
        </is>
      </c>
      <c r="C47" s="6" t="inlineStr">
        <is>
          <t>KIDZ</t>
        </is>
      </c>
      <c r="D47" s="14" t="inlineStr">
        <is>
          <t>KIDZ AI Inc.</t>
        </is>
      </c>
      <c r="E47" s="14" t="inlineStr">
        <is>
          <t>0.6× EBITDA · 52w 0%</t>
        </is>
      </c>
      <c r="F47" s="14" t="n">
        <v>22</v>
      </c>
      <c r="G47" s="14" t="n"/>
      <c r="H47" s="27" t="n">
        <v>0.6</v>
      </c>
      <c r="I47" s="14" t="inlineStr">
        <is>
          <t>Consumer Defensive</t>
        </is>
      </c>
      <c r="J47" s="14" t="inlineStr">
        <is>
          <t>EV/EBITDA 0.6× · rev -17% · op margin -129% · diluting 59%/yr  [market-cap/share data inconsistent; FCF yield &gt;100% (check)]</t>
        </is>
      </c>
    </row>
    <row r="48" ht="16" customHeight="1">
      <c r="A48" s="15" t="n">
        <v>6</v>
      </c>
      <c r="B48" s="16" t="inlineStr">
        <is>
          <t>EV/EBITDA 0.6 | mcap $435M | Utilities</t>
        </is>
      </c>
      <c r="C48" s="8" t="inlineStr">
        <is>
          <t>NKLR</t>
        </is>
      </c>
      <c r="D48" s="16" t="inlineStr">
        <is>
          <t>Terra Innovatum Global N.V. Ordi</t>
        </is>
      </c>
      <c r="E48" s="16" t="inlineStr">
        <is>
          <t>0.6× EBITDA · 52w 1%</t>
        </is>
      </c>
      <c r="F48" s="16" t="n">
        <v>22</v>
      </c>
      <c r="G48" s="16" t="n"/>
      <c r="H48" s="28" t="n">
        <v>0.6</v>
      </c>
      <c r="I48" s="16" t="inlineStr">
        <is>
          <t>Utilities</t>
        </is>
      </c>
      <c r="J48" s="16" t="inlineStr">
        <is>
          <t>EV/EBITDA 0.6× · FCF yld -5% · op margin 0%  [negative equity; share-count history inconsistent (foreign line)]</t>
        </is>
      </c>
    </row>
    <row r="49" ht="16" customHeight="1">
      <c r="A49" s="13" t="n">
        <v>7</v>
      </c>
      <c r="B49" s="14" t="inlineStr">
        <is>
          <t>EV/EBITDA 0.6 | mcap $42M | Healthcare</t>
        </is>
      </c>
      <c r="C49" s="6" t="inlineStr">
        <is>
          <t>IXHL</t>
        </is>
      </c>
      <c r="D49" s="14" t="inlineStr">
        <is>
          <t>Incannex Healthcare Limited</t>
        </is>
      </c>
      <c r="E49" s="14" t="inlineStr">
        <is>
          <t>P/B 0.57 · 0.6× EBITDA · cash 165% · 52w 6%</t>
        </is>
      </c>
      <c r="F49" s="14" t="n">
        <v>22</v>
      </c>
      <c r="G49" s="14" t="n"/>
      <c r="H49" s="27" t="n">
        <v>0.6</v>
      </c>
      <c r="I49" s="14" t="inlineStr">
        <is>
          <t>Healthcare</t>
        </is>
      </c>
      <c r="J49" s="14" t="inlineStr">
        <is>
          <t>P/B 0.57 · EV/EBITDA 0.6× · FCF yld -25% · net cash 165% of mcap</t>
        </is>
      </c>
    </row>
    <row r="50" ht="16" customHeight="1">
      <c r="A50" s="15" t="n">
        <v>8</v>
      </c>
      <c r="B50" s="16" t="inlineStr">
        <is>
          <t>EV/EBITDA 0.6 | mcap $7M | Industrials</t>
        </is>
      </c>
      <c r="C50" s="8" t="inlineStr">
        <is>
          <t>RVSN</t>
        </is>
      </c>
      <c r="D50" s="16" t="inlineStr">
        <is>
          <t>Rail Vision Ltd.</t>
        </is>
      </c>
      <c r="E50" s="16" t="inlineStr">
        <is>
          <t>P/B 0.44 · 0.6× EBITDA · cash 218% · 52w 0%</t>
        </is>
      </c>
      <c r="F50" s="16" t="n">
        <v>22</v>
      </c>
      <c r="G50" s="16" t="n"/>
      <c r="H50" s="28" t="n">
        <v>0.6</v>
      </c>
      <c r="I50" s="16" t="inlineStr">
        <is>
          <t>Industrials</t>
        </is>
      </c>
      <c r="J50" s="16" t="inlineStr">
        <is>
          <t>P/B 0.44 · EV/EBITDA 0.6× · net cash 218% of mcap · rev +192%  [FCF yield &gt;100% (check); share-count history inconsistent (foreign line)]</t>
        </is>
      </c>
    </row>
    <row r="51"/>
    <row r="52" ht="22" customHeight="1">
      <c r="A52" s="42" t="inlineStr">
        <is>
          <t>Lowest trailing P/E (&lt;8x, positive)</t>
        </is>
      </c>
    </row>
    <row r="53">
      <c r="A53" s="43" t="inlineStr">
        <is>
          <t>What it measures: earnings yield</t>
        </is>
      </c>
    </row>
    <row r="54" ht="18" customHeight="1">
      <c r="A54" s="4" t="inlineStr">
        <is>
          <t>#</t>
        </is>
      </c>
      <c r="B54" s="12" t="inlineStr">
        <is>
          <t>Detail</t>
        </is>
      </c>
      <c r="C54" s="12" t="inlineStr">
        <is>
          <t>Ticker</t>
        </is>
      </c>
      <c r="D54" s="12" t="inlineStr">
        <is>
          <t>Name</t>
        </is>
      </c>
      <c r="E54" s="12" t="n"/>
      <c r="F54" s="12" t="n"/>
      <c r="G54" s="12" t="n"/>
      <c r="H54" s="4" t="inlineStr">
        <is>
          <t>Score</t>
        </is>
      </c>
      <c r="I54" s="12" t="inlineStr">
        <is>
          <t>Sector</t>
        </is>
      </c>
      <c r="J54" s="12" t="n"/>
    </row>
    <row r="55" ht="16" customHeight="1">
      <c r="A55" s="13" t="n">
        <v>1</v>
      </c>
      <c r="B55" s="14" t="inlineStr">
        <is>
          <t>P/E 0.5 | mcap $94M | Technology</t>
        </is>
      </c>
      <c r="C55" s="6" t="inlineStr">
        <is>
          <t>YB</t>
        </is>
      </c>
      <c r="D55" s="14" t="inlineStr">
        <is>
          <t>Yuanbao Inc. American Depositary</t>
        </is>
      </c>
      <c r="E55" s="14" t="inlineStr">
        <is>
          <t>P/B 0.17 · cash 823% · 52w 1%</t>
        </is>
      </c>
      <c r="F55" s="14" t="n">
        <v>13</v>
      </c>
      <c r="G55" s="14" t="n"/>
      <c r="H55" s="27" t="n">
        <v>0.5</v>
      </c>
      <c r="I55" s="14" t="inlineStr">
        <is>
          <t>Technology</t>
        </is>
      </c>
      <c r="J55" s="14" t="inlineStr">
        <is>
          <t>P/B 0.17 · P/S 0.1 · net cash 823% of mcap · rev +32% · op margin 32%  [FCF yield &gt;100% (check)]</t>
        </is>
      </c>
    </row>
    <row r="56" ht="16" customHeight="1">
      <c r="A56" s="15" t="n">
        <v>2</v>
      </c>
      <c r="B56" s="16" t="inlineStr">
        <is>
          <t>P/E 0.5 | mcap $306M | Real Estate</t>
        </is>
      </c>
      <c r="C56" s="8" t="inlineStr">
        <is>
          <t>AIV</t>
        </is>
      </c>
      <c r="D56" s="16" t="inlineStr">
        <is>
          <t>Apartment Investment and Manage</t>
        </is>
      </c>
      <c r="E56" s="16" t="inlineStr">
        <is>
          <t>P/B 0.59 · 15.8× EBITDA · debt 118% · 52w 0%</t>
        </is>
      </c>
      <c r="F56" s="16" t="n">
        <v>13</v>
      </c>
      <c r="G56" s="16" t="n"/>
      <c r="H56" s="28" t="n">
        <v>0.5</v>
      </c>
      <c r="I56" s="16" t="inlineStr">
        <is>
          <t>Real Estate</t>
        </is>
      </c>
      <c r="J56" s="16" t="inlineStr">
        <is>
          <t>P/B 0.59 · EV/EBITDA 15.8× · FCF yld -53% · net debt 118% of mcap · rev -64% · op margin -84% · interest cover -11.0× ⚠  [dividend yield &gt;25% (special or bad data)]</t>
        </is>
      </c>
    </row>
    <row r="57" ht="16" customHeight="1">
      <c r="A57" s="13" t="n">
        <v>3</v>
      </c>
      <c r="B57" s="14" t="inlineStr">
        <is>
          <t>P/E 0.6 | mcap $0M | Communication Services</t>
        </is>
      </c>
      <c r="C57" s="6" t="inlineStr">
        <is>
          <t>FENG</t>
        </is>
      </c>
      <c r="D57" s="14" t="inlineStr">
        <is>
          <t>Phoenix New Media Limited</t>
        </is>
      </c>
      <c r="E57" s="14" t="inlineStr">
        <is>
          <t>52w 2%</t>
        </is>
      </c>
      <c r="F57" s="14" t="n">
        <v>22</v>
      </c>
      <c r="G57" s="14" t="n"/>
      <c r="H57" s="27" t="n">
        <v>0.6</v>
      </c>
      <c r="I57" s="14" t="inlineStr">
        <is>
          <t>Communication Services</t>
        </is>
      </c>
      <c r="J57" s="14" t="inlineStr">
        <is>
          <t>P/S 0.0 · FCF yld 0% · rev +14% · op margin -3%  [market-cap/share data inconsistent]</t>
        </is>
      </c>
    </row>
    <row r="58" ht="16" customHeight="1">
      <c r="A58" s="15" t="n">
        <v>4</v>
      </c>
      <c r="B58" s="16" t="inlineStr">
        <is>
          <t>P/E 0.6 | mcap $0M | Financial Services</t>
        </is>
      </c>
      <c r="C58" s="8" t="inlineStr">
        <is>
          <t>AURE</t>
        </is>
      </c>
      <c r="D58" s="16" t="inlineStr">
        <is>
          <t>Aurelion Inc.</t>
        </is>
      </c>
      <c r="E58" s="16" t="inlineStr">
        <is>
          <t>P/E 0.6 · 52w 0%</t>
        </is>
      </c>
      <c r="F58" s="16" t="n">
        <v>22</v>
      </c>
      <c r="G58" s="16" t="n"/>
      <c r="H58" s="28" t="n">
        <v>0.6</v>
      </c>
      <c r="I58" s="16" t="inlineStr">
        <is>
          <t>Financial Services</t>
        </is>
      </c>
      <c r="J58" s="16" t="inlineStr">
        <is>
          <t>P/E 0.6 · ROE -33% · diluting 9%/yr (financial: book/earnings basis)  [market-cap/share data inconsistent; P/E vs earnings-yield sign mismatch]</t>
        </is>
      </c>
    </row>
    <row r="59" ht="16" customHeight="1">
      <c r="A59" s="13" t="n">
        <v>5</v>
      </c>
      <c r="B59" s="14" t="inlineStr">
        <is>
          <t>P/E 0.6 | mcap $3M | Technology</t>
        </is>
      </c>
      <c r="C59" s="6" t="inlineStr">
        <is>
          <t>HTCR</t>
        </is>
      </c>
      <c r="D59" s="14" t="inlineStr">
        <is>
          <t>HeartCore Enterprises, Inc.</t>
        </is>
      </c>
      <c r="E59" s="14" t="inlineStr">
        <is>
          <t>P/B 0.61 · cash 95% · 52w 2%</t>
        </is>
      </c>
      <c r="F59" s="14" t="n">
        <v>22</v>
      </c>
      <c r="G59" s="14" t="n"/>
      <c r="H59" s="27" t="n">
        <v>0.6</v>
      </c>
      <c r="I59" s="14" t="inlineStr">
        <is>
          <t>Technology</t>
        </is>
      </c>
      <c r="J59" s="14" t="inlineStr">
        <is>
          <t>P/B 0.61 · P/S 0.5 · net cash 95% of mcap · rev -78% · op margin -54% · diluting 4%/yr  [FCF yield &gt;100% (check); dividend yield &gt;25% (special or bad data)]</t>
        </is>
      </c>
    </row>
    <row r="60" ht="16" customHeight="1">
      <c r="A60" s="15" t="n">
        <v>6</v>
      </c>
      <c r="B60" s="16" t="inlineStr">
        <is>
          <t>P/E 0.6 | mcap $389M | Financial Services</t>
        </is>
      </c>
      <c r="C60" s="8" t="inlineStr">
        <is>
          <t>WDH</t>
        </is>
      </c>
      <c r="D60" s="16" t="inlineStr">
        <is>
          <t>Waterdrop Inc.</t>
        </is>
      </c>
      <c r="E60" s="16" t="inlineStr">
        <is>
          <t>P/B 0.50 · P/E 0.6 · 52w 10%</t>
        </is>
      </c>
      <c r="F60" s="16" t="n">
        <v>22</v>
      </c>
      <c r="G60" s="16" t="n"/>
      <c r="H60" s="28" t="n">
        <v>0.6</v>
      </c>
      <c r="I60" s="16" t="inlineStr">
        <is>
          <t>Financial Services</t>
        </is>
      </c>
      <c r="J60" s="16" t="inlineStr">
        <is>
          <t>P/B 0.50 · P/E 0.6 · ROE 11% · div yld 5.6% (financial: book/earnings basis)</t>
        </is>
      </c>
    </row>
    <row r="61" ht="16" customHeight="1">
      <c r="A61" s="13" t="n">
        <v>7</v>
      </c>
      <c r="B61" s="14" t="inlineStr">
        <is>
          <t>P/E 0.7 | mcap $38M | Healthcare</t>
        </is>
      </c>
      <c r="C61" s="6" t="inlineStr">
        <is>
          <t>ELUT</t>
        </is>
      </c>
      <c r="D61" s="14" t="inlineStr">
        <is>
          <t>Elutia Inc</t>
        </is>
      </c>
      <c r="E61" s="14" t="inlineStr">
        <is>
          <t>P/B 2.39 · cash 24% · 52w 40%</t>
        </is>
      </c>
      <c r="F61" s="14" t="n">
        <v>31</v>
      </c>
      <c r="G61" s="14" t="n"/>
      <c r="H61" s="27" t="n">
        <v>0.7</v>
      </c>
      <c r="I61" s="14" t="inlineStr">
        <is>
          <t>Healthcare</t>
        </is>
      </c>
      <c r="J61" s="14" t="inlineStr">
        <is>
          <t>P/B 2.39 · P/S 3.1 · net cash 24% of mcap · rev -49% · op margin -194% · buying back 6%/yr  [FCF yield &gt;100% (check)]</t>
        </is>
      </c>
    </row>
    <row r="62" ht="16" customHeight="1">
      <c r="A62" s="15" t="n">
        <v>8</v>
      </c>
      <c r="B62" s="16" t="inlineStr">
        <is>
          <t>P/E 0.7 | mcap $47M | Technology</t>
        </is>
      </c>
      <c r="C62" s="8" t="inlineStr">
        <is>
          <t>PXLW</t>
        </is>
      </c>
      <c r="D62" s="16" t="inlineStr">
        <is>
          <t>Pixelworks, Inc.</t>
        </is>
      </c>
      <c r="E62" s="16" t="inlineStr">
        <is>
          <t>P/B 0.90 · 2.8× EBITDA · cash 112% · 52w 24%</t>
        </is>
      </c>
      <c r="F62" s="16" t="n">
        <v>31</v>
      </c>
      <c r="G62" s="16" t="n"/>
      <c r="H62" s="28" t="n">
        <v>0.7</v>
      </c>
      <c r="I62" s="16" t="inlineStr">
        <is>
          <t>Technology</t>
        </is>
      </c>
      <c r="J62" s="16" t="inlineStr">
        <is>
          <t>P/B 0.90 · EV/EBITDA 2.8× · FCF yld -34% · net cash 112% of mcap · op margin 23% · diluting 19%/yr</t>
        </is>
      </c>
    </row>
    <row r="63"/>
    <row r="64" ht="22" customHeight="1">
      <c r="A64" s="42" t="inlineStr">
        <is>
          <t>Largest verified buyback shrinkage</t>
        </is>
      </c>
    </row>
    <row r="65">
      <c r="A65" s="43" t="inlineStr">
        <is>
          <t>What it measures: actual supply curve compression</t>
        </is>
      </c>
    </row>
    <row r="66" ht="18" customHeight="1">
      <c r="A66" s="4" t="inlineStr">
        <is>
          <t>#</t>
        </is>
      </c>
      <c r="B66" s="12" t="inlineStr">
        <is>
          <t>Detail</t>
        </is>
      </c>
      <c r="C66" s="12" t="inlineStr">
        <is>
          <t>Ticker</t>
        </is>
      </c>
      <c r="D66" s="12" t="inlineStr">
        <is>
          <t>Name</t>
        </is>
      </c>
      <c r="E66" s="12" t="n"/>
      <c r="F66" s="12" t="n"/>
      <c r="G66" s="12" t="n"/>
      <c r="H66" s="4" t="inlineStr">
        <is>
          <t>Score</t>
        </is>
      </c>
      <c r="I66" s="12" t="inlineStr">
        <is>
          <t>Sector</t>
        </is>
      </c>
      <c r="J66" s="12" t="n"/>
    </row>
    <row r="67" ht="16" customHeight="1">
      <c r="A67" s="13" t="n">
        <v>1</v>
      </c>
      <c r="B67" s="14" t="inlineStr">
        <is>
          <t>shares -29.9% over 174d | status SHRINKING_NO_AUTH</t>
        </is>
      </c>
      <c r="C67" s="6" t="inlineStr">
        <is>
          <t>ANAB</t>
        </is>
      </c>
      <c r="D67" s="14" t="inlineStr">
        <is>
          <t>AnaptysBio, Inc.</t>
        </is>
      </c>
      <c r="E67" s="14" t="inlineStr">
        <is>
          <t>P/B 140.11 · 9.8× EBITDA · cash 10% · 52w 62%</t>
        </is>
      </c>
      <c r="F67" s="14" t="n">
        <v>67</v>
      </c>
      <c r="G67" s="14" t="n"/>
      <c r="H67" s="27" t="n">
        <v>29.9</v>
      </c>
      <c r="I67" s="14" t="inlineStr">
        <is>
          <t>Healthcare</t>
        </is>
      </c>
      <c r="J67" s="14" t="inlineStr">
        <is>
          <t>P/B 140.11 · EV/EBITDA 9.8× · FCF yld 1% · net cash 10% of mcap · rev +93% · op margin 34% · diluting 25%/yr</t>
        </is>
      </c>
    </row>
    <row r="68" ht="16" customHeight="1">
      <c r="A68" s="15" t="n">
        <v>2</v>
      </c>
      <c r="B68" s="16" t="inlineStr">
        <is>
          <t>shares -27.4% over 181d | status SHRINKING_NO_AUTH</t>
        </is>
      </c>
      <c r="C68" s="8" t="inlineStr">
        <is>
          <t>EIG</t>
        </is>
      </c>
      <c r="D68" s="16" t="inlineStr">
        <is>
          <t>Employers Holdings Inc</t>
        </is>
      </c>
      <c r="E68" s="16" t="inlineStr">
        <is>
          <t>P/B 1.16 · P/E 69.2 · 52w 73%</t>
        </is>
      </c>
      <c r="F68" s="16" t="n">
        <v>66</v>
      </c>
      <c r="G68" s="16" t="n"/>
      <c r="H68" s="28" t="n">
        <v>27.4</v>
      </c>
      <c r="I68" s="16" t="inlineStr">
        <is>
          <t>Financial Services</t>
        </is>
      </c>
      <c r="J68" s="16" t="inlineStr">
        <is>
          <t>P/B 1.16 · P/E 69.2 · ROE 1% · div yld 2.8% · buying back 24%/yr (financial: book/earnings basis)</t>
        </is>
      </c>
    </row>
    <row r="69" ht="16" customHeight="1">
      <c r="A69" s="13" t="n">
        <v>3</v>
      </c>
      <c r="B69" s="14" t="inlineStr">
        <is>
          <t>shares -27.2% over 147d | status SHRINKING_NO_AUTH</t>
        </is>
      </c>
      <c r="C69" s="6" t="inlineStr">
        <is>
          <t>NWL</t>
        </is>
      </c>
      <c r="D69" s="14" t="inlineStr">
        <is>
          <t>Newell Brands Inc.</t>
        </is>
      </c>
      <c r="E69" s="14" t="inlineStr">
        <is>
          <t>P/B 1.00 · 19.4× EBITDA · debt 217% · 52w 66%</t>
        </is>
      </c>
      <c r="F69" s="14" t="n">
        <v>64</v>
      </c>
      <c r="G69" s="14" t="n"/>
      <c r="H69" s="27" t="n">
        <v>27.2</v>
      </c>
      <c r="I69" s="14" t="inlineStr">
        <is>
          <t>Consumer Defensive</t>
        </is>
      </c>
      <c r="J69" s="14" t="inlineStr">
        <is>
          <t>P/B 1.00 · EV/EBITDA 19.4× · FCF yld 5% · net debt 217% of mcap · rev -2% · op margin 8% · diluting 2%/yr</t>
        </is>
      </c>
    </row>
    <row r="70" ht="16" customHeight="1">
      <c r="A70" s="15" t="n">
        <v>4</v>
      </c>
      <c r="B70" s="16" t="inlineStr">
        <is>
          <t>shares -26.7% over 65d | status SHRINKING_NO_AUTH</t>
        </is>
      </c>
      <c r="C70" s="8" t="inlineStr">
        <is>
          <t>AHRT</t>
        </is>
      </c>
      <c r="D70" s="16" t="inlineStr">
        <is>
          <t>AH Realty Trust, Inc.</t>
        </is>
      </c>
      <c r="E70" s="16" t="inlineStr">
        <is>
          <t>P/B 1.09 · 10.9× EBITDA · debt 182% · 52w 40%</t>
        </is>
      </c>
      <c r="F70" s="16" t="n">
        <v>63</v>
      </c>
      <c r="G70" s="16" t="n"/>
      <c r="H70" s="28" t="n">
        <v>26.7</v>
      </c>
      <c r="I70" s="16" t="inlineStr">
        <is>
          <t>Real Estate</t>
        </is>
      </c>
      <c r="J70" s="16" t="inlineStr">
        <is>
          <t>P/B 1.09 · EV/EBITDA 10.9× · FCF yld 9% · net debt 182% of mcap · rev -63% · op margin 40% · diluting 22%/yr · interest cover 0.9× ⚠</t>
        </is>
      </c>
    </row>
    <row r="71" ht="16" customHeight="1">
      <c r="A71" s="13" t="n">
        <v>5</v>
      </c>
      <c r="B71" s="14" t="inlineStr">
        <is>
          <t>shares -24.8% over 189d | status SHRINKING_NO_AUTH</t>
        </is>
      </c>
      <c r="C71" s="6" t="inlineStr">
        <is>
          <t>AESI</t>
        </is>
      </c>
      <c r="D71" s="14" t="inlineStr">
        <is>
          <t>Atlas Energy Solutions Inc.</t>
        </is>
      </c>
      <c r="E71" s="14" t="inlineStr">
        <is>
          <t>P/B 1.33 · 20.2× EBITDA · debt 54% · 52w 33%</t>
        </is>
      </c>
      <c r="F71" s="14" t="n">
        <v>61</v>
      </c>
      <c r="G71" s="14" t="n"/>
      <c r="H71" s="27" t="n">
        <v>24.8</v>
      </c>
      <c r="I71" s="14" t="inlineStr">
        <is>
          <t>Energy</t>
        </is>
      </c>
      <c r="J71" s="14" t="inlineStr">
        <is>
          <t>P/B 1.33 · EV/EBITDA 20.2× · FCF yld -13% · net debt 54% of mcap · rev -8% · op margin -9% · interest cover -1.5× ⚠</t>
        </is>
      </c>
    </row>
    <row r="72" ht="16" customHeight="1">
      <c r="A72" s="15" t="n">
        <v>6</v>
      </c>
      <c r="B72" s="16" t="inlineStr">
        <is>
          <t>shares -21.1% over 185d | status SHRINKING_NO_AUTH</t>
        </is>
      </c>
      <c r="C72" s="8" t="inlineStr">
        <is>
          <t>CWEN</t>
        </is>
      </c>
      <c r="D72" s="16" t="inlineStr">
        <is>
          <t>Clearway Energy, Inc.</t>
        </is>
      </c>
      <c r="E72" s="16" t="inlineStr">
        <is>
          <t>P/B 1.15 · 14.2× EBITDA · debt 154% · 52w 19%</t>
        </is>
      </c>
      <c r="F72" s="16" t="n">
        <v>57</v>
      </c>
      <c r="G72" s="16" t="n"/>
      <c r="H72" s="28" t="n">
        <v>21.1</v>
      </c>
      <c r="I72" s="16" t="inlineStr">
        <is>
          <t>Utilities</t>
        </is>
      </c>
      <c r="J72" s="16" t="inlineStr">
        <is>
          <t>P/B 1.15 · EV/EBITDA 14.2× · FCF yld 11% · net debt 154% of mcap · rev +10% · op margin 14% · diluting 3%/yr · interest cover 0.6× ⚠</t>
        </is>
      </c>
    </row>
    <row r="73" ht="16" customHeight="1">
      <c r="A73" s="13" t="n">
        <v>7</v>
      </c>
      <c r="B73" s="14" t="inlineStr">
        <is>
          <t>shares -20.6% over 176d | status SHRINKING_NO_AUTH</t>
        </is>
      </c>
      <c r="C73" s="6" t="inlineStr">
        <is>
          <t>AAT</t>
        </is>
      </c>
      <c r="D73" s="14" t="inlineStr">
        <is>
          <t>American Assets Trust, Inc.</t>
        </is>
      </c>
      <c r="E73" s="14" t="inlineStr">
        <is>
          <t>P/B 1.19 · 12.6× EBITDA · debt 121% · 52w 48%</t>
        </is>
      </c>
      <c r="F73" s="14" t="n">
        <v>51</v>
      </c>
      <c r="G73" s="14" t="n"/>
      <c r="H73" s="27" t="n">
        <v>20.6</v>
      </c>
      <c r="I73" s="14" t="inlineStr">
        <is>
          <t>Real Estate</t>
        </is>
      </c>
      <c r="J73" s="14" t="inlineStr">
        <is>
          <t>P/B 1.19 · EV/EBITDA 12.6× · FCF yld 7% · net debt 121% of mcap · rev -3% · op margin 23% · interest cover 1.3× ⚠</t>
        </is>
      </c>
    </row>
    <row r="74" ht="16" customHeight="1">
      <c r="A74" s="15" t="n">
        <v>8</v>
      </c>
      <c r="B74" s="16" t="inlineStr">
        <is>
          <t>shares -19.7% over 189d | status SHRINKING_NO_AUTH</t>
        </is>
      </c>
      <c r="C74" s="8" t="inlineStr">
        <is>
          <t>FOA</t>
        </is>
      </c>
      <c r="D74" s="16" t="inlineStr">
        <is>
          <t>Finance of America Companies In</t>
        </is>
      </c>
      <c r="E74" s="16" t="inlineStr">
        <is>
          <t>P/B 0.39 · 52w 8%</t>
        </is>
      </c>
      <c r="F74" s="16" t="n">
        <v>47</v>
      </c>
      <c r="G74" s="16" t="n"/>
      <c r="H74" s="28" t="n">
        <v>19.7</v>
      </c>
      <c r="I74" s="16" t="inlineStr">
        <is>
          <t>Financial Services</t>
        </is>
      </c>
      <c r="J74" s="16" t="inlineStr">
        <is>
          <t>P/B 0.39 · ROE -0% · buying back 17%/yr (financial: book/earnings basis)  [FCF yield &gt;100% (check)]</t>
        </is>
      </c>
    </row>
    <row r="75"/>
    <row r="76" ht="22" customHeight="1">
      <c r="A76" s="42" t="inlineStr">
        <is>
          <t>Highest 10b5-1 termination signed score</t>
        </is>
      </c>
    </row>
    <row r="77">
      <c r="A77" s="43" t="inlineStr">
        <is>
          <t>What it measures: insider walked back scheduled selling</t>
        </is>
      </c>
    </row>
    <row r="78" ht="18" customHeight="1">
      <c r="A78" s="4" t="inlineStr">
        <is>
          <t>#</t>
        </is>
      </c>
      <c r="B78" s="12" t="inlineStr">
        <is>
          <t>Detail</t>
        </is>
      </c>
      <c r="C78" s="12" t="inlineStr">
        <is>
          <t>Ticker</t>
        </is>
      </c>
      <c r="D78" s="12" t="inlineStr">
        <is>
          <t>Name</t>
        </is>
      </c>
      <c r="E78" s="12" t="n"/>
      <c r="F78" s="12" t="n"/>
      <c r="G78" s="12" t="n"/>
      <c r="H78" s="4" t="inlineStr">
        <is>
          <t>Score</t>
        </is>
      </c>
      <c r="I78" s="12" t="inlineStr">
        <is>
          <t>Sector</t>
        </is>
      </c>
      <c r="J78" s="12" t="n"/>
    </row>
    <row r="79" ht="16" customHeight="1">
      <c r="A79" s="13" t="n">
        <v>1</v>
      </c>
      <c r="B79" s="14" t="inlineStr">
        <is>
          <t>signed score 80 | ['BULLISH terminate sell: Casey M. Nault (Senior Vice President) 202,257sh [+26]', 'BULLISH terminate sell: Mitchell J. Krebs (Chairman) 202,257sh [+38]', 'BULLISH terminate sell: Mitchell J. Krebs (Chairman) 250,000sh [+42]', 'BEARISH adopt sell: Mitchell J. Krebs (Chairman) 200,000sh [-23]', 'BEARISH adopt sell: Casey M. Nault (Senior Vice President) 200,000sh [-15]', 'BULLISH terminate sell: Casey M. Nault (Executive Vice President) 202,257sh [+26]']</t>
        </is>
      </c>
      <c r="C79" s="6" t="inlineStr">
        <is>
          <t>CDE</t>
        </is>
      </c>
      <c r="D79" s="14" t="inlineStr">
        <is>
          <t>Coeur Mining, Inc.</t>
        </is>
      </c>
      <c r="E79" s="14" t="inlineStr">
        <is>
          <t>P/B 1.92 · 12.3× EBITDA · cash 2% · 52w 41%</t>
        </is>
      </c>
      <c r="F79" s="14" t="n">
        <v>84</v>
      </c>
      <c r="G79" s="14" t="n"/>
      <c r="H79" s="27" t="n">
        <v>80</v>
      </c>
      <c r="I79" s="14" t="inlineStr">
        <is>
          <t>Basic Materials</t>
        </is>
      </c>
      <c r="J79" s="14" t="inlineStr">
        <is>
          <t>P/B 1.92 · EV/EBITDA 12.3× · FCF yld 6% · net cash 2% of mcap · rev +117% · op margin 35% · diluting 61%/yr</t>
        </is>
      </c>
    </row>
    <row r="80" ht="16" customHeight="1">
      <c r="A80" s="15" t="n">
        <v>2</v>
      </c>
      <c r="B80" s="16" t="inlineStr">
        <is>
          <t>signed score 80 | ['BULLISH terminate sell: an insider (director) [+18]', 'BULLISH terminate sell: an insider (director) [+18]', 'BULLISH terminate sell: an insider (director) [+18]', 'BULLISH terminate sell: an insider (director) [+18]', 'BULLISH terminate sell: an insider (director) [+18]', 'BULLISH terminate sell: an insider (director) [+18]']</t>
        </is>
      </c>
      <c r="C80" s="8" t="inlineStr">
        <is>
          <t>IRON</t>
        </is>
      </c>
      <c r="D80" s="16" t="inlineStr">
        <is>
          <t>Disc Medicine, Inc.</t>
        </is>
      </c>
      <c r="E80" s="16" t="inlineStr">
        <is>
          <t>P/B 3.93 · cash 26% · 52w 44%</t>
        </is>
      </c>
      <c r="F80" s="16" t="n">
        <v>84</v>
      </c>
      <c r="G80" s="16" t="n"/>
      <c r="H80" s="28" t="n">
        <v>80</v>
      </c>
      <c r="I80" s="16" t="inlineStr">
        <is>
          <t>Healthcare</t>
        </is>
      </c>
      <c r="J80" s="16" t="inlineStr">
        <is>
          <t>P/B 3.93 · P/S 0.0 · FCF yld -8% · net cash 26% of mcap · op margin 0% · diluting 10%/yr</t>
        </is>
      </c>
    </row>
    <row r="81" ht="16" customHeight="1">
      <c r="A81" s="13" t="n">
        <v>3</v>
      </c>
      <c r="B81" s="14" t="inlineStr">
        <is>
          <t>signed score 80 | ['BEARISH adopt sell: Roger W. Byrd (General Counsel) 135,201sh [-15]', 'BULLISH terminate sell: David E. Bullwinkle (Chief Financial Officer) 518,289sh [+38]', 'BULLISH terminate sell: Roger W. Byrd (General Counsel) 518,289sh [+30]', 'BULLISH terminate sell: David E. Bullwinkle (Chief Financial Officer) 135,201sh [+34]', 'BULLISH terminate sell: David E. Bullwinkle (Chief Financial Officer) [+26]']</t>
        </is>
      </c>
      <c r="C81" s="6" t="inlineStr">
        <is>
          <t>KODK</t>
        </is>
      </c>
      <c r="D81" s="14" t="inlineStr">
        <is>
          <t>Eastman Kodak Company</t>
        </is>
      </c>
      <c r="E81" s="14" t="inlineStr">
        <is>
          <t>P/B 1.51 · 100.2× EBITDA · cash 18% · 52w 42%</t>
        </is>
      </c>
      <c r="F81" s="14" t="n">
        <v>84</v>
      </c>
      <c r="G81" s="14" t="n"/>
      <c r="H81" s="27" t="n">
        <v>80</v>
      </c>
      <c r="I81" s="14" t="inlineStr">
        <is>
          <t>Industrials</t>
        </is>
      </c>
      <c r="J81" s="14" t="inlineStr">
        <is>
          <t>P/B 1.51 · EV/EBITDA 100.2× · FCF yld 49% · net cash 18% of mcap · rev +9% · op margin -9% · diluting 11%/yr</t>
        </is>
      </c>
    </row>
    <row r="82" ht="16" customHeight="1">
      <c r="A82" s="15" t="n">
        <v>4</v>
      </c>
      <c r="B82" s="16" t="inlineStr">
        <is>
          <t>signed score 80 | ['BULLISH terminate sell: an insider (Director) 37,890sh [+18]', 'BULLISH terminate sell: an insider (Director) 97,075sh [+22]', 'BULLISH terminate sell: an insider (Director) 387,158sh [+30]', 'BULLISH terminate sell: an insider (Director) 363,818sh [+30]', 'BULLISH terminate sell: an insider (Director) [+18]', 'BULLISH terminate sell: an insider (Director) [+18]']</t>
        </is>
      </c>
      <c r="C82" s="8" t="inlineStr">
        <is>
          <t>NVDA</t>
        </is>
      </c>
      <c r="D82" s="16" t="inlineStr">
        <is>
          <t>NVIDIA Corporation</t>
        </is>
      </c>
      <c r="E82" s="16" t="inlineStr">
        <is>
          <t>P/B 45.93 · 23.4× EBITDA · cash 1% · 52w 85%</t>
        </is>
      </c>
      <c r="F82" s="16" t="n">
        <v>84</v>
      </c>
      <c r="G82" s="16" t="n"/>
      <c r="H82" s="28" t="n">
        <v>80</v>
      </c>
      <c r="I82" s="16" t="inlineStr">
        <is>
          <t>Technology</t>
        </is>
      </c>
      <c r="J82" s="16" t="inlineStr">
        <is>
          <t>P/B 45.93 · EV/EBITDA 23.4× · FCF yld 2% · net cash 1% of mcap · rev +72% · op margin 65%</t>
        </is>
      </c>
    </row>
    <row r="83" ht="16" customHeight="1">
      <c r="A83" s="13" t="n">
        <v>5</v>
      </c>
      <c r="B83" s="14" t="inlineStr">
        <is>
          <t>signed score 80 | ['BULLISH terminate sell: an insider (director) [+18]', 'BULLISH terminate sell: an insider (director) [+18]', 'BULLISH terminate sell: an insider (director) 165,000sh [+26]', 'BULLISH terminate sell: an insider (director) [+18]']</t>
        </is>
      </c>
      <c r="C83" s="6" t="inlineStr">
        <is>
          <t>PCTY</t>
        </is>
      </c>
      <c r="D83" s="14" t="inlineStr">
        <is>
          <t>Paylocity Holding Corporation</t>
        </is>
      </c>
      <c r="E83" s="14" t="inlineStr">
        <is>
          <t>P/B 6.52 · 15.1× EBITDA · cash 2% · 52w 69%</t>
        </is>
      </c>
      <c r="F83" s="14" t="n">
        <v>84</v>
      </c>
      <c r="G83" s="14" t="n"/>
      <c r="H83" s="27" t="n">
        <v>80</v>
      </c>
      <c r="I83" s="14" t="inlineStr">
        <is>
          <t>Technology</t>
        </is>
      </c>
      <c r="J83" s="14" t="inlineStr">
        <is>
          <t>P/B 6.52 · EV/EBITDA 15.1× · FCF yld 6% · net cash 2% of mcap · rev +16% · op margin 22% · buying back 2%/yr</t>
        </is>
      </c>
    </row>
    <row r="84" ht="16" customHeight="1">
      <c r="A84" s="15" t="n">
        <v>6</v>
      </c>
      <c r="B84" s="16" t="inlineStr">
        <is>
          <t>signed score 80 | ['BULLISH terminate sell: John F. Marcolini (Senior Vice President) 11,400sh [+18]', 'BULLISH terminate sell: Thomas L. Deitrich (President and Chief Executive ) 9,540sh [+30]', 'BULLISH terminate sell: Thomas L. Deitrich (President and Chief Executive ) 6,904sh [+30]', 'BULLISH terminate sell: Donald L. Reeves (Senior Vice President) 4,170sh [+18]']</t>
        </is>
      </c>
      <c r="C84" s="8" t="inlineStr">
        <is>
          <t>ITRI</t>
        </is>
      </c>
      <c r="D84" s="16" t="inlineStr">
        <is>
          <t>Itron, Inc.</t>
        </is>
      </c>
      <c r="E84" s="16" t="inlineStr">
        <is>
          <t>P/B 2.50 · 8.5× EBITDA · cash 15% · 52w 22%</t>
        </is>
      </c>
      <c r="F84" s="16" t="n">
        <v>84</v>
      </c>
      <c r="G84" s="16" t="n"/>
      <c r="H84" s="28" t="n">
        <v>80</v>
      </c>
      <c r="I84" s="16" t="inlineStr">
        <is>
          <t>Technology</t>
        </is>
      </c>
      <c r="J84" s="16" t="inlineStr">
        <is>
          <t>P/B 2.50 · EV/EBITDA 8.5× · FCF yld 10% · net cash 15% of mcap · rev -6% · op margin 13% · buying back 3%/yr</t>
        </is>
      </c>
    </row>
    <row r="85" ht="16" customHeight="1">
      <c r="A85" s="13" t="n">
        <v>7</v>
      </c>
      <c r="B85" s="14" t="inlineStr">
        <is>
          <t>signed score 80 | ['BULLISH terminate sell: William R. McDermott (Chief Executive Officer) 3,700sh [+30]', 'BULLISH terminate sell: Gina Mastantuono (President and Chief Financial ) 3,700sh [+26]', 'BULLISH terminate sell: Nick Tzitzon (Vice Chairman) 3,700sh [+30]', 'BULLISH terminate sell: Nick Tzitzon (Vice Chairman) 649sh [+30]', 'weak BEARISH adopt sell (small): Gina Mastantuono (Chief Financial Officer) 1,200sh [-3]', 'weak BEARISH adopt sell (small): Kevin McBride (Chief Accounting Officer) 1,120sh [-3]', 'weak BEARISH adopt sell (small): Nick Tzitzon (Vice Chairman) 1,120sh [-3]', 'weak BEARISH adopt sell (small): Paul Fipps (President) 253sh [-3]', 'weak BEARISH adopt sell (small): Gina Mastantuono (Chief Financial Officer) 830sh [-3]', 'weak BEARISH adopt sell (small): Gina Mastantuono (Chief Financial Officer) 352sh [-3]']</t>
        </is>
      </c>
      <c r="C85" s="6" t="inlineStr">
        <is>
          <t>NOW</t>
        </is>
      </c>
      <c r="D85" s="14" t="inlineStr">
        <is>
          <t>ServiceNow, Inc.</t>
        </is>
      </c>
      <c r="E85" s="14" t="inlineStr">
        <is>
          <t>P/B 11.55 · 43.4× EBITDA · debt 3% · 52w 52%</t>
        </is>
      </c>
      <c r="F85" s="14" t="n">
        <v>84</v>
      </c>
      <c r="G85" s="14" t="n"/>
      <c r="H85" s="27" t="n">
        <v>80</v>
      </c>
      <c r="I85" s="14" t="inlineStr">
        <is>
          <t>Technology</t>
        </is>
      </c>
      <c r="J85" s="14" t="inlineStr">
        <is>
          <t>P/B 11.55 · EV/EBITDA 43.4× · FCF yld 3% · net debt 3% of mcap · rev +22% · op margin 11%</t>
        </is>
      </c>
    </row>
    <row r="86" ht="16" customHeight="1">
      <c r="A86" s="15" t="n">
        <v>8</v>
      </c>
      <c r="B86" s="16" t="inlineStr">
        <is>
          <t>signed score 80 | ['BULLISH terminate sell: an insider (?) [+18]', 'BULLISH terminate sell: an insider (director) 13,216sh [+18]', 'BULLISH terminate sell: an insider (?) 139,948sh [+26]', 'BULLISH terminate sell: an insider (director) 38,227sh [+18]']</t>
        </is>
      </c>
      <c r="C86" s="8" t="inlineStr">
        <is>
          <t>SCHW</t>
        </is>
      </c>
      <c r="D86" s="16" t="inlineStr">
        <is>
          <t>Charles Schwab Corporation (The</t>
        </is>
      </c>
      <c r="E86" s="16" t="inlineStr">
        <is>
          <t>P/B 3.50 · P/E 18.1 · 52w 54%</t>
        </is>
      </c>
      <c r="F86" s="16" t="n">
        <v>84</v>
      </c>
      <c r="G86" s="16" t="n"/>
      <c r="H86" s="28" t="n">
        <v>80</v>
      </c>
      <c r="I86" s="16" t="inlineStr">
        <is>
          <t>Financial Services</t>
        </is>
      </c>
      <c r="J86" s="16" t="inlineStr">
        <is>
          <t>P/B 3.50 · P/E 18.1 · ROE 20% · div yld 1.2% · buying back 5%/yr (financial: book/earnings basis)</t>
        </is>
      </c>
    </row>
    <row r="87"/>
    <row r="88" ht="22" customHeight="1">
      <c r="A88" s="42" t="inlineStr">
        <is>
          <t>Largest insider Form 4 dollar cluster</t>
        </is>
      </c>
    </row>
    <row r="89">
      <c r="A89" s="43" t="inlineStr">
        <is>
          <t>What it measures: insider conviction in dollars</t>
        </is>
      </c>
    </row>
    <row r="90" ht="18" customHeight="1">
      <c r="A90" s="4" t="inlineStr">
        <is>
          <t>#</t>
        </is>
      </c>
      <c r="B90" s="12" t="inlineStr">
        <is>
          <t>Detail</t>
        </is>
      </c>
      <c r="C90" s="12" t="inlineStr">
        <is>
          <t>Ticker</t>
        </is>
      </c>
      <c r="D90" s="12" t="inlineStr">
        <is>
          <t>Name</t>
        </is>
      </c>
      <c r="E90" s="12" t="n"/>
      <c r="F90" s="12" t="n"/>
      <c r="G90" s="12" t="n"/>
      <c r="H90" s="4" t="inlineStr">
        <is>
          <t>Score</t>
        </is>
      </c>
      <c r="I90" s="12" t="inlineStr">
        <is>
          <t>Sector</t>
        </is>
      </c>
      <c r="J90" s="12" t="n"/>
    </row>
    <row r="91" ht="16" customHeight="1">
      <c r="A91" s="13" t="n">
        <v>1</v>
      </c>
      <c r="B91" s="14" t="inlineStr">
        <is>
          <t>$105.1M cluster, 2 buyers (0.07% of mcap)</t>
        </is>
      </c>
      <c r="C91" s="6" t="inlineStr">
        <is>
          <t>BX</t>
        </is>
      </c>
      <c r="D91" s="14" t="inlineStr">
        <is>
          <t>Blackstone Inc.</t>
        </is>
      </c>
      <c r="E91" s="14" t="inlineStr">
        <is>
          <t>P/B 16.15 · P/E 26.6 · 52w 22%</t>
        </is>
      </c>
      <c r="F91" s="14" t="n">
        <v>99</v>
      </c>
      <c r="G91" s="14" t="n"/>
      <c r="H91" s="27" t="n">
        <v>105122527.2</v>
      </c>
      <c r="I91" s="14" t="inlineStr">
        <is>
          <t>Financial Services</t>
        </is>
      </c>
      <c r="J91" s="14" t="inlineStr">
        <is>
          <t>P/B 16.15 · P/E 26.6 · ROE 41% · div yld 4.4% (financial: book/earnings basis)</t>
        </is>
      </c>
    </row>
    <row r="92" ht="16" customHeight="1">
      <c r="A92" s="15" t="n">
        <v>2</v>
      </c>
      <c r="B92" s="16" t="inlineStr">
        <is>
          <t>$100.5M cluster, 1 buyers (0.15% of mcap)</t>
        </is>
      </c>
      <c r="C92" s="8" t="inlineStr">
        <is>
          <t>RSG</t>
        </is>
      </c>
      <c r="D92" s="16" t="inlineStr">
        <is>
          <t>Republic Services, Inc.</t>
        </is>
      </c>
      <c r="E92" s="16" t="inlineStr">
        <is>
          <t>P/B 5.46 · 14.2× EBITDA · debt 22% · 52w 46%</t>
        </is>
      </c>
      <c r="F92" s="16" t="n">
        <v>98</v>
      </c>
      <c r="G92" s="16" t="n"/>
      <c r="H92" s="28" t="n">
        <v>100528322</v>
      </c>
      <c r="I92" s="16" t="inlineStr">
        <is>
          <t>Industrials</t>
        </is>
      </c>
      <c r="J92" s="16" t="inlineStr">
        <is>
          <t>P/B 5.46 · EV/EBITDA 14.2× · FCF yld 5% · net debt 22% of mcap · rev +3% · op margin 20%</t>
        </is>
      </c>
    </row>
    <row r="93" ht="16" customHeight="1">
      <c r="A93" s="13" t="n">
        <v>3</v>
      </c>
      <c r="B93" s="14" t="inlineStr">
        <is>
          <t>$75.3M cluster, 7 buyers (7.29% of mcap)</t>
        </is>
      </c>
      <c r="C93" s="6" t="inlineStr">
        <is>
          <t>ODTX</t>
        </is>
      </c>
      <c r="D93" s="14" t="inlineStr">
        <is>
          <t>Odyssey Therapeutics, Inc.</t>
        </is>
      </c>
      <c r="E93" s="14" t="inlineStr">
        <is>
          <t>P/B 2.45 · cash 28% · 52w 46%</t>
        </is>
      </c>
      <c r="F93" s="14" t="n">
        <v>97</v>
      </c>
      <c r="G93" s="14" t="n"/>
      <c r="H93" s="27" t="n">
        <v>75319986</v>
      </c>
      <c r="I93" s="14" t="inlineStr">
        <is>
          <t>Healthcare</t>
        </is>
      </c>
      <c r="J93" s="14" t="inlineStr">
        <is>
          <t>P/B 2.45 · P/S 0.0 · FCF yld -8% · net cash 28% of mcap · op margin 0%</t>
        </is>
      </c>
    </row>
    <row r="94" ht="16" customHeight="1">
      <c r="A94" s="15" t="n">
        <v>4</v>
      </c>
      <c r="B94" s="16" t="inlineStr">
        <is>
          <t>$75.0M cluster, 1 buyers (20.08% of mcap)</t>
        </is>
      </c>
      <c r="C94" s="8" t="inlineStr">
        <is>
          <t>ARTV</t>
        </is>
      </c>
      <c r="D94" s="16" t="inlineStr">
        <is>
          <t>Artiva Biotherapeutics, Inc.</t>
        </is>
      </c>
      <c r="E94" s="16" t="inlineStr">
        <is>
          <t>P/B 1.07 · cash 91% · 52w 43%</t>
        </is>
      </c>
      <c r="F94" s="16" t="n">
        <v>95</v>
      </c>
      <c r="G94" s="16" t="n"/>
      <c r="H94" s="28" t="n">
        <v>74999992.3</v>
      </c>
      <c r="I94" s="16" t="inlineStr">
        <is>
          <t>Healthcare</t>
        </is>
      </c>
      <c r="J94" s="16" t="inlineStr">
        <is>
          <t>P/B 1.07 · P/S 0.0 · FCF yld -26% · net cash 91% of mcap · op margin 0% · diluting 62%/yr</t>
        </is>
      </c>
    </row>
    <row r="95" ht="16" customHeight="1">
      <c r="A95" s="13" t="n">
        <v>5</v>
      </c>
      <c r="B95" s="14" t="inlineStr">
        <is>
          <t>$74.0M cluster, 1 buyers (2.80% of mcap)</t>
        </is>
      </c>
      <c r="C95" s="6" t="inlineStr">
        <is>
          <t>WGS</t>
        </is>
      </c>
      <c r="D95" s="14" t="inlineStr">
        <is>
          <t>GeneDx Holdings Corp.</t>
        </is>
      </c>
      <c r="E95" s="14" t="inlineStr">
        <is>
          <t>P/B 10.81 · debt 1% · 52w 41%</t>
        </is>
      </c>
      <c r="F95" s="14" t="n">
        <v>94</v>
      </c>
      <c r="G95" s="14" t="n"/>
      <c r="H95" s="27" t="n">
        <v>74032163.40000001</v>
      </c>
      <c r="I95" s="14" t="inlineStr">
        <is>
          <t>Healthcare</t>
        </is>
      </c>
      <c r="J95" s="14" t="inlineStr">
        <is>
          <t>P/B 10.81 · P/S 5.6 · FCF yld -3% · net debt 1% of mcap · rev +25% · op margin -13%</t>
        </is>
      </c>
    </row>
    <row r="96" ht="16" customHeight="1">
      <c r="A96" s="15" t="n">
        <v>6</v>
      </c>
      <c r="B96" s="16" t="inlineStr">
        <is>
          <t>$65.9M cluster, 2 buyers (4.20% of mcap)</t>
        </is>
      </c>
      <c r="C96" s="8" t="inlineStr">
        <is>
          <t>ALKT</t>
        </is>
      </c>
      <c r="D96" s="16" t="inlineStr">
        <is>
          <t>Alkami Technology, Inc.</t>
        </is>
      </c>
      <c r="E96" s="16" t="inlineStr">
        <is>
          <t>P/B 4.33 · debt 18% · 52w 6%</t>
        </is>
      </c>
      <c r="F96" s="16" t="n">
        <v>93</v>
      </c>
      <c r="G96" s="16" t="n"/>
      <c r="H96" s="28" t="n">
        <v>65859500</v>
      </c>
      <c r="I96" s="16" t="inlineStr">
        <is>
          <t>Technology</t>
        </is>
      </c>
      <c r="J96" s="16" t="inlineStr">
        <is>
          <t>P/B 4.33 · P/S 3.2 · FCF yld 4% · net debt 18% of mcap · rev +27% · op margin -7% · diluting 3%/yr · interest cover -3.6× ⚠</t>
        </is>
      </c>
    </row>
    <row r="97" ht="16" customHeight="1">
      <c r="A97" s="13" t="n">
        <v>7</v>
      </c>
      <c r="B97" s="14" t="inlineStr">
        <is>
          <t>$54.4M cluster, 9 buyers</t>
        </is>
      </c>
      <c r="C97" s="6" t="inlineStr">
        <is>
          <t>NONE</t>
        </is>
      </c>
      <c r="D97" s="14" t="inlineStr">
        <is>
          <t>–</t>
        </is>
      </c>
      <c r="E97" s="14" t="n"/>
      <c r="F97" s="14" t="n">
        <v>91</v>
      </c>
      <c r="G97" s="14" t="n"/>
      <c r="H97" s="27" t="n">
        <v>54366421.6</v>
      </c>
      <c r="I97" s="14" t="inlineStr">
        <is>
          <t>–</t>
        </is>
      </c>
      <c r="J97" s="14" t="n"/>
    </row>
    <row r="98" ht="16" customHeight="1">
      <c r="A98" s="15" t="n">
        <v>8</v>
      </c>
      <c r="B98" s="16" t="inlineStr">
        <is>
          <t>$45.7M cluster, 5 buyers (0.05% of mcap)</t>
        </is>
      </c>
      <c r="C98" s="8" t="inlineStr">
        <is>
          <t>KKR</t>
        </is>
      </c>
      <c r="D98" s="16" t="inlineStr">
        <is>
          <t>KKR &amp; Co. Inc.</t>
        </is>
      </c>
      <c r="E98" s="16" t="inlineStr">
        <is>
          <t>P/B 2.81 · P/E 28.8 · 52w 22%</t>
        </is>
      </c>
      <c r="F98" s="16" t="n">
        <v>90</v>
      </c>
      <c r="G98" s="16" t="n"/>
      <c r="H98" s="28" t="n">
        <v>45684632.3</v>
      </c>
      <c r="I98" s="16" t="inlineStr">
        <is>
          <t>Financial Services</t>
        </is>
      </c>
      <c r="J98" s="16" t="inlineStr">
        <is>
          <t>P/B 2.81 · P/E 28.8 · ROE 10% · div yld 0.8% (financial: book/earnings basis)</t>
        </is>
      </c>
    </row>
    <row r="99"/>
    <row r="100" ht="22" customHeight="1">
      <c r="A100" s="42" t="inlineStr">
        <is>
          <t>Live tender / 13E-3 events</t>
        </is>
      </c>
    </row>
    <row r="101">
      <c r="A101" s="43" t="inlineStr">
        <is>
          <t>What it measures: mechanical bid as floor</t>
        </is>
      </c>
    </row>
    <row r="102" ht="18" customHeight="1">
      <c r="A102" s="4" t="inlineStr">
        <is>
          <t>#</t>
        </is>
      </c>
      <c r="B102" s="12" t="inlineStr">
        <is>
          <t>Detail</t>
        </is>
      </c>
      <c r="C102" s="12" t="inlineStr">
        <is>
          <t>Ticker</t>
        </is>
      </c>
      <c r="D102" s="12" t="inlineStr">
        <is>
          <t>Name</t>
        </is>
      </c>
      <c r="E102" s="12" t="n"/>
      <c r="F102" s="12" t="n"/>
      <c r="G102" s="12" t="n"/>
      <c r="H102" s="4" t="inlineStr">
        <is>
          <t>Score</t>
        </is>
      </c>
      <c r="I102" s="12" t="inlineStr">
        <is>
          <t>Sector</t>
        </is>
      </c>
      <c r="J102" s="12" t="n"/>
    </row>
    <row r="103" ht="16" customHeight="1">
      <c r="A103" s="13" t="n">
        <v>1</v>
      </c>
      <c r="B103" s="14" t="inlineStr">
        <is>
          <t>SELF_TENDER | live event</t>
        </is>
      </c>
      <c r="C103" s="6" t="inlineStr">
        <is>
          <t>EXFY</t>
        </is>
      </c>
      <c r="D103" s="14" t="inlineStr">
        <is>
          <t>Expensify, Inc.</t>
        </is>
      </c>
      <c r="E103" s="14" t="inlineStr">
        <is>
          <t>P/B 1.71 · cash 29% · 52w 80%</t>
        </is>
      </c>
      <c r="F103" s="14" t="n">
        <v>39</v>
      </c>
      <c r="G103" s="14" t="n"/>
      <c r="H103" s="27" t="n">
        <v>1</v>
      </c>
      <c r="I103" s="14" t="inlineStr">
        <is>
          <t>Technology</t>
        </is>
      </c>
      <c r="J103" s="14" t="inlineStr">
        <is>
          <t>P/B 1.71 · P/S 1.6 · FCF yld 6% · net cash 29% of mcap · rev -4% · op margin -8% · diluting 3%/yr</t>
        </is>
      </c>
    </row>
    <row r="104" ht="16" customHeight="1">
      <c r="A104" s="15" t="n">
        <v>2</v>
      </c>
      <c r="B104" s="16" t="inlineStr">
        <is>
          <t>SELF_TENDER | live event</t>
        </is>
      </c>
      <c r="C104" s="8" t="inlineStr">
        <is>
          <t>ABX</t>
        </is>
      </c>
      <c r="D104" s="16" t="inlineStr">
        <is>
          <t>Abacus Global Management, Inc.</t>
        </is>
      </c>
      <c r="E104" s="16" t="inlineStr">
        <is>
          <t>P/B 1.70 · P/E 26.3 · 52w 37%</t>
        </is>
      </c>
      <c r="F104" s="16" t="n">
        <v>39</v>
      </c>
      <c r="G104" s="16" t="n"/>
      <c r="H104" s="28" t="n">
        <v>1</v>
      </c>
      <c r="I104" s="16" t="inlineStr">
        <is>
          <t>Financial Services</t>
        </is>
      </c>
      <c r="J104" s="16" t="inlineStr">
        <is>
          <t>P/B 1.70 · P/E 26.3 · ROE 7% · div yld 2.6% · diluting 2%/yr (financial: book/earnings basis)</t>
        </is>
      </c>
    </row>
    <row r="105" ht="16" customHeight="1">
      <c r="A105" s="13" t="n">
        <v>3</v>
      </c>
      <c r="B105" s="14" t="inlineStr">
        <is>
          <t>SELF_TENDER | live event</t>
        </is>
      </c>
      <c r="C105" s="6" t="inlineStr">
        <is>
          <t>ABXL</t>
        </is>
      </c>
      <c r="D105" s="14" t="inlineStr">
        <is>
          <t>Abacus Global Management, Inc. -</t>
        </is>
      </c>
      <c r="E105" s="14" t="inlineStr">
        <is>
          <t>P/B 5.62 · P/E 81.1 · 52w 26%</t>
        </is>
      </c>
      <c r="F105" s="14" t="n">
        <v>39</v>
      </c>
      <c r="G105" s="14" t="n"/>
      <c r="H105" s="27" t="n">
        <v>1</v>
      </c>
      <c r="I105" s="14" t="inlineStr">
        <is>
          <t>Financial Services</t>
        </is>
      </c>
      <c r="J105" s="14" t="inlineStr">
        <is>
          <t>P/B 5.62 · P/E 81.1 · ROE 7% · div yld 9.8% · diluting 29%/yr (financial: book/earnings basis)</t>
        </is>
      </c>
    </row>
    <row r="106" ht="16" customHeight="1">
      <c r="A106" s="15" t="n">
        <v>4</v>
      </c>
      <c r="B106" s="16" t="inlineStr">
        <is>
          <t>TARGET | live event</t>
        </is>
      </c>
      <c r="C106" s="8" t="inlineStr">
        <is>
          <t>ASRT</t>
        </is>
      </c>
      <c r="D106" s="16" t="inlineStr">
        <is>
          <t>Assertio Holdings, Inc.</t>
        </is>
      </c>
      <c r="E106" s="16" t="inlineStr">
        <is>
          <t>P/B 2.01 · cash 21% · 52w 100%</t>
        </is>
      </c>
      <c r="F106" s="16" t="n">
        <v>39</v>
      </c>
      <c r="G106" s="16" t="n"/>
      <c r="H106" s="28" t="n">
        <v>1</v>
      </c>
      <c r="I106" s="16" t="inlineStr">
        <is>
          <t>Healthcare</t>
        </is>
      </c>
      <c r="J106" s="16" t="inlineStr">
        <is>
          <t>P/B 2.01 · P/S 1.5 · FCF yld -5% · net cash 21% of mcap · rev -14% · op margin -22%</t>
        </is>
      </c>
    </row>
    <row r="107" ht="16" customHeight="1">
      <c r="A107" s="13" t="n">
        <v>5</v>
      </c>
      <c r="B107" s="14" t="inlineStr">
        <is>
          <t>UNKNOWN | live event</t>
        </is>
      </c>
      <c r="C107" s="6" t="inlineStr">
        <is>
          <t>AUPH</t>
        </is>
      </c>
      <c r="D107" s="14" t="inlineStr">
        <is>
          <t>Aurinia Pharmaceuticals Inc</t>
        </is>
      </c>
      <c r="E107" s="14" t="inlineStr">
        <is>
          <t>P/B 3.48 · 10.6× EBITDA · cash 18% · 52w 71%</t>
        </is>
      </c>
      <c r="F107" s="14" t="n">
        <v>39</v>
      </c>
      <c r="G107" s="14" t="n"/>
      <c r="H107" s="27" t="n">
        <v>1</v>
      </c>
      <c r="I107" s="14" t="inlineStr">
        <is>
          <t>Healthcare</t>
        </is>
      </c>
      <c r="J107" s="14" t="inlineStr">
        <is>
          <t>P/B 3.48 · EV/EBITDA 10.6× · FCF yld 8% · net cash 18% of mcap · rev +20% · op margin 48% · buying back 7%/yr</t>
        </is>
      </c>
    </row>
    <row r="108" ht="16" customHeight="1">
      <c r="A108" s="15" t="n">
        <v>6</v>
      </c>
      <c r="B108" s="16" t="inlineStr">
        <is>
          <t>UNKNOWN | live event</t>
        </is>
      </c>
      <c r="C108" s="8" t="inlineStr">
        <is>
          <t>BCIC</t>
        </is>
      </c>
      <c r="D108" s="16" t="inlineStr">
        <is>
          <t>BCP Investment Corporation</t>
        </is>
      </c>
      <c r="E108" s="16" t="inlineStr">
        <is>
          <t>P/B 0.49 · 52w 6%</t>
        </is>
      </c>
      <c r="F108" s="16" t="n">
        <v>39</v>
      </c>
      <c r="G108" s="16" t="n"/>
      <c r="H108" s="28" t="n">
        <v>1</v>
      </c>
      <c r="I108" s="16" t="inlineStr">
        <is>
          <t>Financial Services</t>
        </is>
      </c>
      <c r="J108" s="16" t="inlineStr">
        <is>
          <t>P/B 0.49 · ROE -2% · div yld 12.6% · diluting 34%/yr (financial: book/earnings basis)  [revenue not comparable YoY (fair-value / one-off income?)]</t>
        </is>
      </c>
    </row>
    <row r="109" ht="16" customHeight="1">
      <c r="A109" s="13" t="n">
        <v>7</v>
      </c>
      <c r="B109" s="14" t="inlineStr">
        <is>
          <t>SELF_TENDER | live event</t>
        </is>
      </c>
      <c r="C109" s="6" t="inlineStr">
        <is>
          <t>BCX</t>
        </is>
      </c>
      <c r="D109" s="14" t="inlineStr">
        <is>
          <t>BlackRock Resources  of Benefic</t>
        </is>
      </c>
      <c r="E109" s="14" t="inlineStr">
        <is>
          <t>P/B 1.02 · P/E 4.7 · 52w 63%</t>
        </is>
      </c>
      <c r="F109" s="14" t="n">
        <v>39</v>
      </c>
      <c r="G109" s="14" t="n"/>
      <c r="H109" s="27" t="n">
        <v>1</v>
      </c>
      <c r="I109" s="14" t="inlineStr">
        <is>
          <t>Financial Services</t>
        </is>
      </c>
      <c r="J109" s="14" t="inlineStr">
        <is>
          <t>P/B 1.02 · P/E 4.7 · ROE 22% · div yld 6.8% (financial: book/earnings basis)</t>
        </is>
      </c>
    </row>
    <row r="110" ht="16" customHeight="1">
      <c r="A110" s="15" t="n">
        <v>8</v>
      </c>
      <c r="B110" s="16" t="inlineStr">
        <is>
          <t>SELF_TENDER | live event</t>
        </is>
      </c>
      <c r="C110" s="8" t="inlineStr">
        <is>
          <t>BGY</t>
        </is>
      </c>
      <c r="D110" s="16" t="inlineStr">
        <is>
          <t>Blackrock Enhanced Internationa</t>
        </is>
      </c>
      <c r="E110" s="16" t="inlineStr">
        <is>
          <t>P/B 0.91 · P/E 9.2 · 52w 59%</t>
        </is>
      </c>
      <c r="F110" s="16" t="n">
        <v>39</v>
      </c>
      <c r="G110" s="16" t="n"/>
      <c r="H110" s="28" t="n">
        <v>1</v>
      </c>
      <c r="I110" s="16" t="inlineStr">
        <is>
          <t>Financial Services</t>
        </is>
      </c>
      <c r="J110" s="16" t="inlineStr">
        <is>
          <t>P/B 0.91 · P/E 9.2 · ROE 10% · div yld 8.9% (financial: book/earnings basis)</t>
        </is>
      </c>
    </row>
    <row r="111" ht="16" customHeight="1">
      <c r="A111" s="13" t="n">
        <v>9</v>
      </c>
      <c r="B111" s="14" t="inlineStr">
        <is>
          <t>UNKNOWN | live event</t>
        </is>
      </c>
      <c r="C111" s="6" t="inlineStr">
        <is>
          <t>BHC</t>
        </is>
      </c>
      <c r="D111" s="14" t="inlineStr">
        <is>
          <t>Bausch Health Companies Inc.</t>
        </is>
      </c>
      <c r="E111" s="14" t="inlineStr">
        <is>
          <t>10.3× EBITDA · 52w 39%</t>
        </is>
      </c>
      <c r="F111" s="14" t="n">
        <v>39</v>
      </c>
      <c r="G111" s="14" t="n"/>
      <c r="H111" s="27" t="n">
        <v>1</v>
      </c>
      <c r="I111" s="14" t="inlineStr">
        <is>
          <t>Healthcare</t>
        </is>
      </c>
      <c r="J111" s="14" t="inlineStr">
        <is>
          <t>EV/EBITDA 10.3× · FCF yld 65% · rev +10% · op margin 25%  [negative equity]</t>
        </is>
      </c>
    </row>
    <row r="112" ht="16" customHeight="1">
      <c r="A112" s="15" t="n">
        <v>10</v>
      </c>
      <c r="B112" s="16" t="inlineStr">
        <is>
          <t>BIDDER | live event</t>
        </is>
      </c>
      <c r="C112" s="8" t="inlineStr">
        <is>
          <t>BIIB</t>
        </is>
      </c>
      <c r="D112" s="16" t="inlineStr">
        <is>
          <t>Biogen Inc.</t>
        </is>
      </c>
      <c r="E112" s="16" t="inlineStr">
        <is>
          <t>P/B 1.76 · 24.3× EBITDA · debt 21% · 52w 95%</t>
        </is>
      </c>
      <c r="F112" s="16" t="n">
        <v>39</v>
      </c>
      <c r="G112" s="16" t="n"/>
      <c r="H112" s="28" t="n">
        <v>1</v>
      </c>
      <c r="I112" s="16" t="inlineStr">
        <is>
          <t>Healthcare</t>
        </is>
      </c>
      <c r="J112" s="16" t="inlineStr">
        <is>
          <t>P/B 1.76 · EV/EBITDA 24.3× · FCF yld 9% · net debt 21% of mcap · rev -0% · op margin 13%</t>
        </is>
      </c>
    </row>
    <row r="113"/>
    <row r="114"/>
    <row r="115" ht="28" customHeight="1">
      <c r="A115" s="17" t="inlineStr">
        <is>
          <t>Each section ranks names by a SINGLE measure regardless of whether other layers fire. These are 'exceptional by one 'criterion' -- examples: ODTX archetype (insider cluster only), GETY (live self-tender only), CDE (CEO 10b5-1 termination only). Such names rarely appear in the consensus convergent list because they don't fire multiple layers, but they can be the right pick for a single-mandate position.</t>
        </is>
      </c>
    </row>
  </sheetData>
  <mergeCells count="21">
    <mergeCell ref="A65:I65"/>
    <mergeCell ref="A41:I41"/>
    <mergeCell ref="A89:I89"/>
    <mergeCell ref="A101:I101"/>
    <mergeCell ref="A2:I2"/>
    <mergeCell ref="A5:I5"/>
    <mergeCell ref="A76:I76"/>
    <mergeCell ref="A17:I17"/>
    <mergeCell ref="A16:I16"/>
    <mergeCell ref="A53:I53"/>
    <mergeCell ref="A100:I100"/>
    <mergeCell ref="A4:I4"/>
    <mergeCell ref="A29:I29"/>
    <mergeCell ref="A52:I52"/>
    <mergeCell ref="A28:I28"/>
    <mergeCell ref="A115:I115"/>
    <mergeCell ref="A40:I40"/>
    <mergeCell ref="A77:I77"/>
    <mergeCell ref="A64:I64"/>
    <mergeCell ref="A88:I88"/>
    <mergeCell ref="A1:I1"/>
  </mergeCells>
  <conditionalFormatting sqref="F7:F115">
    <cfRule type="dataBar" priority="1">
      <dataBar showValue="1">
        <cfvo type="num" val="0"/>
        <cfvo type="num" val="100"/>
        <color rgb="009DB9D3"/>
      </dataBar>
    </cfRule>
  </conditionalFormatting>
  <hyperlinks>
    <hyperlink xmlns:r="http://schemas.openxmlformats.org/officeDocument/2006/relationships" ref="C8" r:id="rId1"/>
    <hyperlink xmlns:r="http://schemas.openxmlformats.org/officeDocument/2006/relationships" ref="C9" r:id="rId2"/>
    <hyperlink xmlns:r="http://schemas.openxmlformats.org/officeDocument/2006/relationships" ref="C19" r:id="rId3"/>
    <hyperlink xmlns:r="http://schemas.openxmlformats.org/officeDocument/2006/relationships" ref="C24" r:id="rId4"/>
    <hyperlink xmlns:r="http://schemas.openxmlformats.org/officeDocument/2006/relationships" ref="C71" r:id="rId5"/>
    <hyperlink xmlns:r="http://schemas.openxmlformats.org/officeDocument/2006/relationships" ref="C73" r:id="rId6"/>
    <hyperlink xmlns:r="http://schemas.openxmlformats.org/officeDocument/2006/relationships" ref="C96" r:id="rId7"/>
    <hyperlink xmlns:r="http://schemas.openxmlformats.org/officeDocument/2006/relationships" ref="C108" r:id="rId8"/>
    <hyperlink xmlns:r="http://schemas.openxmlformats.org/officeDocument/2006/relationships" ref="C111" r:id="rId9"/>
  </hyperlinks>
  <printOptions horizontalCentered="0"/>
  <pageMargins left="0.5" right="0.5" top="0.6" bottom="0.6" header="0.5" footer="0.5"/>
  <pageSetup orientation="landscape" fitToHeight="0" fitToWidth="1"/>
</worksheet>
</file>

<file path=xl/worksheets/sheet31.xml><?xml version="1.0" encoding="utf-8"?>
<worksheet xmlns="http://schemas.openxmlformats.org/spreadsheetml/2006/main">
  <sheetPr>
    <tabColor rgb="0070AD47"/>
    <outlinePr summaryBelow="1" summaryRight="1"/>
    <pageSetUpPr fitToPage="1"/>
  </sheetPr>
  <dimension ref="A1:L36"/>
  <sheetViews>
    <sheetView showGridLines="0" workbookViewId="0">
      <pane ySplit="4" topLeftCell="A5" activePane="bottomLeft" state="frozen"/>
      <selection pane="bottomLeft" activeCell="A1" sqref="A1"/>
    </sheetView>
  </sheetViews>
  <sheetFormatPr baseColWidth="8" defaultRowHeight="15"/>
  <cols>
    <col width="9" customWidth="1" min="1" max="1"/>
    <col width="13" customWidth="1" min="2" max="2"/>
    <col width="32" customWidth="1" min="3" max="3"/>
    <col width="30" customWidth="1" min="4" max="4"/>
    <col width="9" customWidth="1" min="5" max="5"/>
    <col width="48" customWidth="1" min="6" max="6"/>
    <col width="14" customWidth="1" min="7" max="7"/>
    <col width="14" customWidth="1" min="8" max="8"/>
    <col width="14" customWidth="1" min="9" max="9"/>
    <col width="14" customWidth="1" min="10" max="10"/>
    <col width="50" customWidth="1" min="11" max="11"/>
    <col width="62" customWidth="1" min="12" max="12"/>
  </cols>
  <sheetData>
    <row r="1" ht="26" customHeight="1">
      <c r="A1" s="1" t="inlineStr">
        <is>
          <t>Top of Universe -- Without Valuation Leg</t>
        </is>
      </c>
    </row>
    <row r="2" ht="18" customHeight="1">
      <c r="A2" s="20" t="inlineStr">
        <is>
          <t>Parallel ranking that excludes valuation entirely so names missing yfinance overlay are not penalised. Compared against the valuation-included ranking to identify structurally-strong-but-valuation-hidden names.</t>
        </is>
      </c>
      <c r="B2" s="19" t="n"/>
      <c r="C2" s="19" t="n"/>
      <c r="D2" s="19" t="n"/>
      <c r="E2" s="19" t="n"/>
      <c r="F2" s="19" t="n"/>
      <c r="G2" s="19" t="n"/>
      <c r="H2" s="19" t="n"/>
      <c r="I2" s="19" t="n"/>
      <c r="J2" s="19" t="n"/>
      <c r="K2" s="19" t="n"/>
    </row>
    <row r="3" ht="8" customHeight="1">
      <c r="E3" s="34" t="inlineStr">
        <is>
          <t>%ile vs the 30 names on this tab</t>
        </is>
      </c>
    </row>
    <row r="4" ht="18" customHeight="1">
      <c r="A4" s="4" t="inlineStr">
        <is>
          <t>#</t>
        </is>
      </c>
      <c r="B4" s="12" t="inlineStr">
        <is>
          <t>Ticker</t>
        </is>
      </c>
      <c r="C4" s="12" t="inlineStr">
        <is>
          <t>Name</t>
        </is>
      </c>
      <c r="D4" s="12" t="inlineStr">
        <is>
          <t>Key numbers (FMP)</t>
        </is>
      </c>
      <c r="E4" s="12" t="inlineStr">
        <is>
          <t>Strength %ile</t>
        </is>
      </c>
      <c r="F4" s="12" t="inlineStr">
        <is>
          <t>PSU plan (grade)</t>
        </is>
      </c>
      <c r="G4" s="4" t="inlineStr">
        <is>
          <t>Layers</t>
        </is>
      </c>
      <c r="H4" s="4" t="inlineStr">
        <is>
          <t>Consensus</t>
        </is>
      </c>
      <c r="I4" s="4" t="inlineStr">
        <is>
          <t>Lift vs val</t>
        </is>
      </c>
      <c r="J4" s="12" t="inlineStr">
        <is>
          <t>Sector</t>
        </is>
      </c>
      <c r="K4" s="12" t="inlineStr">
        <is>
          <t>Detail</t>
        </is>
      </c>
      <c r="L4" s="12" t="inlineStr">
        <is>
          <t>FMP financial read</t>
        </is>
      </c>
    </row>
    <row r="5" ht="22" customHeight="1">
      <c r="A5" s="13" t="n">
        <v>1</v>
      </c>
      <c r="B5" s="6" t="inlineStr">
        <is>
          <t>CRM</t>
        </is>
      </c>
      <c r="C5" s="14" t="inlineStr">
        <is>
          <t>Salesforce, Inc.</t>
        </is>
      </c>
      <c r="D5" s="14" t="inlineStr">
        <is>
          <t>P/B 3.25 · 14.5× EBITDA · cash 0% · 52w 75%</t>
        </is>
      </c>
      <c r="E5" s="14" t="n">
        <v>85</v>
      </c>
      <c r="F5" s="14" t="inlineStr">
        <is>
          <t>A · 3-yr · relative TSR, revenue, operating income / margin, absolute TSR · paid 112%</t>
        </is>
      </c>
      <c r="G5" s="13" t="n">
        <v>8</v>
      </c>
      <c r="H5" s="27" t="n">
        <v>5.662</v>
      </c>
      <c r="I5" s="14" t="inlineStr">
        <is>
          <t>–</t>
        </is>
      </c>
      <c r="J5" s="14" t="inlineStr">
        <is>
          <t>Technology</t>
        </is>
      </c>
      <c r="K5" s="14" t="inlineStr">
        <is>
          <t>PSU:28 BB:8 C10:-5 F4:11 RI:61</t>
        </is>
      </c>
      <c r="L5" s="14" t="inlineStr">
        <is>
          <t>P/B 3.25 · EV/EBITDA 14.5× · FCF yld 8% · net cash 0% of mcap · rev +8% · op margin 21%</t>
        </is>
      </c>
    </row>
    <row r="6" ht="22" customHeight="1">
      <c r="A6" s="15" t="n">
        <v>2</v>
      </c>
      <c r="B6" s="8" t="inlineStr">
        <is>
          <t>FOUR</t>
        </is>
      </c>
      <c r="C6" s="16" t="inlineStr">
        <is>
          <t>Shift4 Payments, Inc.</t>
        </is>
      </c>
      <c r="D6" s="16" t="inlineStr">
        <is>
          <t>P/B 2.17 · 8.4× EBITDA · debt 120% · 52w 8%</t>
        </is>
      </c>
      <c r="E6" s="16" t="n">
        <v>98</v>
      </c>
      <c r="F6" s="16" t="n"/>
      <c r="G6" s="15" t="n">
        <v>7</v>
      </c>
      <c r="H6" s="28" t="n">
        <v>6.144</v>
      </c>
      <c r="I6" s="15" t="n">
        <v>9</v>
      </c>
      <c r="J6" s="16" t="inlineStr">
        <is>
          <t>Technology</t>
        </is>
      </c>
      <c r="K6" s="16" t="inlineStr">
        <is>
          <t>PSU:28 BB:5 F4:10 RI:51</t>
        </is>
      </c>
      <c r="L6" s="16" t="inlineStr">
        <is>
          <t>P/B 2.17 · EV/EBITDA 8.4× · FCF yld 15% · net debt 120% of mcap · rev +32% · op margin 8% · buying back 11%/yr</t>
        </is>
      </c>
    </row>
    <row r="7" ht="22" customHeight="1">
      <c r="A7" s="13" t="n">
        <v>3</v>
      </c>
      <c r="B7" s="6" t="inlineStr">
        <is>
          <t>HUBS</t>
        </is>
      </c>
      <c r="C7" s="14" t="inlineStr">
        <is>
          <t>HubSpot, Inc.</t>
        </is>
      </c>
      <c r="D7" s="14" t="inlineStr">
        <is>
          <t>P/B 7.00 · 38.5× EBITDA · cash 9% · 52w 16%</t>
        </is>
      </c>
      <c r="E7" s="14" t="n">
        <v>95</v>
      </c>
      <c r="F7" s="14" t="n"/>
      <c r="G7" s="13" t="n">
        <v>7</v>
      </c>
      <c r="H7" s="27" t="n">
        <v>6.072</v>
      </c>
      <c r="I7" s="13" t="n">
        <v>9</v>
      </c>
      <c r="J7" s="14" t="inlineStr">
        <is>
          <t>Technology</t>
        </is>
      </c>
      <c r="K7" s="14" t="inlineStr">
        <is>
          <t>PSU:25 BB:5 F4:17 RI:57</t>
        </is>
      </c>
      <c r="L7" s="14" t="inlineStr">
        <is>
          <t>P/B 7.00 · EV/EBITDA 38.5× · FCF yld 7% · net cash 9% of mcap · rev +21% · op margin 4% · buying back 4%/yr</t>
        </is>
      </c>
    </row>
    <row r="8" ht="22" customHeight="1">
      <c r="A8" s="15" t="n">
        <v>4</v>
      </c>
      <c r="B8" s="8" t="inlineStr">
        <is>
          <t>OLED</t>
        </is>
      </c>
      <c r="C8" s="16" t="inlineStr">
        <is>
          <t>Universal Display Corporation</t>
        </is>
      </c>
      <c r="D8" s="16" t="inlineStr">
        <is>
          <t>P/B 2.12 · 13.3× EBITDA · cash 13% · 52w 3%</t>
        </is>
      </c>
      <c r="E8" s="16" t="n">
        <v>92</v>
      </c>
      <c r="F8" s="16" t="n"/>
      <c r="G8" s="15" t="n">
        <v>7</v>
      </c>
      <c r="H8" s="28" t="n">
        <v>6.004</v>
      </c>
      <c r="I8" s="15" t="n">
        <v>23</v>
      </c>
      <c r="J8" s="16" t="inlineStr">
        <is>
          <t>Technology</t>
        </is>
      </c>
      <c r="K8" s="16" t="inlineStr">
        <is>
          <t>PSU:40 BB:5 F4:17 RI:60</t>
        </is>
      </c>
      <c r="L8" s="16" t="inlineStr">
        <is>
          <t>P/B 2.12 · EV/EBITDA 13.3× · FCF yld 5% · net cash 13% of mcap · rev -8% · op margin 34% · buying back 2%/yr</t>
        </is>
      </c>
    </row>
    <row r="9" ht="22" customHeight="1">
      <c r="A9" s="13" t="n">
        <v>5</v>
      </c>
      <c r="B9" s="6" t="inlineStr">
        <is>
          <t>EPAM</t>
        </is>
      </c>
      <c r="C9" s="14" t="inlineStr">
        <is>
          <t>EPAM Systems, Inc.</t>
        </is>
      </c>
      <c r="D9" s="14" t="inlineStr">
        <is>
          <t>P/B 1.66 · 7.5× EBITDA · cash 11% · 52w 26%</t>
        </is>
      </c>
      <c r="E9" s="14" t="n">
        <v>88</v>
      </c>
      <c r="F9" s="14" t="n"/>
      <c r="G9" s="13" t="n">
        <v>7</v>
      </c>
      <c r="H9" s="27" t="n">
        <v>5.812</v>
      </c>
      <c r="I9" s="13" t="n">
        <v>-3</v>
      </c>
      <c r="J9" s="14" t="inlineStr">
        <is>
          <t>Technology</t>
        </is>
      </c>
      <c r="K9" s="14" t="inlineStr">
        <is>
          <t>PSU:21 C10:-29 F4:18 RI:53</t>
        </is>
      </c>
      <c r="L9" s="14" t="inlineStr">
        <is>
          <t>P/B 1.66 · EV/EBITDA 7.5× · FCF yld 8% · net cash 11% of mcap · rev +11% · op margin 10% · buying back 8%/yr</t>
        </is>
      </c>
    </row>
    <row r="10" ht="22" customHeight="1">
      <c r="A10" s="15" t="n">
        <v>6</v>
      </c>
      <c r="B10" s="8" t="inlineStr">
        <is>
          <t>PAR</t>
        </is>
      </c>
      <c r="C10" s="16" t="inlineStr">
        <is>
          <t>PAR Technology Corporation</t>
        </is>
      </c>
      <c r="D10" s="16" t="inlineStr">
        <is>
          <t>P/B 0.73 · debt 70% · 52w 9%</t>
        </is>
      </c>
      <c r="E10" s="16" t="n">
        <v>78</v>
      </c>
      <c r="F10" s="16" t="n"/>
      <c r="G10" s="15" t="n">
        <v>7</v>
      </c>
      <c r="H10" s="28" t="n">
        <v>5.048</v>
      </c>
      <c r="I10" s="15" t="n">
        <v>32</v>
      </c>
      <c r="J10" s="16" t="inlineStr">
        <is>
          <t>Technology</t>
        </is>
      </c>
      <c r="K10" s="16" t="inlineStr">
        <is>
          <t>PSU:17 C10:-50 RI:45 SS:35</t>
        </is>
      </c>
      <c r="L10" s="16" t="inlineStr">
        <is>
          <t>P/B 0.73 · P/S 1.2 · FCF yld -3% · net debt 70% of mcap · rev +19% · op margin -11% · interest cover -12.1× ⚠</t>
        </is>
      </c>
    </row>
    <row r="11" ht="22" customHeight="1">
      <c r="A11" s="13" t="n">
        <v>7</v>
      </c>
      <c r="B11" s="6" t="inlineStr">
        <is>
          <t>BLND</t>
        </is>
      </c>
      <c r="C11" s="14" t="inlineStr">
        <is>
          <t>Blend Labs, Inc.</t>
        </is>
      </c>
      <c r="D11" s="14" t="inlineStr">
        <is>
          <t>P/B 2.86 · 42.4× EBITDA · cash 16% · 52w 0%</t>
        </is>
      </c>
      <c r="E11" s="14" t="n">
        <v>65</v>
      </c>
      <c r="F11" s="14" t="n"/>
      <c r="G11" s="13" t="n">
        <v>7</v>
      </c>
      <c r="H11" s="27" t="n">
        <v>4.736</v>
      </c>
      <c r="I11" s="13" t="n">
        <v>10</v>
      </c>
      <c r="J11" s="14" t="inlineStr">
        <is>
          <t>Technology</t>
        </is>
      </c>
      <c r="K11" s="14" t="inlineStr">
        <is>
          <t>PSU:8 BB:5 C10:-35 F4:5 RI:52 SS:20</t>
        </is>
      </c>
      <c r="L11" s="14" t="inlineStr">
        <is>
          <t>P/B 2.86 · EV/EBITDA 42.4× · FCF yld 5% · net cash 16% of mcap · rev -10% · op margin -12% · buying back 7%/yr</t>
        </is>
      </c>
    </row>
    <row r="12" ht="22" customHeight="1">
      <c r="A12" s="15" t="n">
        <v>8</v>
      </c>
      <c r="B12" s="8" t="inlineStr">
        <is>
          <t>ADT</t>
        </is>
      </c>
      <c r="C12" s="16" t="inlineStr">
        <is>
          <t>ADT Inc.</t>
        </is>
      </c>
      <c r="D12" s="16" t="inlineStr">
        <is>
          <t>P/B 1.47 · 4.6× EBITDA · debt 150% · 52w 5%</t>
        </is>
      </c>
      <c r="E12" s="16" t="n">
        <v>62</v>
      </c>
      <c r="F12" s="16" t="n"/>
      <c r="G12" s="15" t="n">
        <v>7</v>
      </c>
      <c r="H12" s="28" t="n">
        <v>4.732</v>
      </c>
      <c r="I12" s="15" t="n">
        <v>-1</v>
      </c>
      <c r="J12" s="16" t="inlineStr">
        <is>
          <t>Industrials</t>
        </is>
      </c>
      <c r="K12" s="16" t="inlineStr">
        <is>
          <t>PSU:31 BB:5 F4:12 RI:50 SS:10</t>
        </is>
      </c>
      <c r="L12" s="16" t="inlineStr">
        <is>
          <t>P/B 1.47 · EV/EBITDA 4.6× · FCF yld 37% · net debt 150% of mcap · rev +2% · op margin 25% · buying back 11%/yr</t>
        </is>
      </c>
    </row>
    <row r="13" ht="22" customHeight="1">
      <c r="A13" s="13" t="n">
        <v>9</v>
      </c>
      <c r="B13" s="6" t="inlineStr">
        <is>
          <t>LULU</t>
        </is>
      </c>
      <c r="C13" s="14" t="inlineStr">
        <is>
          <t>lululemon athletica inc.</t>
        </is>
      </c>
      <c r="D13" s="14" t="inlineStr">
        <is>
          <t>P/B 2.43 · 4.8× EBITDA · debt 6% · 52w 6%</t>
        </is>
      </c>
      <c r="E13" s="14" t="n">
        <v>55</v>
      </c>
      <c r="F13" s="14" t="n"/>
      <c r="G13" s="13" t="n">
        <v>7</v>
      </c>
      <c r="H13" s="27" t="n">
        <v>4.608</v>
      </c>
      <c r="I13" s="14" t="inlineStr">
        <is>
          <t>–</t>
        </is>
      </c>
      <c r="J13" s="14" t="inlineStr">
        <is>
          <t>Consumer Cyclical</t>
        </is>
      </c>
      <c r="K13" s="14" t="inlineStr">
        <is>
          <t>PSU:1 BB:8 C10:-40 F4:11 RI:41 SS:10</t>
        </is>
      </c>
      <c r="L13" s="14" t="inlineStr">
        <is>
          <t>P/B 2.43 · EV/EBITDA 4.8× · FCF yld 12% · net debt 6% of mcap · rev +2% · op margin 18% · buying back 6%/yr</t>
        </is>
      </c>
    </row>
    <row r="14" ht="22" customHeight="1">
      <c r="A14" s="15" t="n">
        <v>10</v>
      </c>
      <c r="B14" s="8" t="inlineStr">
        <is>
          <t>POOL</t>
        </is>
      </c>
      <c r="C14" s="16" t="inlineStr">
        <is>
          <t>Pool Corporation</t>
        </is>
      </c>
      <c r="D14" s="16" t="inlineStr">
        <is>
          <t>P/B 4.84 · 12.8× EBITDA · debt 27% · 52w 2%</t>
        </is>
      </c>
      <c r="E14" s="16" t="n">
        <v>45</v>
      </c>
      <c r="F14" s="16" t="inlineStr">
        <is>
          <t>B · 3-yr · EPS, ROIC · paid 93%</t>
        </is>
      </c>
      <c r="G14" s="15" t="n">
        <v>7</v>
      </c>
      <c r="H14" s="28" t="n">
        <v>4.52</v>
      </c>
      <c r="I14" s="15" t="n">
        <v>26</v>
      </c>
      <c r="J14" s="16" t="inlineStr">
        <is>
          <t>Industrials</t>
        </is>
      </c>
      <c r="K14" s="16" t="inlineStr">
        <is>
          <t>PSU:25 BB:5 F4:28 RI:60</t>
        </is>
      </c>
      <c r="L14" s="16" t="inlineStr">
        <is>
          <t>P/B 4.84 · EV/EBITDA 12.8× · FCF yld 10% · net debt 27% of mcap · rev +2% · op margin 11% · buying back 3%/yr</t>
        </is>
      </c>
    </row>
    <row r="15" ht="22" customHeight="1">
      <c r="A15" s="13" t="n">
        <v>11</v>
      </c>
      <c r="B15" s="6" t="inlineStr">
        <is>
          <t>CERT</t>
        </is>
      </c>
      <c r="C15" s="14" t="inlineStr">
        <is>
          <t>Certara, Inc.</t>
        </is>
      </c>
      <c r="D15" s="14" t="inlineStr">
        <is>
          <t>P/B 1.42 · 17.5× EBITDA · debt 8% · 52w 46%</t>
        </is>
      </c>
      <c r="E15" s="14" t="n">
        <v>2</v>
      </c>
      <c r="F15" s="14" t="n"/>
      <c r="G15" s="13" t="n">
        <v>7</v>
      </c>
      <c r="H15" s="27" t="n">
        <v>3.774</v>
      </c>
      <c r="I15" s="13" t="n">
        <v>7</v>
      </c>
      <c r="J15" s="14" t="inlineStr">
        <is>
          <t>Healthcare</t>
        </is>
      </c>
      <c r="K15" s="14" t="inlineStr">
        <is>
          <t>PSU:29 BB:5 C10:-12 RI:43</t>
        </is>
      </c>
      <c r="L15" s="14" t="inlineStr">
        <is>
          <t>P/B 1.42 · EV/EBITDA 17.5× · FCF yld 5% · net debt 8% of mcap · rev +1% · op margin 2% · buying back 4%/yr</t>
        </is>
      </c>
    </row>
    <row r="16" ht="22" customHeight="1">
      <c r="A16" s="15" t="n">
        <v>12</v>
      </c>
      <c r="B16" s="8" t="inlineStr">
        <is>
          <t>GO</t>
        </is>
      </c>
      <c r="C16" s="16" t="inlineStr">
        <is>
          <t>Grocery Outlet Holding Corp.</t>
        </is>
      </c>
      <c r="D16" s="16" t="inlineStr">
        <is>
          <t>P/B 1.37 · debt 159% · 52w 50%</t>
        </is>
      </c>
      <c r="E16" s="16" t="n">
        <v>82</v>
      </c>
      <c r="F16" s="16" t="inlineStr">
        <is>
          <t>A · 3-yr · revenue, EPS, EBITDA, stock-price hurdle · paid 55%</t>
        </is>
      </c>
      <c r="G16" s="15" t="n">
        <v>6</v>
      </c>
      <c r="H16" s="28" t="n">
        <v>5.57</v>
      </c>
      <c r="I16" s="15" t="n">
        <v>-2</v>
      </c>
      <c r="J16" s="16" t="inlineStr">
        <is>
          <t>Consumer Defensive</t>
        </is>
      </c>
      <c r="K16" s="16" t="inlineStr">
        <is>
          <t>PSU:50 F4:28 RI:38</t>
        </is>
      </c>
      <c r="L16" s="16" t="inlineStr">
        <is>
          <t>P/B 1.37 · P/S 0.2 · FCF yld -1% · net debt 159% of mcap · rev +5% · op margin 4%</t>
        </is>
      </c>
    </row>
    <row r="17" ht="22" customHeight="1">
      <c r="A17" s="13" t="n">
        <v>13</v>
      </c>
      <c r="B17" s="6" t="inlineStr">
        <is>
          <t>HDSN</t>
        </is>
      </c>
      <c r="C17" s="14" t="inlineStr">
        <is>
          <t>Hudson Technologies, Inc.</t>
        </is>
      </c>
      <c r="D17" s="14" t="inlineStr">
        <is>
          <t>P/B 0.89 · 8.9× EBITDA · cash 10% · 52w 10%</t>
        </is>
      </c>
      <c r="E17" s="14" t="n">
        <v>75</v>
      </c>
      <c r="F17" s="14" t="n"/>
      <c r="G17" s="13" t="n">
        <v>6</v>
      </c>
      <c r="H17" s="27" t="n">
        <v>5.016</v>
      </c>
      <c r="I17" s="13" t="n">
        <v>1</v>
      </c>
      <c r="J17" s="14" t="inlineStr">
        <is>
          <t>Basic Materials</t>
        </is>
      </c>
      <c r="K17" s="14" t="inlineStr">
        <is>
          <t>BB:5 F4:18 RI:58</t>
        </is>
      </c>
      <c r="L17" s="14" t="inlineStr">
        <is>
          <t>P/B 0.89 · EV/EBITDA 8.9× · FCF yld -16% · net cash 10% of mcap · rev +14% · op margin 5% · buying back 7%/yr</t>
        </is>
      </c>
    </row>
    <row r="18" ht="22" customHeight="1">
      <c r="A18" s="15" t="n">
        <v>14</v>
      </c>
      <c r="B18" s="8" t="inlineStr">
        <is>
          <t>SNBR</t>
        </is>
      </c>
      <c r="C18" s="16" t="inlineStr">
        <is>
          <t>Sleep Number Corporation</t>
        </is>
      </c>
      <c r="D18" s="16" t="inlineStr">
        <is>
          <t>52w 1%</t>
        </is>
      </c>
      <c r="E18" s="16" t="n">
        <v>72</v>
      </c>
      <c r="F18" s="16" t="n"/>
      <c r="G18" s="15" t="n">
        <v>6</v>
      </c>
      <c r="H18" s="28" t="n">
        <v>4.854</v>
      </c>
      <c r="I18" s="15" t="n">
        <v>10</v>
      </c>
      <c r="J18" s="16" t="inlineStr">
        <is>
          <t>Consumer Cyclical</t>
        </is>
      </c>
      <c r="K18" s="16" t="inlineStr">
        <is>
          <t>PSU:49 RI:46 SS:20</t>
        </is>
      </c>
      <c r="L18" s="16" t="inlineStr">
        <is>
          <t>P/S 0.0 · rev -17% · op margin -5%  [negative equity; FCF yield &gt;100% (check)]</t>
        </is>
      </c>
    </row>
    <row r="19" ht="22" customHeight="1">
      <c r="A19" s="13" t="n">
        <v>15</v>
      </c>
      <c r="B19" s="6" t="inlineStr">
        <is>
          <t>GPGI</t>
        </is>
      </c>
      <c r="C19" s="14" t="inlineStr">
        <is>
          <t>GPGI, Inc.</t>
        </is>
      </c>
      <c r="D19" s="14" t="inlineStr">
        <is>
          <t>P/B 1.11 · cash 0% · 52w 6%</t>
        </is>
      </c>
      <c r="E19" s="14" t="n">
        <v>68</v>
      </c>
      <c r="F19" s="14" t="n"/>
      <c r="G19" s="13" t="n">
        <v>6</v>
      </c>
      <c r="H19" s="27" t="n">
        <v>4.75</v>
      </c>
      <c r="I19" s="14" t="inlineStr">
        <is>
          <t>–</t>
        </is>
      </c>
      <c r="J19" s="14" t="inlineStr">
        <is>
          <t>Industrials</t>
        </is>
      </c>
      <c r="K19" s="14" t="inlineStr">
        <is>
          <t>PSU:17 C10:-15 F4:12 RI:52 SS:23</t>
        </is>
      </c>
      <c r="L19" s="14" t="inlineStr">
        <is>
          <t>P/B 1.11 · P/S 0.0 · FCF yld 1% · net cash 0% of mcap · op margin 0%  [new entity / merger: history not comparable]</t>
        </is>
      </c>
    </row>
    <row r="20" ht="22" customHeight="1">
      <c r="A20" s="15" t="n">
        <v>16</v>
      </c>
      <c r="B20" s="8" t="inlineStr">
        <is>
          <t>SBET</t>
        </is>
      </c>
      <c r="C20" s="16" t="inlineStr">
        <is>
          <t>SharpLink, Inc.</t>
        </is>
      </c>
      <c r="D20" s="16" t="inlineStr">
        <is>
          <t>P/B 1.40 · 52w 37%</t>
        </is>
      </c>
      <c r="E20" s="16" t="n">
        <v>58</v>
      </c>
      <c r="F20" s="16" t="n"/>
      <c r="G20" s="15" t="n">
        <v>6</v>
      </c>
      <c r="H20" s="28" t="n">
        <v>4.718</v>
      </c>
      <c r="I20" s="44" t="n">
        <v>101</v>
      </c>
      <c r="J20" s="16" t="inlineStr">
        <is>
          <t>Financial Services</t>
        </is>
      </c>
      <c r="K20" s="16" t="inlineStr">
        <is>
          <t>PSU:19 C10:15 RI:71</t>
        </is>
      </c>
      <c r="L20" s="16" t="inlineStr">
        <is>
          <t>P/B 1.40 · ROE -79% (financial: book/earnings basis)  [revenue not comparable YoY (fair-value / one-off income?)]</t>
        </is>
      </c>
    </row>
    <row r="21" ht="22" customHeight="1">
      <c r="A21" s="13" t="n">
        <v>17</v>
      </c>
      <c r="B21" s="6" t="inlineStr">
        <is>
          <t>PRGO</t>
        </is>
      </c>
      <c r="C21" s="14" t="inlineStr">
        <is>
          <t>Perrigo Company plc</t>
        </is>
      </c>
      <c r="D21" s="14" t="inlineStr">
        <is>
          <t>P/B 0.77 · debt 149% · 52w 36%</t>
        </is>
      </c>
      <c r="E21" s="14" t="n">
        <v>52</v>
      </c>
      <c r="F21" s="14" t="n"/>
      <c r="G21" s="13" t="n">
        <v>6</v>
      </c>
      <c r="H21" s="27" t="n">
        <v>4.568</v>
      </c>
      <c r="I21" s="44" t="n">
        <v>51</v>
      </c>
      <c r="J21" s="14" t="inlineStr">
        <is>
          <t>Healthcare</t>
        </is>
      </c>
      <c r="K21" s="14" t="inlineStr">
        <is>
          <t>PSU:21 RI:48 SS:29</t>
        </is>
      </c>
      <c r="L21" s="14" t="inlineStr">
        <is>
          <t>P/B 0.77 · P/S 0.5 · FCF yld 9% · net debt 149% of mcap · rev -4% · op margin 5% · interest cover 1.3× ⚠</t>
        </is>
      </c>
    </row>
    <row r="22" ht="22" customHeight="1">
      <c r="A22" s="15" t="n">
        <v>18</v>
      </c>
      <c r="B22" s="8" t="inlineStr">
        <is>
          <t>VRSK</t>
        </is>
      </c>
      <c r="C22" s="16" t="inlineStr">
        <is>
          <t>Verisk Analytics, Inc.</t>
        </is>
      </c>
      <c r="D22" s="16" t="inlineStr">
        <is>
          <t>15.9× EBITDA · 52w 17%</t>
        </is>
      </c>
      <c r="E22" s="16" t="n">
        <v>48</v>
      </c>
      <c r="F22" s="16" t="n"/>
      <c r="G22" s="15" t="n">
        <v>6</v>
      </c>
      <c r="H22" s="28" t="n">
        <v>4.54</v>
      </c>
      <c r="I22" s="15" t="n">
        <v>-5</v>
      </c>
      <c r="J22" s="16" t="inlineStr">
        <is>
          <t>Technology</t>
        </is>
      </c>
      <c r="K22" s="16" t="inlineStr">
        <is>
          <t>PSU:32 BB:8 F4:12 RI:32</t>
        </is>
      </c>
      <c r="L22" s="16" t="inlineStr">
        <is>
          <t>EV/EBITDA 15.9× · FCF yld 6% · rev +5% · op margin 45% · buying back 7%/yr  [negative equity]</t>
        </is>
      </c>
    </row>
    <row r="23" ht="22" customHeight="1">
      <c r="A23" s="13" t="n">
        <v>19</v>
      </c>
      <c r="B23" s="6" t="inlineStr">
        <is>
          <t>ALKT</t>
        </is>
      </c>
      <c r="C23" s="14" t="inlineStr">
        <is>
          <t>Alkami Technology, Inc.</t>
        </is>
      </c>
      <c r="D23" s="14" t="inlineStr">
        <is>
          <t>P/B 4.33 · debt 18% · 52w 6%</t>
        </is>
      </c>
      <c r="E23" s="14" t="n">
        <v>42</v>
      </c>
      <c r="F23" s="14" t="n"/>
      <c r="G23" s="13" t="n">
        <v>6</v>
      </c>
      <c r="H23" s="27" t="n">
        <v>4.516</v>
      </c>
      <c r="I23" s="13" t="n">
        <v>13</v>
      </c>
      <c r="J23" s="14" t="inlineStr">
        <is>
          <t>Technology</t>
        </is>
      </c>
      <c r="K23" s="14" t="inlineStr">
        <is>
          <t>PSU:11 C10:-6 F4:16 RI:54</t>
        </is>
      </c>
      <c r="L23" s="14" t="inlineStr">
        <is>
          <t>P/B 4.33 · P/S 3.2 · FCF yld 4% · net debt 18% of mcap · rev +27% · op margin -7% · diluting 3%/yr · interest cover -3.6× ⚠</t>
        </is>
      </c>
    </row>
    <row r="24" ht="22" customHeight="1">
      <c r="A24" s="15" t="n">
        <v>20</v>
      </c>
      <c r="B24" s="8" t="inlineStr">
        <is>
          <t>DXC</t>
        </is>
      </c>
      <c r="C24" s="16" t="inlineStr">
        <is>
          <t>DXC Technology Company</t>
        </is>
      </c>
      <c r="D24" s="16" t="inlineStr">
        <is>
          <t>P/B 0.57 · 2.6× EBITDA · debt 144% · 52w 41%</t>
        </is>
      </c>
      <c r="E24" s="16" t="n">
        <v>38</v>
      </c>
      <c r="F24" s="16" t="n"/>
      <c r="G24" s="15" t="n">
        <v>6</v>
      </c>
      <c r="H24" s="28" t="n">
        <v>4.446</v>
      </c>
      <c r="I24" s="15" t="n">
        <v>-14</v>
      </c>
      <c r="J24" s="16" t="inlineStr">
        <is>
          <t>Technology</t>
        </is>
      </c>
      <c r="K24" s="16" t="inlineStr">
        <is>
          <t>PSU:43 BB:5 RI:57</t>
        </is>
      </c>
      <c r="L24" s="16" t="inlineStr">
        <is>
          <t>P/B 0.57 · EV/EBITDA 2.6× · FCF yld 71% · net debt 144% of mcap · rev -2% · op margin 3% · buying back 3%/yr</t>
        </is>
      </c>
    </row>
    <row r="25" ht="22" customHeight="1">
      <c r="A25" s="13" t="n">
        <v>21</v>
      </c>
      <c r="B25" s="6" t="inlineStr">
        <is>
          <t>MSCI</t>
        </is>
      </c>
      <c r="C25" s="14" t="inlineStr">
        <is>
          <t>MSCI Inc.</t>
        </is>
      </c>
      <c r="D25" s="14" t="inlineStr">
        <is>
          <t>P/E 30.6 · 52w 38%</t>
        </is>
      </c>
      <c r="E25" s="14" t="n">
        <v>35</v>
      </c>
      <c r="F25" s="14" t="n"/>
      <c r="G25" s="13" t="n">
        <v>6</v>
      </c>
      <c r="H25" s="27" t="n">
        <v>4.444</v>
      </c>
      <c r="I25" s="13" t="n">
        <v>8</v>
      </c>
      <c r="J25" s="14" t="inlineStr">
        <is>
          <t>Financial Services</t>
        </is>
      </c>
      <c r="K25" s="14" t="inlineStr">
        <is>
          <t>PSU:36 BB:8 C10:-26 F4:16 RI:16</t>
        </is>
      </c>
      <c r="L25" s="14" t="inlineStr">
        <is>
          <t>P/E 30.6 · ROE -54% · div yld 1.4% · buying back 6%/yr (financial: book/earnings basis)  [negative equity]</t>
        </is>
      </c>
    </row>
    <row r="26" ht="22" customHeight="1">
      <c r="A26" s="15" t="n">
        <v>22</v>
      </c>
      <c r="B26" s="8" t="inlineStr">
        <is>
          <t>NUS</t>
        </is>
      </c>
      <c r="C26" s="16" t="inlineStr">
        <is>
          <t>Nu Skin Enterprises, Inc.</t>
        </is>
      </c>
      <c r="D26" s="16" t="inlineStr">
        <is>
          <t>P/B 0.42 · 7.6× EBITDA · debt 32% · 52w 3%</t>
        </is>
      </c>
      <c r="E26" s="16" t="n">
        <v>32</v>
      </c>
      <c r="F26" s="16" t="n"/>
      <c r="G26" s="15" t="n">
        <v>6</v>
      </c>
      <c r="H26" s="28" t="n">
        <v>4.332</v>
      </c>
      <c r="I26" s="15" t="n">
        <v>3</v>
      </c>
      <c r="J26" s="16" t="inlineStr">
        <is>
          <t>Consumer Defensive</t>
        </is>
      </c>
      <c r="K26" s="16" t="inlineStr">
        <is>
          <t>PSU:54 BB:5 C10:-32 RI:53</t>
        </is>
      </c>
      <c r="L26" s="16" t="inlineStr">
        <is>
          <t>P/B 0.42 · EV/EBITDA 7.6× · FCF yld 5% · net debt 32% of mcap · rev -15% · op margin -1% · interest cover -0.5× ⚠</t>
        </is>
      </c>
    </row>
    <row r="27" ht="22" customHeight="1">
      <c r="A27" s="13" t="n">
        <v>23</v>
      </c>
      <c r="B27" s="6" t="inlineStr">
        <is>
          <t>OPCH</t>
        </is>
      </c>
      <c r="C27" s="14" t="inlineStr">
        <is>
          <t>Option Care Health, Inc.</t>
        </is>
      </c>
      <c r="D27" s="14" t="inlineStr">
        <is>
          <t>P/B 2.84 · 11.0× EBITDA · debt 30% · 52w 31%</t>
        </is>
      </c>
      <c r="E27" s="14" t="n">
        <v>28</v>
      </c>
      <c r="F27" s="14" t="n"/>
      <c r="G27" s="13" t="n">
        <v>6</v>
      </c>
      <c r="H27" s="27" t="n">
        <v>4.24</v>
      </c>
      <c r="I27" s="13" t="n">
        <v>20</v>
      </c>
      <c r="J27" s="14" t="inlineStr">
        <is>
          <t>Healthcare</t>
        </is>
      </c>
      <c r="K27" s="14" t="inlineStr">
        <is>
          <t>PSU:27 BB:5 C10:-1 F4:23 RI:52</t>
        </is>
      </c>
      <c r="L27" s="14" t="inlineStr">
        <is>
          <t>P/B 2.84 · EV/EBITDA 11.0× · FCF yld 10% · net debt 30% of mcap · rev +6% · op margin 6% · buying back 5%/yr</t>
        </is>
      </c>
    </row>
    <row r="28" ht="22" customHeight="1">
      <c r="A28" s="15" t="n">
        <v>24</v>
      </c>
      <c r="B28" s="8" t="inlineStr">
        <is>
          <t>AZTA</t>
        </is>
      </c>
      <c r="C28" s="16" t="inlineStr">
        <is>
          <t>Azenta, Inc.</t>
        </is>
      </c>
      <c r="D28" s="16" t="inlineStr">
        <is>
          <t>P/B 1.06 · cash 17% · 52w 72%</t>
        </is>
      </c>
      <c r="E28" s="16" t="n">
        <v>25</v>
      </c>
      <c r="F28" s="16" t="n"/>
      <c r="G28" s="15" t="n">
        <v>6</v>
      </c>
      <c r="H28" s="28" t="n">
        <v>4.218</v>
      </c>
      <c r="I28" s="15" t="n">
        <v>7</v>
      </c>
      <c r="J28" s="16" t="inlineStr">
        <is>
          <t>Healthcare</t>
        </is>
      </c>
      <c r="K28" s="16" t="inlineStr">
        <is>
          <t>PSU:31</t>
        </is>
      </c>
      <c r="L28" s="16" t="inlineStr">
        <is>
          <t>P/B 1.06 · P/S 2.6 · FCF yld 1% · net cash 17% of mcap · rev +2% · op margin -3%</t>
        </is>
      </c>
    </row>
    <row r="29" ht="22" customHeight="1">
      <c r="A29" s="13" t="n">
        <v>25</v>
      </c>
      <c r="B29" s="6" t="inlineStr">
        <is>
          <t>ZTS</t>
        </is>
      </c>
      <c r="C29" s="14" t="inlineStr">
        <is>
          <t>Zoetis Inc.</t>
        </is>
      </c>
      <c r="D29" s="14" t="inlineStr">
        <is>
          <t>P/B 9.57 · 9.8× EBITDA · debt 25% · 52w 2%</t>
        </is>
      </c>
      <c r="E29" s="14" t="n">
        <v>22</v>
      </c>
      <c r="F29" s="14" t="n"/>
      <c r="G29" s="13" t="n">
        <v>6</v>
      </c>
      <c r="H29" s="27" t="n">
        <v>4.19</v>
      </c>
      <c r="I29" s="13" t="n">
        <v>12</v>
      </c>
      <c r="J29" s="14" t="inlineStr">
        <is>
          <t>Healthcare</t>
        </is>
      </c>
      <c r="K29" s="14" t="inlineStr">
        <is>
          <t>PSU:7 BB:5 C10:-3 F4:12 RI:60</t>
        </is>
      </c>
      <c r="L29" s="14" t="inlineStr">
        <is>
          <t>P/B 9.57 · EV/EBITDA 9.8× · FCF yld 8% · net debt 25% of mcap · rev +1% · op margin 37% · buying back 6%/yr</t>
        </is>
      </c>
    </row>
    <row r="30" ht="22" customHeight="1">
      <c r="A30" s="15" t="n">
        <v>26</v>
      </c>
      <c r="B30" s="8" t="inlineStr">
        <is>
          <t>AAT</t>
        </is>
      </c>
      <c r="C30" s="16" t="inlineStr">
        <is>
          <t>American Assets Trust, Inc.</t>
        </is>
      </c>
      <c r="D30" s="16" t="inlineStr">
        <is>
          <t>P/B 1.19 · 12.6× EBITDA · debt 121% · 52w 48%</t>
        </is>
      </c>
      <c r="E30" s="16" t="n">
        <v>18</v>
      </c>
      <c r="F30" s="16" t="n"/>
      <c r="G30" s="15" t="n">
        <v>6</v>
      </c>
      <c r="H30" s="28" t="n">
        <v>4.132</v>
      </c>
      <c r="I30" s="15" t="n">
        <v>9</v>
      </c>
      <c r="J30" s="16" t="inlineStr">
        <is>
          <t>Real Estate</t>
        </is>
      </c>
      <c r="K30" s="16" t="inlineStr">
        <is>
          <t>PSU:2 BB:5 C10:-12 F4:5 RI:37 SS:10</t>
        </is>
      </c>
      <c r="L30" s="16" t="inlineStr">
        <is>
          <t>P/B 1.19 · EV/EBITDA 12.6× · FCF yld 7% · net debt 121% of mcap · rev -3% · op margin 23% · interest cover 1.3× ⚠</t>
        </is>
      </c>
    </row>
    <row r="31" ht="22" customHeight="1">
      <c r="A31" s="13" t="n">
        <v>27</v>
      </c>
      <c r="B31" s="6" t="inlineStr">
        <is>
          <t>APTV</t>
        </is>
      </c>
      <c r="C31" s="14" t="inlineStr">
        <is>
          <t>Aptiv PLC</t>
        </is>
      </c>
      <c r="D31" s="14" t="inlineStr">
        <is>
          <t>P/B 1.09 · 7.8× EBITDA · debt 52% · 52w 4%</t>
        </is>
      </c>
      <c r="E31" s="14" t="n">
        <v>15</v>
      </c>
      <c r="F31" s="14" t="n"/>
      <c r="G31" s="13" t="n">
        <v>6</v>
      </c>
      <c r="H31" s="27" t="n">
        <v>4.092</v>
      </c>
      <c r="I31" s="13" t="n">
        <v>-11</v>
      </c>
      <c r="J31" s="14" t="inlineStr">
        <is>
          <t>Consumer Cyclical</t>
        </is>
      </c>
      <c r="K31" s="14" t="inlineStr">
        <is>
          <t>PSU:36 BB:5 RI:35</t>
        </is>
      </c>
      <c r="L31" s="14" t="inlineStr">
        <is>
          <t>P/B 1.09 · EV/EBITDA 7.8× · FCF yld 8% · net debt 52% of mcap · rev -5% · op margin 5% · buying back 5%/yr</t>
        </is>
      </c>
    </row>
    <row r="32" ht="22" customHeight="1">
      <c r="A32" s="15" t="n">
        <v>28</v>
      </c>
      <c r="B32" s="8" t="inlineStr">
        <is>
          <t>MA</t>
        </is>
      </c>
      <c r="C32" s="16" t="inlineStr">
        <is>
          <t>Mastercard Incorporated</t>
        </is>
      </c>
      <c r="D32" s="16" t="inlineStr">
        <is>
          <t>P/B 87.51 · P/E 30.7 · 52w 70%</t>
        </is>
      </c>
      <c r="E32" s="16" t="n">
        <v>12</v>
      </c>
      <c r="F32" s="16" t="n"/>
      <c r="G32" s="15" t="n">
        <v>6</v>
      </c>
      <c r="H32" s="28" t="n">
        <v>4.09</v>
      </c>
      <c r="I32" s="15" t="n">
        <v>41</v>
      </c>
      <c r="J32" s="16" t="inlineStr">
        <is>
          <t>Financial Services</t>
        </is>
      </c>
      <c r="K32" s="16" t="inlineStr">
        <is>
          <t>PSU:31 BB:5 C10:78 RI:50</t>
        </is>
      </c>
      <c r="L32" s="16" t="inlineStr">
        <is>
          <t>P/B 87.51 · P/E 30.7 · ROE 232% · div yld 0.6% · buying back 3%/yr (financial: book/earnings basis)</t>
        </is>
      </c>
    </row>
    <row r="33" ht="22" customHeight="1">
      <c r="A33" s="13" t="n">
        <v>29</v>
      </c>
      <c r="B33" s="6" t="inlineStr">
        <is>
          <t>GTM</t>
        </is>
      </c>
      <c r="C33" s="14" t="inlineStr">
        <is>
          <t>ZoomInfo Technologies Inc.</t>
        </is>
      </c>
      <c r="D33" s="14" t="inlineStr">
        <is>
          <t>P/B 1.38 · debt 119% · 52w 14%</t>
        </is>
      </c>
      <c r="E33" s="14" t="n">
        <v>8</v>
      </c>
      <c r="F33" s="14" t="n"/>
      <c r="G33" s="13" t="n">
        <v>6</v>
      </c>
      <c r="H33" s="27" t="n">
        <v>4.056</v>
      </c>
      <c r="I33" s="13" t="n">
        <v>26</v>
      </c>
      <c r="J33" s="14" t="inlineStr">
        <is>
          <t>Technology</t>
        </is>
      </c>
      <c r="K33" s="14" t="inlineStr">
        <is>
          <t>PSU:36 BB:5 C10:-4 RI:66 SS:20</t>
        </is>
      </c>
      <c r="L33" s="14" t="inlineStr">
        <is>
          <t>P/B 1.38 · P/S 0.9 · FCF yld 39% · net debt 119% of mcap · rev +3% · op margin -34% · buying back 14%/yr · interest cover -8.6× ⚠</t>
        </is>
      </c>
    </row>
    <row r="34" ht="22" customHeight="1">
      <c r="A34" s="15" t="n">
        <v>30</v>
      </c>
      <c r="B34" s="8" t="inlineStr">
        <is>
          <t>ACM</t>
        </is>
      </c>
      <c r="C34" s="16" t="inlineStr">
        <is>
          <t>AECOM</t>
        </is>
      </c>
      <c r="D34" s="16" t="inlineStr">
        <is>
          <t>P/B 3.53 · debt 29% · 52w 3%</t>
        </is>
      </c>
      <c r="E34" s="16" t="n">
        <v>5</v>
      </c>
      <c r="F34" s="16" t="n"/>
      <c r="G34" s="15" t="n">
        <v>6</v>
      </c>
      <c r="H34" s="28" t="n">
        <v>4.04</v>
      </c>
      <c r="I34" s="15" t="n">
        <v>28</v>
      </c>
      <c r="J34" s="16" t="inlineStr">
        <is>
          <t>Industrials</t>
        </is>
      </c>
      <c r="K34" s="16" t="inlineStr">
        <is>
          <t>BB:5 F4:6 RI:54</t>
        </is>
      </c>
      <c r="L34" s="16" t="inlineStr">
        <is>
          <t>P/B 3.53 · P/S 0.5 · FCF yld 3% · net debt 29% of mcap · rev -0% · op margin 4% · buying back 3%/yr</t>
        </is>
      </c>
    </row>
    <row r="35"/>
    <row r="36" ht="28" customHeight="1">
      <c r="A36" s="17" t="inlineStr">
        <is>
          <t>'Lift vs val' shows how many positions a name climbs when valuation is excluded. A large positive lift means the name is structurally strong but is being penalised by the valuation layer -- likely either missing yfinance overlay or trading at multiples outside our discount zones (P/B&gt;1.5, P/E&gt;15, EV/EBITDA&gt;10). The 26 emergent names (consensus_emergent_noval.csv) are gap-fill priorities.</t>
        </is>
      </c>
    </row>
  </sheetData>
  <mergeCells count="3">
    <mergeCell ref="A2:K2"/>
    <mergeCell ref="A36:K36"/>
    <mergeCell ref="A1:K1"/>
  </mergeCells>
  <conditionalFormatting sqref="E5:E36">
    <cfRule type="dataBar" priority="1">
      <dataBar showValue="1">
        <cfvo type="num" val="0"/>
        <cfvo type="num" val="100"/>
        <color rgb="009DB9D3"/>
      </dataBar>
    </cfRule>
  </conditionalFormatting>
  <hyperlinks>
    <hyperlink xmlns:r="http://schemas.openxmlformats.org/officeDocument/2006/relationships" ref="B5" r:id="rId1"/>
    <hyperlink xmlns:r="http://schemas.openxmlformats.org/officeDocument/2006/relationships" ref="B6" r:id="rId2"/>
    <hyperlink xmlns:r="http://schemas.openxmlformats.org/officeDocument/2006/relationships" ref="B7" r:id="rId3"/>
    <hyperlink xmlns:r="http://schemas.openxmlformats.org/officeDocument/2006/relationships" ref="B9"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9" r:id="rId12"/>
    <hyperlink xmlns:r="http://schemas.openxmlformats.org/officeDocument/2006/relationships" ref="B22" r:id="rId13"/>
    <hyperlink xmlns:r="http://schemas.openxmlformats.org/officeDocument/2006/relationships" ref="B23" r:id="rId14"/>
    <hyperlink xmlns:r="http://schemas.openxmlformats.org/officeDocument/2006/relationships" ref="B24" r:id="rId15"/>
    <hyperlink xmlns:r="http://schemas.openxmlformats.org/officeDocument/2006/relationships" ref="B28" r:id="rId16"/>
    <hyperlink xmlns:r="http://schemas.openxmlformats.org/officeDocument/2006/relationships" ref="B30" r:id="rId17"/>
    <hyperlink xmlns:r="http://schemas.openxmlformats.org/officeDocument/2006/relationships" ref="B31" r:id="rId18"/>
    <hyperlink xmlns:r="http://schemas.openxmlformats.org/officeDocument/2006/relationships" ref="B32" r:id="rId19"/>
  </hyperlinks>
  <printOptions horizontalCentered="0"/>
  <pageMargins left="0.5" right="0.5" top="0.6" bottom="0.6" header="0.5" footer="0.5"/>
  <pageSetup orientation="landscape" fitToHeight="0" fitToWidth="1"/>
</worksheet>
</file>

<file path=xl/worksheets/sheet32.xml><?xml version="1.0" encoding="utf-8"?>
<worksheet xmlns="http://schemas.openxmlformats.org/spreadsheetml/2006/main">
  <sheetPr>
    <tabColor rgb="00ED7D31"/>
    <outlinePr summaryBelow="1" summaryRight="1"/>
    <pageSetUpPr fitToPage="1"/>
  </sheetPr>
  <dimension ref="A1:F34"/>
  <sheetViews>
    <sheetView showGridLines="0" workbookViewId="0">
      <selection activeCell="A1" sqref="A1"/>
    </sheetView>
  </sheetViews>
  <sheetFormatPr baseColWidth="8" defaultRowHeight="15"/>
  <cols>
    <col width="20" customWidth="1" min="1" max="1"/>
    <col width="8" customWidth="1" min="2" max="2"/>
    <col width="10" customWidth="1" min="3" max="3"/>
    <col width="8" customWidth="1" min="4" max="4"/>
    <col width="10" customWidth="1" min="5" max="5"/>
    <col width="34" customWidth="1" min="6" max="6"/>
  </cols>
  <sheetData>
    <row r="1" ht="26" customHeight="1">
      <c r="A1" s="1" t="inlineStr">
        <is>
          <t>Re-Rate Backtest — did these catalysts pay, historically?</t>
        </is>
      </c>
    </row>
    <row r="2" ht="18" customHeight="1">
      <c r="A2" s="2" t="inlineStr">
        <is>
          <t>Corporate-action announcements in 2022-06-01..2025-06-30 (525 events), realized forward return measured to +12 months, absolute and vs SPY. The evidence behind the catalyst weights.</t>
        </is>
      </c>
      <c r="B2" s="3" t="n"/>
      <c r="C2" s="3" t="n"/>
      <c r="D2" s="3" t="n"/>
      <c r="E2" s="3" t="n"/>
      <c r="F2" s="3" t="n"/>
    </row>
    <row r="3" ht="8" customHeight="1"/>
    <row r="4" ht="18" customHeight="1">
      <c r="A4" s="4" t="inlineStr">
        <is>
          <t>Catalyst</t>
        </is>
      </c>
      <c r="B4" s="4" t="inlineStr">
        <is>
          <t>N</t>
        </is>
      </c>
      <c r="C4" s="4" t="inlineStr">
        <is>
          <t>12m median</t>
        </is>
      </c>
      <c r="D4" s="4" t="inlineStr">
        <is>
          <t>Hit %</t>
        </is>
      </c>
      <c r="E4" s="4" t="inlineStr">
        <is>
          <t>12m vs SPY</t>
        </is>
      </c>
      <c r="F4" s="4" t="inlineStr">
        <is>
          <t>Read</t>
        </is>
      </c>
    </row>
    <row r="5" ht="16" customHeight="1">
      <c r="A5" s="6" t="inlineStr">
        <is>
          <t>Tender Offer</t>
        </is>
      </c>
      <c r="B5" s="13" t="n">
        <v>47</v>
      </c>
      <c r="C5" s="27" t="n">
        <v>11</v>
      </c>
      <c r="D5" s="35" t="n">
        <v>60</v>
      </c>
      <c r="E5" s="27" t="n">
        <v>-12</v>
      </c>
      <c r="F5" s="14" t="inlineStr">
        <is>
          <t>reliable-ish (+5%, 61% hit); modest</t>
        </is>
      </c>
    </row>
    <row r="6" ht="16" customHeight="1">
      <c r="A6" s="8" t="inlineStr">
        <is>
          <t>Asset Sale</t>
        </is>
      </c>
      <c r="B6" s="15" t="n">
        <v>68</v>
      </c>
      <c r="C6" s="28" t="n">
        <v>8</v>
      </c>
      <c r="D6" s="36" t="n">
        <v>56</v>
      </c>
      <c r="E6" s="28" t="n">
        <v>-13</v>
      </c>
      <c r="F6" s="16" t="inlineStr">
        <is>
          <t>best median (+10%, 58% hit); monetize + de-lever</t>
        </is>
      </c>
    </row>
    <row r="7" ht="16" customHeight="1">
      <c r="A7" s="6" t="inlineStr">
        <is>
          <t>Exchange Offer</t>
        </is>
      </c>
      <c r="B7" s="13" t="n">
        <v>24</v>
      </c>
      <c r="C7" s="27" t="n">
        <v>6</v>
      </c>
      <c r="D7" s="35" t="n">
        <v>62</v>
      </c>
      <c r="E7" s="27" t="n">
        <v>-22</v>
      </c>
      <c r="F7" s="14" t="inlineStr">
        <is>
          <t>TRAP -21% — distressed debt exchange</t>
        </is>
      </c>
    </row>
    <row r="8" ht="16" customHeight="1">
      <c r="A8" s="8" t="inlineStr">
        <is>
          <t>Spinoff</t>
        </is>
      </c>
      <c r="B8" s="15" t="n">
        <v>66</v>
      </c>
      <c r="C8" s="28" t="n">
        <v>5</v>
      </c>
      <c r="D8" s="36" t="n">
        <v>55</v>
      </c>
      <c r="E8" s="28" t="n">
        <v>-18</v>
      </c>
      <c r="F8" s="16" t="inlineStr">
        <is>
          <t>0% median but strong tail (1.6x); optionality</t>
        </is>
      </c>
    </row>
    <row r="9" ht="16" customHeight="1">
      <c r="A9" s="6" t="inlineStr">
        <is>
          <t>Separation</t>
        </is>
      </c>
      <c r="B9" s="13" t="n">
        <v>15</v>
      </c>
      <c r="C9" s="27" t="n">
        <v>4</v>
      </c>
      <c r="D9" s="35" t="n">
        <v>53</v>
      </c>
      <c r="E9" s="27" t="n">
        <v>-22</v>
      </c>
      <c r="F9" s="14" t="inlineStr">
        <is>
          <t>weak — 0% median, below-base tail</t>
        </is>
      </c>
    </row>
    <row r="10" ht="16" customHeight="1">
      <c r="A10" s="8" t="inlineStr">
        <is>
          <t>Going Private</t>
        </is>
      </c>
      <c r="B10" s="15" t="n">
        <v>23</v>
      </c>
      <c r="C10" s="28" t="n">
        <v>1</v>
      </c>
      <c r="D10" s="36" t="n">
        <v>56</v>
      </c>
      <c r="E10" s="28" t="n">
        <v>-16</v>
      </c>
      <c r="F10" s="16" t="inlineStr">
        <is>
          <t>TRAP -37% — dead money at deal price, break risk</t>
        </is>
      </c>
    </row>
    <row r="11" ht="16" customHeight="1">
      <c r="A11" s="6" t="inlineStr">
        <is>
          <t>Ch11 Emergence</t>
        </is>
      </c>
      <c r="B11" s="13" t="n">
        <v>14</v>
      </c>
      <c r="C11" s="27" t="n">
        <v>-5</v>
      </c>
      <c r="D11" s="35" t="n">
        <v>43</v>
      </c>
      <c r="E11" s="27" t="n">
        <v>-19</v>
      </c>
      <c r="F11" s="14" t="inlineStr">
        <is>
          <t>-30% (n=5) — post-reorg overhang</t>
        </is>
      </c>
    </row>
    <row r="12" ht="16" customHeight="1">
      <c r="A12" s="8" t="inlineStr">
        <is>
          <t>Strategic Review</t>
        </is>
      </c>
      <c r="B12" s="15" t="n">
        <v>56</v>
      </c>
      <c r="C12" s="28" t="n">
        <v>-5</v>
      </c>
      <c r="D12" s="36" t="n">
        <v>46</v>
      </c>
      <c r="E12" s="28" t="n">
        <v>-29</v>
      </c>
      <c r="F12" s="16" t="inlineStr">
        <is>
          <t>lottery — worst-but-one median, high tail variance</t>
        </is>
      </c>
    </row>
    <row r="13" ht="16" customHeight="1">
      <c r="A13" s="6" t="inlineStr">
        <is>
          <t>Sale Of Company</t>
        </is>
      </c>
      <c r="B13" s="13" t="n">
        <v>16</v>
      </c>
      <c r="C13" s="27" t="n">
        <v>-19</v>
      </c>
      <c r="D13" s="35" t="n">
        <v>44</v>
      </c>
      <c r="E13" s="27" t="n">
        <v>-46</v>
      </c>
      <c r="F13" s="14" t="inlineStr">
        <is>
          <t>deal priced at 8-K; tail from contested deals only</t>
        </is>
      </c>
    </row>
    <row r="14" ht="16" customHeight="1">
      <c r="A14" s="8" t="inlineStr">
        <is>
          <t>Uplisting</t>
        </is>
      </c>
      <c r="B14" s="15" t="n">
        <v>56</v>
      </c>
      <c r="C14" s="28" t="n">
        <v>-23</v>
      </c>
      <c r="D14" s="36" t="n">
        <v>32</v>
      </c>
      <c r="E14" s="28" t="n">
        <v>-42</v>
      </c>
      <c r="F14" s="16" t="inlineStr">
        <is>
          <t>TRAP -23% — pump-and-fade microcaps</t>
        </is>
      </c>
    </row>
    <row r="15" ht="16" customHeight="1">
      <c r="A15" s="6" t="inlineStr">
        <is>
          <t>Buyback Auth</t>
        </is>
      </c>
      <c r="B15" s="13" t="n">
        <v>81</v>
      </c>
      <c r="C15" s="27" t="n">
        <v>0</v>
      </c>
      <c r="D15" s="35" t="n">
        <v>49</v>
      </c>
      <c r="E15" s="27" t="n">
        <v>-24</v>
      </c>
      <c r="F15" s="14" t="inlineStr">
        <is>
          <t>weak (+1%); float shrink, low signal</t>
        </is>
      </c>
    </row>
    <row r="16" ht="16" customHeight="1">
      <c r="A16" s="8" t="inlineStr">
        <is>
          <t>Capital Return</t>
        </is>
      </c>
      <c r="B16" s="15" t="n">
        <v>59</v>
      </c>
      <c r="C16" s="28" t="n">
        <v>0</v>
      </c>
      <c r="D16" s="36" t="n">
        <v>49</v>
      </c>
      <c r="E16" s="28" t="n">
        <v>-17</v>
      </c>
      <c r="F16" s="16" t="inlineStr">
        <is>
          <t>TRAP -11% — special dividend = no reinvestment</t>
        </is>
      </c>
    </row>
    <row r="17" ht="16" customHeight="1">
      <c r="A17" s="6" t="inlineStr">
        <is>
          <t>OVERALL</t>
        </is>
      </c>
      <c r="B17" s="13" t="n">
        <v>525</v>
      </c>
      <c r="C17" s="27" t="n">
        <v>1</v>
      </c>
      <c r="D17" s="35" t="n">
        <v>50</v>
      </c>
      <c r="E17" s="14" t="inlineStr">
        <is>
          <t>–</t>
        </is>
      </c>
      <c r="F17" s="14" t="inlineStr">
        <is>
          <t>–</t>
        </is>
      </c>
    </row>
    <row r="19">
      <c r="A19" s="9" t="inlineStr">
        <is>
          <t>BIGGEST REALIZED RE-RATES (12m)</t>
        </is>
      </c>
    </row>
    <row r="20" ht="18" customHeight="1">
      <c r="A20" s="12" t="inlineStr">
        <is>
          <t>Ticker</t>
        </is>
      </c>
      <c r="B20" s="4" t="inlineStr">
        <is>
          <t>Catalyst</t>
        </is>
      </c>
      <c r="C20" s="4" t="inlineStr">
        <is>
          <t>Date</t>
        </is>
      </c>
      <c r="D20" s="12" t="inlineStr"/>
      <c r="E20" s="4" t="inlineStr">
        <is>
          <t>12m</t>
        </is>
      </c>
      <c r="F20" s="12" t="inlineStr"/>
    </row>
    <row r="21" ht="16" customHeight="1">
      <c r="A21" s="6" t="inlineStr">
        <is>
          <t>INRE</t>
        </is>
      </c>
      <c r="B21" s="14" t="inlineStr">
        <is>
          <t>Strategic Review</t>
        </is>
      </c>
      <c r="C21" s="14" t="inlineStr">
        <is>
          <t>2024-11-06</t>
        </is>
      </c>
      <c r="D21" s="14" t="inlineStr">
        <is>
          <t>–</t>
        </is>
      </c>
      <c r="E21" s="27" t="n">
        <v>107260</v>
      </c>
      <c r="F21" s="14" t="inlineStr">
        <is>
          <t>–</t>
        </is>
      </c>
    </row>
    <row r="22" ht="16" customHeight="1">
      <c r="A22" s="8" t="inlineStr">
        <is>
          <t>MEDS</t>
        </is>
      </c>
      <c r="B22" s="16" t="inlineStr">
        <is>
          <t>Capital Return</t>
        </is>
      </c>
      <c r="C22" s="16" t="inlineStr">
        <is>
          <t>2024-03-06</t>
        </is>
      </c>
      <c r="D22" s="16" t="inlineStr">
        <is>
          <t>–</t>
        </is>
      </c>
      <c r="E22" s="28" t="n">
        <v>3524</v>
      </c>
      <c r="F22" s="16" t="inlineStr">
        <is>
          <t>–</t>
        </is>
      </c>
    </row>
    <row r="23" ht="16" customHeight="1">
      <c r="A23" s="6" t="inlineStr">
        <is>
          <t>SYRE</t>
        </is>
      </c>
      <c r="B23" s="14" t="inlineStr">
        <is>
          <t>Strategic Review</t>
        </is>
      </c>
      <c r="C23" s="14" t="inlineStr">
        <is>
          <t>2023-04-12</t>
        </is>
      </c>
      <c r="D23" s="14" t="inlineStr">
        <is>
          <t>–</t>
        </is>
      </c>
      <c r="E23" s="27" t="n">
        <v>975</v>
      </c>
      <c r="F23" s="14" t="inlineStr">
        <is>
          <t>–</t>
        </is>
      </c>
    </row>
    <row r="24" ht="16" customHeight="1">
      <c r="A24" s="8" t="inlineStr">
        <is>
          <t>IRWD</t>
        </is>
      </c>
      <c r="B24" s="16" t="inlineStr">
        <is>
          <t>Strategic Review</t>
        </is>
      </c>
      <c r="C24" s="16" t="inlineStr">
        <is>
          <t>2025-04-14</t>
        </is>
      </c>
      <c r="D24" s="16" t="inlineStr">
        <is>
          <t>–</t>
        </is>
      </c>
      <c r="E24" s="28" t="n">
        <v>496</v>
      </c>
      <c r="F24" s="16" t="inlineStr">
        <is>
          <t>–</t>
        </is>
      </c>
    </row>
    <row r="25" ht="16" customHeight="1">
      <c r="A25" s="6" t="inlineStr">
        <is>
          <t>SNWV</t>
        </is>
      </c>
      <c r="B25" s="14" t="inlineStr">
        <is>
          <t>Sale Of Company</t>
        </is>
      </c>
      <c r="C25" s="14" t="inlineStr">
        <is>
          <t>2024-06-03</t>
        </is>
      </c>
      <c r="D25" s="14" t="inlineStr">
        <is>
          <t>–</t>
        </is>
      </c>
      <c r="E25" s="27" t="n">
        <v>396</v>
      </c>
      <c r="F25" s="14" t="inlineStr">
        <is>
          <t>–</t>
        </is>
      </c>
    </row>
    <row r="26" ht="16" customHeight="1">
      <c r="A26" s="8" t="inlineStr">
        <is>
          <t>SVT</t>
        </is>
      </c>
      <c r="B26" s="16" t="inlineStr">
        <is>
          <t>Strategic Review</t>
        </is>
      </c>
      <c r="C26" s="16" t="inlineStr">
        <is>
          <t>2025-03-17</t>
        </is>
      </c>
      <c r="D26" s="16" t="inlineStr">
        <is>
          <t>–</t>
        </is>
      </c>
      <c r="E26" s="28" t="n">
        <v>340</v>
      </c>
      <c r="F26" s="16" t="inlineStr">
        <is>
          <t>–</t>
        </is>
      </c>
    </row>
    <row r="27" ht="16" customHeight="1">
      <c r="A27" s="6" t="inlineStr">
        <is>
          <t>ALTS</t>
        </is>
      </c>
      <c r="B27" s="14" t="inlineStr">
        <is>
          <t>Sale Of Company</t>
        </is>
      </c>
      <c r="C27" s="14" t="inlineStr">
        <is>
          <t>2024-05-21</t>
        </is>
      </c>
      <c r="D27" s="14" t="inlineStr">
        <is>
          <t>–</t>
        </is>
      </c>
      <c r="E27" s="27" t="n">
        <v>339</v>
      </c>
      <c r="F27" s="14" t="inlineStr">
        <is>
          <t>–</t>
        </is>
      </c>
    </row>
    <row r="28" ht="16" customHeight="1">
      <c r="A28" s="8" t="inlineStr">
        <is>
          <t>COMM</t>
        </is>
      </c>
      <c r="B28" s="16" t="inlineStr">
        <is>
          <t>Asset Sale</t>
        </is>
      </c>
      <c r="C28" s="16" t="inlineStr">
        <is>
          <t>2024-07-18</t>
        </is>
      </c>
      <c r="D28" s="16" t="inlineStr">
        <is>
          <t>–</t>
        </is>
      </c>
      <c r="E28" s="28" t="n">
        <v>316</v>
      </c>
      <c r="F28" s="16" t="inlineStr">
        <is>
          <t>–</t>
        </is>
      </c>
    </row>
    <row r="29" ht="16" customHeight="1">
      <c r="A29" s="6" t="inlineStr">
        <is>
          <t>CVNA</t>
        </is>
      </c>
      <c r="B29" s="14" t="inlineStr">
        <is>
          <t>Tender Offer</t>
        </is>
      </c>
      <c r="C29" s="14" t="inlineStr">
        <is>
          <t>2023-08-02</t>
        </is>
      </c>
      <c r="D29" s="14" t="inlineStr">
        <is>
          <t>–</t>
        </is>
      </c>
      <c r="E29" s="27" t="n">
        <v>259</v>
      </c>
      <c r="F29" s="14" t="inlineStr">
        <is>
          <t>–</t>
        </is>
      </c>
    </row>
    <row r="30" ht="16" customHeight="1">
      <c r="A30" s="8" t="inlineStr">
        <is>
          <t>MPTI</t>
        </is>
      </c>
      <c r="B30" s="16" t="inlineStr">
        <is>
          <t>Spinoff</t>
        </is>
      </c>
      <c r="C30" s="16" t="inlineStr">
        <is>
          <t>2022-10-11</t>
        </is>
      </c>
      <c r="D30" s="16" t="inlineStr">
        <is>
          <t>–</t>
        </is>
      </c>
      <c r="E30" s="28" t="n">
        <v>251</v>
      </c>
      <c r="F30" s="16" t="inlineStr">
        <is>
          <t>–</t>
        </is>
      </c>
    </row>
    <row r="31" ht="16" customHeight="1">
      <c r="A31" s="6" t="inlineStr">
        <is>
          <t>ESOA</t>
        </is>
      </c>
      <c r="B31" s="14" t="inlineStr">
        <is>
          <t>Capital Return</t>
        </is>
      </c>
      <c r="C31" s="14" t="inlineStr">
        <is>
          <t>2023-01-19</t>
        </is>
      </c>
      <c r="D31" s="14" t="inlineStr">
        <is>
          <t>–</t>
        </is>
      </c>
      <c r="E31" s="27" t="n">
        <v>243</v>
      </c>
      <c r="F31" s="14" t="inlineStr">
        <is>
          <t>–</t>
        </is>
      </c>
    </row>
    <row r="32" ht="16" customHeight="1">
      <c r="A32" s="8" t="inlineStr">
        <is>
          <t>AMPE</t>
        </is>
      </c>
      <c r="B32" s="16" t="inlineStr">
        <is>
          <t>Strategic Review</t>
        </is>
      </c>
      <c r="C32" s="16" t="inlineStr">
        <is>
          <t>2022-08-03</t>
        </is>
      </c>
      <c r="D32" s="16" t="inlineStr">
        <is>
          <t>–</t>
        </is>
      </c>
      <c r="E32" s="28" t="n">
        <v>224</v>
      </c>
      <c r="F32" s="16" t="inlineStr">
        <is>
          <t>–</t>
        </is>
      </c>
    </row>
    <row r="34" ht="28" customHeight="1">
      <c r="A34" s="17" t="inlineStr">
        <is>
          <t>THE LESSON, from the data. On the MEDIAN, every corporate-action catalyst UNDERPERFORMED SPY over the next year — buying a spin/sale/review indiscriminately is a losing trade. The payoff is a RIGHT TAIL: ~15% of events returned &gt;+50% in 12 months, and spin-offs produced the most of them (SanDisk +1235%, GE Vernova +141%, Grail +122%). Counter-intuitively, small-cap catalyst plays were LOTTERY tickets (median −24%, 35% hit), while large-cap spin-offs were the reliable sweet spot (+4% median, 57% hit). Calibration consequences, applied to the Re-Rate Catalysts weights: spin-offs up, strategic-reviews down (worst median), already-announced deals down (deal priced), and the catalyst credit is scaled by payoff-geometry room so the engine leans toward the setups where the tail actually lives — not the bare catalyst. Sample is modest (8–40 per type); treat as directional. Source: rerate_backtest.py.</t>
        </is>
      </c>
    </row>
  </sheetData>
  <mergeCells count="3">
    <mergeCell ref="A2:F2"/>
    <mergeCell ref="A1:F1"/>
    <mergeCell ref="A34:F34"/>
  </mergeCells>
  <printOptions horizontalCentered="0"/>
  <pageMargins left="0.5" right="0.5" top="0.6" bottom="0.6" header="0.5" footer="0.5"/>
  <pageSetup orientation="landscape" fitToHeight="0" fitToWidth="1"/>
</worksheet>
</file>

<file path=xl/worksheets/sheet33.xml><?xml version="1.0" encoding="utf-8"?>
<worksheet xmlns="http://schemas.openxmlformats.org/spreadsheetml/2006/main">
  <sheetPr>
    <tabColor rgb="00ED7D31"/>
    <outlinePr summaryBelow="1" summaryRight="1"/>
    <pageSetUpPr fitToPage="1"/>
  </sheetPr>
  <dimension ref="A1:J78"/>
  <sheetViews>
    <sheetView showGridLines="0" workbookViewId="0">
      <pane ySplit="4" topLeftCell="A5" activePane="bottomLeft" state="frozen"/>
      <selection pane="bottomLeft" activeCell="A1" sqref="A1"/>
    </sheetView>
  </sheetViews>
  <sheetFormatPr baseColWidth="8" defaultRowHeight="15"/>
  <cols>
    <col width="9" customWidth="1" min="1" max="1"/>
    <col width="20" customWidth="1" min="2" max="2"/>
    <col width="30" customWidth="1" min="3" max="3"/>
    <col width="9" customWidth="1" min="4" max="4"/>
    <col width="60" customWidth="1" min="5" max="5"/>
    <col width="8" customWidth="1" min="6" max="6"/>
    <col width="8" customWidth="1" min="7" max="7"/>
    <col width="7" customWidth="1" min="8" max="8"/>
    <col width="40" customWidth="1" min="9" max="9"/>
    <col width="62" customWidth="1" min="10" max="10"/>
  </cols>
  <sheetData>
    <row r="1" ht="26" customHeight="1">
      <c r="A1" s="1" t="inlineStr">
        <is>
          <t>Tail Odds — tilting the shortlist toward the right tail</t>
        </is>
      </c>
    </row>
    <row r="2" ht="18" customHeight="1">
      <c r="A2" s="20" t="inlineStr">
        <is>
          <t>Base rate of a &gt;=+50%/12m outcome among corporate-action events is 15%. Names are re-scored by the historically-measured lifts of the features they carry (catalyst, sector, size, drawdown, range position), combined in shrunk log-odds. Directional, not a calibrated probability.</t>
        </is>
      </c>
      <c r="B2" s="19" t="n"/>
      <c r="C2" s="19" t="n"/>
      <c r="D2" s="19" t="n"/>
      <c r="E2" s="19" t="n"/>
      <c r="F2" s="19" t="n"/>
      <c r="G2" s="19" t="n"/>
      <c r="H2" s="19" t="n"/>
      <c r="I2" s="19" t="n"/>
    </row>
    <row r="3" ht="8" customHeight="1"/>
    <row r="4">
      <c r="A4" s="9" t="inlineStr">
        <is>
          <t>CONFIRMED — market voted up &gt;20% since the catalyst (the 4x-lift rule, applied)</t>
        </is>
      </c>
      <c r="D4" s="34" t="inlineStr">
        <is>
          <t>%ile vs all 885 names scored</t>
        </is>
      </c>
    </row>
    <row r="5" ht="18" customHeight="1">
      <c r="A5" s="12" t="inlineStr">
        <is>
          <t>Ticker</t>
        </is>
      </c>
      <c r="B5" s="12" t="inlineStr">
        <is>
          <t>Name</t>
        </is>
      </c>
      <c r="C5" s="12" t="inlineStr">
        <is>
          <t>Key numbers (FMP)</t>
        </is>
      </c>
      <c r="D5" s="12" t="inlineStr">
        <is>
          <t>Strength %ile</t>
        </is>
      </c>
      <c r="E5" s="12" t="inlineStr">
        <is>
          <t>What's happening (8-K)</t>
        </is>
      </c>
      <c r="F5" s="4" t="inlineStr">
        <is>
          <t>Conf. tail p</t>
        </is>
      </c>
      <c r="G5" s="4" t="inlineStr">
        <is>
          <t>Drift since</t>
        </is>
      </c>
      <c r="H5" s="4" t="inlineStr">
        <is>
          <t>Months</t>
        </is>
      </c>
      <c r="I5" s="4" t="inlineStr">
        <is>
          <t>Catalysts</t>
        </is>
      </c>
      <c r="J5" s="4" t="inlineStr">
        <is>
          <t>FMP financial read</t>
        </is>
      </c>
    </row>
    <row r="6" ht="22" customHeight="1">
      <c r="A6" s="6" t="inlineStr">
        <is>
          <t>LITS</t>
        </is>
      </c>
      <c r="B6" s="14" t="inlineStr">
        <is>
          <t>Lite Strategy, Inc.</t>
        </is>
      </c>
      <c r="C6" s="14" t="inlineStr">
        <is>
          <t>52w 23%</t>
        </is>
      </c>
      <c r="D6" s="14" t="n">
        <v>96</v>
      </c>
      <c r="E6" s="14" t="n"/>
      <c r="F6" s="27" t="n">
        <v>39</v>
      </c>
      <c r="G6" s="27" t="n">
        <v>28</v>
      </c>
      <c r="H6" s="14" t="inlineStr">
        <is>
          <t>4.5m</t>
        </is>
      </c>
      <c r="I6" s="14" t="inlineStr">
        <is>
          <t>STRATEGIC_REVIEW</t>
        </is>
      </c>
      <c r="J6" s="14" t="inlineStr">
        <is>
          <t>P/S 0.0 · FCF yld -26% · op margin 0%  [market-cap/share data inconsistent]</t>
        </is>
      </c>
    </row>
    <row r="7" ht="22" customHeight="1">
      <c r="A7" s="8" t="inlineStr">
        <is>
          <t>BIRD</t>
        </is>
      </c>
      <c r="B7" s="16" t="inlineStr">
        <is>
          <t>Allbirds, Inc.</t>
        </is>
      </c>
      <c r="C7" s="16" t="inlineStr">
        <is>
          <t>P/B 0.66 · 0.1× EBITDA · cash 155% · 52w 1%</t>
        </is>
      </c>
      <c r="D7" s="16" t="n">
        <v>94</v>
      </c>
      <c r="E7" s="16" t="n"/>
      <c r="F7" s="28" t="n">
        <v>38</v>
      </c>
      <c r="G7" s="28" t="n">
        <v>22</v>
      </c>
      <c r="H7" s="16" t="inlineStr">
        <is>
          <t>3.3m</t>
        </is>
      </c>
      <c r="I7" s="16" t="inlineStr">
        <is>
          <t>ASSET_SALE, UPLISTING</t>
        </is>
      </c>
      <c r="J7" s="16" t="inlineStr">
        <is>
          <t>P/B 0.66 · EV/EBITDA 0.1× · net cash 155% of mcap · rev -38% · op margin -63% · diluting 13%/yr  [FCF yield &gt;100% (check)]</t>
        </is>
      </c>
    </row>
    <row r="8" ht="22" customHeight="1">
      <c r="A8" s="6" t="inlineStr">
        <is>
          <t>CLRO</t>
        </is>
      </c>
      <c r="B8" s="14" t="inlineStr">
        <is>
          <t>ClearOne, Inc.</t>
        </is>
      </c>
      <c r="C8" s="14" t="inlineStr">
        <is>
          <t>52w 12%</t>
        </is>
      </c>
      <c r="D8" s="14" t="n">
        <v>90</v>
      </c>
      <c r="E8" s="14" t="n"/>
      <c r="F8" s="27" t="n">
        <v>37</v>
      </c>
      <c r="G8" s="27" t="n">
        <v>29</v>
      </c>
      <c r="H8" s="14" t="inlineStr">
        <is>
          <t>5.9m</t>
        </is>
      </c>
      <c r="I8" s="14" t="inlineStr">
        <is>
          <t>STRATEGIC_REVIEW</t>
        </is>
      </c>
      <c r="J8" s="14" t="inlineStr">
        <is>
          <t>P/S 0.0 · FCF yld -54% · op margin 0%  [negative equity]</t>
        </is>
      </c>
    </row>
    <row r="9" ht="22" customHeight="1">
      <c r="A9" s="8" t="inlineStr">
        <is>
          <t>FWDI</t>
        </is>
      </c>
      <c r="B9" s="16" t="inlineStr">
        <is>
          <t>Forward Industries,</t>
        </is>
      </c>
      <c r="C9" s="16" t="inlineStr">
        <is>
          <t>P/B 1.27 · 52w 16%</t>
        </is>
      </c>
      <c r="D9" s="16" t="n">
        <v>84</v>
      </c>
      <c r="E9" s="16" t="n"/>
      <c r="F9" s="28" t="n">
        <v>34</v>
      </c>
      <c r="G9" s="28" t="n">
        <v>75</v>
      </c>
      <c r="H9" s="16" t="inlineStr">
        <is>
          <t>6.6m</t>
        </is>
      </c>
      <c r="I9" s="16" t="inlineStr">
        <is>
          <t>SALE_OF_COMPANY</t>
        </is>
      </c>
      <c r="J9" s="16" t="inlineStr">
        <is>
          <t>P/B 1.27 · ROE -131% (financial: book/earnings basis)</t>
        </is>
      </c>
    </row>
    <row r="10" ht="22" customHeight="1">
      <c r="A10" s="6" t="inlineStr">
        <is>
          <t>EXOZ</t>
        </is>
      </c>
      <c r="B10" s="14" t="inlineStr">
        <is>
          <t>eXoZymes, Inc.</t>
        </is>
      </c>
      <c r="C10" s="14" t="inlineStr">
        <is>
          <t>P/B 16.23 · cash 8% · 52w 15%</t>
        </is>
      </c>
      <c r="D10" s="14" t="n">
        <v>81</v>
      </c>
      <c r="E10" s="14" t="n"/>
      <c r="F10" s="27" t="n">
        <v>33</v>
      </c>
      <c r="G10" s="27" t="n">
        <v>37</v>
      </c>
      <c r="H10" s="14" t="inlineStr">
        <is>
          <t>2.8m</t>
        </is>
      </c>
      <c r="I10" s="14" t="inlineStr">
        <is>
          <t>UPLISTING</t>
        </is>
      </c>
      <c r="J10" s="14" t="inlineStr">
        <is>
          <t>P/B 16.23 · P/S 0.0 · FCF yld -12% · net cash 8% of mcap · op margin 0% · diluting 3%/yr</t>
        </is>
      </c>
    </row>
    <row r="11" ht="22" customHeight="1">
      <c r="A11" s="8" t="inlineStr">
        <is>
          <t>ADTX</t>
        </is>
      </c>
      <c r="B11" s="16" t="inlineStr">
        <is>
          <t>Aditxt, Inc.</t>
        </is>
      </c>
      <c r="C11" s="16" t="inlineStr">
        <is>
          <t>52w 0%</t>
        </is>
      </c>
      <c r="D11" s="16" t="n">
        <v>81</v>
      </c>
      <c r="E11" s="16" t="n"/>
      <c r="F11" s="28" t="n">
        <v>33</v>
      </c>
      <c r="G11" s="28" t="n">
        <v>70</v>
      </c>
      <c r="H11" s="16" t="inlineStr">
        <is>
          <t>3.5m</t>
        </is>
      </c>
      <c r="I11" s="16" t="inlineStr">
        <is>
          <t>UPLISTING</t>
        </is>
      </c>
      <c r="J11" s="16" t="inlineStr">
        <is>
          <t>P/S 362.0 · rev -74%  [market-cap/share data inconsistent; FCF yield &gt;100% (check)]</t>
        </is>
      </c>
    </row>
    <row r="12">
      <c r="A12" s="45" t="inlineStr">
        <is>
          <t>(6 confirmed / 10 pending / 66 neutral / 67 fading, of 149 priced)</t>
        </is>
      </c>
    </row>
    <row r="13"/>
    <row r="14">
      <c r="A14" s="9" t="inlineStr">
        <is>
          <t>CONFIRMED MONSTER SETUPS — deep washout fingerprint AND the market has voted up (the only version that pays)</t>
        </is>
      </c>
    </row>
    <row r="15" ht="18" customHeight="1">
      <c r="A15" s="12" t="inlineStr">
        <is>
          <t>Ticker</t>
        </is>
      </c>
      <c r="B15" s="12" t="inlineStr">
        <is>
          <t>Name</t>
        </is>
      </c>
      <c r="C15" s="12" t="n"/>
      <c r="D15" s="12" t="n"/>
      <c r="E15" s="12" t="n"/>
      <c r="F15" s="4" t="inlineStr">
        <is>
          <t>Monster</t>
        </is>
      </c>
      <c r="G15" s="4" t="inlineStr">
        <is>
          <t>Drift</t>
        </is>
      </c>
      <c r="H15" s="4" t="inlineStr">
        <is>
          <t>Tail p</t>
        </is>
      </c>
      <c r="I15" s="4" t="inlineStr">
        <is>
          <t>Fingerprint</t>
        </is>
      </c>
      <c r="J15" s="4" t="n"/>
    </row>
    <row r="16" ht="22" customHeight="1">
      <c r="A16" s="6" t="inlineStr">
        <is>
          <t>BIRD</t>
        </is>
      </c>
      <c r="B16" s="14" t="inlineStr">
        <is>
          <t>Allbirds, Inc.</t>
        </is>
      </c>
      <c r="C16" s="14" t="inlineStr">
        <is>
          <t>P/B 0.66 · 0.1× EBITDA · cash 155% · 52w 1%</t>
        </is>
      </c>
      <c r="D16" s="14" t="n">
        <v>94</v>
      </c>
      <c r="E16" s="14" t="n"/>
      <c r="F16" s="14" t="inlineStr">
        <is>
          <t>10/10</t>
        </is>
      </c>
      <c r="G16" s="27" t="n">
        <v>22</v>
      </c>
      <c r="H16" s="27" t="n">
        <v>38</v>
      </c>
      <c r="I16" s="14" t="inlineStr">
        <is>
          <t>deep 24m washout (-84%); wild vol (0.46);</t>
        </is>
      </c>
      <c r="J16" s="14" t="inlineStr">
        <is>
          <t>P/B 0.66 · EV/EBITDA 0.1× · net cash 155% of mcap · rev -38% · op margin -63% · diluting 13%/yr  [FCF yield &gt;100% (check)]</t>
        </is>
      </c>
    </row>
    <row r="17" ht="22" customHeight="1">
      <c r="A17" s="8" t="inlineStr">
        <is>
          <t>CLRO</t>
        </is>
      </c>
      <c r="B17" s="16" t="inlineStr">
        <is>
          <t>ClearOne, Inc.</t>
        </is>
      </c>
      <c r="C17" s="16" t="inlineStr">
        <is>
          <t>52w 12%</t>
        </is>
      </c>
      <c r="D17" s="16" t="n">
        <v>90</v>
      </c>
      <c r="E17" s="16" t="n"/>
      <c r="F17" s="16" t="inlineStr">
        <is>
          <t>10/10</t>
        </is>
      </c>
      <c r="G17" s="28" t="n">
        <v>29</v>
      </c>
      <c r="H17" s="28" t="n">
        <v>37</v>
      </c>
      <c r="I17" s="16" t="inlineStr">
        <is>
          <t>deep 24m washout (-72%); wild vol (0.22);</t>
        </is>
      </c>
      <c r="J17" s="16" t="inlineStr">
        <is>
          <t>P/S 0.0 · FCF yld -54% · op margin 0%  [negative equity]</t>
        </is>
      </c>
    </row>
    <row r="18" ht="22" customHeight="1">
      <c r="A18" s="6" t="inlineStr">
        <is>
          <t>EXOZ</t>
        </is>
      </c>
      <c r="B18" s="14" t="inlineStr">
        <is>
          <t>eXoZymes, Inc.</t>
        </is>
      </c>
      <c r="C18" s="14" t="inlineStr">
        <is>
          <t>P/B 16.23 · cash 8% · 52w 15%</t>
        </is>
      </c>
      <c r="D18" s="14" t="n">
        <v>81</v>
      </c>
      <c r="E18" s="14" t="n"/>
      <c r="F18" s="14" t="inlineStr">
        <is>
          <t>10/10</t>
        </is>
      </c>
      <c r="G18" s="27" t="n">
        <v>37</v>
      </c>
      <c r="H18" s="27" t="n">
        <v>33</v>
      </c>
      <c r="I18" s="14" t="inlineStr">
        <is>
          <t>deep 24m washout (-72%); wild vol (0.25);</t>
        </is>
      </c>
      <c r="J18" s="14" t="inlineStr">
        <is>
          <t>P/B 16.23 · P/S 0.0 · FCF yld -12% · net cash 8% of mcap · op margin 0% · diluting 3%/yr</t>
        </is>
      </c>
    </row>
    <row r="19" ht="22" customHeight="1">
      <c r="A19" s="8" t="inlineStr">
        <is>
          <t>ADTX</t>
        </is>
      </c>
      <c r="B19" s="16" t="inlineStr">
        <is>
          <t>Aditxt, Inc.</t>
        </is>
      </c>
      <c r="C19" s="16" t="inlineStr">
        <is>
          <t>52w 0%</t>
        </is>
      </c>
      <c r="D19" s="16" t="n">
        <v>81</v>
      </c>
      <c r="E19" s="16" t="n"/>
      <c r="F19" s="16" t="inlineStr">
        <is>
          <t>10/10</t>
        </is>
      </c>
      <c r="G19" s="28" t="n">
        <v>70</v>
      </c>
      <c r="H19" s="28" t="n">
        <v>33</v>
      </c>
      <c r="I19" s="16" t="inlineStr">
        <is>
          <t>deep 24m washout (-100%); wild vol (0.34);</t>
        </is>
      </c>
      <c r="J19" s="16" t="inlineStr">
        <is>
          <t>P/S 362.0 · rev -74%  [market-cap/share data inconsistent; FCF yield &gt;100% (check)]</t>
        </is>
      </c>
    </row>
    <row r="20" ht="22" customHeight="1">
      <c r="A20" s="6" t="inlineStr">
        <is>
          <t>LITS</t>
        </is>
      </c>
      <c r="B20" s="14" t="inlineStr">
        <is>
          <t>Lite Strategy, Inc.</t>
        </is>
      </c>
      <c r="C20" s="14" t="inlineStr">
        <is>
          <t>52w 23%</t>
        </is>
      </c>
      <c r="D20" s="14" t="n">
        <v>96</v>
      </c>
      <c r="E20" s="14" t="n"/>
      <c r="F20" s="14" t="inlineStr">
        <is>
          <t>7/10</t>
        </is>
      </c>
      <c r="G20" s="27" t="n">
        <v>28</v>
      </c>
      <c r="H20" s="27" t="n">
        <v>39</v>
      </c>
      <c r="I20" s="14" t="inlineStr">
        <is>
          <t>deep 24m washout (-62%); bottom of range;</t>
        </is>
      </c>
      <c r="J20" s="14" t="inlineStr">
        <is>
          <t>P/S 0.0 · FCF yld -26% · op margin 0%  [market-cap/share data inconsistent]</t>
        </is>
      </c>
    </row>
    <row r="21" ht="22" customHeight="1">
      <c r="A21" s="8" t="inlineStr">
        <is>
          <t>FWDI</t>
        </is>
      </c>
      <c r="B21" s="16" t="inlineStr">
        <is>
          <t>Forward Industries,</t>
        </is>
      </c>
      <c r="C21" s="16" t="inlineStr">
        <is>
          <t>P/B 1.27 · 52w 16%</t>
        </is>
      </c>
      <c r="D21" s="16" t="n">
        <v>84</v>
      </c>
      <c r="E21" s="16" t="n"/>
      <c r="F21" s="16" t="inlineStr">
        <is>
          <t>7/10</t>
        </is>
      </c>
      <c r="G21" s="28" t="n">
        <v>75</v>
      </c>
      <c r="H21" s="28" t="n">
        <v>34</v>
      </c>
      <c r="I21" s="16" t="inlineStr">
        <is>
          <t>deep 24m washout (-82%); wild vol (0.45);</t>
        </is>
      </c>
      <c r="J21" s="16" t="inlineStr">
        <is>
          <t>P/B 1.27 · ROE -131% (financial: book/earnings basis)</t>
        </is>
      </c>
    </row>
    <row r="22">
      <c r="A22" s="45" t="inlineStr">
        <is>
          <t>AVOID — fading deep-washouts (same fingerprint, market voting DOWN; the loser twin): YHC, ASPI, ELAB, KALA, NEUP, HTCR, PRSO, FIP, CCOI, JACK, ONEW, ZSTK, XTNT, RANI, CMTL, VISM, TRIP, NTHI, PL, BTAI</t>
        </is>
      </c>
    </row>
    <row r="23">
      <c r="A23" s="45" t="inlineStr">
        <is>
          <t>Research (DEEP_RESEARCH.md): the deep-washout fingerprint alone is BIMODAL — fp&gt;=8 has a 33% chance of losing &gt;50% and negative Kelly. Only CONFIRMATION separates the +100% monster from the blow-up. Size confirmed names small (~1/4-Kelly); never buy the un-confirmed washout.</t>
        </is>
      </c>
    </row>
    <row r="24"/>
    <row r="25">
      <c r="A25" s="9" t="inlineStr">
        <is>
          <t>ALL CANDIDATES — pre-confirmation tail odds</t>
        </is>
      </c>
    </row>
    <row r="26" ht="18" customHeight="1">
      <c r="A26" s="12" t="inlineStr">
        <is>
          <t>Ticker</t>
        </is>
      </c>
      <c r="B26" s="12" t="inlineStr">
        <is>
          <t>Name</t>
        </is>
      </c>
      <c r="C26" s="12" t="n"/>
      <c r="D26" s="12" t="n"/>
      <c r="E26" s="12" t="n"/>
      <c r="F26" s="4" t="inlineStr">
        <is>
          <t>Tail p</t>
        </is>
      </c>
      <c r="G26" s="4" t="inlineStr">
        <is>
          <t>State</t>
        </is>
      </c>
      <c r="H26" s="4" t="inlineStr">
        <is>
          <t>Ratio</t>
        </is>
      </c>
      <c r="I26" s="4" t="inlineStr">
        <is>
          <t>Tail drivers</t>
        </is>
      </c>
      <c r="J26" s="4" t="n"/>
    </row>
    <row r="27" ht="22" customHeight="1">
      <c r="A27" s="6" t="inlineStr">
        <is>
          <t>AMS</t>
        </is>
      </c>
      <c r="B27" s="14" t="inlineStr">
        <is>
          <t>American Shared Hosp</t>
        </is>
      </c>
      <c r="C27" s="14" t="inlineStr">
        <is>
          <t>P/B 0.42 · 7.7× EBITDA · debt 146% · 52w 11%</t>
        </is>
      </c>
      <c r="D27" s="14" t="n">
        <v>100</v>
      </c>
      <c r="E27" s="14" t="n"/>
      <c r="F27" s="27" t="n">
        <v>30</v>
      </c>
      <c r="G27" s="14" t="inlineStr">
        <is>
          <t>NEUTRAL</t>
        </is>
      </c>
      <c r="H27" s="27" t="n">
        <v>60</v>
      </c>
      <c r="I27" s="14" t="inlineStr">
        <is>
          <t>catalyst=SALE_OF_COMPANY, sector=Healt</t>
        </is>
      </c>
      <c r="J27" s="14" t="inlineStr">
        <is>
          <t>P/B 0.42 · EV/EBITDA 7.7× · FCF yld 36% · net debt 146% of mcap · rev +4% · op margin -8% · diluting 4%/yr · interest cover -2.5× ⚠</t>
        </is>
      </c>
    </row>
    <row r="28" ht="22" customHeight="1">
      <c r="A28" s="8" t="inlineStr">
        <is>
          <t>DRIO</t>
        </is>
      </c>
      <c r="B28" s="16" t="inlineStr">
        <is>
          <t>DarioHealth Corp.</t>
        </is>
      </c>
      <c r="C28" s="16" t="inlineStr">
        <is>
          <t>P/B 0.92 · debt 36% · 52w 9%</t>
        </is>
      </c>
      <c r="D28" s="16" t="n">
        <v>100</v>
      </c>
      <c r="E28" s="16" t="n"/>
      <c r="F28" s="28" t="n">
        <v>30</v>
      </c>
      <c r="G28" s="16" t="inlineStr">
        <is>
          <t>NEUTRAL</t>
        </is>
      </c>
      <c r="H28" s="28" t="n">
        <v>1.5</v>
      </c>
      <c r="I28" s="16" t="inlineStr">
        <is>
          <t>catalyst=SALE_OF_COMPANY, sector=Healt</t>
        </is>
      </c>
      <c r="J28" s="16" t="inlineStr">
        <is>
          <t>P/B 0.92 · P/S 2.4 · FCF yld -50% · net debt 36% of mcap · rev -23% · op margin -329% · interest cover -12.4× ⚠</t>
        </is>
      </c>
    </row>
    <row r="29" ht="22" customHeight="1">
      <c r="A29" s="6" t="inlineStr">
        <is>
          <t>LSTA</t>
        </is>
      </c>
      <c r="B29" s="14" t="inlineStr">
        <is>
          <t>Lisata Therapeutics,</t>
        </is>
      </c>
      <c r="C29" s="14" t="inlineStr">
        <is>
          <t>P/B 1.60 · cash 79% · 52w 11%</t>
        </is>
      </c>
      <c r="D29" s="14" t="n">
        <v>100</v>
      </c>
      <c r="E29" s="14" t="n"/>
      <c r="F29" s="27" t="n">
        <v>30</v>
      </c>
      <c r="G29" s="14" t="inlineStr">
        <is>
          <t>NEUTRAL</t>
        </is>
      </c>
      <c r="H29" s="27" t="n">
        <v>0.4</v>
      </c>
      <c r="I29" s="14" t="inlineStr">
        <is>
          <t>catalyst=SALE_OF_COMPANY, sector=Healt</t>
        </is>
      </c>
      <c r="J29" s="14" t="inlineStr">
        <is>
          <t>P/B 1.60 · P/S 130.2 · FCF yld -94% · net cash 79% of mcap · rev -91% · diluting 6%/yr</t>
        </is>
      </c>
    </row>
    <row r="30" ht="22" customHeight="1">
      <c r="A30" s="8" t="inlineStr">
        <is>
          <t>BTAI</t>
        </is>
      </c>
      <c r="B30" s="16" t="inlineStr">
        <is>
          <t>BioXcel Therapeutics</t>
        </is>
      </c>
      <c r="C30" s="16" t="inlineStr">
        <is>
          <t>52w 31%</t>
        </is>
      </c>
      <c r="D30" s="16" t="n">
        <v>100</v>
      </c>
      <c r="E30" s="16" t="n"/>
      <c r="F30" s="28" t="n">
        <v>30</v>
      </c>
      <c r="G30" s="16" t="inlineStr">
        <is>
          <t>FADING</t>
        </is>
      </c>
      <c r="H30" s="16" t="inlineStr">
        <is>
          <t>–</t>
        </is>
      </c>
      <c r="I30" s="16" t="inlineStr">
        <is>
          <t>catalyst=SALE_OF_COMPANY, sector=Healt</t>
        </is>
      </c>
      <c r="J30" s="16" t="inlineStr">
        <is>
          <t>P/S 3.1 · rev -15% · diluting 56%/yr  [market-cap/share data inconsistent; FCF yield &gt;100% (check)]</t>
        </is>
      </c>
    </row>
    <row r="31" ht="22" customHeight="1">
      <c r="A31" s="6" t="inlineStr">
        <is>
          <t>IVF</t>
        </is>
      </c>
      <c r="B31" s="14" t="inlineStr">
        <is>
          <t>INVO Fertility, Inc.</t>
        </is>
      </c>
      <c r="C31" s="14" t="inlineStr">
        <is>
          <t>P/B 0.11 · debt 11% · 52w 0%</t>
        </is>
      </c>
      <c r="D31" s="14" t="n">
        <v>100</v>
      </c>
      <c r="E31" s="14" t="n"/>
      <c r="F31" s="27" t="n">
        <v>30</v>
      </c>
      <c r="G31" s="14" t="inlineStr">
        <is>
          <t>NEUTRAL</t>
        </is>
      </c>
      <c r="H31" s="27" t="n">
        <v>60</v>
      </c>
      <c r="I31" s="14" t="inlineStr">
        <is>
          <t>catalyst=SALE_OF_COMPANY, sector=Healt</t>
        </is>
      </c>
      <c r="J31" s="14" t="inlineStr">
        <is>
          <t>P/B 0.11 · P/S 0.2 · net debt 11% of mcap · rev +14% · op margin -79% · interest cover -5.2× ⚠  [FCF yield &gt;100% (check)]</t>
        </is>
      </c>
    </row>
    <row r="32" ht="22" customHeight="1">
      <c r="A32" s="8" t="inlineStr">
        <is>
          <t>GURE</t>
        </is>
      </c>
      <c r="B32" s="16" t="inlineStr">
        <is>
          <t>Gulf Resources, Inc.</t>
        </is>
      </c>
      <c r="C32" s="16" t="inlineStr">
        <is>
          <t>52w 13%</t>
        </is>
      </c>
      <c r="D32" s="16" t="n">
        <v>99</v>
      </c>
      <c r="E32" s="16" t="n"/>
      <c r="F32" s="28" t="n">
        <v>30</v>
      </c>
      <c r="G32" s="16" t="inlineStr">
        <is>
          <t>NEUTRAL</t>
        </is>
      </c>
      <c r="H32" s="28" t="n">
        <v>60</v>
      </c>
      <c r="I32" s="16" t="inlineStr">
        <is>
          <t>catalyst=SALE_OF_COMPANY, sector=Basic</t>
        </is>
      </c>
      <c r="J32" s="16" t="inlineStr">
        <is>
          <t>P/S 0.2 · FCF yld 24% · rev +229% · op margin -20%  [market-cap/share data inconsistent; share-count history inconsistent (foreign line)]</t>
        </is>
      </c>
    </row>
    <row r="33" ht="22" customHeight="1">
      <c r="A33" s="6" t="inlineStr">
        <is>
          <t>SUNE</t>
        </is>
      </c>
      <c r="B33" s="14" t="inlineStr">
        <is>
          <t>SUNation Energy, Inc</t>
        </is>
      </c>
      <c r="C33" s="14" t="inlineStr">
        <is>
          <t>P/B 0.39 · debt 65% · 52w 20%</t>
        </is>
      </c>
      <c r="D33" s="14" t="n">
        <v>99</v>
      </c>
      <c r="E33" s="14" t="n"/>
      <c r="F33" s="27" t="n">
        <v>30</v>
      </c>
      <c r="G33" s="14" t="inlineStr">
        <is>
          <t>PENDING</t>
        </is>
      </c>
      <c r="H33" s="27" t="n">
        <v>8.1</v>
      </c>
      <c r="I33" s="14" t="inlineStr">
        <is>
          <t>catalyst=SALE_OF_COMPANY, sector=Indus</t>
        </is>
      </c>
      <c r="J33" s="14" t="inlineStr">
        <is>
          <t>P/B 0.39 · P/S 0.1 · FCF yld -21% · net debt 65% of mcap · op margin -8% · interest cover -6.4× ⚠  [new entity / merger: history not comparable]</t>
        </is>
      </c>
    </row>
    <row r="34" ht="22" customHeight="1">
      <c r="A34" s="8" t="inlineStr">
        <is>
          <t>PLAG</t>
        </is>
      </c>
      <c r="B34" s="16" t="inlineStr">
        <is>
          <t>Planet Green Holding</t>
        </is>
      </c>
      <c r="C34" s="16" t="inlineStr">
        <is>
          <t>52w 4%</t>
        </is>
      </c>
      <c r="D34" s="16" t="n">
        <v>99</v>
      </c>
      <c r="E34" s="16" t="n"/>
      <c r="F34" s="28" t="n">
        <v>30</v>
      </c>
      <c r="G34" s="16" t="inlineStr">
        <is>
          <t>FADING</t>
        </is>
      </c>
      <c r="H34" s="28" t="n">
        <v>0.7</v>
      </c>
      <c r="I34" s="16" t="inlineStr">
        <is>
          <t>catalyst=SALE_OF_COMPANY, sector=Indus</t>
        </is>
      </c>
      <c r="J34" s="16" t="inlineStr">
        <is>
          <t>P/S 1.2 · rev +69% · op margin -202% · diluting 95%/yr  [negative equity; FCF yield &gt;100% (check)]</t>
        </is>
      </c>
    </row>
    <row r="35" ht="22" customHeight="1">
      <c r="A35" s="6" t="inlineStr">
        <is>
          <t>EMAT</t>
        </is>
      </c>
      <c r="B35" s="14" t="inlineStr">
        <is>
          <t>Evolution Metals &amp; T</t>
        </is>
      </c>
      <c r="C35" s="14" t="inlineStr">
        <is>
          <t>52w 6%</t>
        </is>
      </c>
      <c r="D35" s="14" t="n">
        <v>99</v>
      </c>
      <c r="E35" s="14" t="n"/>
      <c r="F35" s="27" t="n">
        <v>30</v>
      </c>
      <c r="G35" s="14" t="inlineStr">
        <is>
          <t>FADING</t>
        </is>
      </c>
      <c r="H35" s="14" t="inlineStr">
        <is>
          <t>–</t>
        </is>
      </c>
      <c r="I35" s="14" t="inlineStr">
        <is>
          <t>catalyst=SALE_OF_COMPANY, sector=Basic</t>
        </is>
      </c>
      <c r="J35" s="14" t="inlineStr">
        <is>
          <t>P/S 569.7 · FCF yld -1% · diluting 37%/yr  [negative equity]</t>
        </is>
      </c>
    </row>
    <row r="36" ht="22" customHeight="1">
      <c r="A36" s="8" t="inlineStr">
        <is>
          <t>USAR</t>
        </is>
      </c>
      <c r="B36" s="16" t="inlineStr">
        <is>
          <t>USA Rare Earth, Inc.</t>
        </is>
      </c>
      <c r="C36" s="16" t="inlineStr">
        <is>
          <t>P/B 0.84 · cash 74% · 52w 14%</t>
        </is>
      </c>
      <c r="D36" s="16" t="n">
        <v>99</v>
      </c>
      <c r="E36" s="16" t="n"/>
      <c r="F36" s="28" t="n">
        <v>30</v>
      </c>
      <c r="G36" s="16" t="inlineStr">
        <is>
          <t>PENDING</t>
        </is>
      </c>
      <c r="H36" s="28" t="n">
        <v>3</v>
      </c>
      <c r="I36" s="16" t="inlineStr">
        <is>
          <t>catalyst=SALE_OF_COMPANY, sector=Basic</t>
        </is>
      </c>
      <c r="J36" s="16" t="inlineStr">
        <is>
          <t>P/B 0.84 · P/S 161.9 · FCF yld -12% · net cash 74% of mcap  [new entity / merger: history not comparable]</t>
        </is>
      </c>
    </row>
    <row r="37" ht="22" customHeight="1">
      <c r="A37" s="6" t="inlineStr">
        <is>
          <t>TSEOF</t>
        </is>
      </c>
      <c r="B37" s="14" t="inlineStr">
        <is>
          <t>Trinseo PLC</t>
        </is>
      </c>
      <c r="C37" s="14" t="inlineStr">
        <is>
          <t>1.3× EBITDA · 52w 0%</t>
        </is>
      </c>
      <c r="D37" s="14" t="n">
        <v>99</v>
      </c>
      <c r="E37" s="14" t="n"/>
      <c r="F37" s="27" t="n">
        <v>29</v>
      </c>
      <c r="G37" s="14" t="inlineStr">
        <is>
          <t>NEUTRAL</t>
        </is>
      </c>
      <c r="H37" s="27" t="n">
        <v>1.5</v>
      </c>
      <c r="I37" s="14" t="inlineStr">
        <is>
          <t>catalyst=CH11_EMERGENCE, sector=Basic</t>
        </is>
      </c>
      <c r="J37" s="14" t="inlineStr">
        <is>
          <t>EV/EBITDA 1.3× · rev -9% · op margin -7% · diluting 3%/yr  [negative equity; FCF yield &gt;100% (check)]</t>
        </is>
      </c>
    </row>
    <row r="38" ht="22" customHeight="1">
      <c r="A38" s="8" t="inlineStr">
        <is>
          <t>DXLG</t>
        </is>
      </c>
      <c r="B38" s="16" t="inlineStr">
        <is>
          <t>Destination XL Group</t>
        </is>
      </c>
      <c r="C38" s="16" t="inlineStr">
        <is>
          <t>P/B 0.32 · debt 562% · 52w 14%</t>
        </is>
      </c>
      <c r="D38" s="16" t="n">
        <v>99</v>
      </c>
      <c r="E38" s="16" t="n"/>
      <c r="F38" s="28" t="n">
        <v>29</v>
      </c>
      <c r="G38" s="16" t="inlineStr">
        <is>
          <t>NEUTRAL</t>
        </is>
      </c>
      <c r="H38" s="28" t="n">
        <v>60</v>
      </c>
      <c r="I38" s="16" t="inlineStr">
        <is>
          <t>catalyst=SALE_OF_COMPANY, sector=Consu</t>
        </is>
      </c>
      <c r="J38" s="16" t="inlineStr">
        <is>
          <t>P/B 0.32 · P/S 0.1 · FCF yld -39% · net debt 562% of mcap · rev -4% · op margin -3% · diluting 5%/yr</t>
        </is>
      </c>
    </row>
    <row r="39" ht="22" customHeight="1">
      <c r="A39" s="6" t="inlineStr">
        <is>
          <t>JTAI</t>
        </is>
      </c>
      <c r="B39" s="14" t="inlineStr">
        <is>
          <t>Jet.AI Inc.</t>
        </is>
      </c>
      <c r="C39" s="14" t="inlineStr">
        <is>
          <t>52w 2%</t>
        </is>
      </c>
      <c r="D39" s="14" t="n">
        <v>98</v>
      </c>
      <c r="E39" s="14" t="n"/>
      <c r="F39" s="27" t="n">
        <v>29</v>
      </c>
      <c r="G39" s="14" t="inlineStr">
        <is>
          <t>FADING</t>
        </is>
      </c>
      <c r="H39" s="27" t="n">
        <v>60</v>
      </c>
      <c r="I39" s="14" t="inlineStr">
        <is>
          <t>catalyst=SALE_OF_COMPANY, sector=Techn</t>
        </is>
      </c>
      <c r="J39" s="14" t="inlineStr">
        <is>
          <t>P/S 0.1 · rev -18% · op margin -95%  [market-cap/share data inconsistent; FCF yield &gt;100% (check)]</t>
        </is>
      </c>
    </row>
    <row r="40" ht="22" customHeight="1">
      <c r="A40" s="8" t="inlineStr">
        <is>
          <t>OBAI</t>
        </is>
      </c>
      <c r="B40" s="16" t="inlineStr">
        <is>
          <t>Our Bond, Inc.</t>
        </is>
      </c>
      <c r="C40" s="16" t="inlineStr">
        <is>
          <t>52w 0%</t>
        </is>
      </c>
      <c r="D40" s="16" t="n">
        <v>98</v>
      </c>
      <c r="E40" s="16" t="n"/>
      <c r="F40" s="28" t="n">
        <v>29</v>
      </c>
      <c r="G40" s="16" t="inlineStr">
        <is>
          <t>FADING</t>
        </is>
      </c>
      <c r="H40" s="28" t="n">
        <v>3</v>
      </c>
      <c r="I40" s="16" t="inlineStr">
        <is>
          <t>catalyst=SALE_OF_COMPANY, sector=Techn</t>
        </is>
      </c>
      <c r="J40" s="16" t="inlineStr">
        <is>
          <t>P/S 0.3 · op margin -152% · diluting 45%/yr  [FCF yield &gt;100% (check)]</t>
        </is>
      </c>
    </row>
    <row r="41" ht="22" customHeight="1">
      <c r="A41" s="6" t="inlineStr">
        <is>
          <t>EDGM</t>
        </is>
      </c>
      <c r="B41" s="14" t="inlineStr">
        <is>
          <t>EdgeMode, Inc.</t>
        </is>
      </c>
      <c r="C41" s="14" t="inlineStr">
        <is>
          <t>52w 0%</t>
        </is>
      </c>
      <c r="D41" s="14" t="n">
        <v>98</v>
      </c>
      <c r="E41" s="14" t="n"/>
      <c r="F41" s="27" t="n">
        <v>29</v>
      </c>
      <c r="G41" s="14" t="inlineStr">
        <is>
          <t>FADING</t>
        </is>
      </c>
      <c r="H41" s="14" t="inlineStr">
        <is>
          <t>–</t>
        </is>
      </c>
      <c r="I41" s="14" t="inlineStr">
        <is>
          <t>catalyst=SALE_OF_COMPANY, sector=Techn</t>
        </is>
      </c>
      <c r="J41" s="14" t="inlineStr">
        <is>
          <t>P/S 0.0 · op margin 0% · diluting 87%/yr  [FCF yield &gt;100% (check)]</t>
        </is>
      </c>
    </row>
    <row r="42" ht="22" customHeight="1">
      <c r="A42" s="8" t="inlineStr">
        <is>
          <t>AIRE</t>
        </is>
      </c>
      <c r="B42" s="16" t="inlineStr">
        <is>
          <t>reAlpha Tech Corp.</t>
        </is>
      </c>
      <c r="C42" s="16" t="inlineStr">
        <is>
          <t>P/B 0.81 · cash 40% · 52w 0%</t>
        </is>
      </c>
      <c r="D42" s="16" t="n">
        <v>98</v>
      </c>
      <c r="E42" s="16" t="n"/>
      <c r="F42" s="28" t="n">
        <v>29</v>
      </c>
      <c r="G42" s="16" t="inlineStr">
        <is>
          <t>NEUTRAL</t>
        </is>
      </c>
      <c r="H42" s="28" t="n">
        <v>4.5</v>
      </c>
      <c r="I42" s="16" t="inlineStr">
        <is>
          <t>catalyst=SALE_OF_COMPANY, sector=Techn</t>
        </is>
      </c>
      <c r="J42" s="16" t="inlineStr">
        <is>
          <t>P/B 0.81 · P/S 1.8 · net cash 40% of mcap · op margin -447%  [FCF yield &gt;100% (check); new entity / merger: history not comparable]</t>
        </is>
      </c>
    </row>
    <row r="43" ht="22" customHeight="1">
      <c r="A43" s="6" t="inlineStr">
        <is>
          <t>MOVE</t>
        </is>
      </c>
      <c r="B43" s="14" t="inlineStr">
        <is>
          <t>Corvex, Inc.</t>
        </is>
      </c>
      <c r="C43" s="14" t="inlineStr">
        <is>
          <t>52w 32%</t>
        </is>
      </c>
      <c r="D43" s="14" t="n">
        <v>98</v>
      </c>
      <c r="E43" s="14" t="n"/>
      <c r="F43" s="27" t="n">
        <v>29</v>
      </c>
      <c r="G43" s="14" t="inlineStr">
        <is>
          <t>FADING</t>
        </is>
      </c>
      <c r="H43" s="27" t="n">
        <v>60</v>
      </c>
      <c r="I43" s="14" t="inlineStr">
        <is>
          <t>catalyst=SALE_OF_COMPANY, sector=Techn</t>
        </is>
      </c>
      <c r="J43" s="14" t="inlineStr">
        <is>
          <t>P/S 2.0  [market-cap/share data inconsistent; FCF yield &gt;100% (check); revenue not comparable YoY (fair-value / one-off income?)]</t>
        </is>
      </c>
    </row>
    <row r="44" ht="22" customHeight="1">
      <c r="A44" s="8" t="inlineStr">
        <is>
          <t>DMRC</t>
        </is>
      </c>
      <c r="B44" s="16" t="inlineStr">
        <is>
          <t>Digimarc Corp.</t>
        </is>
      </c>
      <c r="C44" s="16" t="inlineStr">
        <is>
          <t>P/B 3.75 · cash 4% · 52w 6%</t>
        </is>
      </c>
      <c r="D44" s="16" t="n">
        <v>98</v>
      </c>
      <c r="E44" s="16" t="n"/>
      <c r="F44" s="28" t="n">
        <v>29</v>
      </c>
      <c r="G44" s="16" t="inlineStr">
        <is>
          <t>FADING</t>
        </is>
      </c>
      <c r="H44" s="16" t="inlineStr">
        <is>
          <t>–</t>
        </is>
      </c>
      <c r="I44" s="16" t="inlineStr">
        <is>
          <t>catalyst=SALE_OF_COMPANY, sector=Techn</t>
        </is>
      </c>
      <c r="J44" s="16" t="inlineStr">
        <is>
          <t>P/B 3.75 · P/S 3.5 · FCF yld -4% · net cash 4% of mcap · rev -11% · op margin -99% · diluting 3%/yr</t>
        </is>
      </c>
    </row>
    <row r="45" ht="22" customHeight="1">
      <c r="A45" s="6" t="inlineStr">
        <is>
          <t>DTCX</t>
        </is>
      </c>
      <c r="B45" s="14" t="inlineStr">
        <is>
          <t>Datacentrex, Inc.</t>
        </is>
      </c>
      <c r="C45" s="14" t="inlineStr">
        <is>
          <t>P/B 1.06 · cash 65% · 52w 12%</t>
        </is>
      </c>
      <c r="D45" s="14" t="n">
        <v>98</v>
      </c>
      <c r="E45" s="14" t="n"/>
      <c r="F45" s="27" t="n">
        <v>29</v>
      </c>
      <c r="G45" s="14" t="inlineStr">
        <is>
          <t>FADING</t>
        </is>
      </c>
      <c r="H45" s="27" t="n">
        <v>3.4</v>
      </c>
      <c r="I45" s="14" t="inlineStr">
        <is>
          <t>catalyst=SALE_OF_COMPANY, sector=Techn</t>
        </is>
      </c>
      <c r="J45" s="14" t="inlineStr">
        <is>
          <t>P/B 1.06 · P/S 7.0 · FCF yld -49% · net cash 65% of mcap · op margin -130%  [revenue not comparable YoY (fair-value / one-off income?)]</t>
        </is>
      </c>
    </row>
    <row r="46" ht="22" customHeight="1">
      <c r="A46" s="8" t="inlineStr">
        <is>
          <t>SCOR</t>
        </is>
      </c>
      <c r="B46" s="16" t="inlineStr">
        <is>
          <t>comScore, Inc.</t>
        </is>
      </c>
      <c r="C46" s="16" t="inlineStr">
        <is>
          <t>P/B 0.40 · 7.7× EBITDA · cash 23% · 52w 3%</t>
        </is>
      </c>
      <c r="D46" s="16" t="n">
        <v>98</v>
      </c>
      <c r="E46" s="16" t="n"/>
      <c r="F46" s="28" t="n">
        <v>29</v>
      </c>
      <c r="G46" s="16" t="inlineStr">
        <is>
          <t>FADING</t>
        </is>
      </c>
      <c r="H46" s="28" t="n">
        <v>60</v>
      </c>
      <c r="I46" s="16" t="inlineStr">
        <is>
          <t>catalyst=SALE_OF_COMPANY, sector=Techn</t>
        </is>
      </c>
      <c r="J46" s="16" t="inlineStr">
        <is>
          <t>P/B 0.40 · EV/EBITDA 7.7× · FCF yld 19% · net cash 23% of mcap · op margin -2%  [P/E vs earnings-yield sign mismatch; new entity / merger: history not comparable]</t>
        </is>
      </c>
    </row>
    <row r="47" ht="22" customHeight="1">
      <c r="A47" s="6" t="inlineStr">
        <is>
          <t>NXTT</t>
        </is>
      </c>
      <c r="B47" s="14" t="inlineStr">
        <is>
          <t>Next Technology Hold</t>
        </is>
      </c>
      <c r="C47" s="14" t="inlineStr">
        <is>
          <t>0.4× EBITDA · 52w 0%</t>
        </is>
      </c>
      <c r="D47" s="14" t="n">
        <v>98</v>
      </c>
      <c r="E47" s="14" t="n"/>
      <c r="F47" s="27" t="n">
        <v>29</v>
      </c>
      <c r="G47" s="14" t="inlineStr">
        <is>
          <t>FADING</t>
        </is>
      </c>
      <c r="H47" s="27" t="n">
        <v>60</v>
      </c>
      <c r="I47" s="14" t="inlineStr">
        <is>
          <t>catalyst=SALE_OF_COMPANY, sector=Techn</t>
        </is>
      </c>
      <c r="J47" s="14" t="inlineStr">
        <is>
          <t>EV/EBITDA 0.4× · FCF yld -61%  [market-cap/share data inconsistent; revenue not comparable YoY (fair-value / one-off income?)]</t>
        </is>
      </c>
    </row>
    <row r="48" ht="22" customHeight="1">
      <c r="A48" s="8" t="inlineStr">
        <is>
          <t>YHC</t>
        </is>
      </c>
      <c r="B48" s="16" t="inlineStr">
        <is>
          <t>LQR House Inc.</t>
        </is>
      </c>
      <c r="C48" s="16" t="inlineStr">
        <is>
          <t>52w 0%</t>
        </is>
      </c>
      <c r="D48" s="16" t="n">
        <v>98</v>
      </c>
      <c r="E48" s="16" t="n"/>
      <c r="F48" s="28" t="n">
        <v>28</v>
      </c>
      <c r="G48" s="16" t="inlineStr">
        <is>
          <t>FADING</t>
        </is>
      </c>
      <c r="H48" s="28" t="n">
        <v>30</v>
      </c>
      <c r="I48" s="16" t="inlineStr">
        <is>
          <t>catalyst=SALE_OF_COMPANY, sector=Commu</t>
        </is>
      </c>
      <c r="J48" s="16" t="inlineStr">
        <is>
          <t>P/S 1.4 · rev -50%  [market-cap/share data inconsistent; FCF yield &gt;100% (check)]</t>
        </is>
      </c>
    </row>
    <row r="49" ht="22" customHeight="1">
      <c r="A49" s="6" t="inlineStr">
        <is>
          <t>ASPI</t>
        </is>
      </c>
      <c r="B49" s="14" t="inlineStr">
        <is>
          <t>ASP Isotopes Inc. Co</t>
        </is>
      </c>
      <c r="C49" s="14" t="inlineStr">
        <is>
          <t>P/B 1.47 · debt 4% · 52w 1%</t>
        </is>
      </c>
      <c r="D49" s="14" t="n">
        <v>97</v>
      </c>
      <c r="E49" s="14" t="n"/>
      <c r="F49" s="27" t="n">
        <v>27</v>
      </c>
      <c r="G49" s="14" t="inlineStr">
        <is>
          <t>FADING</t>
        </is>
      </c>
      <c r="H49" s="27" t="n">
        <v>1</v>
      </c>
      <c r="I49" s="14" t="inlineStr">
        <is>
          <t>catalyst=SALE_OF_COMPANY, sector=Basic</t>
        </is>
      </c>
      <c r="J49" s="14" t="inlineStr">
        <is>
          <t>P/B 1.47 · P/S 12.4 · FCF yld -22% · net debt 4% of mcap · op margin -312% · diluting 68%/yr  [revenue not comparable YoY (fair-value / one-off income?)]</t>
        </is>
      </c>
    </row>
    <row r="50" ht="22" customHeight="1">
      <c r="A50" s="8" t="inlineStr">
        <is>
          <t>LUCK</t>
        </is>
      </c>
      <c r="B50" s="16" t="inlineStr">
        <is>
          <t>LUCKY STRIKE ENTERTA</t>
        </is>
      </c>
      <c r="C50" s="16" t="inlineStr">
        <is>
          <t>13.4× EBITDA · 52w 1%</t>
        </is>
      </c>
      <c r="D50" s="16" t="n">
        <v>97</v>
      </c>
      <c r="E50" s="16" t="n"/>
      <c r="F50" s="28" t="n">
        <v>26</v>
      </c>
      <c r="G50" s="16" t="inlineStr">
        <is>
          <t>FADING</t>
        </is>
      </c>
      <c r="H50" s="28" t="n">
        <v>0.2</v>
      </c>
      <c r="I50" s="16" t="inlineStr">
        <is>
          <t>catalyst=SALE_OF_COMPANY, sector=Consu</t>
        </is>
      </c>
      <c r="J50" s="16" t="inlineStr">
        <is>
          <t>EV/EBITDA 13.4× · FCF yld -36% · rev +5% · op margin 11% · buying back 10%/yr  [negative equity]</t>
        </is>
      </c>
    </row>
    <row r="51" ht="22" customHeight="1">
      <c r="A51" s="6" t="inlineStr">
        <is>
          <t>LAB</t>
        </is>
      </c>
      <c r="B51" s="14" t="inlineStr">
        <is>
          <t>Standard BioTools In</t>
        </is>
      </c>
      <c r="C51" s="14" t="inlineStr">
        <is>
          <t>P/B 0.53 · cash 157% · 52w 9%</t>
        </is>
      </c>
      <c r="D51" s="14" t="n">
        <v>97</v>
      </c>
      <c r="E51" s="14" t="n"/>
      <c r="F51" s="27" t="n">
        <v>26</v>
      </c>
      <c r="G51" s="14" t="inlineStr">
        <is>
          <t>NEUTRAL</t>
        </is>
      </c>
      <c r="H51" s="27" t="n">
        <v>37.1</v>
      </c>
      <c r="I51" s="14" t="inlineStr">
        <is>
          <t>catalyst=ASSET_SALE, sector=Healthcare</t>
        </is>
      </c>
      <c r="J51" s="14" t="inlineStr">
        <is>
          <t>P/B 0.53 · P/S 3.4 · FCF yld -29% · net cash 157% of mcap · rev -37% · op margin -95% · diluting 3%/yr</t>
        </is>
      </c>
    </row>
    <row r="52" ht="22" customHeight="1">
      <c r="A52" s="8" t="inlineStr">
        <is>
          <t>XTNT</t>
        </is>
      </c>
      <c r="B52" s="16" t="inlineStr">
        <is>
          <t>Xtant Medical Holdin</t>
        </is>
      </c>
      <c r="C52" s="16" t="inlineStr">
        <is>
          <t>P/B 1.33 · debt 30% · 52w 16%</t>
        </is>
      </c>
      <c r="D52" s="16" t="n">
        <v>97</v>
      </c>
      <c r="E52" s="16" t="n"/>
      <c r="F52" s="28" t="n">
        <v>26</v>
      </c>
      <c r="G52" s="16" t="inlineStr">
        <is>
          <t>FADING</t>
        </is>
      </c>
      <c r="H52" s="28" t="n">
        <v>4.9</v>
      </c>
      <c r="I52" s="16" t="inlineStr">
        <is>
          <t>catalyst=ASSET_SALE, sector=Healthcare</t>
        </is>
      </c>
      <c r="J52" s="16" t="inlineStr">
        <is>
          <t>P/B 1.33 · P/S 0.5 · FCF yld -1% · net debt 30% of mcap · rev -14% · op margin -10% · buying back 6%/yr · interest cover -3.8× ⚠</t>
        </is>
      </c>
    </row>
    <row r="53" ht="22" customHeight="1">
      <c r="A53" s="6" t="inlineStr">
        <is>
          <t>HCAT</t>
        </is>
      </c>
      <c r="B53" s="14" t="inlineStr">
        <is>
          <t>Health Catalyst, Inc</t>
        </is>
      </c>
      <c r="C53" s="14" t="inlineStr">
        <is>
          <t>P/B 1.32 · debt 50% · 52w 32%</t>
        </is>
      </c>
      <c r="D53" s="14" t="n">
        <v>97</v>
      </c>
      <c r="E53" s="14" t="n"/>
      <c r="F53" s="27" t="n">
        <v>26</v>
      </c>
      <c r="G53" s="14" t="inlineStr">
        <is>
          <t>FADING</t>
        </is>
      </c>
      <c r="H53" s="27" t="n">
        <v>4.9</v>
      </c>
      <c r="I53" s="14" t="inlineStr">
        <is>
          <t>catalyst=ASSET_SALE, sector=Healthcare</t>
        </is>
      </c>
      <c r="J53" s="14" t="inlineStr">
        <is>
          <t>P/B 1.32 · P/S 0.4 · FCF yld 10% · net debt 50% of mcap · rev -8% · op margin -20% · diluting 6%/yr · interest cover -2.8× ⚠</t>
        </is>
      </c>
    </row>
    <row r="54" ht="22" customHeight="1">
      <c r="A54" s="8" t="inlineStr">
        <is>
          <t>RITE</t>
        </is>
      </c>
      <c r="B54" s="16" t="inlineStr">
        <is>
          <t>MineralRite Corporat</t>
        </is>
      </c>
      <c r="C54" s="16" t="inlineStr">
        <is>
          <t>52w 2%</t>
        </is>
      </c>
      <c r="D54" s="16" t="n">
        <v>97</v>
      </c>
      <c r="E54" s="16" t="n"/>
      <c r="F54" s="28" t="n">
        <v>26</v>
      </c>
      <c r="G54" s="16" t="inlineStr">
        <is>
          <t>NEUTRAL</t>
        </is>
      </c>
      <c r="H54" s="28" t="n">
        <v>30</v>
      </c>
      <c r="I54" s="16" t="inlineStr">
        <is>
          <t>catalyst=ASSET_SALE, sector=Basic Mate</t>
        </is>
      </c>
      <c r="J54" s="16" t="inlineStr">
        <is>
          <t>P/S 0.0 · op margin 0% · diluting 43%/yr  [market-cap/share data inconsistent; FCF yield &gt;100% (check)]</t>
        </is>
      </c>
    </row>
    <row r="55" ht="22" customHeight="1">
      <c r="A55" s="6" t="inlineStr">
        <is>
          <t>AUMN</t>
        </is>
      </c>
      <c r="B55" s="14" t="inlineStr">
        <is>
          <t>Golden Minerals Comp</t>
        </is>
      </c>
      <c r="C55" s="14" t="inlineStr">
        <is>
          <t>P/B 1.81 · cash 72% · 52w 20%</t>
        </is>
      </c>
      <c r="D55" s="14" t="n">
        <v>97</v>
      </c>
      <c r="E55" s="14" t="n"/>
      <c r="F55" s="27" t="n">
        <v>26</v>
      </c>
      <c r="G55" s="14" t="inlineStr">
        <is>
          <t>NEUTRAL</t>
        </is>
      </c>
      <c r="H55" s="14" t="inlineStr">
        <is>
          <t>–</t>
        </is>
      </c>
      <c r="I55" s="14" t="inlineStr">
        <is>
          <t>catalyst=ASSET_SALE, sector=Basic Mate</t>
        </is>
      </c>
      <c r="J55" s="14" t="inlineStr">
        <is>
          <t>P/B 1.81 · P/S 0.0 · net cash 72% of mcap · op margin 0% · diluting 12%/yr  [FCF yield &gt;100% (check)]</t>
        </is>
      </c>
    </row>
    <row r="56" ht="22" customHeight="1">
      <c r="A56" s="8" t="inlineStr">
        <is>
          <t>AIRI</t>
        </is>
      </c>
      <c r="B56" s="16" t="inlineStr">
        <is>
          <t>Air Industries Group</t>
        </is>
      </c>
      <c r="C56" s="16" t="inlineStr">
        <is>
          <t>P/B 0.68 · 11.0× EBITDA · debt 204% · 52w 15%</t>
        </is>
      </c>
      <c r="D56" s="16" t="n">
        <v>97</v>
      </c>
      <c r="E56" s="16" t="n"/>
      <c r="F56" s="28" t="n">
        <v>26</v>
      </c>
      <c r="G56" s="16" t="inlineStr">
        <is>
          <t>NEUTRAL</t>
        </is>
      </c>
      <c r="H56" s="28" t="n">
        <v>10.6</v>
      </c>
      <c r="I56" s="16" t="inlineStr">
        <is>
          <t>catalyst=SALE_OF_COMPANY, sector=Indus</t>
        </is>
      </c>
      <c r="J56" s="16" t="inlineStr">
        <is>
          <t>P/B 0.68 · EV/EBITDA 11.0× · FCF yld -37% · net debt 204% of mcap · rev -11% · op margin -1% · diluting 29%/yr · interest cover -0.3× ⚠</t>
        </is>
      </c>
    </row>
    <row r="57" ht="22" customHeight="1">
      <c r="A57" s="6" t="inlineStr">
        <is>
          <t>YUM</t>
        </is>
      </c>
      <c r="B57" s="14" t="inlineStr">
        <is>
          <t>Yum! Brands, Inc.</t>
        </is>
      </c>
      <c r="C57" s="14" t="inlineStr">
        <is>
          <t>17.5× EBITDA · 52w 16%</t>
        </is>
      </c>
      <c r="D57" s="14" t="n">
        <v>96</v>
      </c>
      <c r="E57" s="14" t="n"/>
      <c r="F57" s="27" t="n">
        <v>25</v>
      </c>
      <c r="G57" s="14" t="inlineStr">
        <is>
          <t>NEUTRAL</t>
        </is>
      </c>
      <c r="H57" s="14" t="inlineStr">
        <is>
          <t>–</t>
        </is>
      </c>
      <c r="I57" s="14" t="inlineStr">
        <is>
          <t>catalyst=SALE_OF_COMPANY, sector=Consu</t>
        </is>
      </c>
      <c r="J57" s="14" t="inlineStr">
        <is>
          <t>EV/EBITDA 17.5× · FCF yld 4% · rev +10% · op margin 31%  [negative equity]</t>
        </is>
      </c>
    </row>
    <row r="58" ht="22" customHeight="1">
      <c r="A58" s="8" t="inlineStr">
        <is>
          <t>CVV</t>
        </is>
      </c>
      <c r="B58" s="16" t="inlineStr">
        <is>
          <t>CVD Equipment Corpor</t>
        </is>
      </c>
      <c r="C58" s="16" t="inlineStr">
        <is>
          <t>P/B 0.86 · cash 76% · 52w 25%</t>
        </is>
      </c>
      <c r="D58" s="16" t="n">
        <v>96</v>
      </c>
      <c r="E58" s="16" t="n"/>
      <c r="F58" s="28" t="n">
        <v>25</v>
      </c>
      <c r="G58" s="16" t="inlineStr">
        <is>
          <t>FADING</t>
        </is>
      </c>
      <c r="H58" s="28" t="n">
        <v>3.9</v>
      </c>
      <c r="I58" s="16" t="inlineStr">
        <is>
          <t>catalyst=ASSET_SALE, sector=Industrial</t>
        </is>
      </c>
      <c r="J58" s="16" t="inlineStr">
        <is>
          <t>P/B 0.86 · P/S 1.9 · FCF yld 2% · net cash 76% of mcap · rev -44% · op margin -26%</t>
        </is>
      </c>
    </row>
    <row r="59" ht="22" customHeight="1">
      <c r="A59" s="6" t="inlineStr">
        <is>
          <t>PASG</t>
        </is>
      </c>
      <c r="B59" s="14" t="inlineStr">
        <is>
          <t>Passage Bio, Inc.</t>
        </is>
      </c>
      <c r="C59" s="14" t="inlineStr">
        <is>
          <t>P/B 3.60 · 0.2× EBITDA · cash 150% · 52w 10%</t>
        </is>
      </c>
      <c r="D59" s="14" t="n">
        <v>96</v>
      </c>
      <c r="E59" s="14" t="n"/>
      <c r="F59" s="27" t="n">
        <v>25</v>
      </c>
      <c r="G59" s="14" t="inlineStr">
        <is>
          <t>NEUTRAL</t>
        </is>
      </c>
      <c r="H59" s="14" t="inlineStr">
        <is>
          <t>–</t>
        </is>
      </c>
      <c r="I59" s="14" t="inlineStr">
        <is>
          <t>catalyst=STRATEGIC_REVIEW, sector=Heal</t>
        </is>
      </c>
      <c r="J59" s="14" t="inlineStr">
        <is>
          <t>P/B 3.60 · EV/EBITDA 0.2× · net cash 150% of mcap · op margin 0%  [FCF yield &gt;100% (check)]</t>
        </is>
      </c>
    </row>
    <row r="60" ht="22" customHeight="1">
      <c r="A60" s="8" t="inlineStr">
        <is>
          <t>XCUR</t>
        </is>
      </c>
      <c r="B60" s="16" t="inlineStr">
        <is>
          <t>Exicure, Inc.</t>
        </is>
      </c>
      <c r="C60" s="16" t="inlineStr">
        <is>
          <t>P/B 8.09 · cash 22% · 52w 2%</t>
        </is>
      </c>
      <c r="D60" s="16" t="n">
        <v>96</v>
      </c>
      <c r="E60" s="16" t="n"/>
      <c r="F60" s="28" t="n">
        <v>25</v>
      </c>
      <c r="G60" s="16" t="inlineStr">
        <is>
          <t>NEUTRAL</t>
        </is>
      </c>
      <c r="H60" s="16" t="inlineStr">
        <is>
          <t>–</t>
        </is>
      </c>
      <c r="I60" s="16" t="inlineStr">
        <is>
          <t>catalyst=STRATEGIC_REVIEW, sector=Heal</t>
        </is>
      </c>
      <c r="J60" s="16" t="inlineStr">
        <is>
          <t>P/B 8.09 · P/S 0.0 · FCF yld -81% · net cash 22% of mcap · op margin 0%</t>
        </is>
      </c>
    </row>
    <row r="61" ht="22" customHeight="1">
      <c r="A61" s="6" t="inlineStr">
        <is>
          <t>KALA</t>
        </is>
      </c>
      <c r="B61" s="14" t="inlineStr">
        <is>
          <t>KALA BIO, Inc.</t>
        </is>
      </c>
      <c r="C61" s="14" t="inlineStr">
        <is>
          <t>52w 0%</t>
        </is>
      </c>
      <c r="D61" s="14" t="n">
        <v>96</v>
      </c>
      <c r="E61" s="14" t="n"/>
      <c r="F61" s="27" t="n">
        <v>25</v>
      </c>
      <c r="G61" s="14" t="inlineStr">
        <is>
          <t>FADING</t>
        </is>
      </c>
      <c r="H61" s="27" t="n">
        <v>30</v>
      </c>
      <c r="I61" s="14" t="inlineStr">
        <is>
          <t>catalyst=STRATEGIC_REVIEW, sector=Heal</t>
        </is>
      </c>
      <c r="J61" s="14" t="inlineStr">
        <is>
          <t>P/S 0.0 · op margin 0% · buying back 43%/yr  [market-cap/share data inconsistent; FCF yield &gt;100% (check)]</t>
        </is>
      </c>
    </row>
    <row r="62"/>
    <row r="63">
      <c r="A63" s="9" t="inlineStr">
        <is>
          <t>WHAT RAISES TAIL ODDS (historical lift vs 15% base)</t>
        </is>
      </c>
    </row>
    <row r="64" ht="18" customHeight="1">
      <c r="A64" s="4" t="inlineStr">
        <is>
          <t>Feature = bin</t>
        </is>
      </c>
      <c r="B64" s="4" t="inlineStr">
        <is>
          <t>Tail rate</t>
        </is>
      </c>
      <c r="C64" s="4" t="n"/>
      <c r="D64" s="4" t="n"/>
      <c r="E64" s="4" t="n"/>
      <c r="F64" s="4" t="inlineStr">
        <is>
          <t>Lift</t>
        </is>
      </c>
      <c r="G64" s="4" t="inlineStr">
        <is>
          <t>N</t>
        </is>
      </c>
      <c r="H64" s="12" t="inlineStr"/>
    </row>
    <row r="65" ht="16" customHeight="1">
      <c r="A65" s="6" t="inlineStr">
        <is>
          <t>catalyst = SALE_OF_COMPANY</t>
        </is>
      </c>
      <c r="B65" s="27" t="n">
        <v>31</v>
      </c>
      <c r="C65" s="46" t="n"/>
      <c r="D65" s="46" t="n"/>
      <c r="E65" s="46" t="n"/>
      <c r="F65" s="14" t="inlineStr">
        <is>
          <t>2.08x</t>
        </is>
      </c>
      <c r="G65" s="13" t="n">
        <v>16</v>
      </c>
      <c r="H65" s="14" t="inlineStr">
        <is>
          <t>–</t>
        </is>
      </c>
    </row>
    <row r="66" ht="16" customHeight="1">
      <c r="A66" s="8" t="inlineStr">
        <is>
          <t>sector = Basic Materials</t>
        </is>
      </c>
      <c r="B66" s="28" t="n">
        <v>22</v>
      </c>
      <c r="C66" s="47" t="n"/>
      <c r="D66" s="47" t="n"/>
      <c r="E66" s="47" t="n"/>
      <c r="F66" s="16" t="inlineStr">
        <is>
          <t>1.44x</t>
        </is>
      </c>
      <c r="G66" s="15" t="n">
        <v>23</v>
      </c>
      <c r="H66" s="16" t="inlineStr">
        <is>
          <t>–</t>
        </is>
      </c>
    </row>
    <row r="67" ht="16" customHeight="1">
      <c r="A67" s="6" t="inlineStr">
        <is>
          <t>drawdown_12m = deep(&lt;-50%)</t>
        </is>
      </c>
      <c r="B67" s="27" t="n">
        <v>23</v>
      </c>
      <c r="C67" s="46" t="n"/>
      <c r="D67" s="46" t="n"/>
      <c r="E67" s="46" t="n"/>
      <c r="F67" s="14" t="inlineStr">
        <is>
          <t>1.53x</t>
        </is>
      </c>
      <c r="G67" s="13" t="n">
        <v>104</v>
      </c>
      <c r="H67" s="14" t="inlineStr">
        <is>
          <t>–</t>
        </is>
      </c>
    </row>
    <row r="68" ht="16" customHeight="1">
      <c r="A68" s="8" t="inlineStr">
        <is>
          <t>sector = Healthcare</t>
        </is>
      </c>
      <c r="B68" s="28" t="n">
        <v>22</v>
      </c>
      <c r="C68" s="47" t="n"/>
      <c r="D68" s="47" t="n"/>
      <c r="E68" s="47" t="n"/>
      <c r="F68" s="16" t="inlineStr">
        <is>
          <t>1.48x</t>
        </is>
      </c>
      <c r="G68" s="15" t="n">
        <v>54</v>
      </c>
      <c r="H68" s="16" t="inlineStr">
        <is>
          <t>–</t>
        </is>
      </c>
    </row>
    <row r="69" ht="16" customHeight="1">
      <c r="A69" s="6" t="inlineStr">
        <is>
          <t>catalyst = STRATEGIC_REVIEW</t>
        </is>
      </c>
      <c r="B69" s="27" t="n">
        <v>18</v>
      </c>
      <c r="C69" s="46" t="n"/>
      <c r="D69" s="46" t="n"/>
      <c r="E69" s="46" t="n"/>
      <c r="F69" s="14" t="inlineStr">
        <is>
          <t>1.19x</t>
        </is>
      </c>
      <c r="G69" s="13" t="n">
        <v>56</v>
      </c>
      <c r="H69" s="14" t="inlineStr">
        <is>
          <t>–</t>
        </is>
      </c>
    </row>
    <row r="70" ht="16" customHeight="1">
      <c r="A70" s="8" t="inlineStr">
        <is>
          <t>catalyst = SPINOFF</t>
        </is>
      </c>
      <c r="B70" s="28" t="n">
        <v>15</v>
      </c>
      <c r="C70" s="47" t="n"/>
      <c r="D70" s="47" t="n"/>
      <c r="E70" s="47" t="n"/>
      <c r="F70" s="16" t="inlineStr">
        <is>
          <t>1.01x</t>
        </is>
      </c>
      <c r="G70" s="15" t="n">
        <v>66</v>
      </c>
      <c r="H70" s="16" t="inlineStr">
        <is>
          <t>–</t>
        </is>
      </c>
    </row>
    <row r="71" ht="16" customHeight="1">
      <c r="A71" s="6" t="inlineStr">
        <is>
          <t>sector = Technology</t>
        </is>
      </c>
      <c r="B71" s="27" t="n">
        <v>18</v>
      </c>
      <c r="C71" s="46" t="n"/>
      <c r="D71" s="46" t="n"/>
      <c r="E71" s="46" t="n"/>
      <c r="F71" s="14" t="inlineStr">
        <is>
          <t>1.22x</t>
        </is>
      </c>
      <c r="G71" s="13" t="n">
        <v>49</v>
      </c>
      <c r="H71" s="14" t="inlineStr">
        <is>
          <t>–</t>
        </is>
      </c>
    </row>
    <row r="72" ht="16" customHeight="1">
      <c r="A72" s="8" t="inlineStr">
        <is>
          <t>range_pos = low</t>
        </is>
      </c>
      <c r="B72" s="28" t="n">
        <v>22</v>
      </c>
      <c r="C72" s="47" t="n"/>
      <c r="D72" s="47" t="n"/>
      <c r="E72" s="47" t="n"/>
      <c r="F72" s="16" t="inlineStr">
        <is>
          <t>1.43x</t>
        </is>
      </c>
      <c r="G72" s="15" t="n">
        <v>219</v>
      </c>
      <c r="H72" s="16" t="inlineStr">
        <is>
          <t>–</t>
        </is>
      </c>
    </row>
    <row r="73" ht="16" customHeight="1">
      <c r="A73" s="6" t="inlineStr">
        <is>
          <t>size = micro</t>
        </is>
      </c>
      <c r="B73" s="27" t="n">
        <v>17</v>
      </c>
      <c r="C73" s="46" t="n"/>
      <c r="D73" s="46" t="n"/>
      <c r="E73" s="46" t="n"/>
      <c r="F73" s="14" t="inlineStr">
        <is>
          <t>1.11x</t>
        </is>
      </c>
      <c r="G73" s="13" t="n">
        <v>108</v>
      </c>
      <c r="H73" s="14" t="inlineStr">
        <is>
          <t>–</t>
        </is>
      </c>
    </row>
    <row r="74" ht="16" customHeight="1">
      <c r="A74" s="8" t="inlineStr">
        <is>
          <t>catalyst = ASSET_SALE</t>
        </is>
      </c>
      <c r="B74" s="28" t="n">
        <v>19</v>
      </c>
      <c r="C74" s="47" t="n"/>
      <c r="D74" s="47" t="n"/>
      <c r="E74" s="47" t="n"/>
      <c r="F74" s="16" t="inlineStr">
        <is>
          <t>1.27x</t>
        </is>
      </c>
      <c r="G74" s="15" t="n">
        <v>68</v>
      </c>
      <c r="H74" s="16" t="inlineStr">
        <is>
          <t>–</t>
        </is>
      </c>
    </row>
    <row r="75" ht="16" customHeight="1">
      <c r="A75" s="6" t="inlineStr">
        <is>
          <t>pre_12m = down(&lt;-20%)  (needs a wait)</t>
        </is>
      </c>
      <c r="B75" s="27" t="n">
        <v>22</v>
      </c>
      <c r="C75" s="46" t="n"/>
      <c r="D75" s="46" t="n"/>
      <c r="E75" s="46" t="n"/>
      <c r="F75" s="14" t="inlineStr">
        <is>
          <t>1.46x</t>
        </is>
      </c>
      <c r="G75" s="13" t="n">
        <v>155</v>
      </c>
      <c r="H75" s="14" t="inlineStr">
        <is>
          <t>–</t>
        </is>
      </c>
    </row>
    <row r="76" ht="16" customHeight="1">
      <c r="A76" s="8" t="inlineStr">
        <is>
          <t>post_1m = up(&gt;+20%)  (needs a wait)</t>
        </is>
      </c>
      <c r="B76" s="28" t="n">
        <v>35</v>
      </c>
      <c r="C76" s="47" t="n"/>
      <c r="D76" s="47" t="n"/>
      <c r="E76" s="47" t="n"/>
      <c r="F76" s="16" t="inlineStr">
        <is>
          <t>2.35x</t>
        </is>
      </c>
      <c r="G76" s="15" t="n">
        <v>51</v>
      </c>
      <c r="H76" s="16" t="inlineStr">
        <is>
          <t>–</t>
        </is>
      </c>
    </row>
    <row r="77"/>
    <row r="78" ht="28" customHeight="1">
      <c r="A78" s="17" t="inlineStr">
        <is>
          <t>HOW TO RAISE THE ODDS, from the 12-type event study (314 events, 10% base tail rate). The right tail concentrates in (1) DEEPLY BEATEN-DOWN names — &gt;50% below their 12-month high tailed 19% vs 7% for names near their highs (1.9x); (2) the right SECTORS — Basic Materials (2.3x), Healthcare (1.9x), Communication Services (1.7x), Technology (1.5x) — while Utilities and Real Estate produced ZERO tails and Financials few; (3) micro/mid-caps over large; (4) the right CATALYSTS — SALE-OF-COMPANY (2.5x, contested-deal tail), STRATEGIC-REVIEW (1.6x lottery) and SPIN-OFF (1.6x); ASSET-SALE has the best MEDIAN (+10%, 58% hit). The backtest also exposed TRAPS to fade: going-private (-37% median), uplisting (-23%, pump-and-fade), capital-return/special-dividend (-11%), exchange-offer (-21%) — all down-weighted in the catalyst engine. THE SINGLE STRONGEST EDGE is not a screen but a RULE: wait ~1 month and enter only names the market voted UP &gt;20% on the catalyst (the Confirmed shortlist above). Buying a catalyst blind loses to SPY on the median (overall -4%); buying beaten-down names in the right sectors AFTER the market confirms is how you tilt into the tail. Directional (n per type 8-51). Sources: rerate_backtest.py / tail_discriminators.py / tail_odds.py.</t>
        </is>
      </c>
    </row>
  </sheetData>
  <mergeCells count="3">
    <mergeCell ref="A1:I1"/>
    <mergeCell ref="A2:I2"/>
    <mergeCell ref="A78:I78"/>
  </mergeCells>
  <conditionalFormatting sqref="D6:D78">
    <cfRule type="dataBar" priority="1">
      <dataBar showValue="1">
        <cfvo type="num" val="0"/>
        <cfvo type="num" val="100"/>
        <color rgb="009DB9D3"/>
      </dataBar>
    </cfRule>
  </conditionalFormatting>
  <hyperlinks>
    <hyperlink xmlns:r="http://schemas.openxmlformats.org/officeDocument/2006/relationships" ref="A7" r:id="rId1"/>
    <hyperlink xmlns:r="http://schemas.openxmlformats.org/officeDocument/2006/relationships" ref="A16" r:id="rId2"/>
    <hyperlink xmlns:r="http://schemas.openxmlformats.org/officeDocument/2006/relationships" ref="A36" r:id="rId3"/>
    <hyperlink xmlns:r="http://schemas.openxmlformats.org/officeDocument/2006/relationships" ref="A38" r:id="rId4"/>
    <hyperlink xmlns:r="http://schemas.openxmlformats.org/officeDocument/2006/relationships" ref="A49" r:id="rId5"/>
    <hyperlink xmlns:r="http://schemas.openxmlformats.org/officeDocument/2006/relationships" ref="A51" r:id="rId6"/>
  </hyperlinks>
  <printOptions horizontalCentered="0"/>
  <pageMargins left="0.5" right="0.5" top="0.6" bottom="0.6" header="0.5" footer="0.5"/>
  <pageSetup orientation="landscape" fitToHeight="0" fitToWidth="1"/>
</worksheet>
</file>

<file path=xl/worksheets/sheet34.xml><?xml version="1.0" encoding="utf-8"?>
<worksheet xmlns="http://schemas.openxmlformats.org/spreadsheetml/2006/main">
  <sheetPr>
    <tabColor rgb="00ED7D31"/>
    <outlinePr summaryBelow="1" summaryRight="1"/>
    <pageSetUpPr fitToPage="1"/>
  </sheetPr>
  <dimension ref="A1:E29"/>
  <sheetViews>
    <sheetView showGridLines="0" workbookViewId="0">
      <selection activeCell="A1" sqref="A1"/>
    </sheetView>
  </sheetViews>
  <sheetFormatPr baseColWidth="8" defaultRowHeight="15"/>
  <cols>
    <col width="26" customWidth="1" min="1" max="1"/>
    <col width="12" customWidth="1" min="2" max="2"/>
    <col width="12" customWidth="1" min="3" max="3"/>
    <col width="10" customWidth="1" min="4" max="4"/>
    <col width="40" customWidth="1" min="5" max="5"/>
  </cols>
  <sheetData>
    <row r="1" ht="26" customHeight="1">
      <c r="A1" s="1" t="inlineStr">
        <is>
          <t>Winners Study — what realized 1-year re-raters had in common</t>
        </is>
      </c>
    </row>
    <row r="2" ht="18" customHeight="1">
      <c r="A2" s="2" t="inlineStr">
        <is>
          <t>52wk high/low &gt;= 2.5 AND price in top 30% of range  |  271 winners of 5251 priced (80 big, &gt;= 4x range).</t>
        </is>
      </c>
      <c r="B2" s="3" t="n"/>
      <c r="C2" s="3" t="n"/>
      <c r="D2" s="3" t="n"/>
      <c r="E2" s="3" t="n"/>
    </row>
    <row r="3" ht="8" customHeight="1"/>
    <row r="4">
      <c r="A4" s="9" t="inlineStr">
        <is>
          <t>FEATURE LIFT (winner-rate / base-rate)</t>
        </is>
      </c>
    </row>
    <row r="5" ht="18" customHeight="1">
      <c r="A5" s="4" t="inlineStr">
        <is>
          <t>Feature</t>
        </is>
      </c>
      <c r="B5" s="4" t="inlineStr">
        <is>
          <t>Winner %</t>
        </is>
      </c>
      <c r="C5" s="4" t="inlineStr">
        <is>
          <t>Base %</t>
        </is>
      </c>
      <c r="D5" s="4" t="inlineStr">
        <is>
          <t>Lift</t>
        </is>
      </c>
      <c r="E5" s="4" t="inlineStr">
        <is>
          <t>Read</t>
        </is>
      </c>
    </row>
    <row r="6" ht="16" customHeight="1">
      <c r="A6" s="8" t="inlineStr">
        <is>
          <t>mda_intent</t>
        </is>
      </c>
      <c r="B6" s="36" t="n">
        <v>9</v>
      </c>
      <c r="C6" s="36" t="n">
        <v>7</v>
      </c>
      <c r="D6" s="15" t="n">
        <v>1.25</v>
      </c>
      <c r="E6" s="16" t="inlineStr">
        <is>
          <t>management intent language — modestly over-represented</t>
        </is>
      </c>
    </row>
    <row r="7" ht="16" customHeight="1">
      <c r="A7" s="6" t="inlineStr">
        <is>
          <t>net_buyback</t>
        </is>
      </c>
      <c r="B7" s="35" t="n">
        <v>13</v>
      </c>
      <c r="C7" s="35" t="n">
        <v>12</v>
      </c>
      <c r="D7" s="13" t="n">
        <v>1.06</v>
      </c>
      <c r="E7" s="14" t="inlineStr">
        <is>
          <t>point-in-time-ish</t>
        </is>
      </c>
    </row>
    <row r="8" ht="16" customHeight="1">
      <c r="A8" s="8" t="inlineStr">
        <is>
          <t>hidden_asset</t>
        </is>
      </c>
      <c r="B8" s="36" t="n">
        <v>6</v>
      </c>
      <c r="C8" s="36" t="n">
        <v>5</v>
      </c>
      <c r="D8" s="15" t="n">
        <v>1.02</v>
      </c>
      <c r="E8" s="16" t="inlineStr">
        <is>
          <t>asset-realization setup</t>
        </is>
      </c>
    </row>
    <row r="9" ht="16" customHeight="1">
      <c r="A9" s="6" t="inlineStr">
        <is>
          <t>offhours_insider</t>
        </is>
      </c>
      <c r="B9" s="35" t="n">
        <v>4</v>
      </c>
      <c r="C9" s="35" t="n">
        <v>4</v>
      </c>
      <c r="D9" s="13" t="n">
        <v>0.9399999999999999</v>
      </c>
      <c r="E9" s="14" t="inlineStr">
        <is>
          <t>point-in-time; trustworthy</t>
        </is>
      </c>
    </row>
    <row r="10" ht="16" customHeight="1">
      <c r="A10" s="8" t="inlineStr">
        <is>
          <t>small_cap</t>
        </is>
      </c>
      <c r="B10" s="36" t="n">
        <v>53</v>
      </c>
      <c r="C10" s="36" t="n">
        <v>57</v>
      </c>
      <c r="D10" s="15" t="n">
        <v>0.92</v>
      </c>
      <c r="E10" s="16" t="inlineStr">
        <is>
          <t>size</t>
        </is>
      </c>
    </row>
    <row r="11" ht="16" customHeight="1">
      <c r="A11" s="6" t="inlineStr">
        <is>
          <t>micro_cap</t>
        </is>
      </c>
      <c r="B11" s="35" t="n">
        <v>22</v>
      </c>
      <c r="C11" s="35" t="n">
        <v>30</v>
      </c>
      <c r="D11" s="13" t="n">
        <v>0.73</v>
      </c>
      <c r="E11" s="14" t="inlineStr">
        <is>
          <t>size</t>
        </is>
      </c>
    </row>
    <row r="12" ht="16" customHeight="1">
      <c r="A12" s="8" t="inlineStr">
        <is>
          <t>insider_buying</t>
        </is>
      </c>
      <c r="B12" s="36" t="n">
        <v>4</v>
      </c>
      <c r="C12" s="36" t="n">
        <v>6</v>
      </c>
      <c r="D12" s="15" t="n">
        <v>0.73</v>
      </c>
      <c r="E12" s="16" t="inlineStr">
        <is>
          <t>point-in-time; trustworthy</t>
        </is>
      </c>
    </row>
    <row r="13" ht="16" customHeight="1">
      <c r="A13" s="6" t="inlineStr">
        <is>
          <t>deep_value_pb</t>
        </is>
      </c>
      <c r="B13" s="35" t="n">
        <v>13</v>
      </c>
      <c r="C13" s="35" t="n">
        <v>22</v>
      </c>
      <c r="D13" s="13" t="n">
        <v>0.59</v>
      </c>
      <c r="E13" s="14" t="inlineStr">
        <is>
          <t>CAVEAT: measured post-move; lower bound</t>
        </is>
      </c>
    </row>
    <row r="14" ht="16" customHeight="1">
      <c r="A14" s="8" t="inlineStr">
        <is>
          <t>forced_seller</t>
        </is>
      </c>
      <c r="B14" s="36" t="n">
        <v>1</v>
      </c>
      <c r="C14" s="36" t="n">
        <v>2</v>
      </c>
      <c r="D14" s="15" t="n">
        <v>0.48</v>
      </c>
      <c r="E14" s="16" t="inlineStr">
        <is>
          <t>point-in-time; trustworthy</t>
        </is>
      </c>
    </row>
    <row r="15" ht="16" customHeight="1">
      <c r="A15" s="6" t="inlineStr">
        <is>
          <t>hard_floor</t>
        </is>
      </c>
      <c r="B15" s="35" t="n">
        <v>2</v>
      </c>
      <c r="C15" s="35" t="n">
        <v>4</v>
      </c>
      <c r="D15" s="13" t="n">
        <v>0.34</v>
      </c>
      <c r="E15" s="14" t="inlineStr">
        <is>
          <t>CAVEAT: post-move valuation; lower bound</t>
        </is>
      </c>
    </row>
    <row r="16" ht="16" customHeight="1">
      <c r="A16" s="8" t="inlineStr">
        <is>
          <t>high_geom_ratio</t>
        </is>
      </c>
      <c r="B16" s="36" t="n">
        <v>3</v>
      </c>
      <c r="C16" s="36" t="n">
        <v>12</v>
      </c>
      <c r="D16" s="15" t="n">
        <v>0.25</v>
      </c>
      <c r="E16" s="16" t="inlineStr">
        <is>
          <t>CAVEAT: post-move; winners look expensive now</t>
        </is>
      </c>
    </row>
    <row r="18">
      <c r="A18" s="9" t="inlineStr">
        <is>
          <t>SECTOR CONCENTRATION (winner share / lift)</t>
        </is>
      </c>
    </row>
    <row r="19" ht="18" customHeight="1">
      <c r="A19" s="12" t="inlineStr">
        <is>
          <t>Sector</t>
        </is>
      </c>
      <c r="B19" s="4" t="inlineStr">
        <is>
          <t>Winner %</t>
        </is>
      </c>
      <c r="C19" s="4" t="inlineStr">
        <is>
          <t>Lift</t>
        </is>
      </c>
      <c r="D19" s="12" t="inlineStr"/>
      <c r="E19" s="12" t="inlineStr"/>
    </row>
    <row r="20" ht="16" customHeight="1">
      <c r="A20" s="8" t="inlineStr">
        <is>
          <t>Healthcare</t>
        </is>
      </c>
      <c r="B20" s="36" t="n">
        <v>37</v>
      </c>
      <c r="C20" s="15" t="n">
        <v>2.05</v>
      </c>
      <c r="D20" s="16" t="inlineStr">
        <is>
          <t>–</t>
        </is>
      </c>
      <c r="E20" s="16" t="inlineStr">
        <is>
          <t>–</t>
        </is>
      </c>
    </row>
    <row r="21" ht="16" customHeight="1">
      <c r="A21" s="6" t="inlineStr">
        <is>
          <t>Technology</t>
        </is>
      </c>
      <c r="B21" s="35" t="n">
        <v>23</v>
      </c>
      <c r="C21" s="13" t="n">
        <v>1.66</v>
      </c>
      <c r="D21" s="14" t="inlineStr">
        <is>
          <t>–</t>
        </is>
      </c>
      <c r="E21" s="14" t="inlineStr">
        <is>
          <t>–</t>
        </is>
      </c>
    </row>
    <row r="22" ht="16" customHeight="1">
      <c r="A22" s="8" t="inlineStr">
        <is>
          <t>Energy</t>
        </is>
      </c>
      <c r="B22" s="36" t="n">
        <v>7</v>
      </c>
      <c r="C22" s="15" t="n">
        <v>1.42</v>
      </c>
      <c r="D22" s="16" t="inlineStr">
        <is>
          <t>–</t>
        </is>
      </c>
      <c r="E22" s="16" t="inlineStr">
        <is>
          <t>–</t>
        </is>
      </c>
    </row>
    <row r="23" ht="16" customHeight="1">
      <c r="A23" s="6" t="inlineStr">
        <is>
          <t>Industrials</t>
        </is>
      </c>
      <c r="B23" s="35" t="n">
        <v>15</v>
      </c>
      <c r="C23" s="13" t="n">
        <v>1.21</v>
      </c>
      <c r="D23" s="14" t="inlineStr">
        <is>
          <t>–</t>
        </is>
      </c>
      <c r="E23" s="14" t="inlineStr">
        <is>
          <t>–</t>
        </is>
      </c>
    </row>
    <row r="24" ht="16" customHeight="1">
      <c r="A24" s="8" t="inlineStr">
        <is>
          <t>Communication Services</t>
        </is>
      </c>
      <c r="B24" s="36" t="n">
        <v>4</v>
      </c>
      <c r="C24" s="15" t="n">
        <v>0.84</v>
      </c>
      <c r="D24" s="16" t="inlineStr">
        <is>
          <t>–</t>
        </is>
      </c>
      <c r="E24" s="16" t="inlineStr">
        <is>
          <t>–</t>
        </is>
      </c>
    </row>
    <row r="25" ht="16" customHeight="1">
      <c r="A25" s="6" t="inlineStr">
        <is>
          <t>Consumer Cyclical</t>
        </is>
      </c>
      <c r="B25" s="35" t="n">
        <v>6</v>
      </c>
      <c r="C25" s="13" t="n">
        <v>0.65</v>
      </c>
      <c r="D25" s="14" t="inlineStr">
        <is>
          <t>–</t>
        </is>
      </c>
      <c r="E25" s="14" t="inlineStr">
        <is>
          <t>–</t>
        </is>
      </c>
    </row>
    <row r="26" ht="16" customHeight="1">
      <c r="A26" s="8" t="inlineStr">
        <is>
          <t>Basic Materials</t>
        </is>
      </c>
      <c r="B26" s="36" t="n">
        <v>3</v>
      </c>
      <c r="C26" s="15" t="n">
        <v>0.61</v>
      </c>
      <c r="D26" s="16" t="inlineStr">
        <is>
          <t>–</t>
        </is>
      </c>
      <c r="E26" s="16" t="inlineStr">
        <is>
          <t>–</t>
        </is>
      </c>
    </row>
    <row r="27" ht="16" customHeight="1">
      <c r="A27" s="6" t="inlineStr">
        <is>
          <t>Financial Services</t>
        </is>
      </c>
      <c r="B27" s="35" t="n">
        <v>4</v>
      </c>
      <c r="C27" s="13" t="n">
        <v>0.23</v>
      </c>
      <c r="D27" s="14" t="inlineStr">
        <is>
          <t>–</t>
        </is>
      </c>
      <c r="E27" s="14" t="inlineStr">
        <is>
          <t>–</t>
        </is>
      </c>
    </row>
    <row r="29" ht="28" customHeight="1">
      <c r="A29" s="17" t="inlineStr">
        <is>
          <t>READ THIS. The honest reverse-engineering (pre-move filings of names that 3x'd) needs point-in-time fundamentals + multi-year price history, which are not available in this environment. This is the bounded version: winners are realized 1-year re-raters (52wk range + still near the high), and features are their CURRENT state. The key consequence: a name that already ran looks expensive now, so the value features (deep-value, hard-floor, high-ratio) show lift &lt; 1 purely as a post-move / survivorship artifact — NOT evidence that value fails. The trustworthy readings are (a) SECTOR, which doesn't change when a stock moves — winners concentrate in Technology (~2.2x lift) and Healthcare (~1.5x); and (b) the event-signal layers, which are closer to point-in-time. Conclusion: payoff geometry captures the limited-downside VALUE archetype of exceptional return; the biggest 1-year movers were GROWTH/re-rate names an asset-floor lens misses, so geometry is one lens, not the whole answer — the mechanism gates and catalyst layers carry the rest. Weights are therefore NOT auto-tuned on this survivorship sample. Source: winners_forensics.py.</t>
        </is>
      </c>
    </row>
  </sheetData>
  <mergeCells count="3">
    <mergeCell ref="A2:E2"/>
    <mergeCell ref="A1:E1"/>
    <mergeCell ref="A29:E29"/>
  </mergeCells>
  <printOptions horizontalCentered="0"/>
  <pageMargins left="0.5" right="0.5" top="0.6" bottom="0.6" header="0.5" footer="0.5"/>
  <pageSetup orientation="landscape" fitToHeight="0" fitToWidth="1"/>
</worksheet>
</file>

<file path=xl/worksheets/sheet35.xml><?xml version="1.0" encoding="utf-8"?>
<worksheet xmlns="http://schemas.openxmlformats.org/spreadsheetml/2006/main">
  <sheetPr>
    <tabColor rgb="00A5A5A5"/>
    <outlinePr summaryBelow="1" summaryRight="1"/>
    <pageSetUpPr fitToPage="1"/>
  </sheetPr>
  <dimension ref="A1:D32"/>
  <sheetViews>
    <sheetView showGridLines="0" workbookViewId="0">
      <pane ySplit="6" topLeftCell="A7" activePane="bottomLeft" state="frozen"/>
      <selection pane="bottomLeft" activeCell="A1" sqref="A1"/>
    </sheetView>
  </sheetViews>
  <sheetFormatPr baseColWidth="8" defaultRowHeight="15"/>
  <cols>
    <col width="30" customWidth="1" min="1" max="1"/>
    <col width="30" customWidth="1" min="2" max="2"/>
    <col width="14" customWidth="1" min="3" max="3"/>
    <col width="16" customWidth="1" min="4" max="4"/>
  </cols>
  <sheetData>
    <row r="1" ht="26" customHeight="1">
      <c r="A1" s="1" t="inlineStr">
        <is>
          <t>Layer Correlation &amp; Independence</t>
        </is>
      </c>
    </row>
    <row r="2" ht="18" customHeight="1">
      <c r="A2" s="2" t="inlineStr">
        <is>
          <t>How independent are the scoring layers? Positively correlated layers are not separate confirmations.</t>
        </is>
      </c>
      <c r="B2" s="3" t="n"/>
      <c r="C2" s="3" t="n"/>
      <c r="D2" s="3" t="n"/>
    </row>
    <row r="3" ht="8" customHeight="1"/>
    <row r="4">
      <c r="A4" s="9" t="inlineStr">
        <is>
          <t>Raw layers: 45    Effective-independent (rho&gt;0.6): 38</t>
        </is>
      </c>
    </row>
    <row r="5"/>
    <row r="6" ht="18" customHeight="1">
      <c r="A6" s="4" t="inlineStr">
        <is>
          <t>Layer A</t>
        </is>
      </c>
      <c r="B6" s="4" t="inlineStr">
        <is>
          <t>Layer B</t>
        </is>
      </c>
      <c r="C6" s="4" t="inlineStr">
        <is>
          <t>Spearman</t>
        </is>
      </c>
      <c r="D6" s="4" t="inlineStr">
        <is>
          <t>Interpretation</t>
        </is>
      </c>
    </row>
    <row r="7" ht="16" customHeight="1">
      <c r="A7" s="14" t="inlineStr">
        <is>
          <t>f4_buys</t>
        </is>
      </c>
      <c r="B7" s="14" t="inlineStr">
        <is>
          <t>discretionary_conviction</t>
        </is>
      </c>
      <c r="C7" s="27" t="n">
        <v>0.963</v>
      </c>
      <c r="D7" s="14" t="inlineStr">
        <is>
          <t>very_high</t>
        </is>
      </c>
    </row>
    <row r="8" ht="16" customHeight="1">
      <c r="A8" s="16" t="inlineStr">
        <is>
          <t>tender</t>
        </is>
      </c>
      <c r="B8" s="16" t="inlineStr">
        <is>
          <t>bumpitrage</t>
        </is>
      </c>
      <c r="C8" s="28" t="n">
        <v>0.783</v>
      </c>
      <c r="D8" s="16" t="inlineStr">
        <is>
          <t>very_high</t>
        </is>
      </c>
    </row>
    <row r="9" ht="16" customHeight="1">
      <c r="A9" s="14" t="inlineStr">
        <is>
          <t>opportunistic</t>
        </is>
      </c>
      <c r="B9" s="14" t="inlineStr">
        <is>
          <t>discretionary_conviction</t>
        </is>
      </c>
      <c r="C9" s="27" t="n">
        <v>0.6850000000000001</v>
      </c>
      <c r="D9" s="14" t="inlineStr">
        <is>
          <t>very_high</t>
        </is>
      </c>
    </row>
    <row r="10" ht="16" customHeight="1">
      <c r="A10" s="16" t="inlineStr">
        <is>
          <t>f4_buys</t>
        </is>
      </c>
      <c r="B10" s="16" t="inlineStr">
        <is>
          <t>opportunistic</t>
        </is>
      </c>
      <c r="C10" s="28" t="n">
        <v>0.667</v>
      </c>
      <c r="D10" s="16" t="inlineStr">
        <is>
          <t>very_high</t>
        </is>
      </c>
    </row>
    <row r="11" ht="16" customHeight="1">
      <c r="A11" s="14" t="inlineStr">
        <is>
          <t>valuation</t>
        </is>
      </c>
      <c r="B11" s="14" t="inlineStr">
        <is>
          <t>payoff_geometry</t>
        </is>
      </c>
      <c r="C11" s="27" t="n">
        <v>0.637</v>
      </c>
      <c r="D11" s="14" t="inlineStr">
        <is>
          <t>very_high</t>
        </is>
      </c>
    </row>
    <row r="12" ht="16" customHeight="1">
      <c r="A12" s="16" t="inlineStr">
        <is>
          <t>tender_mech</t>
        </is>
      </c>
      <c r="B12" s="16" t="inlineStr">
        <is>
          <t>bumpitrage</t>
        </is>
      </c>
      <c r="C12" s="28" t="n">
        <v>-0.623</v>
      </c>
      <c r="D12" s="16" t="inlineStr">
        <is>
          <t>very_high</t>
        </is>
      </c>
    </row>
    <row r="13" ht="16" customHeight="1">
      <c r="A13" s="14" t="inlineStr">
        <is>
          <t>opportunistic</t>
        </is>
      </c>
      <c r="B13" s="14" t="inlineStr">
        <is>
          <t>form4_timing</t>
        </is>
      </c>
      <c r="C13" s="27" t="n">
        <v>0.62</v>
      </c>
      <c r="D13" s="14" t="inlineStr">
        <is>
          <t>very_high</t>
        </is>
      </c>
    </row>
    <row r="14" ht="16" customHeight="1">
      <c r="A14" s="16" t="inlineStr">
        <is>
          <t>net_net_ncav</t>
        </is>
      </c>
      <c r="B14" s="16" t="inlineStr">
        <is>
          <t>quarterly_10q</t>
        </is>
      </c>
      <c r="C14" s="28" t="n">
        <v>0.601</v>
      </c>
      <c r="D14" s="16" t="inlineStr">
        <is>
          <t>very_high</t>
        </is>
      </c>
    </row>
    <row r="15" ht="16" customHeight="1">
      <c r="A15" s="14" t="inlineStr">
        <is>
          <t>tender</t>
        </is>
      </c>
      <c r="B15" s="14" t="inlineStr">
        <is>
          <t>tender_mech</t>
        </is>
      </c>
      <c r="C15" s="27" t="n">
        <v>-0.598</v>
      </c>
      <c r="D15" s="14" t="inlineStr">
        <is>
          <t>high</t>
        </is>
      </c>
    </row>
    <row r="16" ht="16" customHeight="1">
      <c r="A16" s="16" t="inlineStr">
        <is>
          <t>psu</t>
        </is>
      </c>
      <c r="B16" s="16" t="inlineStr">
        <is>
          <t>recent_incentive</t>
        </is>
      </c>
      <c r="C16" s="28" t="n">
        <v>0.588</v>
      </c>
      <c r="D16" s="16" t="inlineStr">
        <is>
          <t>high</t>
        </is>
      </c>
    </row>
    <row r="17" ht="16" customHeight="1">
      <c r="A17" s="14" t="inlineStr">
        <is>
          <t>voss_cic</t>
        </is>
      </c>
      <c r="B17" s="14" t="inlineStr">
        <is>
          <t>coval_stafford</t>
        </is>
      </c>
      <c r="C17" s="27" t="n">
        <v>0.516</v>
      </c>
      <c r="D17" s="14" t="inlineStr">
        <is>
          <t>high</t>
        </is>
      </c>
    </row>
    <row r="18" ht="16" customHeight="1">
      <c r="A18" s="16" t="inlineStr">
        <is>
          <t>discretionary_conviction</t>
        </is>
      </c>
      <c r="B18" s="16" t="inlineStr">
        <is>
          <t>form4_timing</t>
        </is>
      </c>
      <c r="C18" s="28" t="n">
        <v>0.465</v>
      </c>
      <c r="D18" s="16" t="inlineStr">
        <is>
          <t>high</t>
        </is>
      </c>
    </row>
    <row r="19" ht="16" customHeight="1">
      <c r="A19" s="14" t="inlineStr">
        <is>
          <t>f4_buys</t>
        </is>
      </c>
      <c r="B19" s="14" t="inlineStr">
        <is>
          <t>form4_timing</t>
        </is>
      </c>
      <c r="C19" s="27" t="n">
        <v>0.438</v>
      </c>
      <c r="D19" s="14" t="inlineStr">
        <is>
          <t>high</t>
        </is>
      </c>
    </row>
    <row r="20" ht="16" customHeight="1">
      <c r="A20" s="16" t="inlineStr">
        <is>
          <t>recent_incentive</t>
        </is>
      </c>
      <c r="B20" s="16" t="inlineStr">
        <is>
          <t>coval_stafford</t>
        </is>
      </c>
      <c r="C20" s="28" t="n">
        <v>0.436</v>
      </c>
      <c r="D20" s="16" t="inlineStr">
        <is>
          <t>high</t>
        </is>
      </c>
    </row>
    <row r="21" ht="16" customHeight="1">
      <c r="A21" s="14" t="inlineStr">
        <is>
          <t>psu</t>
        </is>
      </c>
      <c r="B21" s="14" t="inlineStr">
        <is>
          <t>coval_stafford</t>
        </is>
      </c>
      <c r="C21" s="27" t="n">
        <v>0.426</v>
      </c>
      <c r="D21" s="14" t="inlineStr">
        <is>
          <t>high</t>
        </is>
      </c>
    </row>
    <row r="22" ht="16" customHeight="1">
      <c r="A22" s="16" t="inlineStr">
        <is>
          <t>psu</t>
        </is>
      </c>
      <c r="B22" s="16" t="inlineStr">
        <is>
          <t>voss_cic</t>
        </is>
      </c>
      <c r="C22" s="28" t="n">
        <v>0.39</v>
      </c>
      <c r="D22" s="16" t="inlineStr">
        <is>
          <t>moderate</t>
        </is>
      </c>
    </row>
    <row r="23" ht="16" customHeight="1">
      <c r="A23" s="14" t="inlineStr">
        <is>
          <t>emergence_crossfeed</t>
        </is>
      </c>
      <c r="B23" s="14" t="inlineStr">
        <is>
          <t>lynch_reawakening</t>
        </is>
      </c>
      <c r="C23" s="27" t="n">
        <v>0.346</v>
      </c>
      <c r="D23" s="14" t="inlineStr">
        <is>
          <t>moderate</t>
        </is>
      </c>
    </row>
    <row r="24" ht="16" customHeight="1">
      <c r="A24" s="16" t="inlineStr">
        <is>
          <t>recent_incentive</t>
        </is>
      </c>
      <c r="B24" s="16" t="inlineStr">
        <is>
          <t>opportunistic</t>
        </is>
      </c>
      <c r="C24" s="28" t="n">
        <v>0.339</v>
      </c>
      <c r="D24" s="16" t="inlineStr">
        <is>
          <t>moderate</t>
        </is>
      </c>
    </row>
    <row r="25" ht="16" customHeight="1">
      <c r="A25" s="14" t="inlineStr">
        <is>
          <t>recent_incentive</t>
        </is>
      </c>
      <c r="B25" s="14" t="inlineStr">
        <is>
          <t>voss_cic</t>
        </is>
      </c>
      <c r="C25" s="27" t="n">
        <v>0.306</v>
      </c>
      <c r="D25" s="14" t="inlineStr">
        <is>
          <t>moderate</t>
        </is>
      </c>
    </row>
    <row r="26" ht="16" customHeight="1">
      <c r="A26" s="16" t="inlineStr">
        <is>
          <t>recent_incentive</t>
        </is>
      </c>
      <c r="B26" s="16" t="inlineStr">
        <is>
          <t>special_sits</t>
        </is>
      </c>
      <c r="C26" s="28" t="n">
        <v>0.302</v>
      </c>
      <c r="D26" s="16" t="inlineStr">
        <is>
          <t>moderate</t>
        </is>
      </c>
    </row>
    <row r="27" ht="16" customHeight="1">
      <c r="A27" s="14" t="inlineStr">
        <is>
          <t>discretionary_conviction</t>
        </is>
      </c>
      <c r="B27" s="14" t="inlineStr">
        <is>
          <t>bb_insider_overlay</t>
        </is>
      </c>
      <c r="C27" s="27" t="n">
        <v>0.278</v>
      </c>
      <c r="D27" s="14" t="inlineStr">
        <is>
          <t>moderate</t>
        </is>
      </c>
    </row>
    <row r="28" ht="16" customHeight="1">
      <c r="A28" s="16" t="inlineStr">
        <is>
          <t>post_ch11</t>
        </is>
      </c>
      <c r="B28" s="16" t="inlineStr">
        <is>
          <t>equity_committee</t>
        </is>
      </c>
      <c r="C28" s="28" t="n">
        <v>0.277</v>
      </c>
      <c r="D28" s="16" t="inlineStr">
        <is>
          <t>moderate</t>
        </is>
      </c>
    </row>
    <row r="29" ht="16" customHeight="1">
      <c r="A29" s="14" t="inlineStr">
        <is>
          <t>f4_buys</t>
        </is>
      </c>
      <c r="B29" s="14" t="inlineStr">
        <is>
          <t>bb_insider_overlay</t>
        </is>
      </c>
      <c r="C29" s="27" t="n">
        <v>0.273</v>
      </c>
      <c r="D29" s="14" t="inlineStr">
        <is>
          <t>moderate</t>
        </is>
      </c>
    </row>
    <row r="30" ht="16" customHeight="1">
      <c r="A30" s="16" t="inlineStr">
        <is>
          <t>psu</t>
        </is>
      </c>
      <c r="B30" s="16" t="inlineStr">
        <is>
          <t>buyback</t>
        </is>
      </c>
      <c r="C30" s="28" t="n">
        <v>0.255</v>
      </c>
      <c r="D30" s="16" t="inlineStr">
        <is>
          <t>moderate</t>
        </is>
      </c>
    </row>
    <row r="32" ht="28" customHeight="1">
      <c r="A32" s="17" t="inlineStr">
        <is>
          <t>Spearman rank correlation across the full universe. Pairs above rho 0.6 are folded into a single effective layer for the independence count: PSU + Voss CIC (Voss derives from the PSU plan), the tender family (tender + mechanism + bumpitrage share one source), and Form 4 + opportunistic insiders (one refines the other). A high raw layer-firing count should be read against this: nine layers firing is closer to seven or eight genuinely independent confirmations.</t>
        </is>
      </c>
    </row>
  </sheetData>
  <mergeCells count="4">
    <mergeCell ref="A1:D1"/>
    <mergeCell ref="A4:D4"/>
    <mergeCell ref="A32:D32"/>
    <mergeCell ref="A2:D2"/>
  </mergeCells>
  <printOptions horizontalCentered="0"/>
  <pageMargins left="0.5" right="0.5" top="0.6" bottom="0.6" header="0.5" footer="0.5"/>
  <pageSetup orientation="landscape" fitToHeight="0" fitToWidth="1"/>
</worksheet>
</file>

<file path=xl/worksheets/sheet36.xml><?xml version="1.0" encoding="utf-8"?>
<worksheet xmlns="http://schemas.openxmlformats.org/spreadsheetml/2006/main">
  <sheetPr>
    <tabColor rgb="00A5A5A5"/>
    <outlinePr summaryBelow="1" summaryRight="1"/>
    <pageSetUpPr fitToPage="1"/>
  </sheetPr>
  <dimension ref="A1:F41"/>
  <sheetViews>
    <sheetView showGridLines="0" workbookViewId="0">
      <pane ySplit="4" topLeftCell="A5" activePane="bottomLeft" state="frozen"/>
      <selection pane="bottomLeft" activeCell="A1" sqref="A1"/>
    </sheetView>
  </sheetViews>
  <sheetFormatPr baseColWidth="8" defaultRowHeight="15"/>
  <cols>
    <col width="28" customWidth="1" min="1" max="1"/>
    <col width="12" customWidth="1" min="2" max="2"/>
    <col width="12" customWidth="1" min="3" max="3"/>
    <col width="9" customWidth="1" min="4" max="4"/>
    <col width="22" customWidth="1" min="5" max="5"/>
    <col width="24" customWidth="1" min="6" max="6"/>
  </cols>
  <sheetData>
    <row r="1" ht="26" customHeight="1">
      <c r="A1" s="1" t="inlineStr">
        <is>
          <t>Coverage &amp; Freshness Diagnostics</t>
        </is>
      </c>
    </row>
    <row r="2" ht="18" customHeight="1">
      <c r="A2" s="2" t="inlineStr">
        <is>
          <t>Live per-layer coverage, data age, and the real layer-firing distribution across the universe</t>
        </is>
      </c>
      <c r="B2" s="3" t="n"/>
      <c r="C2" s="3" t="n"/>
      <c r="D2" s="3" t="n"/>
      <c r="E2" s="3" t="n"/>
      <c r="F2" s="3" t="n"/>
    </row>
    <row r="3" ht="8" customHeight="1"/>
    <row r="4" ht="18" customHeight="1">
      <c r="A4" s="4" t="inlineStr">
        <is>
          <t>Data layer</t>
        </is>
      </c>
      <c r="B4" s="4" t="inlineStr">
        <is>
          <t>Coverage</t>
        </is>
      </c>
      <c r="C4" s="4" t="inlineStr">
        <is>
          <t>% univ</t>
        </is>
      </c>
      <c r="D4" s="4" t="inlineStr">
        <is>
          <t>Age</t>
        </is>
      </c>
      <c r="E4" s="4" t="inlineStr">
        <is>
          <t>Signal</t>
        </is>
      </c>
      <c r="F4" s="12" t="inlineStr">
        <is>
          <t>Source</t>
        </is>
      </c>
    </row>
    <row r="5" ht="16" customHeight="1">
      <c r="A5" s="6" t="inlineStr">
        <is>
          <t>PSU forensics</t>
        </is>
      </c>
      <c r="B5" s="27" t="n">
        <v>4425</v>
      </c>
      <c r="C5" s="35" t="n">
        <v>69.3</v>
      </c>
      <c r="D5" s="14" t="inlineStr">
        <is>
          <t>0d</t>
        </is>
      </c>
      <c r="E5" s="14" t="inlineStr">
        <is>
          <t>Knowable catalyst</t>
        </is>
      </c>
      <c r="F5" s="14" t="inlineStr">
        <is>
          <t>proxy_scan*.json</t>
        </is>
      </c>
    </row>
    <row r="6" ht="16" customHeight="1">
      <c r="A6" s="8" t="inlineStr">
        <is>
          <t>Governance score</t>
        </is>
      </c>
      <c r="B6" s="28" t="n">
        <v>4425</v>
      </c>
      <c r="C6" s="36" t="n">
        <v>69.3</v>
      </c>
      <c r="D6" s="16" t="inlineStr">
        <is>
          <t>0d</t>
        </is>
      </c>
      <c r="E6" s="16" t="inlineStr">
        <is>
          <t>Board constraint</t>
        </is>
      </c>
      <c r="F6" s="16" t="inlineStr">
        <is>
          <t>proxy_scan*.json</t>
        </is>
      </c>
    </row>
    <row r="7" ht="16" customHeight="1">
      <c r="A7" s="6" t="inlineStr">
        <is>
          <t>Tender / SC TO / 13E-3</t>
        </is>
      </c>
      <c r="B7" s="27" t="n">
        <v>6164</v>
      </c>
      <c r="C7" s="35" t="n">
        <v>96.59999999999999</v>
      </c>
      <c r="D7" s="14" t="inlineStr">
        <is>
          <t>14d</t>
        </is>
      </c>
      <c r="E7" s="14" t="inlineStr">
        <is>
          <t>Mechanical bid</t>
        </is>
      </c>
      <c r="F7" s="14" t="inlineStr">
        <is>
          <t>tender_scan.json</t>
        </is>
      </c>
    </row>
    <row r="8" ht="16" customHeight="1">
      <c r="A8" s="8" t="inlineStr">
        <is>
          <t>10b5-1 directional</t>
        </is>
      </c>
      <c r="B8" s="28" t="n">
        <v>6164</v>
      </c>
      <c r="C8" s="36" t="n">
        <v>96.59999999999999</v>
      </c>
      <c r="D8" s="16" t="inlineStr">
        <is>
          <t>14d</t>
        </is>
      </c>
      <c r="E8" s="16" t="inlineStr">
        <is>
          <t>Insider direction</t>
        </is>
      </c>
      <c r="F8" s="16" t="inlineStr">
        <is>
          <t>cancel_10b5_1.json</t>
        </is>
      </c>
    </row>
    <row r="9" ht="16" customHeight="1">
      <c r="A9" s="6" t="inlineStr">
        <is>
          <t>Form 144 proposed sales</t>
        </is>
      </c>
      <c r="B9" s="27" t="n">
        <v>2935</v>
      </c>
      <c r="C9" s="35" t="n">
        <v>46</v>
      </c>
      <c r="D9" s="14" t="inlineStr">
        <is>
          <t>14d</t>
        </is>
      </c>
      <c r="E9" s="14" t="inlineStr">
        <is>
          <t>Bearish signal</t>
        </is>
      </c>
      <c r="F9" s="14" t="inlineStr">
        <is>
          <t>form144_scan.json</t>
        </is>
      </c>
    </row>
    <row r="10" ht="16" customHeight="1">
      <c r="A10" s="8" t="inlineStr">
        <is>
          <t>yfinance valuation</t>
        </is>
      </c>
      <c r="B10" s="28" t="n">
        <v>5830</v>
      </c>
      <c r="C10" s="36" t="n">
        <v>91.40000000000001</v>
      </c>
      <c r="D10" s="16" t="inlineStr">
        <is>
          <t>0d</t>
        </is>
      </c>
      <c r="E10" s="16" t="inlineStr">
        <is>
          <t>Price/book floor</t>
        </is>
      </c>
      <c r="F10" s="16" t="inlineStr">
        <is>
          <t>yfinance_quick.json</t>
        </is>
      </c>
    </row>
    <row r="11" ht="16" customHeight="1">
      <c r="A11" s="6" t="inlineStr">
        <is>
          <t>Buyback verification</t>
        </is>
      </c>
      <c r="B11" s="27" t="n">
        <v>1221</v>
      </c>
      <c r="C11" s="35" t="n">
        <v>19.1</v>
      </c>
      <c r="D11" s="14" t="inlineStr">
        <is>
          <t>14d</t>
        </is>
      </c>
      <c r="E11" s="14" t="inlineStr">
        <is>
          <t>Verified shrinkage</t>
        </is>
      </c>
      <c r="F11" s="14" t="inlineStr">
        <is>
          <t>buyback_verify.json</t>
        </is>
      </c>
    </row>
    <row r="12" ht="16" customHeight="1">
      <c r="A12" s="8" t="inlineStr">
        <is>
          <t>Form 4 P-buys</t>
        </is>
      </c>
      <c r="B12" s="28" t="n">
        <v>346</v>
      </c>
      <c r="C12" s="36" t="n">
        <v>5.4</v>
      </c>
      <c r="D12" s="16" t="inlineStr">
        <is>
          <t>14d</t>
        </is>
      </c>
      <c r="E12" s="16" t="inlineStr">
        <is>
          <t>Insider conviction</t>
        </is>
      </c>
      <c r="F12" s="16" t="inlineStr">
        <is>
          <t>form4_buys.json</t>
        </is>
      </c>
    </row>
    <row r="13" ht="16" customHeight="1">
      <c r="A13" s="6" t="inlineStr">
        <is>
          <t>Opportunistic insiders</t>
        </is>
      </c>
      <c r="B13" s="27" t="n">
        <v>346</v>
      </c>
      <c r="C13" s="35" t="n">
        <v>5.4</v>
      </c>
      <c r="D13" s="14" t="inlineStr">
        <is>
          <t>0d</t>
        </is>
      </c>
      <c r="E13" s="14" t="inlineStr">
        <is>
          <t>Cohen-Malloy</t>
        </is>
      </c>
      <c r="F13" s="14" t="inlineStr">
        <is>
          <t>opportunistic_insiders.json</t>
        </is>
      </c>
    </row>
    <row r="14" ht="16" customHeight="1">
      <c r="A14" s="8" t="inlineStr">
        <is>
          <t>Quarterly 10-Q</t>
        </is>
      </c>
      <c r="B14" s="28" t="n">
        <v>164</v>
      </c>
      <c r="C14" s="36" t="n">
        <v>2.6</v>
      </c>
      <c r="D14" s="16" t="inlineStr">
        <is>
          <t>–</t>
        </is>
      </c>
      <c r="E14" s="16" t="inlineStr">
        <is>
          <t>Fresh balance sheet</t>
        </is>
      </c>
      <c r="F14" s="16" t="inlineStr">
        <is>
          <t>quarterly_10q_data.json</t>
        </is>
      </c>
    </row>
    <row r="15" ht="16" customHeight="1">
      <c r="A15" s="6" t="inlineStr">
        <is>
          <t>Net-net NCAV</t>
        </is>
      </c>
      <c r="B15" s="27" t="n">
        <v>260</v>
      </c>
      <c r="C15" s="35" t="n">
        <v>4.1</v>
      </c>
      <c r="D15" s="14" t="inlineStr">
        <is>
          <t>14d</t>
        </is>
      </c>
      <c r="E15" s="14" t="inlineStr">
        <is>
          <t>Graham floor</t>
        </is>
      </c>
      <c r="F15" s="14" t="inlineStr">
        <is>
          <t>net_net_ncav.json</t>
        </is>
      </c>
    </row>
    <row r="16" ht="16" customHeight="1">
      <c r="A16" s="8" t="inlineStr">
        <is>
          <t>Voss CIC triangulation</t>
        </is>
      </c>
      <c r="B16" s="28" t="n">
        <v>1982</v>
      </c>
      <c r="C16" s="36" t="n">
        <v>31.1</v>
      </c>
      <c r="D16" s="16" t="inlineStr">
        <is>
          <t>14d</t>
        </is>
      </c>
      <c r="E16" s="16" t="inlineStr">
        <is>
          <t>M&amp;A predictor</t>
        </is>
      </c>
      <c r="F16" s="16" t="inlineStr">
        <is>
          <t>voss_cic_triangulation.json</t>
        </is>
      </c>
    </row>
    <row r="17" ht="16" customHeight="1">
      <c r="A17" s="6" t="inlineStr">
        <is>
          <t>Coval-Stafford proxy</t>
        </is>
      </c>
      <c r="B17" s="27" t="n">
        <v>1187</v>
      </c>
      <c r="C17" s="35" t="n">
        <v>18.6</v>
      </c>
      <c r="D17" s="14" t="inlineStr">
        <is>
          <t>14d</t>
        </is>
      </c>
      <c r="E17" s="14" t="inlineStr">
        <is>
          <t>Fire-sale pressure</t>
        </is>
      </c>
      <c r="F17" s="14" t="inlineStr">
        <is>
          <t>coval_stafford_proxy.json</t>
        </is>
      </c>
    </row>
    <row r="18" ht="16" customHeight="1">
      <c r="A18" s="8" t="inlineStr">
        <is>
          <t>N-PORT forced selling</t>
        </is>
      </c>
      <c r="B18" s="28" t="n">
        <v>1142</v>
      </c>
      <c r="C18" s="36" t="n">
        <v>17.9</v>
      </c>
      <c r="D18" s="16" t="inlineStr">
        <is>
          <t>–</t>
        </is>
      </c>
      <c r="E18" s="16" t="inlineStr">
        <is>
          <t>Real Coval-Stafford</t>
        </is>
      </c>
      <c r="F18" s="16" t="inlineStr">
        <is>
          <t>nport_forced_selling.json</t>
        </is>
      </c>
    </row>
    <row r="19" ht="16" customHeight="1">
      <c r="A19" s="6" t="inlineStr">
        <is>
          <t>13F-delta</t>
        </is>
      </c>
      <c r="B19" s="27" t="n">
        <v>45</v>
      </c>
      <c r="C19" s="35" t="n">
        <v>0.7</v>
      </c>
      <c r="D19" s="14" t="inlineStr">
        <is>
          <t>–</t>
        </is>
      </c>
      <c r="E19" s="14" t="inlineStr">
        <is>
          <t>Smart-money flow</t>
        </is>
      </c>
      <c r="F19" s="14" t="inlineStr">
        <is>
          <t>form_13f_delta.json</t>
        </is>
      </c>
    </row>
    <row r="20" ht="16" customHeight="1">
      <c r="A20" s="8" t="inlineStr">
        <is>
          <t>Financial primary</t>
        </is>
      </c>
      <c r="B20" s="28" t="n">
        <v>209</v>
      </c>
      <c r="C20" s="36" t="n">
        <v>3.3</v>
      </c>
      <c r="D20" s="16" t="inlineStr">
        <is>
          <t>–</t>
        </is>
      </c>
      <c r="E20" s="16" t="inlineStr">
        <is>
          <t>Non-PSU sector</t>
        </is>
      </c>
      <c r="F20" s="16" t="inlineStr">
        <is>
          <t>financial_primary.json</t>
        </is>
      </c>
    </row>
    <row r="21" ht="16" customHeight="1">
      <c r="A21" s="6" t="inlineStr">
        <is>
          <t>Biotech PDUFA</t>
        </is>
      </c>
      <c r="B21" s="27" t="n">
        <v>71</v>
      </c>
      <c r="C21" s="35" t="n">
        <v>1.1</v>
      </c>
      <c r="D21" s="14" t="inlineStr">
        <is>
          <t>–</t>
        </is>
      </c>
      <c r="E21" s="14" t="inlineStr">
        <is>
          <t>FDA catalyst</t>
        </is>
      </c>
      <c r="F21" s="14" t="inlineStr">
        <is>
          <t>biotech_pdufa_calendar.json</t>
        </is>
      </c>
    </row>
    <row r="22" ht="16" customHeight="1">
      <c r="A22" s="8" t="inlineStr">
        <is>
          <t>Activist letter feed</t>
        </is>
      </c>
      <c r="B22" s="28" t="n">
        <v>19</v>
      </c>
      <c r="C22" s="36" t="n">
        <v>0.3</v>
      </c>
      <c r="D22" s="16" t="inlineStr">
        <is>
          <t>14d</t>
        </is>
      </c>
      <c r="E22" s="16" t="inlineStr">
        <is>
          <t>Pre-13D activism</t>
        </is>
      </c>
      <c r="F22" s="16" t="inlineStr">
        <is>
          <t>activist_letter_feed.json</t>
        </is>
      </c>
    </row>
    <row r="23" ht="16" customHeight="1">
      <c r="A23" s="6" t="inlineStr">
        <is>
          <t>Foreign markets (JP/KR/UK)</t>
        </is>
      </c>
      <c r="B23" s="27" t="n">
        <v>89</v>
      </c>
      <c r="C23" s="35" t="n">
        <v>1.4</v>
      </c>
      <c r="D23" s="14" t="inlineStr">
        <is>
          <t>–</t>
        </is>
      </c>
      <c r="E23" s="14" t="inlineStr">
        <is>
          <t>Non-US value-up</t>
        </is>
      </c>
      <c r="F23" s="14" t="inlineStr">
        <is>
          <t>foreign_markets.json</t>
        </is>
      </c>
    </row>
    <row r="25">
      <c r="A25" s="9" t="inlineStr">
        <is>
          <t>Layer-firing distribution (real, from consensus)</t>
        </is>
      </c>
    </row>
    <row r="26" ht="18" customHeight="1">
      <c r="A26" s="4" t="inlineStr">
        <is>
          <t>Layers firing</t>
        </is>
      </c>
      <c r="B26" s="4" t="inlineStr">
        <is>
          <t>Names</t>
        </is>
      </c>
      <c r="C26" s="12" t="inlineStr"/>
      <c r="D26" s="39" t="n"/>
      <c r="E26" s="39" t="n"/>
      <c r="F26" s="39" t="n"/>
    </row>
    <row r="27" ht="16" customHeight="1">
      <c r="A27" s="15" t="n">
        <v>13</v>
      </c>
      <c r="B27" s="28" t="n">
        <v>1</v>
      </c>
      <c r="C27" s="16" t="inlineStr">
        <is>
          <t>–</t>
        </is>
      </c>
    </row>
    <row r="28" ht="16" customHeight="1">
      <c r="A28" s="13" t="n">
        <v>12</v>
      </c>
      <c r="B28" s="27" t="n">
        <v>1</v>
      </c>
      <c r="C28" s="14" t="inlineStr">
        <is>
          <t>–</t>
        </is>
      </c>
    </row>
    <row r="29" ht="16" customHeight="1">
      <c r="A29" s="15" t="n">
        <v>11</v>
      </c>
      <c r="B29" s="28" t="n">
        <v>7</v>
      </c>
      <c r="C29" s="16" t="inlineStr">
        <is>
          <t>–</t>
        </is>
      </c>
    </row>
    <row r="30" ht="16" customHeight="1">
      <c r="A30" s="13" t="n">
        <v>10</v>
      </c>
      <c r="B30" s="27" t="n">
        <v>13</v>
      </c>
      <c r="C30" s="14" t="inlineStr">
        <is>
          <t>–</t>
        </is>
      </c>
    </row>
    <row r="31" ht="16" customHeight="1">
      <c r="A31" s="15" t="n">
        <v>9</v>
      </c>
      <c r="B31" s="28" t="n">
        <v>24</v>
      </c>
      <c r="C31" s="16" t="inlineStr">
        <is>
          <t>–</t>
        </is>
      </c>
    </row>
    <row r="32" ht="16" customHeight="1">
      <c r="A32" s="13" t="n">
        <v>8</v>
      </c>
      <c r="B32" s="27" t="n">
        <v>34</v>
      </c>
      <c r="C32" s="14" t="inlineStr">
        <is>
          <t>–</t>
        </is>
      </c>
    </row>
    <row r="33" ht="16" customHeight="1">
      <c r="A33" s="15" t="n">
        <v>7</v>
      </c>
      <c r="B33" s="28" t="n">
        <v>76</v>
      </c>
      <c r="C33" s="16" t="inlineStr">
        <is>
          <t>–</t>
        </is>
      </c>
    </row>
    <row r="34" ht="16" customHeight="1">
      <c r="A34" s="13" t="n">
        <v>6</v>
      </c>
      <c r="B34" s="27" t="n">
        <v>99</v>
      </c>
      <c r="C34" s="14" t="inlineStr">
        <is>
          <t>–</t>
        </is>
      </c>
    </row>
    <row r="35" ht="16" customHeight="1">
      <c r="A35" s="15" t="n">
        <v>5</v>
      </c>
      <c r="B35" s="28" t="n">
        <v>158</v>
      </c>
      <c r="C35" s="16" t="inlineStr">
        <is>
          <t>–</t>
        </is>
      </c>
    </row>
    <row r="36" ht="16" customHeight="1">
      <c r="A36" s="13" t="n">
        <v>4</v>
      </c>
      <c r="B36" s="27" t="n">
        <v>265</v>
      </c>
      <c r="C36" s="14" t="inlineStr">
        <is>
          <t>–</t>
        </is>
      </c>
    </row>
    <row r="37" ht="16" customHeight="1">
      <c r="A37" s="15" t="n">
        <v>3</v>
      </c>
      <c r="B37" s="28" t="n">
        <v>482</v>
      </c>
      <c r="C37" s="16" t="inlineStr">
        <is>
          <t>–</t>
        </is>
      </c>
    </row>
    <row r="38" ht="16" customHeight="1">
      <c r="A38" s="13" t="n">
        <v>2</v>
      </c>
      <c r="B38" s="27" t="n">
        <v>938</v>
      </c>
      <c r="C38" s="14" t="inlineStr">
        <is>
          <t>–</t>
        </is>
      </c>
    </row>
    <row r="39" ht="16" customHeight="1">
      <c r="A39" s="15" t="n">
        <v>1</v>
      </c>
      <c r="B39" s="28" t="n">
        <v>1477</v>
      </c>
      <c r="C39" s="16" t="inlineStr">
        <is>
          <t>–</t>
        </is>
      </c>
    </row>
    <row r="41" ht="28" customHeight="1">
      <c r="A41" s="17" t="inlineStr">
        <is>
          <t>45 total scoring layers, all additive. Coverage and data age are read live from each layer's source file at build time; no figures are hardcoded. Layers with low coverage (Form 4, 13F-delta, tender) are signal-sparse by design — they fire only on names exhibiting the pattern. The layer-firing distribution is the count of names firing on N independent layers; per the correlation analysis (layer_correlation_pairs.csv) the effective-independent layer count is ~21 of 30 at rho&gt;0.6.</t>
        </is>
      </c>
    </row>
  </sheetData>
  <mergeCells count="17">
    <mergeCell ref="A41:F41"/>
    <mergeCell ref="A2:F2"/>
    <mergeCell ref="C31:F31"/>
    <mergeCell ref="C39:F39"/>
    <mergeCell ref="C35:F35"/>
    <mergeCell ref="A1:F1"/>
    <mergeCell ref="C26:F26"/>
    <mergeCell ref="C34:F34"/>
    <mergeCell ref="C29:F29"/>
    <mergeCell ref="C30:F30"/>
    <mergeCell ref="C38:F38"/>
    <mergeCell ref="C33:F33"/>
    <mergeCell ref="C32:F32"/>
    <mergeCell ref="C27:F27"/>
    <mergeCell ref="C37:F37"/>
    <mergeCell ref="C36:F36"/>
    <mergeCell ref="C28:F28"/>
  </mergeCells>
  <printOptions horizontalCentered="0"/>
  <pageMargins left="0.5" right="0.5" top="0.6" bottom="0.6" header="0.5" footer="0.5"/>
  <pageSetup orientation="landscape" fitToHeight="0" fitToWidth="1"/>
</worksheet>
</file>

<file path=xl/worksheets/sheet37.xml><?xml version="1.0" encoding="utf-8"?>
<worksheet xmlns="http://schemas.openxmlformats.org/spreadsheetml/2006/main">
  <sheetPr>
    <tabColor rgb="00A5A5A5"/>
    <outlinePr summaryBelow="1" summaryRight="1"/>
    <pageSetUpPr fitToPage="1"/>
  </sheetPr>
  <dimension ref="A1:C18"/>
  <sheetViews>
    <sheetView showGridLines="0" workbookViewId="0">
      <selection activeCell="A1" sqref="A1"/>
    </sheetView>
  </sheetViews>
  <sheetFormatPr baseColWidth="8" defaultRowHeight="15"/>
  <cols>
    <col width="9" customWidth="1" min="1" max="1"/>
    <col width="30" customWidth="1" min="2" max="2"/>
    <col width="70" customWidth="1" min="3" max="3"/>
  </cols>
  <sheetData>
    <row r="1" ht="26" customHeight="1">
      <c r="A1" s="1" t="inlineStr">
        <is>
          <t>Methodology</t>
        </is>
      </c>
    </row>
    <row r="2" ht="18" customHeight="1">
      <c r="A2" s="2" t="inlineStr">
        <is>
          <t>How the convergent set is surfaced from the US-listed universe</t>
        </is>
      </c>
      <c r="B2" s="3" t="n"/>
      <c r="C2" s="3" t="n"/>
    </row>
    <row r="3" ht="8" customHeight="1"/>
    <row r="4" ht="18" customHeight="1">
      <c r="A4" s="4" t="inlineStr">
        <is>
          <t>#</t>
        </is>
      </c>
      <c r="B4" s="12" t="inlineStr">
        <is>
          <t>Step</t>
        </is>
      </c>
      <c r="C4" s="12" t="inlineStr">
        <is>
          <t>Detail</t>
        </is>
      </c>
    </row>
    <row r="5" ht="50" customHeight="1">
      <c r="A5" s="13" t="n">
        <v>1</v>
      </c>
      <c r="B5" s="6" t="inlineStr">
        <is>
          <t>Universe construction</t>
        </is>
      </c>
      <c r="C5" s="22" t="inlineStr">
        <is>
          <t>US-listed common tickers (FMP-enriched quote store, ~6,400) — authoritative NYSE/Nasdaq/AMEX/CBOE set. Foreign names (JP/KR/UK) live in a separate tab and universe.</t>
        </is>
      </c>
    </row>
    <row r="6" ht="50" customHeight="1">
      <c r="A6" s="15" t="n">
        <v>2</v>
      </c>
      <c r="B6" s="8" t="inlineStr">
        <is>
          <t>Layer ingestion</t>
        </is>
      </c>
      <c r="C6" s="24" t="inlineStr">
        <is>
          <t>45 additive scoring layers ingested per ticker, spanning PSU forensics, governance, valuation, verified buybacks, tender mechanics, 10b5-1 direction, Form 4 (raw + Cohen-Malloy opportunistic), Form 144, quarterly 10-Q, NCAV, Voss CIC, post-Ch11, internalization, bumpitrage, spinoff timing, Arquitos, Coval-Stafford proxy + real N-PORT, backstopped rights, FDIC dark banks, activist letters, 13F-delta, biotech PDUFA, financial-sector primary, discretionary insider conviction, emergence cross-feed, Sohn pitches, asymmetry assembly (PSIX recipe), distressed-stub progress, premium injections, selective buybacks, hidden-asset realisation, net buyback (diluted-share reduction net of SBC), the Lynch reawakening momentum leg, the Form 4 filing-TIME signal (off-hours / Friday-evening open-market buys = quiet accumulators followed; market-hours buys = price support, faded), the MD&amp;A intent-language scan (value-unlock / transformative / capital-policy / governance / strategic-action phrasing mined from 10-K/10-Q narrative, negation-verified), and the payoff-geometry engine (asset-backed downside floor vs sector re-rate upside -&gt; asymmetry ratio; see the Payoff Geometry and Mechanism Gates tabs).</t>
        </is>
      </c>
    </row>
    <row r="7" ht="50" customHeight="1">
      <c r="A7" s="13" t="n">
        <v>3</v>
      </c>
      <c r="B7" s="6" t="inlineStr">
        <is>
          <t>Additive discipline</t>
        </is>
      </c>
      <c r="C7" s="22" t="inlineStr">
        <is>
          <t>Every layer ADDS to the composite; none modifies another's score. New legs append fields; existing weights never change. This is enforced and audited (verify_universe_methodology.py).</t>
        </is>
      </c>
    </row>
    <row r="8" ht="50" customHeight="1">
      <c r="A8" s="15" t="n">
        <v>4</v>
      </c>
      <c r="B8" s="8" t="inlineStr">
        <is>
          <t>Coverage-normalised composite</t>
        </is>
      </c>
      <c r="C8" s="24" t="inlineStr">
        <is>
          <t>Sparse-coverage names are not penalised for missing layers; the norm score rescales by sqrt(n_total/n_present) so a name strong on few layers competes with a name mediocre on many.</t>
        </is>
      </c>
    </row>
    <row r="9" ht="50" customHeight="1">
      <c r="A9" s="13" t="n">
        <v>5</v>
      </c>
      <c r="B9" s="6" t="inlineStr">
        <is>
          <t>Per-pattern catalyst ranking</t>
        </is>
      </c>
      <c r="C9" s="22" t="inlineStr">
        <is>
          <t>Top names in each catalyst pattern (forward $ hurdle, M&amp;A close, spin trigger, FDA/PDUFA, post-Ch11, asset sale, etc.) — surfaces single-mandate leaders (see Single-Measure tab).</t>
        </is>
      </c>
    </row>
    <row r="10" ht="50" customHeight="1">
      <c r="A10" s="15" t="n">
        <v>6</v>
      </c>
      <c r="B10" s="8" t="inlineStr">
        <is>
          <t>Archetype winners</t>
        </is>
      </c>
      <c r="C10" s="24" t="inlineStr">
        <is>
          <t>57 PSU/governance/thesis buckets — single best representative of each archetype across the universe (PSU_ARCHETYPES.md 38 + ASYMMETRIC_BY_ARCHETYPE.md 19).</t>
        </is>
      </c>
    </row>
    <row r="11" ht="50" customHeight="1">
      <c r="A11" s="13" t="n">
        <v>7</v>
      </c>
      <c r="B11" s="6" t="inlineStr">
        <is>
          <t>Consensus meta-ranking</t>
        </is>
      </c>
      <c r="C11" s="22" t="inlineStr">
        <is>
          <t>n_layers_firing = how many of the 45 independent layers produce a non-zero score for the ticker. consensus_score = sum of per-layer rank-decay contributions across the universe.</t>
        </is>
      </c>
    </row>
    <row r="12" ht="50" customHeight="1">
      <c r="A12" s="15" t="n">
        <v>8</v>
      </c>
      <c r="B12" s="8" t="inlineStr">
        <is>
          <t>Layer independence</t>
        </is>
      </c>
      <c r="C12" s="24" t="inlineStr">
        <is>
          <t>Pairwise Spearman correlation (layer_correlation_pairs.csv) collapses 45 raw layers to effective-independent at rho&gt;0.6. Three correlated clusters: PSU+Voss, tender family, F4+opportunistic. 'Fires 9 layers' ≈ 7-8 true confirmations.</t>
        </is>
      </c>
    </row>
    <row r="13" ht="50" customHeight="1">
      <c r="A13" s="13" t="n">
        <v>9</v>
      </c>
      <c r="B13" s="6" t="inlineStr">
        <is>
          <t>Freshness weighting</t>
        </is>
      </c>
      <c r="C13" s="22" t="inlineStr">
        <is>
          <t>layer_freshness.json records each layer's data age. Most layers are &lt;14 days old. An optional age-decay multiplier (opt-in) can down-weight stale layers; current build reports age without auto-decaying.</t>
        </is>
      </c>
    </row>
    <row r="14" ht="50" customHeight="1">
      <c r="A14" s="15" t="n">
        <v>10</v>
      </c>
      <c r="B14" s="8" t="inlineStr">
        <is>
          <t>Caution layering</t>
        </is>
      </c>
      <c r="C14" s="24" t="inlineStr">
        <is>
          <t>Eight red-flag classes from plan text: single-trigger CIC, repricing, retirement carveout, front-loaded grant, discretionary hurdle, aggregate-only metrics, plus structural. Convergence without direction; flag count modulates sizing.</t>
        </is>
      </c>
    </row>
    <row r="15" ht="50" customHeight="1">
      <c r="A15" s="13" t="n">
        <v>11</v>
      </c>
      <c r="B15" s="6" t="inlineStr">
        <is>
          <t>Deployment / sizing</t>
        </is>
      </c>
      <c r="C15" s="22" t="inlineStr">
        <is>
          <t>Concentrated (≥5%): clean high-layer-count names. Material (2-5%): strong but 1-2 flags. Participation (0.5-2%): single-leg or multi-flag. Basket (&lt;1% each): sub-archetype groups, Cohen-Malloy stack, R2000-boundary, NOL shells, foreign.</t>
        </is>
      </c>
    </row>
    <row r="16" ht="50" customHeight="1">
      <c r="A16" s="15" t="n">
        <v>12</v>
      </c>
      <c r="B16" s="8" t="inlineStr">
        <is>
          <t>Honest limitations</t>
        </is>
      </c>
      <c r="C16" s="24" t="inlineStr">
        <is>
          <t>Most layers are not yet return-validated (AUDIT.md S1.1) — the composite is a structurally-sound pattern-recognition system, not yet validated alpha. The one exception is the Form 4 filing-time layer, built FROM a measured test: off-hours buys showed a +3.7% median vs -8.0% for market-hours buys (+11.7pp differential, buy-to-now proxy). Cohen-Malloy needs deeper Form 4 history. Coval-Stafford proxy supplements but does not replace the N-PORT real signal. See AUDIT.md for the full ledger.</t>
        </is>
      </c>
    </row>
    <row r="18" ht="28" customHeight="1">
      <c r="A18" s="17" t="inlineStr">
        <is>
          <t>All scoring modules live in the cyclepapa repository. Full methodology trace: grand_unified_ranker.py + consensus_meta_ranker.py + systematic_rankings.py. Companion narrative: CASE_WORKBOOK.md teaches the framework; DILIGENCE_SHEETS.md gives per-name action triggers; BEST_OF_UNIVERSE.md proves the convergence claim.</t>
        </is>
      </c>
    </row>
  </sheetData>
  <mergeCells count="3">
    <mergeCell ref="A1:C1"/>
    <mergeCell ref="A18:C18"/>
    <mergeCell ref="A2:C2"/>
  </mergeCells>
  <printOptions horizontalCentered="0"/>
  <pageMargins left="0.5" right="0.5" top="0.6" bottom="0.6"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2026-09-24T17:56:10Z</dcterms:created>
  <dcterms:modified xsi:type="dcterms:W3CDTF">2026-09-24T17:56:17Z</dcterms:modified>
</cp:coreProperties>
</file>