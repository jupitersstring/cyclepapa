
<file path=[Content_Types].xml><?xml version="1.0" encoding="utf-8"?>
<Types xmlns="http://schemas.openxmlformats.org/package/2006/content-types">
  <Default Extension="png" ContentType="image/png"/>
  <Default Extension="svg" ContentType="image/sv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workbookPr defaultThemeVersion="166925"/>
  <workbookProtection/>
  <bookViews>
    <workbookView xWindow="0" yWindow="0" windowWidth="14370" windowHeight="9585" tabRatio="500"/>
  </bookViews>
  <sheets>
    <sheet name="Data" sheetId="2" r:id="rId1"/>
    <sheet name="Disclaimer" sheetId="3" r:id="rId2"/>
  </sheets>
  <calcPr calcId="0"/>
</workbook>
</file>

<file path=xl/sharedStrings.xml><?xml version="1.0" encoding="utf-8"?>
<sst xmlns="http://schemas.openxmlformats.org/spreadsheetml/2006/main" count="1151" uniqueCount="1151">
  <si>
    <t>Downloaded on:</t>
  </si>
  <si>
    <t>Created for:</t>
  </si>
  <si>
    <t>Safa Amirbayat, M&amp;G Investments</t>
  </si>
  <si>
    <t>Search Link:</t>
  </si>
  <si>
    <t>https://my.pitchbook.com/?pcc=1218627-37</t>
  </si>
  <si>
    <t>Search Criteria:</t>
  </si>
  <si>
    <t xml:space="preserve">Biography: “Colin Moran” OR “Brian Bares” OR “Fred Liu” OR “Patrick Degorce” OR “Alex Captain” OR “David Iben” OR “William von Mueffling” OR “Neil Ostrer” OR “Jeremy Hosking” OR “William Arah” OR “Snehal Amin” OR “Ben Stein” OR “Zachary Sternberg” OR “Mark Walker” OR “Jamie Sterne” OR “James Parsons” OR “Andrew Brenton” OR “Jeffrey Cole” OR “Jeffrey Hebel” OR “Peter Seilern” OR “Tassilo Seilern” OR “James Findlay” OR “Anthony Kingsley” OR “François Rochon” OR “Nick Sleep” OR “Qais Zakaria” OR “Adam Katz” OR “Andy Dodge” OR “Parag Vora” OR “Arnaud Ajdler” OR “Chris Kiper” OR “Ted White” OR “John Armitage” OR “Eashwar Krishnan” OR “Dan Gibson” OR “Jonathan Hiscock” OR “Michael Platt” OR “Chris Rokos” OR “Andrew Shechtel” OR “C. Frederick Taylor” OR “David Gelbaum” OR “Eric Wittouck” OR “Ernesto Bertarelli” OR “Alain Wertheimer” OR “Gérard Wertheimer” OR “Amancio Ortega” OR “Sergey Brin” OR “Joseph Tsai” OR “Mark Stevens” OR “Daniel Och” OR “Michael Dell” OR “Michael Bloomberg” OR “Zhang Lei” OR “Jan Koum” OR “Alexander Tamas” OR “Alex Sacerdote” OR “Eugene Shvidler” OR “Paul Hilal” OR “Scott Ferguson” OR “Clifton Robbins” OR “Peter Thiel” OR “Max Levchin” OR “Reid Hoffman” OR “David Sacks” OR “Ken Howery” OR “Roelof Botha” OR “Keith Rabois” OR “Jawed Karim” OR “Chad Hurley” OR “Steve Chen” OR “Eric Schmidt” OR “Demis Hassabis” OR “Alex Karp” OR “Henry R. Kravis” OR “Mellody Hobson” OR “Wopke Hoekstra” OR “Mark Rutte” OR “Satya Nadella” OR “Christopher Donahue” OR “Raghuram Rajan” OR “Tharman Shanmugaratnam” OR “Lesetja Kganyago” OR “Kazuo Ueda” OR “Mark Carney” OR “Mario Draghi” OR “Agustín Carstens” OR “Philipp Hildebrand” OR “Noubar Afeyan” OR “Jeff Bezos” OR “Bill Gates” OR “Jamie Dimon” OR “Larry Page” OR “Tim Cook” OR “Rupert Murdoch” OR “Yasir Al-Rumayyan” OR “Peter Brown” OR “Robert Mercer” OR “Jeff Yass” OR “Boaz Weinstein” OR “Allan Mecham” OR “Robert Vinall” OR “Chris Mittleman” OR “Li Lu” OR “Guy Spier” OR “Mohnish Pabrai” OR “Tom Russo” OR “Chuck Akre” OR “Christian Leone” OR “Alexey Marey” OR “Suneil Setiya” OR “Jared Birchall” OR “Gil Shwed” OR “Assaf Rappaport” OR “Nadav Zafrir” OR “Shlomo Kramer” OR “Lior Div” OR “Clara Shih” OR “Keith Gill” OR “Chamath Palihapitiya” OR “Bill Ackman” OR “Carl Icahn” OR “Paul Tudor Jones” OR “Stanley Druckenmiller” OR “Ray Dalio” OR “Ken Griffin” OR “Yngve Slyngstad” OR “Sheikh Tahnoun bin Zayed Al Nahyan” OR “Sheikh Mansour bin Zayed Al Nahyan” OR “Mohammed bin Zayed Al Nahyan” OR “Khaldoon Al Mubarak” OR “Mohamed Hassan Al Suwaidi” OR “Syed Basar Shueb” OR “Peng Xiao” OR “Yasir Al-Rumayyan” OR “Turqi Alnowaiser” OR “Rashed Sharif” OR “Bader Al-Asaker” OR “Mansoor bin Ebrahim Al-Mahmoud” OR “Nasser Al-Khelaifi” OR “Hamad bin Jassim bin Jaber Al Thani” OR “Tamim bin Hamad Al Thani” OR “Mohammed VI” OR “Mounir Majidi” OR “Hans-Adam II” OR “Alois of Liechtenstein” OR “Maximilian von und zu Liechtenstein” OR “Bader Al-Saad” OR “Ghanem Al Ghenaiman” OR “Abdulsalam Al Murshidi” OR “Khalid Al Rumaihi” OR “Mahmood Al Kooheji” OR “Lubna Olayan” OR “Ömer Koç” OR “Ali Koç” OR “Rahmi Koç” OR “Güler Sabancı” OR “Suzan Sabancı Dinçer” OR “Ali Sabancı” OR “Nassef Sawiris” OR “Naguib Sawiris” OR “Amancio Ortega” OR “Marta Ortega Pérez” OR “Alain Wertheimer” OR “Gérard Wertheimer” OR “Ernesto Bertarelli” OR “Eric Wittouck” OR “Alexandre de Rothschild” OR “Nathaniel Rothschild” OR “David de Rothschild” OR “John Elkann” OR “Andrea Agnelli” OR “Jacob Wallenberg” OR “Marcus Wallenberg” OR “Peter Wallenberg Jr.” OR “Ian Gallienne” OR “Paul Desmarais Jr.” OR “Paul Desmarais III” OR “Susanne Klatten” OR “Stefan Quandt” OR “Vincent Bolloré” OR “Yannick Bolloré” OR “Françoise Bettencourt Meyers” OR “Jean-Pierre Meyers” OR “Robert Peugeot” OR “Cristina Stenbeck” OR “Melker Schörling” OR “Fredrik Lundberg” OR “Carl Bennet” OR “Len Blavatnik” OR “Lakshmi Mittal” OR “Jim Ratcliffe” OR “James Dyson” OR “David Reuben” OR “Simon Reuben” OR “Michael Kadoorie” OR “Henry Cheng Kar-shun” OR “Adrian Cheng” OR “Dhanin Chearavanont” OR “Suphachai Chearavanont” OR “Soopakij Chearavanont” OR “Robert Budi Hartono” OR “Michael Hartono” OR “Henry Sy Jr.” OR “Teresita Sy-Coson” OR “Hans Sy” OR “Jaime Augusto Zobel de Ayala” OR “Fernando Zobel de Ayala” OR “Enrique Razon Jr.” OR “Manuel Villar Jr.” OR “Gautam Adani” OR “Mukesh Ambani” OR “Nita Ambani” OR “Azim Premji” OR “Uday Kotak” OR “Sunil Bharti Mittal” OR “Li Ka-shing” OR “Victor Li Tzar-Kuo” OR “Peter Woo” OR “Pansy Ho” OR “Peter Lam Kin-ngok” OR “Zhang Lei” OR “Zhang Yiming” OR “Ma Huateng” OR “Lei Jun” OR “Neil Shen” OR “Alvin Jiang” OR “Louis Cheung” OR “Michael Platt” OR “Chris Rokos” OR “Alan Howard” OR “Louis Bacon” OR “Andrew Law” OR “Paul Marshall” OR “Ian Wace” OR “David E. Shaw” OR “Peter Brown” OR “Robert Mercer” OR “Jeffrey Yass” OR “Arthur Dantchik” OR “Joel Greenberg” OR “Don Wilson” OR “Vincent Viola” OR “Alex Gerko” OR “Igor Tulchinsky” OR “Tim Reynolds” OR “Rob Granieri” OR “Israel Englander” OR “Ken Griffin” OR “Steve Cohen” OR “Stanley Druckenmiller” OR “Paul Tudor Jones” OR “Ray Dalio” OR “Marc Andreessen” OR “Ben Horowitz” OR “Jorge Paulo Lemann” OR “Marcel Telles” OR “Carlos Alberto Sicupira” OR “Carlos Slim Helú” OR “Carlos Slim Domit” OR “Patrick Slim Domit” OR “Germán Larrea” OR “Alejandro Baillères” OR “André Esteves” OR “Ivan Glasenberg” OR “Gary Nagle” OR “Russell Hardy” OR “Jeremy Weir” OR “Marco Dunand” OR “Daniel Jaeggi” OR “Torbjörn Törnqvist” OR “Murtaza Lakhani” OR “Peter Thiel” OR “Elon Musk” OR “Reid Hoffman” OR “David Sacks” OR “Ken Howery” OR “Roelof Botha” OR “Keith Rabois” OR “Jan Koum” OR “Sergey Brin” OR “Larry Page” OR “Eric Schmidt” OR “Demis Hassabis” OR “Sam Altman” OR “Patrick Collison” OR “John Collison” OR “Auren Hoffman” OR “Naval Ravikant” OR “Elad Gil” OR “Shana Fisher” OR “Yuri Milner” OR “Rupert Murdoch” OR “Lachlan Murdoch” OR “Nicolas Berggruen” OR “Noam Gottesman” OR “Nat Simons” OR “Alex Karp” OR “Alex Gerko” OR “Nir Zuk” OR “Gil Shwed” OR “Shlomo Kramer” OR “Nadav Zafrir” OR “Assaf Rappaport” OR “Lior Div” OR “Colin Moran” OR “Brian Bares” OR “Fred Liu” OR “Patrick Degorce” OR “Alex Captain” OR “David Iben” OR “William von Mueffling” OR “Neil Ostrer” OR “Jeremy Hosking” OR “William Arah” OR “Snehal Amin” OR “Ben Stein” OR “Zachary Sternberg” OR “Mark Walker” OR “Jamie Sterne” OR “James Parsons” OR “Andrew Brenton” OR “Jeffrey Cole” OR “Jeffrey Hebel” OR “Peter Seilern” OR “Tassilo Seilern” OR “James Findlay” OR “Anthony Kingsley” OR “François Rochon” OR “Nick Sleep” OR “Qais Zakaria” OR “Adam Katz” OR “Andy Dodge” OR “Parag Vora” OR “Arnaud Ajdler” OR “Chris Kiper” OR “Ted White” OR “John Armitage” OR “Eashwar Krishnan” OR “Dan Gibson” OR “Jonathan Hiscock” OR “Andrew Shechtel” OR “C. Frederick Taylor” OR “David Gelbaum” OR “Ernesto Bertarelli” OR “Alain Wertheimer” OR “Gérard Wertheimer” OR “Eric Wittouck” OR “Amancio Ortega” OR “Sergey Brin” OR “Joseph Tsai” OR “Mark Stevens” OR “Daniel Och” OR “Michael Dell” OR “Michael Bloomberg” OR “Jan Koum” OR “Alexander Tamas” OR “Alex Sacerdote” OR “Eugene Shvidler” OR “Paul Hilal” OR “Scott Ferguson” OR “Clifton Robbins”)(“Sheikh Tahnoun bin Zayed Al Nahyan” OR “Sheikh Mansour bin Zayed Al Nahyan” OR “Mohammed bin Zayed Al Nahyan” OR “Khaldoon Al Mubarak” OR “Mohamed Hassan Al Suwaidi” OR “Syed Basar Shueb” OR “Peng Xiao” OR “Yasir Al-Rumayyan” OR “Turqi Alnowaiser” OR “Rashed Sharif” OR “Bader Al-Asaker” OR “Mansoor bin Ebrahim Al-Mahmoud” OR “Nasser Al-Khelaifi” OR “Hamad bin Jassim bin Jaber Al Thani” OR “Tamim bin Hamad Al Thani” OR “Mohammed VI” OR “Mounir Majidi” OR “Hans-Adam II” OR “Alois of Liechtenstein” OR “Maximilian von und zu Liechtenstein” OR “Bader Al-Saad” OR “Ghanem Al Ghenaiman” OR “Abdulsalam Al Murshidi” OR “Khalid Al Rumaihi” OR “Mahmood Al Kooheji” OR “Lubna Olayan” OR “Ömer Koç” OR “Ali Koç” OR “Rahmi Koç” OR “Güler Sabancı” OR “Suzan Sabancı Dinçer” OR “Ali Sabancı” OR “Nassef Sawiris” OR “Naguib Sawiris” OR “Amancio Ortega” OR “Marta Ortega Pérez” OR “Alain Wertheimer” OR “Gérard Wertheimer” OR “Ernesto Bertarelli” OR “Eric Wittouck” OR “Alexandre de Rothschild” OR “Nathaniel Rothschild” OR “David de Rothschild” OR “John Elkann” OR “Andrea Agnelli” OR “Jacob Wallenberg” OR “Marcus Wallenberg” OR “Peter Wallenberg Jr.” OR “Ian Gallienne” OR “Paul Desmarais Jr.” OR “Paul Desmarais III” OR “Susanne Klatten” OR “Stefan Quandt” OR “Vincent Bolloré” OR “Yannick Bolloré” OR “Françoise Bettencourt Meyers” OR “Jean-Pierre Meyers” OR “Robert Peugeot” OR “Cristina Stenbeck” OR “Melker Schörling” OR “Fredrik Lundberg” OR “Carl Bennet” OR “Len Blavatnik” OR “Lakshmi Mittal” OR “Jim Ratcliffe” OR “James Dyson” OR “David Reuben” OR “Simon Reuben” OR “Michael Kadoorie” OR “Henry Cheng Kar-shun” OR “Adrian Cheng” OR “Dhanin Chearavanont” OR “Suphachai Chearavanont” OR “Soopakij Chearavanont” OR “Robert Budi Hartono” OR “Michael Hartono” OR “Henry Sy Jr.” OR “Teresita Sy-Coson” OR “Hans Sy” OR “Jaime Augusto Zobel de Ayala” OR “Fernando Zobel de Ayala” OR “Enrique Razon Jr.” OR “Manuel Villar Jr.” OR “Gautam Adani” OR “Mukesh Ambani” OR “Nita Ambani” OR “Azim Premji” OR “Uday Kotak” OR “Sunil Bharti Mittal” OR “Li Ka-shing” OR “Victor Li Tzar-Kuo” OR “Peter Woo” OR “Pansy Ho” OR “Peter Lam Kin-ngok” OR “Zhang Lei” OR “Zhang Yiming” OR “Ma Huateng” OR “Lei Jun” OR “Neil Shen” OR “Alvin Jiang” OR “Louis Cheung” OR “Michael Platt” OR “Chris Rokos” OR “Alan Howard” OR “Louis Bacon” OR “Andrew Law” OR “Paul Marshall” OR “Ian Wace” OR “David E. Shaw” OR “Peter Brown” OR “Robert Mercer” OR “Jeffrey Yass” OR “Arthur Dantchik” OR “Joel Greenberg” OR “Don Wilson” OR “Vincent Viola” OR “Alex Gerko” OR “Igor Tulchinsky” OR “Tim Reynolds” OR “Rob Granieri” OR “Israel Englander” OR “Ken Griffin” OR “Steve Cohen” OR “Stanley Druckenmiller” OR “Paul Tudor Jones” OR “Ray Dalio” OR “Marc Andreessen” OR “Ben Horowitz” OR “Jorge Paulo Lemann” OR “Marcel Telles” OR “Carlos Alberto Sicupira” OR “Carlos Slim Helú” OR “Carlos Slim Domit” OR “Patrick Slim Domit” OR “Germán Larrea” OR “Alejandro Baillères” OR “André Esteves” OR “Ivan Glasenberg” OR “Gary Nagle” OR “Russell Hardy” OR “Jeremy Weir” OR “Marco Dunand” OR “Daniel Jaeggi” OR “Torbjörn Törnqvist” OR “Murtaza Lakhani” OR “Peter Thiel” OR “Elon Musk” OR “Reid Hoffman” OR “David Sacks” OR “Ken Howery” OR “Roelof Botha” OR “Keith Rabois” OR “Jan Koum” OR “Sergey Brin” OR “Larry Page” OR “Eric Schmidt” OR “Demis Hassabis” OR “Sam Altman” OR “Patrick Collison” OR “John Collison” OR “Auren Hoffman” OR “Naval Ravikant” OR “Elad Gil” OR “Shana Fisher” OR “Yuri Milner” OR “Rupert Murdoch” OR “Lachlan Murdoch” OR “Nicolas Berggruen” OR “Noam Gottesman” OR “Nat Simons” OR “Alex Karp” OR “Alex Gerko” OR “Nir Zuk” OR “Gil Shwed” OR “Shlomo Kramer” OR “Nadav Zafrir” OR “Assaf Rappaport” OR “Lior Div” OR “Colin Moran” OR “Brian Bares” OR “Fred Liu” OR “Patrick Degorce” OR “Alex Captain” OR “David Iben” OR “William von Mueffling” OR “Neil Ostrer” OR “Jeremy Hosking” OR “William Arah” OR “Snehal Amin” OR “Ben Stein” OR “Zachary Sternberg” OR “Mark Walker” OR “Jamie Sterne” OR “James Parsons” OR “Andrew Brenton” OR “Jeffrey Cole” OR “Jeffrey Hebel” OR “Peter Seilern” OR “Tassilo Seilern” OR “James Findlay” OR “Anthony Kingsley” OR “François Rochon” OR “Nick Sleep” OR “Qais Zakaria” OR “Adam Katz” OR “Andy Dodge” OR “Parag Vora” OR “Arnaud Ajdler” OR “Chris Kiper” OR “Ted White” OR “John Armitage” OR “Eashwar Krishnan” OR “Dan Gibson” OR “Jonathan Hiscock” OR “Andrew Shechtel” OR “C. Frederick Taylor” OR “David Gelbaum” OR “Ernesto Bertarelli” OR “Alain Wertheimer” OR “Gérard Wertheimer” OR “Eric Wittouck” OR “Amancio Ortega” OR “Sergey Brin” OR “Joseph Tsai” OR “Mark Stevens” OR “Daniel Och” OR “Michael Dell” OR “Michael Bloomberg” OR “Jan Koum” OR “Alexander Tamas” OR “Alex Sacerdote” OR “Eugene Shvidler” OR “Paul Hilal” OR “Scott Ferguson” OR “Clifton Robbins”; Position Levels: Advisor; Board Member; Board Observer; Chairman; Chairman of Supervisory Board; Deputy Chairman; Senior Advisor; Vice Chairman; Vice Chairman of Supervisory Board; Include Former Positions; Include Active Positions; </t>
  </si>
  <si>
    <t>Search Result Columns</t>
  </si>
  <si>
    <t>Person ID</t>
  </si>
  <si>
    <t>People</t>
  </si>
  <si>
    <t>Primary Company</t>
  </si>
  <si>
    <t>Primary Company Type</t>
  </si>
  <si>
    <t>Last Name</t>
  </si>
  <si>
    <t>First Name</t>
  </si>
  <si>
    <t>Primary Company Website</t>
  </si>
  <si>
    <t>Primary Position</t>
  </si>
  <si>
    <t>Board Seats</t>
  </si>
  <si>
    <t>Roles</t>
  </si>
  <si>
    <t>Deal Roles</t>
  </si>
  <si>
    <t>Phone</t>
  </si>
  <si>
    <t>Email</t>
  </si>
  <si>
    <t>Location</t>
  </si>
  <si>
    <t>Address Line 1</t>
  </si>
  <si>
    <t>Address Line 2</t>
  </si>
  <si>
    <t>City</t>
  </si>
  <si>
    <t>State/Province</t>
  </si>
  <si>
    <t>Post Code</t>
  </si>
  <si>
    <t>Country/Territory/Region</t>
  </si>
  <si>
    <t>Fax</t>
  </si>
  <si>
    <t>Biography</t>
  </si>
  <si>
    <t>View People Online</t>
  </si>
  <si>
    <t>150214-60P</t>
  </si>
  <si>
    <t>Alan Howard</t>
  </si>
  <si>
    <t>Novacyt (Former)</t>
  </si>
  <si>
    <t>Public Company</t>
  </si>
  <si>
    <t>Howard</t>
  </si>
  <si>
    <t>Alan</t>
  </si>
  <si>
    <t/>
  </si>
  <si>
    <t>Board Member</t>
  </si>
  <si>
    <t>Mr. Alan Howard served as Board Member at Novacyt. Alan's health care career started 40 years ago when he joined Medtronic Europe in Paris as the first Legal and Regulatory Director, a position he held for 8 years. He has been actively involved in the early stages of the EU's development of the Medical Device Directives as well as the European compliance with the 1976 Device Amendments and the FCPA.</t>
  </si>
  <si>
    <t>262554-22P</t>
  </si>
  <si>
    <t>Bullish (GI)</t>
  </si>
  <si>
    <t>Senior Advisor</t>
  </si>
  <si>
    <t>Gibraltar, Gibraltar</t>
  </si>
  <si>
    <t>Portland House, Glacis Road</t>
  </si>
  <si>
    <t>Suite 23</t>
  </si>
  <si>
    <t>Gibraltar</t>
  </si>
  <si>
    <t>GX11 1AA</t>
  </si>
  <si>
    <t>Mr. Alan Howard serves as Senior Advisor at Bullish Global.</t>
  </si>
  <si>
    <t>284304-70P</t>
  </si>
  <si>
    <t>Alejandro Bailleres</t>
  </si>
  <si>
    <t>Fresnillo</t>
  </si>
  <si>
    <t>Bailleres</t>
  </si>
  <si>
    <t>Alejandro</t>
  </si>
  <si>
    <t>Chairman &amp; Board Member</t>
  </si>
  <si>
    <t>+52 (01)55 5279 3000</t>
  </si>
  <si>
    <t>Mexico City, Mexico</t>
  </si>
  <si>
    <t>Calzada Legaria Number 549</t>
  </si>
  <si>
    <t>Torre 2 Colonia 10 de abril, Delegación Miguel Hidalgo</t>
  </si>
  <si>
    <t>Mexico City</t>
  </si>
  <si>
    <t>11250</t>
  </si>
  <si>
    <t>Mexico</t>
  </si>
  <si>
    <t>Mr Baillères is Deputy Chairman of Grupo BAL. and a member of the board of trustees of Instituto Tecnológico Autónomo de México. He is Adjunct President of the Consejo de Directores del Centro Cultural Manuel Gómez Morin, A.C. All four of the BAL Listed Entities and Fomento Económico Mexicano S.A.B. de C.V., (Alternate Director). As Deputy Chairman of Grupo BAL and former Chief Executive Officer of Grupo Nacional Provincial (a leading insurance company in Mexico), Mr Baillères brings knowledge and experience of Mexican and international business to his role. Mr. Alejandro Baillères, Deputy Chairman of Fresnillo plc, has been elected Chairman with effect from 29th April 2021.</t>
  </si>
  <si>
    <t>73839-07P</t>
  </si>
  <si>
    <t>Alexey Marey</t>
  </si>
  <si>
    <t>NanduQ</t>
  </si>
  <si>
    <t>Marey</t>
  </si>
  <si>
    <t>Alexey</t>
  </si>
  <si>
    <t>Moscow, Russia</t>
  </si>
  <si>
    <t>Microdistrict. Chertanovo Severnoye</t>
  </si>
  <si>
    <t>1A, building 1</t>
  </si>
  <si>
    <t>Moscow</t>
  </si>
  <si>
    <t>117648</t>
  </si>
  <si>
    <t>Russia</t>
  </si>
  <si>
    <t>Mr. Alexey Marey serves as Board Member at QIWI. Mr. Alexey Marey served as a Member of the Board of Directors at Alfa Bank. He joined Alfa Bank in 2004. In May 2012, Mr. Marey was appointed Chief Executive Officer of Alfa Bank, from January to May 2012 he served as Deputy Chief Executive Officer. From 2007 to January 2012 he was Head of Retail Business, member of the Executive Board. From 2006 to 2007 he worked as Director of Alfa Bank's Retail Sales. From 2004 to 2006 Alexey Marey was Head of Distribution in Moscow, Retail Business. In 1998 - 2004, he worked at DANONE, Gillette International (Moscow), Duracell Batteries N.V. Alexey Marey graduated from Moscow Aviation Institute, Economics Department in 1999.</t>
  </si>
  <si>
    <t>278509-42P</t>
  </si>
  <si>
    <t>NanduQ (Former)</t>
  </si>
  <si>
    <t>Mr. Alexey Marey serves as Board Member, Member of the Audit Committee &amp; Chairman of the Strategy Committee at QIWI. Mr. Alexey Marey has served as our director since June 2019. Mr. Alexey Marey holds several key positions in Alfa Group. He is currently a member of the Board of Directors of Alfa-Bank JSC and Rissa Investments Limited (IDS Borjomi International Group). From 1998 to 2004 Mr. Alexey Marey successively worked at DANONE, Gillette International (Moscow) and Duracell Batteries N.V. Further Mr. Alexey Marey joined Alfa-Bank JSC where he headed Retail Business, and then held a position of Chief Executive Officer of Alfa-Bank JSC from May 2012 to November 2017. Mr. Alexey Marey graduated from Moscow Aviation Institute, Economics Department in 1999.</t>
  </si>
  <si>
    <t>241609-51P</t>
  </si>
  <si>
    <t>Alf Goransson</t>
  </si>
  <si>
    <t>Nordic Construction Company</t>
  </si>
  <si>
    <t>Goransson</t>
  </si>
  <si>
    <t>Alf</t>
  </si>
  <si>
    <t>Chairman of the Board of Directors, Remuneration, and Competence Committee and Member of the Project Committee</t>
  </si>
  <si>
    <t>+46 (0)858551000</t>
  </si>
  <si>
    <t>Solna, Sweden</t>
  </si>
  <si>
    <t>Herrjarva Torg 4</t>
  </si>
  <si>
    <t>Solna</t>
  </si>
  <si>
    <t>170 67</t>
  </si>
  <si>
    <t>Sweden</t>
  </si>
  <si>
    <t>+46 (0)856790948</t>
  </si>
  <si>
    <t>Mr. Alf Goransson serves as Chairman of the Board of Directors, Remuneration, and Competence Committee and Member of the Project Committee at Nordic Construction Company. He serves as a Board Member and member of Audit and Compensation Committees at Attendo. He serves as Chairman of the Board of Loomis AB, Hexpool, and AxFast. Member of the Board of Sweco, Hexpol, Melker Schörling, Sandberg Development Group, and Anticimex. Previous experience includes CEO of Securitas 2007 -2018 and CEO of NCC 2001 -2007.</t>
  </si>
  <si>
    <t>93458-26P</t>
  </si>
  <si>
    <t>Amancio Gaona Ortega</t>
  </si>
  <si>
    <t>Industria de Diseño Textil</t>
  </si>
  <si>
    <t>Gaona Ortega</t>
  </si>
  <si>
    <t>Amancio</t>
  </si>
  <si>
    <t>Founder &amp; Board Member</t>
  </si>
  <si>
    <t>+34 98 118 5400</t>
  </si>
  <si>
    <t>Arteixo, Spain</t>
  </si>
  <si>
    <t>Avenida de la Diputación</t>
  </si>
  <si>
    <t>Edificio Inditex</t>
  </si>
  <si>
    <t>Arteixo</t>
  </si>
  <si>
    <t>A Coruña</t>
  </si>
  <si>
    <t>15143</t>
  </si>
  <si>
    <t>Spain</t>
  </si>
  <si>
    <t>Mr. Amancio Gaona Ortega is the Founder &amp; serves as Board Member at Industria de Diseño Textil. Mr. Amancio Ortega is the Founder of Zara. He was the Owner at Pontegadea Group. Mr Ortega began his business career in the textile manufacturing sector in 1963. In 1972 he founded Confecciones Goa, S.A., the first garment-making factory of Inditex and 3 years later he founded Zara España, S.A., the first retailing company of the Group. He was Inditex's Chairman from the date of incorporation until 2011. He currently chairs the board of directors of Pontegadea Inversiones S.L. and Partler 2006 S.L. as well as the Board of Trustees of Fundación Amancio Ortega. He was re-elected to the Board of Directors by the Annual General Meetings held on 30 June 1990, 31 July 1995, 20 July 2000, 15 July 2005, 13 July 2010, 14 July 2015 and 16 July 2019. Mr Ortega is the controlling shareholder of the company where he owns 1,848,000,315 shares through Pontegadea Inversiones S.L. and Partler Participaciones, S.L.U.</t>
  </si>
  <si>
    <t>53812-36P</t>
  </si>
  <si>
    <t>Amy Hood</t>
  </si>
  <si>
    <t>Microsoft</t>
  </si>
  <si>
    <t>Hood</t>
  </si>
  <si>
    <t>Amy</t>
  </si>
  <si>
    <t>Executive Vice President &amp; Chief Financial Officer</t>
  </si>
  <si>
    <t>+1 (800) 285-7772</t>
  </si>
  <si>
    <t>amyhood@microsoft.com</t>
  </si>
  <si>
    <t>Redmond, WA</t>
  </si>
  <si>
    <t>One Microsoft Way</t>
  </si>
  <si>
    <t>Redmond</t>
  </si>
  <si>
    <t>Washington</t>
  </si>
  <si>
    <t>98052</t>
  </si>
  <si>
    <t>United States</t>
  </si>
  <si>
    <t>Ms. Amy Hood serves as Executive Vice President &amp; Chief Financial Officer at Microsoft. Ms. Hood serves as Board Member, Member of Compensation and Talent Committee and Science, Technology &amp; Sustainability Committee at 3M. She is responsible for leading the company's worldwide finance organization, including business operations, acquisitions, treasury, tax planning, global real estate, accounting and reporting, internal audit, and investor relations. Hood joined Microsoft in 2002, and through her tenure with the company, has advanced momentum in the cloud and helped digitally transform the company. She is deeply involved in the company's operations, as well as the strategy development and overall execution of the company's successful acquisitions of LinkedIn and GitHub. For the past eight years, she has acted as a strategic partner to Microsoft CEO Satya Nadella, propelling long-term financial growth, championing culture, and driving corporate initiatives, including Microsoft's climate and affordable housing commitments, that have bolstered the company's broader ecosystem. She has also served on the Board of Directors of 3M since 2017. Hood earned a bachelor's degree in economics from Duke University and a master's degree in business administration from Harvard University.</t>
  </si>
  <si>
    <t>387101-17P</t>
  </si>
  <si>
    <t>Anand Jain</t>
  </si>
  <si>
    <t>Jai Corp</t>
  </si>
  <si>
    <t>Jain</t>
  </si>
  <si>
    <t>Anand</t>
  </si>
  <si>
    <t>+91 (0)22 3521 5146</t>
  </si>
  <si>
    <t>ajain@jaicorpindia.com</t>
  </si>
  <si>
    <t>Mumbai, India</t>
  </si>
  <si>
    <t>Number 603, Embassy Centre, 6th Floor</t>
  </si>
  <si>
    <t>Plot Number 207, Block III, Backbay Reclamation, Nariman Point</t>
  </si>
  <si>
    <t>Mumbai</t>
  </si>
  <si>
    <t>Maharashtra</t>
  </si>
  <si>
    <t>400021</t>
  </si>
  <si>
    <t>India</t>
  </si>
  <si>
    <t>Mr. Anand Jain is the Founder and serves as Chairman at Jai Corporation. He is the Chairman of Navi Mumbai SEZ Private, Mumbai SEZ, Reliance Haryana SEZ &amp; Urban Infrastructure Venture Capital (UIVCL). He is a highly successful entrepreneur with 25 years' of experience in various businesses, with a rare expertise in Real Estate, Finance and Capital Markets. He has been appointed by the Government of Maharashtra as a Member of the "Empowered Committee for Transformation of Mumbai into a World Class City." He is also a member of the "Citizens Action Group" dedicated to bring Mumbai on the International map. He is the Promoter of two large SEZs near Mumbai, with a vision to create a twin city to Mumbai and a globally competitive business environment. The world class infrastructure at the SEZs will serve as a robust economic hub to global and domestic markets. He is ex-trustee of the Mumbai Port Trust and JNPT is also a Director in Rewas Port, a Greenfield port development project near Mumbai. The port would serve as a primary gateway for the twin mega SEZs coming up in its vicinity. He is also the Promoter and Chairman of Urban Infrastructure Venture Capital (UIVCL). He has been closely associated with the Reliance Group (A Fortune 500 Company), headed by Shri Mukesh Ambani, as a strategic advisor to the company helping them execute their Capital Market and Real Estate transactions. He has played a key role in some of the largest capital market transactions of the group. He is an active member of the Young Presidents Organisation (YPO) an International Organisation committed to the development of "Better Presidents through Education and Idea Exchange". He was also the Honorary Consul of Mongolia in Mumbai and is a member of Managing Council of Sir Hurkisondas Nurrotamdas Hospital and Research Centre. He is a graduate from the University of Mumbai, has also done a course in Risk Management from London Business School.</t>
  </si>
  <si>
    <t>44006-77P</t>
  </si>
  <si>
    <t>Andrea Agnelli</t>
  </si>
  <si>
    <t>Stellantis (Former)</t>
  </si>
  <si>
    <t>Agnelli</t>
  </si>
  <si>
    <t>Andrea</t>
  </si>
  <si>
    <t>Mr. Andrea Agnelli served as Board Member at Stellantis. He served as Non-Executive Director at Exor. He also serves as Board Member &amp; Non-executive Director Remuneration Committee Member &amp; ESG Committee Member at Stellantis. He also served as Advisory Board Member in BlueGem Capital Partners. He serves as Executive Chairman at Juventus. He began his career in 1999 at Ferrari Idea in Lugano, where he was responsible for promoting and developing the Ferrari brand in non-automotive areas. In November 2000, he moved to Paris and assumed responsibility for marketing at Uni Invest, a Banque San Paolo company specializing in managed investment products. From 2001 to 2004, Mr. Agnelli worked at Philip Morris International in Lausanne, where he initially had responsibility for marketing and sponsorships and, subsequently, corporate communication. In 2005, he returned to Turin to work in strategic development for IFIL Investments (now EXOR). Mr. Agnelli is a General Partner of Giovanni Agnelli e C, a member of the Board of Directors of FIAT and Società Editoriale Vita, a member of the Advisory Board of BlueGem Capital Partners, in addition to serving on the board of the European Club Association. He is also Vice Chairman of Royal Park I Roveri.</t>
  </si>
  <si>
    <t>93562-21P</t>
  </si>
  <si>
    <t>Azim Premji</t>
  </si>
  <si>
    <t>Wipro</t>
  </si>
  <si>
    <t>Premji</t>
  </si>
  <si>
    <t>Azim</t>
  </si>
  <si>
    <t>Founder Chairman and Board Member</t>
  </si>
  <si>
    <t>+91 (0)80 6142 7999</t>
  </si>
  <si>
    <t>azim.premji@wipro.com</t>
  </si>
  <si>
    <t>Bengaluru, India</t>
  </si>
  <si>
    <t>Doddakannelli</t>
  </si>
  <si>
    <t>Sarjapur Road</t>
  </si>
  <si>
    <t>Bengaluru</t>
  </si>
  <si>
    <t>560035</t>
  </si>
  <si>
    <t>+91 (0)80 2844 0254</t>
  </si>
  <si>
    <t>Mr. Azim Premji is the Founder Chairman and serves as Board Member at Wipro. Mr. Premji was the Owner of Premji Invest. The overall Wipro group revenues are $ 8 billion. Premji has been driven by one basic idea - to build an organization deeply committed to Values, with the firm belief that business success eventually but inevitably follows. Unflinching commitment to Values continues to remain at the core of Wipro. Premji strongly believes that ordinary people are capable of extraordinary things when organized into highly charged teams, and takes a keen personal interest in developing leaders and teams. Wipro's business success has been driven by keeping the customer at the core of everything it does. Combining its deep expertise in technology with an equally clear understanding of customer industries, Wipro attempts to deliver business value to customers consistently. The consistency is driven by its pioneering efforts in service quality and predictability, through methodologies like Six Sigma, PCMM, and Lean. The underlying tenets that drive this overall culture are that of speed, simplicity, and excellence. Premji firmly believes that business organizations have a social responsibility not only to employ ethical, fair, and ecologically sensitive business practices but also to actively engage with fundamental societal issues. "Wipro Applying Thought in Schools " (in India) and "Wipro STEM Fellowships" (in the US) are initiatives deeply involved in trying to improve the quality of school education, while the "Wipro Cares" program engages with local community causes. Mission 10X works to improve the quality of engineering college education. In 2001, Premji established and personally endowed the Azim Premji Foundation, a not-for-profit organization, with a vision of enhancing quality and equity in the public school education system in India, to build a better society. The Azim Premji Foundation works in 7 states of India which have over 300,000 schools. In 2011, the Foundation established the Azim Premji University, which is focused on teaching and research programs in Education and other areas of Human Development. He holds a degree in Electrical Engineering from Stanford University.</t>
  </si>
  <si>
    <t>46233-91P</t>
  </si>
  <si>
    <t>Branden Spikes</t>
  </si>
  <si>
    <t>Lifeist Wellness</t>
  </si>
  <si>
    <t>Spikes</t>
  </si>
  <si>
    <t>Branden</t>
  </si>
  <si>
    <t>+1 (650) 429-4478</t>
  </si>
  <si>
    <t>bspikes@astra.com</t>
  </si>
  <si>
    <t>Toronto, Canada</t>
  </si>
  <si>
    <t>100 King Street West</t>
  </si>
  <si>
    <t>Suite 1600</t>
  </si>
  <si>
    <t>Toronto</t>
  </si>
  <si>
    <t>Ontario</t>
  </si>
  <si>
    <t>M5X 1G5</t>
  </si>
  <si>
    <t>Canada</t>
  </si>
  <si>
    <t>Mr. Branden Spikes serves as Board Member at Lifeist. With twenty years experience working as CIO for Elon Musk at Zip2, PayPal, Tesla, and SpaceX where he helped pioneer, architect, and build some extraordinary technology, Branden brings experience, perspective, and a unique skill set to his endeavors.</t>
  </si>
  <si>
    <t>133513-39P</t>
  </si>
  <si>
    <t>Carl Bennet</t>
  </si>
  <si>
    <t>Arjo</t>
  </si>
  <si>
    <t>Bennet</t>
  </si>
  <si>
    <t>Carl</t>
  </si>
  <si>
    <t>Board Member &amp; Vice Chairman</t>
  </si>
  <si>
    <t>+46 (0)10 335 4500</t>
  </si>
  <si>
    <t>carl.bennet@lifco.se</t>
  </si>
  <si>
    <t>Malmo, Sweden</t>
  </si>
  <si>
    <t>Hans Michelsensgatan 10</t>
  </si>
  <si>
    <t>Box 48</t>
  </si>
  <si>
    <t>Malmo</t>
  </si>
  <si>
    <t>201 20</t>
  </si>
  <si>
    <t>Mr. Carl Bennet is the Owner and serves as Chairman at Lifco. He is the Chairman of the University of Gothenburg and a director of the listed companies Holmen and Lundberg.</t>
  </si>
  <si>
    <t>92981-71P</t>
  </si>
  <si>
    <t>Carlos Domit</t>
  </si>
  <si>
    <t>Grupo Carso</t>
  </si>
  <si>
    <t>Domit</t>
  </si>
  <si>
    <t>Carlos</t>
  </si>
  <si>
    <t>+52 (01)55 1101 2956</t>
  </si>
  <si>
    <t>Plaza Carso Lago Zurich number 245</t>
  </si>
  <si>
    <t>Frisco Building 6th Floor</t>
  </si>
  <si>
    <t>11529</t>
  </si>
  <si>
    <t>Mr. Carlos Slim Domit has a degree in Business Administration from the Anahuac University. He is 57 years old. He is director of the following companies: America Movil, S.A.B. de C.V., Grupo Sanborns, S.A. of C.V. and Telefonos de Mexico, S.A.B. of C.V.</t>
  </si>
  <si>
    <t>73403-92P</t>
  </si>
  <si>
    <t>Carlos Sicupira</t>
  </si>
  <si>
    <t>Restaurant Brands International (Former)</t>
  </si>
  <si>
    <t>Sicupira</t>
  </si>
  <si>
    <t>+1 (212) 893-6727</t>
  </si>
  <si>
    <t>csicupira@3g-capital.com</t>
  </si>
  <si>
    <t>New York, NY</t>
  </si>
  <si>
    <t>600 Third Avenue</t>
  </si>
  <si>
    <t>37th Floor</t>
  </si>
  <si>
    <t>New York</t>
  </si>
  <si>
    <t>10016</t>
  </si>
  <si>
    <t>Mr. Carlos Alberto Sicupira is a Co-Founder of 3G Capital. He serves as Board Member at Restaurant Brands International. He served as Director at Burger King(US). He has served on the board of Worldwide and Holdings since October 2010. He is one of the founding Principal Partners of 3G Capital and continues to serve as a board member. He also serves as a member of the board of directors of Anheuser-Busch InBev. He has been Chairman of Lojas Americanas, one of South America's largest retailers, since 1981, where he served as Chief Executive Officer until 1992. He served as Managing Partner at GP Investments. He has also served as a board member of Quilmes Industrial S.A., an Argentine brewery and the exclusive bottler and distributor of PepsiCo products in Argentina and Uruguay, and as a member of the Board of Dean's Advisors of Harvard Business School since 1998. He also serves on the boards of Fundação Brava and Fundação Estudar, not-for-profit foundations in Brazil. He has experience as the chief executive officer of a large South American retailer and as a director of multiple public and private companies in various industries.</t>
  </si>
  <si>
    <t>253533-61P</t>
  </si>
  <si>
    <t>Caroline Harding</t>
  </si>
  <si>
    <t>ClimateRock (Former)</t>
  </si>
  <si>
    <t>Harding</t>
  </si>
  <si>
    <t>Caroline</t>
  </si>
  <si>
    <t>Caroline Harding has served as one of our independent directors since April 2022. She has served as the Director of Panthera International Cayman Limited, which provides private office services to high net worth individuals, since she founded it in May 2021. Ms. Harding also currently serves on the management of or as a director of multiple special purposes acquisition companies, including the Director and Chief Executive Officer of Aurora Acquisition Corp., and its affiliates (Nasdaq: AURC) since October 2021, the Director of Aurora Acquisition II Corp., since October 2020 and the Director of Founders First Acquisition Corp., since May 2021. Ms. Harding is also a director of other private entities and funds and one not for profit organization. Form October 2017 to October 2019, Ms. Harding served as the Chief Financial Officer of the Weybourne Group, Sir James Dyson's family office, managing a multi-billion pound portfolio, which included the James Dyson Group Limited, and in connection with this role, she also served as the director of multiple Weybourne related entities where she was responsible for increasing the effectiveness of operations. For the nine years prior to joining Weybourne, Ms. Harding was the Financial Manager, Chief Financial Officer, and Director of Exploration Capital, another single family office, with a particular focus on agricultural and development land in Latin America. In connection with her role, she simultaneously served as the Chief Financial Officer of Gilo Industries Group Limited, an engineering firm, from September 2012 to July 2017. Ms. Harding is a qualified Chartered Accountant with Ernest &amp; Young LLP and is a Member of ICAS, a Member of the Chartered Institute for Securities &amp; Investment (CISI), and a member of the Chartered Financial Analyst Society (CFA) in the United Kingdom. Ms. Harding is also a Chartered Institute of Management Accountants (CIMA) Approved Director. She received her Bachelor of Science in Economics and Accounting from the University of Bristol in 2002.</t>
  </si>
  <si>
    <t>55290-43P</t>
  </si>
  <si>
    <t>Christopher Viehbacher</t>
  </si>
  <si>
    <t>Biogen</t>
  </si>
  <si>
    <t>Viehbacher</t>
  </si>
  <si>
    <t>Christopher</t>
  </si>
  <si>
    <t>Chief Executive Officer, President &amp; Board Member</t>
  </si>
  <si>
    <t>+1 (781) 464-2000</t>
  </si>
  <si>
    <t>chris.viehbacher@biogen.com</t>
  </si>
  <si>
    <t>Cambridge, MA</t>
  </si>
  <si>
    <t>225 Binney Street</t>
  </si>
  <si>
    <t>Cambridge</t>
  </si>
  <si>
    <t>Massachusetts</t>
  </si>
  <si>
    <t>02142</t>
  </si>
  <si>
    <t>Mr. Christopher Viehbacher serves as Chief Executive Officer, President &amp; Board Member at Biogen. Mr. Viehbacher is a Co-Founder of Boston Pharmaceuticals. He served as Chairman of the Board of Directors at PureTech Health. He served as a Board Member at Vedanta Biosciences. He served as a Founding Partner at Gurnet Point Capital. He served as a Board Member at Crossover. He served as a Board Member at Alladapt Immunotherapeutics. He served as a Board Member at Corium International. He served as a Board Member at SpoonfulONE. More recently, Viehbacher and Ernesto Bertarelli co-founded Gurnet Point Capital, a Cambridge-based healthcare investment fund, which has led to the creation and continuing development of many innovative companies. He has also chaired or been a member of the board of several entrepreneurial companies in biotechnology. Viehbacher has always been a strong advocate for innovation and public health. He has received several awards including the Légion d'Honneur from France. He is a Trustee of Northeastern University, a member of the Board of Fellows of the Stanford Medical School, and a member of the MIT President's CEO Advisory Board. He graduated from Queen's University in Kingston, Ontario, Canada, and he speaks French, German and English.</t>
  </si>
  <si>
    <t>88576-30P</t>
  </si>
  <si>
    <t>Craig Mundie</t>
  </si>
  <si>
    <t>Microsoft (Former)</t>
  </si>
  <si>
    <t>Mundie</t>
  </si>
  <si>
    <t>Craig</t>
  </si>
  <si>
    <t>Chief Research and Strategy Officer</t>
  </si>
  <si>
    <t>Mr. Craig Mundie served as chief research and strategy officer of Microsoft. He also is an Angel Investor. He is reporting to CEO Steve Ballmer. In this role, he oversees Microsoft Research, one of the worlds largest computer-science research organizations, and is responsible for Microsofts long-term technology strategy. Mundie also directs a number of technology incubations, and works with government and business leaders around the world on technology policy, regulation and standards.Mundie has spent much of his career building startups in various fields, including supercomputing, consumer electronics, education, healthcare and robotics. He joined Microsoft in 1992 to create and run the Consumer Platforms Division, which developed non-PC platforms such as the Windows CE operating system; software for the Handheld PC, Pocket PC and Auto PC; and early console-gaming products. Mundie also started Microsofts digital-TV efforts, acquiring and managing its WebTV Networks subsidiary, and built its fast-growing healthcare solutions business.Prior to his current role, Mundie served as Microsofts chief technical officer for advanced strategies and policy, working with Microsoft Chairman Bill Gates to develop the companys global strategies around technical, business and policy issues. Another long-standing focus for Mundie is privacy, security and cyber-security. He initiated Microsoft'ss Trustworthy Computing initiative, which has leveraged new software-development practices to significantly improve the security of the companys products.For more than a decade, Mundie has also been Microsofts principal technology-policy liaison to the U.S. and foreign governments, with an emphasis on China, India and Russia. He has served on the U.S. National Security Telecommunications Advisory Committee and the Markle Foundation Task Force on National Security in the Information Age. In April 2009 Mundie was appointed by President Barack Obama to the Presidents Council of Advisors on Science and Technology.Mundie started his career in 1970, working on operating-system development for the Data General NOVA at Systems Equipment Corp. (SEC) while still studying at Georgia Tech. SEC was subsequently acquired by Data General Corp., where Mundie went on to develop the INFOS data-management system. In 1977 Mundie moved to Data Generals advanced development facility in Research Triangle Park, N.C., ultimately becoming its director. In 1982, Mundie was one of three co-founders of Alliant Computer Systems Corp., which developed vector-parallel mini-supercomputers. He held a variety of positions at Alliant before becoming CEO. The company shut down in 1992. Mundie holds a bachelors degree in electrical engineering and a masters degree in information theory and computer science from Georgia Tech.</t>
  </si>
  <si>
    <t>11858-77P</t>
  </si>
  <si>
    <t>David Rosenblatt</t>
  </si>
  <si>
    <t>1stdibs</t>
  </si>
  <si>
    <t>Rosenblatt</t>
  </si>
  <si>
    <t>David</t>
  </si>
  <si>
    <t>Chief Executive Officer &amp; Board Member</t>
  </si>
  <si>
    <t>+1 (877) 721-3427</t>
  </si>
  <si>
    <t>david@1stdibs.com</t>
  </si>
  <si>
    <t>300 Park Avenue South</t>
  </si>
  <si>
    <t>10th Floor</t>
  </si>
  <si>
    <t>10010</t>
  </si>
  <si>
    <t>Mr. David Rosenblatt serves as Chief Executive Officer &amp; Board Member at 1stdibs. Mr. Rosenblatt serves as a Board member of Narrative Science. He serves as Board Member at Farfetch. He served as a Board Member at Jana Mobile. He previously served as an Advisor at Carmel Ventures, Viola Ventures, and Linkable Network. From December 2010, From October 2008 to May 2009, he served as President of Global Display Advertising at Google. He joined Google in March 2008 in connection with Google's acquisition of DoubleClick, a provider of digital marketing technology and services. He joined DoubleClick in 1997 as part of its initial management team and served in several executive positions during his tenure, including as Chief Executive Officer from July 2005 to March 2008 and President from 2000 to July 2005. He currently serves on the boards of directors of IAC/InterActive, a media and Internet company, and a number of privately held companies. He holds a B.A. in East Asian Studies from Yale University and an M.B.A. from Stanford University. He served as Executive Chairman at Match Group. He served as a Board Member &amp; Member of the Compensation and Nominating &amp; Governance Committee at Twitter. Mr. David Rosenblatt serves as Advisor at Trigger Media. From 2004 through 2008, David Rosenblatt served as the CEO of DoubleClick, the leading provider of digital marketing technology and services. David Rosenblatt as Chief Executive Officer of 1stDibs, David Rosenblatt draws on his extensive industry experience and entrepreneurial spirit to create a digital platform that inspires and excites the luxury shopper. Prior to his position at 1stDibs, David served from 2005 until 2008 as CEO of DoubleClick, the leading provider of online marketing technology. David sold the company to Google in 2008. Following the acquisition, he stayed on as Google's President of Global Display Advertising through 2009. David served on the board of Twitter from 2010 through its sale to Elon Musk in 2022. David currently serves on the boards of IAC and Farfetch.</t>
  </si>
  <si>
    <t>75848-86P</t>
  </si>
  <si>
    <t>Eddy Travia</t>
  </si>
  <si>
    <t>Coinsilium Group</t>
  </si>
  <si>
    <t>Travia</t>
  </si>
  <si>
    <t>Eddy</t>
  </si>
  <si>
    <t>Co-Founder &amp; Chief Executive Officer</t>
  </si>
  <si>
    <t>+44 (0)20 7099 0740</t>
  </si>
  <si>
    <t>eddytravia@coinsilium.com</t>
  </si>
  <si>
    <t>Gibraltar, United Kingdom</t>
  </si>
  <si>
    <t>World Trade Center, 6 Bayside Road</t>
  </si>
  <si>
    <t>1st Floor - Unit 1.02</t>
  </si>
  <si>
    <t>England</t>
  </si>
  <si>
    <t>United Kingdom</t>
  </si>
  <si>
    <t>Mr. Eddy Travia is a Co-Founder and serves as the Chief Executive Officer at Coinsilium Group. He served as a Board Member and Advisor at StartupToken. He serves as an advisor at Indorse. He served as an Advisor at EarnForex &amp; Domainraider. He evolved in graduate management education in Europe for 12 years until he joined a European investment fund in Shanghai to manage China's operations. He has lived in China for eight years where he has managed private equity funds and advised funds and corporations on international M&amp;A deals in retail, FMCG, and new media. He is an alumnus of the Stanford Financial Engineering program. His experience in dealing with international entrepreneurs should benefit all Seedcoin startup founders. He is a board member of zSim. He served as the Chairman at MexBT. He has been a pioneer investor in blockchain and bitcoin startups since 2013. Nominated among the top 3 'Most Influential Investors of the Year' at Blockchain Awards 2014 with Marc Andreessen &amp; Roger Ver. He served as a Board Member at Bundle Network.</t>
  </si>
  <si>
    <t>65131-30P</t>
  </si>
  <si>
    <t>Eli Scher</t>
  </si>
  <si>
    <t>Plastec Technologies</t>
  </si>
  <si>
    <t>Scher</t>
  </si>
  <si>
    <t>Eli</t>
  </si>
  <si>
    <t>Vice Chairman</t>
  </si>
  <si>
    <t>+852 2191 7155</t>
  </si>
  <si>
    <t>eli@plastec.com.hk</t>
  </si>
  <si>
    <t>Hong Kong, Hong Kong</t>
  </si>
  <si>
    <t>Unit 01, 21/Floor</t>
  </si>
  <si>
    <t>Aitken Vanson Centre, 61 Hoi Yuen Road, Kwun Tong</t>
  </si>
  <si>
    <t>Hong Kong</t>
  </si>
  <si>
    <t>+852 2779 6001</t>
  </si>
  <si>
    <t>Mr. Eli Scher serves as Chairman at Open IX Association. Mr. Scher served as Vice Chairman at Plastec Technologies. He served as a Consultant at New Continuum Data Centers. He is an entrepreneur with a broad array of investing and operating experience. Prior to New Continuum he worked as an analyst at prominent New York hedge funds where he analyzed corporate securities. Previously, he co-founded and served as CEO of GSME Capital Partners, a private, early-stage investment partnership, and GSME Acquisition Partners I, a publicly traded acquisition vehicle. Additionally, he was Chief Financial Officer and director of MCG Group a Shanghai-based LED-advertising company and was the co-founder, President, and CFO of Fundamental Films. He served as Vice Chairman of Plastec Technologies, a precision process manufacturer, which he acquired through GSME Acquisition Partners I. Mr. Scher also serves as CEO of United IX a New Continuum JV and serves on the data center committee of Open-IX, an industry standards organization. Mr. Scher received his AB from Princeton University. Previously, he served as GSME Acquisition Partners I's Chief Executive Officer from its inception. Since June 2013, he has been the founder, Chairman and Chief Executive Officer of New Continuum Holdings Corporation, operating under the name Continuum Data Centers, which is a multi-tenant data center owner and operator. Prior to founding New Continuum, from April 2012 to February 2013, he served in various consulting and analyst roles for companies and funds controlled by Carl Icahn. From February 2011 to April 2012, Mr. Scher served as an investment analyst at Perella Weinberg Partners. From July 2007 to December 2010, Mr. Scher served as chief executive officer of GSME Capital Partners Inc., a principal investment business headquartered in Shanghai founded in July 2007. From July 2007 to February 2008, Mr. Scher served as chief development officer and a director of Media Communication Group, a high-technology, LED media business that is the exclusive operator of LED advertising screens in the subway systems of China's major cities, and served as its chief financial officer from February 2008 to January 2011. Additionally, Mr. Scher co-founded Fundamental Films, a film distribution and production company, headquartered in Shanghai, in 2008 and served as a director until January 2011. From September 2003 to February 2007, Mr. Scher served as a principal at Daroth Capital Advisors LLC, which is involved in investing and advising clients on financings, mergers and acquisitions and restructurings, where he led the firm's Asian business development efforts. Mr. Scher received an A.B. in East Asia Studies from Princeton University in 2002. He is fluent in Mandarin Chinese. He served as Board Member at Compute North.</t>
  </si>
  <si>
    <t>35886-52P</t>
  </si>
  <si>
    <t>Elon Musk</t>
  </si>
  <si>
    <t>Tesla</t>
  </si>
  <si>
    <t>Musk</t>
  </si>
  <si>
    <t>Elon</t>
  </si>
  <si>
    <t>Co-Founder, Board Member &amp; Chief Executive Officer</t>
  </si>
  <si>
    <t>+1 (512) 516-8177</t>
  </si>
  <si>
    <t>elon.musk@teslamotors.com</t>
  </si>
  <si>
    <t>Austin, TX</t>
  </si>
  <si>
    <t>1 Tesla Road</t>
  </si>
  <si>
    <t>Austin</t>
  </si>
  <si>
    <t>Texas</t>
  </si>
  <si>
    <t>78725</t>
  </si>
  <si>
    <t>Mr. Elon Musk is a Co-Founder and serves as Board Member &amp; Chief Executive Officer at Tesla. He is a Co-Founder and serves as Co-Chief Executive Officer Neuralink. He is an Angel Investor. He is the Founder and serves as a Board Member at xAI. He is also the Co-Owner and serves as Chief Technology Officer &amp; Chairman at X. He serves as a Board Member at Endeavor, Upshift (Staffing Platform), and Proquest. He serves as President &amp; Board Member of the Musk Foundation. He is a Co-Founder and Owner and serves as Chief Executive Officer, Co-Chief Technology Officer, President and Chairman at SpaceX. He is the Founder of The Boring Company. He is a Co-Founder of OpenAI and Zip. He also served as Business Advisory Board Member at NeuroVigil. He founded and served as Chief Executive Officer and Chairman at X.com. He also co-founded Fysical and OpenAI (IT Consulting and Outsourcing) and served as a Board Member at Halcyon Molecular. He founded PayPal Holdings and served as Chairman at SolarCity. He serves as Supervisor at Fenrir.</t>
  </si>
  <si>
    <t>456904-45P</t>
  </si>
  <si>
    <t>Eng Zaghloul</t>
  </si>
  <si>
    <t>NMDC Energy</t>
  </si>
  <si>
    <t>Zaghloul</t>
  </si>
  <si>
    <t>Eng</t>
  </si>
  <si>
    <t>+971 (0)2 554 9000</t>
  </si>
  <si>
    <t>Abu Dhabi, United Arab Emirates</t>
  </si>
  <si>
    <t>PO Box 2058</t>
  </si>
  <si>
    <t>Mussafah</t>
  </si>
  <si>
    <t>Abu Dhabi</t>
  </si>
  <si>
    <t>United Arab Emirates</t>
  </si>
  <si>
    <t>+971 (0)2 554 9111</t>
  </si>
  <si>
    <t>Mr. Eng Yasser Zaghloul is currently pursuing his PhD, Eng. Yasser Zaghloul holds two master's degrees in management, including a specialized degree in Strategic Management from Cambridge College Global, and an MBA from Swiss Business School. He also holds a bachelor's degree in engineering at the University of Helwan in Egypt. Experience: Eng. Yasser Zaghloul is the Group CEO of NMDC Group, leading the Company to significant achievements in the marine and energy sectors globally, particularly in the Middle East and North Africa region and South Asia. His strategic leadership has propelled NMDC's expansion and success, with the vision to further expand NMDC's global influence while promoting sustainable practices. Prior to his CEO role, he was the head of operations at NMDC, enhancing operational efficiencies from 2006 to 2009. His career at NMDC started in 1998 in various managerial roles. Before joining NMDC, Eng. Yasser Zaghloul worked at the Suez Canal Authority in Egypt and began his professional journey at the Higher Institute of Technology in Egypt, focusing on engineering research and development. Eng. Yasser Zaghloul was recognized among the Top 100 CEOs in the Middle East by Forbes Middle East in 2022, 2023 and 2024, and as Best CEO in 2021 by ME Magazine. Additionally, he was named Personality of the Year at the 19th ShipTek International Awards 2024, further highlighting his influential presence in the maritime sector. Other Board Memberships He also serves as the Chairman of The Challenge - the Egyptian Emirates Marine Dredging Company, further demonstrating his significant role in the industry. Eng. Yasser Zaghloul recently concluded his tenure as a board member of the Abu Dhabi Chamber of Commerce and Industry (ADCCI), a prestigious role assigned by His Highness UAE President Sheikh Mohammed bin Zayed Al Nahyan.</t>
  </si>
  <si>
    <t>436722-40P</t>
  </si>
  <si>
    <t>Enzo Micali</t>
  </si>
  <si>
    <t>Aston Martin Lagonda Global Holdings</t>
  </si>
  <si>
    <t>Micali</t>
  </si>
  <si>
    <t>Enzo</t>
  </si>
  <si>
    <t>+44 (0)19 2664 4644</t>
  </si>
  <si>
    <t>Warwick, United Kingdom</t>
  </si>
  <si>
    <t>Banbury Road</t>
  </si>
  <si>
    <t>Gaydon</t>
  </si>
  <si>
    <t>Warwick</t>
  </si>
  <si>
    <t>CV35 0DB</t>
  </si>
  <si>
    <t>Andrew McNaught has been appointed as Non-executive Director, with effect from 28 July 2025. Andrew has had an extensive career in investment banking, most recently as Managing Director and Chair of UK Advisory at BNP Paribas. Prior to that Andrew was Managing Director, Co-Head of EMEA M&amp;A at Nomura International PLC, having spent a significant part of his earlier career at Lazard and Tricorn Partners LLP. Since leaving BNP Paribas, Andrew has become an advisor to B-Flexion, the investment firm chaired by Ernesto Bertarelli.</t>
  </si>
  <si>
    <t>78625-00P</t>
  </si>
  <si>
    <t>Erik Belfrage</t>
  </si>
  <si>
    <t>Turkcell Iletisim Hizmetleri (Former)</t>
  </si>
  <si>
    <t>Belfrage</t>
  </si>
  <si>
    <t>Erik</t>
  </si>
  <si>
    <t>Mr. Erik Belfrage serves as Board Member at Turkcell Iletisim Hizmetleri. He worked as Swedish diplomat in Geneva, Washington, Bucharest, Beirut and Paris, Senior Vice President at SEB, advisor to Dr. Peter Wallenberg, advisor to the Chairman of Investor AB Jacob Wallenberg and to the Chairman of SEB Marcus Wallenberg, and Chairman and Partner at Consilio International AB. Currently, Mr. Belfrage is the chairman of several boards and commissions. He obtained an M.B.A from the Stockholm School of Economics.</t>
  </si>
  <si>
    <t>217337-68P</t>
  </si>
  <si>
    <t>Ezra Gardner</t>
  </si>
  <si>
    <t>Gesher Acquisition II</t>
  </si>
  <si>
    <t>Gardner</t>
  </si>
  <si>
    <t>Ezra</t>
  </si>
  <si>
    <t>+1 (212) 993-1560</t>
  </si>
  <si>
    <t>Denver, CO</t>
  </si>
  <si>
    <t>3141 Walnut Street</t>
  </si>
  <si>
    <t>Suite 203b</t>
  </si>
  <si>
    <t>Denver</t>
  </si>
  <si>
    <t>Colorado</t>
  </si>
  <si>
    <t>80205</t>
  </si>
  <si>
    <t>Ezra Gardner has served as our Chief Executive Officer and a member of our board of directors since our inception. From November 2020 until January 2023, Mr. Gardner was a Co-Founder and CEO of Gesher I. Since 2012, Mr. Gardner has served as a Partner at Varana Capital, LLC, an investment firm he co-founded. Varana Capital was founded in 2012 and focuses on public and private market investing primarily in Israel. Its principals have been involved in many successful Israeli private investments and often join the boards of directors of companies it invests in to add further value. The Varana investment strategy includes advising public and private companies on strategic planning (including mergers and acquisitions), operational dynamics, and balance sheet needs/restructuring. As part of the Varana investment strategy of cooperative engagement, Mr. Gardner sits on or advises the boards of multiple public and private companies, working with each on strategic planning, operational dynamics, and balance sheet needs/restructuring. From 2009 to 2012, Mr. Gardner served as the Managing Partner and Portfolio Manager of Omnium Capital, LLC, a family office he co-founded in Tel Aviv, Israel. From 2005 to 2009, he was at UBS where he served as a Portfolio Manager and most recently Head of UBS' US Equity Portfolio for the Fundamental Investment Group where he also sat on the US Trading Committee (Management Board for the US Equities Business). From 2001 to 2005, he served in senior analyst roles at MSD Capital (Michael Dell family fund management office) and Braahman Capital. From 1999 to 2001, he served as an analyst in the Investment Banking Group at JP Morgan. Mr. Gardner currently serves on the board of directors of Galileo Wheel and Neureality, both Israeli-based private businesses, and CCI, a Colorado-based private business. Mr. Gardner received a BA in Economics (with honors) and a BA in International Relations from Brown University.</t>
  </si>
  <si>
    <t>31195-18P</t>
  </si>
  <si>
    <t>Fidel Vargas</t>
  </si>
  <si>
    <t>Snapchat</t>
  </si>
  <si>
    <t>Vargas</t>
  </si>
  <si>
    <t>Fidel</t>
  </si>
  <si>
    <t>+1 (310) 399-3339</t>
  </si>
  <si>
    <t>Santa Monica, CA</t>
  </si>
  <si>
    <t>3000 31st Street</t>
  </si>
  <si>
    <t>Santa Monica</t>
  </si>
  <si>
    <t>California</t>
  </si>
  <si>
    <t>90405</t>
  </si>
  <si>
    <t>Mr. Fidel Vargas serves as Board Member at Snapchat. He served as Founding Partner at Centinela Capital Partners. He currently serves as President and CEO at Hispanic Scholarship Fund. Prior to joining Centinela, he was a Managing Director for TMG Advisors, an investment/consulting firm specializing in business development, strategic planning, and government affairs. Prior to TMG Advisors, he was a co-founder and served as a Managing Director of Reliant Equity Investors. Reliant is a management-centric private equity investment firm that invests in later-stage, middle market companies. Prior to Reliant, he served as Managing Director of TMG Ventures, a private equity firm focused on acquiring and operating low-tech manufacturing and service companies. Prior to TMG Ventures, he served as Mayor of Baldwin Park, California, a city of 75,000, twenty miles Northeast of Los Angeles. At the age of twenty-three, he became the country's youngest elected Mayor of a major city. He has served on several public and private sector boards including Sponsors for Education Opportunities, Operation Hope, the Los Angeles County Water Districts, President Clinton's Advisory Council on Social Security, President Bush's Commission on Strengthening Social Security and President Bush's Commission on Presidential Scholars. In addition, he has been recognized by numerous businesses, organizations, and media outlets throughout his career. His honors included being selected by Time Magazine as one of the Top 50 young leaders in the United States (a list that included Bill Gates, Oprah Winfrey and John F. Kennedy Jr.), and being named by Hispanic Magazine as one of the Top 30 young Hispanics in the United States. He graduated with honors from Harvard University with a B.A. in Social Studies and received his MBA from Harvard Business School with a concentration in Entrepreneurship and General Management.</t>
  </si>
  <si>
    <t>94655-08P</t>
  </si>
  <si>
    <t>Fredrik Lundberg Ph.D</t>
  </si>
  <si>
    <t>L E Lundbergforetagen</t>
  </si>
  <si>
    <t>Lundberg</t>
  </si>
  <si>
    <t>Fredrik</t>
  </si>
  <si>
    <t>+46 (0)84 63 06 00</t>
  </si>
  <si>
    <t>fredrik.lundberg@lundbergs.se</t>
  </si>
  <si>
    <t>Stockholm, Sweden</t>
  </si>
  <si>
    <t>PO Box 14048</t>
  </si>
  <si>
    <t>Hovslagargatan 5B</t>
  </si>
  <si>
    <t>Stockholm</t>
  </si>
  <si>
    <t>104 40</t>
  </si>
  <si>
    <t>+46 (0)86 11 66 09</t>
  </si>
  <si>
    <t>Mr. Fredrik Lundberg serves as Chief Executive Officer, President &amp; Board Member at L E Lundbergforetagen. He serves as Vice Chairman of the Board of Directors at Svenska Handelsbanken. He graduated in Business Administration and holds a Master of Engineering degree. He also received Honorary Doctorate of Philosophy degrees in Economics and Technology.</t>
  </si>
  <si>
    <t>267927-76P</t>
  </si>
  <si>
    <t>Gary Nagle</t>
  </si>
  <si>
    <t>Glencore</t>
  </si>
  <si>
    <t>Nagle</t>
  </si>
  <si>
    <t>Gary</t>
  </si>
  <si>
    <t>+41 (0)41 709 2000</t>
  </si>
  <si>
    <t>gary.nagle@glencore.com</t>
  </si>
  <si>
    <t>Baar, Switzerland</t>
  </si>
  <si>
    <t>Baarermattstrasse 3</t>
  </si>
  <si>
    <t>Baar</t>
  </si>
  <si>
    <t>6340</t>
  </si>
  <si>
    <t>Switzerland</t>
  </si>
  <si>
    <t>+41 (0)41 709 3000</t>
  </si>
  <si>
    <t>Mr. Gary Nagle serves as Chief Executive Officer &amp; Board Member at Glencore. He joined Glencore in 2000 in Switzerland as part of the Coal business development team. He was heavily involved in seeding a portfolio of assets to Xstrata in 2002, in conjunction with its initial listing on the London Stock Exchange. Mr Nagle worked for five years (2008-2013) in Colombia as CEO of Prodeco. He then moved to South Africa to be Head of Glencore's Ferroalloys assets (2013-2018). Following that he was the Head of Glencore's Coal Assets based in Australia. He also served on the Board of Lonmin plc from 2013 - 2015 and has represented Glencore on the Minerals Councils of Australia and Colombia. Mr Nagle has commerce and accounting degrees from the University of the Witwatersrand and qualified as a Chartered Accountant in South Africa in 1999.</t>
  </si>
  <si>
    <t>65134-72P</t>
  </si>
  <si>
    <t>Gautam Adani</t>
  </si>
  <si>
    <t>Adani Ports and Special Economic Zone</t>
  </si>
  <si>
    <t>Adani</t>
  </si>
  <si>
    <t>Gautam</t>
  </si>
  <si>
    <t>Chairman &amp; Founder</t>
  </si>
  <si>
    <t>+91 (0)79 2656 5555</t>
  </si>
  <si>
    <t>agautam@adaniports.com</t>
  </si>
  <si>
    <t>Ahmedabad, India</t>
  </si>
  <si>
    <t>Adani Corporate House</t>
  </si>
  <si>
    <t>Shantigram, Near Vaishnodevi Circle, S G Highway</t>
  </si>
  <si>
    <t>Ahmedabad</t>
  </si>
  <si>
    <t>Gujarat</t>
  </si>
  <si>
    <t>382421</t>
  </si>
  <si>
    <t>+91 (0)79 2555 6490</t>
  </si>
  <si>
    <t>Mr. Gautam Adani is the Founder and serves as Chairman at Adani Ports and Special Economic Zone. Mr. Adani is an Angel Investor. Mr. Adani serves as Chairman at Adani Airport Holdings. Mr. Adani is the Founder and serves as Chairman at Adani Group, Adani Enterprises, Adani Total Gas, Adani Green Energy, Adani Group, Adani Realty and Adani Power. He has over 36 years of business experience. Previously, he served as Chairman at Tyger Capital.</t>
  </si>
  <si>
    <t>96695-02P</t>
  </si>
  <si>
    <t>Gianluca Garbi</t>
  </si>
  <si>
    <t>Banca Sistema</t>
  </si>
  <si>
    <t>Garbi</t>
  </si>
  <si>
    <t>Gianluca</t>
  </si>
  <si>
    <t>+39 02 8028 01</t>
  </si>
  <si>
    <t>gianluca.garbi@bancasistema.it</t>
  </si>
  <si>
    <t>Milan, Italy</t>
  </si>
  <si>
    <t>Largo Augusto 1 / A</t>
  </si>
  <si>
    <t>Ang. via Verziere 13</t>
  </si>
  <si>
    <t>Milan</t>
  </si>
  <si>
    <t>20122</t>
  </si>
  <si>
    <t>Italy</t>
  </si>
  <si>
    <t>+39 02 7209 3979</t>
  </si>
  <si>
    <t>Mr. Gianluca Garbi serves as Chief Executive Officer &amp; Board Member at Banca Sistema. He serves as President &amp; Chairman at Kruso Kapital He has been Head of the Global Public Sector and Head of Capital Market Italy in Commerzbank Corporate and Markets. Prior to that position, he was President of Dresdner Finanziaria in Italy. From 1998 to 2007, he was Chairman of the Management Board and CEO of MTS S.p.A. and EuroMTS. In 1997 the Minister of the Italian Treasury appointed He is one of the members of the Council of Economic Advisers, reporting to the General Director of the Treasury, Mario Draghi. In 2006 the European Commission appointed him as a Member of the European Securities Markets Expert Group (ESME). In June 2007 he has been appointed as Knight at the Order of Merit of the Italian Republic. He holds an Economics and Business degree from Università Cattolica del Sacro Cuore, Milan, Italy.</t>
  </si>
  <si>
    <t>39516-49P</t>
  </si>
  <si>
    <t>Gil Shwed</t>
  </si>
  <si>
    <t>Check Point Software Technologies</t>
  </si>
  <si>
    <t>Shwed</t>
  </si>
  <si>
    <t>Gil</t>
  </si>
  <si>
    <t>Founder, Executive Chairman</t>
  </si>
  <si>
    <t>+972 (0)73 226 4555</t>
  </si>
  <si>
    <t>Tel Aviv, Israel</t>
  </si>
  <si>
    <t>5 Shlomo Kaplan Street</t>
  </si>
  <si>
    <t>Tel Aviv</t>
  </si>
  <si>
    <t>6789159</t>
  </si>
  <si>
    <t>Israel</t>
  </si>
  <si>
    <t>Mr. Gil Shwed is the Founder, served as Executive chairman and served as Chief Executive Officer at Check Point Software Technologies. He has received numerous prestigious accolades for his individual achievements and industry contributions, including an honorary Doctor of Science from the Technion - Israel Institute of Technology, the World Economic Forum's Global Leader for Tomorrow for his commitment to public affairs and leadership in areas beyond immediate professional interests, and the Academy of Achievement's Golden Plate Award for his innovative contribution to business and technology. He is a member of the Board of Trustees of Tel Aviv University and the Chairman of the Board of Trustees of the Youth University of Tel Aviv University. He is also an Angel Investor.</t>
  </si>
  <si>
    <t>226007-92P</t>
  </si>
  <si>
    <t>Gregory Hart</t>
  </si>
  <si>
    <t>Coursera</t>
  </si>
  <si>
    <t>Hart</t>
  </si>
  <si>
    <t>Gregory</t>
  </si>
  <si>
    <t>+1 (650) 963-9884</t>
  </si>
  <si>
    <t>greg@urbancompass.com</t>
  </si>
  <si>
    <t>Mountain View, CA</t>
  </si>
  <si>
    <t>2440 West El Camino Real</t>
  </si>
  <si>
    <t>Suite 500</t>
  </si>
  <si>
    <t>Mountain View</t>
  </si>
  <si>
    <t>94040</t>
  </si>
  <si>
    <t>Mr. Greg Hart serves as Chief Operating Officer at Compass (Real Estate Services). He is a hi-tech leader with 20+ years experience at Amazon in all aspects of product development, product and general management, marketing, content and e-commerce. He has extensive experience building and managing large, globally distributed teams comprising business line leaders, marketers, product managers. He holds 57 issued patents with additional patent submissions pending. Past roles include Technical Advisor to Amazon CEO Jeff Bezos.</t>
  </si>
  <si>
    <t>456672-16P</t>
  </si>
  <si>
    <t>Habiba Laklalech</t>
  </si>
  <si>
    <t>CFG Bank (Other Commercial Banks)</t>
  </si>
  <si>
    <t>Laklalech</t>
  </si>
  <si>
    <t>Habiba</t>
  </si>
  <si>
    <t>+212 (0)522776800</t>
  </si>
  <si>
    <t>Casablanca, Morocco</t>
  </si>
  <si>
    <t>5-7 Rue Ibnou Toufail</t>
  </si>
  <si>
    <t>Casablanca</t>
  </si>
  <si>
    <t>20100</t>
  </si>
  <si>
    <t>Morocco</t>
  </si>
  <si>
    <t>+212 (0)522981112</t>
  </si>
  <si>
    <t>Ms. Habiba Laklalech is the Founder and CEO of Savemax. Previously, she was the CEO of the National Airports Office (ONDA). Before joining ONDA, she worked for nearly 15 years at Royal Air Maroc, where she held several management positions, including Deputy CEO and Director of Audit, Organization, and Group Strategy. Ms. Laklalech was also Director of the Personal Customers Business Unit at Orange and Brand Manager at Procter &amp; Gamble. In recognition of her contributions, she was named a Knight of the Order of the Throne by His Majesty King Mohammed VI in July 2014. Ms. Habiba Laklalech is a graduate of the Ecole Polytechnique de Paris and the Ecole Nationale Superieure des Telecommunications de Paris. She also holds a postgraduate degree in optoelectronics and microwaves from the Pierre Marie Curie University in Paris. In 1988, she received the Hassan II Prize in Mathematics, awarded by the late HM King Hassan II. Other appointments: Lesieur Cristal.</t>
  </si>
  <si>
    <t>87284-08P</t>
  </si>
  <si>
    <t>Henrik Ehrnrooth</t>
  </si>
  <si>
    <t>UPM-Kymmene</t>
  </si>
  <si>
    <t>Ehrnrooth</t>
  </si>
  <si>
    <t>Henrik</t>
  </si>
  <si>
    <t>+358 (0)20 415 111</t>
  </si>
  <si>
    <t>henrik.ehrnrooth@upm.com</t>
  </si>
  <si>
    <t>Helsinki, Finland</t>
  </si>
  <si>
    <t>Alvar Aallon katu 1</t>
  </si>
  <si>
    <t>Helsinki</t>
  </si>
  <si>
    <t>00100</t>
  </si>
  <si>
    <t>Finland</t>
  </si>
  <si>
    <t>+358 (0)20 415 110</t>
  </si>
  <si>
    <t>Mr. Henrik Ehrnrooth serves as a Board Member at AFRY. Mr. Ehrnrooth serves as President, Chief Executive Officer, and Member of the Executive Board at Kone. He serves as Board Member &amp; Member of the f the Remuneration and Project Committee at AFRY. He previously served as Chief Financial Officer of KONE Corporation from 2009-2014. Earlier worked for Goldman Sachs from 1998-2009, most recently as a Managing Director in the Investment Banking Division and at UBS in various positions from 1994-1998. Current key position of trust: Member of the Board of UPM-Kymmene Corporation, Member of the Foundation Board of the International Institute of Management Development (IMD, Switzerland). He also holds current positions as the Vice Chairman at Otava Kuvalehdet Oy since 1988, Chairman at Otava Oy since 2014, Independent Director at AFRY AB since 2019, Director at Marcus Wallenberg Foundation since 2008, and Director at African Plantation for Sustainable Development Ltd since 2012. In his former roles, Mr. Ehrnrooth served as the Chairman at YIT Oyj from 2009 to 2014, Chairman at AFRY Group Finland Oy from 1979 to 2019, Deputy Chairman at Cargotec Oyj from 2005 to 2009, Chairman-Supervisory Board at Yit Yhtyma Oyj from 2009 to 2011, and Chairman at Caverion Oyj from 2013 to 2015. Mr. Ehrnrooth obtained a graduate degree from the University of Helsinki in 1981 and an undergraduate degree from Hanken Svenska Handelshögskolan in 1981.</t>
  </si>
  <si>
    <t>39151-09P</t>
  </si>
  <si>
    <t>Huateng Ma</t>
  </si>
  <si>
    <t>Tencent Holdings</t>
  </si>
  <si>
    <t>Ma</t>
  </si>
  <si>
    <t>Huateng</t>
  </si>
  <si>
    <t>Co-Founder, Chairman and Chief Executive Officer</t>
  </si>
  <si>
    <t>+86 (0)755 8601 3388</t>
  </si>
  <si>
    <t>ponyma@tencent.com</t>
  </si>
  <si>
    <t>Shenzhen, China</t>
  </si>
  <si>
    <t>Tencent Binhai Building, Number 33</t>
  </si>
  <si>
    <t>Haitian Second Road, Nanshan District</t>
  </si>
  <si>
    <t>Shenzhen</t>
  </si>
  <si>
    <t>Guangdong</t>
  </si>
  <si>
    <t>518054</t>
  </si>
  <si>
    <t>China</t>
  </si>
  <si>
    <t>Mr. Huateng Ma is a Co-Founder &amp; serves as Chairman and Chief Executive Officer at Tencent Holdings. Mr. Ma is a Co-Founder of ZhongAn. He was the Owner of Athenex. He was already on the right path to discovering the secret of technology, how he could use it to his advantage, and also, how to use this knowledge to help the world. In 1993, Ma Huateng earned a Bachelor of Science in computer and applied engineering.</t>
  </si>
  <si>
    <t>51475-33P</t>
  </si>
  <si>
    <t>Ian Gallienne</t>
  </si>
  <si>
    <t>Groupe Bruxelles Lambert</t>
  </si>
  <si>
    <t>Gallienne</t>
  </si>
  <si>
    <t>Ian</t>
  </si>
  <si>
    <t>Chief Executive Officer &amp; Chairman</t>
  </si>
  <si>
    <t>+32 (0)2 289 17 17</t>
  </si>
  <si>
    <t>igallienne@gbl.be</t>
  </si>
  <si>
    <t>Brussels, Belgium</t>
  </si>
  <si>
    <t>Avenue Marnix 24</t>
  </si>
  <si>
    <t>Brussels</t>
  </si>
  <si>
    <t>1000</t>
  </si>
  <si>
    <t>Belgium</t>
  </si>
  <si>
    <t>Mr. Ian Gallienne serves as Chief Executive Officer and Board Member at Groupe Bruxelles Lambert. Mr. Gallienne serves as a Board Member at Sienna Investment Managers. He also serves as an Independent Director &amp; Member of the Strategic Committee and Compensation Committee at Pernod Ricard. He serves as a Board Member at SGS. Mr Gallienne serves as Chief Executive Officer and Board Member at Groupe Bruxelles Lambert. He began his career in Spain in 1992, as co-founder of a commercial company. From 1995 to 1997, he was a director of a consulting firm that specializes in turning around struggling businesses in France. From 1998 to 2005, he was the Manager of the private equity funds Rhone Capital LLC in New York and London. In 2005, he created the private equity fund Ergon Capital in Brussels and was its CEO until 2012. In 2012, he became CEO of Groupe Bruxelles Lambert, of which he had been a Director since 2009. He has been solely responsible for the operational management of the Company since the 2019 Ordinary General Meeting. List of activities and other mandates exercised in Belgian and foreign companies: Director of Imerys (F), Pernod Ricard (F), SGS S.A. (CH), Adidas AG (D), Frere-Bourgeois (B), Compagnie Nationale a Portefeuille S.A. (B), Webhelp (F) and Societe Civile du Chateau Cheval Blanc (F). Member of the Strategic Committee of Pernod Ricard (F). Member of the General Committee of Adidas AG (D). Member of the Remuneration Committee of Pernod Ricard (F). Member of the Remuneration Committee and the Corporate Governance &amp; Sustainability Committee of SGS S.A. (CH). Chairman of the Strategic Committee and Member of the Appointments Committee and the Compensation Committee of Imerys (F). Manager of SCI Serena 2017 (F). List of activities and other mandates exercised in Belgian and foreign companies expired during the last five years: Director of Ergon Capital S.A. (B) (until February 15, 2016), Lafarge (F) (until March 17, 2016), Erbe S.A. (B) (until December 28, 2017) and Umicore (B) (until April 25, 2017). Manager of Ergon Capital II S.a r.l. (L) (until February 15, 2016). Member of the Audit Committee of Adidas AG (D) (until 2020). He graduated in Management and Administration, with a major in Finance, from the ESDE Business School in Paris and obtained an MBA from INSEAD in Fontainebleau.</t>
  </si>
  <si>
    <t>31494-43P</t>
  </si>
  <si>
    <t>Ivan Glasenberg</t>
  </si>
  <si>
    <t>Glencore (Former)</t>
  </si>
  <si>
    <t>Glasenberg</t>
  </si>
  <si>
    <t>Ivan</t>
  </si>
  <si>
    <t>Chief Executive Officer, Board Member &amp; Member of the Health, Safety, Environment and Communities Committee</t>
  </si>
  <si>
    <t>ivan.glasenberg@glencore.com</t>
  </si>
  <si>
    <t>Ruschlikon, Switzerland</t>
  </si>
  <si>
    <t>Ruschlikon</t>
  </si>
  <si>
    <t>Mr. Ivan Glasenberg served as Chief Executive Officer, Board Member &amp; Member of the Health, Safety, Environment, and Communities Committee at Glencore. He served as Board Member at Pirelli &amp; C. He joined Glencore in April 1984 and has been Chief Executive Officer since January 2002. He initially spent three years working in the coal commodity department in South Africa as a marketer, before spending two years in Australia as head of the Asian coal commodity division. Between 1988 and 1989, he was based in Hong Kong as head of Glencore's Hong Kong and Beijing offices, as well as head of coal marketing in Asia, where his responsibilities included overseeing the Asian coal marketing business of Glencore and managing the administrative functions of the Hong Kong and Beijing offices. In January 1990, he was made responsible for the worldwide coal business of Glencore for both marketing and industrial assets and remained in this role until he became Chief Executive Officer in January 2002. He is a Chartered Accountant of South Africa and holds a Bachelor of Accountancy from the University of Witwatersrand. He also holds an MBA from the University of Southern California. He is currently a non-executive director of UC Rusal plc (HKG:0486). Before joining Glencore, he worked for five years at Levitt Kirson Chartered Accountants in South Africa. He is also an Angel Investor.</t>
  </si>
  <si>
    <t>288884-44P</t>
  </si>
  <si>
    <t>Jack Selby</t>
  </si>
  <si>
    <t>Perimeter Acquisition</t>
  </si>
  <si>
    <t>Selby</t>
  </si>
  <si>
    <t>Jack</t>
  </si>
  <si>
    <t>+1 (214) 292-6615</t>
  </si>
  <si>
    <t>Dallas, TX</t>
  </si>
  <si>
    <t>6060 North Central Express Way</t>
  </si>
  <si>
    <t>Dallas</t>
  </si>
  <si>
    <t>75204</t>
  </si>
  <si>
    <t>Jack Selby has agreed to serve on our board of directors with effect immediately upon the commencement of trading of the Company's units on the Nasdaq. Mr. Selby is a Managing Director at Thiel Capital, the family office of Peter Thiel. Mr. Selby co-founded Clarium Capital Management after selling PayPal (Nasdaq: PYPL) to eBay (Nasdaq: EBAY) in October 2002 for $1.5 billion. At PayPal, Mr. Selby joined as an early employee and later served as a Senior Vice President, overseeing the company's international and corporate operations. Mr. Selby was also a formal member of the advisory boards of Blend (NYSE: BLND) and Offerpad (NYSE: OPAD). In addition to his responsibilities at Thiel Capital, Mr. Selby is currently a member of the Board of Directors of the Arizona Commerce Authority, a co-host/founder of the Arizona Technology Innovation Summit with Governor Doug Ducey, Chairman of invisionAZ, and Co-founder and member of the Board of Directors for the Wyoming Global Technology Partnership with Governor Mark Gordon. Mr. Selby received a B.A. in Economics from Hamilton College where he is a member of the Board of Trustees.</t>
  </si>
  <si>
    <t>55427-86P</t>
  </si>
  <si>
    <t>Jacob Wallenberg</t>
  </si>
  <si>
    <t>ABB (Distributors/Wholesale)</t>
  </si>
  <si>
    <t>Wallenberg</t>
  </si>
  <si>
    <t>Jacob</t>
  </si>
  <si>
    <t>Vice Chairman of the Board &amp; Member of the Governance &amp; Nomination Committee</t>
  </si>
  <si>
    <t>+41 (0)43 317 7111</t>
  </si>
  <si>
    <t>jacob.wallenberg@investorab.com</t>
  </si>
  <si>
    <t>Zurich, Switzerland</t>
  </si>
  <si>
    <t>Affolternstrasse 44</t>
  </si>
  <si>
    <t>Zurich</t>
  </si>
  <si>
    <t>8050</t>
  </si>
  <si>
    <t>+41 (0)43 317 4420</t>
  </si>
  <si>
    <t>Mr. Jacob Wallenberg serves as Chairman of the Board of Directors and Remuneration Committee and member of the Audit and Risk Committee at Investor. He serves as Deputy Chairman, Member of the Finance Committee, and Board Member at Ericsson. He serves as Vice President &amp; Board of Directors at Wallenberg Investments. He also serves as a Board Member at Knut and Alice Wallenberg Foundation. He also serves as Vice Chairman of the Board at Patricia Industries. He served as Vice Chairman at Scandinavian Airlines. He has been Vice Chairman since May 2015. He served as Vice Chairman of the Board &amp; Member of the Governance &amp; Nomination Committee at ABB (Distributors/Wholesale). He is also a member of IBLAC (Mayor of Shanghai's International Business Leaders Advisory Council), the Royal Swedish Academy of Engineering Science (IVA), The European Round Table of Industrialists, and The Confederation of Swedish Enterprise. Prior board assignments are SEB (Chairman), Atlas Copco and Stora (Vice-Chairman), The Coca-Cola Company, Electrolux, Stockholm Chamber of Commerce, Stora, and VM-data (Director). He has been President and CEO at SEB and EVP and CFO at Investor AB. He holds a B.Sc. Economics and M.B.A., Wharton School, University of Pennsylvania, Reserve Officer, Swedish Navy.</t>
  </si>
  <si>
    <t>37124-65P</t>
  </si>
  <si>
    <t>James Parsons</t>
  </si>
  <si>
    <t>Sernova</t>
  </si>
  <si>
    <t>Parsons</t>
  </si>
  <si>
    <t>James</t>
  </si>
  <si>
    <t>Chief Financial Officer, Finance &amp; Board Member</t>
  </si>
  <si>
    <t>+1 (416) 482-3813</t>
  </si>
  <si>
    <t>jparsons@diamedica.com</t>
  </si>
  <si>
    <t>London, Canada</t>
  </si>
  <si>
    <t>700 Collip Circle</t>
  </si>
  <si>
    <t>Suite 114</t>
  </si>
  <si>
    <t>London</t>
  </si>
  <si>
    <t>N6G 4X8</t>
  </si>
  <si>
    <t>+1 (519) 858-5099</t>
  </si>
  <si>
    <t>Mr. Parsons serves as a member of the board of directors and Chief Financial Officer at Sernova Corp. Mr. James Parsons has served as a member of the Board of Directors since October 2015. Previously, Mr. Parsons served as our Vice President of Finance from October 2010 until May 2014. Since August 2011, Mr. Parsons has served as Chief Financial Officer and Corporate Secretary of Trillium Therapeutics Inc., a Nasdaq-listed immuno-oncology company., which is listed on the TSX Venture Exchange. Mr. Parsons has been a Chief Financial Officer in the life sciences industry since 2000 with experience in therapeutics, diagnostics, and devices. Mr. Parsons has a Master of Accounting degree from the University of Waterloo and is a Chartered Professional Accountant and Chartered Accountant. Mr. Parsons is a resident of Ontario, Canada.</t>
  </si>
  <si>
    <t>81726-58P</t>
  </si>
  <si>
    <t>Ascent Resources</t>
  </si>
  <si>
    <t>Chairman</t>
  </si>
  <si>
    <t>+44 (0)20 7251 4905</t>
  </si>
  <si>
    <t>j.parsons@coroenergyplc.com</t>
  </si>
  <si>
    <t>London, United Kingdom</t>
  </si>
  <si>
    <t>5 New Street Square</t>
  </si>
  <si>
    <t>EC4A 3TW</t>
  </si>
  <si>
    <t>Mr. James Parsons serves as the Chairman at Ascent Resources. He has a wealth of corporate and transactional experience on AIM and a demonstrated ability to access capital to fund junior resource plays. He serves as Managing Director at Coro Energy.</t>
  </si>
  <si>
    <t>289882-27P</t>
  </si>
  <si>
    <t>James Phillips</t>
  </si>
  <si>
    <t>F5 (IT Consulting and Outsourcing) (Former)</t>
  </si>
  <si>
    <t>Phillips</t>
  </si>
  <si>
    <t>Mr. James Phillips serves as Board Member at F5 Networks. Phillips currently leads Microsoft's Digital Transformation Platform Group, a product development organization with more than 15,000 global team members. His team builds and operates Microsoft's business applications and services; and the application, integration, data, and intelligence platforms beneath them - collectively powering the digital transformation initiatives of some of the world's largest organizations. Phillips joined Microsoft in 2012 as a strategy advisor to Satya Nadella, then president of Microsoft's Cloud and Enterprise division. Prior to joining Microsoft, Phillips co-founded and served as CEO of multiple software companies; held engineering, product management, corporate development, and marketing leadership roles at Intel, VMware, and Synopsys; and spent two years as a technology investment banker with UBS PaineWebber advising public and private software companies on M&amp;A strategy and execution</t>
  </si>
  <si>
    <t>342725-41P</t>
  </si>
  <si>
    <t>Jason Zhang</t>
  </si>
  <si>
    <t>Applied Digital (Former)</t>
  </si>
  <si>
    <t>Zhang</t>
  </si>
  <si>
    <t>Jason</t>
  </si>
  <si>
    <t>Co-Founder &amp; Chief Strategy Officer</t>
  </si>
  <si>
    <t>jzhang@applieddigital.com</t>
  </si>
  <si>
    <t>Mr. Jason Zhang is a Co-Founder and serves as Chief Strategy Officer at Applied Digital. Mr. Zhang serves as Co-Founder at Applied Blockchain (Dallas). Zhang is an entrepreneur and investor in the technology sector. From 2017 to 2019, Mr. Zhang was an investment analyst at Sequoia Capital, an investment firm that specializes in backing companies across the technology sectors. Before that, Mr. Zhang was an investment analyst at MSD Capital from 2015 to 2017. MSD Capital is a private investment firm established in 1998 to exclusively manage the assets of Michael Dell and his family. At both Sequoia Capital and MSD Capital, Mr. Zhang focused on investments in crypto, enterprise software, internet, consumer products and hardware. Mr. Zhang graduated from Harvard College in 2015 with a bachelor's degree in Economics.</t>
  </si>
  <si>
    <t>43303-06P</t>
  </si>
  <si>
    <t>John Browett</t>
  </si>
  <si>
    <t>Dunelm Group (Former)</t>
  </si>
  <si>
    <t>Browett</t>
  </si>
  <si>
    <t>John</t>
  </si>
  <si>
    <t>Chief Executive Officer</t>
  </si>
  <si>
    <t>48 Artillery Lane</t>
  </si>
  <si>
    <t>E1 7LS</t>
  </si>
  <si>
    <t>Mr. John Browett served as Chief Executive Officer and Board Member at BillSaveUK. He serves as a Board Member at Vorbos. He also serves as Chairman at Northern Building Plastics, Just Move In, and Roof-Maker. He also serves as Chairman at Yoti. He served as Chairman at ITD Global. He previously served as Chief Executive Officer at Dunelm Group. He served as a Board Member at Northcore. He served as Chairman of Internet Fusion Group. He also serves as Chairman &amp; Non-Executive Director at Octopus Investments. He is Apple's senior vice president of retail, reporting to Chief Executive Officer Tim Cook. He serves on the company's executive team and oversees Apple's retail strategy and the continued expansion of Apple retail stores around the world. He joined Apple in April 2012 from European technology retailer Dixons Retail, where he was Chief Executive Officer since 2007. Prior to joining Dixons Retail, Mr. Browett held a series of executive positions at Tesco plc including Chief Executive Officer of Tesco.com. Earlier in his career, he advised retail and consumer goods, clients, at Boston Consulting Group. He holds a degree in Natural Sciences from Cambridge University and an MBA from Wharton Business School.</t>
  </si>
  <si>
    <t>46974-43P</t>
  </si>
  <si>
    <t>John Correnti</t>
  </si>
  <si>
    <t>Corecivic (Former)</t>
  </si>
  <si>
    <t>Correnti</t>
  </si>
  <si>
    <t>Mr. John Correnti serves as Executive Chairman and Board Member at BlueOak Resources. He has several years of operations, management and board experience in the steel industry, serving at both large and small companies. His steel experience began in 1969 with US Steel where he served in construction management activities. In 1980, he left US Steel to join Nucor Corporation as the Manager of construction where he developed methods to fast-track the construction of new steel facilities and to shorten the project time as much as 50%. He served as Vice President of Nucor Corporation since 1984, President from 1991 to 1999, Chief Operating Officer from 1991 to 1996 and Chief Executive Officer and Vice Chairman from 1996 to 1999. In 2000, he led a proxy fight to take over Birmingham Steel and served as Chief Executive Officer and Chairman until 2002. In, 2003 he sold Birmingham Steel to Nucor Corporation. Since 2003, he worked with Carl Icahn in the successful restructuring and restoration to the profitability of Phillip Services. Between 2002 and 2005, he served as the Chairman, Chief Executive Officer and President of SteelCorr. In 2005, he founded Severstal Columbus (also known as SeverCorr) and served as its President and Chief Executive Officer from 2005 to January 2008. In 2010, he became the Chairman of CaliSolar. He has also been Director of Navistar International Corporation since 1994 and an Independent Director of Corrections Corporation of America since 2000. He serves as a Director of Clarkson University and as Director and Chairman of the Board of Silicor Materials (MS). He currently serves as the Chairman and Chief Executive Officer of Steel Development Company. Mr. Correnti holds a BS degree in Civil Engineering from Clarkson University. He serves as a Board Member at Corrections Corporation of America.</t>
  </si>
  <si>
    <t>75093-94P</t>
  </si>
  <si>
    <t>Jonathan Pertchik JD</t>
  </si>
  <si>
    <t>Nikola</t>
  </si>
  <si>
    <t>Pertchik</t>
  </si>
  <si>
    <t>Jonathan</t>
  </si>
  <si>
    <t>jpertchik@tatravelcenters.com</t>
  </si>
  <si>
    <t>Phoenix, AZ</t>
  </si>
  <si>
    <t>4141 East Broadway Road</t>
  </si>
  <si>
    <t>Phoenix</t>
  </si>
  <si>
    <t>Arizona</t>
  </si>
  <si>
    <t>85040</t>
  </si>
  <si>
    <t>Jonathan M. Pertchik serves as Chief Executive Officer at Andmore. He served as a Board Member at Nicola. During Pertchik's most recent role at TA, he executed a company-wide transformation that culminated in a sale of the company at nearly 10 times the first-day share price. Part of that transformation was a sustainable energy program, eTA, that was championed by him and played a significant role in the successful sale. Before his time at TA, he led major transformations at several other companies, including WCI Communities, ST Residential and Intown Suites. He navigated these changes for companies owned or controlled by notable investor groups, such as Starwood Capital Group, TPG, Carl Icahn, Richard LeFrak and Perry Capital. Additionally, he has served as a director for successful startups and larger public companies, including AV Homes. He holds a B.A. from Rutgers University, a J.D. from the District of Columbia School of Law, and an L.L.M. in International Finance Law from the Georgetown University Law Center.</t>
  </si>
  <si>
    <t>39721-60P</t>
  </si>
  <si>
    <t>Jun Lei</t>
  </si>
  <si>
    <t>Xiaomi Technology</t>
  </si>
  <si>
    <t>Lei</t>
  </si>
  <si>
    <t>Jun</t>
  </si>
  <si>
    <t>Co-Founder, Chairman, Member of the Remuneration Committee, Executive Director, President and Chief Executive Officer</t>
  </si>
  <si>
    <t>+86 (0)10 6060 6666</t>
  </si>
  <si>
    <t>lj@xiaomi.com</t>
  </si>
  <si>
    <t>Beijing, China</t>
  </si>
  <si>
    <t>Xiaomi Technology Park, Number 33, Xi'erqi Middle Road</t>
  </si>
  <si>
    <t>Haidian District</t>
  </si>
  <si>
    <t>Beijing</t>
  </si>
  <si>
    <t>100085</t>
  </si>
  <si>
    <t>Mr. Lei Jun serves as a Non-executive Director, Chairman, Member of the Remuneration Committee, and Co-founder at Kingsoft Office. He is a Co-Founder and serves as Chairman, Member of the Remuneration Committee, Executive Director, President and Chief Executive Officer at Xiaomi Technology &amp; serves as its Chairman and Chief Executive Officer. He is also the founding partner of Shunwei Capital and serves as its Chairman. He was part of the founding team of Kingsoft in 1992 and became CEO in 1998. A year later, he founded the IT information service and download website Joyo.com. After Kingsoft successfully completed their IPO, Lei Jun stepped down from his position and became Vice Chairman at Kingsoft. In the early 2000's, he invested in many successful start-up companies like YY, UC and Vancl as an angel investor, and on April 6, 2010, he founded Xiaomi. In July 2011, he returned to Kingsoft as Chairman of the Board. He is BS in Engineering from Wuhan University. He is also an Angel Investor. He is a Co-Founder &amp; serves as Chairman &amp; Member of Remuneration Committee at Kingsoft Corporation.</t>
  </si>
  <si>
    <t>29742-31P</t>
  </si>
  <si>
    <t>Karl-Henrik Sundstrom</t>
  </si>
  <si>
    <t>Boliden</t>
  </si>
  <si>
    <t>Sundstrom</t>
  </si>
  <si>
    <t>Karl-Henrik</t>
  </si>
  <si>
    <t>+46 (0)46 8 610 15 00</t>
  </si>
  <si>
    <t>Klarabergsviadukten 90</t>
  </si>
  <si>
    <t>PO Box 44</t>
  </si>
  <si>
    <t>101 20</t>
  </si>
  <si>
    <t>+46 (0)46 8 654 80 90</t>
  </si>
  <si>
    <t>Mr. Karl-Henrik Sundstrom serves as Board Member &amp; Vice Chairman at Boliden. Mr. Sundstrom serves as Board Member, Chair of the Human Resources and Compensation Committee, and Member of the Board's Audit Committee at NXP Semiconductors. Education: MBA, Advanced Management Program Harvard. Other assignments: Chairman of the CLC Climate Leadership Coalition and the Tax Delegation for Swedish Business and Commerce. Member of the boards of Molnlycke, Vestas, AhlstromMunksjo, NXP, and the Marcus Wallenberg Foundation. Previous positions: CFO of Ericsson and President and CEO of Stora Enso.</t>
  </si>
  <si>
    <t>286570-18P</t>
  </si>
  <si>
    <t>Kazuo Ueda</t>
  </si>
  <si>
    <t>JGC Holdings (Former)</t>
  </si>
  <si>
    <t>Ueda</t>
  </si>
  <si>
    <t>Kazuo</t>
  </si>
  <si>
    <t>Mr. Kazuo Ueda, Apr. 1989 Assistant Professor, Faculty of Economics, The University of Tokyo; Mar. 1993 Professor, Faculty of Economics, The University of Tokyo; Apr. 1998 Member of the Policy Board, Bank of Japan; Apr. 2005 Professor, Graduate School of Economics, The University of Tokyo; Oct. 2005 Dean, Graduate School of Economics, The University of Tokyo; Oct. 2005 Dean, Faculty of Economics, The University of Tokyo; Oct. 2008 Outside Director, Development Bank of Japan Inc. (current post); Apr. 2017 Director, Center for Advanced Research in Finance, The University of Tokyo (current post); Apr. 2017 Professor, Faculty of International Studies, Kyoritsu Women's University; Jun. 2017 Professor Emeritus, The University of Tokyo (current post); Jun. 2017 Outside Audit &amp; Supervisory Board Member, MELCO HOLDINGS INC. (current post); Jun. 2019 Outside Director, the Company (current post); Apr. 2020 Dean, Faculty of Business, Kyoritsu Women's University (current post); Apr. 2020 Professor, Faculty of Business, Kyoritsu Women's University (current post).</t>
  </si>
  <si>
    <t>45899-20P</t>
  </si>
  <si>
    <t>Keith Rabois JD</t>
  </si>
  <si>
    <t>Affirm</t>
  </si>
  <si>
    <t>Rabois</t>
  </si>
  <si>
    <t>Keith</t>
  </si>
  <si>
    <t>+1 (415) 960-1518</t>
  </si>
  <si>
    <t>San Francisco, CA</t>
  </si>
  <si>
    <t>650 California Street</t>
  </si>
  <si>
    <t>Floor 12</t>
  </si>
  <si>
    <t>San Francisco</t>
  </si>
  <si>
    <t>94108</t>
  </si>
  <si>
    <t>Mr. Keith Rabois serves as a Board Member at Affirm. He serves as a Board Member at Rogo, Mach Industries, Pulley, Pomelo, Found, The Org, Royal Markets, Forward, Searchlight.ai, Fam, Eight Sleep, Ghost, Up&amp;Up, Bungalow, Yelp, Xoom, Ramp, Affirmand Truework. He is a Co-Founder and serves as Chairman at Opendoor Technologies. He served as a Board Member at Even, Kiddom, Piazza, Ghost Autonomy, Spring, IfOnly, Jetty, Virtual Kitchen, American Football, Reddit, and HealthTap. He is a Co-Founder &amp; serves as Chief Executive Officer at OpenStore. He served as a Partner at Founders Fund. He is also an Angel Investor. He served as a Board Observer at Scribd. He is an Investor in Ramp (Financial Software). He is a Co-Founder and serves as Executive Chairman at Opendoor. He serves as a Board Member and Advisor at Stellar. He is a Co-Founder of Y Ventures. He also serves as an Advisor at Resolute Ventures &amp; Roam. His focus at the firm includes consumer Internet, education, enterprise, financial services, and digital health. He served as an Advisor at Cue. Earlier in his career, he was a litigator at the preeminent Wall Street law firm Sullivan and Cromwell, after clerking for the United States Court of Appeals for the Fifth Circuit. He holds a bachelor's degree in political science from Stanford University and a Juris Doctor degree with honors from Harvard University. He served as Health Technology Advisor at Clara Health. He is a Co-Founder &amp; serves as Co-Chief Executive Officer at Jack Archer. He is a Managing Director at Khosla Ventures, where he invests across sectors and stages, leveraging his experience as a world-class founder, operator, and investor. He has helped build some of the largest, globally recognized technology companies in his more than 20-year career. At Khosla Ventures, he led the first institutional investments in DoorDash, Affirm, and Faire, invested early in Stripe, and co-founded Opendoor. While a General Partner at Founders Fund, he led investments in Ramp, Trade Republic, and Aven, and before that made early personal investments in YouTube, Airbnb, and Palantir. He has served on multiple boards, including Reddit's from 2012 to 2019, and on Yelp and Xoom's boards, guiding them from their early stages through IPOs. He currently serves on the boards of Ramp and Faire, among others. He started his technology career with leadership roles at PayPal, as their EVP of Business Development, Public Affairs &amp; Policy, before joining LinkedIn as VP of Business &amp; Corporate Development, and finally, Block (formerly known as Square), as Chief Operating Officer. He served as a litigator at Sullivan &amp; Cromwell following his clerkship for the United States Court of Appeals for the Fifth Circuit. He holds a bachelor's degree in political science from Stanford University and earned a juris doctor degree with honors from Harvard University.</t>
  </si>
  <si>
    <t>205060-60P</t>
  </si>
  <si>
    <t>Khalid Al Rumaihi</t>
  </si>
  <si>
    <t>Aluminium Bahrain</t>
  </si>
  <si>
    <t>Al Rumaihi</t>
  </si>
  <si>
    <t>Khalid</t>
  </si>
  <si>
    <t>+973 1753 2000</t>
  </si>
  <si>
    <t>Kingdom of Bahrain, Bahrain</t>
  </si>
  <si>
    <t>PO Box 570</t>
  </si>
  <si>
    <t>Kingdom of Bahrain</t>
  </si>
  <si>
    <t>Bahrain</t>
  </si>
  <si>
    <t>+973 1783 0083</t>
  </si>
  <si>
    <t>Mr. Khalid Al Rumaihi serves as Chairman at Aluminium Bahrain. He served as Chairman of the Board of Directors at Bahrain Development Bank. He is the Executive Chairman of Amriya Group, prior to which he served as the Chief Executive Officer of Bahrain Mumtalakat Holding Company (Mumtalakat) from September 2019 to April 2023. During his tenure, he oversaw Mumtalakat's transformation and the implementation of its new strategy. Al Rumaihi previously served five years as the Chief Executive of the Bahrain Economic Development Board (EDB) where he was responsible for channeling inward investments into the country. He spent over 10 years at Investcorp as a Managing Director. He was also a member of the Management Committee and Head of the Institutional Placement Team covering Investcorp's clients in the Arabian Gulf. This was preceded by a 9-year term in J.P. Morgan as head of its private client group in the Gulf region. He serves on the Boards of Mumtalakat, the McLaren Group, the Bahrain Economic Development Board, Bapco Energies. He is a member of the Advisory Board of Harvard Business School Middle East and North Africa. With a master's degree in Public Policy specializing in Economic Development from Harvard University and a Bachelor of Science degree in Foreign Service from Georgetown University, Al Rumaihi has chaired the board of Bahrain Real Estate Investment Company (Edamah), the Board of the Bahrain Airport Company (BAC) and the Board of Bahrain Development Bank and has held Board positions at Gulf Air and Securities Investment Company.</t>
  </si>
  <si>
    <t>68056-93P</t>
  </si>
  <si>
    <t>Lachlan Murdoch</t>
  </si>
  <si>
    <t>Fox</t>
  </si>
  <si>
    <t>Murdoch</t>
  </si>
  <si>
    <t>Lachlan</t>
  </si>
  <si>
    <t>Executive Chair and Chief Executive Officer</t>
  </si>
  <si>
    <t>+1 (212) 852-7000</t>
  </si>
  <si>
    <t>lmurdoch@foxcorporation.com</t>
  </si>
  <si>
    <t>1211 Avenue of the Americas</t>
  </si>
  <si>
    <t>10036</t>
  </si>
  <si>
    <t>Mr. Lachlan Murdoch serves as Executive Chair and Chief Executive Officer at Fox Corporation. He founded and served as Executive Chairman at Illyria. He serves as Executive Chairman of NOVA Entertainment Group, Executive Chairman of Illyria Pty Ltd, and a Director of Sydney's Museum of Contemporary Art. He also serves as Chairman at News Corp. He previously served as Non-Executive Chairman of Ten Network Holdings. Under his leadership, NOVA Entertainment Group became Australia's number-one national FM network. Prior to founding Illyria in 2005, a successful private investment company, He was the Deputy Chief Operating Officer of News Corporation (now 21st Century Fox), a role in which he was directly responsible for two-thirds of the company's global revenue, with specific emphasis on its U.S. television stations group and publishing assets. He also served on the Board of Foxtel and as Chairman of Fox Television Stations and Publisher of the New York Post. At Fox Television Stations, He oversaw the company's 35 owned-and-operated television stations, where he raised the bar on local news coverage nationwide, increasing the total number of local news hours across the group to more than 850 per week. At the New York Post, He overhauled the tabloid and grew its circulation by more than 40 percent. During his tenure, the Post became the nation's fastest-growing newspaper and the seventh-largest in the United States. He served as a Board Member at Caffeine. He holds a B.A. from Princeton University.</t>
  </si>
  <si>
    <t>14425-39P</t>
  </si>
  <si>
    <t>Lakshmi Mittal</t>
  </si>
  <si>
    <t>ArcelorMittal</t>
  </si>
  <si>
    <t>Mittal</t>
  </si>
  <si>
    <t>Lakshmi</t>
  </si>
  <si>
    <t>Luxembourg, Luxembourg</t>
  </si>
  <si>
    <t>24-26, Boulevard d'Avranches</t>
  </si>
  <si>
    <t>Luxembourg</t>
  </si>
  <si>
    <t>1160</t>
  </si>
  <si>
    <t>Mr. Lakshmi Mittal serves as Chairman at ArcelorMittal. Mr. Mittal is an Angel Investor. He served as a Board Member at Airbus Group. He co-founded B4U Network Europe. He also serves as a Board Member &amp; Member of the Compensation, Governance &amp; Public Responsibilities Committee at The Goldman Sachs Group. He founded He Steel Company (formerly the LNM Group) in 1976. He is a member of the Foreign Investment Council in Kazakhstan, the Global CEO Council of the Chinese People's Association for Friendship with Foreign Countries, the World Economic Forum's International Business Council, the World Steel Association's Executive Committee, and the European Round Table of Industrialists. He is a member of the board of trustees of Cleveland Clinic and a member of the advisory Council of Harvard University. Mr. Mittal began his career working in the family's steelmaking business in India and has more than 35 years of experience working in steel and related industries. In addition to forcing the pace of consolidation in the steel industry, he has also championed the development of integrated mini-mills and the use of direct-reduced iron as a scrap substitute for steelmaking. He has also been awarded a fellowship from King's College London and a Doctor Honoris Causa by the AGH University of Science and Technology in Krakow, Poland. He is also an Angel Investor. He is a graduate of St Xavier's college in India.</t>
  </si>
  <si>
    <t>36412-39P</t>
  </si>
  <si>
    <t>Larry Page Ph.D</t>
  </si>
  <si>
    <t>Alphabet</t>
  </si>
  <si>
    <t>Page</t>
  </si>
  <si>
    <t>Larry</t>
  </si>
  <si>
    <t>Co-Founder, Board Member &amp; Chairman of the Executive Committee</t>
  </si>
  <si>
    <t>+1 (650) 253-0000</t>
  </si>
  <si>
    <t>lpage@abc.xyz</t>
  </si>
  <si>
    <t>1600 Amphitheatre Parkway</t>
  </si>
  <si>
    <t>94043</t>
  </si>
  <si>
    <t>Dr. Larry Page is a Co-Founder and serves as Board Member &amp; Chairman of the Executive Committee at Alphabet. Dr. Page is a Co-Founder of X Development. He also serves as President, Chairman and Board Member of the Carl Victor Page Memorial Foundation. Mr. Page served as a Board Member at Verily Life Sciences. He Co-Founded Kitty Hawk. He is a member of the National Advisory Committee (NAC) of the University of Michigan College of Engineering, and together with co-founder Sergey Brin, he was honored with the Marconi Prize in 2004. He is a trustee on the board of the X PRIZE and was elected to the National Academy of Engineering in 2004. He is also an Angel Investor. He co-founded Google in 1998 while pursuing a Ph.D. at Stanford University, and was the first CEO until 2001-growing the company to more than 200 employees and profitability. From 2001 to 2011, he was president of products. He holds a bachelor's degree in engineering from the University of Michigan, Ann Arbor, and a master's degree in computer science from Stanford University.</t>
  </si>
  <si>
    <t>86452-84P</t>
  </si>
  <si>
    <t>Lawrence Rosano Jr.</t>
  </si>
  <si>
    <t>Flagstar Financial (Former)</t>
  </si>
  <si>
    <t>Rosano</t>
  </si>
  <si>
    <t>Lawrence</t>
  </si>
  <si>
    <t>Mr. Lawrence Rosano serves on the board of directors at New York Community Bancorp. Previously, Mr. Rosano served as President at both Associated Development Corporation and Associated Properties. Since May 1974, Mr. Rosano has served as President of a New York real estate development and management firm: Associated Development Corp. and has been a member of 460 Grand Street Realty LLC, a New York limited liability company, since August 2013. Over the course of his career, Mr. Rosano has overseen the design, construction, and marketing of numerous large-scale residential developments, multi-family properties, and commercial properties throughout New York City and Nassau County, which are the primary markets for the Company's multi-family and commercial real estate loans. In recognition of his expertise in real estate, Mr. Rosano was appointed by former New York City Mayor Michael Bloomberg in 2006 and 2007 to serve as an industry representative on two Task Forces under the aegis of the City's Department of Environmental Protection. In addition, Mr. Rosano has been a member of the New York City Council's Building Resiliency Task Force since 2012. In November 2016, Mr. Rosano was appointed by the City of New York as a member of the Contractor and Expert Committee of the MS4 Policy Group of the New York City Department of Environmental Protection, the Urban Green Council, and the Real Estate Board of New York to develop a storm water management program in order for New York City to comply with the MS4 permit process of the U.S. and New York City Departments of Environmental Protection. A Licensed General Contractor and Licensed Construction Superintendent in New York City, and a Licensed General Contractor in Nassau County, Mr. Rosano provides leadership to the Queens &amp; Bronx Building Association, serving as a member of its Board of Directors and as a former president. He also is actively involved in the work of non-profit organizations, serving on the Executive Committee of the Cooley's Anemia Blood and Research Foundation for Children, and having served as a member and Secretary of the Board of Directors of Denton Green Housing Company, a not-for-profit senior housing corporation from 2011 to 2013.</t>
  </si>
  <si>
    <t>173967-40P</t>
  </si>
  <si>
    <t>Lei Zhang</t>
  </si>
  <si>
    <t>Cheche Technology</t>
  </si>
  <si>
    <t>+86 (0)10 5083 0911</t>
  </si>
  <si>
    <t>8/F, Desheng Hopson Fortune Plaza</t>
  </si>
  <si>
    <t>13-1 Deshengmenwai Avenue Xicheng District</t>
  </si>
  <si>
    <t>100088</t>
  </si>
  <si>
    <t>Mr. Zhang Lei is the Founder and serves as Co-Chief Executive Officer and Board Member at Cheche Technology. With 16 years of TMT industry management and operation experience, the pioneer in the field of domestic internet insurance. From 2010 to 2014, as the CEO of Datang Power Technology Co., Ltd., Datang Power is the first-class insurance mobile information solutions provider in China. The mobile Internet, finance, and insurance, and cloud computing have a number of patented technologies, providing systems software and terminal development. From 2001 to 2006, he served as director of the sales and service system of Huawei. He graduated from the School of Economics of Wuhan University with a bachelor's degree and later obtained a master's degree from the Finance Department of Jinan University.</t>
  </si>
  <si>
    <t>269530-21P</t>
  </si>
  <si>
    <t>Len Blavatnik</t>
  </si>
  <si>
    <t>Warner Music Group</t>
  </si>
  <si>
    <t>Blavatnik</t>
  </si>
  <si>
    <t>Len</t>
  </si>
  <si>
    <t>Vice Chairman &amp; Member of the Executive Committee</t>
  </si>
  <si>
    <t>+1 (212) 275-2000</t>
  </si>
  <si>
    <t>len.blavatnik@wmg.com</t>
  </si>
  <si>
    <t>1633 Broadway</t>
  </si>
  <si>
    <t>10019</t>
  </si>
  <si>
    <t>Mr. Len Blavatnik serves as Vice Chairman &amp; Member of the Executive Committee at Warner Music Group. He has served as a director and as Vice Chairman of the Board of the Company since July 20, 2011. Mr. Blavatnik is the founder and Chairman of Access, a privately held, U.S. industrial group with global strategic investments. He previously served as a member of the Company's board of directors from March 2004 to January 2008. Mr. Blavatnik provides financial support to, and remains engaged in, many educational pursuits. Mr. Blavatnik is a member of boards at Oxford University and Tel Aviv University, and is a member of Harvard University's Committee on University Resources, Global Advisory Council and the Task Force on Science and Engineering. In 2010, the Blavatnik Family Foundation committed £75 million to establish the Blavatnik School of Government at the University of Oxford. Mr. Blavatnik and the Blavatnik Family Foundation have also been generous supporters of other leading educational, scientific, cultural and charitable institutions throughout the world. Mr. Blavatnik is a member of the board of directors of the 92nd Street Y in New York, The Mariinsky Foundation of America, The Carnegie Hall Society, Inc. and The Center for Jewish History in New York. He is also a Trustee of the State Hermitage Museum in St. Petersburg, Russia. Mr. Blavatnik emigrated to the U.S. in 1978 and became a U.S. citizen in 1984. He received his Master's degree from Columbia University in 1981 and his M.B.A from Harvard Business School in 1989.</t>
  </si>
  <si>
    <t>230574-43P</t>
  </si>
  <si>
    <t>Lubna Olayan</t>
  </si>
  <si>
    <t>Saudi Awwal Bank (Former)</t>
  </si>
  <si>
    <t>Olayan</t>
  </si>
  <si>
    <t>Lubna</t>
  </si>
  <si>
    <t>+966 (0)11 839 2000</t>
  </si>
  <si>
    <t>Riyadh, Saudi Arabia</t>
  </si>
  <si>
    <t>P.O. Box 8772</t>
  </si>
  <si>
    <t>Riyadh</t>
  </si>
  <si>
    <t>11492</t>
  </si>
  <si>
    <t>Saudi Arabia</t>
  </si>
  <si>
    <t>Mr. Lubna Olayan serves as Board Member at Safanad. She served as a Board Member at WPP. She also serves as Chairwoman of the Executive Committee at Olayan Financing Company. She served as Chief Executive Officer of the Olayan Financing Company ("OFC"), a subsidiary and the holding entity for the Olayan Group's operations in the Middle East. She remains the Deputy Chairperson of the Board of Directors of OFC. She also serves as Chairwoman of the recent merger between Alawwal Bank and the Saudi British Bank (SABB). She holds a B.Sc. degree from Cornell University and an MBA from Indiana University.</t>
  </si>
  <si>
    <t>281570-41P</t>
  </si>
  <si>
    <t>Mark Walker</t>
  </si>
  <si>
    <t>Direct Digital Holdings</t>
  </si>
  <si>
    <t>Walker</t>
  </si>
  <si>
    <t>Mark</t>
  </si>
  <si>
    <t>Co-Founder, Chief Executive Officer &amp; Chairman</t>
  </si>
  <si>
    <t>+1 (832) 402-1051</t>
  </si>
  <si>
    <t>mwalker@directdigitalholdings.com</t>
  </si>
  <si>
    <t>Houston, TX</t>
  </si>
  <si>
    <t>1177 West Loop South</t>
  </si>
  <si>
    <t>Suite 1310</t>
  </si>
  <si>
    <t>Houston</t>
  </si>
  <si>
    <t>77027</t>
  </si>
  <si>
    <t>Mr. Mark Walker is a Co-Founder and serves as Chief Executive Officer &amp; Chairman at Direct Digital Holdings. He brings nearly 20 years of experience in private equity, building relationships and revenue-generating operations for Fortune 500 corporations as well as start-ups. His experience and expertise involves strategic planning, management and execution while building and maintaining subscriber bases for utilities, marketing and retail organizations. He has been on multiple advisory boards, including Hitwise and Dentsu Aegis and has written articles and case studies appearing in Jupiter Research, Search Engine Watch and the IAB.</t>
  </si>
  <si>
    <t>312665-86P</t>
  </si>
  <si>
    <t>Martin Murray</t>
  </si>
  <si>
    <t>LeapCharger</t>
  </si>
  <si>
    <t>Murray</t>
  </si>
  <si>
    <t>Martin</t>
  </si>
  <si>
    <t>+1 (360) 631-6022</t>
  </si>
  <si>
    <t>Marysville, WA</t>
  </si>
  <si>
    <t>24 Priest Point Drive North East</t>
  </si>
  <si>
    <t>Marysville</t>
  </si>
  <si>
    <t>98271</t>
  </si>
  <si>
    <t>Effective April 30, 20114, Martin Murray, appointed as Director, Chief Financial Officer and Treasurer. Mr. Murray is a founder and managing partner of Murray and Josephson, CPAs, LLC. Previously, he was an audit manager with Eisner LLP, one of the northeast's leading regional accounting firms. His clients have included Michael Bloomberg, Christy Turlington and Academy Award-winning director George Roy Hill. He is a member of the tax section of the American Institute of Certified Public Accountants and The New York State Society of Certified Public Accountants, where he served on the health care committee. Mr. Murray earned his MBA in taxation from Baruch College, where he also earned his BBA in Accountancy.</t>
  </si>
  <si>
    <t>194987-08P</t>
  </si>
  <si>
    <t>Matthew Bishop</t>
  </si>
  <si>
    <t>Core Scientific (Former)</t>
  </si>
  <si>
    <t>Bishop</t>
  </si>
  <si>
    <t>Matthew</t>
  </si>
  <si>
    <t>Mr. Matthew Bishop served as Board Member at Core Scientific. Mr. Matthew Bishop served as Chief Administrative Officer at CoreScientific. He was the Corporate Vice President, Strategy and Operations of Microsoft's world-wide commercial business. He led the strategic development of Microsoft's go-to-market approach, and created a world-class sales force focused on how the Intelligent Cloud and Intelligent Edge will drive digital transformation. He and his team developed Machine Learning and Artificial Intelligence to provide sales analytics insights and led strategic initiatives across commercial businesses including acquisition integration. He has led sales teams across Europe, the Middle East, and Africa. He received the Microsoft Chairman's Award from Bill Gates for his sales leadership. Prior to Microsoft, he supported the UK Prime Minister on cross-government strategy where he was an early strategist on inventing e-Government. In 2012, he was made an Officer of the Order of the British Empire (OBE) by the Queen of England for his voluntary work in protecting children online. Mr. Bishop graduated from the University of Southampton with a BS in Engineering.</t>
  </si>
  <si>
    <t>15192-28P</t>
  </si>
  <si>
    <t>Max Levchin</t>
  </si>
  <si>
    <t>Levchin</t>
  </si>
  <si>
    <t>Max</t>
  </si>
  <si>
    <t>Founder &amp; Chief Executive Officer</t>
  </si>
  <si>
    <t>max.levchin@affirm.com</t>
  </si>
  <si>
    <t>Mr. Max Levchin is the Founder &amp; serves as Chief Executive Officer at Affirm. Mr. Levchin is a Co-Founder and serves as a General Partner at SciFi VC. He is an Angel Investor. He served as Board Member at Unity. He founded &amp; served as Chief Technology Officer PayPal Holdings. He serves as a Board Member at Polywork, Unity Technologies, MixPanel, and Quid. He serves as the Executive Chairman at Upwards Labs Holdings. He is an Advisor of Anchorage. He was an Advisor of Crunchyroll. Before Affirm, he co-founded and was the Chairman of Glow. In 2004, he founded Slide, a personal media-sharing service for social networking sites such as MySpace and Facebook, which he sold to Google in August 2010. Also in 2004, he helped start Yelp, where he was the first investor and Chairman of the Board from 2004 until 2015. He served as a Board member at Emerald Cloud Lab, Yahoo!, Yelp, and Evernote. In 2002, he was named to the Technology Review TR100 as one of the top 100 innovators in the world as well as Innovator of the Year. He earned his Bachelor of Science from the University of Illinois in Urbana-Champaign. He serves as a Limited Partner Advisor at Nyca Partners. He served as an Advisor at SignalFire.</t>
  </si>
  <si>
    <t>173693-35P</t>
  </si>
  <si>
    <t>Mehmet Koc</t>
  </si>
  <si>
    <t>Tupras (Former)</t>
  </si>
  <si>
    <t>Koc</t>
  </si>
  <si>
    <t>Mehmet</t>
  </si>
  <si>
    <t>+90 (0)216 531 0000</t>
  </si>
  <si>
    <t>Istanbul, Turkey</t>
  </si>
  <si>
    <t>Nakkastepe Azizbey Sokak Number 1</t>
  </si>
  <si>
    <t>Kuzguncuk</t>
  </si>
  <si>
    <t>Istanbul</t>
  </si>
  <si>
    <t>34674</t>
  </si>
  <si>
    <t>Turkey</t>
  </si>
  <si>
    <t>Mr. Ömer Koç serves as a Board Member &amp; Vice Chairman at Beko. He worked at Kofisa Trading for one year and completed his MBA at Columbia University in 1989. After working at Ramerica International Inc., he joined the Koç Group in 1990. He held various senior positions at Koç Holding including Finance Coordinator, Vice President, and President of the Energy Group. He became a Member of the Board of Directors in 2004 and Vice Chairman in May 2008. In February 2016, he was appointed as the Chairman of the Board of Directors of Koç Holding. He serves as the Vice President of the TÜSİAD High Advisory Council, Chairman of Tofaş, Tüpraş and Yapı Kredi Kültür Sanat Yayıncılık Board of Directors, and Member of the Board of Directors at other Koç Group companies. He is also the Chairman of the Turkish Educational Foundation Board of Trustees and Chairman of the Board of Directors of Geyre Foundation. He received his B.A. degree from Columbia University in 1985.</t>
  </si>
  <si>
    <t>35267-59P</t>
  </si>
  <si>
    <t>Michael Dell</t>
  </si>
  <si>
    <t>Dell Technologies</t>
  </si>
  <si>
    <t>Dell</t>
  </si>
  <si>
    <t>Michael</t>
  </si>
  <si>
    <t>Founder, Chief Executive Officer and Chairman</t>
  </si>
  <si>
    <t>+1 (512) 728-7800</t>
  </si>
  <si>
    <t>michael.dell@dell.com</t>
  </si>
  <si>
    <t>Round Rock, TX</t>
  </si>
  <si>
    <t>One Dell Way</t>
  </si>
  <si>
    <t>Round Rock</t>
  </si>
  <si>
    <t>78682</t>
  </si>
  <si>
    <t>Mr. Michael Dell is the Founder and serves as Chief Executive Officer and Chairman at Dell Technologies. Mr. Dell is an Angel Investor. He co-founded and served as Chairman &amp; Chief Executive Officerat at Dell-VMWare Tracking He is also the Founder of DFO Management. He builds the essential infrastructure for organizations to build their digital future, transform IT, and protect their most important information. In 1992, he became the youngest Chief Executive Officer ever to earn a ranking on the Fortune 500. He took Dell Technologies private in 2013, setting the stage to architect the largest technology deal in history with the combination of Dell, EMC, and VMware in 2016 and the subsequent relisting of Dell Technologies on the public markets in 2018. In 1998, he formed MSD Capital, now DFO Management, a private investment firm that exclusively manages the capital for the Dell family. In 1999, he and Susan Dell, established the Michael &amp; Susan Dell Foundation to accelerate opportunities for children growing up in urban poverty in the U.S., India, and South Africa. is an honorary member of the Foundation Board of the World Economic Forum and is an executive committee member of the International Business Council. He is also a member of the Technology Chief Executive Officer Council and the Business Roundtable. He serves on the advisory board of Tsinghua University's School of Economics and Management in Beijing, China, and the governing board of the Indian School of Business in Hyderabad, India. He is a board member of Catalyst and also served as the United Nations Foundation's first Global Advocate for Entrepreneurship. He has a Degree from the University of Texas, Austin.</t>
  </si>
  <si>
    <t>257374-99P</t>
  </si>
  <si>
    <t>Michael Rolnick</t>
  </si>
  <si>
    <t>Chain Bridge I (Former)</t>
  </si>
  <si>
    <t>Rolnick</t>
  </si>
  <si>
    <t>+1 (212) 891-2100</t>
  </si>
  <si>
    <t>michael@chainbg.com</t>
  </si>
  <si>
    <t>875 Third Avenue</t>
  </si>
  <si>
    <t>10022</t>
  </si>
  <si>
    <t>Mr. Michael Rolnick serves as Senior Managing Director at Cerebrus Califfornia LLC. He also served as Chief Executive Officer at Chain Bridge I. Mr. Rolnick currently serves as a Managing Member of Baileyana, a vehicle launched in 2009 that invests in private technology companies. Since 2013, Mr. Rolnick has been a Senior Advisor to Blockchain Capital. Additionally, he served as a Senior Advisor to the Michael Bloomberg 2020 presidential campaign. In 2015, Mr. Rolnick co-founded Cadence13 and served as Executive Chairman until it was acquired in 2020 by Entercom Communications (New York Stock Exchange: ETM). Prior to Cadence13, Mr. Rolnick held a number of senior operating roles, including Chief Executive Officer of UNIFI Labs and Chief Digital Officer at NewsCorp/Dow Jones. In 2011, Mr. Rolnick co-founded Playstudios, which announced its acquisition by Acies Acquisition Corporation (Nasdaq: ACAC) in February 2021. Previously, Mr. Rolnick was a Managing General Partner for more than a decade at ComVentures, a leading venture capital firm focused on investments in internet infrastructure and communications companies. Prior to ComVentures, Mr. Rolnick was Vice President of Corporate Development and New Ventures at E*Trade. Mr. Rolnick served on the board of directors of Ahura Scientific (acquired by Thermo Fisher Scientific, New York Stock Exchange: TOM), IntruVert Networks (acquired by McAfee, Nasdaq: MCFE), Kagoor Networks (acquired by Juniper Networks, New York Stock Exchange: JNPR), P-Cube (acquired by Cisco Systems, Nasdaq: CSCO) and Vyatta (acquired by Brocade Communications Systems). Mr. Rolnick served as lead investor in Archipelago Holdings (New York Stock Exchange: AX), Critical Path (Nasdaq: CPTH), and Digital Island (Nasdaq: ISLD). Mr. Rolnick was named to the Forbes Midas Touch list multiple times as a top dealmaker in technology. Mr. Rolnick received his Master of Business Administration degree from the University of Michigan, Master of Science degree in Economics from the London School of Economics and Political Science, and Bachelor of Arts degree in Political Science from the University of Michigan.</t>
  </si>
  <si>
    <t>137255-05P</t>
  </si>
  <si>
    <t>Miriem Bensalah Chaqroun</t>
  </si>
  <si>
    <t>Eutelsat Communications (Former)</t>
  </si>
  <si>
    <t>Bensalah Chaqroun</t>
  </si>
  <si>
    <t>Miriem</t>
  </si>
  <si>
    <t>Ms. Miriem Bensalah Chaqroun served as Board Member at Eutelsat Communications. Miriem Bensalah Chaqroun graduated from ESC Paris and is the holder of an MBA in International Trade and Finance from the University of Dallas (USA). She began her career at Société Marocaine de Dépôt et Crédit (SMDC) in the Securities Department. In 1990, she joined Holmarcom Group, where she currently sits at the Board, and she is the CEO of the subsidiary Eaux Minérales d'Oulmès. She is also Director and Chairwoman of the Audit Committee of Bank Al Maghrib and Director of the Morocco Central Bank. M. Bensalah Chaqroun is also Director of the Mohammed VI Foundation, Chairwoman of the Euro-Mediterranean Board for Mediation and Arbitration, member of the Arab Business Council (ABC), member of the Management Board of the Moroccan British Business Leader Forum (MBBLF), member of the Young Presidents' Organization (YPO), member of the Al Akhawayn University Board and Director of Care International Maroc. Since May 2012, the President of the Confédération Générale des Entreprises du Maroc (CGEM), the Moroccan employers' federation, and she is the first woman ever performing this function in the MENA region. Furthermore, M. Bensalah Chaqroun is a member of the ONG-US "Initiative for Global Development" (IGD-USA) Board.</t>
  </si>
  <si>
    <t>57286-99P</t>
  </si>
  <si>
    <t>Mukesh Ambani</t>
  </si>
  <si>
    <t>Reliance Industries</t>
  </si>
  <si>
    <t>Ambani</t>
  </si>
  <si>
    <t>Mukesh</t>
  </si>
  <si>
    <t>Chairman &amp; Managing Director</t>
  </si>
  <si>
    <t>+91 (0)22 2278 5000</t>
  </si>
  <si>
    <t>mukesh.ambani@ril.com</t>
  </si>
  <si>
    <t>3rd Floor, Maker Chambers IV, 222</t>
  </si>
  <si>
    <t>Nariman Point</t>
  </si>
  <si>
    <t>+91 (0)22 2204 2268</t>
  </si>
  <si>
    <t>Dr. Mukesh Ambani serves as Chairman &amp; Managing Director at Reliance Industries. Mr. Ambani co-founded EPIC Television Network. He is an Angel Investor. He serves as Co-Chief Executive Officer at Jio. He also serves as Investor at Breakthrough Energy. He served as the Co-Owner and serves as Managing Director at Jio. He also served as Chairman at Jio. He is the Founder of Reliance Retail. He previously served as Chairman of the company. He also serves as President &amp; Chairman of the Board at Pandit Deendayal Energy University. He has been on the Board of Reliance since 1977. He initiated Reliance's backward integration journey - from textiles to polyester fiber and further onto petrochemicals and petroleum refining and going upstream into oil and gas exploration and production. He created multiple new world-class manufacturing facilities involving diverse technologies that have raised Reliance's petrochemicals manufacturing capacities from less than a million tonnes to about 21 million tonnes per year. In the late nineties, He spearheaded the creation of the world's largest grassroots petroleum refinery at Jamnagar in Gujarat, India, with a capacity of 660,000 barrels per day (33 million tonnes a year), and integrated it with petrochemicals, power generation, port, and related infrastructure. Further, he steered the setting up of another 580,000 barrels per day refinery next to the first one in Jamnagar. With an aggregate refining capacity of 1.24 million barrels of oil per day at a single location, Jamnagar has become the refining hub of the world. He also led Reliance's development of infrastructure facilities and implementation of a pan-India organized retail network spanning multiple formats and supply chain infrastructure. Today, Reliance Retail is the largest organized retail player in India. He served as an Advisor at The Raine Group. He has created global records in customer acquisition for Jio, Reliance's digital services initiative. He led and established one of the world's most expansive 4G broadband wireless networks, offering end-to-end solutions that address the entire value chain across various digital services in key domains of national interest, such as education, healthcare, security, financial services, government-citizen interfaces, and entertainment. He is a member of the Foundation Board of the World Economic Forum. He is an elected Foreign Member of the prestigious United States National Academy of Engineering. He is a member of the Global Advisory Council of Bank of America. He is also a member of the International Advisory Council of the Brookings Institution. He is a Chemical Engineer from the University of Bombay and pursued an MBA from Stanford University, USA.</t>
  </si>
  <si>
    <t>92870-74P</t>
  </si>
  <si>
    <t>Nadav Zafrir</t>
  </si>
  <si>
    <t>Zafrir</t>
  </si>
  <si>
    <t>Nadav</t>
  </si>
  <si>
    <t>nzafrir@checkpoint.com</t>
  </si>
  <si>
    <t>Nadav Zafrir, Chief Executive Officer of Check Point since December 2024, brings thirty years of experience in management, leadership, and technology innovation, Mr. Zafrir was previously the co-founder and Managing Partner of Team8 Labs Ltd., a global venture group that builds and backs technology companies at the intersection of artificial intelligence, cyber security, data, fin-tech, enterprise software, and infrastructure, since 2014. Prior to founding Team8, Nadav spent 20 years in the Israel Defense Forces. He served as Commander of Unit 8200, Israel's elite military technology unit, where he established the Israel Defense Forces Cyber Command. Mr. Zafrir is a director of Directors SolarEdge Technologies, Inc. He holds an LLB from the Interdisciplinary Center Herzliya (IDC) and an Executive MBA from the Kellogg - Recanati program of the Kellogg Graduate School of Business at Northwestern University in Chicago and the Recanati School of Business at Tel Aviv University.</t>
  </si>
  <si>
    <t>30420-91P</t>
  </si>
  <si>
    <t>Naguib Sawiris</t>
  </si>
  <si>
    <t>G Mining Ventures</t>
  </si>
  <si>
    <t>Sawiris</t>
  </si>
  <si>
    <t>Naguib</t>
  </si>
  <si>
    <t>+1 (450) 923-9176</t>
  </si>
  <si>
    <t>Brossard, Canada</t>
  </si>
  <si>
    <t>5025 Lapinière Boulevard</t>
  </si>
  <si>
    <t>10th Floor, Suite 1050</t>
  </si>
  <si>
    <t>Brossard</t>
  </si>
  <si>
    <t>Quebec</t>
  </si>
  <si>
    <t>J4Z 0N5</t>
  </si>
  <si>
    <t>Mr. Naguib Sawiris serves as Chief Executive Officer at Koryolink. Mr. Sawiris serves as Chairman of Orascom TMT Investments. He served as an Advisor at HOF Capital. He serves as Board Member at Endeavour Mining. He also served as Managing director and Chief Executive Officer at Orascom Investment Holding. He served as Board Member at Evolution Mining. Previously, he founded Orascom Telecom Holdings and led it to become the leading regional telecom player until it merged with VimpelCom, creating the world's 5th largest mobile telecom provider in April 2011. As part of the merger deal, Naguib spun off Orascom Telecom's non-GSM operations and Egyptian-based telecom assets into Orascom TMT. Naguib serves on a number of Boards, Committees, and Councils, including the Advisory Committee to the NYSE Board of Directors, the International Advisory Board to the National Bank of Kuwait, the Egyptian Council for Foreign Affairs, and the Arab Thought Foundation. Naguib is also the recipient of numerous honorary degrees, industry awards, and civic honors, including the "Legion d'honneur," the highest award given by the French Republic for outstanding services rendered to France. In July 2011, he was awarded the Honor of Commander of the Order of the "Stella della Solidarietà Italiana" (Star of Italian Solidarity). In 2006, the prestigious "Sitara-e-Quaid-e-Azam" award was conferred upon him by General Pervez Musharraf for services rendered to the people of Pakistan in the field of telecom, investments, and social sector work. Naguib holds a diploma in Mechanical Engineering with a Masters in Technical Administration from the Swiss Federal Institute of Technology (ETH Zürich).</t>
  </si>
  <si>
    <t>435181-69P</t>
  </si>
  <si>
    <t>Orascom Development Holding</t>
  </si>
  <si>
    <t>+41 (0)41 874 1717</t>
  </si>
  <si>
    <t>Altdorf, Switzerland</t>
  </si>
  <si>
    <t>Gotthardstrasse 12</t>
  </si>
  <si>
    <t>Altdorf</t>
  </si>
  <si>
    <t>6460</t>
  </si>
  <si>
    <t>Mr. Naguib Sawiris serves as Chairman at Orascom Development. He drives the asset management of a multinational private investment portfolio, and he is an active venture technology investor. Mr. Sawiris serves as the Chairman of the Board at Orascom Development Holding AG (May 2022 - present). Mr. Sawiris served as Vice Chairman of the Board at Orascom Development Holding AG (2020 - May 2022) and Board Member (2016 - 2020), as well as Board Member at Andermatt Swiss Alps AG (2020 - present). He also serves as Key Shareholder Representative at FTI Touristik GmbH (2021 - present) and Board Member of Tawkify (2019 - present). Mr. Sawiris is Founding Chairman of the Board of Trustees at Egyptian Leadership Academy (2021 - present), the first non-profit, boarding high school in Egypt. Mr. Sawiris was Founder and CEO at Yup Technologies Inc., an education technology company based in San Francisco (2013 - 2020) and serves as its Chairman of the Board (2020 - present). He attended Stanford University, majoring in Economic and Enterprise Engineering.</t>
  </si>
  <si>
    <t>217439-47P</t>
  </si>
  <si>
    <t>Nairn Nerland</t>
  </si>
  <si>
    <t>RenoWorks Software</t>
  </si>
  <si>
    <t>Nerland</t>
  </si>
  <si>
    <t>Nairn</t>
  </si>
  <si>
    <t>+1 (403) 296-3880</t>
  </si>
  <si>
    <t>Calgary, Canada</t>
  </si>
  <si>
    <t>2721 Hopewell Pl. North East</t>
  </si>
  <si>
    <t>2nd Floor</t>
  </si>
  <si>
    <t>Calgary</t>
  </si>
  <si>
    <t>Alberta</t>
  </si>
  <si>
    <t>T1Y 7J7</t>
  </si>
  <si>
    <t>+1 (403) 296-3886</t>
  </si>
  <si>
    <t>Mr. Nairn Nerland is a director. He was also the President of RenoWorks from August 2002 until May 26, 2006 and the Chief Financial Officer of RenoWorks from August 2002 until February 26, 2008. He is a Chartered Accountant with over 29 years of financial and senior management experience. Mr. Nerland is currently the CEO of EFW Radiology, a Calgary based medical diagnostic imaging partnership. Prior to this, Mr. Nerland was the CEO of Anagram Inc., a private creative and consulting services company. Prior to that, Mr. Nerland was the Executive Vice President Marketing and Technology and a member of the executive team for Corbis. Mr. Nerland also served as the General Manager of Veer.com, a division of Corbis, prior to his appointment as Executive Vice President. He also served as the Chief Financial Officer of Veer Corporation until November 2007 when Veer was purchased by Corbis, a privately held company wholly owned by Bill Gates.</t>
  </si>
  <si>
    <t>57146-68P</t>
  </si>
  <si>
    <t>Nassef Sawiris</t>
  </si>
  <si>
    <t>Adidas</t>
  </si>
  <si>
    <t>Nassef</t>
  </si>
  <si>
    <t>+49 (0)91 3284 0</t>
  </si>
  <si>
    <t>Herzogenaurach, Germany</t>
  </si>
  <si>
    <t>Adi-Dassler-Strasse 1</t>
  </si>
  <si>
    <t>Herzogenaurach</t>
  </si>
  <si>
    <t>91074</t>
  </si>
  <si>
    <t>Germany</t>
  </si>
  <si>
    <t>Mr. Nassef Sawiris residing in London, United Kingdom born on January 19, 1961 Member of the Supervisory Board since June 15, 2016 Executive Chairman and Member of the Board of Directors, OCI N.V., Amsterdam, The Netherlands Membership in comparable domestic and foreign controlling bodies of commercial enterprises: - CEO of Avanti Acquisition Corp., New York, USA. He is a Co-Owner and serves as Board Member at V Sports.</t>
  </si>
  <si>
    <t>404271-28P</t>
  </si>
  <si>
    <t>Orascom Construction</t>
  </si>
  <si>
    <t>Chief Executive Officer &amp; Chairman, Egypt</t>
  </si>
  <si>
    <t>+971 (0)4 318 0900</t>
  </si>
  <si>
    <t>Dubai, United Arab Emirates</t>
  </si>
  <si>
    <t>Office 301-3, Level 3, Gate Village 1</t>
  </si>
  <si>
    <t>Dubai International Financial Centre, PO Box 507031</t>
  </si>
  <si>
    <t>Dubai</t>
  </si>
  <si>
    <t>Mr. Nassef Sawiris serves as Chief Executive Officer &amp; Chairman, Egypt at Orascom Construction.</t>
  </si>
  <si>
    <t>147361-78P</t>
  </si>
  <si>
    <t>Nathaniel Rothschild</t>
  </si>
  <si>
    <t>Volex</t>
  </si>
  <si>
    <t>Rothschild</t>
  </si>
  <si>
    <t>Nathaniel</t>
  </si>
  <si>
    <t>Executive Chairman</t>
  </si>
  <si>
    <t>+44 (0)20 8017 3240</t>
  </si>
  <si>
    <t>nat.rothschild@volex.com</t>
  </si>
  <si>
    <t>10 Eastbourne Terrace</t>
  </si>
  <si>
    <t>W2 6LG</t>
  </si>
  <si>
    <t>Mr. Nathaniel Rothschild serves as Executive Chairman at Volex. He has extensive experience in principal investing and corporate finance and has held a significant number of directorships over the years. Through his investment company NR Holdings Ltd, he is the largest shareholder in Volex plc. He holds a degree in History from Oxford University and an MSc in Addiction Studies from King's College London. He was appointed as a Foundation Fellow of Wadham College, Oxford, in 2018.</t>
  </si>
  <si>
    <t>35842-15P</t>
  </si>
  <si>
    <t>Nir Zuk</t>
  </si>
  <si>
    <t>Palo Alto Networks (Former)</t>
  </si>
  <si>
    <t>Zuk</t>
  </si>
  <si>
    <t>Nir</t>
  </si>
  <si>
    <t>Founder, Chief Technology Officer &amp; Board Member</t>
  </si>
  <si>
    <t>nzuk@paloaltonetworks.com</t>
  </si>
  <si>
    <t>Santa Clara, CA</t>
  </si>
  <si>
    <t>3000 Tannery Way</t>
  </si>
  <si>
    <t>Santa Clara</t>
  </si>
  <si>
    <t>95054</t>
  </si>
  <si>
    <t>Mr. Nir Zuk is the Founder and serves as Chief Technology Officer &amp; Board Member at Palo Alto Networks. He serves as Partner at Bariks Health. He is an Angel Investor. He brings a wealth of network security expertise and industry experience to Palo Alto Networks. Prior to co-founding Palo Alto Networks, He was CTO at NetScreen Technologies, which was acquired by Juniper Networks in 2004. Prior to NetScreen, He was co-founder and CTO at OneSecure, a pioneer in intrusion prevention and detection appliances. He was also a principal engineer at Check Point Software Technologies, and was one of the developers of stateful inspection technology. He holds BS (Bachelor of Science) in Mathematics fromTel Aviv University.</t>
  </si>
  <si>
    <t>66860-38P</t>
  </si>
  <si>
    <t>Nita Ambani</t>
  </si>
  <si>
    <t>The Oberoi Group</t>
  </si>
  <si>
    <t>Nita</t>
  </si>
  <si>
    <t>Non-Executive Director</t>
  </si>
  <si>
    <t>+91 (0)11 2389 0505</t>
  </si>
  <si>
    <t>Kolkata, India</t>
  </si>
  <si>
    <t>4, Mangoe Lane</t>
  </si>
  <si>
    <t>Kolkata</t>
  </si>
  <si>
    <t>West Bengal</t>
  </si>
  <si>
    <t>700001</t>
  </si>
  <si>
    <t>+91 (0)11 2389 0575</t>
  </si>
  <si>
    <t>Ms. Nita Ambani serves as a Board Member at Reliance Industries and Viacom18 Media. She also serves as the Chairperson of JioHotstar. Ms. Ambani is the Chairperson of Reliance Foundation, Chairperson of Dhirubhai Ambani International School and Chairperson of IMG-Reliance Joint Venture. She has made significant contributions to the social sector, especially in education, healthcare, environmental protection and sports. Nita Ambani provides leadership to 12 schools that educate 15,000 children and is leading the new world-class university being set up by Reliance Foundation. The 'Drishti' project initiated by her has accomplished over 9,400 corneal transplants. She is leading the modernization of Sir H N Hospital in Mumbai and transforming it into a world-class hospital to provide quality and affordable healthcare. She is the architect of the cricket team 'Mumbai Indians and the spirit behind the Mumbai Indians' Education for All initiative which supports five partner NGOs: Akanksha, Nanhi Kali, Pratham, Teach for India, and Ummeed. She also serves as Non-Executive Director at The Oberoi Group.</t>
  </si>
  <si>
    <t>98461-54P</t>
  </si>
  <si>
    <t>Noam Gottesman</t>
  </si>
  <si>
    <t>Nomad Foods</t>
  </si>
  <si>
    <t>Gottesman</t>
  </si>
  <si>
    <t>Noam</t>
  </si>
  <si>
    <t>+1 (284) 852-7900</t>
  </si>
  <si>
    <t>Road Town, British Virgin Islands</t>
  </si>
  <si>
    <t>Nemours Chambers</t>
  </si>
  <si>
    <t>Road Town</t>
  </si>
  <si>
    <t>VG1110</t>
  </si>
  <si>
    <t>British Virgin Islands</t>
  </si>
  <si>
    <t>Mr. Noam Gottesman is a Co-Founder &amp; serves as Board Member at Nomad Foods (Food Products). Mr. Gottesman is the Founder and serves as Managing Partner at TOMS Capital LLC, which he founded in 2012. Mr. Gottesman is also co-CEO and director and founder of Go Acquisition Corp., a Delaware blank check company. Mr. Gottesman served as Board Member at Radius Global Infrastructure Inc. (previously known as Digital Landscape Group, Inc. and prior to that known as Landscape Acquisition Holdings Limited), a global aggregator of real property interests underlying wireless telecommunications cell sites. Mr. Gottesman was the co-founder of GLG Partners Inc. and its predecessor entities where he served in various chief executive capacities until January 2012. Mr. Gottesman served as GLG's chief executive officer from September 2000 until September 2005, and then as its co-chief executive officer from September 2005 until January 2012. Mr. Gottesman was also chairman of the board of GLG following its merger with Freedom Acquisition Holdings Inc. and prior to its acquisition by Man Group plc. Mr. Gottesman co-founded GLG as a division of Lehman Brothers International (Europe) in 1995 where he was a Managing Director. Prior to 1995, Mr. Gottesman was an executive director of Goldman Sachs International, where he managed global equity portfolios in the private client group.</t>
  </si>
  <si>
    <t>311094-64P</t>
  </si>
  <si>
    <t>Padmini Sekhsaria</t>
  </si>
  <si>
    <t>Vedanta Resources (Former)</t>
  </si>
  <si>
    <t>Sekhsaria</t>
  </si>
  <si>
    <t>Padmini</t>
  </si>
  <si>
    <t>Independent Director, Vedanta Limited</t>
  </si>
  <si>
    <t>+91 (0)22 6750 3500</t>
  </si>
  <si>
    <t>122, Maker Chambers III</t>
  </si>
  <si>
    <t>Ms. Padmini Sekhsaria serves as Principal at The Narotam Sekhsaria Family Office. She also serves as Managing Director and Board Member at Madhurima International. Ms. Sekhsaria also serves as Independent Director, Vedanta Limited at Vedanta Resources. She is also, the Vice Chairperson of Everest industries, a new age building solutions company.
Ms. Sekhsaria is the founder of the Salaam Bombay Foundation and heads the Narotam Sekhsaria Foundation - non-profits that work in the space of youth, health, education, livelihood, art and culture and rural development. She sits on the board of several global organisations, including the India Youth Fund, Harvard T.H. Chan School of Public Health, India Research Center. She has received numerous recognitions, including from the World Health Organisation and the Mayor's citation from Mr. Michael Bloomberg. She is an alumnus of the London School of Economics and London Business School. She has an M.Sc. in Financial Economics.</t>
  </si>
  <si>
    <t>94251-07P</t>
  </si>
  <si>
    <t>Pansy Ho</t>
  </si>
  <si>
    <t>MGM China Holdings</t>
  </si>
  <si>
    <t>Ho</t>
  </si>
  <si>
    <t>Pansy</t>
  </si>
  <si>
    <t>Chairman &amp; Member of the Remuneration Committee and Executive Director</t>
  </si>
  <si>
    <t>+853 8806 7811</t>
  </si>
  <si>
    <t>pansyho@shuntakgroup.com</t>
  </si>
  <si>
    <t>Macao, Macau</t>
  </si>
  <si>
    <t>Avenida Dr. Sun Yat Sen</t>
  </si>
  <si>
    <t>Edificio MGM MACAU NAPE</t>
  </si>
  <si>
    <t>Macao</t>
  </si>
  <si>
    <t>999078</t>
  </si>
  <si>
    <t>Macau</t>
  </si>
  <si>
    <t>Ms. Pansy Ho serves as Managing Director &amp; Group Executive Chairman at Shun Tak Holdings. Ms. Ho serves as Chairman &amp; Member of the Remuneration Committee and Executive Director at MGM China Holdings. She joined the Group as an executive director in 1995 and was appointed the managing director in 1999 and the group executive chairman in 2017 to oversee the Group's overall strategic development and management. She is also the chairman of the executive committee and the nomination committee, a member of the remuneration committee of the Company; and a director of a number of subsidiaries of the Company. Ms. Ho is the Vice Chairman, Chief Executive Officer, and a Director of the board of Shun Tak - China Travel Shipping Investments Limited and the chairman of its executive committee, and is directly in charge of the Group's transportation businesses, which include ferry and coach operations. She is a director of Shun Tak Shipping Company, Limited*, Renita Investments Limited*, Oakmount Holdings Limited*, Beeston Profits Limited*, Classic Time Developments Limited* and Megaprosper Investments Limited*, the chairman of Macau Tower Convention &amp; Entertainment Centre, a director of Air Macau Company Limited and vice-chairman of Macau International Airport Company Limited. She is also the Vice-Chairman and a non-executive director of Phoenix Media Investment (Holdings) Limited and an independent non-executive director of the board of China Southern Airlines Company Limited, all are listed on the Main Board of The Stock Exchange of Hong Kong Limited (the "Stock Exchange"). In addition, she is the chairman of the board of directors of Estoril-Sol, SGPS, S.A. which is a Portuguese-listed gaming company. She was an independent non-executive director of Sing Tao News Corporation Limited, which is listed on the Main Board of the Stock Exchange. Ms. Ho is an Angel Investor. She has a Bachelor's degree in marketing and international business management from Santa Clara University in the United States. She received an Honorary Doctorate Degree in Business Administration from the Johnson and Wales University in May 2007.</t>
  </si>
  <si>
    <t>400781-26P</t>
  </si>
  <si>
    <t>Pasqualino Monti</t>
  </si>
  <si>
    <t>ENAV</t>
  </si>
  <si>
    <t>Monti</t>
  </si>
  <si>
    <t>Pasqualino</t>
  </si>
  <si>
    <t>+39 06 8166 1</t>
  </si>
  <si>
    <t>Rome, Italy</t>
  </si>
  <si>
    <t>Via Salaria, 716</t>
  </si>
  <si>
    <t>Rome</t>
  </si>
  <si>
    <t>00138</t>
  </si>
  <si>
    <t>Mr. Pasqualino Monti, Director and Chief Executive Officer. Degree in Statistical and Economic Sciences - Economics and Business with a Statistics-Economics specialisation, from La Sapienza University of Rome; Master's degree in Banking and Finance from the CUOA Foundation. Formerly a Business &amp; Financial Planning, Investment Banking and Management Control advisor for a number of companies and advisor for Finanziaria Laziale di Sviluppo, in 2005 he was appointed Chief Executive of the Administrative Area (Budget, Finance and Staff) of the Civitavecchia Port Authority, of which he became Chair in June 2011. In July 2013, he became Chair of Assoporti, the Association of Italian Ports, of which he had been Deputy Vice-Chair since July 2012 and remained in office as Chair until April 2017. From 2015 to 2016, he was appointed by Prime Minister Mario Draghi as Special Commissioner at the Civitavecchia Port Authority with the task of unblocking 57 works vital to the Country revival, and participated in drafting the new law on the reorganisation of the Italian port system. In 2014 in Washington, he was awarded the International Business Award by NIAF, the National Italian American Foundation. He is Chair of the Port System Authority of the Western Sicily Sea, which includes the ports of Palermo, Termini Imerese, Trapani and Porto Empedocle. He is an adjunct professor in Supply Chain Management Mod. II at the University of Naples Parthenope and keynote speaker at numerous national and international conferences in the areas of his specialisation, as well as at cultural events organised by Institutions and Research Organisations. In 2023, he was appointed as an external member of the Board of Directors of the University of Palermo. He has been CEO of ENAV since 28 April 2023.</t>
  </si>
  <si>
    <t>232502-05P</t>
  </si>
  <si>
    <t>Paul Hopper</t>
  </si>
  <si>
    <t>Scopus BioPharma (Former)</t>
  </si>
  <si>
    <t>Hopper</t>
  </si>
  <si>
    <t>Paul</t>
  </si>
  <si>
    <t>Board Member &amp; Chairman</t>
  </si>
  <si>
    <t>Mr. Paul Hopper serves as Director &amp; Co-Chairman at Scopus BioPharma. Previously, Mr. Hopper was Executive Chairman of Bioscience Oncology Pty., Ltd. Mr. Hopper is a highly accomplished biotechnology and biopharmaceutical investor and entrepreneur. Mr. Hopper has been a founder, chairman, senior officer and/or director of numerous private and publicly-traded biotechnology, biopharmaceutical and other healthcare-related companies in the United States and Australia, including: Imugene Limited, a clinical-stage immuno-oncology company publicly-traded on the Australian Securities Exchange, or ASX (ASX: "IMU"); Viralytics Ltd., an immuno-oncology company targeting treatments for metastatic melanoma and other cancers, which was publicly-traded on the ASX prior to the company's sale to Merck &amp; Co. (NYSE: "MRK") in 2018 for A$502 million (or approximately US$394 million at the time of sale); and Polynoma LLC, an immuno-oncology company developing a novel polyvalent antigen therapy for the treatment of melanoma, in which a controlling stake was sold to CK Life Sciences International (Holdings) Inc., a publicly-traded company on the Hong Kong Stock Exchange (HK: "0775") and a subsidiary of Cheung Kong (Holdings) Limited, a Hong Kong multinational conglomerate now part of CK Hutchinson Holdings Limited, the Chairman of which was Li Ka-shing. Mr. Hopper is Chairman of the Life Sciences Portfolio Managers Trust. Mr. Hopper received a B.A. from the University of New South Wales in Sydney, Australia and has completed several Advanced Management Programs at Harvard Business School.</t>
  </si>
  <si>
    <t>85967-02P</t>
  </si>
  <si>
    <t>Peter Brown</t>
  </si>
  <si>
    <t>Primoris Services (Former)</t>
  </si>
  <si>
    <t>Brown</t>
  </si>
  <si>
    <t>Peter</t>
  </si>
  <si>
    <t>Board Member, Chairman of the Audit Committee &amp; Member of the Compensation Committee</t>
  </si>
  <si>
    <t>Mr. Peter Brown serves as a Board Member, Chairman of the Audit Committee &amp; Member of the Compensation Committee at Primoris Services. He has served from 1974 to 2005 as President at Brown Armstrong Accountancy Corporation, a regional provider of tax, audit, consulting and business services headquartered in Bakersfield, California and is a retired partner. Mr. Brown received a B.S. in Accounting from the University of Arizona. He is a member of the American Institute of Certified Public Accountants, the California Society of Certified Public Accountants and the Colorado Society of Certified Public Accountants.</t>
  </si>
  <si>
    <t>74055-25P</t>
  </si>
  <si>
    <t>Rishad Premji</t>
  </si>
  <si>
    <t>Rishad</t>
  </si>
  <si>
    <t>+1 (802) 844-0011</t>
  </si>
  <si>
    <t>rishad.premji@wipro.com</t>
  </si>
  <si>
    <t>Mr. Rishad Premji serves as Executive Chairman at Wipro. Mr. Premji also serves as Chief Strategy Officer &amp; Head of Investor Relations at Wipro Ventures. In his role, he also leads the Investor Relations &amp; Corporate Affairs functions for the company. Since joining Wipro in 2007, he has been instrumental in shaping Wipro's strategy and aligning it with the future business landscape. He championed Wipro's entry into the Origination and Loan Servicing space as an end-to-end provider of Mortgage solutions. This led to the acquisition of Gallagher Financial Systems (now called Wipro Gallagher Solutions). In the BFSI space, Rishad also spearheaded the integration of Citi Technology Services following Wipro's acquisition of the Citibank captive in the application and infrastructure space. As Head of Investor Relations and Corporate Affairs, he has helped significantly scale up the systems, processes, and interactions with both internal and external stakeholders. Recently, he conceptualized Wipro Ventures - a $100M fund to invest in start-ups developing technologies and solutions that will complement Wipro's businesses through next-generation solutions and products. Prior to joining Wipro, Rishad was with Bain &amp; Company in London, working on assignments across Consumer Products, Automobiles, Telecom, and Insurance. He also worked with GE Capital in the US across several businesses throughout the Insurance and Consumer Lending space and is a graduate of GE's Financial Management Program (FMP). Rishad is on the Board of Wipro Enterprises Limited, a leading player in the FMCG &amp; Infrastructure Engineering space with sales of ~$1B. He is also on the board of Wipro-GE, a joint venture between Wipro and General Electric in the healthcare domain, and on the board of the Azim Premji Foundation. The foundation is one of the largest not-for-profit initiatives in India focused on improving school education working with over 350,000 schools across the country. Rishad has an MBA from Harvard Business School and a BA in Economics from Wesleyan University in the US. He has also spent a year at the London School of Economics where he was part of the General Course Program.</t>
  </si>
  <si>
    <t>265170-25P</t>
  </si>
  <si>
    <t>Robert Mercer</t>
  </si>
  <si>
    <t>Nature's Sunshine Products (Former)</t>
  </si>
  <si>
    <t>Mercer</t>
  </si>
  <si>
    <t>Robert</t>
  </si>
  <si>
    <t>Mr. Robert Mercer serves as Board Member at Nature's Sunshine Products. He has served on the Board since 2010, and currently serves on the Audit Committee and as Chairman of the Governance Committee. Mr. Mercer served as Vice President Dealer Operations for Mazda North America from 2007 to 2009, as Vice President, General Counsel and Secretary for Mazda North America from 2002 until 2007, and as Senior Vice President, Government and Industry Relations, and General Counsel and Secretary for Volvo North America for approximately 20 years prior. While at Mazda, Mr. Mercer was a member of its Executive and Audit Committees, and was also responsible for Internal Audit. He has been elected to several corporate and charitable boards, and currently serves as Chairman of the Board of Chancellors of the Mountain Valley Chapter of the Juvenile Diabetes Research Foundation (JDRF), and is also Secretary, and a member of the Board of Directors of the Joseph James Morelli Legacy Foundation. Previously, he was a member of the Board of Visitors of Duke Health, and was President, and a member of the Board of Directors of both the Mountain Valley Chapter of JDRF, and the Orange County, California Chapter of JDRF. Mr. Mercer received his J.D. from University of Maryland School of Law in 1976 and his B.A. from Duke University in 1973. The Governance Committee nominated Mr. Mercer to the Board because of its belief that he brings significant operational, legal and corporate governance experience to the Board, including experience with public, consumer-oriented companies, which supplements the Board's skills in these key areas.</t>
  </si>
  <si>
    <t>270245-44P</t>
  </si>
  <si>
    <t>Samuel Altman</t>
  </si>
  <si>
    <t>Oklo</t>
  </si>
  <si>
    <t>Altman</t>
  </si>
  <si>
    <t>Samuel</t>
  </si>
  <si>
    <t>+1 (650) 550-0127</t>
  </si>
  <si>
    <t>3190 Coronado Drive</t>
  </si>
  <si>
    <t>Sam Altman has served as AltC's Chief Executive Officer and a director on the AltC Board since July 2021 and as chairman of the Oklo Board since October 2015. Mr. Altman is also the co-founder of OpenAI, an artificial intelligence research and deployment company. Prior to joining OpenAI, Mr. Altman served as President of Y Combinator from February 2014 until March 2019. Mr. Altman currently serves as the Chairman of the board of directors of Y Combinator, a leading startup accelerator, and Helion Energy, Inc., and he serves on the board of directors of Expedia Group, Inc., Reddit, Inc. and Bridgetown Holdings Ltd. From January 2021 to March 2022, Mr. Altman was a director of Bridgetown 2 Holdings Ltd.</t>
  </si>
  <si>
    <t>57262-60P</t>
  </si>
  <si>
    <t>Satya Nadella</t>
  </si>
  <si>
    <t>Nadella</t>
  </si>
  <si>
    <t>Satya</t>
  </si>
  <si>
    <t>snadella@microsoft.com</t>
  </si>
  <si>
    <t>Mr. Satya Nadella serves as Chief Executive Officer &amp; Chairman at Microsoft. Mr. Nadella serves as Board Member and Member of Nominating and Corporate Governance Committee at Starbucks. Before being named CEO in February 2014, he held leadership roles in both enterprise and consumer businesses across the company. Before being named CEO in February 2014, Nadella held leadership roles in both enterprise and consumer businesses across the company. Joining Microsoft in 1992, he quickly became known as a leader who could span a breadth of technologies and businesses to transform some of Microsoft's biggest product offerings. Most recently, Nadella was executive vice president of Microsoft's Cloud and Enterprise group. In this role, he led the transformation to the cloud infrastructure and services business, which outperformed the market and took a share from the competition. Previously, Nadella led R&amp;D for the Online Services Division and was vice president of the Microsoft Business Division. Before joining Microsoft, Nadella was a member of the technology staff at Sun Microsystems. Originally from Hyderabad, India, Nadella lives in Bellevue, Washington. He earned a bachelor's degree in electrical engineering from Mangalore University, a master's degree in computer science from the University of Wisconsin-Milwaukee, and a master's degree in business administration from the University of Chicago. Nadella serves on the board of trustees of Fred Hutchinson Cancer Research Center and his alma mater, the University of Chicago, as well as the Starbucks board of directors.</t>
  </si>
  <si>
    <t>35600-77P</t>
  </si>
  <si>
    <t>Sergey Brin</t>
  </si>
  <si>
    <t>Brin</t>
  </si>
  <si>
    <t>Sergey</t>
  </si>
  <si>
    <t>Co-Founder, Board Member &amp; Member of the Executive Committee</t>
  </si>
  <si>
    <t>sergeyb@abc.xyz</t>
  </si>
  <si>
    <t>Mr. Sergey Brin is a Co-Founder and serves as Board Member and Member of the Executive Committee at Alphabet. Mr. Brin is a Co-Founder of X Development. He serves as Board Member at Verily Life Sciences. He is a Co-Founder and serves as President and Director at Alphabet. He is also a Co-Founder and served as President and Director of the Brin Wojcicki Foundation. He holds a Bachelor of Science (BS) degree in Mathematics and Computer Science from the University of Maryland and a Master of Science (MS) degree in Computer Science from Stanford University.</t>
  </si>
  <si>
    <t>40591-63P</t>
  </si>
  <si>
    <t>Sharmila Mulligan</t>
  </si>
  <si>
    <t>ConocoPhillips</t>
  </si>
  <si>
    <t>Mulligan</t>
  </si>
  <si>
    <t>Sharmila</t>
  </si>
  <si>
    <t>Board Member and Member of Audit, Finance, Human Resources and Compensation Committee</t>
  </si>
  <si>
    <t>+1 (281) 293-1000</t>
  </si>
  <si>
    <t>925 North Eldridge Parkway</t>
  </si>
  <si>
    <t>77252-2197</t>
  </si>
  <si>
    <t>Ms. Sharmila Mulligan serves as a Board Member and Member of Audit, Finance, Human Resources and Compensation Committee at ConocoPhillips. Mr. Mulligan is an Angel Investor. Ms. Sharmila Mulligan served as a Board Member at Lattice Engines. She served as Chief Strategy &amp; Marketing Officer at Alteryx. Sharmila joined Alteryx in the company's acquisition of ClearStory Data, a modern data analytics company where she served as chief executive officer (CEO). Since joining Alteryx, Sharmila has accelerated the company's strategy to meet the global demand for advanced analytics, making data science, machine learning and AI accessible to everyone. In addition, Sharmila supports customers and global partners in their digital transformation initiatives. Her deep knowledge of the data market, market convergence and the ecosystem led to the creation of the analytic process automation category. Prior to ClearStory Data, Sharmila was the chief marketing officer at Aster Data Systems (acquired by Teradata Corporation) and early on at Cloudera. She was also CMO and EVP at Opsware (founded by Marc Andreessen and Ben Horowitz and acquired by HP), Vice President at Netscape, Vice President at AOL and previously held roles at Microsoft, HP Software, and General Magic. She has driven the creation of several multi-billion-dollar market categories, including Application Servers, Data Center automation and Big Data analytics. Sharmila sits on the board of directors for ConocoPhillips and is an active investor and advisor to numerous technology companies. She also serves on the advisory board for several universities that are advancing their data and analytics programs. She is passionate about supporting women in business and leadership roles and co-leads the Alteryx People + Analytics initiative as well as a variety of STEM programs. Sharmila earned two bachelor's degrees in computer science and economics and received her master's degree in business administration from the Kellogg School of Management at Northwestern University.</t>
  </si>
  <si>
    <t>34055-92P</t>
  </si>
  <si>
    <t>Soopakij Chearavanont</t>
  </si>
  <si>
    <t>Charoen Pokphand Foods</t>
  </si>
  <si>
    <t>Chearavanont</t>
  </si>
  <si>
    <t>Soopakij</t>
  </si>
  <si>
    <t>+66 (0)2 7668000</t>
  </si>
  <si>
    <t>Bangkok, Thailand</t>
  </si>
  <si>
    <t>313 C.P. Tower, Silom Road</t>
  </si>
  <si>
    <t>Bangrak</t>
  </si>
  <si>
    <t>Bangkok</t>
  </si>
  <si>
    <t>10500</t>
  </si>
  <si>
    <t>Thailand</t>
  </si>
  <si>
    <t>+66 (0)2 6382139</t>
  </si>
  <si>
    <t>Mr. Soopakij Chearavanont, Education-Bachelor Degree - Business Administration, The College of Business and Public Administration of New York University. Director Training- Enrollment in Director Accreditation Program No. 92/2011, Thai Institute of Directors Association. Experiences- Chairman, Present Charoen Pokphand Group Co., Ltd. (Investment business), Present C.P. Pokphand Co., Ltd. (Investment in agro-industrial &amp; food business), Present Chia Tai Enterprises International Ltd. (Investment business), 2000-Present C.P. Lotus Corp. (Retail store business)- Director, 1993-Present True Corporation Plc. (Information technology &amp; communication), 2003-Present CP All Plc. (Convenience store business)</t>
  </si>
  <si>
    <t>147033-46P</t>
  </si>
  <si>
    <t>Stefan Meister</t>
  </si>
  <si>
    <t>Institut Straumann</t>
  </si>
  <si>
    <t>Meister</t>
  </si>
  <si>
    <t>Stefan</t>
  </si>
  <si>
    <t>+41 (0)61 965 1111</t>
  </si>
  <si>
    <t>Basel, Switzerland</t>
  </si>
  <si>
    <t>Peter Merian-Weg 12</t>
  </si>
  <si>
    <t>Basel</t>
  </si>
  <si>
    <t>4002</t>
  </si>
  <si>
    <t>+41 (0)61 965 1101</t>
  </si>
  <si>
    <t>Mr. Stefan Meister serves as Board Member at Institut Straumann. Mr. Meister served as Board Member and Vice-Chairman at B-FLEXION Capital Holdings. He served as Board Member at Boston Pharmaceuticals. He serves as Chairman at Affidea. He serves as Chairman at Stallergenes Greer. In September 2011, he took office as a Member of the Board of Directors and the Group Chief Operating Officer of Waypoint. He took operating leadership and now drives the strategic development of Waypoint, in close cooperation with the Board and Mr. Ernesto Bertarelli, its Chairman. He also sits on the Board of Affidea - formerly Euromedic - the leading provider of Advanced Diagnostics Imaging and Cancer Care services in Europe, as well as of Stallergenes-Greer, the worldwide leader in allergy immunotherapy. He joined Waypoint from Haniel Group where, over a 16-year period, he gathered extensive experience as the Group's CFO and Member of the Management Board, and as General Manager of group affiliates. He started his working career in 1991 at Novartis AG (Basel), holding various positions including a role as Head of Divisional Controlling. Since 2010 he has been a member of the Board of Directors of Straumann - a global leader in implant, restorative and regenerative dentistry. Since the autumn of 2010, he has been a member of the Advisory Board of BPN (Business Professionals Network) in Bern, which supports the development of small and medium enterprises in developing countries. He is also a Member of the Advisory Board of the Center for Leadership and Value in Society at the University of St. Gallen and a member of the "Schweizer Dialog", an initiative at the same university that aims to build a network of leaders in business and politics that aims to instill sustainable values in society. Mr. Meister is Swiss and holds an Economics degree from Basel University.</t>
  </si>
  <si>
    <t>122984-02P</t>
  </si>
  <si>
    <t>Steve Chen</t>
  </si>
  <si>
    <t>EZconn</t>
  </si>
  <si>
    <t>Chen</t>
  </si>
  <si>
    <t>Steve</t>
  </si>
  <si>
    <t>Taipei City, Taiwan</t>
  </si>
  <si>
    <t>13F, No. 27-8, Zhongzheng E. Road.</t>
  </si>
  <si>
    <t>Tamsui District</t>
  </si>
  <si>
    <t>Taipei City</t>
  </si>
  <si>
    <t>Taiwan</t>
  </si>
  <si>
    <t>Mr. Steve Chen serves as Chairman at EZconn.</t>
  </si>
  <si>
    <t>279447-58P</t>
  </si>
  <si>
    <t>Silicon Motion Technology</t>
  </si>
  <si>
    <t>+886 (0)22 2196688</t>
  </si>
  <si>
    <t>New Taipei City, Taiwan</t>
  </si>
  <si>
    <t>3F, Number 100, Minquan Road</t>
  </si>
  <si>
    <t>Xindian District</t>
  </si>
  <si>
    <t>New Taipei City</t>
  </si>
  <si>
    <t>+886 (0)22 2196868</t>
  </si>
  <si>
    <t>Mr. Steve Chen serves as Board Member at Silicon Motion Technology. Mr. Chen joined our board of directors in 2012. Mr. Chen is the chairman of Mercuries Co., Ltd. Mr. Chen has dual M. Eng. from Cornell University.</t>
  </si>
  <si>
    <t>96821-83P</t>
  </si>
  <si>
    <t>Steve Chen Ph.D</t>
  </si>
  <si>
    <t>SerComm</t>
  </si>
  <si>
    <t>+886 (0)22 6553988</t>
  </si>
  <si>
    <t>Taipei, Taiwan</t>
  </si>
  <si>
    <t>8F, Number 3-1</t>
  </si>
  <si>
    <t>YuanQu Street (Nankang Software Park)</t>
  </si>
  <si>
    <t>Taipei</t>
  </si>
  <si>
    <t>115</t>
  </si>
  <si>
    <t>+886 (0)26 6158898</t>
  </si>
  <si>
    <t>Mr. Steve Chen serves as Board Member at SerComm.</t>
  </si>
  <si>
    <t>171402-22P</t>
  </si>
  <si>
    <t>Suphachai Chearavanont</t>
  </si>
  <si>
    <t>Suphachai</t>
  </si>
  <si>
    <t>suphachai_che@truecorp.co.th</t>
  </si>
  <si>
    <t>Mr. Suphachai Chearavanont serves as President &amp; Board Member at Charoen Pokphand Foods. Mr. Chearavanont is the Founder and serves as Chairman at Ascend (Holding Companies). He is Vice Chairman of the Remuneration and Nominating Committee and Member of the Corporate Social Responsibility and sustainable Development Committee. Director Training- Enrollment in Director Accreditation Program No. 92/2011, Thai Institute of Directors Association. Experiences - 2015-Present Vice Chairman and President; Charoen Pokphand Group Co., Ltd. (Investment business) - 1993-Present Director and Chairman of the Executive Committee; True Corporation Plc. (Information technology &amp; communication) - 2015-Present Vice Chairman ; C.P. Pokphand Co., Ltd. (Investment in agro-industrial &amp; food business) - Director; Subsidiaries of True Corporation Plc. - Director. Telecommunications Association of Thailand - Chairman; Digital Council of Thailand Thai Federation of ICT Technology Association. He is also the Founder and serves as Chairman at Ascend.</t>
  </si>
  <si>
    <t>176833-81P</t>
  </si>
  <si>
    <t>Ted White</t>
  </si>
  <si>
    <t>Verrica Pharmaceuticals</t>
  </si>
  <si>
    <t>White</t>
  </si>
  <si>
    <t>Ted</t>
  </si>
  <si>
    <t>+1 (484) 453-3300</t>
  </si>
  <si>
    <t>twhite@verricapharmaceuticals.com</t>
  </si>
  <si>
    <t>West Chester, PA</t>
  </si>
  <si>
    <t>44 West Gay Street</t>
  </si>
  <si>
    <t>Suite 400</t>
  </si>
  <si>
    <t>West Chester</t>
  </si>
  <si>
    <t>Pennsylvania</t>
  </si>
  <si>
    <t>19380</t>
  </si>
  <si>
    <t>Ted White has served as our President and Chief Executive Officer since 2017 and as a member of our Board of Directors since 2018. Previously, from 2011 to 2017, Mr. White was the President and General Manager at Almirall, a global pharmaceutical company based in Barcelona, Spain with a focus on medical dermatology, the parent company of Aqua Pharmaceuticals. Prior to Aqua Pharmaceuticals, Mr. White was at Novartis from 1989 to 2010, where he served in a number of roles, most recently as a Managing Director. Mr. White holds a M.B.A. from St. Joseph's University and a B.A. in General Arts from Villanova University.</t>
  </si>
  <si>
    <t>90700-57P</t>
  </si>
  <si>
    <t>Vincent Bolloré</t>
  </si>
  <si>
    <t>Compagnie De l'odet</t>
  </si>
  <si>
    <t>Bolloré</t>
  </si>
  <si>
    <t>Vincent</t>
  </si>
  <si>
    <t>Chairman &amp; Chief Executive Officer</t>
  </si>
  <si>
    <t>+33 (0)1 40 70 11 89</t>
  </si>
  <si>
    <t>Paris, France</t>
  </si>
  <si>
    <t>78 Avenue Raymond Poincaré</t>
  </si>
  <si>
    <t>Paris</t>
  </si>
  <si>
    <t>75116</t>
  </si>
  <si>
    <t>France</t>
  </si>
  <si>
    <t>+33 (0)1 40 70 90 46</t>
  </si>
  <si>
    <t>Mr. Vincent Bolloré serves as Chairman &amp; Chief Executive Officer at Compagnie De l'odet. Mr. Bolloré served as Director at Plantations des Terres Rouges. He serves as President at D17. He is an Angel Investor.</t>
  </si>
  <si>
    <t>37264-96P</t>
  </si>
  <si>
    <t>Vincent Viola</t>
  </si>
  <si>
    <t>Virtu Financial</t>
  </si>
  <si>
    <t>Viola</t>
  </si>
  <si>
    <t>Co-Founder &amp; Board Member</t>
  </si>
  <si>
    <t>+1 (646) 682-6000</t>
  </si>
  <si>
    <t>vviola@virtu.com</t>
  </si>
  <si>
    <t>41st Floor</t>
  </si>
  <si>
    <t>Mr. Vincent Viola is a Co-Founder and serves as Board Member at Virtu Financial. Mr. Viola is the Co-Owner of Florida Panthers Hockey Club. He is our founder and has served as a member and Chairman Emeritus of our board of directors since July 2017. From November 2013 until July 2017, He served as our Executive Chairman and Chairman of our board of directors. He previously served as Chief Executive Officer and Chairman of the board of directors of Virtu and its predecessors since April 2008. He is one of the nation's foremost leaders in electronic trading. He was the founder of Virtu Financial Operating LLC (Virtu East) in 2008, a founder of Madison Tyler Holdings, LLC (Madison Tyler Holdings) in 2002 and is the former Chairman of the New York Mercantile Exchange (NYMEX). He started his career in the financial services industry on the floor of the NYMEX and became Vice Chairman from 1993 to 1996 and Chairman from 2001 to 2004. He has launched a number of successful businesses during his career, including Virtu and Independent Bank Group Inc., a regional banking group in Texas that is now listed on NASDAQ (IBTX). Shortly after September 11, 2001, He was instrumental in founding the Combating Terrorism Center at West Point. He is currently the principal owner and serves as the Chairman and Governor for the Florida Panthers Hockey Club and its parent company, Sunrise Sports &amp; Entertainment LLC. He graduated from the U.S. Military Academy at West Point in 1977. He later graduated from the U.S. Army Airborne, Infantry and Ranger Schools and served in the 101st Airborne Division. In 1983, he graduated from New York Law School.</t>
  </si>
  <si>
    <t>54279-55P</t>
  </si>
  <si>
    <t>Yngve Slyngstad</t>
  </si>
  <si>
    <t>Aker Horizons</t>
  </si>
  <si>
    <t>Slyngstad</t>
  </si>
  <si>
    <t>Yngve</t>
  </si>
  <si>
    <t>Chief Executive Officer &amp; Senior Partner, Aker Asset Management</t>
  </si>
  <si>
    <t>+47 24 13 01 00</t>
  </si>
  <si>
    <t>yngve.slyngstad@akerhorizons.com</t>
  </si>
  <si>
    <t>Baerum, Norway</t>
  </si>
  <si>
    <t>Oksenøyveien 8</t>
  </si>
  <si>
    <t>Lysaker</t>
  </si>
  <si>
    <t>Baerum</t>
  </si>
  <si>
    <t>1366</t>
  </si>
  <si>
    <t>Norway</t>
  </si>
  <si>
    <t>Mr. Yngve Slyngstad serves as Chief Executive Officer &amp; Senior Partner, Aker Asset Management at Aker Horizons. He is also the Founder and serves as Co-CEO &amp; Board Member at ICP Asset Management. He served as Chief Executive Officer at Norges Bank Investment Management. He served as the Chief Executive Officer at the Government Pension Fund of Norway. He served as Chief Executive Officer at ICP Norron. Prior to founding ICP, he served for 13 years as CEO of Norges Bank Investment Management (NBIM), the asset manager of the Government Pension Fund Global of Norway. Under his leadership, the Norwegian sovereign wealth fund grew from approximately 200 billion to over € 1 trillion and became the largest single shareholder in the world's stock markets. During his tenure, NBIM also became widely recognised as a leader in active ownership and responsible investment management, particularly with regard to climate change. He began his career at NBIM by establishing and leading its equity investment program. He holds a law degree from the University of Oslo, a Master of Science in Economics and Business from the Norwegian School of Economics (NHH), a Master of Business Administration from the University of California, Santa Barbara, and a Master of Political Science from the Université Paris II.</t>
  </si>
  <si>
    <t>30461-86P</t>
  </si>
  <si>
    <t>Yuri Milner</t>
  </si>
  <si>
    <t>Planet Labs (Former)</t>
  </si>
  <si>
    <t>Milner</t>
  </si>
  <si>
    <t>Yuri</t>
  </si>
  <si>
    <t>+7 495 363-13-68</t>
  </si>
  <si>
    <t>yuri.milner@dst-global.com</t>
  </si>
  <si>
    <t>Mr. Yuri Milner is a Co-Founder of DST Global. He is the Founder of Apoletto Asia. He served as a Board Member at Planet. He served as Advisory Board Member at Seiza. He co-founded Illumina Accelerator. He also serves as an Advisor at Qianhai Juzi Information Technology. He serves as a Board Member at Udaan. He founded Newbridge. He was a Co-Owner &amp; served as Chief Executive Officer at Mail.ru Group. Mr. Milner served as an Investment Professional at Start Fund. He is a Russian entrepreneur and venture capitalist. He also serves as a Board member at Work4 Labs. He worked at the World Bank, served as the Director of Alliance-Menatep, and was General Manager of the New investment fund Trinity Investments. From 2001 the year 2012 year has held positions as Director-General and Chairman of the Board of Directors of Mail.ru Group. In 2012 year established an annual award for significant achievement in the field of fundamental physics in the amount of $3 million.</t>
  </si>
  <si>
    <t>217944-01P</t>
  </si>
  <si>
    <t>Zachary Sternberg</t>
  </si>
  <si>
    <t>Victoria</t>
  </si>
  <si>
    <t>Sternberg</t>
  </si>
  <si>
    <t>Zachary</t>
  </si>
  <si>
    <t>Non-executive Director, Chair of Nomination Committee</t>
  </si>
  <si>
    <t>+44 (0)20 7933 8780</t>
  </si>
  <si>
    <t>Worcester, United Kingdom</t>
  </si>
  <si>
    <t>Worcester Six Business Park</t>
  </si>
  <si>
    <t>Worcester</t>
  </si>
  <si>
    <t>WR4 0AN</t>
  </si>
  <si>
    <t>Mr. Zachary Sternberg serves as a Non-executive Director, Chair of the Nomination Committee at Victoria. Mr. Sternberg serves as a Board Member, Chairman of the Nominating and Corporate Governance Committee, and Member of the Audit Committee and Compensation Committee at Cimpress. The Spruce House Partnership. Mr. Zachary S. Sternberg is the co-founder and Managing Member of the General Partner of The Spruce House Partnership, a New York-based investment partnership. Spruce House invests in public and private companies globally and seeks to partner with management teams that are focused on growing the per-share value of their companies over the long term. Spruce Households has 8.2% of Cimpress' outstanding shares and has been a shareholder of Cimpress since 2011.</t>
  </si>
  <si>
    <t>© PitchBook Data, Inc.  2025</t>
  </si>
  <si>
    <t>All data copyright PitchBook Data, Inc.</t>
  </si>
  <si>
    <t>For customized data reports and analyses, contact us at:</t>
  </si>
  <si>
    <t>support@pitchbook.com</t>
  </si>
  <si>
    <t xml:space="preserve">This document and its contents may only be used or shared as permitted in </t>
  </si>
  <si>
    <t>the PitchBook subscription agreement.</t>
  </si>
  <si>
    <t>Subject to limited exceptions, this document may not be used or stored following the termination of your agreement with PitchBook.</t>
  </si>
  <si>
    <t>If you have any further questions or concerns, please contact client services at:</t>
  </si>
  <si>
    <t>US</t>
  </si>
  <si>
    <t>+1 (206) 257-7775</t>
  </si>
  <si>
    <t>UK</t>
  </si>
  <si>
    <t>+44 (0)203 875 3504</t>
  </si>
  <si>
    <t>SG</t>
  </si>
  <si>
    <t>+65 6016 4771</t>
  </si>
  <si>
    <t>Or by email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</si>
</sst>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82" formatCode="dd-mmm-yyyy"/>
    <numFmt numFmtId="83" formatCode="#,###"/>
  </numFmts>
  <fonts count="28">
    <font>
      <sz val="11"/>
      <color theme="1"/>
      <name val="Calibri"/>
      <family val="2"/>
      <scheme val="minor"/>
    </font>
    <font>
      <sz val="8"/>
      <color rgb="FF000000"/>
      <name val="Open Sans"/>
      <family val="2"/>
    </font>
    <font>
      <b/>
      <sz val="8"/>
      <color rgb="FF000000"/>
      <name val="Open Sans"/>
      <family val="2"/>
    </font>
    <font>
      <sz val="11"/>
      <color theme="1"/>
      <name val="Calibri"/>
      <family val="2"/>
      <scheme val="minor"/>
    </font>
    <font>
      <u/>
      <sz val="11"/>
      <color rgb="FF0563C1"/>
      <name val="Calibri"/>
    </font>
    <font>
      <b/>
      <sz val="8"/>
      <color rgb="FF26649E"/>
      <name val="Open Sans"/>
      <family val="2"/>
    </font>
    <font>
      <b/>
      <sz val="16"/>
      <color rgb="FF000000"/>
      <name val="Open Sans"/>
      <family val="2"/>
    </font>
    <font>
      <b/>
      <sz val="8"/>
      <color rgb="FFFFFFFF"/>
      <name val="Open Sans"/>
      <family val="2"/>
    </font>
    <font>
      <sz val="8"/>
      <color rgb="FF26649E"/>
      <name val="Open Sans"/>
      <family val="2"/>
    </font>
    <font>
      <sz val="8"/>
      <color rgb="FF26649E"/>
      <name val="Open Sans"/>
      <family val="2"/>
    </font>
    <font>
      <sz val="8"/>
      <color rgb="FF000000"/>
      <name val="Open Sans"/>
      <family val="2"/>
    </font>
    <font>
      <sz val="8"/>
      <color rgb="FF000000"/>
      <name val="Open Sans"/>
      <family val="2"/>
    </font>
    <font>
      <sz val="8"/>
      <color rgb="FF000000"/>
      <name val="Open Sans"/>
      <family val="2"/>
    </font>
    <font>
      <sz val="8"/>
      <color rgb="FF26649E"/>
      <name val="Open Sans"/>
      <family val="2"/>
    </font>
    <font>
      <sz val="8"/>
      <color rgb="FF000000"/>
      <name val="Open Sans"/>
      <family val="2"/>
    </font>
    <font>
      <sz val="8"/>
      <color rgb="FF000000"/>
      <name val="Open Sans"/>
      <family val="2"/>
    </font>
    <font>
      <b/>
      <sz val="14"/>
      <color rgb="FF000000"/>
      <name val="Open Sans"/>
      <family val="2"/>
    </font>
    <font>
      <b/>
      <sz val="14"/>
      <color rgb="FF000000"/>
      <name val="Open Sans"/>
      <family val="2"/>
    </font>
    <font>
      <b/>
      <sz val="14"/>
      <color rgb="FF000000"/>
      <name val="Open Sans"/>
      <family val="2"/>
    </font>
    <font>
      <b/>
      <sz val="14"/>
      <color rgb="FF000000"/>
      <name val="Open Sans"/>
      <family val="2"/>
    </font>
    <font>
      <i/>
      <sz val="10"/>
      <color rgb="FF000000"/>
      <name val="Open Sans"/>
      <family val="2"/>
    </font>
    <font>
      <i/>
      <sz val="10"/>
      <color rgb="FF000000"/>
      <name val="Open Sans"/>
      <family val="2"/>
    </font>
    <font>
      <i/>
      <sz val="10"/>
      <color rgb="FF000000"/>
      <name val="Open Sans"/>
      <family val="2"/>
    </font>
    <font>
      <i/>
      <sz val="10"/>
      <color rgb="FF000000"/>
      <name val="Open Sans"/>
      <family val="2"/>
    </font>
    <font>
      <i/>
      <sz val="10"/>
      <color rgb="FF26649E"/>
      <name val="Open Sans"/>
      <family val="2"/>
    </font>
    <font>
      <i/>
      <sz val="10"/>
      <color rgb="FF26649E"/>
      <name val="Open Sans"/>
      <family val="2"/>
    </font>
    <font>
      <i/>
      <sz val="10"/>
      <color rgb="FF26649E"/>
      <name val="Open Sans"/>
      <family val="2"/>
    </font>
    <font>
      <i/>
      <sz val="10"/>
      <color rgb="FF26649E"/>
      <name val="Open Sans"/>
      <family val="2"/>
    </font>
  </fonts>
  <fills count="5">
    <fill>
      <patternFill patternType="none"/>
    </fill>
    <fill>
      <patternFill patternType="gray125"/>
    </fill>
    <fill>
      <patternFill patternType="solid">
        <fgColor rgb="FF051C38"/>
        <bgColor rgb="FF051C38"/>
      </patternFill>
    </fill>
    <fill>
      <patternFill patternType="solid">
        <fgColor rgb="FFF8F5EF"/>
        <bgColor rgb="FFF8F5EF"/>
      </patternFill>
    </fill>
    <fill>
      <patternFill patternType="solid">
        <fgColor rgb="FFFFFFFF"/>
      </patternFill>
    </fill>
  </fills>
  <borders count="2">
    <border>
      <left/>
      <right/>
      <top/>
      <bottom/>
      <diagonal/>
    </border>
    <border>
      <left/>
      <right style="thin">
        <color rgb="FFD3D3D3"/>
      </right>
      <top/>
      <bottom/>
      <diagonal/>
    </border>
  </borders>
  <cellStyleXfs count="19">
    <xf numFmtId="0" fontId="0" fillId="0" borderId="0"/>
    <xf numFmtId="0" fontId="1" fillId="0" borderId="0">
      <alignment horizontal="right" vertical="center"/>
    </xf>
    <xf numFmtId="0" fontId="2" fillId="0" borderId="0">
      <alignment horizontal="left" vertical="center"/>
    </xf>
    <xf numFmtId="0" fontId="1" fillId="0" borderId="0">
      <alignment horizontal="right" vertical="top"/>
    </xf>
    <xf numFmtId="0" fontId="4" fillId="0" borderId="0" applyNumberFormat="0" applyFill="0" applyBorder="0" applyAlignment="0" applyProtection="0"/>
    <xf numFmtId="0" fontId="5" fillId="0" borderId="0">
      <alignment horizontal="left" vertical="top"/>
    </xf>
    <xf numFmtId="0" fontId="2" fillId="0" borderId="0">
      <alignment horizontal="left" vertical="top" wrapText="1"/>
    </xf>
    <xf numFmtId="0" fontId="6" fillId="0" borderId="0">
      <alignment horizontal="left" vertical="center"/>
    </xf>
    <xf numFmtId="0" fontId="7" fillId="0" borderId="0">
      <alignment horizontal="center" vertical="center" wrapText="1"/>
    </xf>
    <xf numFmtId="0" fontId="1" fillId="0" borderId="1">
      <alignment horizontal="left" vertical="center" indent="1"/>
    </xf>
    <xf numFmtId="0" fontId="1" fillId="0" borderId="1">
      <alignment horizontal="right" vertical="center" indent="1"/>
    </xf>
    <xf numFmtId="0" fontId="12" fillId="0" borderId="1">
      <alignment horizontal="center" vertical="center"/>
    </xf>
    <xf numFmtId="0" fontId="13" fillId="0" borderId="1">
      <alignment horizontal="left" vertical="center" indent="1"/>
    </xf>
    <xf numFmtId="0" fontId="13" fillId="0" borderId="1">
      <alignment horizontal="right" vertical="center" indent="1"/>
    </xf>
    <xf numFmtId="0" fontId="12" fillId="0" borderId="0">
      <alignment horizontal="left" vertical="center"/>
    </xf>
    <xf numFmtId="0" fontId="19" fillId="0" borderId="0">
      <alignment horizontal="left" vertical="center"/>
    </xf>
    <xf numFmtId="0" fontId="23" fillId="4" borderId="0">
      <alignment horizontal="left" vertical="center"/>
    </xf>
    <xf numFmtId="0" fontId="27" fillId="4" borderId="0">
      <alignment horizontal="left" vertical="center"/>
    </xf>
    <xf numFmtId="0" fontId="23" fillId="4" borderId="0">
      <alignment horizontal="right" vertical="center"/>
    </xf>
  </cellStyleXfs>
  <cellXfs count="23">
    <xf numFmtId="0" fontId="0" fillId="0" borderId="0" xfId="0"/>
    <xf numFmtId="0" fontId="1" fillId="0" borderId="0" xfId="1">
      <alignment horizontal="right" vertical="center"/>
    </xf>
    <xf numFmtId="0" fontId="2" fillId="0" borderId="0" xfId="2">
      <alignment horizontal="left" vertical="center"/>
    </xf>
    <xf numFmtId="82" fontId="2" fillId="0" borderId="0" xfId="2" applyNumberFormat="1">
      <alignment horizontal="left" vertical="center"/>
    </xf>
    <xf numFmtId="0" fontId="1" fillId="0" borderId="0" xfId="3">
      <alignment horizontal="right" vertical="top"/>
    </xf>
    <xf numFmtId="0" fontId="7" fillId="2" borderId="0" xfId="8" applyFill="1">
      <alignment horizontal="center" vertical="center" wrapText="1"/>
    </xf>
    <xf numFmtId="0" fontId="5" fillId="0" borderId="0" xfId="5">
      <alignment horizontal="left" vertical="top"/>
    </xf>
    <xf numFmtId="0" fontId="2" fillId="0" borderId="0" xfId="6">
      <alignment horizontal="left" vertical="top" wrapText="1"/>
    </xf>
    <xf numFmtId="0" fontId="6" fillId="0" borderId="0" xfId="7">
      <alignment horizontal="left" vertical="center"/>
    </xf>
    <xf numFmtId="83" fontId="1" fillId="0" borderId="1" xfId="10" applyNumberFormat="1">
      <alignment horizontal="right" vertical="center" indent="1"/>
    </xf>
    <xf numFmtId="0" fontId="1" fillId="0" borderId="1" xfId="9">
      <alignment horizontal="left" vertical="center" indent="1"/>
    </xf>
    <xf numFmtId="0" fontId="1" fillId="0" borderId="1" xfId="10">
      <alignment horizontal="right" vertical="center" indent="1"/>
    </xf>
    <xf numFmtId="0" fontId="13" fillId="3" borderId="1" xfId="12" applyFill="1">
      <alignment horizontal="left" vertical="center" indent="1"/>
    </xf>
    <xf numFmtId="0" fontId="13" fillId="0" borderId="1" xfId="12">
      <alignment horizontal="left" vertical="center" indent="1"/>
    </xf>
    <xf numFmtId="0" fontId="1" fillId="3" borderId="1" xfId="9" applyFill="1">
      <alignment horizontal="left" vertical="center" indent="1"/>
    </xf>
    <xf numFmtId="0" fontId="1" fillId="3" borderId="1" xfId="10" applyFill="1">
      <alignment horizontal="right" vertical="center" indent="1"/>
    </xf>
    <xf numFmtId="83" fontId="1" fillId="3" borderId="1" xfId="10" applyNumberFormat="1" applyFill="1">
      <alignment horizontal="right" vertical="center" indent="1"/>
    </xf>
    <xf numFmtId="0" fontId="12" fillId="0" borderId="0" xfId="14">
      <alignment horizontal="left" vertical="center"/>
    </xf>
    <xf numFmtId="0" fontId="19" fillId="0" borderId="0" xfId="15">
      <alignment horizontal="left" vertical="center"/>
    </xf>
    <xf numFmtId="0" fontId="23" fillId="4" borderId="0" xfId="16">
      <alignment horizontal="left" vertical="center"/>
    </xf>
    <xf numFmtId="0" fontId="0" fillId="0" borderId="0" xfId="0">
      <protection locked="0"/>
    </xf>
    <xf numFmtId="0" fontId="27" fillId="4" borderId="0" xfId="17">
      <alignment horizontal="left" vertical="center"/>
    </xf>
    <xf numFmtId="0" fontId="23" fillId="4" borderId="0" xfId="18">
      <alignment horizontal="right" vertical="center"/>
    </xf>
  </cellXfs>
  <cellStyles count="19">
    <cellStyle name="Normal" xfId="0" builtinId="0"/>
    <cellStyle name="horizontalRight" xfId="1"/>
    <cellStyle name="bold" xfId="2"/>
    <cellStyle name="verticalTopHorizontalRight" xfId="3"/>
    <cellStyle name="Hyperlink" xfId="4" builtinId="8"/>
    <cellStyle name="verticalTopHyperlinkBold" xfId="5"/>
    <cellStyle name="verticalTopBoldWrapBold" xfId="6"/>
    <cellStyle name="fontSize16Bold" xfId="7"/>
    <cellStyle name="horizontalCenterWrapWhiteBold" xfId="8"/>
    <cellStyle name="tableCellStyleLeft" xfId="9"/>
    <cellStyle name="tableCellStyleRight" xfId="10"/>
    <cellStyle name="tableCellStyleCenter" xfId="11"/>
    <cellStyle name="tableCellStyleLeftHyperlink" xfId="12"/>
    <cellStyle name="tableCellStyleRightHyperlink" xfId="13"/>
    <cellStyle name="defaultStyle" xfId="14"/>
    <cellStyle name="fontSize14Bold" xfId="15"/>
    <cellStyle name="fontSize10Italic" xfId="16"/>
    <cellStyle name="fontSize10ItalicHyperlink" xfId="17"/>
    <cellStyle name="fontSize10ItalicRight" xfId="1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drawings/_rels/drawing1.xml.rels><?xml version="1.0" encoding="UTF-8"?><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svg"/></Relationships>
</file>

<file path=xl/drawings/drawing1.xml><?xml version="1.0" encoding="utf-8"?>
<xdr:wsDr xmlns:a="http://schemas.openxmlformats.org/drawingml/2006/main" xmlns:xdr="http://schemas.openxmlformats.org/drawingml/2006/spreadsheetDrawing" xmlns:mc="http://schemas.openxmlformats.org/markup-compatibility/2006" xmlns:a14="http://schemas.microsoft.com/office/drawing/2010/main">
  <xdr:twoCellAnchor xmlns:xdr="http://schemas.openxmlformats.org/drawingml/2006/spreadsheetDrawing" editAs="absolute">
    <xdr:from>
      <xdr:col>0</xdr:col>
      <xdr:colOff>85725</xdr:colOff>
      <xdr:row>0</xdr:row>
      <xdr:rowOff>85725</xdr:rowOff>
    </xdr:from>
    <xdr:to>
      <xdr:col>0</xdr:col>
      <xdr:colOff>1400175</xdr:colOff>
      <xdr:row>0</xdr:row>
      <xdr:rowOff>304800</xdr:rowOff>
    </xdr:to>
    <xdr:pic xmlns:xdr="http://schemas.openxmlformats.org/drawingml/2006/spreadsheetDrawing">
      <xdr:nvPicPr xmlns:xdr="http://schemas.openxmlformats.org/drawingml/2006/spreadsheetDrawing">
        <xdr:cNvPr xmlns:xdr="http://schemas.openxmlformats.org/drawingml/2006/spreadsheetDrawing" id="2" name="Graphic 1"/>
        <xdr:cNvPicPr xmlns:xdr="http://schemas.openxmlformats.org/drawingml/2006/spreadsheetDrawing">
          <a:picLocks xmlns:a="http://schemas.openxmlformats.org/drawingml/2006/main" noChangeAspect="1"/>
          <a:extLst xmlns:a="http://schemas.openxmlformats.org/drawingml/2006/main"/>
        </xdr:cNvPicPr>
      </xdr:nvPicPr>
      <xdr:blipFill xmlns:xdr="http://schemas.openxmlformats.org/drawingml/2006/spreadsheetDrawing">
        <a:blip xmlns:a="http://schemas.openxmlformats.org/drawingml/2006/main" xmlns:r="http://schemas.openxmlformats.org/officeDocument/2006/relationships" r:embed="rId1">
          <a:extLst xmlns:a="http://schemas.openxmlformats.org/drawingml/2006/main">
            <a:ext xmlns:a="http://schemas.openxmlformats.org/drawingml/2006/main" uri="{96DAC541-7B7A-43D3-8B79-37D633B846F1}">
              <asvg:svgBlip xmlns:asvg="http://schemas.microsoft.com/office/drawing/2016/SVG/main" r:embed="rId2"/>
            </a:ext>
          </a:extLst>
        </a:blip>
        <a:srcRect/>
        <a:stretch xmlns:a="http://schemas.openxmlformats.org/drawingml/2006/main">
          <a:fillRect/>
        </a:stretch>
      </xdr:blipFill>
      <xdr:spPr xmlns:xdr="http://schemas.openxmlformats.org/drawingml/2006/spreadsheetDrawing">
        <a:xfrm xmlns:a="http://schemas.openxmlformats.org/drawingml/2006/main">
          <a:off x="85725" y="85725"/>
          <a:ext cx="1314450" cy="219075"/>
        </a:xfrm>
        <a:prstGeom xmlns:a="http://schemas.openxmlformats.org/drawingml/2006/main" prst="rect"/>
        <a:effectLst xmlns:a="http://schemas.openxmlformats.org/drawingml/2006/main"/>
        <a:extLst xmlns:a="http://schemas.openxmlformats.org/drawingml/2006/main"/>
      </xdr:spPr>
    </xdr:pic>
    <xdr:clientData/>
  </xdr:twoCellAnchor>
</xdr:wsDr>
</file>

<file path=xl/theme/theme1.xml><?xml version="1.0" encoding="utf-8"?>
<a:theme xmlns:a="http://schemas.openxmlformats.org/drawingml/2006/main" name="Office Theme">
  <a:themeElements>
    <a:clrScheme name="Office Them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Them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Theme">
      <a:fillStyleLst xmlns:a="http://schemas.openxmlformats.org/drawingml/2006/main">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xmlns:a="http://schemas.openxmlformats.org/drawingml/2006/main">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xmlns:a="http://schemas.openxmlformats.org/drawingml/2006/main">
        <a:effectStyle>
          <a:effectLst/>
        </a:effectStyle>
        <a:effectStyle>
          <a:effectLst/>
        </a:effectStyle>
        <a:effectStyle>
          <a:effectLst>
            <a:outerShdw blurRad="57150" dist="19050" dir="5400000" algn="ctr" rotWithShape="0">
              <a:srgbClr val="000000">
                <a:alpha val="63000"/>
              </a:srgbClr>
            </a:outerShdw>
          </a:effectLst>
        </a:effectStyle>
      </a:effectStyleLst>
      <a:bgFillStyleLst xmlns:a="http://schemas.openxmlformats.org/drawingml/2006/main">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Id="rId1" Type="http://schemas.openxmlformats.org/officeDocument/2006/relationships/hyperlink" Target="https://my.pitchbook.com/?pcc=1218627-37" TargetMode="External"/><Relationship Id="rId2" Type="http://schemas.openxmlformats.org/officeDocument/2006/relationships/drawing" Target="../drawings/drawing1.xml"/></Relationships>
</file>

<file path=xl/worksheets/_rels/sheet2.xml.rels><?xml version="1.0" encoding="UTF-8"?><Relationships xmlns="http://schemas.openxmlformats.org/package/2006/relationships"><Relationship Id="rId1" Type="http://schemas.openxmlformats.org/officeDocument/2006/relationships/hyperlink" Target="support@pitchbook.com" TargetMode="External"/><Relationship Id="rId2" Type="http://schemas.openxmlformats.org/officeDocument/2006/relationships/hyperlink" Target="https://pitchbook.com/subscription-agreement" TargetMode="External"/><Relationship Id="rId3" Type="http://schemas.openxmlformats.org/officeDocument/2006/relationships/hyperlink" Target="support@pitchboo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dr="http://schemas.openxmlformats.org/drawingml/2006/spreadsheetDrawing" xmlns:a14="http://schemas.microsoft.com/office/drawing/2010/main" xmlns:x14="http://schemas.microsoft.com/office/spreadsheetml/2009/9/main" mc:Ignorable="x14ac">
  <dimension ref="A1:W111"/>
  <sheetViews>
    <sheetView showGridLines="0" workbookViewId="0">
      <selection sqref="A1"/>
    </sheetView>
  </sheetViews>
  <sheetFormatPr defaultRowHeight="15"/>
  <cols>
    <col min="1" max="1" width="21.7109375" customWidth="1"/>
    <col min="2" max="2" width="44.140625" customWidth="1"/>
    <col min="3" max="3" width="29.5703125" customWidth="1"/>
    <col min="4" max="4" width="31" customWidth="1"/>
    <col min="5" max="6" width="19.5703125" customWidth="1"/>
    <col min="7" max="7" width="31.85546875" customWidth="1"/>
    <col min="8" max="8" width="36.85546875" customWidth="1"/>
    <col min="9" max="9" width="18.7109375" customWidth="1"/>
    <col min="10" max="10" width="15.140625" customWidth="1"/>
    <col min="11" max="11" width="17.42578125" customWidth="1"/>
    <col min="12" max="12" width="15.85546875" customWidth="1"/>
    <col min="13" max="13" width="27.5703125" customWidth="1"/>
    <col min="14" max="14" width="35.42578125" customWidth="1"/>
    <col min="15" max="16" width="26.7109375" customWidth="1"/>
    <col min="17" max="17" width="18" customWidth="1"/>
    <col min="18" max="18" width="24.5703125" customWidth="1"/>
    <col min="19" max="19" width="17" customWidth="1"/>
    <col min="20" max="20" width="24.28515625" customWidth="1"/>
    <col min="21" max="21" width="15.85546875" customWidth="1"/>
    <col min="22" max="22" width="36.85546875" customWidth="1"/>
    <col min="23" max="23" width="18.7109375" customWidth="1"/>
  </cols>
  <sheetData>
    <row r="1" ht="25" customHeight="1">
      <c r="D1" s="8" t="s">
        <v>7</v>
      </c>
    </row>
    <row r="3">
      <c r="A3" s="1" t="s">
        <v>0</v>
      </c>
      <c r="B3" s="3">
        <v>45920</v>
      </c>
    </row>
    <row r="4">
      <c r="A4" s="1" t="s">
        <v>1</v>
      </c>
      <c r="B4" s="2" t="s">
        <v>2</v>
      </c>
    </row>
    <row r="5">
      <c r="A5" s="4" t="s">
        <v>3</v>
      </c>
      <c r="B5" s="6" t="s">
        <v>4</v>
      </c>
    </row>
    <row r="6" ht="30" customHeight="1">
      <c r="A6" s="4" t="s">
        <v>5</v>
      </c>
      <c r="B6" s="7" t="s">
        <v>6</v>
      </c>
    </row>
    <row r="8" ht="35" customHeight="1">
      <c r="A8" s="5" t="s">
        <v>8</v>
      </c>
      <c r="B8" s="5" t="s">
        <v>9</v>
      </c>
      <c r="C8" s="5" t="s">
        <v>10</v>
      </c>
      <c r="D8" s="5" t="s">
        <v>11</v>
      </c>
      <c r="E8" s="5" t="s">
        <v>12</v>
      </c>
      <c r="F8" s="5" t="s">
        <v>13</v>
      </c>
      <c r="G8" s="5" t="s">
        <v>14</v>
      </c>
      <c r="H8" s="5" t="s">
        <v>15</v>
      </c>
      <c r="I8" s="5" t="s">
        <v>16</v>
      </c>
      <c r="J8" s="5" t="s">
        <v>17</v>
      </c>
      <c r="K8" s="5" t="s">
        <v>18</v>
      </c>
      <c r="L8" s="5" t="s">
        <v>19</v>
      </c>
      <c r="M8" s="5" t="s">
        <v>20</v>
      </c>
      <c r="N8" s="5" t="s">
        <v>21</v>
      </c>
      <c r="O8" s="5" t="s">
        <v>22</v>
      </c>
      <c r="P8" s="5" t="s">
        <v>23</v>
      </c>
      <c r="Q8" s="5" t="s">
        <v>24</v>
      </c>
      <c r="R8" s="5" t="s">
        <v>25</v>
      </c>
      <c r="S8" s="5" t="s">
        <v>26</v>
      </c>
      <c r="T8" s="5" t="s">
        <v>27</v>
      </c>
      <c r="U8" s="5" t="s">
        <v>28</v>
      </c>
      <c r="V8" s="5" t="s">
        <v>29</v>
      </c>
      <c r="W8" s="5" t="s">
        <v>30</v>
      </c>
    </row>
    <row r="9">
      <c r="A9" s="14" t="s">
        <v>31</v>
      </c>
      <c r="B9" s="14" t="s">
        <v>32</v>
      </c>
      <c r="C9" s="14" t="s">
        <v>33</v>
      </c>
      <c r="D9" s="14" t="s">
        <v>34</v>
      </c>
      <c r="E9" s="14" t="s">
        <v>35</v>
      </c>
      <c r="F9" s="14" t="s">
        <v>36</v>
      </c>
      <c r="G9" s="12">
        <f>HYPERLINK("http://www.novacyt.com","www.novacyt.com")</f>
      </c>
      <c r="H9" s="14" t="s">
        <v>38</v>
      </c>
      <c r="I9" s="16" t="s">
        <v>37</v>
      </c>
      <c r="J9" s="16" t="s">
        <v>37</v>
      </c>
      <c r="K9" s="16" t="s">
        <v>37</v>
      </c>
      <c r="L9" s="15" t="s">
        <v>37</v>
      </c>
      <c r="M9" s="14" t="s">
        <v>37</v>
      </c>
      <c r="N9" s="14" t="s">
        <v>37</v>
      </c>
      <c r="O9" s="14" t="s">
        <v>37</v>
      </c>
      <c r="P9" s="14" t="s">
        <v>37</v>
      </c>
      <c r="Q9" s="14" t="s">
        <v>37</v>
      </c>
      <c r="R9" s="14" t="s">
        <v>37</v>
      </c>
      <c r="S9" s="15" t="s">
        <v>37</v>
      </c>
      <c r="T9" s="14" t="s">
        <v>37</v>
      </c>
      <c r="U9" s="15" t="s">
        <v>37</v>
      </c>
      <c r="V9" s="14" t="s">
        <v>39</v>
      </c>
      <c r="W9" s="12">
        <f>HYPERLINK("https://my.pitchbook.com?p=150214-60P","View People Online")</f>
      </c>
    </row>
    <row r="10">
      <c r="A10" s="10" t="s">
        <v>40</v>
      </c>
      <c r="B10" s="10" t="s">
        <v>32</v>
      </c>
      <c r="C10" s="10" t="s">
        <v>41</v>
      </c>
      <c r="D10" s="10" t="s">
        <v>34</v>
      </c>
      <c r="E10" s="10" t="s">
        <v>35</v>
      </c>
      <c r="F10" s="10" t="s">
        <v>36</v>
      </c>
      <c r="G10" s="13">
        <f>HYPERLINK("http://www.bullish.com","www.bullish.com")</f>
      </c>
      <c r="H10" s="10" t="s">
        <v>42</v>
      </c>
      <c r="I10" s="9" t="s">
        <v>37</v>
      </c>
      <c r="J10" s="9">
        <v>1</v>
      </c>
      <c r="K10" s="9" t="s">
        <v>37</v>
      </c>
      <c r="L10" s="11" t="s">
        <v>37</v>
      </c>
      <c r="M10" s="10" t="s">
        <v>37</v>
      </c>
      <c r="N10" s="10" t="s">
        <v>43</v>
      </c>
      <c r="O10" s="10" t="s">
        <v>44</v>
      </c>
      <c r="P10" s="10" t="s">
        <v>45</v>
      </c>
      <c r="Q10" s="10" t="s">
        <v>46</v>
      </c>
      <c r="R10" s="10" t="s">
        <v>37</v>
      </c>
      <c r="S10" s="11" t="s">
        <v>47</v>
      </c>
      <c r="T10" s="10" t="s">
        <v>46</v>
      </c>
      <c r="U10" s="11" t="s">
        <v>37</v>
      </c>
      <c r="V10" s="10" t="s">
        <v>48</v>
      </c>
      <c r="W10" s="13">
        <f>HYPERLINK("https://my.pitchbook.com?p=262554-22P","View People Online")</f>
      </c>
    </row>
    <row r="11">
      <c r="A11" s="14" t="s">
        <v>49</v>
      </c>
      <c r="B11" s="14" t="s">
        <v>50</v>
      </c>
      <c r="C11" s="14" t="s">
        <v>51</v>
      </c>
      <c r="D11" s="14" t="s">
        <v>34</v>
      </c>
      <c r="E11" s="14" t="s">
        <v>52</v>
      </c>
      <c r="F11" s="14" t="s">
        <v>53</v>
      </c>
      <c r="G11" s="12">
        <f>HYPERLINK("http://www.fresnilloplc.com","www.fresnilloplc.com")</f>
      </c>
      <c r="H11" s="14" t="s">
        <v>54</v>
      </c>
      <c r="I11" s="16">
        <v>1</v>
      </c>
      <c r="J11" s="16">
        <v>1</v>
      </c>
      <c r="K11" s="16" t="s">
        <v>37</v>
      </c>
      <c r="L11" s="15" t="s">
        <v>55</v>
      </c>
      <c r="M11" s="14" t="s">
        <v>37</v>
      </c>
      <c r="N11" s="14" t="s">
        <v>56</v>
      </c>
      <c r="O11" s="14" t="s">
        <v>57</v>
      </c>
      <c r="P11" s="14" t="s">
        <v>58</v>
      </c>
      <c r="Q11" s="14" t="s">
        <v>59</v>
      </c>
      <c r="R11" s="14" t="s">
        <v>37</v>
      </c>
      <c r="S11" s="15" t="s">
        <v>60</v>
      </c>
      <c r="T11" s="14" t="s">
        <v>61</v>
      </c>
      <c r="U11" s="15" t="s">
        <v>37</v>
      </c>
      <c r="V11" s="14" t="s">
        <v>62</v>
      </c>
      <c r="W11" s="12">
        <f>HYPERLINK("https://my.pitchbook.com?p=284304-70P","View People Online")</f>
      </c>
    </row>
    <row r="12">
      <c r="A12" s="10" t="s">
        <v>63</v>
      </c>
      <c r="B12" s="10" t="s">
        <v>64</v>
      </c>
      <c r="C12" s="10" t="s">
        <v>65</v>
      </c>
      <c r="D12" s="10" t="s">
        <v>34</v>
      </c>
      <c r="E12" s="10" t="s">
        <v>66</v>
      </c>
      <c r="F12" s="10" t="s">
        <v>67</v>
      </c>
      <c r="G12" s="13">
        <f t="shared" si="0" ref="G12:G13">HYPERLINK("http://nanduq.com","nanduq.com")</f>
      </c>
      <c r="H12" s="10" t="s">
        <v>38</v>
      </c>
      <c r="I12" s="9">
        <v>1</v>
      </c>
      <c r="J12" s="9">
        <v>3</v>
      </c>
      <c r="K12" s="9">
        <v>1</v>
      </c>
      <c r="L12" s="11" t="s">
        <v>37</v>
      </c>
      <c r="M12" s="10" t="s">
        <v>37</v>
      </c>
      <c r="N12" s="10" t="s">
        <v>68</v>
      </c>
      <c r="O12" s="10" t="s">
        <v>69</v>
      </c>
      <c r="P12" s="10" t="s">
        <v>70</v>
      </c>
      <c r="Q12" s="10" t="s">
        <v>71</v>
      </c>
      <c r="R12" s="10" t="s">
        <v>37</v>
      </c>
      <c r="S12" s="11" t="s">
        <v>72</v>
      </c>
      <c r="T12" s="10" t="s">
        <v>73</v>
      </c>
      <c r="U12" s="11" t="s">
        <v>37</v>
      </c>
      <c r="V12" s="10" t="s">
        <v>74</v>
      </c>
      <c r="W12" s="13">
        <f>HYPERLINK("https://my.pitchbook.com?p=73839-07P","View People Online")</f>
      </c>
    </row>
    <row r="13">
      <c r="A13" s="14" t="s">
        <v>75</v>
      </c>
      <c r="B13" s="14" t="s">
        <v>64</v>
      </c>
      <c r="C13" s="14" t="s">
        <v>76</v>
      </c>
      <c r="D13" s="14" t="s">
        <v>34</v>
      </c>
      <c r="E13" s="14" t="s">
        <v>66</v>
      </c>
      <c r="F13" s="14" t="s">
        <v>67</v>
      </c>
      <c r="G13" s="12">
        <f t="shared" si="0"/>
      </c>
      <c r="H13" s="14" t="s">
        <v>38</v>
      </c>
      <c r="I13" s="16" t="s">
        <v>37</v>
      </c>
      <c r="J13" s="16" t="s">
        <v>37</v>
      </c>
      <c r="K13" s="16" t="s">
        <v>37</v>
      </c>
      <c r="L13" s="15" t="s">
        <v>37</v>
      </c>
      <c r="M13" s="14" t="s">
        <v>37</v>
      </c>
      <c r="N13" s="14" t="s">
        <v>37</v>
      </c>
      <c r="O13" s="14" t="s">
        <v>37</v>
      </c>
      <c r="P13" s="14" t="s">
        <v>37</v>
      </c>
      <c r="Q13" s="14" t="s">
        <v>37</v>
      </c>
      <c r="R13" s="14" t="s">
        <v>37</v>
      </c>
      <c r="S13" s="15" t="s">
        <v>37</v>
      </c>
      <c r="T13" s="14" t="s">
        <v>37</v>
      </c>
      <c r="U13" s="15" t="s">
        <v>37</v>
      </c>
      <c r="V13" s="14" t="s">
        <v>77</v>
      </c>
      <c r="W13" s="12">
        <f>HYPERLINK("https://my.pitchbook.com?p=278509-42P","View People Online")</f>
      </c>
    </row>
    <row r="14">
      <c r="A14" s="10" t="s">
        <v>78</v>
      </c>
      <c r="B14" s="10" t="s">
        <v>79</v>
      </c>
      <c r="C14" s="10" t="s">
        <v>80</v>
      </c>
      <c r="D14" s="10" t="s">
        <v>34</v>
      </c>
      <c r="E14" s="10" t="s">
        <v>81</v>
      </c>
      <c r="F14" s="10" t="s">
        <v>82</v>
      </c>
      <c r="G14" s="13">
        <f>HYPERLINK("http://www.ncc.com","www.ncc.com")</f>
      </c>
      <c r="H14" s="10" t="s">
        <v>83</v>
      </c>
      <c r="I14" s="9">
        <v>4</v>
      </c>
      <c r="J14" s="9">
        <v>5</v>
      </c>
      <c r="K14" s="9">
        <v>1</v>
      </c>
      <c r="L14" s="11" t="s">
        <v>84</v>
      </c>
      <c r="M14" s="10" t="s">
        <v>37</v>
      </c>
      <c r="N14" s="10" t="s">
        <v>85</v>
      </c>
      <c r="O14" s="10" t="s">
        <v>86</v>
      </c>
      <c r="P14" s="10" t="s">
        <v>37</v>
      </c>
      <c r="Q14" s="10" t="s">
        <v>87</v>
      </c>
      <c r="R14" s="10" t="s">
        <v>37</v>
      </c>
      <c r="S14" s="11" t="s">
        <v>88</v>
      </c>
      <c r="T14" s="10" t="s">
        <v>89</v>
      </c>
      <c r="U14" s="11" t="s">
        <v>90</v>
      </c>
      <c r="V14" s="10" t="s">
        <v>91</v>
      </c>
      <c r="W14" s="13">
        <f>HYPERLINK("https://my.pitchbook.com?p=241609-51P","View People Online")</f>
      </c>
    </row>
    <row r="15">
      <c r="A15" s="14" t="s">
        <v>92</v>
      </c>
      <c r="B15" s="14" t="s">
        <v>93</v>
      </c>
      <c r="C15" s="14" t="s">
        <v>94</v>
      </c>
      <c r="D15" s="14" t="s">
        <v>34</v>
      </c>
      <c r="E15" s="14" t="s">
        <v>95</v>
      </c>
      <c r="F15" s="14" t="s">
        <v>96</v>
      </c>
      <c r="G15" s="12">
        <f>HYPERLINK("http://www.inditex.com","www.inditex.com")</f>
      </c>
      <c r="H15" s="14" t="s">
        <v>97</v>
      </c>
      <c r="I15" s="16">
        <v>1</v>
      </c>
      <c r="J15" s="16">
        <v>2</v>
      </c>
      <c r="K15" s="16" t="s">
        <v>37</v>
      </c>
      <c r="L15" s="15" t="s">
        <v>98</v>
      </c>
      <c r="M15" s="14" t="s">
        <v>37</v>
      </c>
      <c r="N15" s="14" t="s">
        <v>99</v>
      </c>
      <c r="O15" s="14" t="s">
        <v>100</v>
      </c>
      <c r="P15" s="14" t="s">
        <v>101</v>
      </c>
      <c r="Q15" s="14" t="s">
        <v>102</v>
      </c>
      <c r="R15" s="14" t="s">
        <v>103</v>
      </c>
      <c r="S15" s="15" t="s">
        <v>104</v>
      </c>
      <c r="T15" s="14" t="s">
        <v>105</v>
      </c>
      <c r="U15" s="15" t="s">
        <v>37</v>
      </c>
      <c r="V15" s="14" t="s">
        <v>106</v>
      </c>
      <c r="W15" s="12">
        <f>HYPERLINK("https://my.pitchbook.com?p=93458-26P","View People Online")</f>
      </c>
    </row>
    <row r="16">
      <c r="A16" s="10" t="s">
        <v>107</v>
      </c>
      <c r="B16" s="10" t="s">
        <v>108</v>
      </c>
      <c r="C16" s="10" t="s">
        <v>109</v>
      </c>
      <c r="D16" s="10" t="s">
        <v>34</v>
      </c>
      <c r="E16" s="10" t="s">
        <v>110</v>
      </c>
      <c r="F16" s="10" t="s">
        <v>111</v>
      </c>
      <c r="G16" s="13">
        <f>HYPERLINK("http://www.microsoft.com","www.microsoft.com")</f>
      </c>
      <c r="H16" s="10" t="s">
        <v>112</v>
      </c>
      <c r="I16" s="9">
        <v>1</v>
      </c>
      <c r="J16" s="9">
        <v>3</v>
      </c>
      <c r="K16" s="9">
        <v>1</v>
      </c>
      <c r="L16" s="11" t="s">
        <v>113</v>
      </c>
      <c r="M16" s="10" t="s">
        <v>114</v>
      </c>
      <c r="N16" s="10" t="s">
        <v>115</v>
      </c>
      <c r="O16" s="10" t="s">
        <v>116</v>
      </c>
      <c r="P16" s="10" t="s">
        <v>37</v>
      </c>
      <c r="Q16" s="10" t="s">
        <v>117</v>
      </c>
      <c r="R16" s="10" t="s">
        <v>118</v>
      </c>
      <c r="S16" s="11" t="s">
        <v>119</v>
      </c>
      <c r="T16" s="10" t="s">
        <v>120</v>
      </c>
      <c r="U16" s="11" t="s">
        <v>37</v>
      </c>
      <c r="V16" s="10" t="s">
        <v>121</v>
      </c>
      <c r="W16" s="13">
        <f>HYPERLINK("https://my.pitchbook.com?p=53812-36P","View People Online")</f>
      </c>
    </row>
    <row r="17">
      <c r="A17" s="14" t="s">
        <v>122</v>
      </c>
      <c r="B17" s="14" t="s">
        <v>123</v>
      </c>
      <c r="C17" s="14" t="s">
        <v>124</v>
      </c>
      <c r="D17" s="14" t="s">
        <v>34</v>
      </c>
      <c r="E17" s="14" t="s">
        <v>125</v>
      </c>
      <c r="F17" s="14" t="s">
        <v>126</v>
      </c>
      <c r="G17" s="12">
        <f>HYPERLINK("http://www.jaicorpindia.com","www.jaicorpindia.com")</f>
      </c>
      <c r="H17" s="14" t="s">
        <v>54</v>
      </c>
      <c r="I17" s="16">
        <v>1</v>
      </c>
      <c r="J17" s="16">
        <v>1</v>
      </c>
      <c r="K17" s="16" t="s">
        <v>37</v>
      </c>
      <c r="L17" s="15" t="s">
        <v>127</v>
      </c>
      <c r="M17" s="14" t="s">
        <v>128</v>
      </c>
      <c r="N17" s="14" t="s">
        <v>129</v>
      </c>
      <c r="O17" s="14" t="s">
        <v>130</v>
      </c>
      <c r="P17" s="14" t="s">
        <v>131</v>
      </c>
      <c r="Q17" s="14" t="s">
        <v>132</v>
      </c>
      <c r="R17" s="14" t="s">
        <v>133</v>
      </c>
      <c r="S17" s="15" t="s">
        <v>134</v>
      </c>
      <c r="T17" s="14" t="s">
        <v>135</v>
      </c>
      <c r="U17" s="15" t="s">
        <v>37</v>
      </c>
      <c r="V17" s="14" t="s">
        <v>136</v>
      </c>
      <c r="W17" s="12">
        <f>HYPERLINK("https://my.pitchbook.com?p=387101-17P","View People Online")</f>
      </c>
    </row>
    <row r="18">
      <c r="A18" s="10" t="s">
        <v>137</v>
      </c>
      <c r="B18" s="10" t="s">
        <v>138</v>
      </c>
      <c r="C18" s="10" t="s">
        <v>139</v>
      </c>
      <c r="D18" s="10" t="s">
        <v>34</v>
      </c>
      <c r="E18" s="10" t="s">
        <v>140</v>
      </c>
      <c r="F18" s="10" t="s">
        <v>141</v>
      </c>
      <c r="G18" s="13">
        <f>HYPERLINK("http://www.stellantis.com","www.stellantis.com")</f>
      </c>
      <c r="H18" s="10" t="s">
        <v>38</v>
      </c>
      <c r="I18" s="9" t="s">
        <v>37</v>
      </c>
      <c r="J18" s="9" t="s">
        <v>37</v>
      </c>
      <c r="K18" s="9" t="s">
        <v>37</v>
      </c>
      <c r="L18" s="11" t="s">
        <v>37</v>
      </c>
      <c r="M18" s="10" t="s">
        <v>37</v>
      </c>
      <c r="N18" s="10" t="s">
        <v>37</v>
      </c>
      <c r="O18" s="10" t="s">
        <v>37</v>
      </c>
      <c r="P18" s="10" t="s">
        <v>37</v>
      </c>
      <c r="Q18" s="10" t="s">
        <v>37</v>
      </c>
      <c r="R18" s="10" t="s">
        <v>37</v>
      </c>
      <c r="S18" s="11" t="s">
        <v>37</v>
      </c>
      <c r="T18" s="10" t="s">
        <v>37</v>
      </c>
      <c r="U18" s="11" t="s">
        <v>37</v>
      </c>
      <c r="V18" s="10" t="s">
        <v>142</v>
      </c>
      <c r="W18" s="13">
        <f>HYPERLINK("https://my.pitchbook.com?p=44006-77P","View People Online")</f>
      </c>
    </row>
    <row r="19">
      <c r="A19" s="14" t="s">
        <v>143</v>
      </c>
      <c r="B19" s="14" t="s">
        <v>144</v>
      </c>
      <c r="C19" s="14" t="s">
        <v>145</v>
      </c>
      <c r="D19" s="14" t="s">
        <v>34</v>
      </c>
      <c r="E19" s="14" t="s">
        <v>146</v>
      </c>
      <c r="F19" s="14" t="s">
        <v>147</v>
      </c>
      <c r="G19" s="12">
        <f>HYPERLINK("http://www.wipro.com","www.wipro.com")</f>
      </c>
      <c r="H19" s="14" t="s">
        <v>148</v>
      </c>
      <c r="I19" s="16">
        <v>1</v>
      </c>
      <c r="J19" s="16">
        <v>11</v>
      </c>
      <c r="K19" s="16">
        <v>10</v>
      </c>
      <c r="L19" s="15" t="s">
        <v>149</v>
      </c>
      <c r="M19" s="14" t="s">
        <v>150</v>
      </c>
      <c r="N19" s="14" t="s">
        <v>151</v>
      </c>
      <c r="O19" s="14" t="s">
        <v>152</v>
      </c>
      <c r="P19" s="14" t="s">
        <v>153</v>
      </c>
      <c r="Q19" s="14" t="s">
        <v>154</v>
      </c>
      <c r="R19" s="14" t="s">
        <v>37</v>
      </c>
      <c r="S19" s="15" t="s">
        <v>155</v>
      </c>
      <c r="T19" s="14" t="s">
        <v>135</v>
      </c>
      <c r="U19" s="15" t="s">
        <v>156</v>
      </c>
      <c r="V19" s="14" t="s">
        <v>157</v>
      </c>
      <c r="W19" s="12">
        <f>HYPERLINK("https://my.pitchbook.com?p=93562-21P","View People Online")</f>
      </c>
    </row>
    <row r="20">
      <c r="A20" s="10" t="s">
        <v>158</v>
      </c>
      <c r="B20" s="10" t="s">
        <v>159</v>
      </c>
      <c r="C20" s="10" t="s">
        <v>160</v>
      </c>
      <c r="D20" s="10" t="s">
        <v>34</v>
      </c>
      <c r="E20" s="10" t="s">
        <v>161</v>
      </c>
      <c r="F20" s="10" t="s">
        <v>162</v>
      </c>
      <c r="G20" s="13">
        <f>HYPERLINK("http://www.lifeist.com","www.lifeist.com")</f>
      </c>
      <c r="H20" s="10" t="s">
        <v>54</v>
      </c>
      <c r="I20" s="9">
        <v>1</v>
      </c>
      <c r="J20" s="9">
        <v>1</v>
      </c>
      <c r="K20" s="9" t="s">
        <v>37</v>
      </c>
      <c r="L20" s="11" t="s">
        <v>163</v>
      </c>
      <c r="M20" s="10" t="s">
        <v>164</v>
      </c>
      <c r="N20" s="10" t="s">
        <v>165</v>
      </c>
      <c r="O20" s="10" t="s">
        <v>166</v>
      </c>
      <c r="P20" s="10" t="s">
        <v>167</v>
      </c>
      <c r="Q20" s="10" t="s">
        <v>168</v>
      </c>
      <c r="R20" s="10" t="s">
        <v>169</v>
      </c>
      <c r="S20" s="11" t="s">
        <v>170</v>
      </c>
      <c r="T20" s="10" t="s">
        <v>171</v>
      </c>
      <c r="U20" s="11" t="s">
        <v>37</v>
      </c>
      <c r="V20" s="10" t="s">
        <v>172</v>
      </c>
      <c r="W20" s="13">
        <f>HYPERLINK("https://my.pitchbook.com?p=46233-91P","View People Online")</f>
      </c>
    </row>
    <row r="21">
      <c r="A21" s="14" t="s">
        <v>173</v>
      </c>
      <c r="B21" s="14" t="s">
        <v>174</v>
      </c>
      <c r="C21" s="14" t="s">
        <v>175</v>
      </c>
      <c r="D21" s="14" t="s">
        <v>34</v>
      </c>
      <c r="E21" s="14" t="s">
        <v>176</v>
      </c>
      <c r="F21" s="14" t="s">
        <v>177</v>
      </c>
      <c r="G21" s="12">
        <f>HYPERLINK("http://www.arjo.com","www.arjo.com")</f>
      </c>
      <c r="H21" s="14" t="s">
        <v>178</v>
      </c>
      <c r="I21" s="16">
        <v>4</v>
      </c>
      <c r="J21" s="16">
        <v>5</v>
      </c>
      <c r="K21" s="16">
        <v>1</v>
      </c>
      <c r="L21" s="15" t="s">
        <v>179</v>
      </c>
      <c r="M21" s="14" t="s">
        <v>180</v>
      </c>
      <c r="N21" s="14" t="s">
        <v>181</v>
      </c>
      <c r="O21" s="14" t="s">
        <v>182</v>
      </c>
      <c r="P21" s="14" t="s">
        <v>183</v>
      </c>
      <c r="Q21" s="14" t="s">
        <v>184</v>
      </c>
      <c r="R21" s="14" t="s">
        <v>37</v>
      </c>
      <c r="S21" s="15" t="s">
        <v>185</v>
      </c>
      <c r="T21" s="14" t="s">
        <v>89</v>
      </c>
      <c r="U21" s="15" t="s">
        <v>37</v>
      </c>
      <c r="V21" s="14" t="s">
        <v>186</v>
      </c>
      <c r="W21" s="12">
        <f>HYPERLINK("https://my.pitchbook.com?p=133513-39P","View People Online")</f>
      </c>
    </row>
    <row r="22">
      <c r="A22" s="10" t="s">
        <v>187</v>
      </c>
      <c r="B22" s="10" t="s">
        <v>188</v>
      </c>
      <c r="C22" s="10" t="s">
        <v>189</v>
      </c>
      <c r="D22" s="10" t="s">
        <v>34</v>
      </c>
      <c r="E22" s="10" t="s">
        <v>190</v>
      </c>
      <c r="F22" s="10" t="s">
        <v>191</v>
      </c>
      <c r="G22" s="13">
        <f>HYPERLINK("http://www.carso.com.mx","www.carso.com.mx")</f>
      </c>
      <c r="H22" s="10" t="s">
        <v>54</v>
      </c>
      <c r="I22" s="9">
        <v>2</v>
      </c>
      <c r="J22" s="9">
        <v>4</v>
      </c>
      <c r="K22" s="9">
        <v>1</v>
      </c>
      <c r="L22" s="11" t="s">
        <v>192</v>
      </c>
      <c r="M22" s="10" t="s">
        <v>37</v>
      </c>
      <c r="N22" s="10" t="s">
        <v>56</v>
      </c>
      <c r="O22" s="10" t="s">
        <v>193</v>
      </c>
      <c r="P22" s="10" t="s">
        <v>194</v>
      </c>
      <c r="Q22" s="10" t="s">
        <v>59</v>
      </c>
      <c r="R22" s="10" t="s">
        <v>37</v>
      </c>
      <c r="S22" s="11" t="s">
        <v>195</v>
      </c>
      <c r="T22" s="10" t="s">
        <v>61</v>
      </c>
      <c r="U22" s="11" t="s">
        <v>37</v>
      </c>
      <c r="V22" s="10" t="s">
        <v>196</v>
      </c>
      <c r="W22" s="13">
        <f>HYPERLINK("https://my.pitchbook.com?p=92981-71P","View People Online")</f>
      </c>
    </row>
    <row r="23">
      <c r="A23" s="14" t="s">
        <v>197</v>
      </c>
      <c r="B23" s="14" t="s">
        <v>198</v>
      </c>
      <c r="C23" s="14" t="s">
        <v>199</v>
      </c>
      <c r="D23" s="14" t="s">
        <v>34</v>
      </c>
      <c r="E23" s="14" t="s">
        <v>200</v>
      </c>
      <c r="F23" s="14" t="s">
        <v>191</v>
      </c>
      <c r="G23" s="12">
        <f>HYPERLINK("http://www.rbi.com","www.rbi.com")</f>
      </c>
      <c r="H23" s="14" t="s">
        <v>38</v>
      </c>
      <c r="I23" s="16" t="s">
        <v>37</v>
      </c>
      <c r="J23" s="16">
        <v>3</v>
      </c>
      <c r="K23" s="16">
        <v>1</v>
      </c>
      <c r="L23" s="15" t="s">
        <v>201</v>
      </c>
      <c r="M23" s="14" t="s">
        <v>202</v>
      </c>
      <c r="N23" s="14" t="s">
        <v>203</v>
      </c>
      <c r="O23" s="14" t="s">
        <v>204</v>
      </c>
      <c r="P23" s="14" t="s">
        <v>205</v>
      </c>
      <c r="Q23" s="14" t="s">
        <v>206</v>
      </c>
      <c r="R23" s="14" t="s">
        <v>206</v>
      </c>
      <c r="S23" s="15" t="s">
        <v>207</v>
      </c>
      <c r="T23" s="14" t="s">
        <v>120</v>
      </c>
      <c r="U23" s="15" t="s">
        <v>37</v>
      </c>
      <c r="V23" s="14" t="s">
        <v>208</v>
      </c>
      <c r="W23" s="12">
        <f>HYPERLINK("https://my.pitchbook.com?p=73403-92P","View People Online")</f>
      </c>
    </row>
    <row r="24">
      <c r="A24" s="10" t="s">
        <v>209</v>
      </c>
      <c r="B24" s="10" t="s">
        <v>210</v>
      </c>
      <c r="C24" s="10" t="s">
        <v>211</v>
      </c>
      <c r="D24" s="10" t="s">
        <v>34</v>
      </c>
      <c r="E24" s="10" t="s">
        <v>212</v>
      </c>
      <c r="F24" s="10" t="s">
        <v>213</v>
      </c>
      <c r="G24" s="13">
        <f>HYPERLINK("http://www.climate-rock.com","www.climate-rock.com")</f>
      </c>
      <c r="H24" s="10" t="s">
        <v>38</v>
      </c>
      <c r="I24" s="9" t="s">
        <v>37</v>
      </c>
      <c r="J24" s="9" t="s">
        <v>37</v>
      </c>
      <c r="K24" s="9" t="s">
        <v>37</v>
      </c>
      <c r="L24" s="11" t="s">
        <v>37</v>
      </c>
      <c r="M24" s="10" t="s">
        <v>37</v>
      </c>
      <c r="N24" s="10" t="s">
        <v>37</v>
      </c>
      <c r="O24" s="10" t="s">
        <v>37</v>
      </c>
      <c r="P24" s="10" t="s">
        <v>37</v>
      </c>
      <c r="Q24" s="10" t="s">
        <v>37</v>
      </c>
      <c r="R24" s="10" t="s">
        <v>37</v>
      </c>
      <c r="S24" s="11" t="s">
        <v>37</v>
      </c>
      <c r="T24" s="10" t="s">
        <v>37</v>
      </c>
      <c r="U24" s="11" t="s">
        <v>37</v>
      </c>
      <c r="V24" s="10" t="s">
        <v>214</v>
      </c>
      <c r="W24" s="13">
        <f>HYPERLINK("https://my.pitchbook.com?p=253533-61P","View People Online")</f>
      </c>
    </row>
    <row r="25">
      <c r="A25" s="14" t="s">
        <v>215</v>
      </c>
      <c r="B25" s="14" t="s">
        <v>216</v>
      </c>
      <c r="C25" s="14" t="s">
        <v>217</v>
      </c>
      <c r="D25" s="14" t="s">
        <v>34</v>
      </c>
      <c r="E25" s="14" t="s">
        <v>218</v>
      </c>
      <c r="F25" s="14" t="s">
        <v>219</v>
      </c>
      <c r="G25" s="12">
        <f>HYPERLINK("http://www.biogen.com","www.biogen.com")</f>
      </c>
      <c r="H25" s="14" t="s">
        <v>220</v>
      </c>
      <c r="I25" s="16">
        <v>1</v>
      </c>
      <c r="J25" s="16">
        <v>14</v>
      </c>
      <c r="K25" s="16">
        <v>12</v>
      </c>
      <c r="L25" s="15" t="s">
        <v>221</v>
      </c>
      <c r="M25" s="14" t="s">
        <v>222</v>
      </c>
      <c r="N25" s="14" t="s">
        <v>223</v>
      </c>
      <c r="O25" s="14" t="s">
        <v>224</v>
      </c>
      <c r="P25" s="14" t="s">
        <v>37</v>
      </c>
      <c r="Q25" s="14" t="s">
        <v>225</v>
      </c>
      <c r="R25" s="14" t="s">
        <v>226</v>
      </c>
      <c r="S25" s="15" t="s">
        <v>227</v>
      </c>
      <c r="T25" s="14" t="s">
        <v>120</v>
      </c>
      <c r="U25" s="15" t="s">
        <v>37</v>
      </c>
      <c r="V25" s="14" t="s">
        <v>228</v>
      </c>
      <c r="W25" s="12">
        <f>HYPERLINK("https://my.pitchbook.com?p=55290-43P","View People Online")</f>
      </c>
    </row>
    <row r="26">
      <c r="A26" s="10" t="s">
        <v>229</v>
      </c>
      <c r="B26" s="10" t="s">
        <v>230</v>
      </c>
      <c r="C26" s="10" t="s">
        <v>231</v>
      </c>
      <c r="D26" s="10" t="s">
        <v>34</v>
      </c>
      <c r="E26" s="10" t="s">
        <v>232</v>
      </c>
      <c r="F26" s="10" t="s">
        <v>233</v>
      </c>
      <c r="G26" s="13">
        <f>HYPERLINK("http://www.microsoft.com","www.microsoft.com")</f>
      </c>
      <c r="H26" s="10" t="s">
        <v>234</v>
      </c>
      <c r="I26" s="9" t="s">
        <v>37</v>
      </c>
      <c r="J26" s="9">
        <v>3</v>
      </c>
      <c r="K26" s="9">
        <v>2</v>
      </c>
      <c r="L26" s="11" t="s">
        <v>37</v>
      </c>
      <c r="M26" s="10" t="s">
        <v>37</v>
      </c>
      <c r="N26" s="10" t="s">
        <v>37</v>
      </c>
      <c r="O26" s="10" t="s">
        <v>37</v>
      </c>
      <c r="P26" s="10" t="s">
        <v>37</v>
      </c>
      <c r="Q26" s="10" t="s">
        <v>37</v>
      </c>
      <c r="R26" s="10" t="s">
        <v>37</v>
      </c>
      <c r="S26" s="11" t="s">
        <v>37</v>
      </c>
      <c r="T26" s="10" t="s">
        <v>37</v>
      </c>
      <c r="U26" s="11" t="s">
        <v>37</v>
      </c>
      <c r="V26" s="10" t="s">
        <v>235</v>
      </c>
      <c r="W26" s="13">
        <f>HYPERLINK("https://my.pitchbook.com?p=88576-30P","View People Online")</f>
      </c>
    </row>
    <row r="27">
      <c r="A27" s="14" t="s">
        <v>236</v>
      </c>
      <c r="B27" s="14" t="s">
        <v>237</v>
      </c>
      <c r="C27" s="14" t="s">
        <v>238</v>
      </c>
      <c r="D27" s="14" t="s">
        <v>34</v>
      </c>
      <c r="E27" s="14" t="s">
        <v>239</v>
      </c>
      <c r="F27" s="14" t="s">
        <v>240</v>
      </c>
      <c r="G27" s="12">
        <f>HYPERLINK("http://www.1stdibs.com","www.1stdibs.com")</f>
      </c>
      <c r="H27" s="14" t="s">
        <v>241</v>
      </c>
      <c r="I27" s="16">
        <v>3</v>
      </c>
      <c r="J27" s="16">
        <v>23</v>
      </c>
      <c r="K27" s="16">
        <v>18</v>
      </c>
      <c r="L27" s="15" t="s">
        <v>242</v>
      </c>
      <c r="M27" s="14" t="s">
        <v>243</v>
      </c>
      <c r="N27" s="14" t="s">
        <v>203</v>
      </c>
      <c r="O27" s="14" t="s">
        <v>244</v>
      </c>
      <c r="P27" s="14" t="s">
        <v>245</v>
      </c>
      <c r="Q27" s="14" t="s">
        <v>206</v>
      </c>
      <c r="R27" s="14" t="s">
        <v>206</v>
      </c>
      <c r="S27" s="15" t="s">
        <v>246</v>
      </c>
      <c r="T27" s="14" t="s">
        <v>120</v>
      </c>
      <c r="U27" s="15" t="s">
        <v>37</v>
      </c>
      <c r="V27" s="14" t="s">
        <v>247</v>
      </c>
      <c r="W27" s="12">
        <f>HYPERLINK("https://my.pitchbook.com?p=11858-77P","View People Online")</f>
      </c>
    </row>
    <row r="28">
      <c r="A28" s="10" t="s">
        <v>248</v>
      </c>
      <c r="B28" s="10" t="s">
        <v>249</v>
      </c>
      <c r="C28" s="10" t="s">
        <v>250</v>
      </c>
      <c r="D28" s="10" t="s">
        <v>34</v>
      </c>
      <c r="E28" s="10" t="s">
        <v>251</v>
      </c>
      <c r="F28" s="10" t="s">
        <v>252</v>
      </c>
      <c r="G28" s="13">
        <f>HYPERLINK("http://www.coinsilium.com","www.coinsilium.com")</f>
      </c>
      <c r="H28" s="10" t="s">
        <v>253</v>
      </c>
      <c r="I28" s="9">
        <v>1</v>
      </c>
      <c r="J28" s="9">
        <v>20</v>
      </c>
      <c r="K28" s="9">
        <v>16</v>
      </c>
      <c r="L28" s="11" t="s">
        <v>254</v>
      </c>
      <c r="M28" s="10" t="s">
        <v>255</v>
      </c>
      <c r="N28" s="10" t="s">
        <v>256</v>
      </c>
      <c r="O28" s="10" t="s">
        <v>257</v>
      </c>
      <c r="P28" s="10" t="s">
        <v>258</v>
      </c>
      <c r="Q28" s="10" t="s">
        <v>46</v>
      </c>
      <c r="R28" s="10" t="s">
        <v>259</v>
      </c>
      <c r="S28" s="11" t="s">
        <v>47</v>
      </c>
      <c r="T28" s="10" t="s">
        <v>260</v>
      </c>
      <c r="U28" s="11" t="s">
        <v>37</v>
      </c>
      <c r="V28" s="10" t="s">
        <v>261</v>
      </c>
      <c r="W28" s="13">
        <f>HYPERLINK("https://my.pitchbook.com?p=75848-86P","View People Online")</f>
      </c>
    </row>
    <row r="29">
      <c r="A29" s="14" t="s">
        <v>262</v>
      </c>
      <c r="B29" s="14" t="s">
        <v>263</v>
      </c>
      <c r="C29" s="14" t="s">
        <v>264</v>
      </c>
      <c r="D29" s="14" t="s">
        <v>34</v>
      </c>
      <c r="E29" s="14" t="s">
        <v>265</v>
      </c>
      <c r="F29" s="14" t="s">
        <v>266</v>
      </c>
      <c r="G29" s="12">
        <f>HYPERLINK("http://www.plastec.com.hk","www.plastec.com.hk")</f>
      </c>
      <c r="H29" s="14" t="s">
        <v>267</v>
      </c>
      <c r="I29" s="16">
        <v>2</v>
      </c>
      <c r="J29" s="16">
        <v>2</v>
      </c>
      <c r="K29" s="16" t="s">
        <v>37</v>
      </c>
      <c r="L29" s="15" t="s">
        <v>268</v>
      </c>
      <c r="M29" s="14" t="s">
        <v>269</v>
      </c>
      <c r="N29" s="14" t="s">
        <v>270</v>
      </c>
      <c r="O29" s="14" t="s">
        <v>271</v>
      </c>
      <c r="P29" s="14" t="s">
        <v>272</v>
      </c>
      <c r="Q29" s="14" t="s">
        <v>273</v>
      </c>
      <c r="R29" s="14" t="s">
        <v>37</v>
      </c>
      <c r="S29" s="15" t="s">
        <v>37</v>
      </c>
      <c r="T29" s="14" t="s">
        <v>273</v>
      </c>
      <c r="U29" s="15" t="s">
        <v>274</v>
      </c>
      <c r="V29" s="14" t="s">
        <v>275</v>
      </c>
      <c r="W29" s="12">
        <f>HYPERLINK("https://my.pitchbook.com?p=65131-30P","View People Online")</f>
      </c>
    </row>
    <row r="30">
      <c r="A30" s="10" t="s">
        <v>276</v>
      </c>
      <c r="B30" s="10" t="s">
        <v>277</v>
      </c>
      <c r="C30" s="10" t="s">
        <v>278</v>
      </c>
      <c r="D30" s="10" t="s">
        <v>34</v>
      </c>
      <c r="E30" s="10" t="s">
        <v>279</v>
      </c>
      <c r="F30" s="10" t="s">
        <v>280</v>
      </c>
      <c r="G30" s="13">
        <f>HYPERLINK("http://www.tesla.com","www.tesla.com")</f>
      </c>
      <c r="H30" s="10" t="s">
        <v>281</v>
      </c>
      <c r="I30" s="9">
        <v>3</v>
      </c>
      <c r="J30" s="9">
        <v>38</v>
      </c>
      <c r="K30" s="9">
        <v>30</v>
      </c>
      <c r="L30" s="11" t="s">
        <v>282</v>
      </c>
      <c r="M30" s="10" t="s">
        <v>283</v>
      </c>
      <c r="N30" s="10" t="s">
        <v>284</v>
      </c>
      <c r="O30" s="10" t="s">
        <v>285</v>
      </c>
      <c r="P30" s="10" t="s">
        <v>37</v>
      </c>
      <c r="Q30" s="10" t="s">
        <v>286</v>
      </c>
      <c r="R30" s="10" t="s">
        <v>287</v>
      </c>
      <c r="S30" s="11" t="s">
        <v>288</v>
      </c>
      <c r="T30" s="10" t="s">
        <v>120</v>
      </c>
      <c r="U30" s="11" t="s">
        <v>37</v>
      </c>
      <c r="V30" s="10" t="s">
        <v>289</v>
      </c>
      <c r="W30" s="13">
        <f>HYPERLINK("https://my.pitchbook.com?p=35886-52P","View People Online")</f>
      </c>
    </row>
    <row r="31">
      <c r="A31" s="14" t="s">
        <v>290</v>
      </c>
      <c r="B31" s="14" t="s">
        <v>291</v>
      </c>
      <c r="C31" s="14" t="s">
        <v>292</v>
      </c>
      <c r="D31" s="14" t="s">
        <v>34</v>
      </c>
      <c r="E31" s="14" t="s">
        <v>293</v>
      </c>
      <c r="F31" s="14" t="s">
        <v>294</v>
      </c>
      <c r="G31" s="12">
        <f>HYPERLINK("http://www.nmdc-energy.com","www.nmdc-energy.com")</f>
      </c>
      <c r="H31" s="14" t="s">
        <v>267</v>
      </c>
      <c r="I31" s="16">
        <v>1</v>
      </c>
      <c r="J31" s="16">
        <v>1</v>
      </c>
      <c r="K31" s="16" t="s">
        <v>37</v>
      </c>
      <c r="L31" s="15" t="s">
        <v>295</v>
      </c>
      <c r="M31" s="14" t="s">
        <v>37</v>
      </c>
      <c r="N31" s="14" t="s">
        <v>296</v>
      </c>
      <c r="O31" s="14" t="s">
        <v>297</v>
      </c>
      <c r="P31" s="14" t="s">
        <v>298</v>
      </c>
      <c r="Q31" s="14" t="s">
        <v>299</v>
      </c>
      <c r="R31" s="14" t="s">
        <v>37</v>
      </c>
      <c r="S31" s="15" t="s">
        <v>37</v>
      </c>
      <c r="T31" s="14" t="s">
        <v>300</v>
      </c>
      <c r="U31" s="15" t="s">
        <v>301</v>
      </c>
      <c r="V31" s="14" t="s">
        <v>302</v>
      </c>
      <c r="W31" s="12">
        <f>HYPERLINK("https://my.pitchbook.com?p=456904-45P","View People Online")</f>
      </c>
    </row>
    <row r="32">
      <c r="A32" s="10" t="s">
        <v>303</v>
      </c>
      <c r="B32" s="10" t="s">
        <v>304</v>
      </c>
      <c r="C32" s="10" t="s">
        <v>305</v>
      </c>
      <c r="D32" s="10" t="s">
        <v>34</v>
      </c>
      <c r="E32" s="10" t="s">
        <v>306</v>
      </c>
      <c r="F32" s="10" t="s">
        <v>307</v>
      </c>
      <c r="G32" s="13">
        <f>HYPERLINK("http://www.astonmartin.com","www.astonmartin.com")</f>
      </c>
      <c r="H32" s="10" t="s">
        <v>38</v>
      </c>
      <c r="I32" s="9">
        <v>1</v>
      </c>
      <c r="J32" s="9">
        <v>1</v>
      </c>
      <c r="K32" s="9" t="s">
        <v>37</v>
      </c>
      <c r="L32" s="11" t="s">
        <v>308</v>
      </c>
      <c r="M32" s="10" t="s">
        <v>37</v>
      </c>
      <c r="N32" s="10" t="s">
        <v>309</v>
      </c>
      <c r="O32" s="10" t="s">
        <v>310</v>
      </c>
      <c r="P32" s="10" t="s">
        <v>311</v>
      </c>
      <c r="Q32" s="10" t="s">
        <v>312</v>
      </c>
      <c r="R32" s="10" t="s">
        <v>259</v>
      </c>
      <c r="S32" s="11" t="s">
        <v>313</v>
      </c>
      <c r="T32" s="10" t="s">
        <v>260</v>
      </c>
      <c r="U32" s="11" t="s">
        <v>37</v>
      </c>
      <c r="V32" s="10" t="s">
        <v>314</v>
      </c>
      <c r="W32" s="13">
        <f>HYPERLINK("https://my.pitchbook.com?p=436722-40P","View People Online")</f>
      </c>
    </row>
    <row r="33">
      <c r="A33" s="14" t="s">
        <v>315</v>
      </c>
      <c r="B33" s="14" t="s">
        <v>316</v>
      </c>
      <c r="C33" s="14" t="s">
        <v>317</v>
      </c>
      <c r="D33" s="14" t="s">
        <v>34</v>
      </c>
      <c r="E33" s="14" t="s">
        <v>318</v>
      </c>
      <c r="F33" s="14" t="s">
        <v>319</v>
      </c>
      <c r="G33" s="12">
        <f>HYPERLINK("http://www.turkcell.com.tr","www.turkcell.com.tr")</f>
      </c>
      <c r="H33" s="14" t="s">
        <v>38</v>
      </c>
      <c r="I33" s="16" t="s">
        <v>37</v>
      </c>
      <c r="J33" s="16" t="s">
        <v>37</v>
      </c>
      <c r="K33" s="16" t="s">
        <v>37</v>
      </c>
      <c r="L33" s="15" t="s">
        <v>37</v>
      </c>
      <c r="M33" s="14" t="s">
        <v>37</v>
      </c>
      <c r="N33" s="14" t="s">
        <v>37</v>
      </c>
      <c r="O33" s="14" t="s">
        <v>37</v>
      </c>
      <c r="P33" s="14" t="s">
        <v>37</v>
      </c>
      <c r="Q33" s="14" t="s">
        <v>37</v>
      </c>
      <c r="R33" s="14" t="s">
        <v>37</v>
      </c>
      <c r="S33" s="15" t="s">
        <v>37</v>
      </c>
      <c r="T33" s="14" t="s">
        <v>37</v>
      </c>
      <c r="U33" s="15" t="s">
        <v>37</v>
      </c>
      <c r="V33" s="14" t="s">
        <v>320</v>
      </c>
      <c r="W33" s="12">
        <f>HYPERLINK("https://my.pitchbook.com?p=78625-00P","View People Online")</f>
      </c>
    </row>
    <row r="34">
      <c r="A34" s="10" t="s">
        <v>321</v>
      </c>
      <c r="B34" s="10" t="s">
        <v>322</v>
      </c>
      <c r="C34" s="10" t="s">
        <v>323</v>
      </c>
      <c r="D34" s="10" t="s">
        <v>34</v>
      </c>
      <c r="E34" s="10" t="s">
        <v>324</v>
      </c>
      <c r="F34" s="10" t="s">
        <v>325</v>
      </c>
      <c r="G34" s="10" t="s">
        <v>37</v>
      </c>
      <c r="H34" s="10" t="s">
        <v>241</v>
      </c>
      <c r="I34" s="9">
        <v>4</v>
      </c>
      <c r="J34" s="9">
        <v>16</v>
      </c>
      <c r="K34" s="9">
        <v>10</v>
      </c>
      <c r="L34" s="11" t="s">
        <v>326</v>
      </c>
      <c r="M34" s="10" t="s">
        <v>37</v>
      </c>
      <c r="N34" s="10" t="s">
        <v>327</v>
      </c>
      <c r="O34" s="10" t="s">
        <v>328</v>
      </c>
      <c r="P34" s="10" t="s">
        <v>329</v>
      </c>
      <c r="Q34" s="10" t="s">
        <v>330</v>
      </c>
      <c r="R34" s="10" t="s">
        <v>331</v>
      </c>
      <c r="S34" s="11" t="s">
        <v>332</v>
      </c>
      <c r="T34" s="10" t="s">
        <v>120</v>
      </c>
      <c r="U34" s="11" t="s">
        <v>37</v>
      </c>
      <c r="V34" s="10" t="s">
        <v>333</v>
      </c>
      <c r="W34" s="13">
        <f>HYPERLINK("https://my.pitchbook.com?p=217337-68P","View People Online")</f>
      </c>
    </row>
    <row r="35">
      <c r="A35" s="14" t="s">
        <v>334</v>
      </c>
      <c r="B35" s="14" t="s">
        <v>335</v>
      </c>
      <c r="C35" s="14" t="s">
        <v>336</v>
      </c>
      <c r="D35" s="14" t="s">
        <v>34</v>
      </c>
      <c r="E35" s="14" t="s">
        <v>337</v>
      </c>
      <c r="F35" s="14" t="s">
        <v>338</v>
      </c>
      <c r="G35" s="12">
        <f>HYPERLINK("http://www.snapchat.com","www.snapchat.com")</f>
      </c>
      <c r="H35" s="14" t="s">
        <v>38</v>
      </c>
      <c r="I35" s="16">
        <v>1</v>
      </c>
      <c r="J35" s="16">
        <v>1</v>
      </c>
      <c r="K35" s="16" t="s">
        <v>37</v>
      </c>
      <c r="L35" s="15" t="s">
        <v>339</v>
      </c>
      <c r="M35" s="14" t="s">
        <v>37</v>
      </c>
      <c r="N35" s="14" t="s">
        <v>340</v>
      </c>
      <c r="O35" s="14" t="s">
        <v>341</v>
      </c>
      <c r="P35" s="14" t="s">
        <v>37</v>
      </c>
      <c r="Q35" s="14" t="s">
        <v>342</v>
      </c>
      <c r="R35" s="14" t="s">
        <v>343</v>
      </c>
      <c r="S35" s="15" t="s">
        <v>344</v>
      </c>
      <c r="T35" s="14" t="s">
        <v>120</v>
      </c>
      <c r="U35" s="15" t="s">
        <v>37</v>
      </c>
      <c r="V35" s="14" t="s">
        <v>345</v>
      </c>
      <c r="W35" s="12">
        <f>HYPERLINK("https://my.pitchbook.com?p=31195-18P","View People Online")</f>
      </c>
    </row>
    <row r="36">
      <c r="A36" s="10" t="s">
        <v>346</v>
      </c>
      <c r="B36" s="10" t="s">
        <v>347</v>
      </c>
      <c r="C36" s="10" t="s">
        <v>348</v>
      </c>
      <c r="D36" s="10" t="s">
        <v>34</v>
      </c>
      <c r="E36" s="10" t="s">
        <v>349</v>
      </c>
      <c r="F36" s="10" t="s">
        <v>350</v>
      </c>
      <c r="G36" s="13">
        <f>HYPERLINK("http://www.lundbergforetagen.se","www.lundbergforetagen.se")</f>
      </c>
      <c r="H36" s="10" t="s">
        <v>220</v>
      </c>
      <c r="I36" s="9">
        <v>6</v>
      </c>
      <c r="J36" s="9">
        <v>13</v>
      </c>
      <c r="K36" s="9">
        <v>6</v>
      </c>
      <c r="L36" s="11" t="s">
        <v>351</v>
      </c>
      <c r="M36" s="10" t="s">
        <v>352</v>
      </c>
      <c r="N36" s="10" t="s">
        <v>353</v>
      </c>
      <c r="O36" s="10" t="s">
        <v>354</v>
      </c>
      <c r="P36" s="10" t="s">
        <v>355</v>
      </c>
      <c r="Q36" s="10" t="s">
        <v>356</v>
      </c>
      <c r="R36" s="10" t="s">
        <v>37</v>
      </c>
      <c r="S36" s="11" t="s">
        <v>357</v>
      </c>
      <c r="T36" s="10" t="s">
        <v>89</v>
      </c>
      <c r="U36" s="11" t="s">
        <v>358</v>
      </c>
      <c r="V36" s="10" t="s">
        <v>359</v>
      </c>
      <c r="W36" s="13">
        <f>HYPERLINK("https://my.pitchbook.com?p=94655-08P","View People Online")</f>
      </c>
    </row>
    <row r="37">
      <c r="A37" s="14" t="s">
        <v>360</v>
      </c>
      <c r="B37" s="14" t="s">
        <v>361</v>
      </c>
      <c r="C37" s="14" t="s">
        <v>362</v>
      </c>
      <c r="D37" s="14" t="s">
        <v>34</v>
      </c>
      <c r="E37" s="14" t="s">
        <v>363</v>
      </c>
      <c r="F37" s="14" t="s">
        <v>364</v>
      </c>
      <c r="G37" s="12">
        <f>HYPERLINK("http://www.glencore.com","www.glencore.com")</f>
      </c>
      <c r="H37" s="14" t="s">
        <v>241</v>
      </c>
      <c r="I37" s="16">
        <v>1</v>
      </c>
      <c r="J37" s="16">
        <v>1</v>
      </c>
      <c r="K37" s="16" t="s">
        <v>37</v>
      </c>
      <c r="L37" s="15" t="s">
        <v>365</v>
      </c>
      <c r="M37" s="14" t="s">
        <v>366</v>
      </c>
      <c r="N37" s="14" t="s">
        <v>367</v>
      </c>
      <c r="O37" s="14" t="s">
        <v>368</v>
      </c>
      <c r="P37" s="14" t="s">
        <v>37</v>
      </c>
      <c r="Q37" s="14" t="s">
        <v>369</v>
      </c>
      <c r="R37" s="14" t="s">
        <v>37</v>
      </c>
      <c r="S37" s="15" t="s">
        <v>370</v>
      </c>
      <c r="T37" s="14" t="s">
        <v>371</v>
      </c>
      <c r="U37" s="15" t="s">
        <v>372</v>
      </c>
      <c r="V37" s="14" t="s">
        <v>373</v>
      </c>
      <c r="W37" s="12">
        <f>HYPERLINK("https://my.pitchbook.com?p=267927-76P","View People Online")</f>
      </c>
    </row>
    <row r="38">
      <c r="A38" s="10" t="s">
        <v>374</v>
      </c>
      <c r="B38" s="10" t="s">
        <v>375</v>
      </c>
      <c r="C38" s="10" t="s">
        <v>376</v>
      </c>
      <c r="D38" s="10" t="s">
        <v>34</v>
      </c>
      <c r="E38" s="10" t="s">
        <v>377</v>
      </c>
      <c r="F38" s="10" t="s">
        <v>378</v>
      </c>
      <c r="G38" s="13">
        <f>HYPERLINK("http://www.adaniports.com","www.adaniports.com")</f>
      </c>
      <c r="H38" s="10" t="s">
        <v>379</v>
      </c>
      <c r="I38" s="9">
        <v>10</v>
      </c>
      <c r="J38" s="9">
        <v>27</v>
      </c>
      <c r="K38" s="9">
        <v>16</v>
      </c>
      <c r="L38" s="11" t="s">
        <v>380</v>
      </c>
      <c r="M38" s="10" t="s">
        <v>381</v>
      </c>
      <c r="N38" s="10" t="s">
        <v>382</v>
      </c>
      <c r="O38" s="10" t="s">
        <v>383</v>
      </c>
      <c r="P38" s="10" t="s">
        <v>384</v>
      </c>
      <c r="Q38" s="10" t="s">
        <v>385</v>
      </c>
      <c r="R38" s="10" t="s">
        <v>386</v>
      </c>
      <c r="S38" s="11" t="s">
        <v>387</v>
      </c>
      <c r="T38" s="10" t="s">
        <v>135</v>
      </c>
      <c r="U38" s="11" t="s">
        <v>388</v>
      </c>
      <c r="V38" s="10" t="s">
        <v>389</v>
      </c>
      <c r="W38" s="13">
        <f>HYPERLINK("https://my.pitchbook.com?p=65134-72P","View People Online")</f>
      </c>
    </row>
    <row r="39">
      <c r="A39" s="14" t="s">
        <v>390</v>
      </c>
      <c r="B39" s="14" t="s">
        <v>391</v>
      </c>
      <c r="C39" s="14" t="s">
        <v>392</v>
      </c>
      <c r="D39" s="14" t="s">
        <v>34</v>
      </c>
      <c r="E39" s="14" t="s">
        <v>393</v>
      </c>
      <c r="F39" s="14" t="s">
        <v>394</v>
      </c>
      <c r="G39" s="12">
        <f>HYPERLINK("http://www.bancasistema.it","www.bancasistema.it")</f>
      </c>
      <c r="H39" s="14" t="s">
        <v>241</v>
      </c>
      <c r="I39" s="16">
        <v>2</v>
      </c>
      <c r="J39" s="16">
        <v>5</v>
      </c>
      <c r="K39" s="16">
        <v>3</v>
      </c>
      <c r="L39" s="15" t="s">
        <v>395</v>
      </c>
      <c r="M39" s="14" t="s">
        <v>396</v>
      </c>
      <c r="N39" s="14" t="s">
        <v>397</v>
      </c>
      <c r="O39" s="14" t="s">
        <v>398</v>
      </c>
      <c r="P39" s="14" t="s">
        <v>399</v>
      </c>
      <c r="Q39" s="14" t="s">
        <v>400</v>
      </c>
      <c r="R39" s="14" t="s">
        <v>37</v>
      </c>
      <c r="S39" s="15" t="s">
        <v>401</v>
      </c>
      <c r="T39" s="14" t="s">
        <v>402</v>
      </c>
      <c r="U39" s="15" t="s">
        <v>403</v>
      </c>
      <c r="V39" s="14" t="s">
        <v>404</v>
      </c>
      <c r="W39" s="12">
        <f>HYPERLINK("https://my.pitchbook.com?p=96695-02P","View People Online")</f>
      </c>
    </row>
    <row r="40">
      <c r="A40" s="10" t="s">
        <v>405</v>
      </c>
      <c r="B40" s="10" t="s">
        <v>406</v>
      </c>
      <c r="C40" s="10" t="s">
        <v>407</v>
      </c>
      <c r="D40" s="10" t="s">
        <v>34</v>
      </c>
      <c r="E40" s="10" t="s">
        <v>408</v>
      </c>
      <c r="F40" s="10" t="s">
        <v>409</v>
      </c>
      <c r="G40" s="10" t="s">
        <v>37</v>
      </c>
      <c r="H40" s="10" t="s">
        <v>410</v>
      </c>
      <c r="I40" s="9">
        <v>1</v>
      </c>
      <c r="J40" s="9">
        <v>11</v>
      </c>
      <c r="K40" s="9">
        <v>9</v>
      </c>
      <c r="L40" s="11" t="s">
        <v>411</v>
      </c>
      <c r="M40" s="10" t="s">
        <v>37</v>
      </c>
      <c r="N40" s="10" t="s">
        <v>412</v>
      </c>
      <c r="O40" s="10" t="s">
        <v>413</v>
      </c>
      <c r="P40" s="10" t="s">
        <v>37</v>
      </c>
      <c r="Q40" s="10" t="s">
        <v>414</v>
      </c>
      <c r="R40" s="10" t="s">
        <v>37</v>
      </c>
      <c r="S40" s="11" t="s">
        <v>415</v>
      </c>
      <c r="T40" s="10" t="s">
        <v>416</v>
      </c>
      <c r="U40" s="11" t="s">
        <v>37</v>
      </c>
      <c r="V40" s="10" t="s">
        <v>417</v>
      </c>
      <c r="W40" s="13">
        <f>HYPERLINK("https://my.pitchbook.com?p=39516-49P","View People Online")</f>
      </c>
    </row>
    <row r="41">
      <c r="A41" s="14" t="s">
        <v>418</v>
      </c>
      <c r="B41" s="14" t="s">
        <v>419</v>
      </c>
      <c r="C41" s="14" t="s">
        <v>420</v>
      </c>
      <c r="D41" s="14" t="s">
        <v>34</v>
      </c>
      <c r="E41" s="14" t="s">
        <v>421</v>
      </c>
      <c r="F41" s="14" t="s">
        <v>422</v>
      </c>
      <c r="G41" s="12">
        <f>HYPERLINK("http://www.coursera.org","www.coursera.org")</f>
      </c>
      <c r="H41" s="14" t="s">
        <v>241</v>
      </c>
      <c r="I41" s="16">
        <v>1</v>
      </c>
      <c r="J41" s="16">
        <v>1</v>
      </c>
      <c r="K41" s="16" t="s">
        <v>37</v>
      </c>
      <c r="L41" s="15" t="s">
        <v>423</v>
      </c>
      <c r="M41" s="14" t="s">
        <v>424</v>
      </c>
      <c r="N41" s="14" t="s">
        <v>425</v>
      </c>
      <c r="O41" s="14" t="s">
        <v>426</v>
      </c>
      <c r="P41" s="14" t="s">
        <v>427</v>
      </c>
      <c r="Q41" s="14" t="s">
        <v>428</v>
      </c>
      <c r="R41" s="14" t="s">
        <v>343</v>
      </c>
      <c r="S41" s="15" t="s">
        <v>429</v>
      </c>
      <c r="T41" s="14" t="s">
        <v>120</v>
      </c>
      <c r="U41" s="15" t="s">
        <v>37</v>
      </c>
      <c r="V41" s="14" t="s">
        <v>430</v>
      </c>
      <c r="W41" s="12">
        <f>HYPERLINK("https://my.pitchbook.com?p=226007-92P","View People Online")</f>
      </c>
    </row>
    <row r="42">
      <c r="A42" s="10" t="s">
        <v>431</v>
      </c>
      <c r="B42" s="10" t="s">
        <v>432</v>
      </c>
      <c r="C42" s="10" t="s">
        <v>433</v>
      </c>
      <c r="D42" s="10" t="s">
        <v>34</v>
      </c>
      <c r="E42" s="10" t="s">
        <v>434</v>
      </c>
      <c r="F42" s="10" t="s">
        <v>435</v>
      </c>
      <c r="G42" s="13">
        <f>HYPERLINK("http://www.cfgbank.com","www.cfgbank.com")</f>
      </c>
      <c r="H42" s="10" t="s">
        <v>38</v>
      </c>
      <c r="I42" s="9">
        <v>1</v>
      </c>
      <c r="J42" s="9">
        <v>1</v>
      </c>
      <c r="K42" s="9" t="s">
        <v>37</v>
      </c>
      <c r="L42" s="11" t="s">
        <v>436</v>
      </c>
      <c r="M42" s="10" t="s">
        <v>37</v>
      </c>
      <c r="N42" s="10" t="s">
        <v>437</v>
      </c>
      <c r="O42" s="10" t="s">
        <v>438</v>
      </c>
      <c r="P42" s="10" t="s">
        <v>37</v>
      </c>
      <c r="Q42" s="10" t="s">
        <v>439</v>
      </c>
      <c r="R42" s="10" t="s">
        <v>37</v>
      </c>
      <c r="S42" s="11" t="s">
        <v>440</v>
      </c>
      <c r="T42" s="10" t="s">
        <v>441</v>
      </c>
      <c r="U42" s="11" t="s">
        <v>442</v>
      </c>
      <c r="V42" s="10" t="s">
        <v>443</v>
      </c>
      <c r="W42" s="13">
        <f>HYPERLINK("https://my.pitchbook.com?p=456672-16P","View People Online")</f>
      </c>
    </row>
    <row r="43">
      <c r="A43" s="14" t="s">
        <v>444</v>
      </c>
      <c r="B43" s="14" t="s">
        <v>445</v>
      </c>
      <c r="C43" s="14" t="s">
        <v>446</v>
      </c>
      <c r="D43" s="14" t="s">
        <v>34</v>
      </c>
      <c r="E43" s="14" t="s">
        <v>447</v>
      </c>
      <c r="F43" s="14" t="s">
        <v>448</v>
      </c>
      <c r="G43" s="12">
        <f>HYPERLINK("http://www.upm.com","www.upm.com")</f>
      </c>
      <c r="H43" s="14" t="s">
        <v>54</v>
      </c>
      <c r="I43" s="16">
        <v>2</v>
      </c>
      <c r="J43" s="16">
        <v>3</v>
      </c>
      <c r="K43" s="16">
        <v>1</v>
      </c>
      <c r="L43" s="15" t="s">
        <v>449</v>
      </c>
      <c r="M43" s="14" t="s">
        <v>450</v>
      </c>
      <c r="N43" s="14" t="s">
        <v>451</v>
      </c>
      <c r="O43" s="14" t="s">
        <v>452</v>
      </c>
      <c r="P43" s="14" t="s">
        <v>37</v>
      </c>
      <c r="Q43" s="14" t="s">
        <v>453</v>
      </c>
      <c r="R43" s="14" t="s">
        <v>37</v>
      </c>
      <c r="S43" s="15" t="s">
        <v>454</v>
      </c>
      <c r="T43" s="14" t="s">
        <v>455</v>
      </c>
      <c r="U43" s="15" t="s">
        <v>456</v>
      </c>
      <c r="V43" s="14" t="s">
        <v>457</v>
      </c>
      <c r="W43" s="12">
        <f>HYPERLINK("https://my.pitchbook.com?p=87284-08P","View People Online")</f>
      </c>
    </row>
    <row r="44">
      <c r="A44" s="10" t="s">
        <v>458</v>
      </c>
      <c r="B44" s="10" t="s">
        <v>459</v>
      </c>
      <c r="C44" s="10" t="s">
        <v>460</v>
      </c>
      <c r="D44" s="10" t="s">
        <v>34</v>
      </c>
      <c r="E44" s="10" t="s">
        <v>461</v>
      </c>
      <c r="F44" s="10" t="s">
        <v>462</v>
      </c>
      <c r="G44" s="13">
        <f>HYPERLINK("http://www.tencent.com","www.tencent.com")</f>
      </c>
      <c r="H44" s="10" t="s">
        <v>463</v>
      </c>
      <c r="I44" s="9">
        <v>2</v>
      </c>
      <c r="J44" s="9">
        <v>27</v>
      </c>
      <c r="K44" s="9">
        <v>23</v>
      </c>
      <c r="L44" s="11" t="s">
        <v>464</v>
      </c>
      <c r="M44" s="10" t="s">
        <v>465</v>
      </c>
      <c r="N44" s="10" t="s">
        <v>466</v>
      </c>
      <c r="O44" s="10" t="s">
        <v>467</v>
      </c>
      <c r="P44" s="10" t="s">
        <v>468</v>
      </c>
      <c r="Q44" s="10" t="s">
        <v>469</v>
      </c>
      <c r="R44" s="10" t="s">
        <v>470</v>
      </c>
      <c r="S44" s="11" t="s">
        <v>471</v>
      </c>
      <c r="T44" s="10" t="s">
        <v>472</v>
      </c>
      <c r="U44" s="11" t="s">
        <v>37</v>
      </c>
      <c r="V44" s="10" t="s">
        <v>473</v>
      </c>
      <c r="W44" s="13">
        <f>HYPERLINK("https://my.pitchbook.com?p=39151-09P","View People Online")</f>
      </c>
    </row>
    <row r="45">
      <c r="A45" s="14" t="s">
        <v>474</v>
      </c>
      <c r="B45" s="14" t="s">
        <v>475</v>
      </c>
      <c r="C45" s="14" t="s">
        <v>476</v>
      </c>
      <c r="D45" s="14" t="s">
        <v>34</v>
      </c>
      <c r="E45" s="14" t="s">
        <v>477</v>
      </c>
      <c r="F45" s="14" t="s">
        <v>478</v>
      </c>
      <c r="G45" s="12">
        <f>HYPERLINK("http://www.gbl.com","www.gbl.com")</f>
      </c>
      <c r="H45" s="14" t="s">
        <v>479</v>
      </c>
      <c r="I45" s="16">
        <v>6</v>
      </c>
      <c r="J45" s="16">
        <v>48</v>
      </c>
      <c r="K45" s="16">
        <v>41</v>
      </c>
      <c r="L45" s="15" t="s">
        <v>480</v>
      </c>
      <c r="M45" s="14" t="s">
        <v>481</v>
      </c>
      <c r="N45" s="14" t="s">
        <v>482</v>
      </c>
      <c r="O45" s="14" t="s">
        <v>483</v>
      </c>
      <c r="P45" s="14" t="s">
        <v>37</v>
      </c>
      <c r="Q45" s="14" t="s">
        <v>484</v>
      </c>
      <c r="R45" s="14" t="s">
        <v>37</v>
      </c>
      <c r="S45" s="15" t="s">
        <v>485</v>
      </c>
      <c r="T45" s="14" t="s">
        <v>486</v>
      </c>
      <c r="U45" s="15" t="s">
        <v>37</v>
      </c>
      <c r="V45" s="14" t="s">
        <v>487</v>
      </c>
      <c r="W45" s="12">
        <f>HYPERLINK("https://my.pitchbook.com?p=51475-33P","View People Online")</f>
      </c>
    </row>
    <row r="46">
      <c r="A46" s="10" t="s">
        <v>488</v>
      </c>
      <c r="B46" s="10" t="s">
        <v>489</v>
      </c>
      <c r="C46" s="10" t="s">
        <v>490</v>
      </c>
      <c r="D46" s="10" t="s">
        <v>34</v>
      </c>
      <c r="E46" s="10" t="s">
        <v>491</v>
      </c>
      <c r="F46" s="10" t="s">
        <v>492</v>
      </c>
      <c r="G46" s="13">
        <f>HYPERLINK("http://www.glencore.com","www.glencore.com")</f>
      </c>
      <c r="H46" s="10" t="s">
        <v>493</v>
      </c>
      <c r="I46" s="9" t="s">
        <v>37</v>
      </c>
      <c r="J46" s="9">
        <v>8</v>
      </c>
      <c r="K46" s="9">
        <v>7</v>
      </c>
      <c r="L46" s="11" t="s">
        <v>37</v>
      </c>
      <c r="M46" s="10" t="s">
        <v>494</v>
      </c>
      <c r="N46" s="10" t="s">
        <v>495</v>
      </c>
      <c r="O46" s="10" t="s">
        <v>37</v>
      </c>
      <c r="P46" s="10" t="s">
        <v>37</v>
      </c>
      <c r="Q46" s="10" t="s">
        <v>496</v>
      </c>
      <c r="R46" s="10" t="s">
        <v>37</v>
      </c>
      <c r="S46" s="11" t="s">
        <v>37</v>
      </c>
      <c r="T46" s="10" t="s">
        <v>371</v>
      </c>
      <c r="U46" s="11" t="s">
        <v>37</v>
      </c>
      <c r="V46" s="10" t="s">
        <v>497</v>
      </c>
      <c r="W46" s="13">
        <f>HYPERLINK("https://my.pitchbook.com?p=31494-43P","View People Online")</f>
      </c>
    </row>
    <row r="47">
      <c r="A47" s="14" t="s">
        <v>498</v>
      </c>
      <c r="B47" s="14" t="s">
        <v>499</v>
      </c>
      <c r="C47" s="14" t="s">
        <v>500</v>
      </c>
      <c r="D47" s="14" t="s">
        <v>34</v>
      </c>
      <c r="E47" s="14" t="s">
        <v>501</v>
      </c>
      <c r="F47" s="14" t="s">
        <v>502</v>
      </c>
      <c r="G47" s="14" t="s">
        <v>37</v>
      </c>
      <c r="H47" s="14" t="s">
        <v>38</v>
      </c>
      <c r="I47" s="16">
        <v>1</v>
      </c>
      <c r="J47" s="16">
        <v>1</v>
      </c>
      <c r="K47" s="16" t="s">
        <v>37</v>
      </c>
      <c r="L47" s="15" t="s">
        <v>503</v>
      </c>
      <c r="M47" s="14" t="s">
        <v>37</v>
      </c>
      <c r="N47" s="14" t="s">
        <v>504</v>
      </c>
      <c r="O47" s="14" t="s">
        <v>505</v>
      </c>
      <c r="P47" s="14" t="s">
        <v>427</v>
      </c>
      <c r="Q47" s="14" t="s">
        <v>506</v>
      </c>
      <c r="R47" s="14" t="s">
        <v>287</v>
      </c>
      <c r="S47" s="15" t="s">
        <v>507</v>
      </c>
      <c r="T47" s="14" t="s">
        <v>120</v>
      </c>
      <c r="U47" s="15" t="s">
        <v>37</v>
      </c>
      <c r="V47" s="14" t="s">
        <v>508</v>
      </c>
      <c r="W47" s="12">
        <f>HYPERLINK("https://my.pitchbook.com?p=288884-44P","View People Online")</f>
      </c>
    </row>
    <row r="48">
      <c r="A48" s="10" t="s">
        <v>509</v>
      </c>
      <c r="B48" s="10" t="s">
        <v>510</v>
      </c>
      <c r="C48" s="10" t="s">
        <v>511</v>
      </c>
      <c r="D48" s="10" t="s">
        <v>34</v>
      </c>
      <c r="E48" s="10" t="s">
        <v>512</v>
      </c>
      <c r="F48" s="10" t="s">
        <v>513</v>
      </c>
      <c r="G48" s="13">
        <f>HYPERLINK("http://www.global.abb","www.global.abb")</f>
      </c>
      <c r="H48" s="10" t="s">
        <v>514</v>
      </c>
      <c r="I48" s="9">
        <v>6</v>
      </c>
      <c r="J48" s="9">
        <v>6</v>
      </c>
      <c r="K48" s="9" t="s">
        <v>37</v>
      </c>
      <c r="L48" s="11" t="s">
        <v>515</v>
      </c>
      <c r="M48" s="10" t="s">
        <v>516</v>
      </c>
      <c r="N48" s="10" t="s">
        <v>517</v>
      </c>
      <c r="O48" s="10" t="s">
        <v>518</v>
      </c>
      <c r="P48" s="10" t="s">
        <v>37</v>
      </c>
      <c r="Q48" s="10" t="s">
        <v>519</v>
      </c>
      <c r="R48" s="10" t="s">
        <v>37</v>
      </c>
      <c r="S48" s="11" t="s">
        <v>520</v>
      </c>
      <c r="T48" s="10" t="s">
        <v>371</v>
      </c>
      <c r="U48" s="11" t="s">
        <v>521</v>
      </c>
      <c r="V48" s="10" t="s">
        <v>522</v>
      </c>
      <c r="W48" s="13">
        <f>HYPERLINK("https://my.pitchbook.com?p=55427-86P","View People Online")</f>
      </c>
    </row>
    <row r="49">
      <c r="A49" s="14" t="s">
        <v>523</v>
      </c>
      <c r="B49" s="14" t="s">
        <v>524</v>
      </c>
      <c r="C49" s="14" t="s">
        <v>525</v>
      </c>
      <c r="D49" s="14" t="s">
        <v>34</v>
      </c>
      <c r="E49" s="14" t="s">
        <v>526</v>
      </c>
      <c r="F49" s="14" t="s">
        <v>527</v>
      </c>
      <c r="G49" s="12">
        <f>HYPERLINK("http://www.sernova.com","www.sernova.com")</f>
      </c>
      <c r="H49" s="14" t="s">
        <v>528</v>
      </c>
      <c r="I49" s="16">
        <v>3</v>
      </c>
      <c r="J49" s="16">
        <v>3</v>
      </c>
      <c r="K49" s="16" t="s">
        <v>37</v>
      </c>
      <c r="L49" s="15" t="s">
        <v>529</v>
      </c>
      <c r="M49" s="14" t="s">
        <v>530</v>
      </c>
      <c r="N49" s="14" t="s">
        <v>531</v>
      </c>
      <c r="O49" s="14" t="s">
        <v>532</v>
      </c>
      <c r="P49" s="14" t="s">
        <v>533</v>
      </c>
      <c r="Q49" s="14" t="s">
        <v>534</v>
      </c>
      <c r="R49" s="14" t="s">
        <v>169</v>
      </c>
      <c r="S49" s="15" t="s">
        <v>535</v>
      </c>
      <c r="T49" s="14" t="s">
        <v>171</v>
      </c>
      <c r="U49" s="15" t="s">
        <v>536</v>
      </c>
      <c r="V49" s="14" t="s">
        <v>537</v>
      </c>
      <c r="W49" s="12">
        <f>HYPERLINK("https://my.pitchbook.com?p=37124-65P","View People Online")</f>
      </c>
    </row>
    <row r="50">
      <c r="A50" s="10" t="s">
        <v>538</v>
      </c>
      <c r="B50" s="10" t="s">
        <v>524</v>
      </c>
      <c r="C50" s="10" t="s">
        <v>539</v>
      </c>
      <c r="D50" s="10" t="s">
        <v>34</v>
      </c>
      <c r="E50" s="10" t="s">
        <v>526</v>
      </c>
      <c r="F50" s="10" t="s">
        <v>527</v>
      </c>
      <c r="G50" s="13">
        <f>HYPERLINK("http://www.ascentresources.co.uk","www.ascentresources.co.uk")</f>
      </c>
      <c r="H50" s="10" t="s">
        <v>540</v>
      </c>
      <c r="I50" s="9">
        <v>3</v>
      </c>
      <c r="J50" s="9">
        <v>5</v>
      </c>
      <c r="K50" s="9">
        <v>2</v>
      </c>
      <c r="L50" s="11" t="s">
        <v>541</v>
      </c>
      <c r="M50" s="10" t="s">
        <v>542</v>
      </c>
      <c r="N50" s="10" t="s">
        <v>543</v>
      </c>
      <c r="O50" s="10" t="s">
        <v>544</v>
      </c>
      <c r="P50" s="10" t="s">
        <v>37</v>
      </c>
      <c r="Q50" s="10" t="s">
        <v>534</v>
      </c>
      <c r="R50" s="10" t="s">
        <v>259</v>
      </c>
      <c r="S50" s="11" t="s">
        <v>545</v>
      </c>
      <c r="T50" s="10" t="s">
        <v>260</v>
      </c>
      <c r="U50" s="11" t="s">
        <v>37</v>
      </c>
      <c r="V50" s="10" t="s">
        <v>546</v>
      </c>
      <c r="W50" s="13">
        <f>HYPERLINK("https://my.pitchbook.com?p=81726-58P","View People Online")</f>
      </c>
    </row>
    <row r="51">
      <c r="A51" s="14" t="s">
        <v>547</v>
      </c>
      <c r="B51" s="14" t="s">
        <v>548</v>
      </c>
      <c r="C51" s="14" t="s">
        <v>549</v>
      </c>
      <c r="D51" s="14" t="s">
        <v>34</v>
      </c>
      <c r="E51" s="14" t="s">
        <v>550</v>
      </c>
      <c r="F51" s="14" t="s">
        <v>527</v>
      </c>
      <c r="G51" s="12">
        <f>HYPERLINK("http://www.f5.com","www.f5.com")</f>
      </c>
      <c r="H51" s="14" t="s">
        <v>38</v>
      </c>
      <c r="I51" s="16" t="s">
        <v>37</v>
      </c>
      <c r="J51" s="16" t="s">
        <v>37</v>
      </c>
      <c r="K51" s="16" t="s">
        <v>37</v>
      </c>
      <c r="L51" s="15" t="s">
        <v>37</v>
      </c>
      <c r="M51" s="14" t="s">
        <v>37</v>
      </c>
      <c r="N51" s="14" t="s">
        <v>37</v>
      </c>
      <c r="O51" s="14" t="s">
        <v>37</v>
      </c>
      <c r="P51" s="14" t="s">
        <v>37</v>
      </c>
      <c r="Q51" s="14" t="s">
        <v>37</v>
      </c>
      <c r="R51" s="14" t="s">
        <v>37</v>
      </c>
      <c r="S51" s="15" t="s">
        <v>37</v>
      </c>
      <c r="T51" s="14" t="s">
        <v>37</v>
      </c>
      <c r="U51" s="15" t="s">
        <v>37</v>
      </c>
      <c r="V51" s="14" t="s">
        <v>551</v>
      </c>
      <c r="W51" s="12">
        <f>HYPERLINK("https://my.pitchbook.com?p=289882-27P","View People Online")</f>
      </c>
    </row>
    <row r="52">
      <c r="A52" s="10" t="s">
        <v>552</v>
      </c>
      <c r="B52" s="10" t="s">
        <v>553</v>
      </c>
      <c r="C52" s="10" t="s">
        <v>554</v>
      </c>
      <c r="D52" s="10" t="s">
        <v>34</v>
      </c>
      <c r="E52" s="10" t="s">
        <v>555</v>
      </c>
      <c r="F52" s="10" t="s">
        <v>556</v>
      </c>
      <c r="G52" s="13">
        <f>HYPERLINK("http://www.applieddigital.com","www.applieddigital.com")</f>
      </c>
      <c r="H52" s="10" t="s">
        <v>557</v>
      </c>
      <c r="I52" s="9" t="s">
        <v>37</v>
      </c>
      <c r="J52" s="9" t="s">
        <v>37</v>
      </c>
      <c r="K52" s="9" t="s">
        <v>37</v>
      </c>
      <c r="L52" s="11" t="s">
        <v>37</v>
      </c>
      <c r="M52" s="10" t="s">
        <v>558</v>
      </c>
      <c r="N52" s="10" t="s">
        <v>37</v>
      </c>
      <c r="O52" s="10" t="s">
        <v>37</v>
      </c>
      <c r="P52" s="10" t="s">
        <v>37</v>
      </c>
      <c r="Q52" s="10" t="s">
        <v>37</v>
      </c>
      <c r="R52" s="10" t="s">
        <v>37</v>
      </c>
      <c r="S52" s="11" t="s">
        <v>37</v>
      </c>
      <c r="T52" s="10" t="s">
        <v>37</v>
      </c>
      <c r="U52" s="11" t="s">
        <v>37</v>
      </c>
      <c r="V52" s="10" t="s">
        <v>559</v>
      </c>
      <c r="W52" s="13">
        <f>HYPERLINK("https://my.pitchbook.com?p=342725-41P","View People Online")</f>
      </c>
    </row>
    <row r="53">
      <c r="A53" s="14" t="s">
        <v>560</v>
      </c>
      <c r="B53" s="14" t="s">
        <v>561</v>
      </c>
      <c r="C53" s="14" t="s">
        <v>562</v>
      </c>
      <c r="D53" s="14" t="s">
        <v>34</v>
      </c>
      <c r="E53" s="14" t="s">
        <v>563</v>
      </c>
      <c r="F53" s="14" t="s">
        <v>564</v>
      </c>
      <c r="G53" s="12">
        <f>HYPERLINK("http://www.dunelm.com","www.dunelm.com")</f>
      </c>
      <c r="H53" s="14" t="s">
        <v>565</v>
      </c>
      <c r="I53" s="16">
        <v>6</v>
      </c>
      <c r="J53" s="16">
        <v>10</v>
      </c>
      <c r="K53" s="16">
        <v>3</v>
      </c>
      <c r="L53" s="15" t="s">
        <v>37</v>
      </c>
      <c r="M53" s="14" t="s">
        <v>37</v>
      </c>
      <c r="N53" s="14" t="s">
        <v>543</v>
      </c>
      <c r="O53" s="14" t="s">
        <v>566</v>
      </c>
      <c r="P53" s="14" t="s">
        <v>37</v>
      </c>
      <c r="Q53" s="14" t="s">
        <v>534</v>
      </c>
      <c r="R53" s="14" t="s">
        <v>259</v>
      </c>
      <c r="S53" s="15" t="s">
        <v>567</v>
      </c>
      <c r="T53" s="14" t="s">
        <v>260</v>
      </c>
      <c r="U53" s="15" t="s">
        <v>37</v>
      </c>
      <c r="V53" s="14" t="s">
        <v>568</v>
      </c>
      <c r="W53" s="12">
        <f>HYPERLINK("https://my.pitchbook.com?p=43303-06P","View People Online")</f>
      </c>
    </row>
    <row r="54">
      <c r="A54" s="10" t="s">
        <v>569</v>
      </c>
      <c r="B54" s="10" t="s">
        <v>570</v>
      </c>
      <c r="C54" s="10" t="s">
        <v>571</v>
      </c>
      <c r="D54" s="10" t="s">
        <v>34</v>
      </c>
      <c r="E54" s="10" t="s">
        <v>572</v>
      </c>
      <c r="F54" s="10" t="s">
        <v>564</v>
      </c>
      <c r="G54" s="13">
        <f>HYPERLINK("http://www.corecivic.com","www.corecivic.com")</f>
      </c>
      <c r="H54" s="10" t="s">
        <v>38</v>
      </c>
      <c r="I54" s="9" t="s">
        <v>37</v>
      </c>
      <c r="J54" s="9" t="s">
        <v>37</v>
      </c>
      <c r="K54" s="9" t="s">
        <v>37</v>
      </c>
      <c r="L54" s="11" t="s">
        <v>37</v>
      </c>
      <c r="M54" s="10" t="s">
        <v>37</v>
      </c>
      <c r="N54" s="10" t="s">
        <v>37</v>
      </c>
      <c r="O54" s="10" t="s">
        <v>37</v>
      </c>
      <c r="P54" s="10" t="s">
        <v>37</v>
      </c>
      <c r="Q54" s="10" t="s">
        <v>37</v>
      </c>
      <c r="R54" s="10" t="s">
        <v>37</v>
      </c>
      <c r="S54" s="11" t="s">
        <v>37</v>
      </c>
      <c r="T54" s="10" t="s">
        <v>37</v>
      </c>
      <c r="U54" s="11" t="s">
        <v>37</v>
      </c>
      <c r="V54" s="10" t="s">
        <v>573</v>
      </c>
      <c r="W54" s="13">
        <f>HYPERLINK("https://my.pitchbook.com?p=46974-43P","View People Online")</f>
      </c>
    </row>
    <row r="55">
      <c r="A55" s="14" t="s">
        <v>574</v>
      </c>
      <c r="B55" s="14" t="s">
        <v>575</v>
      </c>
      <c r="C55" s="14" t="s">
        <v>576</v>
      </c>
      <c r="D55" s="14" t="s">
        <v>34</v>
      </c>
      <c r="E55" s="14" t="s">
        <v>577</v>
      </c>
      <c r="F55" s="14" t="s">
        <v>578</v>
      </c>
      <c r="G55" s="12">
        <f>HYPERLINK("http://www.nikolamotor.com","www.nikolamotor.com")</f>
      </c>
      <c r="H55" s="14" t="s">
        <v>38</v>
      </c>
      <c r="I55" s="16">
        <v>1</v>
      </c>
      <c r="J55" s="16">
        <v>4</v>
      </c>
      <c r="K55" s="16">
        <v>2</v>
      </c>
      <c r="L55" s="15" t="s">
        <v>37</v>
      </c>
      <c r="M55" s="14" t="s">
        <v>579</v>
      </c>
      <c r="N55" s="14" t="s">
        <v>580</v>
      </c>
      <c r="O55" s="14" t="s">
        <v>581</v>
      </c>
      <c r="P55" s="14" t="s">
        <v>37</v>
      </c>
      <c r="Q55" s="14" t="s">
        <v>582</v>
      </c>
      <c r="R55" s="14" t="s">
        <v>583</v>
      </c>
      <c r="S55" s="15" t="s">
        <v>584</v>
      </c>
      <c r="T55" s="14" t="s">
        <v>120</v>
      </c>
      <c r="U55" s="15" t="s">
        <v>37</v>
      </c>
      <c r="V55" s="14" t="s">
        <v>585</v>
      </c>
      <c r="W55" s="12">
        <f>HYPERLINK("https://my.pitchbook.com?p=75093-94P","View People Online")</f>
      </c>
    </row>
    <row r="56">
      <c r="A56" s="10" t="s">
        <v>586</v>
      </c>
      <c r="B56" s="10" t="s">
        <v>587</v>
      </c>
      <c r="C56" s="10" t="s">
        <v>588</v>
      </c>
      <c r="D56" s="10" t="s">
        <v>34</v>
      </c>
      <c r="E56" s="10" t="s">
        <v>589</v>
      </c>
      <c r="F56" s="10" t="s">
        <v>590</v>
      </c>
      <c r="G56" s="13">
        <f>HYPERLINK("http://www.mi.com","www.mi.com")</f>
      </c>
      <c r="H56" s="10" t="s">
        <v>591</v>
      </c>
      <c r="I56" s="9">
        <v>5</v>
      </c>
      <c r="J56" s="9">
        <v>59</v>
      </c>
      <c r="K56" s="9">
        <v>43</v>
      </c>
      <c r="L56" s="11" t="s">
        <v>592</v>
      </c>
      <c r="M56" s="10" t="s">
        <v>593</v>
      </c>
      <c r="N56" s="10" t="s">
        <v>594</v>
      </c>
      <c r="O56" s="10" t="s">
        <v>595</v>
      </c>
      <c r="P56" s="10" t="s">
        <v>596</v>
      </c>
      <c r="Q56" s="10" t="s">
        <v>597</v>
      </c>
      <c r="R56" s="10" t="s">
        <v>37</v>
      </c>
      <c r="S56" s="11" t="s">
        <v>598</v>
      </c>
      <c r="T56" s="10" t="s">
        <v>472</v>
      </c>
      <c r="U56" s="11" t="s">
        <v>592</v>
      </c>
      <c r="V56" s="10" t="s">
        <v>599</v>
      </c>
      <c r="W56" s="13">
        <f>HYPERLINK("https://my.pitchbook.com?p=39721-60P","View People Online")</f>
      </c>
    </row>
    <row r="57">
      <c r="A57" s="14" t="s">
        <v>600</v>
      </c>
      <c r="B57" s="14" t="s">
        <v>601</v>
      </c>
      <c r="C57" s="14" t="s">
        <v>602</v>
      </c>
      <c r="D57" s="14" t="s">
        <v>34</v>
      </c>
      <c r="E57" s="14" t="s">
        <v>603</v>
      </c>
      <c r="F57" s="14" t="s">
        <v>604</v>
      </c>
      <c r="G57" s="12">
        <f>HYPERLINK("http://www.boliden.com","www.boliden.com")</f>
      </c>
      <c r="H57" s="14" t="s">
        <v>54</v>
      </c>
      <c r="I57" s="16">
        <v>4</v>
      </c>
      <c r="J57" s="16">
        <v>10</v>
      </c>
      <c r="K57" s="16">
        <v>6</v>
      </c>
      <c r="L57" s="15" t="s">
        <v>605</v>
      </c>
      <c r="M57" s="14" t="s">
        <v>37</v>
      </c>
      <c r="N57" s="14" t="s">
        <v>353</v>
      </c>
      <c r="O57" s="14" t="s">
        <v>606</v>
      </c>
      <c r="P57" s="14" t="s">
        <v>607</v>
      </c>
      <c r="Q57" s="14" t="s">
        <v>356</v>
      </c>
      <c r="R57" s="14" t="s">
        <v>37</v>
      </c>
      <c r="S57" s="15" t="s">
        <v>608</v>
      </c>
      <c r="T57" s="14" t="s">
        <v>89</v>
      </c>
      <c r="U57" s="15" t="s">
        <v>609</v>
      </c>
      <c r="V57" s="14" t="s">
        <v>610</v>
      </c>
      <c r="W57" s="12">
        <f>HYPERLINK("https://my.pitchbook.com?p=29742-31P","View People Online")</f>
      </c>
    </row>
    <row r="58">
      <c r="A58" s="10" t="s">
        <v>611</v>
      </c>
      <c r="B58" s="10" t="s">
        <v>612</v>
      </c>
      <c r="C58" s="10" t="s">
        <v>613</v>
      </c>
      <c r="D58" s="10" t="s">
        <v>34</v>
      </c>
      <c r="E58" s="10" t="s">
        <v>614</v>
      </c>
      <c r="F58" s="10" t="s">
        <v>615</v>
      </c>
      <c r="G58" s="13">
        <f>HYPERLINK("http://www.jgc.com","www.jgc.com")</f>
      </c>
      <c r="H58" s="10" t="s">
        <v>38</v>
      </c>
      <c r="I58" s="9" t="s">
        <v>37</v>
      </c>
      <c r="J58" s="9" t="s">
        <v>37</v>
      </c>
      <c r="K58" s="9" t="s">
        <v>37</v>
      </c>
      <c r="L58" s="11" t="s">
        <v>37</v>
      </c>
      <c r="M58" s="10" t="s">
        <v>37</v>
      </c>
      <c r="N58" s="10" t="s">
        <v>37</v>
      </c>
      <c r="O58" s="10" t="s">
        <v>37</v>
      </c>
      <c r="P58" s="10" t="s">
        <v>37</v>
      </c>
      <c r="Q58" s="10" t="s">
        <v>37</v>
      </c>
      <c r="R58" s="10" t="s">
        <v>37</v>
      </c>
      <c r="S58" s="11" t="s">
        <v>37</v>
      </c>
      <c r="T58" s="10" t="s">
        <v>37</v>
      </c>
      <c r="U58" s="11" t="s">
        <v>37</v>
      </c>
      <c r="V58" s="10" t="s">
        <v>616</v>
      </c>
      <c r="W58" s="13">
        <f>HYPERLINK("https://my.pitchbook.com?p=286570-18P","View People Online")</f>
      </c>
    </row>
    <row r="59">
      <c r="A59" s="14" t="s">
        <v>617</v>
      </c>
      <c r="B59" s="14" t="s">
        <v>618</v>
      </c>
      <c r="C59" s="14" t="s">
        <v>619</v>
      </c>
      <c r="D59" s="14" t="s">
        <v>34</v>
      </c>
      <c r="E59" s="14" t="s">
        <v>620</v>
      </c>
      <c r="F59" s="14" t="s">
        <v>621</v>
      </c>
      <c r="G59" s="12">
        <f>HYPERLINK("http://www.affirm.com","www.affirm.com")</f>
      </c>
      <c r="H59" s="14" t="s">
        <v>38</v>
      </c>
      <c r="I59" s="16">
        <v>24</v>
      </c>
      <c r="J59" s="16">
        <v>296</v>
      </c>
      <c r="K59" s="16">
        <v>249</v>
      </c>
      <c r="L59" s="15" t="s">
        <v>622</v>
      </c>
      <c r="M59" s="14" t="s">
        <v>37</v>
      </c>
      <c r="N59" s="14" t="s">
        <v>623</v>
      </c>
      <c r="O59" s="14" t="s">
        <v>624</v>
      </c>
      <c r="P59" s="14" t="s">
        <v>625</v>
      </c>
      <c r="Q59" s="14" t="s">
        <v>626</v>
      </c>
      <c r="R59" s="14" t="s">
        <v>343</v>
      </c>
      <c r="S59" s="15" t="s">
        <v>627</v>
      </c>
      <c r="T59" s="14" t="s">
        <v>120</v>
      </c>
      <c r="U59" s="15" t="s">
        <v>37</v>
      </c>
      <c r="V59" s="14" t="s">
        <v>628</v>
      </c>
      <c r="W59" s="12">
        <f>HYPERLINK("https://my.pitchbook.com?p=45899-20P","View People Online")</f>
      </c>
    </row>
    <row r="60">
      <c r="A60" s="10" t="s">
        <v>629</v>
      </c>
      <c r="B60" s="10" t="s">
        <v>630</v>
      </c>
      <c r="C60" s="10" t="s">
        <v>631</v>
      </c>
      <c r="D60" s="10" t="s">
        <v>34</v>
      </c>
      <c r="E60" s="10" t="s">
        <v>632</v>
      </c>
      <c r="F60" s="10" t="s">
        <v>633</v>
      </c>
      <c r="G60" s="13">
        <f>HYPERLINK("http://www.albasmelter.com","www.albasmelter.com")</f>
      </c>
      <c r="H60" s="10" t="s">
        <v>54</v>
      </c>
      <c r="I60" s="9">
        <v>1</v>
      </c>
      <c r="J60" s="9">
        <v>2</v>
      </c>
      <c r="K60" s="9">
        <v>1</v>
      </c>
      <c r="L60" s="11" t="s">
        <v>634</v>
      </c>
      <c r="M60" s="10" t="s">
        <v>37</v>
      </c>
      <c r="N60" s="10" t="s">
        <v>635</v>
      </c>
      <c r="O60" s="10" t="s">
        <v>636</v>
      </c>
      <c r="P60" s="10" t="s">
        <v>37</v>
      </c>
      <c r="Q60" s="10" t="s">
        <v>637</v>
      </c>
      <c r="R60" s="10" t="s">
        <v>37</v>
      </c>
      <c r="S60" s="11" t="s">
        <v>37</v>
      </c>
      <c r="T60" s="10" t="s">
        <v>638</v>
      </c>
      <c r="U60" s="11" t="s">
        <v>639</v>
      </c>
      <c r="V60" s="10" t="s">
        <v>640</v>
      </c>
      <c r="W60" s="13">
        <f>HYPERLINK("https://my.pitchbook.com?p=205060-60P","View People Online")</f>
      </c>
    </row>
    <row r="61">
      <c r="A61" s="14" t="s">
        <v>641</v>
      </c>
      <c r="B61" s="14" t="s">
        <v>642</v>
      </c>
      <c r="C61" s="14" t="s">
        <v>643</v>
      </c>
      <c r="D61" s="14" t="s">
        <v>34</v>
      </c>
      <c r="E61" s="14" t="s">
        <v>644</v>
      </c>
      <c r="F61" s="14" t="s">
        <v>645</v>
      </c>
      <c r="G61" s="12">
        <f>HYPERLINK("http://www.foxcorporation.com","www.foxcorporation.com")</f>
      </c>
      <c r="H61" s="14" t="s">
        <v>646</v>
      </c>
      <c r="I61" s="16">
        <v>4</v>
      </c>
      <c r="J61" s="16">
        <v>22</v>
      </c>
      <c r="K61" s="16">
        <v>16</v>
      </c>
      <c r="L61" s="15" t="s">
        <v>647</v>
      </c>
      <c r="M61" s="14" t="s">
        <v>648</v>
      </c>
      <c r="N61" s="14" t="s">
        <v>203</v>
      </c>
      <c r="O61" s="14" t="s">
        <v>649</v>
      </c>
      <c r="P61" s="14" t="s">
        <v>37</v>
      </c>
      <c r="Q61" s="14" t="s">
        <v>206</v>
      </c>
      <c r="R61" s="14" t="s">
        <v>206</v>
      </c>
      <c r="S61" s="15" t="s">
        <v>650</v>
      </c>
      <c r="T61" s="14" t="s">
        <v>120</v>
      </c>
      <c r="U61" s="15" t="s">
        <v>37</v>
      </c>
      <c r="V61" s="14" t="s">
        <v>651</v>
      </c>
      <c r="W61" s="12">
        <f>HYPERLINK("https://my.pitchbook.com?p=68056-93P","View People Online")</f>
      </c>
    </row>
    <row r="62">
      <c r="A62" s="10" t="s">
        <v>652</v>
      </c>
      <c r="B62" s="10" t="s">
        <v>653</v>
      </c>
      <c r="C62" s="10" t="s">
        <v>654</v>
      </c>
      <c r="D62" s="10" t="s">
        <v>34</v>
      </c>
      <c r="E62" s="10" t="s">
        <v>655</v>
      </c>
      <c r="F62" s="10" t="s">
        <v>656</v>
      </c>
      <c r="G62" s="13">
        <f>HYPERLINK("http://www.corporate.arcelormittal.com","www.corporate.arcelormittal.com")</f>
      </c>
      <c r="H62" s="10" t="s">
        <v>540</v>
      </c>
      <c r="I62" s="9">
        <v>3</v>
      </c>
      <c r="J62" s="9">
        <v>18</v>
      </c>
      <c r="K62" s="9">
        <v>13</v>
      </c>
      <c r="L62" s="11" t="s">
        <v>37</v>
      </c>
      <c r="M62" s="10" t="s">
        <v>37</v>
      </c>
      <c r="N62" s="10" t="s">
        <v>657</v>
      </c>
      <c r="O62" s="10" t="s">
        <v>658</v>
      </c>
      <c r="P62" s="10" t="s">
        <v>37</v>
      </c>
      <c r="Q62" s="10" t="s">
        <v>659</v>
      </c>
      <c r="R62" s="10" t="s">
        <v>37</v>
      </c>
      <c r="S62" s="11" t="s">
        <v>660</v>
      </c>
      <c r="T62" s="10" t="s">
        <v>659</v>
      </c>
      <c r="U62" s="11" t="s">
        <v>37</v>
      </c>
      <c r="V62" s="10" t="s">
        <v>661</v>
      </c>
      <c r="W62" s="13">
        <f>HYPERLINK("https://my.pitchbook.com?p=14425-39P","View People Online")</f>
      </c>
    </row>
    <row r="63">
      <c r="A63" s="14" t="s">
        <v>662</v>
      </c>
      <c r="B63" s="14" t="s">
        <v>663</v>
      </c>
      <c r="C63" s="14" t="s">
        <v>664</v>
      </c>
      <c r="D63" s="14" t="s">
        <v>34</v>
      </c>
      <c r="E63" s="14" t="s">
        <v>665</v>
      </c>
      <c r="F63" s="14" t="s">
        <v>666</v>
      </c>
      <c r="G63" s="12">
        <f>HYPERLINK("http://www.abc.xyz","www.abc.xyz")</f>
      </c>
      <c r="H63" s="14" t="s">
        <v>667</v>
      </c>
      <c r="I63" s="16">
        <v>2</v>
      </c>
      <c r="J63" s="16">
        <v>20</v>
      </c>
      <c r="K63" s="16">
        <v>16</v>
      </c>
      <c r="L63" s="15" t="s">
        <v>668</v>
      </c>
      <c r="M63" s="14" t="s">
        <v>669</v>
      </c>
      <c r="N63" s="14" t="s">
        <v>425</v>
      </c>
      <c r="O63" s="14" t="s">
        <v>670</v>
      </c>
      <c r="P63" s="14" t="s">
        <v>37</v>
      </c>
      <c r="Q63" s="14" t="s">
        <v>428</v>
      </c>
      <c r="R63" s="14" t="s">
        <v>343</v>
      </c>
      <c r="S63" s="15" t="s">
        <v>671</v>
      </c>
      <c r="T63" s="14" t="s">
        <v>120</v>
      </c>
      <c r="U63" s="15" t="s">
        <v>37</v>
      </c>
      <c r="V63" s="14" t="s">
        <v>672</v>
      </c>
      <c r="W63" s="12">
        <f>HYPERLINK("https://my.pitchbook.com?p=36412-39P","View People Online")</f>
      </c>
    </row>
    <row r="64">
      <c r="A64" s="10" t="s">
        <v>673</v>
      </c>
      <c r="B64" s="10" t="s">
        <v>674</v>
      </c>
      <c r="C64" s="10" t="s">
        <v>675</v>
      </c>
      <c r="D64" s="10" t="s">
        <v>34</v>
      </c>
      <c r="E64" s="10" t="s">
        <v>676</v>
      </c>
      <c r="F64" s="10" t="s">
        <v>677</v>
      </c>
      <c r="G64" s="13">
        <f>HYPERLINK("http://ir.flagstar.com","ir.flagstar.com")</f>
      </c>
      <c r="H64" s="10" t="s">
        <v>38</v>
      </c>
      <c r="I64" s="9" t="s">
        <v>37</v>
      </c>
      <c r="J64" s="9" t="s">
        <v>37</v>
      </c>
      <c r="K64" s="9" t="s">
        <v>37</v>
      </c>
      <c r="L64" s="11" t="s">
        <v>37</v>
      </c>
      <c r="M64" s="10" t="s">
        <v>37</v>
      </c>
      <c r="N64" s="10" t="s">
        <v>37</v>
      </c>
      <c r="O64" s="10" t="s">
        <v>37</v>
      </c>
      <c r="P64" s="10" t="s">
        <v>37</v>
      </c>
      <c r="Q64" s="10" t="s">
        <v>37</v>
      </c>
      <c r="R64" s="10" t="s">
        <v>37</v>
      </c>
      <c r="S64" s="11" t="s">
        <v>37</v>
      </c>
      <c r="T64" s="10" t="s">
        <v>37</v>
      </c>
      <c r="U64" s="11" t="s">
        <v>37</v>
      </c>
      <c r="V64" s="10" t="s">
        <v>678</v>
      </c>
      <c r="W64" s="13">
        <f>HYPERLINK("https://my.pitchbook.com?p=86452-84P","View People Online")</f>
      </c>
    </row>
    <row r="65">
      <c r="A65" s="14" t="s">
        <v>679</v>
      </c>
      <c r="B65" s="14" t="s">
        <v>680</v>
      </c>
      <c r="C65" s="14" t="s">
        <v>681</v>
      </c>
      <c r="D65" s="14" t="s">
        <v>34</v>
      </c>
      <c r="E65" s="14" t="s">
        <v>555</v>
      </c>
      <c r="F65" s="14" t="s">
        <v>589</v>
      </c>
      <c r="G65" s="12">
        <f>HYPERLINK("http://www.chechegroup.com","www.chechegroup.com")</f>
      </c>
      <c r="H65" s="14" t="s">
        <v>479</v>
      </c>
      <c r="I65" s="16">
        <v>1</v>
      </c>
      <c r="J65" s="16">
        <v>2</v>
      </c>
      <c r="K65" s="16">
        <v>1</v>
      </c>
      <c r="L65" s="15" t="s">
        <v>682</v>
      </c>
      <c r="M65" s="14" t="s">
        <v>37</v>
      </c>
      <c r="N65" s="14" t="s">
        <v>594</v>
      </c>
      <c r="O65" s="14" t="s">
        <v>683</v>
      </c>
      <c r="P65" s="14" t="s">
        <v>684</v>
      </c>
      <c r="Q65" s="14" t="s">
        <v>597</v>
      </c>
      <c r="R65" s="14" t="s">
        <v>37</v>
      </c>
      <c r="S65" s="15" t="s">
        <v>685</v>
      </c>
      <c r="T65" s="14" t="s">
        <v>472</v>
      </c>
      <c r="U65" s="15" t="s">
        <v>37</v>
      </c>
      <c r="V65" s="14" t="s">
        <v>686</v>
      </c>
      <c r="W65" s="12">
        <f>HYPERLINK("https://my.pitchbook.com?p=173967-40P","View People Online")</f>
      </c>
    </row>
    <row r="66">
      <c r="A66" s="10" t="s">
        <v>687</v>
      </c>
      <c r="B66" s="10" t="s">
        <v>688</v>
      </c>
      <c r="C66" s="10" t="s">
        <v>689</v>
      </c>
      <c r="D66" s="10" t="s">
        <v>34</v>
      </c>
      <c r="E66" s="10" t="s">
        <v>690</v>
      </c>
      <c r="F66" s="10" t="s">
        <v>691</v>
      </c>
      <c r="G66" s="13">
        <f>HYPERLINK("http://www.wmg.com","www.wmg.com")</f>
      </c>
      <c r="H66" s="10" t="s">
        <v>692</v>
      </c>
      <c r="I66" s="9">
        <v>1</v>
      </c>
      <c r="J66" s="9">
        <v>1</v>
      </c>
      <c r="K66" s="9" t="s">
        <v>37</v>
      </c>
      <c r="L66" s="11" t="s">
        <v>693</v>
      </c>
      <c r="M66" s="10" t="s">
        <v>694</v>
      </c>
      <c r="N66" s="10" t="s">
        <v>203</v>
      </c>
      <c r="O66" s="10" t="s">
        <v>695</v>
      </c>
      <c r="P66" s="10" t="s">
        <v>37</v>
      </c>
      <c r="Q66" s="10" t="s">
        <v>206</v>
      </c>
      <c r="R66" s="10" t="s">
        <v>206</v>
      </c>
      <c r="S66" s="11" t="s">
        <v>696</v>
      </c>
      <c r="T66" s="10" t="s">
        <v>120</v>
      </c>
      <c r="U66" s="11" t="s">
        <v>37</v>
      </c>
      <c r="V66" s="10" t="s">
        <v>697</v>
      </c>
      <c r="W66" s="13">
        <f>HYPERLINK("https://my.pitchbook.com?p=269530-21P","View People Online")</f>
      </c>
    </row>
    <row r="67">
      <c r="A67" s="14" t="s">
        <v>698</v>
      </c>
      <c r="B67" s="14" t="s">
        <v>699</v>
      </c>
      <c r="C67" s="14" t="s">
        <v>700</v>
      </c>
      <c r="D67" s="14" t="s">
        <v>34</v>
      </c>
      <c r="E67" s="14" t="s">
        <v>701</v>
      </c>
      <c r="F67" s="14" t="s">
        <v>702</v>
      </c>
      <c r="G67" s="12">
        <f>HYPERLINK("http://www.sab.com","www.sab.com")</f>
      </c>
      <c r="H67" s="14" t="s">
        <v>54</v>
      </c>
      <c r="I67" s="16">
        <v>2</v>
      </c>
      <c r="J67" s="16">
        <v>2</v>
      </c>
      <c r="K67" s="16" t="s">
        <v>37</v>
      </c>
      <c r="L67" s="15" t="s">
        <v>703</v>
      </c>
      <c r="M67" s="14" t="s">
        <v>37</v>
      </c>
      <c r="N67" s="14" t="s">
        <v>704</v>
      </c>
      <c r="O67" s="14" t="s">
        <v>705</v>
      </c>
      <c r="P67" s="14" t="s">
        <v>37</v>
      </c>
      <c r="Q67" s="14" t="s">
        <v>706</v>
      </c>
      <c r="R67" s="14" t="s">
        <v>37</v>
      </c>
      <c r="S67" s="15" t="s">
        <v>707</v>
      </c>
      <c r="T67" s="14" t="s">
        <v>708</v>
      </c>
      <c r="U67" s="15" t="s">
        <v>37</v>
      </c>
      <c r="V67" s="14" t="s">
        <v>709</v>
      </c>
      <c r="W67" s="12">
        <f>HYPERLINK("https://my.pitchbook.com?p=230574-43P","View People Online")</f>
      </c>
    </row>
    <row r="68">
      <c r="A68" s="10" t="s">
        <v>710</v>
      </c>
      <c r="B68" s="10" t="s">
        <v>711</v>
      </c>
      <c r="C68" s="10" t="s">
        <v>712</v>
      </c>
      <c r="D68" s="10" t="s">
        <v>34</v>
      </c>
      <c r="E68" s="10" t="s">
        <v>713</v>
      </c>
      <c r="F68" s="10" t="s">
        <v>714</v>
      </c>
      <c r="G68" s="13">
        <f>HYPERLINK("http://www.directdigitalholdings.com","www.directdigitalholdings.com")</f>
      </c>
      <c r="H68" s="10" t="s">
        <v>715</v>
      </c>
      <c r="I68" s="9">
        <v>1</v>
      </c>
      <c r="J68" s="9">
        <v>2</v>
      </c>
      <c r="K68" s="9">
        <v>1</v>
      </c>
      <c r="L68" s="11" t="s">
        <v>716</v>
      </c>
      <c r="M68" s="10" t="s">
        <v>717</v>
      </c>
      <c r="N68" s="10" t="s">
        <v>718</v>
      </c>
      <c r="O68" s="10" t="s">
        <v>719</v>
      </c>
      <c r="P68" s="10" t="s">
        <v>720</v>
      </c>
      <c r="Q68" s="10" t="s">
        <v>721</v>
      </c>
      <c r="R68" s="10" t="s">
        <v>287</v>
      </c>
      <c r="S68" s="11" t="s">
        <v>722</v>
      </c>
      <c r="T68" s="10" t="s">
        <v>120</v>
      </c>
      <c r="U68" s="11" t="s">
        <v>37</v>
      </c>
      <c r="V68" s="10" t="s">
        <v>723</v>
      </c>
      <c r="W68" s="13">
        <f>HYPERLINK("https://my.pitchbook.com?p=281570-41P","View People Online")</f>
      </c>
    </row>
    <row r="69">
      <c r="A69" s="14" t="s">
        <v>724</v>
      </c>
      <c r="B69" s="14" t="s">
        <v>725</v>
      </c>
      <c r="C69" s="14" t="s">
        <v>726</v>
      </c>
      <c r="D69" s="14" t="s">
        <v>34</v>
      </c>
      <c r="E69" s="14" t="s">
        <v>727</v>
      </c>
      <c r="F69" s="14" t="s">
        <v>728</v>
      </c>
      <c r="G69" s="12">
        <f>HYPERLINK("http://www.leapcharger.com","www.leapcharger.com")</f>
      </c>
      <c r="H69" s="14" t="s">
        <v>528</v>
      </c>
      <c r="I69" s="16">
        <v>1</v>
      </c>
      <c r="J69" s="16">
        <v>1</v>
      </c>
      <c r="K69" s="16" t="s">
        <v>37</v>
      </c>
      <c r="L69" s="15" t="s">
        <v>729</v>
      </c>
      <c r="M69" s="14" t="s">
        <v>37</v>
      </c>
      <c r="N69" s="14" t="s">
        <v>730</v>
      </c>
      <c r="O69" s="14" t="s">
        <v>731</v>
      </c>
      <c r="P69" s="14" t="s">
        <v>37</v>
      </c>
      <c r="Q69" s="14" t="s">
        <v>732</v>
      </c>
      <c r="R69" s="14" t="s">
        <v>118</v>
      </c>
      <c r="S69" s="15" t="s">
        <v>733</v>
      </c>
      <c r="T69" s="14" t="s">
        <v>120</v>
      </c>
      <c r="U69" s="15" t="s">
        <v>37</v>
      </c>
      <c r="V69" s="14" t="s">
        <v>734</v>
      </c>
      <c r="W69" s="12">
        <f>HYPERLINK("https://my.pitchbook.com?p=312665-86P","View People Online")</f>
      </c>
    </row>
    <row r="70">
      <c r="A70" s="10" t="s">
        <v>735</v>
      </c>
      <c r="B70" s="10" t="s">
        <v>736</v>
      </c>
      <c r="C70" s="10" t="s">
        <v>737</v>
      </c>
      <c r="D70" s="10" t="s">
        <v>34</v>
      </c>
      <c r="E70" s="10" t="s">
        <v>738</v>
      </c>
      <c r="F70" s="10" t="s">
        <v>739</v>
      </c>
      <c r="G70" s="13">
        <f>HYPERLINK("http://www.corescientific.com","www.corescientific.com")</f>
      </c>
      <c r="H70" s="10" t="s">
        <v>38</v>
      </c>
      <c r="I70" s="9" t="s">
        <v>37</v>
      </c>
      <c r="J70" s="9" t="s">
        <v>37</v>
      </c>
      <c r="K70" s="9" t="s">
        <v>37</v>
      </c>
      <c r="L70" s="11" t="s">
        <v>37</v>
      </c>
      <c r="M70" s="10" t="s">
        <v>37</v>
      </c>
      <c r="N70" s="10" t="s">
        <v>37</v>
      </c>
      <c r="O70" s="10" t="s">
        <v>37</v>
      </c>
      <c r="P70" s="10" t="s">
        <v>37</v>
      </c>
      <c r="Q70" s="10" t="s">
        <v>37</v>
      </c>
      <c r="R70" s="10" t="s">
        <v>37</v>
      </c>
      <c r="S70" s="11" t="s">
        <v>37</v>
      </c>
      <c r="T70" s="10" t="s">
        <v>37</v>
      </c>
      <c r="U70" s="11" t="s">
        <v>37</v>
      </c>
      <c r="V70" s="10" t="s">
        <v>740</v>
      </c>
      <c r="W70" s="13">
        <f>HYPERLINK("https://my.pitchbook.com?p=194987-08P","View People Online")</f>
      </c>
    </row>
    <row r="71">
      <c r="A71" s="14" t="s">
        <v>741</v>
      </c>
      <c r="B71" s="14" t="s">
        <v>742</v>
      </c>
      <c r="C71" s="14" t="s">
        <v>619</v>
      </c>
      <c r="D71" s="14" t="s">
        <v>34</v>
      </c>
      <c r="E71" s="14" t="s">
        <v>743</v>
      </c>
      <c r="F71" s="14" t="s">
        <v>744</v>
      </c>
      <c r="G71" s="12">
        <f>HYPERLINK("http://www.affirm.com","www.affirm.com")</f>
      </c>
      <c r="H71" s="14" t="s">
        <v>745</v>
      </c>
      <c r="I71" s="16">
        <v>4</v>
      </c>
      <c r="J71" s="16">
        <v>162</v>
      </c>
      <c r="K71" s="16">
        <v>151</v>
      </c>
      <c r="L71" s="15" t="s">
        <v>622</v>
      </c>
      <c r="M71" s="14" t="s">
        <v>746</v>
      </c>
      <c r="N71" s="14" t="s">
        <v>623</v>
      </c>
      <c r="O71" s="14" t="s">
        <v>624</v>
      </c>
      <c r="P71" s="14" t="s">
        <v>625</v>
      </c>
      <c r="Q71" s="14" t="s">
        <v>626</v>
      </c>
      <c r="R71" s="14" t="s">
        <v>343</v>
      </c>
      <c r="S71" s="15" t="s">
        <v>627</v>
      </c>
      <c r="T71" s="14" t="s">
        <v>120</v>
      </c>
      <c r="U71" s="15" t="s">
        <v>37</v>
      </c>
      <c r="V71" s="14" t="s">
        <v>747</v>
      </c>
      <c r="W71" s="12">
        <f>HYPERLINK("https://my.pitchbook.com?p=15192-28P","View People Online")</f>
      </c>
    </row>
    <row r="72">
      <c r="A72" s="10" t="s">
        <v>748</v>
      </c>
      <c r="B72" s="10" t="s">
        <v>749</v>
      </c>
      <c r="C72" s="10" t="s">
        <v>750</v>
      </c>
      <c r="D72" s="10" t="s">
        <v>34</v>
      </c>
      <c r="E72" s="10" t="s">
        <v>751</v>
      </c>
      <c r="F72" s="10" t="s">
        <v>752</v>
      </c>
      <c r="G72" s="13">
        <f>HYPERLINK("http://www.tupras.com.tr","www.tupras.com.tr")</f>
      </c>
      <c r="H72" s="10" t="s">
        <v>37</v>
      </c>
      <c r="I72" s="9">
        <v>3</v>
      </c>
      <c r="J72" s="9">
        <v>3</v>
      </c>
      <c r="K72" s="9" t="s">
        <v>37</v>
      </c>
      <c r="L72" s="11" t="s">
        <v>753</v>
      </c>
      <c r="M72" s="10" t="s">
        <v>37</v>
      </c>
      <c r="N72" s="10" t="s">
        <v>754</v>
      </c>
      <c r="O72" s="10" t="s">
        <v>755</v>
      </c>
      <c r="P72" s="10" t="s">
        <v>756</v>
      </c>
      <c r="Q72" s="10" t="s">
        <v>757</v>
      </c>
      <c r="R72" s="10" t="s">
        <v>37</v>
      </c>
      <c r="S72" s="11" t="s">
        <v>758</v>
      </c>
      <c r="T72" s="10" t="s">
        <v>759</v>
      </c>
      <c r="U72" s="11" t="s">
        <v>753</v>
      </c>
      <c r="V72" s="10" t="s">
        <v>760</v>
      </c>
      <c r="W72" s="13">
        <f>HYPERLINK("https://my.pitchbook.com?p=173693-35P","View People Online")</f>
      </c>
    </row>
    <row r="73">
      <c r="A73" s="14" t="s">
        <v>761</v>
      </c>
      <c r="B73" s="14" t="s">
        <v>762</v>
      </c>
      <c r="C73" s="14" t="s">
        <v>763</v>
      </c>
      <c r="D73" s="14" t="s">
        <v>34</v>
      </c>
      <c r="E73" s="14" t="s">
        <v>764</v>
      </c>
      <c r="F73" s="14" t="s">
        <v>765</v>
      </c>
      <c r="G73" s="12">
        <f>HYPERLINK("http://www.dell.com","www.dell.com")</f>
      </c>
      <c r="H73" s="14" t="s">
        <v>766</v>
      </c>
      <c r="I73" s="16">
        <v>2</v>
      </c>
      <c r="J73" s="16">
        <v>51</v>
      </c>
      <c r="K73" s="16">
        <v>46</v>
      </c>
      <c r="L73" s="15" t="s">
        <v>767</v>
      </c>
      <c r="M73" s="14" t="s">
        <v>768</v>
      </c>
      <c r="N73" s="14" t="s">
        <v>769</v>
      </c>
      <c r="O73" s="14" t="s">
        <v>770</v>
      </c>
      <c r="P73" s="14" t="s">
        <v>37</v>
      </c>
      <c r="Q73" s="14" t="s">
        <v>771</v>
      </c>
      <c r="R73" s="14" t="s">
        <v>287</v>
      </c>
      <c r="S73" s="15" t="s">
        <v>772</v>
      </c>
      <c r="T73" s="14" t="s">
        <v>120</v>
      </c>
      <c r="U73" s="15" t="s">
        <v>37</v>
      </c>
      <c r="V73" s="14" t="s">
        <v>773</v>
      </c>
      <c r="W73" s="12">
        <f>HYPERLINK("https://my.pitchbook.com?p=35267-59P","View People Online")</f>
      </c>
    </row>
    <row r="74">
      <c r="A74" s="10" t="s">
        <v>774</v>
      </c>
      <c r="B74" s="10" t="s">
        <v>775</v>
      </c>
      <c r="C74" s="10" t="s">
        <v>776</v>
      </c>
      <c r="D74" s="10" t="s">
        <v>34</v>
      </c>
      <c r="E74" s="10" t="s">
        <v>777</v>
      </c>
      <c r="F74" s="10" t="s">
        <v>765</v>
      </c>
      <c r="G74" s="13">
        <f>HYPERLINK("http://chainbg.com","chainbg.com")</f>
      </c>
      <c r="H74" s="10" t="s">
        <v>241</v>
      </c>
      <c r="I74" s="9" t="s">
        <v>37</v>
      </c>
      <c r="J74" s="9">
        <v>1</v>
      </c>
      <c r="K74" s="9" t="s">
        <v>37</v>
      </c>
      <c r="L74" s="11" t="s">
        <v>778</v>
      </c>
      <c r="M74" s="10" t="s">
        <v>779</v>
      </c>
      <c r="N74" s="10" t="s">
        <v>203</v>
      </c>
      <c r="O74" s="10" t="s">
        <v>780</v>
      </c>
      <c r="P74" s="10" t="s">
        <v>245</v>
      </c>
      <c r="Q74" s="10" t="s">
        <v>206</v>
      </c>
      <c r="R74" s="10" t="s">
        <v>206</v>
      </c>
      <c r="S74" s="11" t="s">
        <v>781</v>
      </c>
      <c r="T74" s="10" t="s">
        <v>120</v>
      </c>
      <c r="U74" s="11" t="s">
        <v>37</v>
      </c>
      <c r="V74" s="10" t="s">
        <v>782</v>
      </c>
      <c r="W74" s="13">
        <f>HYPERLINK("https://my.pitchbook.com?p=257374-99P","View People Online")</f>
      </c>
    </row>
    <row r="75">
      <c r="A75" s="14" t="s">
        <v>783</v>
      </c>
      <c r="B75" s="14" t="s">
        <v>784</v>
      </c>
      <c r="C75" s="14" t="s">
        <v>785</v>
      </c>
      <c r="D75" s="14" t="s">
        <v>34</v>
      </c>
      <c r="E75" s="14" t="s">
        <v>786</v>
      </c>
      <c r="F75" s="14" t="s">
        <v>787</v>
      </c>
      <c r="G75" s="12">
        <f>HYPERLINK("http://www.eutelsat.com","www.eutelsat.com")</f>
      </c>
      <c r="H75" s="14" t="s">
        <v>38</v>
      </c>
      <c r="I75" s="16" t="s">
        <v>37</v>
      </c>
      <c r="J75" s="16" t="s">
        <v>37</v>
      </c>
      <c r="K75" s="16" t="s">
        <v>37</v>
      </c>
      <c r="L75" s="15" t="s">
        <v>37</v>
      </c>
      <c r="M75" s="14" t="s">
        <v>37</v>
      </c>
      <c r="N75" s="14" t="s">
        <v>37</v>
      </c>
      <c r="O75" s="14" t="s">
        <v>37</v>
      </c>
      <c r="P75" s="14" t="s">
        <v>37</v>
      </c>
      <c r="Q75" s="14" t="s">
        <v>37</v>
      </c>
      <c r="R75" s="14" t="s">
        <v>37</v>
      </c>
      <c r="S75" s="15" t="s">
        <v>37</v>
      </c>
      <c r="T75" s="14" t="s">
        <v>37</v>
      </c>
      <c r="U75" s="15" t="s">
        <v>37</v>
      </c>
      <c r="V75" s="14" t="s">
        <v>788</v>
      </c>
      <c r="W75" s="12">
        <f>HYPERLINK("https://my.pitchbook.com?p=137255-05P","View People Online")</f>
      </c>
    </row>
    <row r="76">
      <c r="A76" s="10" t="s">
        <v>789</v>
      </c>
      <c r="B76" s="10" t="s">
        <v>790</v>
      </c>
      <c r="C76" s="10" t="s">
        <v>791</v>
      </c>
      <c r="D76" s="10" t="s">
        <v>34</v>
      </c>
      <c r="E76" s="10" t="s">
        <v>792</v>
      </c>
      <c r="F76" s="10" t="s">
        <v>793</v>
      </c>
      <c r="G76" s="13">
        <f>HYPERLINK("http://www.ril.com","www.ril.com")</f>
      </c>
      <c r="H76" s="10" t="s">
        <v>794</v>
      </c>
      <c r="I76" s="9">
        <v>2</v>
      </c>
      <c r="J76" s="9">
        <v>45</v>
      </c>
      <c r="K76" s="9">
        <v>38</v>
      </c>
      <c r="L76" s="11" t="s">
        <v>795</v>
      </c>
      <c r="M76" s="10" t="s">
        <v>796</v>
      </c>
      <c r="N76" s="10" t="s">
        <v>129</v>
      </c>
      <c r="O76" s="10" t="s">
        <v>797</v>
      </c>
      <c r="P76" s="10" t="s">
        <v>798</v>
      </c>
      <c r="Q76" s="10" t="s">
        <v>132</v>
      </c>
      <c r="R76" s="10" t="s">
        <v>133</v>
      </c>
      <c r="S76" s="11" t="s">
        <v>134</v>
      </c>
      <c r="T76" s="10" t="s">
        <v>135</v>
      </c>
      <c r="U76" s="11" t="s">
        <v>799</v>
      </c>
      <c r="V76" s="10" t="s">
        <v>800</v>
      </c>
      <c r="W76" s="13">
        <f>HYPERLINK("https://my.pitchbook.com?p=57286-99P","View People Online")</f>
      </c>
    </row>
    <row r="77">
      <c r="A77" s="14" t="s">
        <v>801</v>
      </c>
      <c r="B77" s="14" t="s">
        <v>802</v>
      </c>
      <c r="C77" s="14" t="s">
        <v>407</v>
      </c>
      <c r="D77" s="14" t="s">
        <v>34</v>
      </c>
      <c r="E77" s="14" t="s">
        <v>803</v>
      </c>
      <c r="F77" s="14" t="s">
        <v>804</v>
      </c>
      <c r="G77" s="14" t="s">
        <v>37</v>
      </c>
      <c r="H77" s="14" t="s">
        <v>241</v>
      </c>
      <c r="I77" s="16">
        <v>6</v>
      </c>
      <c r="J77" s="16">
        <v>32</v>
      </c>
      <c r="K77" s="16">
        <v>19</v>
      </c>
      <c r="L77" s="15" t="s">
        <v>411</v>
      </c>
      <c r="M77" s="14" t="s">
        <v>805</v>
      </c>
      <c r="N77" s="14" t="s">
        <v>412</v>
      </c>
      <c r="O77" s="14" t="s">
        <v>413</v>
      </c>
      <c r="P77" s="14" t="s">
        <v>37</v>
      </c>
      <c r="Q77" s="14" t="s">
        <v>414</v>
      </c>
      <c r="R77" s="14" t="s">
        <v>37</v>
      </c>
      <c r="S77" s="15" t="s">
        <v>415</v>
      </c>
      <c r="T77" s="14" t="s">
        <v>416</v>
      </c>
      <c r="U77" s="15" t="s">
        <v>37</v>
      </c>
      <c r="V77" s="14" t="s">
        <v>806</v>
      </c>
      <c r="W77" s="12">
        <f>HYPERLINK("https://my.pitchbook.com?p=92870-74P","View People Online")</f>
      </c>
    </row>
    <row r="78">
      <c r="A78" s="10" t="s">
        <v>807</v>
      </c>
      <c r="B78" s="10" t="s">
        <v>808</v>
      </c>
      <c r="C78" s="10" t="s">
        <v>809</v>
      </c>
      <c r="D78" s="10" t="s">
        <v>34</v>
      </c>
      <c r="E78" s="10" t="s">
        <v>810</v>
      </c>
      <c r="F78" s="10" t="s">
        <v>811</v>
      </c>
      <c r="G78" s="13">
        <f>HYPERLINK("http://www.gmin.gold","www.gmin.gold")</f>
      </c>
      <c r="H78" s="10" t="s">
        <v>38</v>
      </c>
      <c r="I78" s="9">
        <v>3</v>
      </c>
      <c r="J78" s="9">
        <v>17</v>
      </c>
      <c r="K78" s="9">
        <v>12</v>
      </c>
      <c r="L78" s="11" t="s">
        <v>812</v>
      </c>
      <c r="M78" s="10" t="s">
        <v>37</v>
      </c>
      <c r="N78" s="10" t="s">
        <v>813</v>
      </c>
      <c r="O78" s="10" t="s">
        <v>814</v>
      </c>
      <c r="P78" s="10" t="s">
        <v>815</v>
      </c>
      <c r="Q78" s="10" t="s">
        <v>816</v>
      </c>
      <c r="R78" s="10" t="s">
        <v>817</v>
      </c>
      <c r="S78" s="11" t="s">
        <v>818</v>
      </c>
      <c r="T78" s="10" t="s">
        <v>171</v>
      </c>
      <c r="U78" s="11" t="s">
        <v>37</v>
      </c>
      <c r="V78" s="10" t="s">
        <v>819</v>
      </c>
      <c r="W78" s="13">
        <f>HYPERLINK("https://my.pitchbook.com?p=30420-91P","View People Online")</f>
      </c>
    </row>
    <row r="79">
      <c r="A79" s="14" t="s">
        <v>820</v>
      </c>
      <c r="B79" s="14" t="s">
        <v>808</v>
      </c>
      <c r="C79" s="14" t="s">
        <v>821</v>
      </c>
      <c r="D79" s="14" t="s">
        <v>34</v>
      </c>
      <c r="E79" s="14" t="s">
        <v>810</v>
      </c>
      <c r="F79" s="14" t="s">
        <v>811</v>
      </c>
      <c r="G79" s="12">
        <f>HYPERLINK("http://www.orascomdh.com","www.orascomdh.com")</f>
      </c>
      <c r="H79" s="14" t="s">
        <v>540</v>
      </c>
      <c r="I79" s="16">
        <v>1</v>
      </c>
      <c r="J79" s="16">
        <v>1</v>
      </c>
      <c r="K79" s="16" t="s">
        <v>37</v>
      </c>
      <c r="L79" s="15" t="s">
        <v>822</v>
      </c>
      <c r="M79" s="14" t="s">
        <v>37</v>
      </c>
      <c r="N79" s="14" t="s">
        <v>823</v>
      </c>
      <c r="O79" s="14" t="s">
        <v>824</v>
      </c>
      <c r="P79" s="14" t="s">
        <v>37</v>
      </c>
      <c r="Q79" s="14" t="s">
        <v>825</v>
      </c>
      <c r="R79" s="14" t="s">
        <v>37</v>
      </c>
      <c r="S79" s="15" t="s">
        <v>826</v>
      </c>
      <c r="T79" s="14" t="s">
        <v>371</v>
      </c>
      <c r="U79" s="15" t="s">
        <v>37</v>
      </c>
      <c r="V79" s="14" t="s">
        <v>827</v>
      </c>
      <c r="W79" s="12">
        <f>HYPERLINK("https://my.pitchbook.com?p=435181-69P","View People Online")</f>
      </c>
    </row>
    <row r="80">
      <c r="A80" s="10" t="s">
        <v>828</v>
      </c>
      <c r="B80" s="10" t="s">
        <v>829</v>
      </c>
      <c r="C80" s="10" t="s">
        <v>830</v>
      </c>
      <c r="D80" s="10" t="s">
        <v>34</v>
      </c>
      <c r="E80" s="10" t="s">
        <v>831</v>
      </c>
      <c r="F80" s="10" t="s">
        <v>832</v>
      </c>
      <c r="G80" s="13">
        <f>HYPERLINK("http://www.renoworks.com","www.renoworks.com")</f>
      </c>
      <c r="H80" s="10" t="s">
        <v>38</v>
      </c>
      <c r="I80" s="9">
        <v>1</v>
      </c>
      <c r="J80" s="9">
        <v>1</v>
      </c>
      <c r="K80" s="9" t="s">
        <v>37</v>
      </c>
      <c r="L80" s="11" t="s">
        <v>833</v>
      </c>
      <c r="M80" s="10" t="s">
        <v>37</v>
      </c>
      <c r="N80" s="10" t="s">
        <v>834</v>
      </c>
      <c r="O80" s="10" t="s">
        <v>835</v>
      </c>
      <c r="P80" s="10" t="s">
        <v>836</v>
      </c>
      <c r="Q80" s="10" t="s">
        <v>837</v>
      </c>
      <c r="R80" s="10" t="s">
        <v>838</v>
      </c>
      <c r="S80" s="11" t="s">
        <v>839</v>
      </c>
      <c r="T80" s="10" t="s">
        <v>171</v>
      </c>
      <c r="U80" s="11" t="s">
        <v>840</v>
      </c>
      <c r="V80" s="10" t="s">
        <v>841</v>
      </c>
      <c r="W80" s="13">
        <f>HYPERLINK("https://my.pitchbook.com?p=217439-47P","View People Online")</f>
      </c>
    </row>
    <row r="81">
      <c r="A81" s="14" t="s">
        <v>842</v>
      </c>
      <c r="B81" s="14" t="s">
        <v>843</v>
      </c>
      <c r="C81" s="14" t="s">
        <v>844</v>
      </c>
      <c r="D81" s="14" t="s">
        <v>34</v>
      </c>
      <c r="E81" s="14" t="s">
        <v>810</v>
      </c>
      <c r="F81" s="14" t="s">
        <v>845</v>
      </c>
      <c r="G81" s="12">
        <f>HYPERLINK("http://www.adidas-group.com","www.adidas-group.com")</f>
      </c>
      <c r="H81" s="14" t="s">
        <v>38</v>
      </c>
      <c r="I81" s="16">
        <v>4</v>
      </c>
      <c r="J81" s="16">
        <v>14</v>
      </c>
      <c r="K81" s="16">
        <v>8</v>
      </c>
      <c r="L81" s="15" t="s">
        <v>846</v>
      </c>
      <c r="M81" s="14" t="s">
        <v>37</v>
      </c>
      <c r="N81" s="14" t="s">
        <v>847</v>
      </c>
      <c r="O81" s="14" t="s">
        <v>848</v>
      </c>
      <c r="P81" s="14" t="s">
        <v>37</v>
      </c>
      <c r="Q81" s="14" t="s">
        <v>849</v>
      </c>
      <c r="R81" s="14" t="s">
        <v>37</v>
      </c>
      <c r="S81" s="15" t="s">
        <v>850</v>
      </c>
      <c r="T81" s="14" t="s">
        <v>851</v>
      </c>
      <c r="U81" s="15" t="s">
        <v>846</v>
      </c>
      <c r="V81" s="14" t="s">
        <v>852</v>
      </c>
      <c r="W81" s="12">
        <f>HYPERLINK("https://my.pitchbook.com?p=57146-68P","View People Online")</f>
      </c>
    </row>
    <row r="82">
      <c r="A82" s="10" t="s">
        <v>853</v>
      </c>
      <c r="B82" s="10" t="s">
        <v>843</v>
      </c>
      <c r="C82" s="10" t="s">
        <v>854</v>
      </c>
      <c r="D82" s="10" t="s">
        <v>34</v>
      </c>
      <c r="E82" s="10" t="s">
        <v>810</v>
      </c>
      <c r="F82" s="10" t="s">
        <v>845</v>
      </c>
      <c r="G82" s="13">
        <f>HYPERLINK("http://www.orascom.com","www.orascom.com")</f>
      </c>
      <c r="H82" s="10" t="s">
        <v>855</v>
      </c>
      <c r="I82" s="9">
        <v>1</v>
      </c>
      <c r="J82" s="9">
        <v>1</v>
      </c>
      <c r="K82" s="9" t="s">
        <v>37</v>
      </c>
      <c r="L82" s="11" t="s">
        <v>856</v>
      </c>
      <c r="M82" s="10" t="s">
        <v>37</v>
      </c>
      <c r="N82" s="10" t="s">
        <v>857</v>
      </c>
      <c r="O82" s="10" t="s">
        <v>858</v>
      </c>
      <c r="P82" s="10" t="s">
        <v>859</v>
      </c>
      <c r="Q82" s="10" t="s">
        <v>860</v>
      </c>
      <c r="R82" s="10" t="s">
        <v>37</v>
      </c>
      <c r="S82" s="11" t="s">
        <v>37</v>
      </c>
      <c r="T82" s="10" t="s">
        <v>300</v>
      </c>
      <c r="U82" s="11" t="s">
        <v>37</v>
      </c>
      <c r="V82" s="10" t="s">
        <v>861</v>
      </c>
      <c r="W82" s="13">
        <f>HYPERLINK("https://my.pitchbook.com?p=404271-28P","View People Online")</f>
      </c>
    </row>
    <row r="83">
      <c r="A83" s="14" t="s">
        <v>862</v>
      </c>
      <c r="B83" s="14" t="s">
        <v>863</v>
      </c>
      <c r="C83" s="14" t="s">
        <v>864</v>
      </c>
      <c r="D83" s="14" t="s">
        <v>34</v>
      </c>
      <c r="E83" s="14" t="s">
        <v>865</v>
      </c>
      <c r="F83" s="14" t="s">
        <v>866</v>
      </c>
      <c r="G83" s="12">
        <f>HYPERLINK("http://www.volex.com","www.volex.com")</f>
      </c>
      <c r="H83" s="14" t="s">
        <v>867</v>
      </c>
      <c r="I83" s="16">
        <v>1</v>
      </c>
      <c r="J83" s="16">
        <v>9</v>
      </c>
      <c r="K83" s="16">
        <v>8</v>
      </c>
      <c r="L83" s="15" t="s">
        <v>868</v>
      </c>
      <c r="M83" s="14" t="s">
        <v>869</v>
      </c>
      <c r="N83" s="14" t="s">
        <v>543</v>
      </c>
      <c r="O83" s="14" t="s">
        <v>870</v>
      </c>
      <c r="P83" s="14" t="s">
        <v>37</v>
      </c>
      <c r="Q83" s="14" t="s">
        <v>534</v>
      </c>
      <c r="R83" s="14" t="s">
        <v>259</v>
      </c>
      <c r="S83" s="15" t="s">
        <v>871</v>
      </c>
      <c r="T83" s="14" t="s">
        <v>260</v>
      </c>
      <c r="U83" s="15" t="s">
        <v>37</v>
      </c>
      <c r="V83" s="14" t="s">
        <v>872</v>
      </c>
      <c r="W83" s="12">
        <f>HYPERLINK("https://my.pitchbook.com?p=147361-78P","View People Online")</f>
      </c>
    </row>
    <row r="84">
      <c r="A84" s="10" t="s">
        <v>873</v>
      </c>
      <c r="B84" s="10" t="s">
        <v>874</v>
      </c>
      <c r="C84" s="10" t="s">
        <v>875</v>
      </c>
      <c r="D84" s="10" t="s">
        <v>34</v>
      </c>
      <c r="E84" s="10" t="s">
        <v>876</v>
      </c>
      <c r="F84" s="10" t="s">
        <v>877</v>
      </c>
      <c r="G84" s="13">
        <f>HYPERLINK("http://www.paloaltonetworks.com","www.paloaltonetworks.com")</f>
      </c>
      <c r="H84" s="10" t="s">
        <v>878</v>
      </c>
      <c r="I84" s="9" t="s">
        <v>37</v>
      </c>
      <c r="J84" s="9">
        <v>7</v>
      </c>
      <c r="K84" s="9">
        <v>5</v>
      </c>
      <c r="L84" s="11" t="s">
        <v>37</v>
      </c>
      <c r="M84" s="10" t="s">
        <v>879</v>
      </c>
      <c r="N84" s="10" t="s">
        <v>880</v>
      </c>
      <c r="O84" s="10" t="s">
        <v>881</v>
      </c>
      <c r="P84" s="10" t="s">
        <v>37</v>
      </c>
      <c r="Q84" s="10" t="s">
        <v>882</v>
      </c>
      <c r="R84" s="10" t="s">
        <v>343</v>
      </c>
      <c r="S84" s="11" t="s">
        <v>883</v>
      </c>
      <c r="T84" s="10" t="s">
        <v>120</v>
      </c>
      <c r="U84" s="11" t="s">
        <v>37</v>
      </c>
      <c r="V84" s="10" t="s">
        <v>884</v>
      </c>
      <c r="W84" s="13">
        <f>HYPERLINK("https://my.pitchbook.com?p=35842-15P","View People Online")</f>
      </c>
    </row>
    <row r="85">
      <c r="A85" s="14" t="s">
        <v>885</v>
      </c>
      <c r="B85" s="14" t="s">
        <v>886</v>
      </c>
      <c r="C85" s="14" t="s">
        <v>887</v>
      </c>
      <c r="D85" s="14" t="s">
        <v>34</v>
      </c>
      <c r="E85" s="14" t="s">
        <v>792</v>
      </c>
      <c r="F85" s="14" t="s">
        <v>888</v>
      </c>
      <c r="G85" s="12">
        <f>HYPERLINK("http://www.eihltd.com","www.eihltd.com")</f>
      </c>
      <c r="H85" s="14" t="s">
        <v>889</v>
      </c>
      <c r="I85" s="16">
        <v>4</v>
      </c>
      <c r="J85" s="16">
        <v>4</v>
      </c>
      <c r="K85" s="16" t="s">
        <v>37</v>
      </c>
      <c r="L85" s="15" t="s">
        <v>890</v>
      </c>
      <c r="M85" s="14" t="s">
        <v>37</v>
      </c>
      <c r="N85" s="14" t="s">
        <v>891</v>
      </c>
      <c r="O85" s="14" t="s">
        <v>892</v>
      </c>
      <c r="P85" s="14" t="s">
        <v>37</v>
      </c>
      <c r="Q85" s="14" t="s">
        <v>893</v>
      </c>
      <c r="R85" s="14" t="s">
        <v>894</v>
      </c>
      <c r="S85" s="15" t="s">
        <v>895</v>
      </c>
      <c r="T85" s="14" t="s">
        <v>135</v>
      </c>
      <c r="U85" s="15" t="s">
        <v>896</v>
      </c>
      <c r="V85" s="14" t="s">
        <v>897</v>
      </c>
      <c r="W85" s="12">
        <f>HYPERLINK("https://my.pitchbook.com?p=66860-38P","View People Online")</f>
      </c>
    </row>
    <row r="86">
      <c r="A86" s="10" t="s">
        <v>898</v>
      </c>
      <c r="B86" s="10" t="s">
        <v>899</v>
      </c>
      <c r="C86" s="10" t="s">
        <v>900</v>
      </c>
      <c r="D86" s="10" t="s">
        <v>34</v>
      </c>
      <c r="E86" s="10" t="s">
        <v>901</v>
      </c>
      <c r="F86" s="10" t="s">
        <v>902</v>
      </c>
      <c r="G86" s="13">
        <f>HYPERLINK("http://www.nomadfoods.com","www.nomadfoods.com")</f>
      </c>
      <c r="H86" s="10" t="s">
        <v>97</v>
      </c>
      <c r="I86" s="9">
        <v>1</v>
      </c>
      <c r="J86" s="9">
        <v>2</v>
      </c>
      <c r="K86" s="9">
        <v>1</v>
      </c>
      <c r="L86" s="11" t="s">
        <v>903</v>
      </c>
      <c r="M86" s="10" t="s">
        <v>37</v>
      </c>
      <c r="N86" s="10" t="s">
        <v>904</v>
      </c>
      <c r="O86" s="10" t="s">
        <v>905</v>
      </c>
      <c r="P86" s="10" t="s">
        <v>37</v>
      </c>
      <c r="Q86" s="10" t="s">
        <v>906</v>
      </c>
      <c r="R86" s="10" t="s">
        <v>37</v>
      </c>
      <c r="S86" s="11" t="s">
        <v>907</v>
      </c>
      <c r="T86" s="10" t="s">
        <v>908</v>
      </c>
      <c r="U86" s="11" t="s">
        <v>37</v>
      </c>
      <c r="V86" s="10" t="s">
        <v>909</v>
      </c>
      <c r="W86" s="13">
        <f>HYPERLINK("https://my.pitchbook.com?p=98461-54P","View People Online")</f>
      </c>
    </row>
    <row r="87">
      <c r="A87" s="14" t="s">
        <v>910</v>
      </c>
      <c r="B87" s="14" t="s">
        <v>911</v>
      </c>
      <c r="C87" s="14" t="s">
        <v>912</v>
      </c>
      <c r="D87" s="14" t="s">
        <v>34</v>
      </c>
      <c r="E87" s="14" t="s">
        <v>913</v>
      </c>
      <c r="F87" s="14" t="s">
        <v>914</v>
      </c>
      <c r="G87" s="12">
        <f>HYPERLINK("http://www.vedantaresources.com","www.vedantaresources.com")</f>
      </c>
      <c r="H87" s="14" t="s">
        <v>915</v>
      </c>
      <c r="I87" s="16">
        <v>1</v>
      </c>
      <c r="J87" s="16">
        <v>2</v>
      </c>
      <c r="K87" s="16" t="s">
        <v>37</v>
      </c>
      <c r="L87" s="15" t="s">
        <v>916</v>
      </c>
      <c r="M87" s="14" t="s">
        <v>37</v>
      </c>
      <c r="N87" s="14" t="s">
        <v>129</v>
      </c>
      <c r="O87" s="14" t="s">
        <v>917</v>
      </c>
      <c r="P87" s="14" t="s">
        <v>798</v>
      </c>
      <c r="Q87" s="14" t="s">
        <v>132</v>
      </c>
      <c r="R87" s="14" t="s">
        <v>133</v>
      </c>
      <c r="S87" s="15" t="s">
        <v>134</v>
      </c>
      <c r="T87" s="14" t="s">
        <v>135</v>
      </c>
      <c r="U87" s="15" t="s">
        <v>37</v>
      </c>
      <c r="V87" s="14" t="s">
        <v>918</v>
      </c>
      <c r="W87" s="12">
        <f>HYPERLINK("https://my.pitchbook.com?p=311094-64P","View People Online")</f>
      </c>
    </row>
    <row r="88">
      <c r="A88" s="10" t="s">
        <v>919</v>
      </c>
      <c r="B88" s="10" t="s">
        <v>920</v>
      </c>
      <c r="C88" s="10" t="s">
        <v>921</v>
      </c>
      <c r="D88" s="10" t="s">
        <v>34</v>
      </c>
      <c r="E88" s="10" t="s">
        <v>922</v>
      </c>
      <c r="F88" s="10" t="s">
        <v>923</v>
      </c>
      <c r="G88" s="13">
        <f>HYPERLINK("http://en.mgmchinaholdings.com","en.mgmchinaholdings.com")</f>
      </c>
      <c r="H88" s="10" t="s">
        <v>924</v>
      </c>
      <c r="I88" s="9">
        <v>2</v>
      </c>
      <c r="J88" s="9">
        <v>4</v>
      </c>
      <c r="K88" s="9">
        <v>1</v>
      </c>
      <c r="L88" s="11" t="s">
        <v>925</v>
      </c>
      <c r="M88" s="10" t="s">
        <v>926</v>
      </c>
      <c r="N88" s="10" t="s">
        <v>927</v>
      </c>
      <c r="O88" s="10" t="s">
        <v>928</v>
      </c>
      <c r="P88" s="10" t="s">
        <v>929</v>
      </c>
      <c r="Q88" s="10" t="s">
        <v>930</v>
      </c>
      <c r="R88" s="10" t="s">
        <v>37</v>
      </c>
      <c r="S88" s="11" t="s">
        <v>931</v>
      </c>
      <c r="T88" s="10" t="s">
        <v>932</v>
      </c>
      <c r="U88" s="11" t="s">
        <v>37</v>
      </c>
      <c r="V88" s="10" t="s">
        <v>933</v>
      </c>
      <c r="W88" s="13">
        <f>HYPERLINK("https://my.pitchbook.com?p=94251-07P","View People Online")</f>
      </c>
    </row>
    <row r="89">
      <c r="A89" s="14" t="s">
        <v>934</v>
      </c>
      <c r="B89" s="14" t="s">
        <v>935</v>
      </c>
      <c r="C89" s="14" t="s">
        <v>936</v>
      </c>
      <c r="D89" s="14" t="s">
        <v>34</v>
      </c>
      <c r="E89" s="14" t="s">
        <v>937</v>
      </c>
      <c r="F89" s="14" t="s">
        <v>938</v>
      </c>
      <c r="G89" s="12">
        <f>HYPERLINK("http://www.enav.it","www.enav.it")</f>
      </c>
      <c r="H89" s="14" t="s">
        <v>241</v>
      </c>
      <c r="I89" s="16">
        <v>1</v>
      </c>
      <c r="J89" s="16">
        <v>1</v>
      </c>
      <c r="K89" s="16" t="s">
        <v>37</v>
      </c>
      <c r="L89" s="15" t="s">
        <v>939</v>
      </c>
      <c r="M89" s="14" t="s">
        <v>37</v>
      </c>
      <c r="N89" s="14" t="s">
        <v>940</v>
      </c>
      <c r="O89" s="14" t="s">
        <v>941</v>
      </c>
      <c r="P89" s="14" t="s">
        <v>37</v>
      </c>
      <c r="Q89" s="14" t="s">
        <v>942</v>
      </c>
      <c r="R89" s="14" t="s">
        <v>37</v>
      </c>
      <c r="S89" s="15" t="s">
        <v>943</v>
      </c>
      <c r="T89" s="14" t="s">
        <v>402</v>
      </c>
      <c r="U89" s="15" t="s">
        <v>37</v>
      </c>
      <c r="V89" s="14" t="s">
        <v>944</v>
      </c>
      <c r="W89" s="12">
        <f>HYPERLINK("https://my.pitchbook.com?p=400781-26P","View People Online")</f>
      </c>
    </row>
    <row r="90">
      <c r="A90" s="10" t="s">
        <v>945</v>
      </c>
      <c r="B90" s="10" t="s">
        <v>946</v>
      </c>
      <c r="C90" s="10" t="s">
        <v>947</v>
      </c>
      <c r="D90" s="10" t="s">
        <v>34</v>
      </c>
      <c r="E90" s="10" t="s">
        <v>948</v>
      </c>
      <c r="F90" s="10" t="s">
        <v>949</v>
      </c>
      <c r="G90" s="13">
        <f>HYPERLINK("http://www.scopusbiopharma.com","www.scopusbiopharma.com")</f>
      </c>
      <c r="H90" s="10" t="s">
        <v>950</v>
      </c>
      <c r="I90" s="9" t="s">
        <v>37</v>
      </c>
      <c r="J90" s="9" t="s">
        <v>37</v>
      </c>
      <c r="K90" s="9" t="s">
        <v>37</v>
      </c>
      <c r="L90" s="11" t="s">
        <v>37</v>
      </c>
      <c r="M90" s="10" t="s">
        <v>37</v>
      </c>
      <c r="N90" s="10" t="s">
        <v>37</v>
      </c>
      <c r="O90" s="10" t="s">
        <v>37</v>
      </c>
      <c r="P90" s="10" t="s">
        <v>37</v>
      </c>
      <c r="Q90" s="10" t="s">
        <v>37</v>
      </c>
      <c r="R90" s="10" t="s">
        <v>37</v>
      </c>
      <c r="S90" s="11" t="s">
        <v>37</v>
      </c>
      <c r="T90" s="10" t="s">
        <v>37</v>
      </c>
      <c r="U90" s="11" t="s">
        <v>37</v>
      </c>
      <c r="V90" s="10" t="s">
        <v>951</v>
      </c>
      <c r="W90" s="13">
        <f>HYPERLINK("https://my.pitchbook.com?p=232502-05P","View People Online")</f>
      </c>
    </row>
    <row r="91">
      <c r="A91" s="14" t="s">
        <v>952</v>
      </c>
      <c r="B91" s="14" t="s">
        <v>953</v>
      </c>
      <c r="C91" s="14" t="s">
        <v>954</v>
      </c>
      <c r="D91" s="14" t="s">
        <v>34</v>
      </c>
      <c r="E91" s="14" t="s">
        <v>955</v>
      </c>
      <c r="F91" s="14" t="s">
        <v>956</v>
      </c>
      <c r="G91" s="12">
        <f>HYPERLINK("http://www.prim.com","www.prim.com")</f>
      </c>
      <c r="H91" s="14" t="s">
        <v>957</v>
      </c>
      <c r="I91" s="16" t="s">
        <v>37</v>
      </c>
      <c r="J91" s="16" t="s">
        <v>37</v>
      </c>
      <c r="K91" s="16" t="s">
        <v>37</v>
      </c>
      <c r="L91" s="15" t="s">
        <v>37</v>
      </c>
      <c r="M91" s="14" t="s">
        <v>37</v>
      </c>
      <c r="N91" s="14" t="s">
        <v>37</v>
      </c>
      <c r="O91" s="14" t="s">
        <v>37</v>
      </c>
      <c r="P91" s="14" t="s">
        <v>37</v>
      </c>
      <c r="Q91" s="14" t="s">
        <v>37</v>
      </c>
      <c r="R91" s="14" t="s">
        <v>37</v>
      </c>
      <c r="S91" s="15" t="s">
        <v>37</v>
      </c>
      <c r="T91" s="14" t="s">
        <v>37</v>
      </c>
      <c r="U91" s="15" t="s">
        <v>37</v>
      </c>
      <c r="V91" s="14" t="s">
        <v>958</v>
      </c>
      <c r="W91" s="12">
        <f>HYPERLINK("https://my.pitchbook.com?p=85967-02P","View People Online")</f>
      </c>
    </row>
    <row r="92">
      <c r="A92" s="10" t="s">
        <v>959</v>
      </c>
      <c r="B92" s="10" t="s">
        <v>960</v>
      </c>
      <c r="C92" s="10" t="s">
        <v>145</v>
      </c>
      <c r="D92" s="10" t="s">
        <v>34</v>
      </c>
      <c r="E92" s="10" t="s">
        <v>146</v>
      </c>
      <c r="F92" s="10" t="s">
        <v>961</v>
      </c>
      <c r="G92" s="13">
        <f>HYPERLINK("http://www.wipro.com","www.wipro.com")</f>
      </c>
      <c r="H92" s="10" t="s">
        <v>867</v>
      </c>
      <c r="I92" s="9">
        <v>1</v>
      </c>
      <c r="J92" s="9">
        <v>4</v>
      </c>
      <c r="K92" s="9">
        <v>2</v>
      </c>
      <c r="L92" s="11" t="s">
        <v>962</v>
      </c>
      <c r="M92" s="10" t="s">
        <v>963</v>
      </c>
      <c r="N92" s="10" t="s">
        <v>151</v>
      </c>
      <c r="O92" s="10" t="s">
        <v>152</v>
      </c>
      <c r="P92" s="10" t="s">
        <v>153</v>
      </c>
      <c r="Q92" s="10" t="s">
        <v>154</v>
      </c>
      <c r="R92" s="10" t="s">
        <v>37</v>
      </c>
      <c r="S92" s="11" t="s">
        <v>155</v>
      </c>
      <c r="T92" s="10" t="s">
        <v>135</v>
      </c>
      <c r="U92" s="11" t="s">
        <v>156</v>
      </c>
      <c r="V92" s="10" t="s">
        <v>964</v>
      </c>
      <c r="W92" s="13">
        <f>HYPERLINK("https://my.pitchbook.com?p=74055-25P","View People Online")</f>
      </c>
    </row>
    <row r="93">
      <c r="A93" s="14" t="s">
        <v>965</v>
      </c>
      <c r="B93" s="14" t="s">
        <v>966</v>
      </c>
      <c r="C93" s="14" t="s">
        <v>967</v>
      </c>
      <c r="D93" s="14" t="s">
        <v>34</v>
      </c>
      <c r="E93" s="14" t="s">
        <v>968</v>
      </c>
      <c r="F93" s="14" t="s">
        <v>969</v>
      </c>
      <c r="G93" s="12">
        <f>HYPERLINK("http://www.naturessunshine.com","www.naturessunshine.com")</f>
      </c>
      <c r="H93" s="14" t="s">
        <v>38</v>
      </c>
      <c r="I93" s="16" t="s">
        <v>37</v>
      </c>
      <c r="J93" s="16" t="s">
        <v>37</v>
      </c>
      <c r="K93" s="16" t="s">
        <v>37</v>
      </c>
      <c r="L93" s="15" t="s">
        <v>37</v>
      </c>
      <c r="M93" s="14" t="s">
        <v>37</v>
      </c>
      <c r="N93" s="14" t="s">
        <v>37</v>
      </c>
      <c r="O93" s="14" t="s">
        <v>37</v>
      </c>
      <c r="P93" s="14" t="s">
        <v>37</v>
      </c>
      <c r="Q93" s="14" t="s">
        <v>37</v>
      </c>
      <c r="R93" s="14" t="s">
        <v>37</v>
      </c>
      <c r="S93" s="15" t="s">
        <v>37</v>
      </c>
      <c r="T93" s="14" t="s">
        <v>37</v>
      </c>
      <c r="U93" s="15" t="s">
        <v>37</v>
      </c>
      <c r="V93" s="14" t="s">
        <v>970</v>
      </c>
      <c r="W93" s="12">
        <f>HYPERLINK("https://my.pitchbook.com?p=265170-25P","View People Online")</f>
      </c>
    </row>
    <row r="94">
      <c r="A94" s="10" t="s">
        <v>971</v>
      </c>
      <c r="B94" s="10" t="s">
        <v>972</v>
      </c>
      <c r="C94" s="10" t="s">
        <v>973</v>
      </c>
      <c r="D94" s="10" t="s">
        <v>34</v>
      </c>
      <c r="E94" s="10" t="s">
        <v>974</v>
      </c>
      <c r="F94" s="10" t="s">
        <v>975</v>
      </c>
      <c r="G94" s="13">
        <f>HYPERLINK("http://oklo.com","oklo.com")</f>
      </c>
      <c r="H94" s="10" t="s">
        <v>54</v>
      </c>
      <c r="I94" s="9">
        <v>1</v>
      </c>
      <c r="J94" s="9">
        <v>4</v>
      </c>
      <c r="K94" s="9">
        <v>3</v>
      </c>
      <c r="L94" s="11" t="s">
        <v>976</v>
      </c>
      <c r="M94" s="10" t="s">
        <v>37</v>
      </c>
      <c r="N94" s="10" t="s">
        <v>880</v>
      </c>
      <c r="O94" s="10" t="s">
        <v>977</v>
      </c>
      <c r="P94" s="10" t="s">
        <v>37</v>
      </c>
      <c r="Q94" s="10" t="s">
        <v>882</v>
      </c>
      <c r="R94" s="10" t="s">
        <v>343</v>
      </c>
      <c r="S94" s="11" t="s">
        <v>883</v>
      </c>
      <c r="T94" s="10" t="s">
        <v>120</v>
      </c>
      <c r="U94" s="11" t="s">
        <v>37</v>
      </c>
      <c r="V94" s="10" t="s">
        <v>978</v>
      </c>
      <c r="W94" s="13">
        <f>HYPERLINK("https://my.pitchbook.com?p=270245-44P","View People Online")</f>
      </c>
    </row>
    <row r="95">
      <c r="A95" s="14" t="s">
        <v>979</v>
      </c>
      <c r="B95" s="14" t="s">
        <v>980</v>
      </c>
      <c r="C95" s="14" t="s">
        <v>109</v>
      </c>
      <c r="D95" s="14" t="s">
        <v>34</v>
      </c>
      <c r="E95" s="14" t="s">
        <v>981</v>
      </c>
      <c r="F95" s="14" t="s">
        <v>982</v>
      </c>
      <c r="G95" s="12">
        <f>HYPERLINK("http://www.microsoft.com","www.microsoft.com")</f>
      </c>
      <c r="H95" s="14" t="s">
        <v>479</v>
      </c>
      <c r="I95" s="16">
        <v>1</v>
      </c>
      <c r="J95" s="16">
        <v>21</v>
      </c>
      <c r="K95" s="16">
        <v>17</v>
      </c>
      <c r="L95" s="15" t="s">
        <v>113</v>
      </c>
      <c r="M95" s="14" t="s">
        <v>983</v>
      </c>
      <c r="N95" s="14" t="s">
        <v>115</v>
      </c>
      <c r="O95" s="14" t="s">
        <v>116</v>
      </c>
      <c r="P95" s="14" t="s">
        <v>37</v>
      </c>
      <c r="Q95" s="14" t="s">
        <v>117</v>
      </c>
      <c r="R95" s="14" t="s">
        <v>118</v>
      </c>
      <c r="S95" s="15" t="s">
        <v>119</v>
      </c>
      <c r="T95" s="14" t="s">
        <v>120</v>
      </c>
      <c r="U95" s="15" t="s">
        <v>37</v>
      </c>
      <c r="V95" s="14" t="s">
        <v>984</v>
      </c>
      <c r="W95" s="12">
        <f>HYPERLINK("https://my.pitchbook.com?p=57262-60P","View People Online")</f>
      </c>
    </row>
    <row r="96">
      <c r="A96" s="10" t="s">
        <v>985</v>
      </c>
      <c r="B96" s="10" t="s">
        <v>986</v>
      </c>
      <c r="C96" s="10" t="s">
        <v>664</v>
      </c>
      <c r="D96" s="10" t="s">
        <v>34</v>
      </c>
      <c r="E96" s="10" t="s">
        <v>987</v>
      </c>
      <c r="F96" s="10" t="s">
        <v>988</v>
      </c>
      <c r="G96" s="13">
        <f>HYPERLINK("http://www.abc.xyz","www.abc.xyz")</f>
      </c>
      <c r="H96" s="10" t="s">
        <v>989</v>
      </c>
      <c r="I96" s="9">
        <v>2</v>
      </c>
      <c r="J96" s="9">
        <v>8</v>
      </c>
      <c r="K96" s="9">
        <v>3</v>
      </c>
      <c r="L96" s="11" t="s">
        <v>668</v>
      </c>
      <c r="M96" s="10" t="s">
        <v>990</v>
      </c>
      <c r="N96" s="10" t="s">
        <v>425</v>
      </c>
      <c r="O96" s="10" t="s">
        <v>670</v>
      </c>
      <c r="P96" s="10" t="s">
        <v>37</v>
      </c>
      <c r="Q96" s="10" t="s">
        <v>428</v>
      </c>
      <c r="R96" s="10" t="s">
        <v>343</v>
      </c>
      <c r="S96" s="11" t="s">
        <v>671</v>
      </c>
      <c r="T96" s="10" t="s">
        <v>120</v>
      </c>
      <c r="U96" s="11" t="s">
        <v>37</v>
      </c>
      <c r="V96" s="10" t="s">
        <v>991</v>
      </c>
      <c r="W96" s="13">
        <f>HYPERLINK("https://my.pitchbook.com?p=35600-77P","View People Online")</f>
      </c>
    </row>
    <row r="97">
      <c r="A97" s="14" t="s">
        <v>992</v>
      </c>
      <c r="B97" s="14" t="s">
        <v>993</v>
      </c>
      <c r="C97" s="14" t="s">
        <v>994</v>
      </c>
      <c r="D97" s="14" t="s">
        <v>34</v>
      </c>
      <c r="E97" s="14" t="s">
        <v>995</v>
      </c>
      <c r="F97" s="14" t="s">
        <v>996</v>
      </c>
      <c r="G97" s="12">
        <f>HYPERLINK("http://www.conocophillips.com","www.conocophillips.com")</f>
      </c>
      <c r="H97" s="14" t="s">
        <v>997</v>
      </c>
      <c r="I97" s="16">
        <v>1</v>
      </c>
      <c r="J97" s="16">
        <v>3</v>
      </c>
      <c r="K97" s="16">
        <v>1</v>
      </c>
      <c r="L97" s="15" t="s">
        <v>998</v>
      </c>
      <c r="M97" s="14" t="s">
        <v>37</v>
      </c>
      <c r="N97" s="14" t="s">
        <v>718</v>
      </c>
      <c r="O97" s="14" t="s">
        <v>999</v>
      </c>
      <c r="P97" s="14" t="s">
        <v>37</v>
      </c>
      <c r="Q97" s="14" t="s">
        <v>721</v>
      </c>
      <c r="R97" s="14" t="s">
        <v>287</v>
      </c>
      <c r="S97" s="15" t="s">
        <v>1000</v>
      </c>
      <c r="T97" s="14" t="s">
        <v>120</v>
      </c>
      <c r="U97" s="15" t="s">
        <v>37</v>
      </c>
      <c r="V97" s="14" t="s">
        <v>1001</v>
      </c>
      <c r="W97" s="12">
        <f>HYPERLINK("https://my.pitchbook.com?p=40591-63P","View People Online")</f>
      </c>
    </row>
    <row r="98">
      <c r="A98" s="10" t="s">
        <v>1002</v>
      </c>
      <c r="B98" s="10" t="s">
        <v>1003</v>
      </c>
      <c r="C98" s="10" t="s">
        <v>1004</v>
      </c>
      <c r="D98" s="10" t="s">
        <v>34</v>
      </c>
      <c r="E98" s="10" t="s">
        <v>1005</v>
      </c>
      <c r="F98" s="10" t="s">
        <v>1006</v>
      </c>
      <c r="G98" s="13">
        <f>HYPERLINK("http://www.cpfworldwide.com","www.cpfworldwide.com")</f>
      </c>
      <c r="H98" s="10" t="s">
        <v>54</v>
      </c>
      <c r="I98" s="9">
        <v>4</v>
      </c>
      <c r="J98" s="9">
        <v>4</v>
      </c>
      <c r="K98" s="9" t="s">
        <v>37</v>
      </c>
      <c r="L98" s="11" t="s">
        <v>1007</v>
      </c>
      <c r="M98" s="10" t="s">
        <v>37</v>
      </c>
      <c r="N98" s="10" t="s">
        <v>1008</v>
      </c>
      <c r="O98" s="10" t="s">
        <v>1009</v>
      </c>
      <c r="P98" s="10" t="s">
        <v>1010</v>
      </c>
      <c r="Q98" s="10" t="s">
        <v>1011</v>
      </c>
      <c r="R98" s="10" t="s">
        <v>37</v>
      </c>
      <c r="S98" s="11" t="s">
        <v>1012</v>
      </c>
      <c r="T98" s="10" t="s">
        <v>1013</v>
      </c>
      <c r="U98" s="11" t="s">
        <v>1014</v>
      </c>
      <c r="V98" s="10" t="s">
        <v>1015</v>
      </c>
      <c r="W98" s="13">
        <f>HYPERLINK("https://my.pitchbook.com?p=34055-92P","View People Online")</f>
      </c>
    </row>
    <row r="99">
      <c r="A99" s="14" t="s">
        <v>1016</v>
      </c>
      <c r="B99" s="14" t="s">
        <v>1017</v>
      </c>
      <c r="C99" s="14" t="s">
        <v>1018</v>
      </c>
      <c r="D99" s="14" t="s">
        <v>34</v>
      </c>
      <c r="E99" s="14" t="s">
        <v>1019</v>
      </c>
      <c r="F99" s="14" t="s">
        <v>1020</v>
      </c>
      <c r="G99" s="12">
        <f>HYPERLINK("http://www.straumann.com","www.straumann.com")</f>
      </c>
      <c r="H99" s="14" t="s">
        <v>38</v>
      </c>
      <c r="I99" s="16">
        <v>1</v>
      </c>
      <c r="J99" s="16">
        <v>28</v>
      </c>
      <c r="K99" s="16">
        <v>27</v>
      </c>
      <c r="L99" s="15" t="s">
        <v>1021</v>
      </c>
      <c r="M99" s="14" t="s">
        <v>37</v>
      </c>
      <c r="N99" s="14" t="s">
        <v>1022</v>
      </c>
      <c r="O99" s="14" t="s">
        <v>1023</v>
      </c>
      <c r="P99" s="14" t="s">
        <v>37</v>
      </c>
      <c r="Q99" s="14" t="s">
        <v>1024</v>
      </c>
      <c r="R99" s="14" t="s">
        <v>37</v>
      </c>
      <c r="S99" s="15" t="s">
        <v>1025</v>
      </c>
      <c r="T99" s="14" t="s">
        <v>371</v>
      </c>
      <c r="U99" s="15" t="s">
        <v>1026</v>
      </c>
      <c r="V99" s="14" t="s">
        <v>1027</v>
      </c>
      <c r="W99" s="12">
        <f>HYPERLINK("https://my.pitchbook.com?p=147033-46P","View People Online")</f>
      </c>
    </row>
    <row r="100">
      <c r="A100" s="10" t="s">
        <v>1028</v>
      </c>
      <c r="B100" s="10" t="s">
        <v>1029</v>
      </c>
      <c r="C100" s="10" t="s">
        <v>1030</v>
      </c>
      <c r="D100" s="10" t="s">
        <v>34</v>
      </c>
      <c r="E100" s="10" t="s">
        <v>1031</v>
      </c>
      <c r="F100" s="10" t="s">
        <v>1032</v>
      </c>
      <c r="G100" s="13">
        <f>HYPERLINK("http://www.ezconn.com","www.ezconn.com")</f>
      </c>
      <c r="H100" s="10" t="s">
        <v>54</v>
      </c>
      <c r="I100" s="9">
        <v>1</v>
      </c>
      <c r="J100" s="9">
        <v>1</v>
      </c>
      <c r="K100" s="9" t="s">
        <v>37</v>
      </c>
      <c r="L100" s="11" t="s">
        <v>37</v>
      </c>
      <c r="M100" s="10" t="s">
        <v>37</v>
      </c>
      <c r="N100" s="10" t="s">
        <v>1033</v>
      </c>
      <c r="O100" s="10" t="s">
        <v>1034</v>
      </c>
      <c r="P100" s="10" t="s">
        <v>1035</v>
      </c>
      <c r="Q100" s="10" t="s">
        <v>1036</v>
      </c>
      <c r="R100" s="10" t="s">
        <v>1035</v>
      </c>
      <c r="S100" s="11" t="s">
        <v>37</v>
      </c>
      <c r="T100" s="10" t="s">
        <v>1037</v>
      </c>
      <c r="U100" s="11" t="s">
        <v>37</v>
      </c>
      <c r="V100" s="10" t="s">
        <v>1038</v>
      </c>
      <c r="W100" s="13">
        <f>HYPERLINK("https://my.pitchbook.com?p=122984-02P","View People Online")</f>
      </c>
    </row>
    <row r="101">
      <c r="A101" s="14" t="s">
        <v>1039</v>
      </c>
      <c r="B101" s="14" t="s">
        <v>1029</v>
      </c>
      <c r="C101" s="14" t="s">
        <v>1040</v>
      </c>
      <c r="D101" s="14" t="s">
        <v>34</v>
      </c>
      <c r="E101" s="14" t="s">
        <v>1031</v>
      </c>
      <c r="F101" s="14" t="s">
        <v>1032</v>
      </c>
      <c r="G101" s="12">
        <f>HYPERLINK("http://www.siliconmotion.com","www.siliconmotion.com")</f>
      </c>
      <c r="H101" s="14" t="s">
        <v>38</v>
      </c>
      <c r="I101" s="16">
        <v>1</v>
      </c>
      <c r="J101" s="16">
        <v>1</v>
      </c>
      <c r="K101" s="16" t="s">
        <v>37</v>
      </c>
      <c r="L101" s="15" t="s">
        <v>1041</v>
      </c>
      <c r="M101" s="14" t="s">
        <v>37</v>
      </c>
      <c r="N101" s="14" t="s">
        <v>1042</v>
      </c>
      <c r="O101" s="14" t="s">
        <v>1043</v>
      </c>
      <c r="P101" s="14" t="s">
        <v>1044</v>
      </c>
      <c r="Q101" s="14" t="s">
        <v>1045</v>
      </c>
      <c r="R101" s="14" t="s">
        <v>37</v>
      </c>
      <c r="S101" s="15" t="s">
        <v>37</v>
      </c>
      <c r="T101" s="14" t="s">
        <v>1037</v>
      </c>
      <c r="U101" s="15" t="s">
        <v>1046</v>
      </c>
      <c r="V101" s="14" t="s">
        <v>1047</v>
      </c>
      <c r="W101" s="12">
        <f>HYPERLINK("https://my.pitchbook.com?p=279447-58P","View People Online")</f>
      </c>
    </row>
    <row r="102">
      <c r="A102" s="10" t="s">
        <v>1048</v>
      </c>
      <c r="B102" s="10" t="s">
        <v>1049</v>
      </c>
      <c r="C102" s="10" t="s">
        <v>1050</v>
      </c>
      <c r="D102" s="10" t="s">
        <v>34</v>
      </c>
      <c r="E102" s="10" t="s">
        <v>1031</v>
      </c>
      <c r="F102" s="10" t="s">
        <v>1032</v>
      </c>
      <c r="G102" s="13">
        <f>HYPERLINK("http://www.sercomm.com","www.sercomm.com")</f>
      </c>
      <c r="H102" s="10" t="s">
        <v>38</v>
      </c>
      <c r="I102" s="9">
        <v>1</v>
      </c>
      <c r="J102" s="9">
        <v>1</v>
      </c>
      <c r="K102" s="9" t="s">
        <v>37</v>
      </c>
      <c r="L102" s="11" t="s">
        <v>1051</v>
      </c>
      <c r="M102" s="10" t="s">
        <v>37</v>
      </c>
      <c r="N102" s="10" t="s">
        <v>1052</v>
      </c>
      <c r="O102" s="10" t="s">
        <v>1053</v>
      </c>
      <c r="P102" s="10" t="s">
        <v>1054</v>
      </c>
      <c r="Q102" s="10" t="s">
        <v>1055</v>
      </c>
      <c r="R102" s="10" t="s">
        <v>37</v>
      </c>
      <c r="S102" s="11" t="s">
        <v>1056</v>
      </c>
      <c r="T102" s="10" t="s">
        <v>1037</v>
      </c>
      <c r="U102" s="11" t="s">
        <v>1057</v>
      </c>
      <c r="V102" s="10" t="s">
        <v>1058</v>
      </c>
      <c r="W102" s="13">
        <f>HYPERLINK("https://my.pitchbook.com?p=96821-83P","View People Online")</f>
      </c>
    </row>
    <row r="103">
      <c r="A103" s="14" t="s">
        <v>1059</v>
      </c>
      <c r="B103" s="14" t="s">
        <v>1060</v>
      </c>
      <c r="C103" s="14" t="s">
        <v>1004</v>
      </c>
      <c r="D103" s="14" t="s">
        <v>34</v>
      </c>
      <c r="E103" s="14" t="s">
        <v>1005</v>
      </c>
      <c r="F103" s="14" t="s">
        <v>1061</v>
      </c>
      <c r="G103" s="12">
        <f>HYPERLINK("http://www.cpfworldwide.com","www.cpfworldwide.com")</f>
      </c>
      <c r="H103" s="14" t="s">
        <v>178</v>
      </c>
      <c r="I103" s="16">
        <v>5</v>
      </c>
      <c r="J103" s="16">
        <v>6</v>
      </c>
      <c r="K103" s="16">
        <v>1</v>
      </c>
      <c r="L103" s="15" t="s">
        <v>1007</v>
      </c>
      <c r="M103" s="14" t="s">
        <v>1062</v>
      </c>
      <c r="N103" s="14" t="s">
        <v>1008</v>
      </c>
      <c r="O103" s="14" t="s">
        <v>1009</v>
      </c>
      <c r="P103" s="14" t="s">
        <v>1010</v>
      </c>
      <c r="Q103" s="14" t="s">
        <v>1011</v>
      </c>
      <c r="R103" s="14" t="s">
        <v>37</v>
      </c>
      <c r="S103" s="15" t="s">
        <v>1012</v>
      </c>
      <c r="T103" s="14" t="s">
        <v>1013</v>
      </c>
      <c r="U103" s="15" t="s">
        <v>1014</v>
      </c>
      <c r="V103" s="14" t="s">
        <v>1063</v>
      </c>
      <c r="W103" s="12">
        <f>HYPERLINK("https://my.pitchbook.com?p=171402-22P","View People Online")</f>
      </c>
    </row>
    <row r="104">
      <c r="A104" s="10" t="s">
        <v>1064</v>
      </c>
      <c r="B104" s="10" t="s">
        <v>1065</v>
      </c>
      <c r="C104" s="10" t="s">
        <v>1066</v>
      </c>
      <c r="D104" s="10" t="s">
        <v>34</v>
      </c>
      <c r="E104" s="10" t="s">
        <v>1067</v>
      </c>
      <c r="F104" s="10" t="s">
        <v>1068</v>
      </c>
      <c r="G104" s="13">
        <f>HYPERLINK("http://www.verrica.com","www.verrica.com")</f>
      </c>
      <c r="H104" s="10" t="s">
        <v>241</v>
      </c>
      <c r="I104" s="9">
        <v>1</v>
      </c>
      <c r="J104" s="9">
        <v>1</v>
      </c>
      <c r="K104" s="9" t="s">
        <v>37</v>
      </c>
      <c r="L104" s="11" t="s">
        <v>1069</v>
      </c>
      <c r="M104" s="10" t="s">
        <v>1070</v>
      </c>
      <c r="N104" s="10" t="s">
        <v>1071</v>
      </c>
      <c r="O104" s="10" t="s">
        <v>1072</v>
      </c>
      <c r="P104" s="10" t="s">
        <v>1073</v>
      </c>
      <c r="Q104" s="10" t="s">
        <v>1074</v>
      </c>
      <c r="R104" s="10" t="s">
        <v>1075</v>
      </c>
      <c r="S104" s="11" t="s">
        <v>1076</v>
      </c>
      <c r="T104" s="10" t="s">
        <v>120</v>
      </c>
      <c r="U104" s="11" t="s">
        <v>37</v>
      </c>
      <c r="V104" s="10" t="s">
        <v>1077</v>
      </c>
      <c r="W104" s="13">
        <f>HYPERLINK("https://my.pitchbook.com?p=176833-81P","View People Online")</f>
      </c>
    </row>
    <row r="105">
      <c r="A105" s="14" t="s">
        <v>1078</v>
      </c>
      <c r="B105" s="14" t="s">
        <v>1079</v>
      </c>
      <c r="C105" s="14" t="s">
        <v>1080</v>
      </c>
      <c r="D105" s="14" t="s">
        <v>34</v>
      </c>
      <c r="E105" s="14" t="s">
        <v>1081</v>
      </c>
      <c r="F105" s="14" t="s">
        <v>1082</v>
      </c>
      <c r="G105" s="12">
        <f>HYPERLINK("http://www.compagniedelodet.net","www.compagniedelodet.net")</f>
      </c>
      <c r="H105" s="14" t="s">
        <v>1083</v>
      </c>
      <c r="I105" s="16">
        <v>1</v>
      </c>
      <c r="J105" s="16">
        <v>20</v>
      </c>
      <c r="K105" s="16">
        <v>18</v>
      </c>
      <c r="L105" s="15" t="s">
        <v>1084</v>
      </c>
      <c r="M105" s="14" t="s">
        <v>37</v>
      </c>
      <c r="N105" s="14" t="s">
        <v>1085</v>
      </c>
      <c r="O105" s="14" t="s">
        <v>1086</v>
      </c>
      <c r="P105" s="14" t="s">
        <v>37</v>
      </c>
      <c r="Q105" s="14" t="s">
        <v>1087</v>
      </c>
      <c r="R105" s="14" t="s">
        <v>37</v>
      </c>
      <c r="S105" s="15" t="s">
        <v>1088</v>
      </c>
      <c r="T105" s="14" t="s">
        <v>1089</v>
      </c>
      <c r="U105" s="15" t="s">
        <v>1090</v>
      </c>
      <c r="V105" s="14" t="s">
        <v>1091</v>
      </c>
      <c r="W105" s="12">
        <f>HYPERLINK("https://my.pitchbook.com?p=90700-57P","View People Online")</f>
      </c>
    </row>
    <row r="106">
      <c r="A106" s="10" t="s">
        <v>1092</v>
      </c>
      <c r="B106" s="10" t="s">
        <v>1093</v>
      </c>
      <c r="C106" s="10" t="s">
        <v>1094</v>
      </c>
      <c r="D106" s="10" t="s">
        <v>34</v>
      </c>
      <c r="E106" s="10" t="s">
        <v>1095</v>
      </c>
      <c r="F106" s="10" t="s">
        <v>1082</v>
      </c>
      <c r="G106" s="13">
        <f>HYPERLINK("http://www.virtu.com","www.virtu.com")</f>
      </c>
      <c r="H106" s="10" t="s">
        <v>1096</v>
      </c>
      <c r="I106" s="9">
        <v>1</v>
      </c>
      <c r="J106" s="9">
        <v>5</v>
      </c>
      <c r="K106" s="9">
        <v>3</v>
      </c>
      <c r="L106" s="11" t="s">
        <v>1097</v>
      </c>
      <c r="M106" s="10" t="s">
        <v>1098</v>
      </c>
      <c r="N106" s="10" t="s">
        <v>203</v>
      </c>
      <c r="O106" s="10" t="s">
        <v>695</v>
      </c>
      <c r="P106" s="10" t="s">
        <v>1099</v>
      </c>
      <c r="Q106" s="10" t="s">
        <v>206</v>
      </c>
      <c r="R106" s="10" t="s">
        <v>206</v>
      </c>
      <c r="S106" s="11" t="s">
        <v>696</v>
      </c>
      <c r="T106" s="10" t="s">
        <v>120</v>
      </c>
      <c r="U106" s="11" t="s">
        <v>37</v>
      </c>
      <c r="V106" s="10" t="s">
        <v>1100</v>
      </c>
      <c r="W106" s="13">
        <f>HYPERLINK("https://my.pitchbook.com?p=37264-96P","View People Online")</f>
      </c>
    </row>
    <row r="107">
      <c r="A107" s="14" t="s">
        <v>1101</v>
      </c>
      <c r="B107" s="14" t="s">
        <v>1102</v>
      </c>
      <c r="C107" s="14" t="s">
        <v>1103</v>
      </c>
      <c r="D107" s="14" t="s">
        <v>34</v>
      </c>
      <c r="E107" s="14" t="s">
        <v>1104</v>
      </c>
      <c r="F107" s="14" t="s">
        <v>1105</v>
      </c>
      <c r="G107" s="12">
        <f>HYPERLINK("http://www.akerhorizons.com","www.akerhorizons.com")</f>
      </c>
      <c r="H107" s="14" t="s">
        <v>1106</v>
      </c>
      <c r="I107" s="16">
        <v>2</v>
      </c>
      <c r="J107" s="16">
        <v>7</v>
      </c>
      <c r="K107" s="16">
        <v>4</v>
      </c>
      <c r="L107" s="15" t="s">
        <v>1107</v>
      </c>
      <c r="M107" s="14" t="s">
        <v>1108</v>
      </c>
      <c r="N107" s="14" t="s">
        <v>1109</v>
      </c>
      <c r="O107" s="14" t="s">
        <v>1110</v>
      </c>
      <c r="P107" s="14" t="s">
        <v>1111</v>
      </c>
      <c r="Q107" s="14" t="s">
        <v>1112</v>
      </c>
      <c r="R107" s="14" t="s">
        <v>37</v>
      </c>
      <c r="S107" s="15" t="s">
        <v>1113</v>
      </c>
      <c r="T107" s="14" t="s">
        <v>1114</v>
      </c>
      <c r="U107" s="15" t="s">
        <v>37</v>
      </c>
      <c r="V107" s="14" t="s">
        <v>1115</v>
      </c>
      <c r="W107" s="12">
        <f>HYPERLINK("https://my.pitchbook.com?p=54279-55P","View People Online")</f>
      </c>
    </row>
    <row r="108">
      <c r="A108" s="10" t="s">
        <v>1116</v>
      </c>
      <c r="B108" s="10" t="s">
        <v>1117</v>
      </c>
      <c r="C108" s="10" t="s">
        <v>1118</v>
      </c>
      <c r="D108" s="10" t="s">
        <v>34</v>
      </c>
      <c r="E108" s="10" t="s">
        <v>1119</v>
      </c>
      <c r="F108" s="10" t="s">
        <v>1120</v>
      </c>
      <c r="G108" s="13">
        <f>HYPERLINK("http://www.planet.com","www.planet.com")</f>
      </c>
      <c r="H108" s="10" t="s">
        <v>37</v>
      </c>
      <c r="I108" s="9">
        <v>1</v>
      </c>
      <c r="J108" s="9">
        <v>178</v>
      </c>
      <c r="K108" s="9">
        <v>165</v>
      </c>
      <c r="L108" s="11" t="s">
        <v>1121</v>
      </c>
      <c r="M108" s="10" t="s">
        <v>1122</v>
      </c>
      <c r="N108" s="10" t="s">
        <v>68</v>
      </c>
      <c r="O108" s="10" t="s">
        <v>37</v>
      </c>
      <c r="P108" s="10" t="s">
        <v>37</v>
      </c>
      <c r="Q108" s="10" t="s">
        <v>71</v>
      </c>
      <c r="R108" s="10" t="s">
        <v>37</v>
      </c>
      <c r="S108" s="11" t="s">
        <v>37</v>
      </c>
      <c r="T108" s="10" t="s">
        <v>73</v>
      </c>
      <c r="U108" s="11" t="s">
        <v>37</v>
      </c>
      <c r="V108" s="10" t="s">
        <v>1123</v>
      </c>
      <c r="W108" s="13">
        <f>HYPERLINK("https://my.pitchbook.com?p=30461-86P","View People Online")</f>
      </c>
    </row>
    <row r="109">
      <c r="A109" s="14" t="s">
        <v>1124</v>
      </c>
      <c r="B109" s="14" t="s">
        <v>1125</v>
      </c>
      <c r="C109" s="14" t="s">
        <v>1126</v>
      </c>
      <c r="D109" s="14" t="s">
        <v>34</v>
      </c>
      <c r="E109" s="14" t="s">
        <v>1127</v>
      </c>
      <c r="F109" s="14" t="s">
        <v>1128</v>
      </c>
      <c r="G109" s="12">
        <f>HYPERLINK("http://www.victoriaplc.com","www.victoriaplc.com")</f>
      </c>
      <c r="H109" s="14" t="s">
        <v>1129</v>
      </c>
      <c r="I109" s="16">
        <v>2</v>
      </c>
      <c r="J109" s="16">
        <v>2</v>
      </c>
      <c r="K109" s="16" t="s">
        <v>37</v>
      </c>
      <c r="L109" s="15" t="s">
        <v>1130</v>
      </c>
      <c r="M109" s="14" t="s">
        <v>37</v>
      </c>
      <c r="N109" s="14" t="s">
        <v>1131</v>
      </c>
      <c r="O109" s="14" t="s">
        <v>1132</v>
      </c>
      <c r="P109" s="14" t="s">
        <v>37</v>
      </c>
      <c r="Q109" s="14" t="s">
        <v>1133</v>
      </c>
      <c r="R109" s="14" t="s">
        <v>259</v>
      </c>
      <c r="S109" s="15" t="s">
        <v>1134</v>
      </c>
      <c r="T109" s="14" t="s">
        <v>260</v>
      </c>
      <c r="U109" s="15" t="s">
        <v>37</v>
      </c>
      <c r="V109" s="14" t="s">
        <v>1135</v>
      </c>
      <c r="W109" s="12">
        <f>HYPERLINK("https://my.pitchbook.com?p=217944-01P","View People Online")</f>
      </c>
    </row>
    <row r="111">
      <c r="A111" s="17" t="s">
        <v>1136</v>
      </c>
    </row>
  </sheetData>
  <mergeCells count="1">
    <mergeCell ref="B6:D6"/>
  </mergeCells>
  <hyperlinks>
    <hyperlink ref="B5" r:id="rId1" display="https://my.pitchbook.com/?pcc=1218627-37"/>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dr="http://schemas.openxmlformats.org/drawingml/2006/spreadsheetDrawing" xmlns:a14="http://schemas.microsoft.com/office/drawing/2010/main" xmlns:x14="http://schemas.microsoft.com/office/spreadsheetml/2009/9/main" mc:Ignorable="x14ac">
  <dimension ref="A1:E15"/>
  <sheetViews>
    <sheetView showGridLines="0" workbookViewId="0">
      <selection sqref="A1"/>
    </sheetView>
  </sheetViews>
  <sheetFormatPr defaultRowHeight="15"/>
  <cols>
    <col min="1" max="1" width="10.5703125" customWidth="1"/>
    <col min="2" max="2" width="49.140625" customWidth="1"/>
    <col min="3" max="3" width="27.7109375" customWidth="1"/>
    <col min="4" max="4" width="4.5703125" customWidth="1"/>
    <col min="5" max="5" width="22.140625" customWidth="1"/>
  </cols>
  <sheetData>
    <row r="1">
      <c r="A1" s="18" t="s">
        <v>1137</v>
      </c>
    </row>
    <row r="3">
      <c r="A3" s="19" t="s">
        <v>1138</v>
      </c>
    </row>
    <row r="4">
      <c r="A4" s="21" t="s">
        <v>1139</v>
      </c>
    </row>
    <row r="6">
      <c r="A6" s="19" t="s">
        <v>1140</v>
      </c>
      <c r="C6" s="21" t="s">
        <v>1141</v>
      </c>
      <c r="E6" s="19" t="s">
        <v>1142</v>
      </c>
    </row>
    <row r="8">
      <c r="A8" s="19" t="s">
        <v>1143</v>
      </c>
    </row>
    <row r="9">
      <c r="A9" s="22" t="s">
        <v>1144</v>
      </c>
      <c r="B9" s="19" t="s">
        <v>1145</v>
      </c>
    </row>
    <row r="10">
      <c r="A10" s="22" t="s">
        <v>1146</v>
      </c>
      <c r="B10" s="19" t="s">
        <v>1147</v>
      </c>
    </row>
    <row r="11">
      <c r="A11" s="22" t="s">
        <v>1148</v>
      </c>
      <c r="B11" s="19" t="s">
        <v>1149</v>
      </c>
    </row>
    <row r="13">
      <c r="A13" s="19" t="s">
        <v>1150</v>
      </c>
      <c r="B13" s="21" t="s">
        <v>1139</v>
      </c>
    </row>
    <row r="15">
      <c r="A15" s="17" t="s">
        <v>1136</v>
      </c>
    </row>
  </sheetData>
  <sheetProtection algorithmName="SHA-512" hashValue="6DnypI1Qr1SRO3x3m2izizFgwpWG7j8O4311FpHcxAGZVOLy0FEsGdGQZL5/nU5b+Co9BY0LlWu86smAe9v3DA==" saltValue="2mv8zptoqO54D7Ai38YkHQ==" spinCount="100000" sheet="1" objects="1" scenarios="1"/>
  <hyperlinks>
    <hyperlink ref="A4" r:id="rId1" display="support@pitchbook.com"/>
    <hyperlink ref="C6" r:id="rId2" display="the PitchBook subscription agreement."/>
    <hyperlink ref="B13" r:id="rId3" display="support@pitchbook.com"/>
  </hyperlinks>
  <pageMargins left="0.7" right="0.7" top="0.75" bottom="0.75" header="0.3" footer="0.3"/>
</worksheet>
</file>