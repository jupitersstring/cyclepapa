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Sheet2" sheetId="3" state="veryHidden" r:id="rId2"/>
    <sheet name="Disclaimer" sheetId="4" r:id="rId3"/>
  </sheets>
  <calcPr calcId="0"/>
</workbook>
</file>

<file path=xl/sharedStrings.xml><?xml version="1.0" encoding="utf-8"?>
<sst xmlns="http://schemas.openxmlformats.org/spreadsheetml/2006/main" count="5396" uniqueCount="5396">
  <si>
    <t>Downloaded on:</t>
  </si>
  <si>
    <t>Created for:</t>
  </si>
  <si>
    <t>Safa Amirbayat, M&amp;G Investments</t>
  </si>
  <si>
    <t>Search Link:</t>
  </si>
  <si>
    <t>https://my.pitchbook.com/?pcc=1233906-58</t>
  </si>
  <si>
    <t>Search Criteria:</t>
  </si>
  <si>
    <t xml:space="preserve">Biography: “Alto Global Fund” OR “Basic Element” OR “Brickington Trading” OR “Capital Group Moscow  Aman Group FO vehicles” OR “Claridge” OR “Claridge Inc.” OR “Claridge Israel” OR “Dan Gertler” OR “Dan Gertler International” OR “DGI” OR “DIA Group” OR “Dover Street VI Cayman Fund LP” OR “Eastern Pacific Shipping” OR “Elliott Associates” OR “Elliott Investment Management” OR “Elliott Management” OR “EN+ Group” OR “Eurasian Natural Resources ENRC related” OR “Eurasian Resources” OR “Gécamines” OR “Globe Invest” OR “Gunvor” OR “Gunvor Group” OR “Harbour Energy” OR “Hayfield Investment Partners” OR “HF Trust” OR “Idan Ofer” OR “Icahn Capital” OR “Icahn Enterprises” OR “Integrity Advance” OR “Jacob Rees-Mogg” OR “Jynwel Capital” OR “Katanga Mining” OR “Kolber Trust” OR “LetterOne” OR “LetterOne Group” OR “LetterOne Holdings” OR “LetterOne Investment Holdings” OR “Len Blavatnik” OR “Leonard Blavatnik” OR “Luis Caputo” OR “M1 Group” OR “Mail.ru Group” OR “MeritServus” OR “Merit Servus” OR “MeritServus Trust Company” OR “Millhouse Capital” OR “Najib Mikati” OR “Navigator Holdings” OR “Noctua Partners” OR “Novatek” OR “Novatek PJSC” OR “Ofer Global” OR “Ofer Global Holdings” OR “OKO Group” OR “Paul Allen” OR “Paul Singer” OR “PetroSaudi International” OR “Playtech” OR “Plimsoll Limited” OR “Quantum Global” OR “Quantum Global Group” OR “Quantum Global Investment Management” OR “Quantum Pacific” OR “Quantum Pacific Group” OR “Ramón Fonseca” OR “Ramon Fonseca” OR “Renova Group” OR “Renova Management” OR “Robert Mercer” OR “Roman Abramovich” OR “Seline-Invest” OR “Seline Invest” OR “Somerset Capital Management” OR “Somerset Capital Management Cayman” OR “Somerset Capital Management LLP” OR “Soros Fund Management” OR “Stephens Inc” OR “Stephens Inc.” OR “Taha Mikati” OR “Tanker Pacific” OR “Tarek Obaid” OR “Teddy Sagi” OR “Tom Barrack” OR “Vladislav Doronin” OR “Vulcan” OR “Vulcan Capital” OR “Vulcan Inc.” OR “W L Ross &amp; Co” OR “Warren Stephens” OR “WL Ross &amp; Co” OR “Yuri Milner” OR “Zodiac Maritime” OR “Alcogal” OR “Aleman Cordero Galindo y Lee” OR “Appleby” OR “Appleby Bermuda” OR “Appleby Global” OR “Asiaciti” OR “Asiaciti Trust” OR “CIL Trust International” OR “CILTrust International” OR “Commonwealth Trust Limited” OR “Connected Sky” OR “ConnectedSky” OR “Cypcodirect” OR “DADLAW” OR “Demetrios A Demetriades” OR “Demetrios A Demetriades LLC” OR “DJC Accountants” OR “Estera” OR “Fidelity Corporate Services” OR “Fidelity Corporate Services Limited” OR “GDG” OR “Glenn D Godfrey” OR “Glenn D Godfrey and Company LLP” OR “Hamilton Trust Company of South Dakota LLC” OR “Il Shin” OR “Il Shin Company Services” OR “i-Cyprus” OR “iCyprus” OR “Jürgen Mossack” OR “Jurgen Mossack” OR “Kallias &amp; Associates” OR “Kallias and Associates” OR “Merit Servus” OR “MeritServus” OR “MeritKapital” OR “Mossack” OR “Mossack Fonseca” OR “OMC” OR “OMC Group” OR “Overseas Management Company Inc” OR “Portcullis” OR “Portcullis TrustNet” OR “SDTC” OR “South Dakota Trust Company LLC” OR “SFM” OR “SFM Corporate Services” OR “Trident” OR “Trident Trust” OR “Trident Trust Company South Dakota” OR “Alexander Mashkevich” OR “Alijan Ibragimov” OR “All About Offshore Limited” OR “Alpha Consulting Limited” OR “Altera Capital SCS” OR “Altera Investment Fund” OR “AFK Sistema” OR “Appleby” OR “Appleby Bermuda” OR “Appleby Global” OR “Asiaciti” OR “Asiaciti Trust” OR “Capital Investment International” OR “CCS Trust Limited” OR “CIL Trust International” OR “CILTrust International” OR “Commonwealth Trust Limited” OR “Commence Overseas Limited” OR “Connected Sky” OR “ConnectedSky” OR “Cypcodirect” OR “DADLAW” OR “Demetrios A. Demetriades” OR “Demetrios A. Demetriades LLC” OR “Desroches Island Holdings Ltd” OR “Desroches Island Ltd” OR “DIA Group” OR “DJC Accountants” OR “Eastern Pacific Shipping” OR “ENRC” OR “ERG” OR “Eurasian Resources” OR “Evgeny Novitsky” OR “Fidelity Corporate Services Limited” OR “Fidelity Corporate Services” OR “GDG” OR “Glenn D. Godfrey” OR “Glenn D. Godfrey and Company LLP” OR “German Gref” OR “Hadef &amp; Partners” OR “Hadef and Partners” OR “Halco Group” OR “Hamilton Trust Company of South Dakota LLC” OR “Holland &amp; Barrett” OR “Idan Ofer” OR “Igor Shuvalov” OR “Il Shin” OR “Il Shin Company Services” OR “i-Cyprus” OR “iCyprus” OR “Jynwel Capital” OR “J\u00fcrgen Mossack” OR “Jurgen Mossack” OR “Kallias &amp; Associates” OR “Kallias and Associates” OR “Kirill Androsov” OR “Kolber Trust” OR “Lang Capital” OR “LetterOne” OR “LetterOne Group” OR “LetterOne Holdings” OR “LetterOne Investment Holdings” OR “Loomington Investments Ltd” OR “M1 Group” OR “Mail.ru Group” OR “Merit Servus” OR “MeritServus” OR “MeritServus Trust Company” OR “MeritKapital” OR “Millhouse Capital” OR “Mossack” OR “Mossack Fonseca” OR “Ofer Global” OR “Ofer Global Holdings” OR “OKO Group” OR “OMC” OR “OMC Group” OR “Overseas Management Company Inc” OR “Pharonic Investments Limited” OR “Portcullis” OR “Portcullis TrustNet” OR “PricewaterhouseCoopers Cyprus” OR “PwC Cyprus” OR “Quantum Global” OR “Quantum Global Group” OR “Quantum Global Investment Management” OR “Quantum Pacific” OR “Quantum Pacific Group” OR “Ram\u00f3n Fonseca” OR “Ramon Fonseca” OR “Roman Abramovich” OR “SFM” OR “SFM Corporate Services” OR “Sheikh Hazza bin Zayed Al Nahyan” OR “Sheikh Mohammed bin Rashid Al Maktoum” OR “Sheikh Tahnoon bin Zayed Al Nahyan” OR “South Dakota Trust Company LLC” OR “SDTC” OR “Tanker Pacific” OR “Tarek Obaid” OR “Trident” OR “Trident Trust” OR “Trident Trust Company Limited” OR “Trident Trust Company South Dakota” OR “Volga Group” OR “WestShore Finance Limited” OR “Yuri Milner”; Include Former Positions; Include Active Positions; </t>
  </si>
  <si>
    <t>Search Result Columns</t>
  </si>
  <si>
    <t>Person ID</t>
  </si>
  <si>
    <t>People</t>
  </si>
  <si>
    <t>Asset Class</t>
  </si>
  <si>
    <t>Primary Company</t>
  </si>
  <si>
    <t>Primary Company Type</t>
  </si>
  <si>
    <t>Last Name</t>
  </si>
  <si>
    <t>First Name</t>
  </si>
  <si>
    <t>Primary Company Website</t>
  </si>
  <si>
    <t>Primary Position</t>
  </si>
  <si>
    <t>Board Seats</t>
  </si>
  <si>
    <t>Roles</t>
  </si>
  <si>
    <t>Deal Roles</t>
  </si>
  <si>
    <t>Phone</t>
  </si>
  <si>
    <t>Email</t>
  </si>
  <si>
    <t>Location</t>
  </si>
  <si>
    <t>Address Line 1</t>
  </si>
  <si>
    <t>Address Line 2</t>
  </si>
  <si>
    <t>City</t>
  </si>
  <si>
    <t>State/Province</t>
  </si>
  <si>
    <t>Post Code</t>
  </si>
  <si>
    <t>Country/Territory/Region</t>
  </si>
  <si>
    <t>Fax</t>
  </si>
  <si>
    <t>Biography</t>
  </si>
  <si>
    <t>View People Online</t>
  </si>
  <si>
    <t>239236-75P</t>
  </si>
  <si>
    <t>Aaron Johnston</t>
  </si>
  <si>
    <t/>
  </si>
  <si>
    <t>Golden Matrix Group (Former)</t>
  </si>
  <si>
    <t>Public Company</t>
  </si>
  <si>
    <t>Johnston</t>
  </si>
  <si>
    <t>Aaron</t>
  </si>
  <si>
    <t>www.goldenmatrix.com</t>
  </si>
  <si>
    <t>Independent Director</t>
  </si>
  <si>
    <t>Mr. Aaron Johnston serves as the Independent Director of Golden Matrix Group. He currently serves as a Director of sports betting operator Asian BGE (Isle of Man) Limited, which operates under licenses held in the United Kingdom and Ireland, which position he has held since August 2014. In addition, he currently serves as an advisor to a number of sports betting and gaming businesses within the online gambling sector. Mr. Johnston previously served as Director of International Operations for London-based William Hill plc, a major online and land-based gaming operator. He was also Managing Director of Virtue Fusion Limited, a subsidiary of Playtech plc, one of the leading gambling software and services businesses. Prior to serving as the Managing Director of Virtue Fusion Limited, he served as Commercial Director for Playtech plc and was instrumental in its growth during this period. Mr. Johnston currently holds remote gaming licenses for the United Kingdom and Ireland and has a personal management license with the United Kingdom Gambling Commission. He received his Bachelor of Commerce in Economics from the University of Canterbury, in Christchurch, New Zealand.</t>
  </si>
  <si>
    <t>174177-64P</t>
  </si>
  <si>
    <t>Adam Sierakowski</t>
  </si>
  <si>
    <t>Kinetiko Energy</t>
  </si>
  <si>
    <t>Sierakowski</t>
  </si>
  <si>
    <t>Adam</t>
  </si>
  <si>
    <t>www.kinetiko.com.au</t>
  </si>
  <si>
    <t>Executive Chairman</t>
  </si>
  <si>
    <t>+61 (0)8 6315 3500</t>
  </si>
  <si>
    <t>asierakowski@kinetiko.com.au</t>
  </si>
  <si>
    <t>Perth, Australia</t>
  </si>
  <si>
    <t>44 Saint Georges Terrace</t>
  </si>
  <si>
    <t>Level 24</t>
  </si>
  <si>
    <t>Perth</t>
  </si>
  <si>
    <t>Western Australia</t>
  </si>
  <si>
    <t>6000</t>
  </si>
  <si>
    <t>Australia</t>
  </si>
  <si>
    <t>+61 (0)8 8481 1947</t>
  </si>
  <si>
    <t>Mr. Adam Sierakowski serves as Executive Chairman at Kinetiko Energy. He previously served as Chairman at Coziron Resources. He is a Lawyer and Founder of Price Sierakowski and Trident Capital focusing on corporate transactions from private to listed public entities. He has an extensive experience in capital raising, ASX transactions including developing assets and corporate structures for major companies both in Australia and overseas. He has over 20 years of experience as a Director of ASX-listed companies.</t>
  </si>
  <si>
    <t>404880-58P</t>
  </si>
  <si>
    <t>Raptor Resources (Other Metals, Minerals and Mining)</t>
  </si>
  <si>
    <t>www.raptorresources.com.au</t>
  </si>
  <si>
    <t>Non-Executive Chairman</t>
  </si>
  <si>
    <t>+61 (0)8 6211 5095</t>
  </si>
  <si>
    <t>adam@tridentcapital.com.au</t>
  </si>
  <si>
    <t>Street Georges Terrace</t>
  </si>
  <si>
    <t>Level 8, 216</t>
  </si>
  <si>
    <t>Mr. Adam Sierakowski serves as Non-Executive Chairman at Raptor Resources (Gold Mining). He serves as Managing Director at Trident Capital (Perth). He has expertise in a variety of sectors including resources, technology, energy, biotech, agri/aquaculture, industrial, telecommunications, and financial services. Mr Sierakowski is a lawyer and founder of Price Sierakowski and Trident Capital focusing on corporate transactions from private to listed public entities. Mr Sierakowski has extensive experience in corporate advisory, capital raisings, ASX transactions including developing assets and corporate structures for major companies both in Australia and overseas. Mr Sierakowski has over 20 years of experience as a Director of ASX listed companies.</t>
  </si>
  <si>
    <t>339393-43P</t>
  </si>
  <si>
    <t>Adrian Casey</t>
  </si>
  <si>
    <t>Vulcan Steel (Industrial Supplies and Parts)</t>
  </si>
  <si>
    <t>Casey</t>
  </si>
  <si>
    <t>Adrian</t>
  </si>
  <si>
    <t>www.vulcan.co</t>
  </si>
  <si>
    <t>Chief Operating Officer, Operations &amp; Board Member</t>
  </si>
  <si>
    <t>+64 (0)9 273 7214</t>
  </si>
  <si>
    <t>adrian.casey@vulcan.co</t>
  </si>
  <si>
    <t>Auckland, New Zealand</t>
  </si>
  <si>
    <t>29 Neales Road</t>
  </si>
  <si>
    <t>East Tamaki</t>
  </si>
  <si>
    <t>Auckland</t>
  </si>
  <si>
    <t>2013</t>
  </si>
  <si>
    <t>New Zealand</t>
  </si>
  <si>
    <t>+64 (0)9 272 7557</t>
  </si>
  <si>
    <t>Mr. Adrian Casey serves as Chief Operating Officer at Vulcan Steel (Industrial Supplies and Parts). He has responsibilities for overall Group procurement as well as leading Vulcan's Steel business in New Zealand. He has worked in the steel sector in Australia and New Zealand for 40 years. He held management positions in a major New Zealand steel distribution operation before establishing his own downstream steel business which was successfully merged with Vulcan in 1998. He successfully led Vulcan's entry into the Melbourne market in 2002. He has had various oversight roles across Vulcan's business units during his tenure with the Company. He holds a New Zealand Certificate in Quantity Surveying from the Christchurch Polytechnic and completed the Advanced Management Program from the Wharton Business School of the University of Pennsylvania.</t>
  </si>
  <si>
    <t>325952-65P</t>
  </si>
  <si>
    <t>Adrian Ramos</t>
  </si>
  <si>
    <t>Atlas CON Mining</t>
  </si>
  <si>
    <t>Ramos</t>
  </si>
  <si>
    <t>www.atlasmining.com.ph</t>
  </si>
  <si>
    <t>Board Member &amp; President</t>
  </si>
  <si>
    <t>+63 (0)28 4030813</t>
  </si>
  <si>
    <t>aramos@atlasmining.com.ph</t>
  </si>
  <si>
    <t>Manila, Philippines</t>
  </si>
  <si>
    <t>Seaside Boulevard, 123</t>
  </si>
  <si>
    <t>Manila</t>
  </si>
  <si>
    <t>RIZ</t>
  </si>
  <si>
    <t>1300</t>
  </si>
  <si>
    <t>Philippines</t>
  </si>
  <si>
    <t>+63 (0)28 4030818</t>
  </si>
  <si>
    <t>Mr. Adrian Ramos serves as Board Member &amp; President at Atlas CON Mining. Mr. Ramos has been a member of the BOD since 18 July 2007, and has served as its President since 1 April 2015. He is concurrently the (i) President/Chief Operating Officer (COO) and Director of Anglo; (ii) Vice-President and Director of Alakor; (iii) Vice President/CFO of NBSI; (iv) Corporate Secretary/Director of Alakor Securities Corporation; (v) Treasurer/Director of Peakpres Corporation, UPMC and Vulcan Industrial &amp; Mining Corporation; and (vi) Director of CCC, The Philodrill Corporation and Zenith Holdings Corporation. He graduated from Ateneo de Manila University with a Bachelor of Science Degree in Management (Honors Program), Cum Laude and a Master's Degree in Business Administration (with Distinction) from the Kellogg School of Management, Northwestern University, Majors in Decision Sciences, Analytical Consulting and Accounting Information and Management.</t>
  </si>
  <si>
    <t>282164-23P</t>
  </si>
  <si>
    <t>Al Essa Haytham</t>
  </si>
  <si>
    <t>Fu Yu Corporation (Former)</t>
  </si>
  <si>
    <t>Haytham</t>
  </si>
  <si>
    <t>Al Essa</t>
  </si>
  <si>
    <t>www.fuyucorp.com</t>
  </si>
  <si>
    <t>Board Member</t>
  </si>
  <si>
    <t>Mr Haytham Essa, 47, was appointed as Non-Executive Director and Independent Director of the Company on 18 January 2021. He will stand for re-election as a Director in the forthcoming AGM. Mr Haytham is an international business professional who has built a successful 25-year career in natural resources including, energy, oil and gas, plastics and packaging. He was Distillates Trading Manager of Gunvor Singapore and Managing Director of Gunvor Middle East from 2008 to 2020. Gunvor is one of the world's largest independent commodities trading firm by turnover, providing logistics solutions that safely and efficiently move physical energy and bulk materials from sources to end users. Previously, Mr Haytham had held senior positions at multinational companies such as Cargill, Marubeni International. Mr Haytham has hands on experience in different key corporate functions including trading, marketing, procurement, and human resource management. Mr Haytham holds an MBA from University of Chicago and a Bachelor of Science in Business Management from Kuwait University. Mr Haytham holds 0.13% direct interest in the Company</t>
  </si>
  <si>
    <t>230786-83P</t>
  </si>
  <si>
    <t>Alan Ferguson</t>
  </si>
  <si>
    <t>Harbour Energy</t>
  </si>
  <si>
    <t>Ferguson</t>
  </si>
  <si>
    <t>Alan</t>
  </si>
  <si>
    <t>www.harbourenergy.com</t>
  </si>
  <si>
    <t>+44 (0)20 7730 1111</t>
  </si>
  <si>
    <t>London, United Kingdom</t>
  </si>
  <si>
    <t>151 Buckingham Palace Road</t>
  </si>
  <si>
    <t>London</t>
  </si>
  <si>
    <t>England</t>
  </si>
  <si>
    <t>SW1W 9SZ</t>
  </si>
  <si>
    <t>United Kingdom</t>
  </si>
  <si>
    <t>+44 (0)20 7660 5555</t>
  </si>
  <si>
    <t>Mr. Alan Murray Ferguson serves as a Board member at Harbour Energy. Mr. Murray Ferguson served as a Board member at Marshall Motor Group. Alan worked at Inchcape for 22 years and was Group Finance Director from 1999 until 2005. He then served as Group Finance Director of the BOC Group from 2005 to 2006, and Chief Financial Officer of Lonmin from 2007 to 2010. Alan has been a Non-Executive Director of Johannesburg and New York-listed AngloGold Ashanti since 2018, where he chairs the Audit Committee. Alan previously served as a Non-Executive Director on the boards of Croda International from 2011 to 2020, where he was the Senior Independent Director (from 2018) and chaired the Audit Committee; Weir Group from 2011 to 2018, where he chaired the Audit Committee; Johnson Matthey from 2011 to 2020, where he was the Senior Independent Director (from 2014) and chaired the Audit Committee; and London Mining from 2013 to 2014, where he chaired the Audit Committee. Alan is a chartered accountant and sits on the Business Policy Panel of the Institute of Chartered Accountants of Scotland, as well as serving as a Director of the Audit Committee Chairs' Independent Forum. Alan holds a BSc in accountancy and business economics from Southampton University.</t>
  </si>
  <si>
    <t>60247-36P</t>
  </si>
  <si>
    <t>Alan Jackson</t>
  </si>
  <si>
    <t>Playtech (Former)</t>
  </si>
  <si>
    <t>Jackson</t>
  </si>
  <si>
    <t>www.playtech.com</t>
  </si>
  <si>
    <t>Chairman &amp; Chairman of the Nominations Committee and Member of the Remuneration and Risk &amp; Compliance Committees</t>
  </si>
  <si>
    <t>Mr.Alan Marchant Jackson serves as Chairman &amp; Chairman of the Nominations Committee and Member of Playtech. Alan has over 40 years' experience in the leisure industry. From 1973 to 1991, he occupied a number of positions at Whitbread, both in the UK and internationally, principally as Managing Director of Beefeater Steak Houses and also the Whitbread restaurant division where he was responsible for the creation and development of the Beefeater, Travel Inn and TGI Friday brands and was responsible for Whitbread's international restaurant development. In 1991, he founded Inn Business Group plc, which was acquired by Punch Taverns plc in 1999. He was Chairman of The Restaurant Group plc from 2001 until he retired from this position in 2016. He stepped down from his role as Deputy Chairman and Senior Non-executive Director at Redrow plc in September 2014. Skills, competences and experience: Having held several Board positions in both an executive and non-executive capacity in a variety of listed companies in the UK, he brings substantial experience of working in public and private companies, along with strategic and leadership experience.</t>
  </si>
  <si>
    <t>213114-70P</t>
  </si>
  <si>
    <t>Alan Tang</t>
  </si>
  <si>
    <t>Far East Orchard</t>
  </si>
  <si>
    <t>Tang</t>
  </si>
  <si>
    <t>www.fareastorchard.com.sg</t>
  </si>
  <si>
    <t>Group Co-Chief Executive Officer and Executive Director</t>
  </si>
  <si>
    <t>+65 6830 6599</t>
  </si>
  <si>
    <t>tangalan@frasershospitality.com</t>
  </si>
  <si>
    <t>Singapore, Singapore</t>
  </si>
  <si>
    <t>6 Eu Tong Sen Street</t>
  </si>
  <si>
    <t>Unit 04 Number 28 The Central</t>
  </si>
  <si>
    <t>Singapore</t>
  </si>
  <si>
    <t>059817</t>
  </si>
  <si>
    <t>Mr. Alan Tang serves as Group Co-Chief Executive Officer and Executive Director at Far East Orchard. He previously served as Chief Operating Officer at Fraser Suites Le Claridge Champs-Elysees, Senior Vice President, Head Hospitality at GIC, Senior Manager, Planning and Business Development at Raffles Holdings (1995) Pte Ltd and Assistant Manager Strategic Marketing and Convention at Singapore Tourism Board. He earned a BS (Bachelor of Science) degree in Hotel Adminstration from Cornell University and a CFA Certification from CFA Institute.</t>
  </si>
  <si>
    <t>167249-80P</t>
  </si>
  <si>
    <t>Albert Hofeldt Ph.D</t>
  </si>
  <si>
    <t>Stem</t>
  </si>
  <si>
    <t>Hofeldt</t>
  </si>
  <si>
    <t>Albert</t>
  </si>
  <si>
    <t>www.stem.com</t>
  </si>
  <si>
    <t>Chief Technology Officer &amp; Tech Product Management</t>
  </si>
  <si>
    <t>+1 (877) 374-7836</t>
  </si>
  <si>
    <t>albert.hofeldt@stem.com</t>
  </si>
  <si>
    <t>San Francisco, CA</t>
  </si>
  <si>
    <t>Four Embarcadero Center</t>
  </si>
  <si>
    <t>Suite 710</t>
  </si>
  <si>
    <t>San Francisco</t>
  </si>
  <si>
    <t>California</t>
  </si>
  <si>
    <t>94111</t>
  </si>
  <si>
    <t>United States</t>
  </si>
  <si>
    <t>Mr. Albert Hofeldt served as Chief Technology Officer &amp; Tech Product Management at Stem. He serves as Chief Product Officer at Power Factors. Mr. Hofeldt served as Chief Technology Officer &amp; Chief Information Officer at LiquidX. He served as Chief Technology Officer at Genscape. He joined Genscape in 2012 and is our Chief Technology Officer. Albert leads a global team of highly-seasoned technology architects and data scientists accountable for the design, planning, execution, and evolution of the Genscape Product Platform, including the integration of proprietary field data acquisition systems, analytics, and data publication systems. Previously, Albert was Global Head/SVP at Thomson Reuters (TR) where he was responsible for Technology Strategy. Albert also started the Zurich TR Product &amp; Technology team based on his expertise in technology, process &amp; methodology design that operationalizes the global 'software factory'. Prior to TR, Albert spent nearly a decade in management consulting between Accenture's Center for Strategic Technology (authored several award-winning white papers &amp; client deliveries), ZEFER Consulting (eBusiness clients including Amazon, Microsoft, Paul Allen &amp; others), and Deloitte Consulting (doing M&amp;A, eBusiness strategy and delivering the first engagement using Clayton Christensen's Innovator's Solution). Albert was on an academic scholarship at Oxford where he completed his Ph.D. in Aerospace Engineering thereby solving problems and delivering solutions that are operating today in both commercial aerospace &amp; defense industries. Albert also holds an Aerospace B.S. (Honors) from Syracuse University and is a member of Tau Beta Pi (eng) and Sigma Gamma Tau (aero).</t>
  </si>
  <si>
    <t>263976-40P</t>
  </si>
  <si>
    <t>Alberto Clavarino</t>
  </si>
  <si>
    <t>ERG</t>
  </si>
  <si>
    <t>Clavarino</t>
  </si>
  <si>
    <t>Alberto</t>
  </si>
  <si>
    <t>www.erg.eu</t>
  </si>
  <si>
    <t>Head of Business Development</t>
  </si>
  <si>
    <t>+39 01 0240 11</t>
  </si>
  <si>
    <t>aclavarino@erg.it</t>
  </si>
  <si>
    <t>Genova, Italy</t>
  </si>
  <si>
    <t>Torre WTC - Via De Marini, 1</t>
  </si>
  <si>
    <t>Genova</t>
  </si>
  <si>
    <t>16149</t>
  </si>
  <si>
    <t>Italy</t>
  </si>
  <si>
    <t>+39 01 0240 1585</t>
  </si>
  <si>
    <t>Mr. Alberto Clavarino serves as Head of Business Development at ERG.</t>
  </si>
  <si>
    <t>131000-68P</t>
  </si>
  <si>
    <t>Alberto Fusi</t>
  </si>
  <si>
    <t>ERG (Former)</t>
  </si>
  <si>
    <t>Fusi</t>
  </si>
  <si>
    <t>Chief Human Capital Officer</t>
  </si>
  <si>
    <t>Mr. Alberto Fusi served as Chief Human Capital Officer at ERG.</t>
  </si>
  <si>
    <t>200438-29P</t>
  </si>
  <si>
    <t>Alejandro Grande</t>
  </si>
  <si>
    <t>Grupo Dia (Department Stores) (Former)</t>
  </si>
  <si>
    <t>Grande</t>
  </si>
  <si>
    <t>Alejandro</t>
  </si>
  <si>
    <t>www.diacorporate.com</t>
  </si>
  <si>
    <t>Chief Human Resources Officer</t>
  </si>
  <si>
    <t>Mr. Alejandro Grande served as Chief Human Resources Officer at DIA Group. With a Law degree from the UNLZ in Buenos Aires, Alejandro Grande has worked in the distribution sector for more than 20 years. He began as a store manager for EKI, the Argentinian supermarket company, and then moved into sales management roles. In 2007, he was appointed as the Human Resources Director of DIA Argentina, and his responsibilities grew over the years, leading him to head up the Franchises and Expansion Management team. In 2013, Alejandro was appointed Executive Director of DIA Argentina, a position he has held up to now.</t>
  </si>
  <si>
    <t>300613-87P</t>
  </si>
  <si>
    <t>Aleksey Orel</t>
  </si>
  <si>
    <t>NOVATEK (Russia)</t>
  </si>
  <si>
    <t>Orel</t>
  </si>
  <si>
    <t>Aleksey</t>
  </si>
  <si>
    <t>www.novatek.ru</t>
  </si>
  <si>
    <t>+7 (8)495 730 6000</t>
  </si>
  <si>
    <t>Moscow, Russia</t>
  </si>
  <si>
    <t>90/2, Leninsky Prospect</t>
  </si>
  <si>
    <t>Moscow</t>
  </si>
  <si>
    <t>119313</t>
  </si>
  <si>
    <t>Russia</t>
  </si>
  <si>
    <t>+7 (8)495 721 2253</t>
  </si>
  <si>
    <t>Mr. Aleksey Orel serves as Board Member at NOVATEK (Russia). Mr. Orel, Born in: 1953. In 1975, Mr. Orel graduated from the Gubkin Institute of Oil and Gas in Moscow, with a degree in Geology, Prospecting and Exploration of Oil and Gas Fields. In 1982 he received PhD in geology and mineralogy. From 1975 to 1987, Mr. Orel was an engineer and senior researcher at the All-Union Research Institute of Natural Gases (VNIIGAZ). From 1987 to 1989, he served as a chief project engineer at Zarubezhneft, the Syrian State Oil Company. From 1987 to 1991, Mr. Orel was a senior research fellow at the Institute of Geology and Development of Combustible Minerals (IGIRGI). From 1992 to 1994, he was a manager for natural resources and business development at Hyundai Corporation (Moscow office). From 1994 to 1999, Mr. Orel was Deputy Head of the Representative Office, coordinator of the Prirazlomnoye project from the foreign investor's side, BHP Petroleum. From 1999 to 2000, he held the position of Deputy Head of the Department for Licensing and Production Sharing Agreements at the Ministry of Natural Resources of the Russian Federation. From 2000 to 2001, Mr. Orel held the position of Deputy Head of the Department for Preparation and Implementation of Production Sharing Agreements at the Ministry of Natural Resources of the Russian Federation. From 2001 to 2002, he served as Deputy Head of the Department for Preparation and Implementation of Production Sharing Agreements at the Ministry of Economic Development and Trade of the Russian Federation. From 2002 to 2004, Mr. Orel occupied the position of Deputy Director for Government Relations at ExxonMobil Russia Inc. From 2004 to 2009, he was Director for Development and Government Relations at the mining company Anglo American Services (Russia) Ltd. From 2009 to 2011, Mr Orel held the position of Director of the Moscow office at Imperial Energy Group (ONGC). From 2011 to 2022, he was the Director of Department of State Policy and Regulation in Geology and Subsoil Use of the Ministry of Natural Resources and Environment of the Russian Federation. Since 2019, Mr. Orel has been a Member of the Supervisory Board, the Russian Gas Society. Since March 2022, he has been the Advisor to the General Director of the All-Russian Research Geological Petroleum Institute.</t>
  </si>
  <si>
    <t>124551-64P</t>
  </si>
  <si>
    <t>Alessandro Chieffi</t>
  </si>
  <si>
    <t>EuKedos (Former)</t>
  </si>
  <si>
    <t>Chieffi</t>
  </si>
  <si>
    <t>Alessandro</t>
  </si>
  <si>
    <t>www.eukedos.it</t>
  </si>
  <si>
    <t>Mr. Alessandro Chieffi served as Board Member at EuKedos. Mr. Alessandro Chieffi has been Studio Chieffi at Murelli since July 2014. Mr. Chieffi served as In house Counsel at Cariplo from February 1989 to November 1997, focusing primarily on Company Law, regulatory and financial services; main transactions: listing of Cariplo shares, takeover of ROLO shares, IPOs of Reno de Medici, CSP, Idra Presse. Mr. Chieffi served as Legal Counsel at Credito Agrario Bresciano from December 1997 to July 1998. He served as Director at Borsa Italiana in charge of Legal Affairs from August 1998 to July 2008 ; also in charge of the Listing Department from 2003 to 2006. His main transactions and projects: acquisition of the control of CC&amp;G and Monte Titoli; co-ordination of the drafting of the Italian Corporate Governance Code (2006). From September 2008 to June 2014, he was Independent Lawyer in Milan. From February 2009 to September 2012, he was Special Counsel at Orrick, Herrington &amp; Sutcliffe LLP. From October 2012 to June 2014, he was employed at Studio Legale Mazzoni e Associati. He serves as an Independent Director of EuKedos S.p.A. and ERG SpA. He served as a Board Member at Cassa di Compensazione e Garanzia S.p.A. from 2000 to 2003; Monte Titoli S.p.A. from 2004 to 2006; Adriano LEase Sec. S.r.l. since 2011 and Board Member at Eukedos S.p.A. since 2013. He served as Secretary at the Italian Corporate Governance Committee since 2011; Representative of the Bondholders at Arkimedica S.p.A. from 2011 to 2012 and of the Bondholders at Cogeme Set S.p.A. since 2012. He has teaching experinece : Course of Corporate Governance at Università Bocconi di Milano (2007) and Frequent speaker at conferences and seminars. He was admitted to Milan Bar Association. He has Law Degree at Parma University with highest honors in 1986 and has Notary and Lawyer training.</t>
  </si>
  <si>
    <t>102500-92P</t>
  </si>
  <si>
    <t>Alessandro Garrone</t>
  </si>
  <si>
    <t>De Nora</t>
  </si>
  <si>
    <t>Garrone</t>
  </si>
  <si>
    <t>www.denora.com</t>
  </si>
  <si>
    <t>+39 02 2129 1</t>
  </si>
  <si>
    <t>alessandro.garrone@erg.eu</t>
  </si>
  <si>
    <t>Milan, Italy</t>
  </si>
  <si>
    <t>Via Leonardo Bistolfi, 35</t>
  </si>
  <si>
    <t>Milan</t>
  </si>
  <si>
    <t>20134</t>
  </si>
  <si>
    <t>Alessandro Garrone was born in Genoa on April 28th 1963. He graduated in Economics in 1991. In 1989 he married Carola Bozzo and they had three children named Maria, Filippo and Olimpia. Appointed Cavaliere del Lavoro on the 2nd of June 2021. Since April 2012 he has been Executive Deputy Chairman of ERG SpA and Chairman of the Strategic Committee of ERG SpA. Since April 2015 Director responsible for overseeing the internal control and risk management system. From April 2012 to April 2016 Chairman of the Board of Directors of ERG Renew SpA. From December 2002 to April 2012 Chief Executive Officer of ERG SpA. From August 2002 to December 2002 he held the post of Central Finance and Control Manager. From January 1999 to December 2001 he was responsible for Refining Management Control, within the Management Control department. From January 1997 to December 1998, at ERG Petroli SpA in Genoa, he took on assignments regarding the company restructuring, in connection with the company's quotation on the Stock Exchange. From August 1994 to December 1996, at ERG Petroli SpA in Genoa, he had duties within the Supply and Sales Management department, dealing with ship freighting and crude oil purchasing. From August 1992 to July 1994, at ISAB SpA in Rome, he was responsible for company Management Control. From September 1991 to July 1992 at ISAB SpA in Genoa and Syracuse he held the post of operative programming of the ERG Group refineries, via the use of linear programming models. From January 1988 to April 1989 at ERG Petroleum USA (New York) he managed ERG Group international relations.</t>
  </si>
  <si>
    <t>62567-47P</t>
  </si>
  <si>
    <t>Alexander Krane</t>
  </si>
  <si>
    <t>Krane</t>
  </si>
  <si>
    <t>Alexander</t>
  </si>
  <si>
    <t>Chief Financial Officer, Finance &amp; Board Member</t>
  </si>
  <si>
    <t>alexander.krane@harbourenergy.com</t>
  </si>
  <si>
    <t>Mr. Alexander Krane serves as Chief Financial Officer at Harbour Energy. He previously served as Chief Financial Officer at Premier Oil. He served as Investment Director at Aker. Mr. Alexander Krane served as Chief Financial Officer at Aker BP. Prior to joining Det norske, he held the position of Corporate Controller with Aker ASA. He has also worked as a public accountant with KPMG, both in Norway and in the US. Mr. Krane holds a Bachelor of Commerce degree ("siviløkonom") from Bodø Graduate School of Business and an MBA degree from the Norwegian School of Economics in Bergen. He is also a state-authorized public accountant in Norway.</t>
  </si>
  <si>
    <t>260227-18P</t>
  </si>
  <si>
    <t>Alexander Kurilov</t>
  </si>
  <si>
    <t>Pharmacy Chain 36.6</t>
  </si>
  <si>
    <t>Kurilov</t>
  </si>
  <si>
    <t>www.pharmacychain366.ru</t>
  </si>
  <si>
    <t>Chief Financial Officer &amp; Director, Finance</t>
  </si>
  <si>
    <t>+7 (8)495 797 8686</t>
  </si>
  <si>
    <t>akurilov@pharmacychain366.ru</t>
  </si>
  <si>
    <t>Internal territory of the city, Tekstilshchiki municipal district</t>
  </si>
  <si>
    <t>Saratovskaya street, 18/10, floor 1, premises 1, room 1, office Number 1</t>
  </si>
  <si>
    <t>109125</t>
  </si>
  <si>
    <t>Mr. Alexander Kurilov serves as Chief Financial Officer &amp; Director, Finance at Pharmacy Chain 36.6. From 2008 to 2011, he was responsible for project and structured finance at VTB and UniCredit banks. In 2011, he took the position of CFO of Binnopharm, one of the largest full cycle biopharmaceutical companies. In 2013, he became a member of the Management Board of Binnopharm, in 2015 he was appointed General Director of Binnopharm Distribution. Later, he held executive positions in pharmaceutical companies within the framework of the joint pharmaceutical holding AFK Sistema. He got educated from the Financial Academy under the Government of the Russian Federation, specialty "Finance and Credit".</t>
  </si>
  <si>
    <t>116448-40P</t>
  </si>
  <si>
    <t>Alexander Natalenko</t>
  </si>
  <si>
    <t>NOVATEK (Russia) (Former)</t>
  </si>
  <si>
    <t>Natalenko</t>
  </si>
  <si>
    <t>Chairman &amp; Chairman, Strategy Committee</t>
  </si>
  <si>
    <t>Mr. Alexander Natalenko served as Chairman and Chairman of the Strategy Committee at NOVATEK (Natural Gas Producer). Mr. Natalenko completed his studies at Irkutsk State University in 1969 with a primary focus in Geological Engineering. Subsequently, he worked with the Yagodinskaya, Bagdarinskaya, Berelekhskaya, Anadirskaya and East-Chukotskaya geological expeditions. In 1986, Mr. Natalenko headed the North-East Industrial and Geological Association and, in 1992, he was elected president of AO "Magadan Gold &amp; Silver Company". He subsequently held various executive positions in Russian and foreign geological organizations. From 1996 to 2001, Mr. Natalenko held the position of Deputy Minister of Natural Resources of the Russian Federation. Member of OAO Rosgeologia Board of Directors. From 2004 till present, he has been the Chairman of NOVATEK's Board of Directors. Mr. Natalenko is the recipient of the State Prize of the Russian Federation and an Honored Geologist of Russia.</t>
  </si>
  <si>
    <t>214390-45P</t>
  </si>
  <si>
    <t>Alexander Nazarov</t>
  </si>
  <si>
    <t>Nazarov</t>
  </si>
  <si>
    <t>Head, Investor Relations</t>
  </si>
  <si>
    <t>+7 (8)495 730 6013</t>
  </si>
  <si>
    <t>nazarov@novatek.ru</t>
  </si>
  <si>
    <t>Mr. Alexander Nazarov serves as Head, Investor Relations at NOVATEK (Russia).</t>
  </si>
  <si>
    <t>174193-93P</t>
  </si>
  <si>
    <t>Alexander Obermeister Ph.D</t>
  </si>
  <si>
    <t>CarMoney (Former)</t>
  </si>
  <si>
    <t>Obermeister</t>
  </si>
  <si>
    <t>www.carmoney.ru</t>
  </si>
  <si>
    <t>Chief Financial Officer</t>
  </si>
  <si>
    <t>Dr. Alexander Obermeister served as Chief Financial Officer at CarMoney (Online Auto Loan). He has been in the field of finance for more than 17 years. An extensive successful practice is from starting from scratch all of the company's financial business processes (CarPrice et al. Before preparing a group of companies for an IPO (AFK Sistema). Founder of the Club of Financial Directors, member of the expert councils of the magazines "IFRS: application practice" and "financial director". Candidate of economic sciences, has a certificate of CMA (IMA, USA) and a certificate of a bank auditor.</t>
  </si>
  <si>
    <t>56819-53P</t>
  </si>
  <si>
    <t>Alexander Oetker</t>
  </si>
  <si>
    <t>Navigator Holdings (Former)</t>
  </si>
  <si>
    <t>Oetker</t>
  </si>
  <si>
    <t>www.navigatorgas.com</t>
  </si>
  <si>
    <t>Mr. Alexander Oetker serves as Director at Navigator Holdings. He has been a member of the Board since September 2006. Mr. Oetker is the founder and chief executive officer of AO Schiffahrt GmbH &amp; Co., a shipowning company based in Hamburg, Germany. Before founding AO Schiffahrt, Mr. Oetker was employed as chartering manager of Hamburg Sued and was employed by Hutchinson Port Holdings.</t>
  </si>
  <si>
    <t>72049-06P</t>
  </si>
  <si>
    <t>Alexander Osminin</t>
  </si>
  <si>
    <t>En+ Group (Former)</t>
  </si>
  <si>
    <t>Osminin</t>
  </si>
  <si>
    <t>www.enplusgroup.com</t>
  </si>
  <si>
    <t>Mr. Alexander Osminin served as Chief Financial Officer at En+ Group. He joined En+ Group in April 2009. His core responsibility is to maintain security for the Company's assets and resources, as well as to coordinate the activities of the security departments within the Group.Prior to joining En+ Group, Alexander Osminin, Major General, was First Deputy Head of the Central Office of the Ministry of Internal Affairs of the Russian Federation, and Deputy Head of the Economic Crime Investigation Bureau of the Ministry of Internal Affairs. In 1993-2003 Alexander Osminin held several senior positions in the Russian tax police, including the position of the Deputy Head of the Central Operations Department of the Federal Tax Police Service. He graduated from the Higher School and the Academy of the Ministry of Internal Affairs, and the Finance Academy under the Government of the Russian Federation.</t>
  </si>
  <si>
    <t>158248-90P</t>
  </si>
  <si>
    <t>Alexander Sergeev</t>
  </si>
  <si>
    <t>En+ Group</t>
  </si>
  <si>
    <t>Sergeev</t>
  </si>
  <si>
    <t>Director-Orient Project and Managing Director</t>
  </si>
  <si>
    <t>+7 (8)495 642 7937</t>
  </si>
  <si>
    <t>asergeev@enplusgroup.com</t>
  </si>
  <si>
    <t>1 Vasilisy Kozhinoy Street</t>
  </si>
  <si>
    <t>121096</t>
  </si>
  <si>
    <t>+7 (8)495 642 7938</t>
  </si>
  <si>
    <t>Mr. Alexander Sergeev serves as Managing Director at En+ Group. He serves as Managing Director of Energy Power Business at En+ Management. He is also the Director at South Yakutia Development. In the past, he worked as the Director at Irkutskenergo and Director &amp; Head-Sales Business Unit at Federal Hydro-Generating Co. RusHydro. He also served as the Director at Irkutskaya Elektrosetevaya Kompaniya. He is responsible for relationships with the group's Asian partners. Prior to joining En+ Group in November 2009, he was a Board member and head of the Sales business unit of OAO RusHydro in the period from February 2005 to July 2009. In 2002-2004, he was one of the RAO UES of Russia officers responsible for drafting the competitive electricity market regulations; his experience prior to his employment with RAO UES includes a position at OAO SverdlovEnergo. He is a Board member of Krasnoyarsk Kray Development, South Yakutia Development and Transbaikalia Development. He graduated with honors from the Economics and Management Department (Fuels and Energy) of the Urals State Technical University.</t>
  </si>
  <si>
    <t>139393-00P</t>
  </si>
  <si>
    <t>Alexandra Bouriko</t>
  </si>
  <si>
    <t>United Company Rusal (Former)</t>
  </si>
  <si>
    <t>Bouriko</t>
  </si>
  <si>
    <t>Alexandra</t>
  </si>
  <si>
    <t>www.rusal.ru</t>
  </si>
  <si>
    <t>Chief Executive Officer</t>
  </si>
  <si>
    <t>Ms. Alexandra Bouriko serves as Chief Executive Officer at Rusal. Bouriko had been Rusal's Chief Financial Officer since October 2013. She is responsible for the financial planning, auditing and preparation of financial reports and the execution of the company's investment programs. From June to October 2013 Alexandra Bouriko had been served on the boards of UC RUSAL. From November 2012 to October 2013 Alexandra Bouriko had been En+ Group Deputy CEO. She was responsible for En+ Group operational management, enhancement of business effectiveness and improvement of the Group's financial performance. Prior to joining En+ Group Alexandra Bouriko spent 16 years with KPMG in Russia and Canada; since 2005 she held the position of KPMG Partner. At KPMG Alexandra Bouriko worked with major Russian and international companies with focus on metals, mining, oil and gas industries. Alexandra played key roles in audits of IFRS, US GAAP and Russian GAAP financial statements of major Russian groups. Alexandra was in charge of IPO planning and preparation of major Russian metals and mining companies on London Stock Exchange and Hong Kong Stock Exchange. Alexandra graduated from the economic faculty of Lomonosov Moscow State University. She is a member of the Canadian Institute of Chartered Accountants and the American Institute of Certified Public Accountants.</t>
  </si>
  <si>
    <t>325953-28P</t>
  </si>
  <si>
    <t>Alfredo Ramos</t>
  </si>
  <si>
    <t>Alfredo</t>
  </si>
  <si>
    <t>President</t>
  </si>
  <si>
    <t>Mr. Alfredo Ramos serves as President at Atlas CON Mining. Mr. Ramos has been a member of the Board of Directors ("BOD") of AT since 1989, and has served as its Chairman and President since 2 April 2013 until his resignation from the latter's post on 1 April 2015. He is concurrently the incumbent (i) Governor of the National Book Development Board; (ii) Chairman of the BOD of Carmen Copper Corporation ("CCC"), Anglo Philippine Holdings Corporation ("Anglo"), Anvil Publishing, Inc., and NBS Express, Inc.; (iii) Chairman of the BODs and President of Alakor Corporation ("Alakor"), National Book Store, Inc. ("NBSI"), The Philodrill Corporation,Vulcan Industrial &amp; Mining Corporation, and United Paragon Mining Corporation("UPMC"); (iv) Vice-Chairman of the BODs of MRT Development Corporation and Shang Properties, Inc.; and (v) President of Abacus Book &amp; Card Corporation, MRT Holdings Corporation, Power Books, Inc., TMM Management, Inc., and Zenith Holdings Corporation. Mr. Ramos obtained his bachelor's degree from the Ateneo de Manila University.</t>
  </si>
  <si>
    <t>162583-48P</t>
  </si>
  <si>
    <t>Alistair Cowden Ph.D</t>
  </si>
  <si>
    <t>Firefinch</t>
  </si>
  <si>
    <t>Cowden</t>
  </si>
  <si>
    <t>Alistair</t>
  </si>
  <si>
    <t>www.firefinchltd.com</t>
  </si>
  <si>
    <t>Chairman &amp; Board Member</t>
  </si>
  <si>
    <t>+61 (0)8 6149 7977</t>
  </si>
  <si>
    <t>Leederville, Australia</t>
  </si>
  <si>
    <t>247 Oxford Street</t>
  </si>
  <si>
    <t>Level 1</t>
  </si>
  <si>
    <t>Leederville</t>
  </si>
  <si>
    <t>6007</t>
  </si>
  <si>
    <t>+61 (0)8 6149 7979</t>
  </si>
  <si>
    <t>Mr. Alistair Cowden serves as Chairman &amp; Board Member at Firefinch. Dr. Cowden served as Managing Director at Vulcan Resources. He has more than 40 years of experience as a mining executive, director and geologist in the mining industry in Australia, Africa, Asia and Europe. Dr. Cowden has been part of the discovery, development and operation of numerous mines in Australia, Africa and Europe and has extensive experience across all aspects of the mining industry including mergers, acquisitions and financing that created significant wealth for shareholders. Dr. Cowden has an Honours degree in Geology from Edinburgh University and a PhD in Geology from the University of London.</t>
  </si>
  <si>
    <t>217441-18P</t>
  </si>
  <si>
    <t>Allan D. Schoening</t>
  </si>
  <si>
    <t>Civeo</t>
  </si>
  <si>
    <t>D. Schoening</t>
  </si>
  <si>
    <t>Allan</t>
  </si>
  <si>
    <t>www.civeo.com</t>
  </si>
  <si>
    <t>Senior Vice President</t>
  </si>
  <si>
    <t>+1 (713) 510-2400</t>
  </si>
  <si>
    <t>allan.schoening@civeo.com</t>
  </si>
  <si>
    <t>Houston, TX</t>
  </si>
  <si>
    <t>333 Clay Street</t>
  </si>
  <si>
    <t>Suite 4980</t>
  </si>
  <si>
    <t>Houston</t>
  </si>
  <si>
    <t>Texas</t>
  </si>
  <si>
    <t>77002</t>
  </si>
  <si>
    <t>+1 (713) 510-2499</t>
  </si>
  <si>
    <t>Mr. Allan D. Schoening serves as Senior Vice President, Canada at Civeo. Prior to his appointment as Senior Vice President, Mr. Schoening served as Senior Vice President, Corporate Affairs from June 2017 to November 2018. From April 2014 to May 2017 he served as Senior Vice President, Human Resources &amp; Health, Safety and Environment. From June 2012 to April 2014, Mr. Schoening served as Senior Director and then Vice President, Human Resources and Health, Safety and Environment for PTI Group, Inc., a subsidiary of Oil States. From June 2009 to May 2012, Mr. Schoening was self-employed as an independent business consultant. Prior to 2009, Mr. Schoening was based in London, England where he served as Senior Vice President for Katanga Mining Limited, a Canadian listed mining company with operations in Africa, for the period from 2005 to 2009. From 1995 to 2004, Mr. Schoening served in senior and executive management positions with Barrick Gold Corporation and Kinross Gold. Mr. Schoening's career also includes domestic and international assignments with the completions division of Schlumberger Limited. He holds a B.A., Psychology (Spec.) from the University of Alberta.</t>
  </si>
  <si>
    <t>29215-18P</t>
  </si>
  <si>
    <t>Allan Rimland</t>
  </si>
  <si>
    <t>Regional Health Properties (Former)</t>
  </si>
  <si>
    <t>Rimland</t>
  </si>
  <si>
    <t>www.regionalhealthproperties.com</t>
  </si>
  <si>
    <t>President, Chief Executive Officer, Chief Financial Officer &amp; Director</t>
  </si>
  <si>
    <t>Ms. Allan Rimland served as Chief Financial Officer at NeuroPsychiatric Hospitals. Mr. Rimland served as the President, Chief Executive Officer, Chief Financial Officer &amp; Director at AdCare Health Systems. From 2011 through February 2015, he served as a Managing Director at Stephens Inc., a financial services firm, within its Investment Banking Group. In part, he was responsible for originating and leading AnchorAnchormergers and acquisitions and capital raising transactions for healthcare services clients. During the three years prior to working at Stephens Inc., he was a Managing Director at JMP Securities LLC, an investment bank, where he served as Co-Head of it's Healthcare Services and IT Investment Banking Group. At JMP Securities LLC, he focused on AnchorAnchormergers and acquisitions and public and AnchorAnchorprivate equity capital raising for healthcare services clients. Prior thereto, he was an investment banker at a number of investment banks including: Wachovia Capital Markets, Banc of America Securities and Morgan Stanley Dean Witter. He graduated from the University of Pennsylvania's Wharton School and Moore School of Electrical Engineering and earned a Master of Business Administration from the University of Chicago's Graduate School of Business. His expertise and background in investment banking, particularly in AnchorAnchormergers and acquisitions and capital raising, and his knowledge and relationships in the healthcare services and related REIT sectors provide experience that the Board considers valuable.</t>
  </si>
  <si>
    <t>168520-51P</t>
  </si>
  <si>
    <t>Amando Falcón</t>
  </si>
  <si>
    <t>Falcón</t>
  </si>
  <si>
    <t>Amando</t>
  </si>
  <si>
    <t>Chief Services Officer and Portugal Executive</t>
  </si>
  <si>
    <t>Mr. Amando Falcón served as Chief Services Officer and Portugal Executive at DIA Group. He joined DIA in 2012 as Chief Corporate Officer with responsibility over the financial, legal, external relations and investor relations departments. With more than 20 years' work experience in the financial area, previously, Mr Sánchez was the CFO and Strategy and Corporate Manager at Abengoa, where he worked from 1998. Since May 2015, he is the Chief Services Officer and Portugal Executive.</t>
  </si>
  <si>
    <t>305619-67P</t>
  </si>
  <si>
    <t>Ana Llopis</t>
  </si>
  <si>
    <t>Llopis</t>
  </si>
  <si>
    <t>Ana</t>
  </si>
  <si>
    <t>Chairwoman</t>
  </si>
  <si>
    <t>Ms. Ana Llopis served as Chairwoman at DIA Group. She previously served as President at the company.</t>
  </si>
  <si>
    <t>337445-83P</t>
  </si>
  <si>
    <t>Andrea Mangion</t>
  </si>
  <si>
    <t>Trident Estates</t>
  </si>
  <si>
    <t>Mangion</t>
  </si>
  <si>
    <t>Andrea</t>
  </si>
  <si>
    <t>www.tridentestatesplc.com</t>
  </si>
  <si>
    <t>+356 2381 4496</t>
  </si>
  <si>
    <t>andrea.mangion@tridentestatesplc.com</t>
  </si>
  <si>
    <t>Birkirkara, Malta</t>
  </si>
  <si>
    <t>The Brewery, Mdina Road</t>
  </si>
  <si>
    <t>Mriehel</t>
  </si>
  <si>
    <t>Birkirkara</t>
  </si>
  <si>
    <t>BKR 3000</t>
  </si>
  <si>
    <t>Malta</t>
  </si>
  <si>
    <t>Mr. Andrea Mangion serves as Chief Financial Officer at Trident Estates. Mr. Mangion Joined Trident Estates plc in 2018. He completed his ACCA qualification while working with a leading firm in the financial services sector, specifically within transaction advisory services. He has experience in conducting due diligences, preparing business plans, projections and feasibility studies for entities including property companies, local banks and gaming companies. He was also seconded to a major local bank for a year as a financial analyst in the corporate section, where he reviewed some of the largest local companies and assessed their capability of repaying debts. He also structured loans and other facilities for clients, conducted market research, and carried out sensitivity analyses on prospective clients.</t>
  </si>
  <si>
    <t>145895-32P</t>
  </si>
  <si>
    <t>Andrea Navarra</t>
  </si>
  <si>
    <t>Navarra</t>
  </si>
  <si>
    <t>Group General Counsel</t>
  </si>
  <si>
    <t>anavarra@erg.eu</t>
  </si>
  <si>
    <t>Mr. Andrea Navarra serves as Group General Counsel at ERG. Mr. Andrea Navarra served as General Counsel (Head of Legal &amp; Corporate Affairs). at ERG. Previously, he served as a Senior Associate - Corporate, M&amp;A, Energy &amp; Project Finance Department at Chiomenti Studio Legale.</t>
  </si>
  <si>
    <t>89866-72P</t>
  </si>
  <si>
    <t>Andrea Pinarel</t>
  </si>
  <si>
    <t>Pinarel</t>
  </si>
  <si>
    <t>Executive Vice President, Strategy</t>
  </si>
  <si>
    <t>andrea.pinarel@harbourenergy.com</t>
  </si>
  <si>
    <t>Mr. Andrea Pinarel serves as Executive Vice President, Strategy &amp; Business Development at Harbour Energy. He serves as a Vice President at BofA Merrill Lynch. Previously, he served as an Associate Director at UBS Investment Bank.</t>
  </si>
  <si>
    <t>116449-30P</t>
  </si>
  <si>
    <t>Andrei Akimov</t>
  </si>
  <si>
    <t>Akimov</t>
  </si>
  <si>
    <t>Andrei</t>
  </si>
  <si>
    <t>Member of Strategy Committee</t>
  </si>
  <si>
    <t>Mr. Andrei Akimov serves as Member of Strategy Committee at NOVATEK (Russia). Mr. Akimov graduated from the Moscow Financial Institute in 1975 where he specialized in international economics. Between 1974 and 1987, Mr. Akimov held various executive positions in the Bank for Foreign Trade of the USSR. From 1985 to 1987 he served as Deputy Chief General Manager of the Bank for Foreign Trade branch in Zurich (Switzerland) and between 1987 and 1990, Mr. Akimov was the Chairman of the Management Board of Donau Bank in Vienna (Austria). From 1991 to 2002 he was Managing Director of financial company, IMAG Investment Management &amp; Advisory Group AG (Austria). Since 2003, Mr. Akimov has been the Chairman of the Management Board, the Deputy Chairman of the Board of Directors of Gazprombank (OAO). He is a member of Board of Directors of PAO Gazprom, AO Rosneftegaz.</t>
  </si>
  <si>
    <t>28595-26P</t>
  </si>
  <si>
    <t>Andrei Sharonov</t>
  </si>
  <si>
    <t>Sharonov</t>
  </si>
  <si>
    <t>Mr. Andrei Sharonov serves as President at NOVATEK (Russia). Mr. Sharonov graduated from the Ufa Aviation Institute and the Russian Presidential Public Service Academy Between 1989 and 1991, he served as USSR People's Deputy and led the Russian State Duma Committee on Youth Affairs up until 1996. Between 1996 and 2007, Mr. Sharonov was Head of the Department Deputy Minister of Economic Development and Trade, and a State Secretary of the said Ministry. Between 2007 and 2010, he was Managing Director and Chairman of the Board of Directors of Troika Dialog Investment Company and led the Investment Banking stream. Between 2010 and 2013, he was Deputy Mayor of Moscow for Economic Policy being in charge of budgeting, public procurement, industrial policy, and support for entrepreneurship as well as regulating the goods and service markets. Mr. Sharonov was Chairman of the Regional Energy Commission. Since September 2013, Mr. Sharonov has been Dean of the Moscow School of Management SKOLKOVO and Advisor to the Mayor of Moscow. Mr. Sharonov is a member of the Supervisory Board of OAO Alrosa, a member of the Board of Directors of Bank of Moscow, a member of the Board of Directors, Strategy Committee and Innovative Development and Technical Policy Committee of OAO Sovcomflot, Chairman and Independent Member of the Board of Directors of NefteTransService Management Company, Chairman of the Board of Directors of Ecosistema Management Company. Mr. Sharonov holds a Ph.D. in Social Sciences and is an Honored Economist of the Russian Federation. Mr. Sharonov received the 2009 Aristos Awards as Independent Director and 2009 Director of the Year. He was also awarded the 2012 Person of the Year in the Business Reputation Category. He is the recipient of the Russian Federation's Order of the Badge of Honor.</t>
  </si>
  <si>
    <t>217642-78P</t>
  </si>
  <si>
    <t>Andres Finkielsztain</t>
  </si>
  <si>
    <t>Menē</t>
  </si>
  <si>
    <t>Finkielsztain</t>
  </si>
  <si>
    <t>Andres</t>
  </si>
  <si>
    <t>www.mene.com</t>
  </si>
  <si>
    <t>Paris, France</t>
  </si>
  <si>
    <t>6, Place Vendome</t>
  </si>
  <si>
    <t>Paris</t>
  </si>
  <si>
    <t>75001</t>
  </si>
  <si>
    <t>France</t>
  </si>
  <si>
    <t>Andres Finkielsztain is the Founding Managing Partner of FinkWald LLC, a private investment office specializing in private equity, real estate, media, and technology. Andres is also the co-head of the Special Situations division at Banco Industrial in Argentina, where he analyzes and provides financing solutions to Argentinean-based companies and institutions. Andres previously served as a financial advisor for Soros Brothers Investments (SBI), a private investment office founded in 2011 by Alexander and Gregory Soros, and as an analyst for Emerging Markets at Soros Fund Management LLC. Andres also worked at J.P. Morgan for over 10 years in various capacities within Asset Management, including the role of Global Investment Opportunity and Emerging Markets Specialist. Andres graduated with a BA in Economics from Bard College where he served as the President of a Latin American organization.</t>
  </si>
  <si>
    <t>48229-03P</t>
  </si>
  <si>
    <t>Andrew Crowley</t>
  </si>
  <si>
    <t>Markel Group</t>
  </si>
  <si>
    <t>Crowley</t>
  </si>
  <si>
    <t>Andrew</t>
  </si>
  <si>
    <t>www.markel.com</t>
  </si>
  <si>
    <t>President, Markel Ventures</t>
  </si>
  <si>
    <t>+1 (800) 446-6671</t>
  </si>
  <si>
    <t>andrew.crowley@markel.com</t>
  </si>
  <si>
    <t>Glen Allen, VA</t>
  </si>
  <si>
    <t>4521 Highwoods Parkway</t>
  </si>
  <si>
    <t>Glen Allen</t>
  </si>
  <si>
    <t>Virginia</t>
  </si>
  <si>
    <t>23060</t>
  </si>
  <si>
    <t>Mr. Andrew Crowley served as President, Markel Ventures at Markel Group. Before Markel Ventures, He worked as an investment banker with Stephens Inc. and Goldman, Sachs &amp; Co. and as a management consultant with Bain &amp; Company. He received his B.B.A. in Finance and Risk Management &amp; Insurance from The University of Georgia Honors Program and his M.B.A. from The Darden School of Business where he was named a Shermet Scholar and the recipient of the Samuel Forest Hyde Memorial Fellowship.</t>
  </si>
  <si>
    <t>150414-04P</t>
  </si>
  <si>
    <t>Andrew Langham</t>
  </si>
  <si>
    <t>Herc Holdings (Former)</t>
  </si>
  <si>
    <t>Langham</t>
  </si>
  <si>
    <t>www.hercrentals.com</t>
  </si>
  <si>
    <t>Mr. Langham has served as General Counsel of Icahn Enterprises L.P., a diversified holding company engaged in a variety of businesses, including investment, automotive, energy, food packaging, metals, real estate and home fashion, since 2014. From 2005 to 2014, Mr. Langham was Assistant General Counsel of Icahn Enterprises. Prior to joining Icahn Enterprises, Mr. Langham was an associate at Latham &amp; Watkins LLP focusing on corporate finance, mergers and acquisitions, and general corporate matters. Mr. Langham is a director of: Cheniere Energy, Inc., a developer of natural gas liquefaction and export facilities and related pipelines, since 2017; Welbilt, Inc. (formerly known as Manitowoc Foodservice, Inc.), a commercial foodservice equipment manufacturer, since 2016; and CVR Partners LP, a nitrogen fertilizer company, since 2015. Mr. Langham was previously a director of: CVR Energy, Inc., a diversified holding company primarily engaged in the petroleum refining and nitrogen fertilizer manufacturing industries, from 2014 to 2017; CVR Refining, LP, an independent downstream energy limited partnership, from 2014 to 2019; Freeport-McMoRan Inc., the world's largest publicly traded copper producer, from 2015 to 2018; and Newell Brands Inc., a global marketer of consumer and commercial products, in 2018. CVR Partners, CVR Refining and CVR Energy are each indirectly controlled by Carl C. Icahn. Mr. Icahn also has non-controlling interests in Cheniere, Welbilt, Freeport-McMoRan and Newell Brands through the ownership of securities.</t>
  </si>
  <si>
    <t>29827-81P</t>
  </si>
  <si>
    <t>Andrew Michelmore</t>
  </si>
  <si>
    <t>Century Aluminum</t>
  </si>
  <si>
    <t>Michelmore</t>
  </si>
  <si>
    <t>www.centuryaluminum.com</t>
  </si>
  <si>
    <t>+1 (312) 696-3101</t>
  </si>
  <si>
    <t>Chicago, IL</t>
  </si>
  <si>
    <t>One South Wacker Drive</t>
  </si>
  <si>
    <t>Suite 1000</t>
  </si>
  <si>
    <t>Chicago</t>
  </si>
  <si>
    <t>Illinois</t>
  </si>
  <si>
    <t>60606</t>
  </si>
  <si>
    <t>+1 (312) 696-3102</t>
  </si>
  <si>
    <t>Mr. Andrew Michelmore, Executive Director and Chief Executive Officer of MMG Limited from December 2010 to February 2017; Chairman of the International Council on Mining and Metals from April 2016 to June 2017; Chairman of the Minerals Council of Australia from June 2013 to June 2016; Chairman of the Council of Ormond College at the University of Melbourne from 2003 to 2020; Chairman of the Jean Hailes Foundation since 1996. Mr. Michelmore rejoined the Board in September 2018 after previously serving on the Board from June 2010 through September 2015. Mr. Michelmore adds valuable metals and mining expertise to the Board by virtue of his experience as Chief Executive Officer of MMG Limited and previous experience as Chief Executive Officer of Zinifex, OZ Minerals, EN+ Group and WMC Resources. Mr. Michelmore also adds valuable engineering and international business experience to the Board by virtue of his positions as a Fellow of the Institution of Chemical Engineers and the Australian Academy of Technological Sciences and Engineering and a member of the Business Council of Australia. In addition, as an Australian citizen and having lived and worked in a number of different countries, Mr. Michelmore provides international diversity and perspective to the Board.</t>
  </si>
  <si>
    <t>403362-10P</t>
  </si>
  <si>
    <t>Andrew Skobe</t>
  </si>
  <si>
    <t>Fossil Group (Former)</t>
  </si>
  <si>
    <t>Skobe</t>
  </si>
  <si>
    <t>www.fossilgroup.com</t>
  </si>
  <si>
    <t>Chief Financial Officer, Finance</t>
  </si>
  <si>
    <t>andrew.skobe@fossilgroup.com</t>
  </si>
  <si>
    <t>The company has appointed Andrew Skobe as the Company's Interim Chief Financial Officer, effective immediately. Prior to Ankura, Skobe was EVP and Chief Financial Officer for Radisson Hotel Group from 2017 to 2019. Previously, he spent four years as EVP &amp; CFO for Croscill Home-Excell-Glenoit, a portfolio of private equity owned companies and five years as CFO for Icahn Enterprises. During his tenure with Icahn, Skobe was Chief Financial Officer for portfolio company WestPoint Home. Earlier in his career, Skobe held senior financial positions with Columbia House, a $1 billion video and entertainment company owned by Blackstone Private Equity, Dun &amp; Bradstreet, Marvel Entertainment, General Motors New York Treasurer's Office and JP Morgan Chase. Skobe holds a B.S. in Economics and Business Administration from Boston University and an MBA in Accounting and Corporate Finance from Columbia Business School.</t>
  </si>
  <si>
    <t>57925-99P</t>
  </si>
  <si>
    <t>Andrew Smith</t>
  </si>
  <si>
    <t>Smith</t>
  </si>
  <si>
    <t>andrew.smith@playtech.com</t>
  </si>
  <si>
    <t>WeWork - Office Space &amp; Coworking, 10 York Road</t>
  </si>
  <si>
    <t>6th Floor</t>
  </si>
  <si>
    <t>SE1 7ND</t>
  </si>
  <si>
    <t>Mr. Andrew Smith serves as Chief Financial Officer &amp; Board Member at Playtech. Having qualified as a solicitor with Ashurst in 2001, Andrew moved into investment banking, first with ABN AMRO and then with Deutsche Bank, specializing in both the Technology and Leisure sectors. Andrew joined Playtech in 2015 as Head of Investor Relations. Andrew Smith serves as Head of Investor Relations and Corporate Communications at Temenos. Previously, he served as Director, Corporate Banking at Deutsche Bank.</t>
  </si>
  <si>
    <t>72052-03P</t>
  </si>
  <si>
    <t>Andrey Petrushinin</t>
  </si>
  <si>
    <t>Petrushinin</t>
  </si>
  <si>
    <t>Andrey</t>
  </si>
  <si>
    <t>Project Director</t>
  </si>
  <si>
    <t>Mr. Andrey Petrushinin served as a Project Director at En+ Group. He serves as a Director Corporate Affairs at EuroSibEnergo.</t>
  </si>
  <si>
    <t>72050-50P</t>
  </si>
  <si>
    <t>Andrey Yashchenko</t>
  </si>
  <si>
    <t>Yashchenko</t>
  </si>
  <si>
    <t>Mr. Andrey Yashchenko served as Chief Financial Officer at En+ Group. He held this same position since July 2013. He has deep experience in En+ Group's financial function, with executive oversight for corporate finance and treasury, budgeting and control, tax planning, audit. Mr. Yashchenko was in charge of raising finance for En+ Group's recent acquisitions and debt restructurings aimed at the interest rate reduction and maturity profile extension. Also, he leads the Group's project for ERP implementation. Prior to joining En+ Group, Mr. Yashchenko was Chief Financial Officer at Russian Platinum Group for two years. In 2006-2010, Mr. Yashchenko was Deputy CFO and Corporate Finance Director at Basic Element. In 2000-2006, he was Head of Capital Markets at RUSAL. In 1999-2000, Mr. Yashchenko held various corporate finance and strategy positions at TNK, one of the largest oil companies in Russia. In 1994-1998, he was Senior Auditor at Deloitte and then Research Analyst at MC Securities and Montes Auri. Andrey Yashchenko graduated from the M.V. Lomonosov Moscow State University with a degree in economics with honours. Mr. Yashchenko is a CFA charterholder and member of CFA Institute.</t>
  </si>
  <si>
    <t>145891-45P</t>
  </si>
  <si>
    <t>Andriy Bahlay</t>
  </si>
  <si>
    <t>Bahlay</t>
  </si>
  <si>
    <t>Andriy</t>
  </si>
  <si>
    <t>Senior Corporate Development Manager</t>
  </si>
  <si>
    <t>Mr. Andriy Bahlay served as Senior Corporate Development Manager at Playtech. Previously, he served as a Senior Consultant at Ciklum Consulting.</t>
  </si>
  <si>
    <t>222462-73P</t>
  </si>
  <si>
    <t>Andy Torrance</t>
  </si>
  <si>
    <t>Angling Direct</t>
  </si>
  <si>
    <t>Torrance</t>
  </si>
  <si>
    <t>Andy</t>
  </si>
  <si>
    <t>www.anglingdirect.co.uk</t>
  </si>
  <si>
    <t>Non-executive Chairman &amp; Executive Director</t>
  </si>
  <si>
    <t>+44 (0)16 0340 0870</t>
  </si>
  <si>
    <t>andy.torrance@anglingdirect.co.uk</t>
  </si>
  <si>
    <t>Norwich, United Kingdom</t>
  </si>
  <si>
    <t>2D Wendover Road</t>
  </si>
  <si>
    <t>Rackheath Industrial Estate</t>
  </si>
  <si>
    <t>Norwich</t>
  </si>
  <si>
    <t>NR13 6LH</t>
  </si>
  <si>
    <t>Mr. Andy Torrance serves as Non-executive Chairman &amp; Executive Director at Angling Direct. Mr. Andy Torrance served as Chief Executive Officer and currently serves as Board Member &amp; Executive Director at Angling Direct. He also serves as Chairman at Eden Mobility. Having previously held COO positions at Dunelm and Holland &amp; Barrett, as well as a number of executive roles during a 12-year tenure at Halfords, Andy has a wealth of specialist retail experience. Commercially astute with demonstrated leadership skills, Andy has successfully grown brands across multiple geographies, driving sales and delivering EBITDA growth by implementing customer centric omni-channel strategies. In his position as COO of Holland &amp; Barrett, Andy had executive accountability for Leadership, Customer Experience and Store P+L in 1,064 stores in UK, Eire, the Netherlands, Belgium and Sweden.</t>
  </si>
  <si>
    <t>218135-53P</t>
  </si>
  <si>
    <t>Anelise Lara Ph.D</t>
  </si>
  <si>
    <t>TotalEnergies</t>
  </si>
  <si>
    <t>Lara</t>
  </si>
  <si>
    <t>Anelise</t>
  </si>
  <si>
    <t>www.totalenergies.com</t>
  </si>
  <si>
    <t>+33 (0)1 47 44 60 00</t>
  </si>
  <si>
    <t>Tour Coupole - 2, Place Jean Millier</t>
  </si>
  <si>
    <t>La Défense Cedex</t>
  </si>
  <si>
    <t>92078</t>
  </si>
  <si>
    <t>Dr. Anelise Lara serves as a Board Member at TotalEnergies. Ms. Lara serves as Board Member at Trident Energy Management. She will be appointed to the board as non-executive director with effect from AGM 2023. She is a chemical engineer with an MSc in Petroleum Engineering and a Ph.D. in Earth Sciences from "Université Pierre et Marie Curie," France. She was also certified in ESG Competent Boards Program, including climate change risks, in 2021. Mrs. Lara has 37 years of experience in the energy industry. In 1986, she joined Petrobras, the most important company in the energy segment in Brazil. She began her career in the Research and Development Center. In 2003, she joined the Exploration and Production Department as General Manager for the Reservoir Team at the corporate level. In 2011, after the first pre-salt discoveries, she was appointed General Manager for pre-salt development projects. Then in 2013, she was invited to become the Director of the Libra Joint Project Team. In 2016, she was appointed as Head of M&amp;A, responsible for a portfolio of more than 40 projects of divestments and strategic partnerships in Brazil and abroad. During this period, Mrs. Lara was also a member of the Company's Investment Committee. In 2019, she was appointed as Chief Executive Officer for Refining, Natural Gas, and Power, responsible for the strategic, risk management, HSE, and operational results of Refining, Gas &amp; Power areas, covering the areas of refining, biofuels, petrochemicals, fertilizers plants, distribution and transportation of natural gas, regas terminals, and thermal power plants. She left Petrobras in January 2021. Mrs. Lara served as President of the Society of Petroleum Engineers (SPE) - Brazil Section from 2005 to 2008. She also joined the International Board of SPE from 2014 until 2017 as Regional Director for Latin America and Caribe. She also served as Chair of the Brazilian Petroleum Institute (IBP) from 2019 to 2021. Mrs. Lara volunteers for the cause of D&amp;I (diversity and inclusion). She is a board member of WILL (Women Leadership in Latin America) and has already mentored many young women interested in working in the energy segment.</t>
  </si>
  <si>
    <t>217482-67P</t>
  </si>
  <si>
    <t>Angela Luger</t>
  </si>
  <si>
    <t>JD Sports Fashion</t>
  </si>
  <si>
    <t>Luger</t>
  </si>
  <si>
    <t>Angela</t>
  </si>
  <si>
    <t>www.jdplc.com</t>
  </si>
  <si>
    <t>+44 (0)16 1767 1000</t>
  </si>
  <si>
    <t>Bury, United Kingdom</t>
  </si>
  <si>
    <t>Hollinsbrook Way</t>
  </si>
  <si>
    <t>Pilsworth</t>
  </si>
  <si>
    <t>Bury</t>
  </si>
  <si>
    <t>BL9 8RR</t>
  </si>
  <si>
    <t>+44 (0)16 1767 1001</t>
  </si>
  <si>
    <t>Ms. Angela Luger serves as a Non-Executive Director at Sofa Carpet Specialists. She seres as Board Member at Jet2. Her contributes general management experience with retail, digital and customer focus. Other appointments Angela was Chair of The Paint Shed Holdings Limited and Non-executive Director of ScS Group plc, The Hiring Hub Holdings Limited and New Look Retail Holdings Limited. Formerly, she held positions as Non-executive Director of Distribuidora Internacional de Alimentacion, S.A. (DIA Group) and Manchester Airport Group. Her previous executive positions included Chief Executive of N Brown plc, CEO of The Original Factory Shop Limited and senior executive positions at Debenhams PLC, ASDA Group Limited and Mars Corporation.</t>
  </si>
  <si>
    <t>65245-33P</t>
  </si>
  <si>
    <t>Ann Korologos</t>
  </si>
  <si>
    <t>Capri Holdings (Former)</t>
  </si>
  <si>
    <t>Korologos</t>
  </si>
  <si>
    <t>Ann</t>
  </si>
  <si>
    <t>www.capriholdings.com</t>
  </si>
  <si>
    <t>Ms. Korologos is a former U.S. Secretary of Labor. She is Chairman Emeritus of The Aspen Institute, a nonprofit organization, and previously served as the Chairman of the Board of Trustees of the RAND Corporation from April 2004 to April 2009. Ms. Korologos has significant public company board experience and currently serves as a director of Host Hotels &amp; Resorts, Inc. She previously served on the boards of AMR Corporation (and its subsidiary, American Airlines), Kellogg Company, Harman International Industries, Inc. and Vulcan Materials Company, among others.</t>
  </si>
  <si>
    <t>237953-89P</t>
  </si>
  <si>
    <t>Anna Artamonova</t>
  </si>
  <si>
    <t>VK Company (Former)</t>
  </si>
  <si>
    <t>Artamonova</t>
  </si>
  <si>
    <t>Anna</t>
  </si>
  <si>
    <t>www.vk.company</t>
  </si>
  <si>
    <t>Vice President, Ecosystem Products</t>
  </si>
  <si>
    <t>Ms. Anna Artamonova served as Vice President, Ecosystem Products at Mail.Ru Group.</t>
  </si>
  <si>
    <t>180201-79P</t>
  </si>
  <si>
    <t>Anna Ryzhova</t>
  </si>
  <si>
    <t>OC Oerlikon</t>
  </si>
  <si>
    <t>Ryzhova</t>
  </si>
  <si>
    <t>www.oerlikon.com</t>
  </si>
  <si>
    <t>Chief Human Resources Officer &amp; Member of the Executive Committee</t>
  </si>
  <si>
    <t>+41 (0)58 360 9696</t>
  </si>
  <si>
    <t>anna.ryzhova@oerlikon.com</t>
  </si>
  <si>
    <t>Pfaffikon, Switzerland</t>
  </si>
  <si>
    <t>Churerstrasse 120</t>
  </si>
  <si>
    <t>Pfaffikon</t>
  </si>
  <si>
    <t>8808</t>
  </si>
  <si>
    <t>Switzerland</t>
  </si>
  <si>
    <t>Ms. Anna Ryzhova serves as Chief Human Resources Officer &amp; Member of the Executive Committee at Oerlikon. Anna Ryzhova was appointed Chief Human Resources Officer effective October 10, 2016. Ms. Ryzhova has over 21 years of experience in leading HR functions, 13 of which were at the Renova Group in senior HR executive roles. Most recently, Ms. Ryzhova was Chief Human Resources Officer at Witel Ltd., Zurich, Switzerland. From 2010 to 2015, she served as HR and Corporate Relations Director at the Renova Group Corporate Center in Moscow, Russia. Ms. Ryzhova holds a Master's degree in Economics from the National Research University Higher School of Economics in Moscow and an Executive MBA from IMD, Lausanne, Switzerland.</t>
  </si>
  <si>
    <t>382547-26P</t>
  </si>
  <si>
    <t>Annabel Roedhammer</t>
  </si>
  <si>
    <t>Vulcan Energy Resources</t>
  </si>
  <si>
    <t>Roedhammer</t>
  </si>
  <si>
    <t>Annabel</t>
  </si>
  <si>
    <t>v-er.eu</t>
  </si>
  <si>
    <t>Vice President Communications &amp; Investor Relations</t>
  </si>
  <si>
    <t>+61 (0)8 6331 6156</t>
  </si>
  <si>
    <t>aroedhammer@v-er.eu</t>
  </si>
  <si>
    <t>1 Spring Street</t>
  </si>
  <si>
    <t>Level 11</t>
  </si>
  <si>
    <t>Ms. Annabel Roedhammer serves as Vice President Communications &amp; Investor Relations at Vulcan Energy Resources. She brings over 18 years of experience as a global senior marketing, strategy, and commercial leader working in green energy, agriculture, and engineering industries across Australia and Europe. Powering and sustainably feeding the world has always been her core focus and this is exactly what she will continue to do at Vulcan Energy. Most recently she worked at Fortescue Future Industries as Head of Corporate Affairs and previously European Hub Marketing Lead for Nufarm, based in Germany.</t>
  </si>
  <si>
    <t>98570-62P</t>
  </si>
  <si>
    <t>Annalisa Jenkins MD</t>
  </si>
  <si>
    <t>COMPASS Pathways</t>
  </si>
  <si>
    <t>Jenkins</t>
  </si>
  <si>
    <t>Annalisa</t>
  </si>
  <si>
    <t>www.compasspathways.com</t>
  </si>
  <si>
    <t>Altrincham, United Kingdom</t>
  </si>
  <si>
    <t>3rd Floor, 1 Ashley Road</t>
  </si>
  <si>
    <t>Cheshire</t>
  </si>
  <si>
    <t>Altrincham</t>
  </si>
  <si>
    <t>WA14 2DT</t>
  </si>
  <si>
    <t>Dr. Annalisa Jenkins serves as a Board Member at COMPASS Pathways. Dr. Jenkins served as a Board Member at AgeX Therapeutics. Dr. Jenkins served as a Board Member at AVROBIO. She serves as a Board Member at GEMMABio. She serves as a Non-Executive Director at LetterOne. She served as a Board Member at iOx Therapeutics. She serves as a Board Member at Etira and Oncimmune. She serves as Non-Executive Director at Cancer Research Horizons. She is a Member of the Advisory Board. She also serves as Trustee at The King's Fund. he serves as Board Member at Skye Bioscience. She serves as an Advisor at Actimed Therapeutics. She serves as an Advisor at Global Bio Fund. She serves as Chairman of the Board at Conduit Connect. She also served as a Board Member at Prospectus. She also serves as a Board Member at Ori Biotech. She served as a director at Arcturis Data. She serves as Chairman at Phaim. She serves as Chairman at RYSE Asset Management. She serves as Chairwoman at Kuur Therapeutics. She serves as Board Member and Chairman at Cocoon Biotech. She served as Chief Executive Officer and Board Member at PlaqueTec. She served as a Board Member at Biothera Pharmaceuticals. She served as a Chairman &amp; Board Member at Sensyne Health. She is a life science thought leader with over 20 years of biopharmaceutical industry experience. Prior to joining PlaqueTec as CEO in November 2017, she served as president and CEO of Dimension Therapeutics, a leading gene therapy company that was acquired by Ultragenyx in November 2017. Prior leadership roles have included the head of Global Research and Development and executive vice president of Global Development and Medical Affairs at Merck Serono, and several senior positions at Bristol Myers-Squibb over 15 years, including Head of Global Medical Affairs. Earlier in her career, she was a medical officer in the British Royal Navy during the Gulf Conflict, achieving the rank of surgeon lieutenant commander. She is also a committee member of the Science Board of the U.S. Food &amp; Drug Administration (FDA), and chairs or serves on the boards of a number of private and public biotech and life science companies. She holds a degree in Cardiovascular Medicine from St Bartholomew's Hospital and an MBBS in Medicine from University of London.</t>
  </si>
  <si>
    <t>74745-46P</t>
  </si>
  <si>
    <t>Anne Devereux-Mills</t>
  </si>
  <si>
    <t>Marchex (Former)</t>
  </si>
  <si>
    <t>Devereux-Mills</t>
  </si>
  <si>
    <t>Anne</t>
  </si>
  <si>
    <t>www.marchex.com</t>
  </si>
  <si>
    <t>Ms. Anne Devereux-Mills serves as Chairman &amp; Chief Executive Officer at Marchex. She served as Chief Strategy Officer &amp; Director at Lantern. Currently, she also serves as Chairman of the Board at Marchex. She has over 30 years of experience in the marketing and advertising industries. Before these current roles, Ms. Devereux-Mills served as Chairman of LLNS, a division of Omnicom Group Inc. (NYSE: OMC) from May 2006 to April 2012 and served as Chief Executive Officer of LLNS from May 2006 to September 2010. LLNS is a leading healthcare communications agency. Before joining LLNS, from February 2003 to May 2006, Ms. Devereux-Mills was the Chief Integration Officer as well as Managing Director of all health-related assignments within BBDO New York, an advertising agency. Before joining BBDO New York, from April 2002 to February 2003, Ms. Devereux-Mills was President of Dugan Valva Contess, an independent communications agency. From January 1996 to April 2002, Ms. Devereux-Mills was President and Founder of Consumer Healthworks, which then became Merkley Newman Harty Healthworks, one of the first agencies to specialize in direct-to-consumer advertising for healthcare brands. Ms. Devereux-Mills received a B.A. degree from Wellesley College.</t>
  </si>
  <si>
    <t>128460-79P</t>
  </si>
  <si>
    <t>Anne Stevens</t>
  </si>
  <si>
    <t>Aston Martin Lagonda Global Holdings</t>
  </si>
  <si>
    <t>Stevens</t>
  </si>
  <si>
    <t>www.astonmartin.com</t>
  </si>
  <si>
    <t>Board Member, Chair of the Remuneration Committee and the Sustainability Committee and Member of the Audit and Risk and Nomination Committees</t>
  </si>
  <si>
    <t>+44 (0)19 2664 4644</t>
  </si>
  <si>
    <t>Warwick, United Kingdom</t>
  </si>
  <si>
    <t>Banbury Road</t>
  </si>
  <si>
    <t>Gaydon</t>
  </si>
  <si>
    <t>Warwick</t>
  </si>
  <si>
    <t>CV35 0DB</t>
  </si>
  <si>
    <t>Anne brings to the Board significant operational, commercial and transformational experience in global businesses. Anne is an engineer and started her career in the chemical industry with Exxon Corporation before moving to automotive with the Ford Motor Company (1990-2006). During her 16-year tenure at Ford, Anne held a number of senior positions, culminating in her being the Chief Operating Officer for the Americas. On retiring from Ford, Anne joined Carpenter Technology Corporation (2006-2009) as its Chairman, President and Chief Executive Officer. Anne has extensive Non-executive Director experience and has previously served as Chairman, CEO and Principal of SA IT (2011-2014), as a Non-executive Director on the board of XL Group and Lockheed Martin before joining GKN plc as a Non-executive Director where she was briefly CEO during the hostile takeover by Melrose plc in 2018. Anne received a BS in Materials and Mechanical Engineering from Drexel University in 1980 and was elected to the National Academy of Engineering in 2004. External appointments Harbour Energy plc (Non-executive Director and Remuneration Committee Chair)</t>
  </si>
  <si>
    <t>269427-25P</t>
  </si>
  <si>
    <t>Anthony James</t>
  </si>
  <si>
    <t>Galena Mining (Former)</t>
  </si>
  <si>
    <t>James</t>
  </si>
  <si>
    <t>Anthony</t>
  </si>
  <si>
    <t>www.galenamining.com.au</t>
  </si>
  <si>
    <t>Managing Director and Chief Executive Officer</t>
  </si>
  <si>
    <t>Mr. Anthony James served as Managing Director and Chief Executive Officer at Galena Mining. He has previous experience at the Managing Director level of three ASX-listed companies, with two of those companies successfully guided through a merger and takeover process to the benefit of the shareholders. He has a strong mine operating background (examples being the Kanowna Belle Gold Mine and the Black Swan Nickel Mine) and a strong feasibility study/mine development background (examples being the Pillara Zinc/Lead Mine and the Trident/Higginsville Gold Mine).</t>
  </si>
  <si>
    <t>243339-85P</t>
  </si>
  <si>
    <t>Anthony Williams</t>
  </si>
  <si>
    <t>Akamai Technologies</t>
  </si>
  <si>
    <t>Williams</t>
  </si>
  <si>
    <t>www.akamai.com</t>
  </si>
  <si>
    <t>Executive Vice President &amp; Executive</t>
  </si>
  <si>
    <t>+1 (617) 444-3000</t>
  </si>
  <si>
    <t>anthony_williams@akamai.com</t>
  </si>
  <si>
    <t>Cambridge, MA</t>
  </si>
  <si>
    <t>145 Broadway</t>
  </si>
  <si>
    <t>Cambridge</t>
  </si>
  <si>
    <t>Massachusetts</t>
  </si>
  <si>
    <t>02142</t>
  </si>
  <si>
    <t>+1 (617) 444-3001</t>
  </si>
  <si>
    <t>Mr. Anthony Williams serves as Executive Vice President &amp; Chief Human Resources Officer at Akamai Technologies. He leads global HR strategy including workplace management, employee development, talent acquisition, inclusion and diversity and compensation and benefits across Akamai's more than 40 offices around the world. He assumed the role effective January 1, 2020 after five years with Akamai. He began his Akamai career with the task of developing a world-class global recruiting function and was the company's first diversity and inclusion leader. He led the human resources function for Akamai's growing populations outside of the U.S., reflecting the company's expanded footprint. He played an essential role in the Akamai Foundation's transition from private funding to an official corporate philanthropic entity. He serves as its president and hired its first executive director. Further, he launched the company's employee resource groups ("ERG"), voluntary associations that represent the needs of Akamai's global employee population. He also launched the Akamai Technical Academy, a training program designed for people who have an interest and aptitude for technology but may not come from a traditional technical background. The unique program empowers diverse talent with technical work-ready skills while offering opportunities for prepared graduates to become full-time employees of Akamai. Prior to Akamai, he held a wide range of global human resource positions at First Data Corporation, Newell Rubbermaid and Time Warner - Turner Broadcasting System. He holds a Bachelor of Science in Business Management from Norfolk State University and a Master of Business Administration from the University of Georgia, Terry College of Business.</t>
  </si>
  <si>
    <t>244521-55P</t>
  </si>
  <si>
    <t>Antoine Castro</t>
  </si>
  <si>
    <t>Paref</t>
  </si>
  <si>
    <t>Castro</t>
  </si>
  <si>
    <t>Antoine</t>
  </si>
  <si>
    <t>www.paref.com</t>
  </si>
  <si>
    <t>Chief Executive Officer, President, and Chairman</t>
  </si>
  <si>
    <t>+33 (0)1 40 29 86 86</t>
  </si>
  <si>
    <t>antoine.castro@paref.com</t>
  </si>
  <si>
    <t>153, boulevard Haussmann</t>
  </si>
  <si>
    <t>75008</t>
  </si>
  <si>
    <t>Mr. Antoine Castro serves as Chief Executive Officer, President, and Chairman at Paref. He has more than 20 years of experience in real estate management and management within international companies, such as Fosun Hive Holding, Quantum Global Real Estate, Morgan Stanley Real Estate, and Archon Group (Goldman Sachs subsidiary). He joined PAREF Group in 2017 to inject new dynamism and develop the Group in Europe. He holds a degree in Finance from the University of Paris I Panthéon-Sorbonne and in Corporate Finance from the University of Evry-Val-d'Essonne.</t>
  </si>
  <si>
    <t>279314-92P</t>
  </si>
  <si>
    <t>Anton Antropov</t>
  </si>
  <si>
    <t>Antropov</t>
  </si>
  <si>
    <t>Anton</t>
  </si>
  <si>
    <t>Chief Information Security Officer</t>
  </si>
  <si>
    <t>anton@corp.mail.ru</t>
  </si>
  <si>
    <t>Mr. Anton Antropov serves as Chief Information Security Officer at Mail.Ru Group.</t>
  </si>
  <si>
    <t>145476-01P</t>
  </si>
  <si>
    <t>Anton Ustinov Ph.D</t>
  </si>
  <si>
    <t>Research and Production Corporation United Wagon Company (Former)</t>
  </si>
  <si>
    <t>Ustinov</t>
  </si>
  <si>
    <t>www.uniwagon.com</t>
  </si>
  <si>
    <t>Deputy Chief Executive Officer &amp; Chief Operating Officer</t>
  </si>
  <si>
    <t>Dr. Anton Ustinov serves as Deputy Chief Executive Officer and Chief Operating Officer at United Wagon Company. He joined the Company in June 2014. Prior to that, he was deputy CEO at the logistics division of En+ Group, which provided logistics support of business units with freight turnover more than 60 mln tons per year. Previously, Anton supervised Transport office of Organizational Committee at XII Olympic Winter Games in Sochi, which was responsible for planning transfers of client groups during the Olympic Games and developing technical requirements of Sochi's transport infrastructure to meet these demands. Prior to that, Anton served as CEO of SoyuzVneshTrans Concern, which specialized in freight-forwarding services to companies needing to transport cargo by all types of transport. Anton Ustinov graduated from the Moscow Engineering Physics Institute with a degree in Solid-state Physics. He also has a degree in Finance and Lending from the Financial University under the Government of the Russian Federation. Anton holds a PH.D in Physical and Mathematical Science and an Executive MBA degree at University Antwerp Management School (Belgium, 2009).</t>
  </si>
  <si>
    <t>192259-36P</t>
  </si>
  <si>
    <t>Antonio Gutiérrez</t>
  </si>
  <si>
    <t>Gutiérrez</t>
  </si>
  <si>
    <t>Antonio</t>
  </si>
  <si>
    <t>Mr. Antonio Gutiérrez served as Chief Executive Officer at DIA Group. The company appointed him as the CEO, who until today was responsible for the company's business in Argentina and Brazil.</t>
  </si>
  <si>
    <t>129537-28P</t>
  </si>
  <si>
    <t>Antonio Martin</t>
  </si>
  <si>
    <t>Martin</t>
  </si>
  <si>
    <t>Director, Finance</t>
  </si>
  <si>
    <t>Mr. Antonio Martin served as Director, Finance at DIA Group. Previously he served as a Director Financiero at DIA,S.A.(Carrefour Group).</t>
  </si>
  <si>
    <t>302153-59P</t>
  </si>
  <si>
    <t>Antonio Serrano</t>
  </si>
  <si>
    <t>Grupo Dia (Department Stores)</t>
  </si>
  <si>
    <t>Serrano</t>
  </si>
  <si>
    <t>Group Corporate Director &amp; Chief Strategy, Mergers &amp; Acquisitions and Digital Officer</t>
  </si>
  <si>
    <t>+34 91 398 5400</t>
  </si>
  <si>
    <t>aserrano@diagroup.com</t>
  </si>
  <si>
    <t>Madrid, Spain</t>
  </si>
  <si>
    <t>Parque Empresarial de las Rozas - Edif</t>
  </si>
  <si>
    <t>Tripark C Jacinto Benavente 2 A</t>
  </si>
  <si>
    <t>Madrid</t>
  </si>
  <si>
    <t>Las Rozas</t>
  </si>
  <si>
    <t>28232</t>
  </si>
  <si>
    <t>Spain</t>
  </si>
  <si>
    <t>Mr. Antonio Serrano serves as Group Corporate Director and Chief Strategy, Mergers &amp; Acquisitions and Digital Officer at DIA Group. Mr. Serrano serves as Board Member at Grão Direto. He has a degree in Electronic Engineering from the Technological Institute of Aeronautics of Brazil and an MBA in Business Administration, Finance and Marketing from the Booth School of Business (University of Chicago). Subsequently, he completed an Executive Program at the IMD business school in Switzerland. His professional career began at Banco ITAÚ in 2001 and later at Bain &amp; Company, where he worked for 11 years in charge of evaluating different large-scale projects within the field of strategy and mergers and acquisitions throughout LATAM. In 2014 he was appointed General Manager of Votorantim Cimentos, a position he held until 2018, when he founded and began managing "Juntos Somos Mais", the largest digital ecosystem in the construction sector in Brazil, making it one of the main startups in the country. He combines running the company with business mentoring at Endeavor. He also has extensive expertise as a Board Member of various companies.</t>
  </si>
  <si>
    <t>53052-76P</t>
  </si>
  <si>
    <t>Anu Dhir JD</t>
  </si>
  <si>
    <t>Capital</t>
  </si>
  <si>
    <t>Dhir</t>
  </si>
  <si>
    <t>Anu</t>
  </si>
  <si>
    <t>www.capdrill.com</t>
  </si>
  <si>
    <t>+44 (0)23 0464 3250</t>
  </si>
  <si>
    <t>Ground Floor</t>
  </si>
  <si>
    <t>10/11 Park Place</t>
  </si>
  <si>
    <t>SW1A 1LP</t>
  </si>
  <si>
    <t>Anu Dhir has appointed as independent non-executive director to the board with effect from 15 November 2023. Ms Dhir currently serves as a non-executive director on the Board of TSX-listed Montage Gold Corp. and TSX/NYSE-listed Taseko Mines Limited. Over the last decade, Ms Dhir's board positions have included Lead Non-Executive Director for Lomiko Metals Inc., Non-Executive Director of Golden Star Resources Ltd, in addition to other Canadian listed companies. Ms Dhir has over 20 years' experience in the resources sector, most recently, as a co-founder and executive of ZinQ Mining, a private base and precious metals company which focuses on the Latin American Region. Prior to ZinQ Mining, Ms Dhir was Vice President, Corporate Development and Corporate Secretary at Katanga Mining Limited. Ms Dhir is co-founder of Wshingwell, a for-profit community relationship platform that allows individuals, communities and organizations to micro-fundraise around experiences and events. Ms Dhir is a graduate of the General Management Program (GMP) at Harvard Business School and has a law degree (Juris Doctor) from Quinnipiac University and a Bachelor of Arts (BA) from the University of Toronto.</t>
  </si>
  <si>
    <t>41909-50P</t>
  </si>
  <si>
    <t>Aris Kekedjian</t>
  </si>
  <si>
    <t>Stratasys (Printing Services (B2B))</t>
  </si>
  <si>
    <t>Kekedjian</t>
  </si>
  <si>
    <t>Aris</t>
  </si>
  <si>
    <t>www.stratasys.com</t>
  </si>
  <si>
    <t>+1 (952) 937-3000</t>
  </si>
  <si>
    <t>Eden Prairie, MN</t>
  </si>
  <si>
    <t>5995 Opus Parkway</t>
  </si>
  <si>
    <t>Eden Prairie</t>
  </si>
  <si>
    <t>Minnesota</t>
  </si>
  <si>
    <t>55343</t>
  </si>
  <si>
    <t>+1 (952) 937-0070</t>
  </si>
  <si>
    <t>Mr. Aris Kekedjian served as Chief Executive Officer at Icahn Enterprises. Mr. Aris Kekedjian served as Chief Investment Officer &amp; Head of Corporate Development at General Electric. He served as Managing Director, Mergers &amp; Acquisitions &amp; Global Business Development &amp; Vice President at General Electric Capital. Aris is a graduate of Concordia University in Canada. He also serves as the Board Member at Mubadala GE Capital.</t>
  </si>
  <si>
    <t>171991-81P</t>
  </si>
  <si>
    <t>Arnaud Breuillac</t>
  </si>
  <si>
    <t>Woodside Energy Group</t>
  </si>
  <si>
    <t>Breuillac</t>
  </si>
  <si>
    <t>Arnaud</t>
  </si>
  <si>
    <t>www.woodside.com</t>
  </si>
  <si>
    <t>+61 (0)8 9348 4000</t>
  </si>
  <si>
    <t>arnaud.breuillac@woodside.com</t>
  </si>
  <si>
    <t>Mia Yellagonga</t>
  </si>
  <si>
    <t>11 Mount Street</t>
  </si>
  <si>
    <t>6840</t>
  </si>
  <si>
    <t>Mr. Arnaud Breuillac serves as Board Member at Trident Energy Management. Term of office: Director since March 2023, re-election required at AGM in 2026. Experience: Mr. Breuillac had a 40-year career with TotalEnergies SE, including as President Middle East, Senior Vice President E&amp;P, Continental Europe and Central Asia, and seven years as President Exploration &amp; Production before his retirement at the end of 2021. From 2021 to 2022, Mr. Breuillac continued as Senior Advisor to the Chair and Chief Executive Officer of TotalEnergies. Current directorships/other interests: Director: Trident Energy Ltd (since 2022) and Geosel Manosque SAS (since 2022). Member: Board of ACL (Association des diplomes de l'ECL). Other: President of ECL (Ecole Centrale de Lyon) Endowment Fund. MSc Engineering.</t>
  </si>
  <si>
    <t>178722-46P</t>
  </si>
  <si>
    <t>Arthur Lau</t>
  </si>
  <si>
    <t>The9 (Former)</t>
  </si>
  <si>
    <t>Lau</t>
  </si>
  <si>
    <t>Arthur</t>
  </si>
  <si>
    <t>www.the9.com</t>
  </si>
  <si>
    <t>arthur.lau@the9.com</t>
  </si>
  <si>
    <t>Mr. Arthur Lau serves as President at The9. He is a seasoned finance professional with experience spanning across private equity, hedge fund and investment banking sectors. He is currently the Co-Founder and Partner of Ark Pacific Capital Management ("Ark Pacific"), a multi-strategy alternative asset manager focusing in Greater China. Mr. Lau sat on the board of multiple portfolio companies and is experienced in developing new business initiatives. Prior to joining Ark Pacific, he was an investment director of Elliott Advisors, the Asian office of Elliott Associates, a global hedge fund managing over US$30 billion of assets. Before that, Mr. Lau was a technology, media and telecom investment banker at Citigroup and an investment banker at JPMorgan. Mr. Lau graduated from The London School of Economics and Political Science with a Bachelor of Laws degree and holds a Master of Economics degree from The University of Hong Kong.</t>
  </si>
  <si>
    <t>190439-02P</t>
  </si>
  <si>
    <t>Ashley Paxton</t>
  </si>
  <si>
    <t>Ikigai Ventures Limited</t>
  </si>
  <si>
    <t>Paxton</t>
  </si>
  <si>
    <t>Ashley</t>
  </si>
  <si>
    <t>www.ikigaiventuresltd.com</t>
  </si>
  <si>
    <t>+44 (0)14 8174 1871</t>
  </si>
  <si>
    <t>Guernsey Martello Court</t>
  </si>
  <si>
    <t>Admiral Park, St. Peter Port</t>
  </si>
  <si>
    <t>Guernsey</t>
  </si>
  <si>
    <t>GY1 3HB</t>
  </si>
  <si>
    <t>Ashley has worked in the financial services sector for nearly 30 years. He trained as a Chartered Accountant with McIntyre &amp; Co in London, before moving to KPMG's financial services sector upon qualification in 1996. Ashley moved to Guernsey in 2002 and in 2008 developed a Channel Islands advisory practice for KPMG, growing it into a full taxonomy of services across transactions, restructuring, management, and risk consulting. He has provided transactions and valuations support to clients on buy and sell sides across the regulated finance sectors, including as lead advisor to Heritage's funds and fiduciary businesses, disposed of in 2017 to Estera (backed by Bridgepoint), and to Ardel, which was disposed of to Equiom in 2015 (backed by LDC). Ashley has also led a number of high profile and innovative transaction related engagements for government. Ashley has gained deep sectoral specialism supporting the London listed fund sector throughout his 23 years with KPMG, as audit partner, as lead partner on capital market transactions, and various formal restructuring appointments. He retired from the firm in 2019. During his KPMG career, Ashley worked on various advisory assignments with a strong ESG focus, including leading KPMG's Guernsey Green Fund certification for Bluefield Solar Fund Limited, the first company to adopt Guernsey Green Fund Rules and be certified. Ashley is a non-executive director to three other London listed entities, Chair of TwentyFour Select Monthly Income Fund Limited, Chair of the Audit and Risk Committee for Downing Renewables &amp; Infrastructure Trust plc (an Article 9 fund pursuant to the EU taxonomy and the EU sustainable Finance Disclosure Regulations) and JZ Capital Partners Limited. Ashley also plays an important role in the local third sector as Chairman of the Youth Commission for Guernsey &amp; Alderney. Ashley is a Fellow of the Institute of Chartered Accountants in England and Wales and a full-time resident of Guernsey. He holds an Economics degree from the University of Warwick.</t>
  </si>
  <si>
    <t>39631-51P</t>
  </si>
  <si>
    <t>Ashok Srivastava Ph.D</t>
  </si>
  <si>
    <t>Intuit</t>
  </si>
  <si>
    <t>Srivastava</t>
  </si>
  <si>
    <t>Ashok</t>
  </si>
  <si>
    <t>www.intuit.com</t>
  </si>
  <si>
    <t>Senior Vice President, Chief AI Officer &amp; Chief Data Officer</t>
  </si>
  <si>
    <t>+1 (650) 944-6000</t>
  </si>
  <si>
    <t>ashok_srivastava@intuit.com</t>
  </si>
  <si>
    <t>Mountain View, CA</t>
  </si>
  <si>
    <t>2700 Coast Avenue</t>
  </si>
  <si>
    <t>Mountain View</t>
  </si>
  <si>
    <t>94043</t>
  </si>
  <si>
    <t>Dr. Ashok Srivastava serves as Senior Vice President, Chief AI Officer &amp; Chief Data Officer at Intuit. Dr. Srivastava serves as Advisory Board Member at Synapse Partners. Dr. Srivastava served as the Chief Data Scientist at Verizon Wireless. He previously served as an Advisor at Trident Capital. Prior to joining NASA, he served as a Senior Director at Blue Martini Software and a Senior Data Analytics Consultant at IBM. In these roles, he consulted for numerous Fortune Global 500 companies in the finance, retail, manufacturing, and internet sectors, in the areas of data mining and optimization. He has served on the advisory boards of several internet companies. Srivastava has won numerous awards including the IEEE Computer Society Technical Achievement Award for "pioneering contributions to intelligent information systems," the NASA Exceptional Achievement Medal for contributions to state-of-the-art data mining and analysis, the IBM Golden Circle Award, and the Department of Education Merit Fellowship. Dr. Srivastava is the author of many research articles on data mining, machine learning and text mining, and has edited the book, "Text Mining: Classification, Clustering, and Applications" (with Mehran Sahami, 2009).</t>
  </si>
  <si>
    <t>142742-89P</t>
  </si>
  <si>
    <t>Ashwini Kumar</t>
  </si>
  <si>
    <t>PayPal Holdings</t>
  </si>
  <si>
    <t>Kumar</t>
  </si>
  <si>
    <t>Ashwini</t>
  </si>
  <si>
    <t>www.paypal.com</t>
  </si>
  <si>
    <t>Vice President, North America Small Business &amp; Global Co-Lead, Unity - PayPal's Women ERG</t>
  </si>
  <si>
    <t>akumar@paypal.com</t>
  </si>
  <si>
    <t>San Jose, CA</t>
  </si>
  <si>
    <t>2211 North First Street</t>
  </si>
  <si>
    <t>San Jose</t>
  </si>
  <si>
    <t>95131</t>
  </si>
  <si>
    <t>Ms. Ashwini Kumar serves as Vice President, North America Small Business &amp; Global Co-Lead, Unity - PayPal's Women ERG at PayPal Holdings. Ms. Kumar served ainGlobal Corporate Strategy at Paypal. Previously she served as a Manager - Management Consulting at Accenture. She holds a BE in Industrial Engineering from the University of Toronto and an MBA in Strategic Management from the University of Pennsylvania Wharton School.</t>
  </si>
  <si>
    <t>156673-90P</t>
  </si>
  <si>
    <t>Atisthan Roach</t>
  </si>
  <si>
    <t>Vulcan Materials (Former)</t>
  </si>
  <si>
    <t>Roach</t>
  </si>
  <si>
    <t>Atisthan</t>
  </si>
  <si>
    <t>www.vulcanmaterials.com</t>
  </si>
  <si>
    <t>Manager, Public Affairs and Corporate Communications</t>
  </si>
  <si>
    <t>Mr. Atisthan Roach serves as a Manager, Public Affairs and Corporate Communications at Vulcan Materials Company.</t>
  </si>
  <si>
    <t>241850-17P</t>
  </si>
  <si>
    <t>Aviad Kaufman</t>
  </si>
  <si>
    <t>Kenon Holdings</t>
  </si>
  <si>
    <t>Kaufman</t>
  </si>
  <si>
    <t>Aviad</t>
  </si>
  <si>
    <t>www.kenon-holdings.com</t>
  </si>
  <si>
    <t>+65 6351 1780</t>
  </si>
  <si>
    <t>aviadk@israelcorp.com</t>
  </si>
  <si>
    <t>1 Temasek Avenue</t>
  </si>
  <si>
    <t>Level 37 - Unit 02B, Millenia Tower</t>
  </si>
  <si>
    <t>039192</t>
  </si>
  <si>
    <t>+65 6351 1798</t>
  </si>
  <si>
    <t>Mr. Aviad Kaufman serves as Chief Financial Officer at Quantum Pacific Group.</t>
  </si>
  <si>
    <t>81290-62P</t>
  </si>
  <si>
    <t>Aviv Nankin</t>
  </si>
  <si>
    <t>Nankin</t>
  </si>
  <si>
    <t>Aviv</t>
  </si>
  <si>
    <t>Vice President</t>
  </si>
  <si>
    <t>Mr. Aviv Nankin serves as Vice President at Playtech. He was the Founder and Chief Executive Officer of Playtech.</t>
  </si>
  <si>
    <t>280705-96P</t>
  </si>
  <si>
    <t>Bamdad Bastani</t>
  </si>
  <si>
    <t>IQE</t>
  </si>
  <si>
    <t>Bastani</t>
  </si>
  <si>
    <t>Bamdad</t>
  </si>
  <si>
    <t>www.iqep.com</t>
  </si>
  <si>
    <t>+44 (0)29 2083 9400</t>
  </si>
  <si>
    <t>Cardiff, United Kingdom</t>
  </si>
  <si>
    <t>Pascal Close</t>
  </si>
  <si>
    <t>Cardiff</t>
  </si>
  <si>
    <t>Wales</t>
  </si>
  <si>
    <t>CF3 0LW</t>
  </si>
  <si>
    <t>Bamdad Bastani will be appointed to the board as an Independent non-executive director with effect from 01 January 2024. Bami Bastani joins with a wealth of experience in the semiconductor industry, having spent seven years at GlobalFoundries, first as Senior VP and GM of the Mobile &amp; Wireless Infrastructure Business Unit and then Senior VP and Senior Advisor to the CEO. Bami also spent seven years as a board member of the Global Semiconductor Alliance (GSA) and has held President and CEO roles at Meru Networks, Trident Microsystems and ANADIGICS.</t>
  </si>
  <si>
    <t>306324-55P</t>
  </si>
  <si>
    <t>Beate Holzwarth</t>
  </si>
  <si>
    <t>Vulcan Energy Resources (Former)</t>
  </si>
  <si>
    <t>Holzwarth</t>
  </si>
  <si>
    <t>Beate</t>
  </si>
  <si>
    <t>Chief Communications Officer, Germany</t>
  </si>
  <si>
    <t>Ms. Beate Holzwarth served as Chief Communications Officer, Germany at Vulcan Energy Resources. Ms. Holzwarth has over 20 years' experience in various communication and marketing roles within Mercedes-Benz Cars and Daimler Trucks. As a direct report of the divisional Board of Mercedes-Benz Cars Operations, she was responsible for national and international ground-breaking events of new production sites with the involvement of state representatives and local politicians. She studied business administration, management and marketing in Ludwigshafen on the Rhine and communication strategies in Berlin.</t>
  </si>
  <si>
    <t>177965-29P</t>
  </si>
  <si>
    <t>Bill Roeschlein</t>
  </si>
  <si>
    <t>Tigo Energy</t>
  </si>
  <si>
    <t>Roeschlein</t>
  </si>
  <si>
    <t>Bill</t>
  </si>
  <si>
    <t>www.tigoenergy.com</t>
  </si>
  <si>
    <t>Chief Financial Officer, Finance &amp; Chief Accounting Officer, Accounting</t>
  </si>
  <si>
    <t>+1 (408) 402-0802</t>
  </si>
  <si>
    <t>bill.roeschlein@tigoenergy.com</t>
  </si>
  <si>
    <t>Campbell, CA</t>
  </si>
  <si>
    <t>655 Campbell Technology Parkway</t>
  </si>
  <si>
    <t>Suite 150</t>
  </si>
  <si>
    <t>Campbell</t>
  </si>
  <si>
    <t>95008</t>
  </si>
  <si>
    <t>Mr. Bill Roeschlein served as Chief Financial Officer at Perceptron. He serves as Chief Financial Officer at Tigo Energy. On January 7, 2020, Perceptron, Inc. announced that the Board of Directors of the Company appointed him as the Interim Vice President, Finance, and Chief Financial Officer of the Company, effective January 7, 2020. He will also serve as the principal financial officer and principal accounting officer of the Company. He ages 50 and served as the Chief Financial Officer and Principal Financial and Accounting Officer of Intermolecular, Inc. from April 2017 until December 2019. From August 2015 to April 2017, he served as Vice President of Finance of Intermolecular, Inc. where he was responsible for corporate accounting and financial planning. From January 2015 to July 2015 and from May 2010 to December 2012, he was an advisor for high technology companies, including Trident Microsystems, Inc. From January 2013 to December 2014, he served as Chief Financial Officer of Aurora Algae, Inc., a producer of algae-derived products for the nutrition and biofuel markets. From 2008 to 2010, he served as Chief Financial Officer for Power Integrations, Inc., a supplier of high-voltage analog semiconductors for power conversion. From 2006 to 2008, he served as Chief Financial Officer for Selectica, Inc., a provider of cloud-based software solutions. Prior to 2006, he served in various corporate controller and financial management roles at Ultra Clean Technology, Asyst Technologies, Hewlett-Packard, and Coopers &amp; Lybrand. He holds an MBA from Cornell University and a BA from the University of California, Los Angeles (UCLA).</t>
  </si>
  <si>
    <t>140312-71P</t>
  </si>
  <si>
    <t>Boris Dobrodeev</t>
  </si>
  <si>
    <t>Dobrodeev</t>
  </si>
  <si>
    <t>Boris</t>
  </si>
  <si>
    <t>+7 (8)965 355 5307</t>
  </si>
  <si>
    <t>10 Presnenskaya Naberezhnaya C 564</t>
  </si>
  <si>
    <t>123317</t>
  </si>
  <si>
    <t>Mr. Boris Dobrodeev serves as Chairman of AliExpress Russia JV. Mr. Boris Dobrodeev serves as Board Member &amp; Chief Executive Officer (Russia) at Mail.Ru Group. He serves as Chairman of the Board at O2O. He took the position of Mail.Ru Group's Director for Strategy and Development in November 2014, while retaining his position asthe CEO of VKontakte. In 2013 was appointed Deputy CEO of VKontakte, stepping up to CEO in September 2014. 2012 through 2014 he worked as the Head of the Internet Asset Management Department at USM Advisors. Boris worked as Analyst in Metalloinvest from 2006 to 2009, and occupied the position of a Business Development Director at an online video company Zoomby.ru 2009 through 2011. From 2011 to 2012 worked as an Investment Analyst in DST Advisors. Boris Dobrodeev graduated from Moscow State University, Russia, in 2007, with a degree in History, and holds the Master in International Business Degree obtained from Moscow State University Business School in 2009.</t>
  </si>
  <si>
    <t>176595-76P</t>
  </si>
  <si>
    <t>Boris Dobrodeyev</t>
  </si>
  <si>
    <t>Dobrodeyev</t>
  </si>
  <si>
    <t>Mr. Boris Dobrodeyev served as Chief Executive Officer at Mail.Ru Group.</t>
  </si>
  <si>
    <t>230464-09P</t>
  </si>
  <si>
    <t>Boris Nikiforov</t>
  </si>
  <si>
    <t>Nikiforov</t>
  </si>
  <si>
    <t>Deputy Vice President</t>
  </si>
  <si>
    <t>bnikiforov@corp.mail.ru</t>
  </si>
  <si>
    <t>Mr. Boris Nikiforov serves as Deputy Vice President at Mail.Ru Group. He graduated from Penza State University with a degree in Software engineering for computers and computer-based systems. In 2008, he joined the Mail.ru Group team as a Project Manager. Until 2012, he was working on the development of mobile messengers, afterwards he headed the creation and development of mobile apps, including Mail, News, BeepCar, Artisto, MyMail, Horoscopes and others. In 2015, he held the position of Mobile Technology Director. Since 2018, he has also been Vice President of Mail.ru Group.</t>
  </si>
  <si>
    <t>200437-48P</t>
  </si>
  <si>
    <t>Borja de la Cierva Álvarez de Sotomayor</t>
  </si>
  <si>
    <t>Álvarez de Sotomayor</t>
  </si>
  <si>
    <t>Borja de la Cierva</t>
  </si>
  <si>
    <t>Mr. Borja de la Cierva Álvarez de Sotomayor served as Chief Executive Officer at DIA Group. He is a graduate in Business Administration from Santiago de Compostela University. He also has a Master's degree in Business Administration from Vigo University and is a chartered accountant. His career has involved three main areas. He began in auditing, working as an auditor at Arthur Andersen for nine years. In 1995, he joined the General Finance Department of Inditex, S.A., where he had a successful career as the Group's Chief Financial Officer until 2006. Just after, he joined El Corte Inglés, S.A., where he was the Deputy Purchase Manager and, more recently, the Supply Chain Manager, until May 2016. He has also been involved significantly in education and research: he has taught at several universities in Spain and elsewhere and has been a member of the consulting team for the European Transparency Directive and of the accounting experts of the Spanish Commission to implement IFRS at public-sector companies. He has also been a member of the Board of Unirisco SCR, the first university venture capital company authorised by the CNMV (Securities Market Commission) in Spain. He is currently member of the Supervisory Board of UNINVEST, S.G.E.I.C, S.A.</t>
  </si>
  <si>
    <t>411686-02P</t>
  </si>
  <si>
    <t>Brandon Lewis</t>
  </si>
  <si>
    <t>Veon</t>
  </si>
  <si>
    <t>Lewis</t>
  </si>
  <si>
    <t>Brandon</t>
  </si>
  <si>
    <t>www.veon.com</t>
  </si>
  <si>
    <t>+971 (0)4 433 1145</t>
  </si>
  <si>
    <t>brandon.lewis@veon.com</t>
  </si>
  <si>
    <t>Dubai, United Arab Emirates</t>
  </si>
  <si>
    <t>Index Tower</t>
  </si>
  <si>
    <t>Happiness Street, Trade Centre, DIFC</t>
  </si>
  <si>
    <t>Dubai</t>
  </si>
  <si>
    <t>2GIS</t>
  </si>
  <si>
    <t>United Arab Emirates</t>
  </si>
  <si>
    <t>Mr. Brandon Lewis serves as a Board Member at Veon. He is an experienced policy professional with a background in both government affairs and public policy and is skilled in digital strategy development and public and private sector engagement and advocacy. He was a Member of Parliament for Great Yarmouth from 2010 until 2024. He served 10 years in the UK Government with 5.5 of those years in Cabinet in a range of roles: Lord Chancellor and Secretary of State for Justice, Ministry of Justice UK in 2022; Secretary of State, Northern Ireland Office from 2020 to 2022; Minister of State (National Security) and UK Home Office from 2019 to 2020; Cabinet Minister without Portfolio as well as Chairman of Conservative Party from 2018 to 2019. Between 2016 and 2018, Sir Lewis served the UK Home Office in consecutive roles as Minister of State for Policing &amp; the Fire Service, and then as Minister of State (Immigration &amp; International). Prior to that, he was Minister of State from 2014 to 2016 and Parliamentary Under Secretary of State for Communities and Local Government from 2012 to 2014 with Department for Communities and Local Government. Currently, he is a strategic advisor to each of LetterOne, Civitas Investment Management, FM Conway and Thakeham since 2023. He also serves as a non-executive director of Woodlands Schools since 2023, having also been a director there from 2001 to 2012. He holds a BSc (Econ) and an LLB, Law from the University of Buckingham, and an LLM, Law (Commercial) from King's College London. He is also a qualified a Barrister, Law from Inns of Court School of Law.</t>
  </si>
  <si>
    <t>461218-33P</t>
  </si>
  <si>
    <t>Brendan Brien</t>
  </si>
  <si>
    <t>Vulcan Two Group</t>
  </si>
  <si>
    <t>Brien</t>
  </si>
  <si>
    <t>Brendan</t>
  </si>
  <si>
    <t>www.vulcantwo.com</t>
  </si>
  <si>
    <t>Chief Operating Officer</t>
  </si>
  <si>
    <t>201 Temple Chambers</t>
  </si>
  <si>
    <t>3-7 Temple Avenue</t>
  </si>
  <si>
    <t>EC4Y 0DT</t>
  </si>
  <si>
    <t>Mr. Brendan Brien serves as Chief Operating Officer at Vulcan Two Group.</t>
  </si>
  <si>
    <t>138846-16P</t>
  </si>
  <si>
    <t>Brian Bachman</t>
  </si>
  <si>
    <t>Kulicke and Soffa Industries (Former)</t>
  </si>
  <si>
    <t>Bachman</t>
  </si>
  <si>
    <t>Brian</t>
  </si>
  <si>
    <t>www.kns.com</t>
  </si>
  <si>
    <t>Mr. Bachman is a private investor. From 2000 to 2002, Mr. Bachman served as Chief Executive Officer and Vice Chairman of Axcelis Technologies, Inc., which produces equipment used in the fabrication of semiconductors. Mr. Bachman previously served as Senior Vice President and Group Executive at Eaton Corporation from 1995 to 2000. Mr. Bachman served as Vice President and Business Group General Manager at Philips Semiconductor from October 1991 to 1995. Earlier in his career he held positions at General Electric and FMC. Mr. Bachman formerly served as a director of Trident Microsystems Inc. from 2009 to 2014, Ultra Clean Technologies from 2004 to 2009, and Keithley Instruments, Inc. from 1996 to 2010.</t>
  </si>
  <si>
    <t>60821-74P</t>
  </si>
  <si>
    <t>Brian Corvese</t>
  </si>
  <si>
    <t>Agenus</t>
  </si>
  <si>
    <t>Corvese</t>
  </si>
  <si>
    <t>www.agenusbio.com</t>
  </si>
  <si>
    <t>Board Member, Chairperson of Executive Committee and Member of Compensation Committee and Corporate Governance and Nominating Committee</t>
  </si>
  <si>
    <t>+1 (781) 674-4400</t>
  </si>
  <si>
    <t>Lexington, MA</t>
  </si>
  <si>
    <t>3 Forbes Road</t>
  </si>
  <si>
    <t>Lexington</t>
  </si>
  <si>
    <t>02421-7305</t>
  </si>
  <si>
    <t>+1 (781) 674-4200</t>
  </si>
  <si>
    <t>Mr. Brian Corvese serves as a Board Member, Chairperson of Executive Committee and Member of Compensation Committee and Corporate Governance and Nominating Committee at Agenus. Mr. Corvese co-founded and served as President at Vencore Capital. He also serves as a Director at Agenus. Mr. Brian serves as Board Member at National Telecommunications Company. Prior to working at Vencor, Mr. Corvese worked on investments in the U.S. and global equity markets as a Managing Director and partner at Soros Fund Management, the largest hedge fund in the world at the time. From 1988 to 1996, Mr. Corvese was a partner at Chancellor Capital Management ("Chancellor"), a $25 billion money management firm. While at Chancellor, Mr. Corvese was a Portfolio Manager with responsibility for investments made in basic industries, restructurings, and special situations, corporate governance investments, as well as founded and managed his own hedge fund. From 1981 to 1988, Mr. Corvese was with Drexel Burnham Lambert ("Drexel") as an equity analyst following the chemical and specialty chemical industries and participated in a significant number of AnchorAnchormerger and acquisition activities. While at Drexel, Mr. Corvese was a member of the top chemical and specialty chemical research team, as ranked by Institutional Investor. Mr. Corvese earned degrees in finance and political science from The University of Rhode Island and attended New York University Graduate School. With over 30 years of experience in the financial industry, Mr. Corvese brings substantial financial expertise to our Board.</t>
  </si>
  <si>
    <t>32349-61P</t>
  </si>
  <si>
    <t>Brian Mattingley</t>
  </si>
  <si>
    <t>Mattingley</t>
  </si>
  <si>
    <t>brian.mattingley@playtech.com</t>
  </si>
  <si>
    <t>Slough, United Kingdom</t>
  </si>
  <si>
    <t>Slough</t>
  </si>
  <si>
    <t>Mr. Brian Mattingley serves as Chairman &amp; Board Member at Playtech. Mr. Mattingley is an Angel Investor. He brings considerable PLC Board experience to the role, as well as his extensive experience in the gambling and leisure industries. Brian first joined 888 Holdings in 2005 as a Non-Executive Director, before being appointed CEO in March 2012, and has been Non-Executive Chairman since March 2016. Prior to 888, Brian was CEO of Gala Regional Developments, and held senior roles with Gala Group, Ritz Bingo, Kingfisher Plc and Dee Corporation Plc.</t>
  </si>
  <si>
    <t>228932-83P</t>
  </si>
  <si>
    <t>Brian Moore</t>
  </si>
  <si>
    <t>Playtech</t>
  </si>
  <si>
    <t>Moore</t>
  </si>
  <si>
    <t>Secretary</t>
  </si>
  <si>
    <t>brian.moore@playtech.com</t>
  </si>
  <si>
    <t>Douglas, United Kingdom</t>
  </si>
  <si>
    <t>Ground Floor, Saint George's Court</t>
  </si>
  <si>
    <t>Upper Church Street</t>
  </si>
  <si>
    <t>Douglas</t>
  </si>
  <si>
    <t>IM1 1EE</t>
  </si>
  <si>
    <t>Mr. Brian Moore serves as Secretary at Playtech.</t>
  </si>
  <si>
    <t>360768-88P</t>
  </si>
  <si>
    <t>Bronwyn Brophy</t>
  </si>
  <si>
    <t>Vitrolife</t>
  </si>
  <si>
    <t>Brophy</t>
  </si>
  <si>
    <t>Bronwyn</t>
  </si>
  <si>
    <t>www.vitrolifegroup.com</t>
  </si>
  <si>
    <t>Chief Executive Officer &amp; President</t>
  </si>
  <si>
    <t>+46 (0)31 721 80 00</t>
  </si>
  <si>
    <t>Gothenburg, Sweden</t>
  </si>
  <si>
    <t>Gustaf Werners gata 2, 421 32 Västra Frölunda</t>
  </si>
  <si>
    <t>PO Box 9080</t>
  </si>
  <si>
    <t>Gothenburg</t>
  </si>
  <si>
    <t>400 92</t>
  </si>
  <si>
    <t>Sweden</t>
  </si>
  <si>
    <t>+46 (0)31 721 80 99</t>
  </si>
  <si>
    <t>Ms. Bronwyn Brophy serves as Chief Executive Officer at Vitrolife. She is the Global President of Immunodiagnostics, Thermo Fisher Scientific, Vice Chair of Medtech Europe, member of the OMC (Operations Management Committee), and, President of Thermo Fisher Scientific, EMEA, and President of Women's Health at Medtronic. He holds a BA in International Business &amp; Languages (French and Spanish) and an MBA from Dublin City University.</t>
  </si>
  <si>
    <t>272858-59P</t>
  </si>
  <si>
    <t>Bruce Pachkowski</t>
  </si>
  <si>
    <t>Total Energy Services</t>
  </si>
  <si>
    <t>Pachkowski</t>
  </si>
  <si>
    <t>Bruce</t>
  </si>
  <si>
    <t>Chairman</t>
  </si>
  <si>
    <t>+1 (403) 216-3939</t>
  </si>
  <si>
    <t>Calgary, Canada</t>
  </si>
  <si>
    <t>734 - 7th Avenue South West</t>
  </si>
  <si>
    <t>Calgary</t>
  </si>
  <si>
    <t>Alberta</t>
  </si>
  <si>
    <t>T2P 3P8</t>
  </si>
  <si>
    <t>Canada</t>
  </si>
  <si>
    <t>+1 (403) 234-8731</t>
  </si>
  <si>
    <t>Mr. Bruce Pachkowski serves as Chairman at Total Energy Services. Mr. Pachkowski is a principal of Trident Capital Partners LP, a management and investment limited partnership and was formerly a partner with Peat Marwick Thorne (now KPMG LLP). Mr. Pachkowski received a Bachelor of Commerce degree from the University of Calgary in 1977 and has been a Chartered Accountant since 1980 and a Chartered Business Valuator since 1990. Mr. Pachkowski is a member of the Institute of Corporate Directors, having completed the Directors Education Program and was awarded the Institute of Corporate Directors designation in 2012.</t>
  </si>
  <si>
    <t>248849-83P</t>
  </si>
  <si>
    <t>Bryan Murphy</t>
  </si>
  <si>
    <t>Greenlight Capital Re</t>
  </si>
  <si>
    <t>Murphy</t>
  </si>
  <si>
    <t>Bryan</t>
  </si>
  <si>
    <t>www.greenlightre.com</t>
  </si>
  <si>
    <t>+1 (205) 291-3440</t>
  </si>
  <si>
    <t>Grand Cayman, Cayman Islands</t>
  </si>
  <si>
    <t>65 Market Street, Suite 1207, Jasmine Court, Camana Bay</t>
  </si>
  <si>
    <t>PO Box 31110</t>
  </si>
  <si>
    <t>Grand Cayman</t>
  </si>
  <si>
    <t>KY1-1205</t>
  </si>
  <si>
    <t>Cayman Islands</t>
  </si>
  <si>
    <t>+1 (345) 745-4576</t>
  </si>
  <si>
    <t>Mr. Bryan Murphy serves as Board Member, Chairman of of Underwriting Committee &amp; Member of Audit &amp; Compensation Committee at Greenlight Capital Re. From 1996 until his retirement in December 2007, Mr. Murphy served as a founding director and chief executive officer of Island Heritage Holdings Ltd., a Cayman Islands based property, liability and automobile insurer. Prior to Island Heritage, Mr. Murphy acted as a consultant to Trident Partnership from 1994 to 1996 and was employed by International Risk Management Group from 1978 to 1994. Mr. Murphy has over 30 years experience in the insurance business and has held senior positions in several countries, including the Cayman Islands, Ireland, Ethiopia and Saudi Arabia. Until December 2007, Mr. Murphy served on the board of directors of AZ Reinsurance Limited, a wholly owned subsidiary of Astra-Zeneca PLC and a captive insurer of the group's property and liability insurance business. In addition, until December 2008, Mr. Murphy served on the board of directors of ICHEM Reinsurance Limited, a wholly owned subsidiary of ICI PLC and a captive insurer for the group's property and liability insurance business. In 2014, Mr. Murphy joined the board of directors of Bahamas First General Insurance Co., a company that provides general insurance coverage in the Bahamas. Also in 2014, Mr. Murphy joined the board of directors of Colliers Bay Insurance Limited, a wholly owned subsidiary of Schlumberger Limited and a captive insurer based in the Cayman Islands. Mr. Murphy holds a degree in Economics and Mathematics from University College, Dublin, Ireland.</t>
  </si>
  <si>
    <t>116450-29P</t>
  </si>
  <si>
    <t>Burckhard Bergmann Ph.D</t>
  </si>
  <si>
    <t>Bergmann</t>
  </si>
  <si>
    <t>Burckhard</t>
  </si>
  <si>
    <t>Chairman of Strategy Committee, Member of Remuneration, Nomination &amp; Audit Committee</t>
  </si>
  <si>
    <t>Dr. Burckhard Bergmann serves as Chairman of Strategy Committee, Member of Remuneration, Nomination &amp; Audit Committee at NOVATEK (Russia). Dr. Bergmann studied physics at the Freiburg and Aachen Universities. In 1970 he was awarded a Doctorate in Engineering by Aachen University of Technology. From 1968 to 1969, Dr. Bergmann worked at the German Federal Ministry for Research and Technology and from 1969 to 1972 - at the Jülich Nuclear Research Center. In 1972, Dr. Bergmann joined Ruhrgas AG (from 1 July 2004 - E.ON Ruhrgas AG), heading the LNG Purchasing Department. In 1978, he became Head of the Gas Purchasing Division responsible for gas purchasing, commercial aspects of gas transmission and storage. In 1980, he was elected as a member of the Management Board of E.ON Ruhrgas AG, serving from June 1996 as its Vice-Chairman, and from June 2001 to February 2008 as its Chairman. From March 2003 to February 2008 he was also a member of the Management Board of E.ON AG. Dr. Bergmann is also a member of the Board of Directors (Supervisory Board) of: Allianz Lebensversicherungs AG (till 2013), Commerzbank AG (till 2013), Contilia GmbH, Telenor ASA. In addition, he is a member of the Advisory Boards for Dana Gas International, IVG Immobilien AG. He has been elected as Chairman of the Advisory Board of Jaeger Beteiligungsgesellschaft mbH &amp; Co KG, Vice Chairman of the Advisory Board of Accumulatorenwerke Hoppecke GmbH and is elected a member of the Board of Trustees of RAG AG. Dr. Bergmann holds the following distinctions: Commander of the Royal Norwegian Order of Merit (1997); Honorary Consul of the Russian Federation in the State of North Rhine-Westphalia, a Foreign Member of the Academy of Technological Sciences of the Russian Federation (2003); Order of Merit of the State of North Rhine-Westphalia (2004) as well as a winner of Director of the Year, Moscow (2007); Officer's Cross of the Order of Merit of the Federal Republic of Germany (2008). In June 2011, by means of presidential Decree he became a recipient of the Order of the Friendship of Peoples award for significant contribution in development of the Russian-German relations.</t>
  </si>
  <si>
    <t>79684-93P</t>
  </si>
  <si>
    <t>C. Wes Burton Jr.</t>
  </si>
  <si>
    <t>Vulcan Materials</t>
  </si>
  <si>
    <t>Burton</t>
  </si>
  <si>
    <t>C. Wes</t>
  </si>
  <si>
    <t>Vice President &amp; Treasurer</t>
  </si>
  <si>
    <t>+1 (205) 298-3000</t>
  </si>
  <si>
    <t>burtonw@vmcmail.com</t>
  </si>
  <si>
    <t>Birmingham, AL</t>
  </si>
  <si>
    <t>1200 Urban Center Drive</t>
  </si>
  <si>
    <t>Birmingham</t>
  </si>
  <si>
    <t>Alabama</t>
  </si>
  <si>
    <t>35242</t>
  </si>
  <si>
    <t>Mr. C. Wes Burton serves as a Vice President &amp; Treasurer at Vulcan Materials Company. He was most recently a management consultant with the Enterprise Performance Management Strategy practice group of Accenture, managing director for Marsh USA, Inc., and senior vice president and treasurer at Saks Incorporated. He began his career with fourteen years of corporate finance experience at two different banks, covering the building products, business services, and retail industry sectors. He earned a B.S. degree in management (business/finance) from Georgia Tech.</t>
  </si>
  <si>
    <t>90071-65P</t>
  </si>
  <si>
    <t>Caitlin Holcomb</t>
  </si>
  <si>
    <t>GameStop (Former)</t>
  </si>
  <si>
    <t>Holcomb</t>
  </si>
  <si>
    <t>Caitlin</t>
  </si>
  <si>
    <t>www.gamestop.com</t>
  </si>
  <si>
    <t>Senior Financial and Operational Analyst</t>
  </si>
  <si>
    <t>Ms. Caitlin Holcomb served as a Senior Financial and Operational Analyst at Gamestop. Previously, she served as an Investment Banking Analyst at Stephens Inc. She serves as a Finance and Corporate Development Manager at Provista.</t>
  </si>
  <si>
    <t>68239-90P</t>
  </si>
  <si>
    <t>Carl Markert</t>
  </si>
  <si>
    <t>NuScale Power (Former)</t>
  </si>
  <si>
    <t>Markert</t>
  </si>
  <si>
    <t>Carl</t>
  </si>
  <si>
    <t>www.nuscalepower.com</t>
  </si>
  <si>
    <t>Vice President, Operations &amp; Engineering</t>
  </si>
  <si>
    <t>Mr. Carl Markert served as Vice President, Operations &amp; Engineering at NuScale Power. He leads the design engineering of NuScale's passively cooled small modular reactor (SMR) and related systems and oversees development of engineering infrastructure, processes and functions. He also defines the plant's operational and maintenance requirements to ensure the NuScale plant can be operated in a safe and efficient manner. Markert brings NuScale over 30 years of experience in the nuclear industry with an extensive background in operations, maintenance, engineering, construction, startup, training and safety. Markert joined NuScale from LES, Urenco USA, where he was the Operations Manager and Plant Engineering Manager. As the Operations Manager, he established the operations organization and led operations through initial training, certification, plant startup, and operation of the uranium enrichment facility. As the Engineering Manager, he managed systems engineering, design engineering, criticality safety engineering, and integrated safety analysis. Prior to LES, Markert worked for the Nebraska Public Power District where he received a senior reactor operator license and held management positions in the engineering and maintenance departments. Markert began his career in the US Navy as a nuclear submarine officer. He was part of the construction, commissioning, and startup crew for a fast attack nuclear submarine and later served as the Engineering Officer on a trident ballistic missile submarine. After leaving the navy, he worked as a consultant to several nuclear plants in the engineering and maintenance areas. A graduate from Texas A&amp;M University with B.S. in Nuclear Engineering, Markert also holds an M.B.A from the Mays Business School at Texas A&amp;M.</t>
  </si>
  <si>
    <t>65550-25P</t>
  </si>
  <si>
    <t>Carl Stadelhofer</t>
  </si>
  <si>
    <t>OC Oerlikon (Former)</t>
  </si>
  <si>
    <t>Stadelhofer</t>
  </si>
  <si>
    <t>Mr. Stadelhofer served as the Board Member at OC Oerlikon. Carl Stadelhofer was elected to the Board of Directors at the 2008 Annual General Meeting. Since 2004, he has been Chief Legal Counsel of Renova Group, based in Switzerland. Since 1990, he has been a Senior Partner and since 2011 a Senior Counsel of Klein Attorneys (formerly RKS Rinderknecht Klein &amp; Stadelhofer) in Zurich, Switzerland, specializing in banking and finance law, as well as the resource and commodity business, including M&amp;A. Carl Stadelhofer is admitted to the Bar of the Canton of Zurich, Switzerland. He graduated from the University of Bern, Switzerland, with a degree in Law.</t>
  </si>
  <si>
    <t>145892-53P</t>
  </si>
  <si>
    <t>Carmine Farina</t>
  </si>
  <si>
    <t>Edison (Former)</t>
  </si>
  <si>
    <t>Farina</t>
  </si>
  <si>
    <t>Carmine</t>
  </si>
  <si>
    <t>www.edison.it</t>
  </si>
  <si>
    <t>Senior Vice President - Head, Mergers &amp; Acquisitions</t>
  </si>
  <si>
    <t>Ms. Carmine Farina served as Senior Vice President - Head, Mergers &amp; Acquisitions at Edison (Gas). Previously, she served as an Executive Mergers and Acquisitions at ERG SpA.</t>
  </si>
  <si>
    <t>424397-17P</t>
  </si>
  <si>
    <t>Carsten Bachg</t>
  </si>
  <si>
    <t>Bachg</t>
  </si>
  <si>
    <t>Carsten</t>
  </si>
  <si>
    <t>Chief Operating Officer &amp; Managing Director</t>
  </si>
  <si>
    <t>cbachg@v-er.eu</t>
  </si>
  <si>
    <t>Mr. Carsten Bachg serves as Chief Operating Officer and Managing Director at Vulcan Energy Resources. Mr. Bachg has more than 25 years of global project management experience in capital projects in the petrochemical and chemical industry for Engineering contractors like Jacobs and Worley. Mr. Bachg managed the supply chain of one of the largest European IT companies and helped to develop Jacob's organization from scratch to approximately 350 people.</t>
  </si>
  <si>
    <t>217766-80P</t>
  </si>
  <si>
    <t>Changxian Beijing</t>
  </si>
  <si>
    <t>Ares Strategic Mining</t>
  </si>
  <si>
    <t>Beijing</t>
  </si>
  <si>
    <t>Changxian</t>
  </si>
  <si>
    <t>www.aresmining.com</t>
  </si>
  <si>
    <t>+1 (604) 345-1576</t>
  </si>
  <si>
    <t>Vancouver, Canada</t>
  </si>
  <si>
    <t>409 Granville Street</t>
  </si>
  <si>
    <t>Suite 1001</t>
  </si>
  <si>
    <t>Vancouver</t>
  </si>
  <si>
    <t>British Columbia</t>
  </si>
  <si>
    <t>V6C 1T2</t>
  </si>
  <si>
    <t>Mr. Changxian Beijing serves as Board Member at Ares Strategic Mining. He has over 30 years experience in trading between China and the rest of the world. As a manager of Mitsubishi Corporation in China, he was responsible for their iron ore trading operations. After this, he established a resources trading investment and company, Normet Industries Limited, which primarily invested in and traded iron ore and steel products between China and the United States, Canada and Australia. He currently is the founder and partner of OMC Investments Limited, which primarily focus on new resource supply for fast growing China market.</t>
  </si>
  <si>
    <t>439422-67P</t>
  </si>
  <si>
    <t>Chantelle Collins</t>
  </si>
  <si>
    <t>Trident Resources</t>
  </si>
  <si>
    <t>Collins</t>
  </si>
  <si>
    <t>Chantelle</t>
  </si>
  <si>
    <t>www.tridentresourcescorp.com</t>
  </si>
  <si>
    <t>+1 (647) 203-9190</t>
  </si>
  <si>
    <t>505 Burrard Street</t>
  </si>
  <si>
    <t>Suite 1030</t>
  </si>
  <si>
    <t>V7X 1M5</t>
  </si>
  <si>
    <t>Ms. Chantelle Collins serves as Chief Financial Officer at Trident Resources. He holds a Bachelor's degree in Accounting and is a member of the Chartered Professional Accountants Association of BC (CPA, CGA). She has over 17 years' experience working in the public sector and is well-versed in the financial reporting requirements of public companies, and serves as an officer in two other public companies.</t>
  </si>
  <si>
    <t>460527-49P</t>
  </si>
  <si>
    <t>Charles Leykum</t>
  </si>
  <si>
    <t>Talon Capital (SPAC)</t>
  </si>
  <si>
    <t>Leykum</t>
  </si>
  <si>
    <t>Charles</t>
  </si>
  <si>
    <t>Chief Executive Officer &amp; Chairman</t>
  </si>
  <si>
    <t>+1 (281) 407-0686</t>
  </si>
  <si>
    <t>440 Louisiana Street</t>
  </si>
  <si>
    <t>Suite 1050</t>
  </si>
  <si>
    <t>Mr. Charles Leykum serves as Chief Executive Officer &amp; Chairman at Talon Capital (SPAC). Mr. Leykum founded CSL, an energy services-focused private equity firm in 2008, specializing in energy services, power, and infrastructure companies. Prior to founding CSL, Mr. Leykum was a Portfolio Manager at Soros Fund Management LLC, where he oversaw investments in the energy sector. Before his time at Soros, he worked in the Principal Investment Area and the Investment Banking Division of Goldman Sachs &amp; Co. LLC. From January 2021 to the present, Mr. Leykum also serves as Founder and Chairman of RNWBL, LLC, a leading independent provider of renewable services focusing on wind and solar power, and has served on the board of directors of Ranger Energy Services, Inc. (NYSE: "RNGR") from August 2017 to November 2024. Mr. Leykum was also a co-founder and sponsor, and served as a director, of Sentinel from June 2017 to December 2023. Mr. Leykum graduated with a Bachelor of Arts in Economics from Columbia University and a Master of Business Administration from Harvard Business School.</t>
  </si>
  <si>
    <t>70215-40P</t>
  </si>
  <si>
    <t>Charles Searle</t>
  </si>
  <si>
    <t>Tencent Holdings</t>
  </si>
  <si>
    <t>Searle</t>
  </si>
  <si>
    <t>www.tencent.com</t>
  </si>
  <si>
    <t>+1 (650) 798-3300</t>
  </si>
  <si>
    <t>Palo Alto, CA</t>
  </si>
  <si>
    <t>2747 Park Boulevard</t>
  </si>
  <si>
    <t>Palo Alto</t>
  </si>
  <si>
    <t>94306</t>
  </si>
  <si>
    <t>Mr. Charles Searle serves as Board Member at Tencent Holdings. Mr Searle is currently the Chief Executive Officer of Naspers Internet Listed Assets. He serves on the board of a number of companies associated with the Naspers Group, including Mail.ru Group Limited that is listed on the London Stock Exchange. Mr Searle was a director of MakeMyTrip Limited that is listed on NASDAQ up to 30 August 2019. Prior to joining the Naspers Group, he held positions at Cable &amp; Wireless plc and at Deloitte &amp; Touche in London and Sydney. Mr Searle is a graduate of the University of Cape Town and a member of the Institute of Chartered Accountants in Australia and New Zealand. Mr Searle has more than 27 years of international experience in the telecommunications and Internet industries. Mr Searle also serves as a director of certain subsidiaries of the Company.</t>
  </si>
  <si>
    <t>301651-84P</t>
  </si>
  <si>
    <t>Charles Xuereb</t>
  </si>
  <si>
    <t>Xuereb</t>
  </si>
  <si>
    <t>+356 2381 4158</t>
  </si>
  <si>
    <t>charles.xuereb@tridentestatesplc.com</t>
  </si>
  <si>
    <t>Mr. Charles Xuereb serves as Chief Executive Officer at Trident Estates. After graduating with a Bachelor of Arts Honours degree in Accountancy from the University of Malta in 1991, Mr Xuereb started off his professional career with PricewaterhouseCoopers as an auditor. He joined the SFC Group in 1995 as Chief Accountant of Food Chain Limited, a subgroup operating franchised foods outlets. Subsequently, he was appointed SFC Group Financial Services Manager and in 2004, following the acquisition of the food importation arm, Quintano Foods Limited, he was assigned the key task of integrating the newly acquired company's finance systems within the SFC Group. During his tenure at Quintano Foods Limited., he held the position of Financial Controller in addition to the overall responsibility of the finance function of Food Chain Limited. Between 2005 and August 2017, Mr Xuereb served as the Chief Financial Officer of the SFC Group being responsible for the SFC Group's overall financial management, direction and governance as well as the SFC Group's Credit Control, Information Technology and Business Services. He was a member of the SFC Group Executive Board and sat on the board of ten companies within the SFC Group, including Trident. Mr Xuereb is a Certified Public Accountant, a Fellow of the Malta Institute of Accountants, a member of the Malta Institute of Management and was elected President of the Malta Association of Credit Management in 2013, a position he still holds to date.</t>
  </si>
  <si>
    <t>55118-26P</t>
  </si>
  <si>
    <t>Cheng-Tie Chen Ph.D</t>
  </si>
  <si>
    <t>Montage Technology (Former)</t>
  </si>
  <si>
    <t>Chen</t>
  </si>
  <si>
    <t>Cheng-Tie</t>
  </si>
  <si>
    <t>www.montage-tech.com</t>
  </si>
  <si>
    <t>Vice President, Engineering (SoC Products)</t>
  </si>
  <si>
    <t>Dr. Cheng-Tie Chen served as Vice President, Engineering (SoC Products) at Montage Technology. He joined in March 2011. Dr. Chen has more than 25 years of industrial research and development experience in digital integrated circuit development and video applications. Prior to joining us, Dr. Chen was a Vice President of Engineering at Trident Microsystems, Inc., a DTV chips manufacturer, from July 2006 to February 2011, responsible for digital TV integrated circuit development. Prior to Trident, Dr. Chen was a Vice President of Engineering at Magnum Semiconductor Inc., a provider of silicon, modules, software and IP for the professional broadcast infrastructure market, from 2005 to 2006 and Cirrus Logic, Inc., an analog and mixed-signal integrated circuit supplier, from 2001 to 2005. In 1996, Dr. Chen joined Stream Machine Company (which was acquired by Cirrus Logic), a supplier of MPEG-2 video recording technology, as Technology Founder and VP of Engineering. Dr. Chen also held various research and engineering positions at Eastman Kodak Research Laboratories, an industrial research organization, from 1984 to 1987 and Bell Communications Research, from 1987 to 1996. Dr. Chen received his master's and Ph.D. degrees in Electrical Engineering from University of Pennsylvania, and bachelor's degree in Electrical Engineering from National Taiwan University.</t>
  </si>
  <si>
    <t>312168-43P</t>
  </si>
  <si>
    <t>Chi Tung Liu</t>
  </si>
  <si>
    <t>Novatek Microelectronics</t>
  </si>
  <si>
    <t>Liu</t>
  </si>
  <si>
    <t>Chi Tung</t>
  </si>
  <si>
    <t>www.novatek.com.tw</t>
  </si>
  <si>
    <t>Director</t>
  </si>
  <si>
    <t>+886 (0)3 5670889</t>
  </si>
  <si>
    <t>Hsinchu, Taiwan</t>
  </si>
  <si>
    <t>2F, No. 13, Innovation Rd I</t>
  </si>
  <si>
    <t>Hsinchu Science Park</t>
  </si>
  <si>
    <t>Hsinchu</t>
  </si>
  <si>
    <t>300-76</t>
  </si>
  <si>
    <t>Taiwan</t>
  </si>
  <si>
    <t>+886 (0)3 5770132</t>
  </si>
  <si>
    <t>Mr. Chi Tung Liu serves as Director at Novatek Microelectronics. Microelectronics. Currently, Chi Tung Liu is CFO, Senior VP &amp; Head-Corporate Governance at United Microelectronics Corp. Mr. Liu is also on the board of 16 other companies. Mr. Liu previously occupied the position of Managing Director at Unique Beijing Solutions and Corporate Auditor at UMC Japan. He received an MBA from National Taiwan University and an MBA from the University of Michigan.</t>
  </si>
  <si>
    <t>284509-81P</t>
  </si>
  <si>
    <t>Chi-Tung Liu</t>
  </si>
  <si>
    <t>United Microelectronics</t>
  </si>
  <si>
    <t>Chi-Tung</t>
  </si>
  <si>
    <t>www.umc.com</t>
  </si>
  <si>
    <t>+886 (0)22 6589168</t>
  </si>
  <si>
    <t>chitung_liu@umc.com</t>
  </si>
  <si>
    <t>No. 3, Li-Hsin 2nd Road</t>
  </si>
  <si>
    <t>300-78</t>
  </si>
  <si>
    <t>+886 (0)3 5779392</t>
  </si>
  <si>
    <t>Mr. Chi-Tung Liu serves as Chief Financial Officer at United Microelectronics Corporation. On March 6, 2019, Mr. Chitung Liu was appointed as our Head of Corporate Governance. Prior to joining our company in 2001, Mr. Liu was a managing director of UBS. Mr. Liu served as Director at Unimicron Technology Corp. Mr. Liu is a director of Fortune Venture Capital Corp., TLC Capital Co., Ltd., Novatek Microelectronic Corp., Hejian Technology (Suzhou) Co., Ltd., UMC Group (USA), Green Earth Limited, ECP Vita Pte. Ltd., Omni Global Limited, UMC Capital Corp., United Microchip Corporation, Sino Paragon Limited and United Semiconductor Japan Co., Ltd. Mr. Liu received an executive MBA degree from National Taiwan University in 2009.</t>
  </si>
  <si>
    <t>263595-16P</t>
  </si>
  <si>
    <t>Chris McGinnis</t>
  </si>
  <si>
    <t>McGinnis</t>
  </si>
  <si>
    <t>Chris</t>
  </si>
  <si>
    <t>+44 (0)16 2464 5954</t>
  </si>
  <si>
    <t>chris.mcginnis@playtech.com</t>
  </si>
  <si>
    <t>Mr. Chris McGinnis serves as Director, Investor Relations &amp; Strategic Analysis at Playtech.</t>
  </si>
  <si>
    <t>277549-03P</t>
  </si>
  <si>
    <t>Chris Siu</t>
  </si>
  <si>
    <t>Aehr Test Systems</t>
  </si>
  <si>
    <t>Siu</t>
  </si>
  <si>
    <t>www.aehr.com</t>
  </si>
  <si>
    <t>Chief Financial Officer &amp; Executive Vice President of Finance</t>
  </si>
  <si>
    <t>+1 (510) 623-9400</t>
  </si>
  <si>
    <t>csiu@aehr.com</t>
  </si>
  <si>
    <t>Fremont, CA</t>
  </si>
  <si>
    <t>400 Kato Terrace</t>
  </si>
  <si>
    <t>Fremont</t>
  </si>
  <si>
    <t>94539</t>
  </si>
  <si>
    <t>+1 (510) 623-9450</t>
  </si>
  <si>
    <t>Mr. Chris Sui serves as Chief Financial Officer &amp; Executive Vice President of Finance at Aehr Test Systems. Mr. Siu serves as Chief Accounting Officer &amp; Senior Vice President at Ultra Clean Holdings. Mr. Siu served as Vice President of Finance at PDF Solutions, Inc., a provider of differentiated data and analytics solutions to the semiconductor industry, since October 2018. Prior to PDF Solutions, Mr. Siu served at GLOBALFOUNDRIES, Inc., a foundry for the semiconductor industry, as its Corporate Controller from June 2014 to October 2018, and in other executive roles from November 2010 to June 2014. Prior to that, Mr. Siu served at Trident Microsystems, Inc. a provider of high-performance multimedia semiconductor solutions, as its Chief Accounting Officer and Director of Finance from February 2007 to November 2010. Prior to Trident Microsystems, Mr. Siu served at Varian Medial Systems, Inc., a manufacturer of medical devices for the treatment of cancer, in different finance management roles from June 2004 to February 2007. Prior to that, he worked for Deloitte &amp; Touche from 2001 to 2004 and for Ernst &amp; Young from 1996 to 2001. Mr. Siu holds a Bachelor of Science degree in Accounting from Brigham Young University in Hawaii and a Master of Business Administration degree from the University of California at Berkeley. Mr. Siu is a Certified Public Accountant (inactive) in California.</t>
  </si>
  <si>
    <t>424861-39P</t>
  </si>
  <si>
    <t>Christian Freitag</t>
  </si>
  <si>
    <t>Freitag</t>
  </si>
  <si>
    <t>Christian</t>
  </si>
  <si>
    <t>Chief Commercial Officer</t>
  </si>
  <si>
    <t>cfreitag@v-er.eu</t>
  </si>
  <si>
    <t>Mr. Christian Freitag serves as Chief Commercial Officer at Vulcan Energy Resources. Mr Freitag brings 20 years of global experience from the chemicals, oil &amp; gas and battery materials industry. All his jobs revolved around preparing and delivering large industrial investment projects in various functions. He joined Vulcan from BASF where he was the Vice President for Battery Materials Investment Projects, being responsible for the engineering and execution of a portfolio of several projects around the world for Cathode Active Material (CAM) and Battery Materials Recycling plants.</t>
  </si>
  <si>
    <t>291868-30P</t>
  </si>
  <si>
    <t>Christian Laroche</t>
  </si>
  <si>
    <t>Falco Resources (Former)</t>
  </si>
  <si>
    <t>Laroche</t>
  </si>
  <si>
    <t>www.falcores.com</t>
  </si>
  <si>
    <t>claroche@falcores.com</t>
  </si>
  <si>
    <t>Mr. Christian Laroche serves as Vice President, Metallurgy at Falco Resources. Prior to joining OMC in 2009, Mr. Laroche spent nine years at BBA Inc. and participated as Project Manager on the Canadian Malartic Mine. Mr. Laroche was site support engineer for the construction and commissioning of the Canadian Malartic Mine. Upon the sale of OMC, Mr. Laroche transitioned with Yamana Gold for one year, where he served as Director Metallurgy. Mr. Laroche joined Osisko as Director Metallurgy in 2015.</t>
  </si>
  <si>
    <t>301652-47P</t>
  </si>
  <si>
    <t>Christopher Ciantar Ph.D</t>
  </si>
  <si>
    <t>Ciantar</t>
  </si>
  <si>
    <t>Christopher</t>
  </si>
  <si>
    <t>christopher.ciantar@tridentestatesplc.com</t>
  </si>
  <si>
    <t>Dr. Christopher Ciantar serves as Chief Operating Officer at Trident Estates. Dr. Ciantar is a PhD graduate in engineering from Bournemouth University after having been awarded a UK Engineering and Physical Sciences Research Council (EPSRC) scholarship in 1997. Dr Ciantar has published a number of reviewed journal papers relevant to his research which focuses on environmental life cycle assessment of products and processes. He is also an MSc graduate in building services engineering from Brunel University and graduated as a Mechanical Engineer from the University of Malta in 1994. Dr Ciantar has over 15 years experience in the public sector from which he gained experience in policy making. He has had direct personal involvement in various projects involving clean technologies as well as energy and water conservation. Dr Ciantar, who has been engaged by the Company since 2014, also chairs the Executive Committee of the Mrieħel Enterprise Zone Foundation which is a public private partnership initiative for the improvement of Mrieħel.</t>
  </si>
  <si>
    <t>165636-28P</t>
  </si>
  <si>
    <t>Christopher Marshall</t>
  </si>
  <si>
    <t>Payoneer</t>
  </si>
  <si>
    <t>Marshall</t>
  </si>
  <si>
    <t>www.payoneer.com</t>
  </si>
  <si>
    <t>+1 (800) 251-2521</t>
  </si>
  <si>
    <t>New York, NY</t>
  </si>
  <si>
    <t>195 Broadway</t>
  </si>
  <si>
    <t>New York</t>
  </si>
  <si>
    <t>10007</t>
  </si>
  <si>
    <t>Mr. Christopher Marshall serves as a Board Member at Payoneer. He serves as a Board Member at Sojern. He served as a Board Member at GoFundMe. He serves as a General Partner at TCV. He serves as Co-Chief Executive Officer at TCV Acquisition. He serves as a Board Member at Spotify. He has been working in the venture capital industry since 1995. He focuses on investments in the FinTech, internet, and digital media &amp; entertainment industries. Before joining TCV, Mr. Marshall spent 12 years at Trident Capital, a leading venture capital and private equity firm, where he focused on the payments, internet, and mobile markets. He currently serves on the board of directors of Newsela, Payoneer, Retail Merchant Services, Sojern, Spotify, and Nerdy (fka Varsity Tutors). Mr. Marshall has been involved in a large number of technology investments including Airbnb, Dollar Shave Club, Groupon, and Netflix. He received a B.A. in Economics from Hamilton College and an M.B.A. from the J.L. Kellogg Graduate School of Management and Northwestern University. He serves as a Board Member at Built.</t>
  </si>
  <si>
    <t>71861-14P</t>
  </si>
  <si>
    <t>Christopher Mills</t>
  </si>
  <si>
    <t>SunLink Health Systems (Former)</t>
  </si>
  <si>
    <t>Mills</t>
  </si>
  <si>
    <t>www.sunlinkhealth.com</t>
  </si>
  <si>
    <t>Mr. Christopher Mills served as Board Member at SunLink Health Systems. He is a Director and the Chief Investment Officer of J. O. Hambro Capital Management and has served in such capacity since January 1993. Mr. Mills also serves as the Managing Director/Investment Manager of North Atlantic Smaller Companies Investment Trust plc and Trident North Atlantic, positions he has held since 1998. From 1984 to 1993, Mr. Mills served as a Director of MIM Management Limited.</t>
  </si>
  <si>
    <t>353989-72P</t>
  </si>
  <si>
    <t>Christopher Moreno</t>
  </si>
  <si>
    <t>Moreno</t>
  </si>
  <si>
    <t>Chief Executive Officer &amp; Managing Director</t>
  </si>
  <si>
    <t>Mr. Christopher Moreno serves as Chief Executive Officer &amp; Managing Director at Vulcan Energy Resources. He served as Vice President at Bernstein Private Wealth Management. He has over 20 years of global experience in successfully delivering major, unique, and challenging projects, including in the lithium chemicals, cathode, and LNG sectors. In the LNG sector, held leadership roles with Santos, Woodside, and Shell, including working on the Browse, Gorgon, and Prelude LNG projects. Before joining Vulcan, Cris worked in the lithium chemicals and battery cathode sector in Europe, as Senior Director of Programs for the Northvolt-Cathode Active Material (CAM) Business Unit, and Vice President of engineering and Development for Aurora Lithium, Northvolt's lithium hydroxide refinery in Europe.</t>
  </si>
  <si>
    <t>232864-84P</t>
  </si>
  <si>
    <t>Christopher Powell</t>
  </si>
  <si>
    <t>Turkcell Iletisim Hizmetleri (Former)</t>
  </si>
  <si>
    <t>Powell</t>
  </si>
  <si>
    <t>www.turkcell.com.tr</t>
  </si>
  <si>
    <t>Mr. Christopher Powell serves as Board Member at Turkcell Iletisim Hizmetleri. Christopher James Powell was appointed to the Turkcell Board of Directors in December 2019. Chris was appointed as the Chief Finance Officer of LetterOne Technology in 2015. Chris has a broad remit including accounting, reporting, tax, structuring and commercial transactions. Chris also serves as a Board member for various companies within LetterOne. Chris was previously the Head of Finance at Pallinghurst, a boutique private equity investment house, where he was responsible for financial reporting, accounting, investment valuations and investor relations. Prior to Pallinghurst, Chris worked within the financial reporting team for Anglo American plc, on the company's transition to International Financial Reporting Standards and technical accounting. Chris also led various finance transformation projects. Chris has a BA in History and an MA in Modern European History, both from the University of Manchester. Chris qualified as a chartered accountant (ICAEW) with Deloitte in 2004.</t>
  </si>
  <si>
    <t>210651-85P</t>
  </si>
  <si>
    <t>Cindy Vu</t>
  </si>
  <si>
    <t>Vu</t>
  </si>
  <si>
    <t>Cindy</t>
  </si>
  <si>
    <t>Mr. Cindy Vu served as Vice President, Business Development - Analysis and Acquisition Integration at Vulcan Materials Company.</t>
  </si>
  <si>
    <t>198218-89P</t>
  </si>
  <si>
    <t>Colin Toney</t>
  </si>
  <si>
    <t>Centene (Former)</t>
  </si>
  <si>
    <t>Toney</t>
  </si>
  <si>
    <t>Colin</t>
  </si>
  <si>
    <t>www.centene.com</t>
  </si>
  <si>
    <t>Executive Vice President</t>
  </si>
  <si>
    <t>+1 (314) 725-4477</t>
  </si>
  <si>
    <t>colin.a.toney@centene.com</t>
  </si>
  <si>
    <t>Mr. Colin Toney serves as Managing Director, Mergers &amp; Acquisitions at Centene. He served as a board member at HealthEC. He worked at Allen &amp; Company, advising companies in healthcare, technology, media, and other industries on mergers and acquisitions and capital raising. Prior to Allen &amp; Company, Mr. Toney worked in mergers and acquisitions at the investment banking firm Stephens Inc. Mr. Toney received a Bachelor's degree in finance from Louisiana State University.</t>
  </si>
  <si>
    <t>91522-90P</t>
  </si>
  <si>
    <t>Corrado Bosio</t>
  </si>
  <si>
    <t>Bosio</t>
  </si>
  <si>
    <t>Corrado</t>
  </si>
  <si>
    <t>Chief Corporate Strategy &amp; Mergers &amp; Acquisitions Officer</t>
  </si>
  <si>
    <t>cbosio@erg.eu</t>
  </si>
  <si>
    <t>Mr. Corrado Bosio serves as Chief Corporate Strategy &amp; Mergers &amp; Acquisitions Officer at ERG. He joined the ERG group in March 2006 where he is currently Chief Corporate Strategy and M&amp;A with the responsibility and objective of identifying, directing and finalizing the group's organic development and M&amp;A initiatives. He is a member of the Management Committee, Investment Committee, Sustainability Committee and Human Capital Committee. He previously worked for around 7 years for Edison S.p.A., first as M&amp;A Director and later as Executive Assistant to the Chief Executive Officer. He worked for Ansaldo Energia from 1995 to 2000 in the Project Development and Project Finance department. He holds a Degree in Economics and Business Studies from the University of Genoa</t>
  </si>
  <si>
    <t>217687-24P</t>
  </si>
  <si>
    <t>Cort Dondero</t>
  </si>
  <si>
    <t>Gencor Industries (Former)</t>
  </si>
  <si>
    <t>Dondero</t>
  </si>
  <si>
    <t>Cort</t>
  </si>
  <si>
    <t>www.gencor.com</t>
  </si>
  <si>
    <t>Mr. Dondero has served as a director of the Company since July 2008. Mr. Dondero retired from his position as Chief Operating Officer of Panadero Aggregates, the Holding Company for Bluegrass Materials. Bluegrass Materials owns and operates 26 manufacturing plants (quarries and block plants) in Kentucky, Tennessee, South Carolina, Georgia, and Maryland. Previously, Mr. Dondero was Vice President of Quality Assurance for Ryder Transportation Group where he founded SAI Consulting which was subsequently sold. SAI serviced multiple fortune 500 firms in North America. In 2006 Mr. Dondero joined Florida Rock Industries (former client) as President of Georgia Aggregates with total P&amp;L responsibility. Florida Rock was purchased by Vulcan Materials and Mr. Dondero was retained by Vulcan Materials as a Vice President and General Manager. He was responsible for managing the assets that Vulcan Materials was required to divest as a condition of purchasing Florida Rock. Mr. Dondero reported directly to Vulcan's Executive Committee and the Department of Justice. Mr. Dondero founded Dondero &amp; Associates and subsequently left Vulcan Materials to assist with the founding of Panadero Aggregates (Bluegrass Materials) with other former Executives of Florida Rock Industries. Mr. Dondero also served on the Board of Directors for the Georgia Construction Aggregate Association.</t>
  </si>
  <si>
    <t>404146-99P</t>
  </si>
  <si>
    <t>Costantino Deperu</t>
  </si>
  <si>
    <t>Deperu</t>
  </si>
  <si>
    <t>Costantino</t>
  </si>
  <si>
    <t>Chief Business Development, Engineering &amp; Construction Officer</t>
  </si>
  <si>
    <t>cdeperu@erg.eu</t>
  </si>
  <si>
    <t>Mr. Costantino Deperu serves as Chief Business Development, Engineering &amp; Construction Officer at ERG. He is a member of the ERG Group Management Committee and Investment Committee and Human Capital Committee. He is responsible of the "Repowering &amp; Reblading Program" He covered several roles in ERG Group: from January 2017 to December 2018, he was Head of Engineering, and from May 2016 to May 2018 he was Country Manager UK of ERG Power Generation. From December 2015 to May 2016 he was Head of Engineering &amp; Construction, from January 2010 to December 2015 he was Head of Construction, from January 2008 to December 2009 he was a Senior Project Manager at ERG Renew. Previously, he was Project Manager and Site Manager for Duro Felguera SA, Gijon, Spain, where he handled international projects for the construction of CCGT/OCGT power plants, coal desulfurization plants (DeSOx) and Wastewater Treatment plants. He was Project Manager and Technical Advisor for EPC companies specializing in civil and geotechnical works in Lyon, France. He was a design engineer in private technical studies</t>
  </si>
  <si>
    <t>292447-90P</t>
  </si>
  <si>
    <t>Craig Hewitt Ph.D</t>
  </si>
  <si>
    <t>Delta Seaboard Well Service Inc.</t>
  </si>
  <si>
    <t>Hewitt</t>
  </si>
  <si>
    <t>Craig</t>
  </si>
  <si>
    <t>deltaseaboard.com</t>
  </si>
  <si>
    <t>Addison, TX</t>
  </si>
  <si>
    <t>3990 Vitruvian Way</t>
  </si>
  <si>
    <t>Suite 1152</t>
  </si>
  <si>
    <t>Addison</t>
  </si>
  <si>
    <t>Dr. Craig Hewitt serves as Chief Financial Officer at American International Holdings. He has nearly 20 years of experience serving in executive management and leadership roles for companies in the health services and business services sectors. Dr. Hewitt most recently served as Chief Financial Officer of Holston Medical Group, an independent physician group of over 220 primary care physicians, specialists and mid-level providers with over 1,000 employees. Dr. Hewitt was a co-founder of, and Chief Executive Officer of, Legacy Financial Partners, a business services provider, between 2010 and 2015. From 2005 to 2009, Dr. Hewitt served as Chief Operating Officer and Interim Chief Executive Officer of Surrex Solutions, a high-tech staffing company with over 600 employees and branch offices in 23 states, while also serving as a member of Surrex's Board of Directors, Audit Committee, and Compensation Committee. Between 2002 and 2005, Dr. Hewitt served as Chief Financial Officer of Accupoll, Inc., a company engaged in the design, development, and sale of electronic voting systems and related technologies, where he was also a member of the Board of Directors, Audit Committee, and Compensation Committee. From 1999 to 2002, Dr. Hewitt served as Chief Financial Officer of Universal Broadband Networks and from 1995 to 1999, Dr. Hewitt served as Chief Financial Officer of Compreview, Inc.
 In 2021, Dr. Hewitt received his Ph.D in Health Science from Trident University, in Cypress California, where he also earned a Master's degree in Healthcare in 2017. Dr. Hewitt received a Master's degree in Business Administration from Western Governors University in Salt Lake City, Utah, in 2015 and a Bachelor's degree in Business Administration from California State University, Fullerton, in 1990.</t>
  </si>
  <si>
    <t>108295-84P</t>
  </si>
  <si>
    <t>Craig Maki</t>
  </si>
  <si>
    <t>ACI Worldwide (Former)</t>
  </si>
  <si>
    <t>Maki</t>
  </si>
  <si>
    <t>www.aciworldwide.com</t>
  </si>
  <si>
    <t>Chief Development Officer and Executive Vice President</t>
  </si>
  <si>
    <t>craig.maki@aciworldwide.com</t>
  </si>
  <si>
    <t>Mr. Craig Maki serves as Chief Development Officer and Executive Vice President at ACI Worldwide. He previously served as Executive Vice President, Treasurer, and Corporate Development Officer at ACI Worldwide. He joined the company in 2006. He is responsible for the global corporate development and treasury activities at ACI. Prior to joining the company in 2006, Mr. Maki served as senior vice president for Stephens Inc. from 1998 through May 2006. Earlier in his career, he worked in the corporate finance group at Arthur Andersen and at Andersen Consulting. Mr. Maki holds his MBA from the University of Denver and his Bachelor of Science degree from the University of Wyoming.</t>
  </si>
  <si>
    <t>14726-80P</t>
  </si>
  <si>
    <t>Cynthia Hostetler</t>
  </si>
  <si>
    <t>Hostetler</t>
  </si>
  <si>
    <t>Cynthia</t>
  </si>
  <si>
    <t>Ms. Cynthia Hostetler serves as Board Member at Vulcan Materials Company. Ms. Hostetler serves as a Trustee of Invesco Ltd. and is a member of the boards of TriLinc Global Fund and Genesee &amp; Wyoming Inc. From 2001 to 2009, Ms. Hostetler served as Head of Investment Funds and Private Equity at the Overseas Private Investment Corporation (OPIC). She also served on the Board of Directors of Edgen Group, a global energy infrastructure company, prior to its acquisition by Sumitomo. Additionally, she has served as President and a member of the Board of Directors of First Manhattan Bancorporation, a bank holding company in the Midwest. She began her career as a corporate lawyer with Simpson Thacher &amp; Bartlett in New York.</t>
  </si>
  <si>
    <t>168449-32P</t>
  </si>
  <si>
    <t>D. Mark Appleby</t>
  </si>
  <si>
    <t>Tartisan Nickel</t>
  </si>
  <si>
    <t>Appleby</t>
  </si>
  <si>
    <t>D. Mark</t>
  </si>
  <si>
    <t>www.tartisannickel.com</t>
  </si>
  <si>
    <t>President, Chief Executive Officer &amp; Director</t>
  </si>
  <si>
    <t>+1 (416) 804-0280</t>
  </si>
  <si>
    <t>Toronto, Canada</t>
  </si>
  <si>
    <t>44 Victoria Street</t>
  </si>
  <si>
    <t>Suite 1102</t>
  </si>
  <si>
    <t>Toronto</t>
  </si>
  <si>
    <t>Ontario</t>
  </si>
  <si>
    <t>M5C 1Y2</t>
  </si>
  <si>
    <t>+1 (416) 368-6827</t>
  </si>
  <si>
    <t>Mr. D. Mark Appleby serves as President, Chief Executive Officer and Director at Tartisan Nickel. He has over 30 years of experience in a variety of disciplines relating to investment banking, corporate finance and the capital markets. Mr. Appleby's career began in 1983, where he served as an intern at Manulife in the equity and fixed income departments. In 1987 he joined First Boston Canada Ltd., where he reached the position of Vice-President-Bond Trading. Subsequently, Mr. Appleby has worked as an investment executive with Scotia Mcleod Inc., and is co-founder of The Atlantis Group, a Company specializing in a variety of disciplines including the resource sector. Mr. Appleby was also a Director of Guyana Goldfields Inc. [TSX: GUY] for five years.</t>
  </si>
  <si>
    <t>145989-55P</t>
  </si>
  <si>
    <t>Dana Codding</t>
  </si>
  <si>
    <t>Parkland</t>
  </si>
  <si>
    <t>Codding</t>
  </si>
  <si>
    <t>Dana</t>
  </si>
  <si>
    <t>www.parkland.ca</t>
  </si>
  <si>
    <t>Director of NextGen Program Office</t>
  </si>
  <si>
    <t>+1 (403) 567-2500</t>
  </si>
  <si>
    <t>dana.codding@parkland.ca</t>
  </si>
  <si>
    <t>240-4 Avenue South West</t>
  </si>
  <si>
    <t>Suite 1800</t>
  </si>
  <si>
    <t>T2P 4H4</t>
  </si>
  <si>
    <t>Ms. Dana Codding serves as Director of the NextGen Program Office at Parkland. He served as Director of Supply Planning, Optimization, and Coordination at Parkland, Director of Commercial West Operations at Parkland, Director of Acquisition Integration at Parkland, Senior Director of Commercialization at Quantitative Services Group, Senior Director of Energy Product Marketing at Quantitative Services Group, Director of Product Management at Petra at Quantitative Services Group and Project Geologist, Corbett Wet Coal-Bed Methane Project at Trident Exploration, Petrel Team Lead at SLB, Wireline Engineer at SLB.</t>
  </si>
  <si>
    <t>114657-58P</t>
  </si>
  <si>
    <t>Daniel Halyk</t>
  </si>
  <si>
    <t>Halyk</t>
  </si>
  <si>
    <t>Daniel</t>
  </si>
  <si>
    <t>Founder, President, Chief Executive Officer &amp; Board Member</t>
  </si>
  <si>
    <t>+1 (403) 216-3921</t>
  </si>
  <si>
    <t>dhalyk@totalenergy.ca</t>
  </si>
  <si>
    <t>Mr. Daniel Halyk is the Founder and serves as President, Chief Executive Officer &amp; Board Member at Total Energy Services. He co-founded Trident Capital Partners in 1997, a private limited partnership that invested primarily in the energy and real estate industries until 2021. Before starting Trident Capital, he was a corporate/securities lawyer with Bennett Jones in Calgary. He received his Bachelor of Commerce (Finance Major) and Bachelor of Laws from the University of Saskatchewan.</t>
  </si>
  <si>
    <t>95082-67P</t>
  </si>
  <si>
    <t>Daniel Major</t>
  </si>
  <si>
    <t>GoviEx Uranium</t>
  </si>
  <si>
    <t>Major</t>
  </si>
  <si>
    <t>www.goviex.com</t>
  </si>
  <si>
    <t>Chief Executive Officer &amp; Board Member</t>
  </si>
  <si>
    <t>+1 (604) 681-5529</t>
  </si>
  <si>
    <t>danielm@goviex.com</t>
  </si>
  <si>
    <t>999 Canada Place</t>
  </si>
  <si>
    <t>Suite 606</t>
  </si>
  <si>
    <t>V6C 3E1</t>
  </si>
  <si>
    <t>+1 (604) 682-2060</t>
  </si>
  <si>
    <t>Mr. Daniel Major serves as the Chief Executive Officer and Director at GoviEx Uranium. He serves as Director at Leading Edge Materials. He is a mining engineer from the Camborne School of Mines in the UK. His career spans over 25 years in the mining industry, where he has established a solid track record initially with Rio Tinto at the Rossing Uranium Mine in Namibia and later as a mining analyst with HSBC plc, followed by JP Morgan Chase &amp; Co. in London. He was Chief Executive and later Non-Executive Chairman of Basic Element Mining and Resource Division in Russia, and held leadership positions in several Canadian-listed mining companies with exploration and producing assets in Canada, Russia, and South America.</t>
  </si>
  <si>
    <t>73107-19P</t>
  </si>
  <si>
    <t>Daniel Ninivaggi JD</t>
  </si>
  <si>
    <t>Indivior</t>
  </si>
  <si>
    <t>Ninivaggi</t>
  </si>
  <si>
    <t>www.indivior.com</t>
  </si>
  <si>
    <t>+1 (804) 379-1090</t>
  </si>
  <si>
    <t>dan.ninivaggi@lordstownmotors.com</t>
  </si>
  <si>
    <t>North Chesterfield, VA</t>
  </si>
  <si>
    <t>10710 Midlothian Turnpike</t>
  </si>
  <si>
    <t>Suite 125</t>
  </si>
  <si>
    <t>North Chesterfield</t>
  </si>
  <si>
    <t>23235</t>
  </si>
  <si>
    <t>Mr. Daniel Ninivaggi serves as Executive Chairman at Nu Ride. He served as CEO at Icahn Enterprises, a diversified holding company where he oversaw the company's automotive aftermarket service network and parts distribution businesses, and experience in several senior leadership positions in the automotive and transportation industries, including at Lear Corporation and Federal Mogul Holdings. He holds extensive experience as a director of public companies, including at Garrett Motion, Icahn Enterprises, Motorola Mobility, Navistar International, Hertz Global Holdings and CVR Energy.</t>
  </si>
  <si>
    <t>83765-44P</t>
  </si>
  <si>
    <t>Daniel Sansone</t>
  </si>
  <si>
    <t>Ingevity</t>
  </si>
  <si>
    <t>Sansone</t>
  </si>
  <si>
    <t>www.ingevity.com</t>
  </si>
  <si>
    <t>+1 (843) 740-2300</t>
  </si>
  <si>
    <t>North Charleston, SC</t>
  </si>
  <si>
    <t>4920 O'Hear Avenue</t>
  </si>
  <si>
    <t>Suite 400</t>
  </si>
  <si>
    <t>North Charleston</t>
  </si>
  <si>
    <t>South Carolina</t>
  </si>
  <si>
    <t>29405</t>
  </si>
  <si>
    <t>Mr. Sansone has extensive executive and general management leadership and substantial financial expertise, including service as Chief Financial Officer and Treasurer at a global manufacturing public company, and is an audit committee financial expert. He also brings expertise in the asphalt and paving markets. ? ? Professional Highlights: Executive Vice President and Chief Financial Officer (Retired) at Vulcan Materials Company, an S&amp;P 500 company and the largest U.S. producer of aggregate-based construction materials, including asphalt, from 2005-2014. Other roles at Vulcan included President, Southern and Gulf Coast Division, President, Gulf Coast Materials, EVP Strategy, Treasurer and Corporate Controller.</t>
  </si>
  <si>
    <t>54096-58P</t>
  </si>
  <si>
    <t>Danilo Lodola</t>
  </si>
  <si>
    <t>Prismi (Former)</t>
  </si>
  <si>
    <t>Lodola</t>
  </si>
  <si>
    <t>Danilo</t>
  </si>
  <si>
    <t>www.prismi.net</t>
  </si>
  <si>
    <t>Mr. Danilo Lodola was a Board Member of Primi sui Motori. Graduated with honors in Law from the University of Milan, since 1972 he holds the position of Head of Securities and Corporate Affairs in major companies among which include Dalmine (between 1972 and 1990), Falck (between 1990 and 2002) and EnerTAD (between 2002 and 2007). In December 2007 he was appointed Director of Corporate Affairs and Head of Securities ERG, having responsibility for liaison with external institutions including Consob, the Italian Stock Exchange and Monte Titoli also holds the positions of Secretary of the Board of Directors of 50 companies in the Group.</t>
  </si>
  <si>
    <t>213211-54P</t>
  </si>
  <si>
    <t>Danny Callow</t>
  </si>
  <si>
    <t>Toubani Resources</t>
  </si>
  <si>
    <t>Callow</t>
  </si>
  <si>
    <t>Danny</t>
  </si>
  <si>
    <t>www.toubaniresources.com</t>
  </si>
  <si>
    <t>danny.callow@toubaniresources.com</t>
  </si>
  <si>
    <t>West Perth, Australia</t>
  </si>
  <si>
    <t>3 Richardson Street</t>
  </si>
  <si>
    <t>West Perth</t>
  </si>
  <si>
    <t>6005</t>
  </si>
  <si>
    <t>As part of the appointment of Mr. Russo, current CEO and Executive Director, Danny Callow will transition to Executive Chairman until mid2023 before moving to Non-Executive Chairman. Mr. Callow has over 25 years of experience in building and operating large tonnage mines globally. Mr. Callow was formerly Head of African Copper Operations for Glencore PLC., Chief Executive Officer and Executive Director of Katanga Mining Limited and Chief Executive Officer of Mopani Copper Mines PLC. Mr. Callow is a Professional Mining Engineer and holds an MBA from Henley Management College and a Bachelor (Hons) of Mining Engineering from the Camborne School of Mines. In addition, he holds a non-executive Director professional diploma from FT-London. Mr. Callow has overseen more than $2.5 billion in mining projects from conception through to full production.</t>
  </si>
  <si>
    <t>79681-42P</t>
  </si>
  <si>
    <t>Danny Shepherd</t>
  </si>
  <si>
    <t>Beazer Homes USA</t>
  </si>
  <si>
    <t>Shepherd</t>
  </si>
  <si>
    <t>www.beazer.com</t>
  </si>
  <si>
    <t>+1 (770) 829-3700</t>
  </si>
  <si>
    <t>Atlanta, GA</t>
  </si>
  <si>
    <t>2002 Summit Boulevard North East</t>
  </si>
  <si>
    <t>15th Floor</t>
  </si>
  <si>
    <t>Atlanta</t>
  </si>
  <si>
    <t>Georgia</t>
  </si>
  <si>
    <t>30319</t>
  </si>
  <si>
    <t>+1 (770) 390-3048</t>
  </si>
  <si>
    <t>Mr. Shepherd, 68, has been a director of the Company since November 2016. Prior to his retirement in 2015, Mr. Shepherd was Vice Chairman (from 2014 to 2015) and served as Senior Vice President, Executive Vice President and Chief Operating Officer (from 2001 to 2014) of Vulcan Materials Company, a producer of construction aggregates. Mr. Shepherd is a current director of GCP Applied Technologies. Mr. Shepherd received his Bachelor of Science degree from Georgia Institute of Technology.</t>
  </si>
  <si>
    <t>294606-82P</t>
  </si>
  <si>
    <t>Darren Hicks</t>
  </si>
  <si>
    <t>Hicks</t>
  </si>
  <si>
    <t>Darren</t>
  </si>
  <si>
    <t>Executive &amp; Senior Vice President</t>
  </si>
  <si>
    <t>hicksd@vmcmail.com</t>
  </si>
  <si>
    <t>Vulcan announced today that Darren Hicks, who is currently Vulcan's Vice President - Human Resources, has been appointed to the newly-created role of Senior Vice President and Chief Human Resources Officer, effective March 1, 2022. Hicks joined Vulcan in 1994. He has held various positions of increasing responsibility in Human Resources. In addition to his corporate roles, he has worked in multiple operating divisions across Vulcan's footprint including the International division. Hicks holds a Bachelor's degree in Human Resources Management and an MBA from the University of Alabama. Darren Hicks is senior vice president and chief human resources officer for Vulcan Materials Company. Mr. Hicks has been with Vulcan for over 25 years, serving in a variety of leadership positions in human resource management since joining the Company in 1994. Prior to his current role, he served as Vice President of Human Resources and Talent Management. Mr. Hicks has also served as manager of human resources/safety &amp; health, director of human resources, and vice president of human resources for Corporate and Southern &amp; Gulf Coast Divisions. He also served as director of human resources for the Southwest Division based in San Antonio, Texas, before returning to Birmingham in 2011.</t>
  </si>
  <si>
    <t>44470-45P</t>
  </si>
  <si>
    <t>David Allen</t>
  </si>
  <si>
    <t>Medtronic</t>
  </si>
  <si>
    <t>Allen</t>
  </si>
  <si>
    <t>David</t>
  </si>
  <si>
    <t>www.medtronic.com</t>
  </si>
  <si>
    <t>Vice President, Business Development &amp; Strategy, Gastrointestinal and Medical Surgical Portfolio</t>
  </si>
  <si>
    <t>+1 (763) 514-4000</t>
  </si>
  <si>
    <t>david.allen@medtronic.com</t>
  </si>
  <si>
    <t>Minneapolis, MN</t>
  </si>
  <si>
    <t>710 Medtronic Parkway</t>
  </si>
  <si>
    <t>Minneapolis</t>
  </si>
  <si>
    <t>55432-5604</t>
  </si>
  <si>
    <t>Mr. David Allen serves as Vice President, Business Development &amp; Strategy, Gastrointestinal and Medical Surgical Portfolio at Medtronic. Mr. Allen served as an Associate in the Private Equity Group at Soros Fund Management. Prior to Soros Fund, he was an Associate with GF Capital Management &amp; Advisors. He also served as an Investment Banking Analyst with Deutsche Bank. He received his Bachelor of Business Administration degree with a specialization in Finance and Accounting from the University of Michigan.</t>
  </si>
  <si>
    <t>262620-28P</t>
  </si>
  <si>
    <t>David Clement</t>
  </si>
  <si>
    <t>Clement</t>
  </si>
  <si>
    <t>clementd@vulcanmaterials.com</t>
  </si>
  <si>
    <t>Mr. David Clement serves as Senior Vice President, Mountain West and Western Divisions at Vulcan Materials Company. David Clement is senior vice president of the Mountain West and Western Divisions. Mr. Clement has over 25 years of experience at Vulcan, serving in a variety of positions of increasing responsibility. Mr. Clement first joined the organization as an operations management trainee in 1983 and progressed to the position of area production manager in 1993. After spending a few years at Pioneer Mid-Atlantic and working as a consultant, Mr. Clement rejoined Vulcan in 2004 as vice president and general manager of the Midwest Division. He has held the positions of vice president of operations for the Midwest Division, vice president and general manager of the Central Region, senior vice president of the Central Region, and most recently as president of the Central Division of Vulcan Materials Company.</t>
  </si>
  <si>
    <t>28347-04P</t>
  </si>
  <si>
    <t>David Habachy</t>
  </si>
  <si>
    <t>Ring Energy</t>
  </si>
  <si>
    <t>Habachy</t>
  </si>
  <si>
    <t>www.ringenergy.com</t>
  </si>
  <si>
    <t>+1 (713) 493-2006</t>
  </si>
  <si>
    <t>david.habachy@covalenceip.com</t>
  </si>
  <si>
    <t>The Woodlands, TX</t>
  </si>
  <si>
    <t>1725 Hughes Landing Boulevard</t>
  </si>
  <si>
    <t>Suite 900</t>
  </si>
  <si>
    <t>The Woodlands</t>
  </si>
  <si>
    <t>77380</t>
  </si>
  <si>
    <t>Mr. David Habachy is a Co-Founder and serves as a Managing Partner at Covalence Investment Partners. Mr. Habachy serves as Board Member at Ring Energy. He serves as Board Member at Earthstone Energy. Mr. Habachy served as Managing Director, Energy Investments at Warburg Pincus. He served as a Board member at Tall City Exploration. He served as Managing Director, Energy Private Equity Activities at Kayne Anderson Capital Advisors. He focused on identifying investment opportunities as part of Kayne Anderson's emphasis on energy transactions. Prior to joining Kayne Anderson in 2008, Mr. Habachy was a senior reservoir engineer with Manti Resources Inc., a private exploration and production company. Between 2000 and 2004, he was a reservoir engineer with Netherland, Sewell &amp; Associates, Inc., a Texas-based oil and gas consulting firm. Mr. Habachy began his career in 1998 as a reservoir and operations engineer at Vastar Resources, Inc. Mr. Habachy serves as Executive Director at Trident Energy Management. He has a B.S. degree in Chemical Engineering from the University of Texas. He also earned an M.B.A. from the University of Texas.</t>
  </si>
  <si>
    <t>150234-76P</t>
  </si>
  <si>
    <t>David Jones</t>
  </si>
  <si>
    <t>authID (Former)</t>
  </si>
  <si>
    <t>Jones</t>
  </si>
  <si>
    <t>www.authid.ai</t>
  </si>
  <si>
    <t>President, Chief Education Officer, Treasurer and Director</t>
  </si>
  <si>
    <t>Mr. David Jones serves as President, Chief Education Officer, Treasurer and Director at ID Global Solutions. Mr. Jones has been in global business management in all regions of the world including global management of company personnel and contractor/partner relationships. He has served as a board member on joint ventures operating in Beijing, China, Bangalore, India and Perth, Australia. He has served and managed sales, field service, managed service, systems integration and professional service, marketing, finance, engineering, business development and other areas with a particular expertise in global services, strategic partnerships and joint venture management. From 1986 through 2007, Mr. Jones worked for Motorola, Inc. with various systems, operations and development positions retiring as Vice President for Global Service Delivery Operations responsible for the global delivery of all technical call centers, network operations centers, secure operation center, technical training and services business development. He served as a board member for the joint venture between Motorola and WiPro in Bangalore, India, Motorola and ERG in Perth, Australia and Motorola and a Local Manufacturer in Beijing, China. From 2007 to 2010, Mr. Jones was Vice President and General Manager for Intermec Technologies, Inc.'s Global Services Division in Everett, Washington. Mr. Jones was responsible for Intermec's global services business including margin improvement and revenue growth, sales, third party services, marketing, finance, call centers, parts sales and professional services. From 2010 to 2011, Mr. Jones served in a consultant capacity to large and small manufacturers trying to enter or improve their services position in the market. And in 2011 Mr. Jones joined Innovation in Motion Inc. as President &amp; CEO, which has grown from a start-up in 2009 to a pre-tax revenue of $7.7 million. Mr. Jones received his Bachelor of Science degree in Civil Engineering from Rose Hulman Institute of Technology in Terre Haute, Indiana and his Masters in Business Administration degree from Baldwin Wallace College in Berea, Ohio.</t>
  </si>
  <si>
    <t>389263-96P</t>
  </si>
  <si>
    <t>David Kennedy</t>
  </si>
  <si>
    <t>Kennedy</t>
  </si>
  <si>
    <t>Senior Vice President of Corporate Strategy</t>
  </si>
  <si>
    <t>david.kennedy@harbourenergy.com</t>
  </si>
  <si>
    <t>Mr. David Kennedy serves as Senior Vice President of Corporate Strategy at Harbour Energy.</t>
  </si>
  <si>
    <t>56818-90P</t>
  </si>
  <si>
    <t>David Kenwright</t>
  </si>
  <si>
    <t>Kenwright</t>
  </si>
  <si>
    <t>Mr. David Kenwright serves as a Director at Navigator Holdings. He has been a member of the Board since March 2007. Mr. Kenwright is a managing director of Achater Offshore Ltd. and chairman of the UK Emergency Response and Rescue Vessel Association Ltd., and previously a managing director of Gulf Offshore N.S. Ltd. for seven years. Mr. Kenwright is a Chartered Engineer and a Fellow of the Institute of Marine Engineering, Science and Technology.</t>
  </si>
  <si>
    <t>120423-97P</t>
  </si>
  <si>
    <t>David Moradi</t>
  </si>
  <si>
    <t>AudioEye</t>
  </si>
  <si>
    <t>Moradi</t>
  </si>
  <si>
    <t>www.audioeye.com</t>
  </si>
  <si>
    <t>+1 (866) 331-5324</t>
  </si>
  <si>
    <t>dmoradi@audioeye.com</t>
  </si>
  <si>
    <t>Tucson, AZ</t>
  </si>
  <si>
    <t>5210 East Williams Circle</t>
  </si>
  <si>
    <t>Suite 750</t>
  </si>
  <si>
    <t>Tucson</t>
  </si>
  <si>
    <t>Arizona</t>
  </si>
  <si>
    <t>85711</t>
  </si>
  <si>
    <t>+1 (520) 844-2989</t>
  </si>
  <si>
    <t>Ms. David Moradi serves as Chief Executive Officer &amp; Executive Chairman at AudioEye. On August 13, 2020, David Moradi, 44, a director since 2019, was appointed Interim Chief Executive Officer and Chief Strategy Officer. Mr. Moradi will continue to serve as a director. Mr. Moradi is an entrepreneur and an investor and advisor to technology companies. In September 2018, Mr. Moradi founded and became Chief Executive Officer of Sero Capital LLC, a private investment firm that focuses on growth opportunities in the technology sector. Mr. Moradi also co-founded and is Executive Chairman of First Contact Entertainment Inc., a virtual reality video game development studio. Prior to founding Sero Capital, Mr. Moradi was Founder and CEO of Anthion Management, a technology-focused fund which grew over $1B in assets under management. In 2013, Anthion was converted to a family office investing in various asset classes including early stage technology companies, public equities, corporate debt and real estate. Prior to Anthion, Mr. Moradi was a Portfolio Manager at Pequot Capital Management and an analyst and Portfolio Manager for Soros Fund Management. Mr. Moradi started his career as a special situations analyst for Imperial Capital LLC in 2000. Mr. Moradi holds a B. A. in psychology from the University of California, Los Angeles. He is also Founder and Chairman of the David Moradi Foundation, a charitable foundation supporting education and veterans.</t>
  </si>
  <si>
    <t>186928-93P</t>
  </si>
  <si>
    <t>David Powell</t>
  </si>
  <si>
    <t>Harbour Energy (Former)</t>
  </si>
  <si>
    <t>Mr. David Powell served as Chief Financial Officer at Harbour Energy. Mr. David Powell served as Chief Financial Officer at Cobalt International Energy. He also served as a Board Member at Chrysaor Holdings. He is responsible for overseeing the company's financial operations ensuring proper control and governance in this area. As part of the Harbour Leadership Team, he also plays a key role in strategy development, acquisition target due diligence, and capital allocation. Most recently, Mr. Powell was CFO at Cobalt International Energy and prior to that was CFO of the Petroleum Group for BHP Billiton which included all finance, supply, and information technology functions with a staff of approximately 1,000. Prior to joining BHP Billiton Mr. Powell spent almost 28 years at Occidental Petroleum primarily in progressively more senior finance positions culminating in the role of VP Finance of their U.S. oil and gas operations. Mr. Powell has extensive international oil and gas experience having held finance roles in Argentina, Russia, Malaysia, and Qatar. Subsequent to that he held Regional Vice President of Operations roles initially responsible for their Russia, Pakistan, and Yemen operations, and following that he had a similar role managing their Latin American operations. Mr. Powell has extensive acquisition integration experience having been involved in five different transactions each exceeding $4 billion in market value. Mr. Powell graduated Summa Cum Laude from William Jewell College with a Bachelor of Science degree in Accounting. He is a member of the AICPA and has completed the Advanced Management Program at Harvard Business School.</t>
  </si>
  <si>
    <t>182091-79P</t>
  </si>
  <si>
    <t>David Vardanyan</t>
  </si>
  <si>
    <t>Vardanyan</t>
  </si>
  <si>
    <t>Assistant</t>
  </si>
  <si>
    <t>Mr. David Vardanyan served as Assistant at Novatek (Moscow).</t>
  </si>
  <si>
    <t>30051-01P</t>
  </si>
  <si>
    <t>David Vavrichek</t>
  </si>
  <si>
    <t>Saratoga Investment Corp. BDC (Former)</t>
  </si>
  <si>
    <t>Vavrichek</t>
  </si>
  <si>
    <t>www.saratogainvestmentcorp.com</t>
  </si>
  <si>
    <t>Portfolio Manager</t>
  </si>
  <si>
    <t>Mr. David Vavrichek served as Portfolio Manager at Saratoga Investment. Mr. Vavrichek joined Saratoga from Deerpath Capital Management, LP. At Deerpath, Mr. Vavrichek led the origination and execution of credit investments across a variety of industries. Prior to Deerpath, Mr. Vavrichek was an Analyst at Soros Fund Management LLC and an Analyst in investment banking at Bear, Stearns &amp; Co. Mr. Vavrichek is a CFA charterholder and graduated with a BA from Yale University.</t>
  </si>
  <si>
    <t>170134-03P</t>
  </si>
  <si>
    <t>David Watkinson</t>
  </si>
  <si>
    <t>Emergent Metals</t>
  </si>
  <si>
    <t>Watkinson</t>
  </si>
  <si>
    <t>www.emergentmetals.com</t>
  </si>
  <si>
    <t>Chief Executive Officer, President &amp; Director</t>
  </si>
  <si>
    <t>+1 (530) 271-0679</t>
  </si>
  <si>
    <t>david@ameriwestlithium.com</t>
  </si>
  <si>
    <t>1111 Melville Street</t>
  </si>
  <si>
    <t>Suite 620</t>
  </si>
  <si>
    <t>V6E 3V6</t>
  </si>
  <si>
    <t>Mr. David Watkinson serves as President &amp; Chief Executive Officer at Ameriwest Critical Metals. He serves as President, Chief Executive Officer and Director at Emergent Metals. He also serves as Chief Executive Officer at Ameriwest Lithium. He brings over 30 years of engineering experience in underground and open pit mine development, including mine permitting, engineering, feasibility, construction and operations to Emergent. In addition, he has experience in project management, having taken projects from grassroots start-ups to successful operating status. He has been responsible for the management of large capital projects and operations in Canada, the United States and the Philippines. He has held progressively senior positions with Placer Dome Kinross Gold Corporation, Thyssen Mining Construction of Canada, and Vulcan Materials Company. He holds a B.Sc. in Applied Science, Mining Engineering, from Queen's University in Kingston, Ontario (1985) and is a Registered Professional Engineer in the Province of Ontario. He is currently President of Emergent; President, CEO, and Director of Ameriwest Lithium and Director of Tarku Resources.</t>
  </si>
  <si>
    <t>96262-12P</t>
  </si>
  <si>
    <t>David Worthington</t>
  </si>
  <si>
    <t>Worthington</t>
  </si>
  <si>
    <t>Vice President, Sales for California</t>
  </si>
  <si>
    <t>Mr. David Worthington serves as Vice President, Sales for California at Vulcan Materials Company.</t>
  </si>
  <si>
    <t>209433-34P</t>
  </si>
  <si>
    <t>Dawid Jaschock</t>
  </si>
  <si>
    <t>Jaschock</t>
  </si>
  <si>
    <t>Dawid</t>
  </si>
  <si>
    <t>Mr. Dawid Jaschock served as Chief Commercial Officer at DIA Group. He holds a Degree in Business Administration from the University of Management and Banking in Poznań. Specialized in the management and marketing field. He joined Lidl in 2000, since then Dawid has been Manager for Supply in Poland, member of the Supply Board in Czech Republic, Member of the International Board with responsibilities for Poland and Eastern Countries, Chairman of the Board of International Supply and finally Dawid was responsible for supply, sales and marketing for the whole group. In 2014, as an entrepreneur, he founded a furniture and home decoration retail brand in Germany and Poland at the same time he advised some of the biggest retailers in Europe in the food, nonfood, fashion and e-commerce business. In 2019, he joined DIA as Chief Commercial Officer for DIA Group.</t>
  </si>
  <si>
    <t>91347-40P</t>
  </si>
  <si>
    <t>Dawn Fitzpatrick</t>
  </si>
  <si>
    <t>Under Armour</t>
  </si>
  <si>
    <t>Fitzpatrick</t>
  </si>
  <si>
    <t>Dawn</t>
  </si>
  <si>
    <t>www.underarmour.com</t>
  </si>
  <si>
    <t>+1 (888) 727-6687</t>
  </si>
  <si>
    <t>dawn.fitzpatrick@barclays.com</t>
  </si>
  <si>
    <t>Baltimore, MD</t>
  </si>
  <si>
    <t>1020 Hull Street</t>
  </si>
  <si>
    <t>Suite 300</t>
  </si>
  <si>
    <t>Baltimore</t>
  </si>
  <si>
    <t>Maryland</t>
  </si>
  <si>
    <t>21230-2080</t>
  </si>
  <si>
    <t>Ms. Dawn Fitzpatrick serves as Chief Investment Officer at Soros Economic Development Fund. Ms. Fitzpatrick serves as Chief Executive Officer and Chief Investment Officer at Soros Fund Management. She serves as a Board Member at Barclays. Her previous experience includes 25 years with UBS and its predecessor organizations, most recently as Head of Investments for UBS Asset Management. Her knowledge of the businesses and markets in which the Group operates further strengthens the depth and range of relevant sector skills and experience across the Board. This enables her to challenge and contribute effectively to the Group's operations and the long-term sustainable success of the business.</t>
  </si>
  <si>
    <t>180282-43P</t>
  </si>
  <si>
    <t>Dawn Summers</t>
  </si>
  <si>
    <t>Summers</t>
  </si>
  <si>
    <t>Interim Chief Operating Officer</t>
  </si>
  <si>
    <t>Ms. Dawn Summers served as Interim Chief Operating Officer at Harbour Energy.She served as Chief Operating Officer &amp; Member of the Board, EMEA Region at Wintershall Dea. Previously, She also serves as Chief Operating Officer at Beach Energy. He brings to Beach over 25 years of upstream and downstream, international oil and gas experience. For the past two years, she was Chief Operating Officer of Origin Energy's integrated gas division, with operational responsibility for the Lattice asset portfolio and Asia Pacific LNG assets. Prior to this, her experience includes two years on the executive team at Genel Energy plc, an independent exploration, and production company focused on Iraq and Africa, and 20 years with BP, ending up as Global Vice President for Upstream Production Operations and Safety &amp; Operational Risk. She is recognized as an effective and successful leader across a range of geographies, different business sectors, and functions with a track record of establishing and executing strategies and plans to deliver strong business and operational performance.</t>
  </si>
  <si>
    <t>115876-63P</t>
  </si>
  <si>
    <t>Dean Marks</t>
  </si>
  <si>
    <t>Premier Power Renewable Energy</t>
  </si>
  <si>
    <t>Marks</t>
  </si>
  <si>
    <t>Dean</t>
  </si>
  <si>
    <t>www.premierpower.com</t>
  </si>
  <si>
    <t>+1 (916) 939-0400</t>
  </si>
  <si>
    <t>dmarks@k12solar.com</t>
  </si>
  <si>
    <t>El Dorado Hills, CA</t>
  </si>
  <si>
    <t>4961 Windplay Drive</t>
  </si>
  <si>
    <t>Suite 100</t>
  </si>
  <si>
    <t>El Dorado Hills</t>
  </si>
  <si>
    <t>95762</t>
  </si>
  <si>
    <t>Mr. Dean Marks served as Chief Executive Officer and Chairman at Premier Power Renewable Energy. He was our President from September 9, 2008, to February 7, 2011. In 1981, he joined Servamatic Solar Systems, a solar sales organization, and eventually served as part of its management. During his time at Servamatic, which ended in 1984, Mr. Marks was key to its national growth, helping to attain over 2,000 employees in over 26 markets across the U.S. From 1983 to 2001, he pioneered multiple applications of solar energy for Trident Energy Systems, Simply Solar, and Bright Future, including thermal, radiant floor and space heating, and PV systems for the residential, commercial, and industrial markets. He has also served as the President and CEO of Bright Future and Premier Power California since 2001. Mr. Marks has served on the California Solar Energy Industry Association (CALSEIA) board and has been an active participant in the solar industry for over 25 years. He has co-authored several preeminent papers promoting renewable energy. Mr. Marks holds a Bachelor of Science degree from Auburn University, with a special emphasis in Environmental Science. He is a Co-Founder and serves as Chief Operating Officer at K12 Solar.</t>
  </si>
  <si>
    <t>147650-14P</t>
  </si>
  <si>
    <t>Deepak Khanna</t>
  </si>
  <si>
    <t>TBO Tek (Former)</t>
  </si>
  <si>
    <t>Khanna</t>
  </si>
  <si>
    <t>Deepak</t>
  </si>
  <si>
    <t>www.tbo.com</t>
  </si>
  <si>
    <t>deepak.khanna@tbo.com</t>
  </si>
  <si>
    <t>Mr. Deepak Khanna serves as Chief Operating Officer at TBO.com. He served as Analyst &amp; Portfolio Manager at Vulcan Capital. Most recently He was Head of Value Equities at Deutsche Asset Management in New York and was also responsible for managing the Large Cap Value Fund. Prior to that, He was a Partner at Lord Abbett &amp; Co. and also Portfolio Manager of Large Cap Value &amp; Large Cap Core Funds. He has extensive experience covering the Healthcare sector having worked at Jennison Associates &amp; Lord, Abbett &amp; Co prior to being a PM. He has been in the Investment Management industry since 1995. He received his MBA in Finance from Zicklin School of Business, Baruch University, NY and BS in Finance from Delhi University.</t>
  </si>
  <si>
    <t>328465-45P</t>
  </si>
  <si>
    <t>Deepak Nanda</t>
  </si>
  <si>
    <t>Trident Group</t>
  </si>
  <si>
    <t>Nanda</t>
  </si>
  <si>
    <t>www.tridentindia.com</t>
  </si>
  <si>
    <t>Board Member &amp; Managing Director</t>
  </si>
  <si>
    <t>deepaknanda@tridentindia.com</t>
  </si>
  <si>
    <t>Barnala, India</t>
  </si>
  <si>
    <t>Sanghera</t>
  </si>
  <si>
    <t>Barnala</t>
  </si>
  <si>
    <t>Punjab</t>
  </si>
  <si>
    <t>148101</t>
  </si>
  <si>
    <t>India</t>
  </si>
  <si>
    <t>+91 (0)16 1503 9900</t>
  </si>
  <si>
    <t>Mr. Deepak Nanda serves as Managing Director at Trident Group. He possesses more than three decades of experience in Business Development, Client Relationship, Contract Negotiations, Project Implementation and Delivery, improving the Efficiency and Effectiveness of businesses. He has vast experience in working closely with different State Governments, PSUs, boards and corporations, educational institutions in North-West India helping them develop e-governance strategies, IT roadmaps, deploying key solutions and facilitating change management. He holds a Master of Science in Chemistry from the Panjab University, Chandigarh and has also participated in the Programme on Strategic IT Outsourcing at the Indian Institute of Management, Ahmedabad. In addition, he is the Chairman of the District Cricket Association, Barnala.</t>
  </si>
  <si>
    <t>217483-84P</t>
  </si>
  <si>
    <t>Demetris Makaritis</t>
  </si>
  <si>
    <t>Makaritis</t>
  </si>
  <si>
    <t>Demetris</t>
  </si>
  <si>
    <t>Executive</t>
  </si>
  <si>
    <t>dmakartitis@navigatorgas.com</t>
  </si>
  <si>
    <t>Mr. Demetris Makaritis served as Director of Commercial Operations at Navigator Gas. He was appointed Director of Commercial Operations in April 2016 having been an Operations &amp; Vetting Manager as well as a Technical Superintendent for the Company since joining in 2010. Prior to joining Navigator, Demetris worked as an operations supervisor for Zodiac Maritime Agencies Ltd. and as a naval architect for SeaTec (V.Ships Group) in Glasgow. During his early career he sailed on board passenger ships as a junior engineer. Demetris holds a BEng (Hons) in Naval Architecture from Newcastle upon Tyne University, an MSc in Shipping, Trade &amp; Finance from Cass Business School, London and is a Chartered Engineer.</t>
  </si>
  <si>
    <t>39512-98P</t>
  </si>
  <si>
    <t>Denis Alaev</t>
  </si>
  <si>
    <t>Alaev</t>
  </si>
  <si>
    <t>Denis</t>
  </si>
  <si>
    <t>Head of Moi Mir</t>
  </si>
  <si>
    <t>denis@mail.ru</t>
  </si>
  <si>
    <t>Denis Alaev served as the Head of Moi Mir in Mail.Ru Group. He was the Co-founder of AlterGeo.</t>
  </si>
  <si>
    <t>190276-21P</t>
  </si>
  <si>
    <t>Denis Anikin</t>
  </si>
  <si>
    <t>Anikin</t>
  </si>
  <si>
    <t>Chief Information Officer</t>
  </si>
  <si>
    <t>Mr. Denis Anikin served as Chief Information Officer at Mail.Ru Group.</t>
  </si>
  <si>
    <t>132291-73P</t>
  </si>
  <si>
    <t>Denis Guschin</t>
  </si>
  <si>
    <t>Guschin</t>
  </si>
  <si>
    <t>denis@corp.mail.ru</t>
  </si>
  <si>
    <t>Mr. Denis Guschin serves as the Team Leader at Mail.Ru Group. Previously, he co-founded ZeeRabbit and also served as its Chief Technology Officer.</t>
  </si>
  <si>
    <t>75905-11P</t>
  </si>
  <si>
    <t>Denson Franklin III</t>
  </si>
  <si>
    <t>Franklin</t>
  </si>
  <si>
    <t>Denson</t>
  </si>
  <si>
    <t>Senior Vice President and General Counsel</t>
  </si>
  <si>
    <t>+1 (205) 521-8246</t>
  </si>
  <si>
    <t>franklind@vmcmail.com</t>
  </si>
  <si>
    <t>Mr. Denson Franklin serves as Senior Vice President and General Counsel at Vulcan Materials Company. He also serves as a Trustee at Birmingham-Southern College. He served as a Partner at Bradley Arant Boult Cummings. His primary areas of practice include corporate, mergers and acquisitions, financial transactions, and federal and state securities matters. He represents a variety of clients ranging from established companies with global operations to early-stage businesses. He advises companies on a broad range of issues affecting their business, including clients in the information services, manufacturing, distribution and service, construction and engineering, construction materials, transportation, and technology industries. He regularly counsels companies and their boards with respect to corporate governance and compliance issues. He has assisted a number of clients in private and public offerings of debt and equity securities, including initial public offerings. In addition, he advises emerging growth companies in their formation and funding and he has worked with a number of companies from inception through venture capital funding and initial public offering or sale. He also regularly advises clients with respect to their overseas operations and acquisitions outside the United States.</t>
  </si>
  <si>
    <t>79870-51P</t>
  </si>
  <si>
    <t>Derek Kan</t>
  </si>
  <si>
    <t>Toll Brothers</t>
  </si>
  <si>
    <t>Kan</t>
  </si>
  <si>
    <t>Derek</t>
  </si>
  <si>
    <t>www.tollbrothers.com</t>
  </si>
  <si>
    <t>+1 (855) 897-8655</t>
  </si>
  <si>
    <t>Fort Washington, PA</t>
  </si>
  <si>
    <t>1140 Virginia Drive</t>
  </si>
  <si>
    <t>Fort Washington</t>
  </si>
  <si>
    <t>Pennsylvania</t>
  </si>
  <si>
    <t>19034</t>
  </si>
  <si>
    <t>Mr. Derek Kan serves as Board Member at Toll Brothers. Derek T. Kan has been a member of our Board since December 2021. He is an executive at Deliverr, a startup focused on e-commerce fulfillment. Previously, Mr. Kan worked in the White House Office of Management and Budget, first as an Executive Associate Director from July 2019 to July 2020 and then as Deputy Director through December 2020. Prior to that, he served as Under Secretary at the U.S. Department of Transportation from November 2017 through June 2019. In this role, he served as a principal advisor to the Secretary and spearheaded initiatives around technology and innovation in the transportation sector. From 2016 through 2019, Mr. Kan served on the Board of Directors of Amtrak. Between 2010 and 2015, Mr. Kan held various positions, including as director of strategy at Genapsys, a biotech startup in Silicon Valley, as a management consultant at Bain &amp; Company, and as an advisor at Elliott Management Corporation. Mr. Kan currently serves as a Senior Advisor for Oaktree Capital and a Board Observer of Rand Logistics.</t>
  </si>
  <si>
    <t>351745-30P</t>
  </si>
  <si>
    <t>Dilip Nijhawan</t>
  </si>
  <si>
    <t>Catrion</t>
  </si>
  <si>
    <t>Nijhawan</t>
  </si>
  <si>
    <t>Dilip</t>
  </si>
  <si>
    <t>www.catrion.com</t>
  </si>
  <si>
    <t>+966 (0)92 002 2081</t>
  </si>
  <si>
    <t>Jeddah, Saudi Arabia</t>
  </si>
  <si>
    <t>PO Box 9178</t>
  </si>
  <si>
    <t>Al Sayeb Al Jumahi Street diverging from Prince Sultan Bin Abdulaziz Road Almohammadya Dis</t>
  </si>
  <si>
    <t>Jeddah</t>
  </si>
  <si>
    <t>21413</t>
  </si>
  <si>
    <t>Saudi Arabia</t>
  </si>
  <si>
    <t>+966 (0)12 233 9481</t>
  </si>
  <si>
    <t>Mr. Dilip Nijhawan, Board member (Non-Executive). Current positions: CEO /Board Director of Kaelis World Sl, Madrid (AMEA). Previous positions: CEO /Board Director of Emirates Flight Catering Dubai; Inflight Catering Consultant Emirates Flight Catering reporting to the President; Consultant at Oman Air /Flight Catering-Hotel; CEO /Board Director of Sri Lankan Catering Co., Sri Lanka; GM Oberoi Trident, Jeddah, Saudi Arabia; GM Oberoi Flight Services &amp; Oberoi Airport Services; GM Oberoi Bogmallo Beach Resort, India. Academic qualifications: ISC Science /English, from Senior Cambridge; Bachelor Business management, Accounting, Finance from Calcutta university; Post Graduate Hotel management from Essec Cornell, Paris France. CEO, CCO, MD, EVP, Executive Board Director and Management Consultant leadership expertise with 35+ years' experience in leading Global Airline Catering units, Inflight services, Food Services &amp; Retail Operations, Airline Onboard Services &amp; Amenities, Airport lounges, Event Operations and 5-star Hotels and Hospitality companies globally. Track record of transforming companies via strategic leadership and implementing lean management principles such as Kaizen, Six Sigma, TPM, Kanban etc.; exponentially increasing Sales, Net Profits while spearheading operational excellence with enhanced employee productivity, retention and reduced costs. Led companies to yield over USD 900 million in annual revenue whilst simultaneously overseeing expansion projects of over USD 350 million.</t>
  </si>
  <si>
    <t>298056-16P</t>
  </si>
  <si>
    <t>Dimitris Constantinides</t>
  </si>
  <si>
    <t>Logicom (Cyprus)</t>
  </si>
  <si>
    <t>Constantinides</t>
  </si>
  <si>
    <t>Dimitris</t>
  </si>
  <si>
    <t>www.logicom.net</t>
  </si>
  <si>
    <t>Director of Operations</t>
  </si>
  <si>
    <t>+357 (0)2 255 1000</t>
  </si>
  <si>
    <t>d.constantinides@logicom.net</t>
  </si>
  <si>
    <t>Nicosia, Cyprus</t>
  </si>
  <si>
    <t>26 Stasinou Street</t>
  </si>
  <si>
    <t>PO Box 2347, Strovolos</t>
  </si>
  <si>
    <t>Nicosia</t>
  </si>
  <si>
    <t>2003</t>
  </si>
  <si>
    <t>Cyprus</t>
  </si>
  <si>
    <t>Mr. Dimitris Constantinides serves as Director of Operations at Logicom (Cyprus). He previously served as Chief Executive Officer and Chief Financial Officer at APS Debt Servicing Cyprus, Finance Director and Chief Financial Officer at APS Debt Servicing Cyprus, Manager and Senior Manager at PwC Cyprus and Senior associate and associate at PwC Cyprus. He earned a BS (Bachelor of Science) in International Securities and Investment Banking from Henley Business School (ICMA Center Business School).</t>
  </si>
  <si>
    <t>65731-96P</t>
  </si>
  <si>
    <t>Ding Lu Ph.D</t>
  </si>
  <si>
    <t>Parade Technologies</t>
  </si>
  <si>
    <t>Lu</t>
  </si>
  <si>
    <t>Ding</t>
  </si>
  <si>
    <t>www.paradetech.com</t>
  </si>
  <si>
    <t>Co-Founder &amp; Executive Vice President, Product Development</t>
  </si>
  <si>
    <t>+1 (408) 329-5540</t>
  </si>
  <si>
    <t>ding.lu@paradetech.com</t>
  </si>
  <si>
    <t>Santa Clara, CA</t>
  </si>
  <si>
    <t>2858 De La Cruz Boulevard</t>
  </si>
  <si>
    <t>Santa Clara</t>
  </si>
  <si>
    <t>95050</t>
  </si>
  <si>
    <t>+1 (408) 329-5541</t>
  </si>
  <si>
    <t>Dr. Ding Lu is a Co-Founder &amp; serves as Executive Vice President, Product Development at Parade Technologies. Dr. Lu served the company as Vice President of Product Development from2005 to 2010. Dr. Lu has more than 18 years experience in the semiconductor industry with extensive experience in SOC design for video processing and notebook graphics. Prior to Parade, he held positions at XGI and Trident Microsystems as a Director of Notebook Graphics Engineering. Dr. Lu received his Ph.D. in EE from Colorado State University and M.S. from Shanghai Jiaotong University.</t>
  </si>
  <si>
    <t>409851-73P</t>
  </si>
  <si>
    <t>Dirk Unnewehr</t>
  </si>
  <si>
    <t>Unnewehr</t>
  </si>
  <si>
    <t>Dirk</t>
  </si>
  <si>
    <t>Mr. Dirk Unnewehr served as Chief Information Officer at Vulcan Energy Resources. He has over 35 years of experience in various executive roles within corporate Information Technology. For the past decade, he has served as an independent Interim Manager, leading numerous IT programs and projects. He has been a board member and part of several M&amp;A leadership teams, overseeing IT carve-in and carve-out operations.</t>
  </si>
  <si>
    <t>42251-50P</t>
  </si>
  <si>
    <t>Dmitry Grishin</t>
  </si>
  <si>
    <t>Grishin</t>
  </si>
  <si>
    <t>Dmitry</t>
  </si>
  <si>
    <t>dmitry@grishinrobotics.com</t>
  </si>
  <si>
    <t>Menlo Park, CA</t>
  </si>
  <si>
    <t>2735 Sand Hill Road</t>
  </si>
  <si>
    <t>Suite 220</t>
  </si>
  <si>
    <t>Menlo Park</t>
  </si>
  <si>
    <t>94025</t>
  </si>
  <si>
    <t>Mr. Dmitry Grishin is the Founder and serves as a Partner of Grishin Robotics. Mr. Grishin is a Co-Founder and serves as Chairman of the Board at Mail.Ru Group. He serves as Board Member at Rogue Games. He graduated from Bauman Moscow State Technical University and worked for the U.S. software company from 1998 till 2001. In 2000 he joined netBridge Services (later Mail.Ru) as Head of the Project Development Department for Molotok.ru, stepping up as General Director for the company in April 2003. In 2005, co-founded Mail.Ru Group (originally Digital Sky Technologies, DST), which today includes not only the Mail.Ru portal but also the two largest Russian social networks VK and OK, food delivery service Delivery Club, ridesharing service BeepCar, location-based marketplace Youla, maps and navigation service MAPS.ME, instant messaging services TamTam and ICQ, auto classifieds service Am.ru, and others. Through the years, Mail.Ru Group evolved from a Russian startup to the largest IT company in Europe and globally, boasting IPO on the London Stock Exchange and users all over the world. In 2016, he developed the concept for the world's first draft law on robotics that was inspired by Isaac Asimov, science fiction writer. He is the Head of the Department of Information Technologies and Programming of The Saint Petersburg State University of Information Technologies, Mechanics and Optics. He is the founder of the Russian Code Cup, the largest contest for programmers in Eastern Europe. He is listed by Forbes among the frontmen of the Russian internet.</t>
  </si>
  <si>
    <t>72049-87P</t>
  </si>
  <si>
    <t>Dmitry Ponomarev</t>
  </si>
  <si>
    <t>Ponomarev</t>
  </si>
  <si>
    <t>Director, Government Relations</t>
  </si>
  <si>
    <t>dponomarev@enplus.ru</t>
  </si>
  <si>
    <t>Mr. Dmitry Ponomarev serves as Director, Government Relations at En+ Group.</t>
  </si>
  <si>
    <t>227805-67P</t>
  </si>
  <si>
    <t>Dominique Fraisse</t>
  </si>
  <si>
    <t>Fraisse</t>
  </si>
  <si>
    <t>Dominique</t>
  </si>
  <si>
    <t>Mr. Dominique Fraisse served as Board Member at En+ Group. From January 2013 to December 2017, Dominique Fraisse served as Global Head of Energy &amp; Commodities and was responsible for structured and commodity trade Finance. From 2007 to 2013, Mr. Fraisse held the position of Deputy Head of Global Energy &amp; Commodities at Natixis. Before that, from 2001 to 2007, he served as Global Head of Metals for Natixis Banques Populaires. From 1997 to 2001, Mr. Fraisse was Head of Commodities, South America at Natixis in Sao Paulo. From 1989 to 1997, he served at Banque Française du Commerce Extérieur where he started with the position of account officer in the commercial banking department Bordeaux, and then served as Head of South-East Asia at the International Division.</t>
  </si>
  <si>
    <t>15657-76P</t>
  </si>
  <si>
    <t>Donald Dixon</t>
  </si>
  <si>
    <t>Amprius Technologies</t>
  </si>
  <si>
    <t>Dixon</t>
  </si>
  <si>
    <t>Donald</t>
  </si>
  <si>
    <t>www.amprius.com</t>
  </si>
  <si>
    <t>+1 (800) 425-8803</t>
  </si>
  <si>
    <t>1180 Page Avenue</t>
  </si>
  <si>
    <t>94538</t>
  </si>
  <si>
    <t>Mr Donald Dixon serves as Chairman of the Board at Amprius Technologies and as a Board Member at Advanced Payment Solutions (Nashville). Mr Dixon co-founded and served as Chief Executive Officer and Board Member at Concourse Labs. He served as a Board Member at 2Checkout (Acquired 2017). He has served as the Chair of the Amprius Board since December 2016. He has also served as a Director of Amprius since June 2009. In 1993, he co-founded and has since served as Managing Director of Trident Capital, a venture capital fund, and in 2015, he co-founded and has since served as the Managing Director of ForgePoint Capital, an investment firm focused on cybersecurity. Before Trident Capital, he was the President at Partech International, a private equity fund associated with Banque Paribas, a Managing Director at Alex. Brown &amp; Sons and a Vice President at Morgan Stanley. He has previously served on the boards of directors of the publicly held companies IronNet, Qualys and Top Image Systems and also serves as a Director of several privately held companies. He served as a Board Member at Concourse Labs. He is a member of the Leadership Council of the Princeton University School of Engineering and Applied Sciences. He holds a B.S.E. degree in Aerospace Engineering from Princeton University and an M.B.A. from the Stanford Graduate School of Business.</t>
  </si>
  <si>
    <t>447816-43P</t>
  </si>
  <si>
    <t>Doris Prokosch</t>
  </si>
  <si>
    <t>Prokosch</t>
  </si>
  <si>
    <t>Doris</t>
  </si>
  <si>
    <t>Chief People Officer</t>
  </si>
  <si>
    <t>dprokosch@v-er.eu</t>
  </si>
  <si>
    <t>Ms. Doris Prokosch serves as Chief People Officer at Vulcan Energy Resources. She brings over three decades of Human Resources experience in companies of various sizes, from medium-sized enterprises to internationally operating corporations. Her career spans industries such as banking, electronic devices, IT, services, manufacturing, and construction. Most recently, she held senior leadership positions as Head of Human Resources and Senior Vice President of Human Resources. Her broad expertise covers both strategic and operational HR topics, from organizational and employee development to recruiting, labor law, and the implementation of complex transformation processes.</t>
  </si>
  <si>
    <t>223579-36P</t>
  </si>
  <si>
    <t>Douglas Rauch</t>
  </si>
  <si>
    <t>Sprouts Farmers Market</t>
  </si>
  <si>
    <t>Rauch</t>
  </si>
  <si>
    <t>www.sprouts.com</t>
  </si>
  <si>
    <t>Phoenix, AZ</t>
  </si>
  <si>
    <t>5455 East High Street</t>
  </si>
  <si>
    <t>Suite 111</t>
  </si>
  <si>
    <t>Phoenix</t>
  </si>
  <si>
    <t>85054</t>
  </si>
  <si>
    <t>Mr. Douglas Rauch serves as an Executive Partner at Apta Capital. He serves as a Board Member at Sprouts Farmers Market. He serves as a Board Member at Par Technology. He served as a Board Member &amp; Advisor at Imperfect Foods. He spent 31 years with Trader Joe's Company, the last 14 years as President, until his retirement in June 2008. Since June 2015, He has served as the Founder/President of Daily Table, an innovative non-profit retail solution to bring affordable nutrition to the food insecure in Boston's inner city. He previously served as CEO of Conscious Capitalism, Inc. from August 2011 to July 2017, where he continues to serve as a director. Since February 2020, He has served as a director of Sprouts Farmers Market, Inc. (NASDAQ: SFM), a grocery store offering affordable, fresh, natural, and organic products, where he serves as the Chair of the Audit Committee. From October 2009 to October 2019, He served as a trustee at the Olin College of Engineering, and he serves as a director or an advisory board member of several for-profit and non-profit companies. He brings extensive knowledge and operational experience in the food service/grocery industry and strategic implementation and leadership skills, providing insights and perspectives important to us as a provider of technology solutions to restaurants and retail.</t>
  </si>
  <si>
    <t>411682-15P</t>
  </si>
  <si>
    <t>Duncan Perry</t>
  </si>
  <si>
    <t>Perry</t>
  </si>
  <si>
    <t>Duncan</t>
  </si>
  <si>
    <t>duncan.perry@veon.com</t>
  </si>
  <si>
    <t>Mr. Duncan Perry serves as a Board Member at Veon. He is a lawyer with 30 years of legal experience and has been a senior legal adviser at the international investment firm LetterOne since July 2023. Prior to this, he was a general counsel and entrepreneur for 10 years, involved in a number of diverse projects, including being a founding team member and director of the UK regulated FinTech bank Kroo. He was Global General Counsel at Barclays Wealth for 7 years, where he was a member of the Barclays Wealth executive committee and responsible for legal and compliance risk across 24 jurisdictions. At Barclays he was a member of several committees, including the chair of the Risk and Reputation Committee. He also previously had roles, including European COO and General Counsel of the hedge fund Amaranth and European Head of Compliance (FIRC) at UBS Investment Bank, where he was also Global legal head of Syndicated Finance and Debt Trading. Prior to this, he was a banking lawyer at both Sherman &amp; Sterling and Allen &amp; Overy, in London and New York. He attended Exeter University where he obtained a First Class law degree. He is currently an adjunct lecturer at Exeter University Business School on the MSc FinTech programme. He is also currently a board member of a charity which helps students from underrepresented communities obtain employment at elite institutions.</t>
  </si>
  <si>
    <t>224033-86P</t>
  </si>
  <si>
    <t>Eduardo Flores</t>
  </si>
  <si>
    <t>Flores</t>
  </si>
  <si>
    <t>Eduardo</t>
  </si>
  <si>
    <t>Manager, Business Development</t>
  </si>
  <si>
    <t>+1 (713) 946-1348</t>
  </si>
  <si>
    <t>Mr. Eduardo Flores served as Manager, Business Development at Vulcan Materials Company.</t>
  </si>
  <si>
    <t>236458-45P</t>
  </si>
  <si>
    <t>Einar Roosileht</t>
  </si>
  <si>
    <t>Rush Street Interactive</t>
  </si>
  <si>
    <t>Roosileht</t>
  </si>
  <si>
    <t>Einar</t>
  </si>
  <si>
    <t>www.rushstreetinteractive.com</t>
  </si>
  <si>
    <t>+1 (312) 800-5760</t>
  </si>
  <si>
    <t>roosileht@rushstreetinteractive.com</t>
  </si>
  <si>
    <t>900 North Michigan Avenue</t>
  </si>
  <si>
    <t>Suite 950</t>
  </si>
  <si>
    <t>60611</t>
  </si>
  <si>
    <t>Mr. Einar Roosileht serves as Chief Information Officer at Rush Street Interactive. She has served as Rush Street Interactive's Chief Information Officer since December 2013. He oversees RSI's Product and Engineering. Prior to joining RSI, Mr. Roosileht co-founded Oryx Gaming in 2010, an online gaming platform provider, where he served as CTO. From 2006 to 2008, Mr. Roosileht served as Chief Architect at Playtech Estonia, where he specifically focused on developing scalable systems. Mr. Roosileht studied Computer Science at the University of Tartu.</t>
  </si>
  <si>
    <t>14863-69P</t>
  </si>
  <si>
    <t>Ejaz Khan</t>
  </si>
  <si>
    <t>Khan</t>
  </si>
  <si>
    <t>Ejaz</t>
  </si>
  <si>
    <t>Vice President, Controller &amp; Chief Information Officer</t>
  </si>
  <si>
    <t>Mr. Ejaz Khan served as Vice President, Controller and Chief Information Officer at Vulcan Materials Company. Beginning in 1979 as a personnel systems specialist, he has held a number of positions in several of the Company's divisions during his thirty years with Vulcan. Mr. Khan has a bachelor's degree in electrical engineering from Massachusetts Institute of Technology and a master's degree from Wharton School of Business.</t>
  </si>
  <si>
    <t>72048-88P</t>
  </si>
  <si>
    <t>Ekaterina Nikitina</t>
  </si>
  <si>
    <t>Nikitina</t>
  </si>
  <si>
    <t>Ekaterina</t>
  </si>
  <si>
    <t>Ms. Ekaterina Nikitina served as Board Member at En+ Group. She is in charge of the HR management strategy of En+ Group, the implementation of staff motivation policies and the candidate pool programs within En+ Group. Prior to joining En+ Group, Ekaterina Nikitina served on the Board of Directors at SMR Group and United Co. RUSAL Plc. Ms. Nikitina was previously employed as a Director-Human Resources by En+ Management LLC, a Director-Human Resources by Basic Element LLC, a Manager by Antal International Ltd., a Manager by Artis Consulting Ltd., a Manager by Ernst &amp; Young LLP /UK/, and a Manager by Morgan Chase Ltd. She also served on the board at United Engine Corp. JSC, Strikeforce Mining &amp; Resources Ltd., and EuroSibEnergo Plc. She received her undergraduate degree from Taurida National V I Vernadsky University and a graduate degree from The Russian Presidential Academy of National Economy &amp; Public.</t>
  </si>
  <si>
    <t>227805-58P</t>
  </si>
  <si>
    <t>Ekaterina Tomilina</t>
  </si>
  <si>
    <t>Tomilina</t>
  </si>
  <si>
    <t>Ms. Ekaterina Tomilina serves as Board Member at En+ Group Ltd.</t>
  </si>
  <si>
    <t>307090-81P</t>
  </si>
  <si>
    <t>Elena Egorova</t>
  </si>
  <si>
    <t>Flexion Mobile</t>
  </si>
  <si>
    <t>Egorova</t>
  </si>
  <si>
    <t>Elena</t>
  </si>
  <si>
    <t>www.flexion.games</t>
  </si>
  <si>
    <t>Director, Mergers &amp; Acquisitions</t>
  </si>
  <si>
    <t>+44 (0)20 7351 5944</t>
  </si>
  <si>
    <t>eegorova@flexion.games</t>
  </si>
  <si>
    <t>Unit G5, Harbour Yard</t>
  </si>
  <si>
    <t>Chelsea Harbour</t>
  </si>
  <si>
    <t>SW10 0XD</t>
  </si>
  <si>
    <t>Ms. Elena Egorova serves as Director, Mergers &amp; Acquisitions at Flexion Mobile. She previously served as Director Corporate Development at EG7 from 2020 to 2021, Head of International Relations at Mail.ru Group in 2019, Senior International BD at Mail.ru Group from 2017 to 2018, Business Development Manager Russia at Criteo from 2015 to 2017, Teamlead Business Development Avazu EU at Avazu Holding in 2015, Business Development Manager at ad2games from 2014 to 2015, and Business Development Manager at Dynamic Pixels from 2012 to 2014. She completed her degree in Project Management at Moscow State Academy of Business Administration in 2013.</t>
  </si>
  <si>
    <t>398127-07P</t>
  </si>
  <si>
    <t>Elena Golm</t>
  </si>
  <si>
    <t>Golm</t>
  </si>
  <si>
    <t>Director, Business Development &amp; Head, Mergers &amp; Acquisitions</t>
  </si>
  <si>
    <t>Ms. Elena Golm serves as Director, Business Development &amp; Head, Mergers &amp; Acquisitions at NOVATEK (Russia).</t>
  </si>
  <si>
    <t>72050-14P</t>
  </si>
  <si>
    <t>Elena Rollins</t>
  </si>
  <si>
    <t>Rollins</t>
  </si>
  <si>
    <t>Director of Public Relations</t>
  </si>
  <si>
    <t>Ms. Elena Rollins served as a Director of Public Relations at En+ Group. Previously, she served as a Regional Communications Advisor at Shell.</t>
  </si>
  <si>
    <t>389262-97P</t>
  </si>
  <si>
    <t>Elizabeth Brooks</t>
  </si>
  <si>
    <t>Brooks</t>
  </si>
  <si>
    <t>Elizabeth</t>
  </si>
  <si>
    <t>Head of Investor Relations</t>
  </si>
  <si>
    <t>elizabeth.brooks@harbourenergy.com</t>
  </si>
  <si>
    <t>Ms. Elizabeth Brooks serves as Head of Investor Relations at Harbour Energy.</t>
  </si>
  <si>
    <t>227667-52P</t>
  </si>
  <si>
    <t>Emanuela Delucchi</t>
  </si>
  <si>
    <t>Delucchi</t>
  </si>
  <si>
    <t>Emanuela</t>
  </si>
  <si>
    <t>Chief ESG, Investor Relations &amp; Communication Officer</t>
  </si>
  <si>
    <t>+39 010 2401806</t>
  </si>
  <si>
    <t>edelucchi@erg.eu</t>
  </si>
  <si>
    <t>Ms. Emanuela Delucchi serves as Chief ESG, Investor Relations &amp; Communication Officer at ERG.</t>
  </si>
  <si>
    <t>91525-42P</t>
  </si>
  <si>
    <t>Enrico Vezzani</t>
  </si>
  <si>
    <t>Vezzani</t>
  </si>
  <si>
    <t>Enrico</t>
  </si>
  <si>
    <t>Head of Development Management Control</t>
  </si>
  <si>
    <t>Mr. Enrico Vezzani served as Head of Development Management Control at ERG. Mr. Enrico Vezzani served as an Executive, Mergers &amp; Acquisitions at ERG. Previously, he served as a Consultant at TBridge.</t>
  </si>
  <si>
    <t>200438-74P</t>
  </si>
  <si>
    <t>Enrique Molina</t>
  </si>
  <si>
    <t>Molina</t>
  </si>
  <si>
    <t>Enrique</t>
  </si>
  <si>
    <t>Chief Financial Officer &amp; Member of Management Board</t>
  </si>
  <si>
    <t>Mr. Enrique Molina served as Chief Financial Officer &amp; Member of Management Board at DIA Group. He has a Bachelor's Degree in Economic and Business Sciences from the Universidad de Sevilla (including an academic year at University College Dublin with an Erasmus grant). He is a member of the Registro Official de Auditores de Cuentas (ROAC - Official Registry of Accounts Auditors) of the Ministry of the Treasury. Enrique Weickert began his career in 1996 at Arthur Andersen, and in September 2005 he joined Fertiberia as Financial Director. In January 2010 he was appointed Financial Director of the OHL Group, where he remained almost until he joined DIA as Financial Directors in December 2018.</t>
  </si>
  <si>
    <t>287269-39P</t>
  </si>
  <si>
    <t>Enrique Nogueira</t>
  </si>
  <si>
    <t>HolaLuz (Former)</t>
  </si>
  <si>
    <t>Nogueira</t>
  </si>
  <si>
    <t>www.holaluz.com</t>
  </si>
  <si>
    <t>Mr. Enrique Tellado Nogueira , Degree in Business Administration from the Complutense University - CEU San Pablo, having completed his training at the ESCE (Ecole Superieure du Commerce Exterieur) in Paris and at the London School of Economics. He is currently Managing Director of EVO Banco, within the Bankinter Group. He has been CEO of EVO Banco, directing its restructuring and growth plan under the ownership of Apollo Global Management (American Private Equity firm listed on NYSE). Advisor for the Spanish market of Elliott Associates (American activist Hedge Fund) participating in different special situations transactions. Chief Financial Officer at Novacaixagalicia and consultant at McKinsey &amp; Co. and The Boston Consulting Group, participating mainly in projects related to the financial sector.</t>
  </si>
  <si>
    <t>72047-80P</t>
  </si>
  <si>
    <t>Evgeny Fokin</t>
  </si>
  <si>
    <t>Fokin</t>
  </si>
  <si>
    <t>Evgeny</t>
  </si>
  <si>
    <t>Director of International Cooperation</t>
  </si>
  <si>
    <t>Mr. Evgeny Fokin served as Director of International Cooperation at En+ Group. Previously, he served as a Director of Public Relations at Basic Element.</t>
  </si>
  <si>
    <t>72048-52P</t>
  </si>
  <si>
    <t>Evgeny Masternak</t>
  </si>
  <si>
    <t>Masternak</t>
  </si>
  <si>
    <t>Managing Director</t>
  </si>
  <si>
    <t>Mr. Evgeny Masternak served as a Managing Director at En+ Group.</t>
  </si>
  <si>
    <t>33268-60P</t>
  </si>
  <si>
    <t>Evgeuni Goland</t>
  </si>
  <si>
    <t>Goland</t>
  </si>
  <si>
    <t>Evgeuni</t>
  </si>
  <si>
    <t>Director &amp; Co-Founder</t>
  </si>
  <si>
    <t>Mr. Evgeuni Goland was a Co-Founder and served as Director at Mail.Ru Group.</t>
  </si>
  <si>
    <t>217475-02P</t>
  </si>
  <si>
    <t>F. Noel</t>
  </si>
  <si>
    <t>Vulcan Minerals</t>
  </si>
  <si>
    <t>Noel</t>
  </si>
  <si>
    <t>F.</t>
  </si>
  <si>
    <t>www.vulcanminerals.ca</t>
  </si>
  <si>
    <t>+1 (709) 754-3186</t>
  </si>
  <si>
    <t>cnoel@redmoonresources.com</t>
  </si>
  <si>
    <t>Saint John's, Canada</t>
  </si>
  <si>
    <t>333 Duckworth Street</t>
  </si>
  <si>
    <t>Saint John's</t>
  </si>
  <si>
    <t>Newfoundland and Labrador</t>
  </si>
  <si>
    <t>A1C 1G9</t>
  </si>
  <si>
    <t>Mr. Carson Noel serves as Board Member at Vulcan Minerals. Mr. Noel also serves as Board Member at Red Moon Resources. He is a lawyer and business consultant with more than 20 years of experience with exchange-listed companies from start-up through exploration and development. Mr. Noel earned his LL.B and MBA at Dalhousie University and a B.Com (Co-Op) from the Memorial University of Newfoundland. Carson has worked extensively in several Latin American locations as well as Northern Ireland. He is founding Director and Past President of the Ecuador-Canada Chamber of Commerce, Past Director of the Ecuadorian Chamber of Mines, former full-time consultant to the Canadian Commercial Corporation and a member of the Law Society of Newfoundland and Labrador.</t>
  </si>
  <si>
    <t>217487-08P</t>
  </si>
  <si>
    <t>Faisal Alsuwaidi</t>
  </si>
  <si>
    <t>Rosneft</t>
  </si>
  <si>
    <t>Alsuwaidi</t>
  </si>
  <si>
    <t>Faisal</t>
  </si>
  <si>
    <t>www.rosneft.com</t>
  </si>
  <si>
    <t>Chairman of HR and Remuneration Committee</t>
  </si>
  <si>
    <t>+7 (8)499 517 8899</t>
  </si>
  <si>
    <t>26/1, Sofiyskaya Embankment</t>
  </si>
  <si>
    <t>Russian Federation</t>
  </si>
  <si>
    <t>117997</t>
  </si>
  <si>
    <t>+7 (8)499 517 7235</t>
  </si>
  <si>
    <t>Mr. Faisal Alsuwaidi serves as Chairman of HR and Remuneration Committee at Rosneft. Mr. Alsuwaidi has been appointed to the board as non-executive director with effect from AGM 2017. Born in 1954. Graduated from Merton Technical College (UK) in 1978. Deserved governmental and institutional awards:French State Award Legion of Honor Excellent Work Certificate in the category of Honored Managers of the Arab World awarded by His Highness Sheikh Mohammed Bin Rashid Al Maktoum, Prime Minister of UAE and Emir of Dubai. Since 1992 till 1997 - Managing Director of Qatar Fertiliser Company. Since 1992 till 2010 - Member of the Board of Directors of Qatar Petroleum. Since 1992 till 2010 - Deputy Chairman of the Board of Directors of Qatar LNG Company. Since 1997 till 2010 - Managing Director of Qatar LNG Company. Since 2004 till 2010 - Deputy Chairman of the Board of Directors of Qatar Gas Transport Company. Since 2005 till 2010 - Member of the Board of Directors of Ras Laffan LNG Company. Since 2012 till 2018 - President of Research and Development at Qatar Foundation. Since 2018 till now - Member of the Board of Trustees at Qatar University. Since 2018 till now - Representative of Qatar Investment Authority
Member of the Board of Directos of Rosneft since 2017.Faisal Alsuwaidi does not hold any shares of Rosneft</t>
  </si>
  <si>
    <t>325056-34P</t>
  </si>
  <si>
    <t>Felicity Gooding</t>
  </si>
  <si>
    <t>Gooding</t>
  </si>
  <si>
    <t>Felicity</t>
  </si>
  <si>
    <t>fgooding@v-er.eu</t>
  </si>
  <si>
    <t>Ms. Felicity Gooding serves as Executive Director and Group Chief Financial Officer at Vulcan Energy Resources. She served as Acting Chief Financial Officer at Fortescue Future Industries. She served in fix-it roles and executive positions within Dr Forrest's business empire for almost a decade before her shock resignation. She has held key posts at the Forrest family Minderoo philanthropic foundation, its Tattarang private business empire, and Fortescue at different times. Her experience has been gained across multiple industries relevant to Vulcan including energy, mining, and infrastructure. Most recently She was CFO and Global Head of Commercial at Fortescue Future Industries, where she led the finance team, including the specialist project financing team responsible for securing finance to enable financial investment decisions for green energy projects.</t>
  </si>
  <si>
    <t>438156-64P</t>
  </si>
  <si>
    <t>Felix Lib</t>
  </si>
  <si>
    <t>M.Video</t>
  </si>
  <si>
    <t>Lib</t>
  </si>
  <si>
    <t>Felix</t>
  </si>
  <si>
    <t>www.mvideoeldorado.ru</t>
  </si>
  <si>
    <t>Co-Chief Executive Officer</t>
  </si>
  <si>
    <t>+7 (8)800 600 7775</t>
  </si>
  <si>
    <t>felix.lib@mvideo.ru</t>
  </si>
  <si>
    <t>Street Nizhnyaya Krasnoselskaya, 40/12</t>
  </si>
  <si>
    <t>Building 20, Floor 5, Room II, Room 3</t>
  </si>
  <si>
    <t>105066</t>
  </si>
  <si>
    <t>Mr. Felix Lib serves as Co-Chief Executive Officer at M.Video. Before joining M.Video, he was the CEO of cosmetics manufacturer Natura Siberica. He stepped down and became the Chairman of the company's board in August 2024. From 2012 to 2021, he held various positions at AFK Sistema , including serving as the corporation's Executive Director.</t>
  </si>
  <si>
    <t>424701-46P</t>
  </si>
  <si>
    <t>Feyyaz Etiz</t>
  </si>
  <si>
    <t>Etiz</t>
  </si>
  <si>
    <t>Feyyaz</t>
  </si>
  <si>
    <t>Vice President - Mergers &amp; Acquisitions Economic Modelling and Analysis</t>
  </si>
  <si>
    <t>feyyaz.etiz@harbourenergy.com</t>
  </si>
  <si>
    <t>Mr. Feyyaz Etiz serves as Vice President - Mergers &amp; Acquisitions Economic Modelling and Analysis at Harbour Energy.</t>
  </si>
  <si>
    <t>217561-69P</t>
  </si>
  <si>
    <t>Fleetwood Hassell</t>
  </si>
  <si>
    <t>Bank Of South Carolina</t>
  </si>
  <si>
    <t>Hassell</t>
  </si>
  <si>
    <t>Fleetwood</t>
  </si>
  <si>
    <t>www.banksc.com</t>
  </si>
  <si>
    <t>+1 (843) 724-1500</t>
  </si>
  <si>
    <t>Charleston, SC</t>
  </si>
  <si>
    <t>256 Meeting Street</t>
  </si>
  <si>
    <t>Charleston</t>
  </si>
  <si>
    <t>29401</t>
  </si>
  <si>
    <t>+1 (803) 724-1513</t>
  </si>
  <si>
    <t>Mr. Hassell has been with the Bank since its organization in 1986. During his career of over thirty five years in banking, Mr. Hassell has held the position of Assistant Vice President, Vice President, Senior Vice President, Executive Vice President, Senior Lender, and now, President/Chief Executive Officer. Born and raised in Charleston, SC, Mr. Hassell earned a BS and MBA from the University of South Carolina School of Business. He was elected to the Board of Directors of the Bank and the Company in 2006. Currently, Mr. Hassell is the Chairman of the Trident United Way and serves on the College of Charleston Foundation Board, and the South Carolina Bankers Association Board. Mr. Hassell previously served on the South Carolina State Board of Financial Institutions and the Association of the Blind and Visually Impaired Board. Mr. Hassell serves on the Executive/Long-Range Planning Committee, Asset Liability/Investment Committee, Community Reinvestment Act Committee, and Loan Committee.</t>
  </si>
  <si>
    <t>226109-26P</t>
  </si>
  <si>
    <t>Francis Wedin</t>
  </si>
  <si>
    <t>Wedin</t>
  </si>
  <si>
    <t>Francis</t>
  </si>
  <si>
    <t>Founder and Executive Chair</t>
  </si>
  <si>
    <t>fwedin@v-er.eu</t>
  </si>
  <si>
    <t>Mr. Francis Wedin is a Co-Founder and serves as Executive Chairman at Vulcan Energy Resources. He is a battery material and renewable energy industry executive, focused on developing global-scale decarbonisation opportunities. He founded Vulcan Energy and its Zero Carbon Lithium Business, a dual renewables and lithium chemicals company, and the world's first zero fossil fuels, carbon neutral lithium project. He was previously Executive Director of ASX-listed Exore Resources, where he developed two new lithium resources, on two continents. He is bilingual, has a PhD and BSc (Hons) in geology, an MBA in renewable energy, is a Fellow of the Geological Society, London, and a member of the Australasian Institute of Mining and Metallurgy.</t>
  </si>
  <si>
    <t>421724-53P</t>
  </si>
  <si>
    <t>Francisco Javier Campo</t>
  </si>
  <si>
    <t>CaixaBank</t>
  </si>
  <si>
    <t>Campo</t>
  </si>
  <si>
    <t>Francisco Javier</t>
  </si>
  <si>
    <t>www.caixabank.com</t>
  </si>
  <si>
    <t>Board Member &amp; Member of the Audit, Control, Appointments, Sustainability, Innovation, Technology and Digital Transformation</t>
  </si>
  <si>
    <t>Valencia, Spain</t>
  </si>
  <si>
    <t>2-4 Pintor Sorolla Street</t>
  </si>
  <si>
    <t>Valencia</t>
  </si>
  <si>
    <t>46002</t>
  </si>
  <si>
    <t>Mr. Francisco Javier Campo serves as Board Member &amp; Member of the Audit, Control, Appointments, Sustainability, Innovation, Technology and Digital Transformation Committees at CaixaBank. Mr. Francisco was previously on the Board of Directors of Bankia, was Chairman of the Audit and Compliance Committee and the Risk Advisory Committee, and a member of the Appointments and Responsible Management Committee, the Technology and Innovation Committee and the Delegated Risk Committee. Until June of 2024 he was a member of the Board of Directors of Meliá Hotels International, S.A., Chairman of its Audit and Compliance Committee, and Chairman of its Appointments, Remuneration and Corporate Social Responsibility Committee. He started his career in Arthur Andersen, was the global Chairman of the Dia Group, member of the Global Executive Committee of the Carrefour Group and member of the global Board with direct responsibility for IT, supply chain and food globally, and Chairman of the Zena Group and the Cortefiel Group.</t>
  </si>
  <si>
    <t>291868-93P</t>
  </si>
  <si>
    <t>Francois Vezina</t>
  </si>
  <si>
    <t>Vezina</t>
  </si>
  <si>
    <t>Francois</t>
  </si>
  <si>
    <t>vezinaf@falcores.com</t>
  </si>
  <si>
    <t>Mr. Francois Vezina serves as Vice President, Technical Services at Falco Resources. He is a Mining Engineer with over 17 years of experience in mining and has extensive experience in open pit and underground operations in Canada, Mexico and Finland. Mr. Vezina was Technical Service Manager for Agnico-Eagle Mines Limited and was responsible for overseeing the completion of the feasibility studies of LaRonde II, Pinos Altos and Kittila. Mr. Vezina participated in the construction and commissioning of Pinos Altos as Mine Development Manager and Kittila as Mine Operations Manager before joining OMC and participating as Mine Manager in the construction of the Canadian Malartic Mine. He served for over 5 years as Mine Operations Manager at the Canadian Malartic Mine. Mr. Vezina is a specialist in mine operation optimization and is recognized for innovative mining techniques and optimization of feasibility studies. He was appointed Chief Operating Officer of Barkerville Gold Mines Ltd. from October 2018 to June 2019 and prior to such appointment, he acted as Vice President of Project Development from October 2018 to September 2016. On November 25, 2020, he was appointed as Vice President, Technical Services of Osisko Development. Mr. Vezina holds a Bachelor's degree in Mining Engineering and a Master's in Business Administration (MBA). He is a registered Engineer (Eng.) in Quebec and (P.Eng.) in Ontario.</t>
  </si>
  <si>
    <t>49423-33P</t>
  </si>
  <si>
    <t>Franz Humer Ph.D</t>
  </si>
  <si>
    <t>Allogene Therapeutics</t>
  </si>
  <si>
    <t>Humer</t>
  </si>
  <si>
    <t>Franz</t>
  </si>
  <si>
    <t>www.allogene.com</t>
  </si>
  <si>
    <t>+1 (650) 457-2700</t>
  </si>
  <si>
    <t>South San Francisco, CA</t>
  </si>
  <si>
    <t>210 East Grand Avenue</t>
  </si>
  <si>
    <t>South San Francisco</t>
  </si>
  <si>
    <t>94080</t>
  </si>
  <si>
    <t>Dr. Franz Humer serves as a Board Member at Allogene Therapeutics. He also serves as a Venture Partner and Senior Advisor at Pappas Capital. He served as a Board Member at LetterOne. He serves as Non-Executive Director at L1 Health. He served as Co-Chairman at PCI Pharma Services. He served as a Board Member at Cydar Medical. He has served as a member of the board of directors since April 2018. He served as a Board Member at Arix Bioscience. He previously served as a member of the board of directors of Kite from September 2015 until October 2017. He has also served as an independent director of Citigroup Inc. since 2012 and Chugai Pharmaceuticals Ltd. (Japan) since 2002. He also serves as a director of Bial Pharmaceuticals (Portugal), WISeKey (Cyber Security Company, Switzerland), and as a member of the International Advisory Board of Allianz SE. He served as Chairman of Diageo plc from 2005 to 2017. In addition, he served as Head of Pharmaceuticals and then as Chief Operating Officer of F. Hoffmann-La Roche Ltd. from 1996 to 1998, before serving as Chief Executive Officer of Roche Group from 1998 to 2001 and later as chairman and Chief Executive Officer from 2001 to 2008. His tenure as Chairman of Roche Holding Ltd. extended from 2008 to 2014. Before joining Roche Group, he served on the board of Glaxo Holdings plc and was responsible for research, business development, manufacturing, commercial strategy, and all non-US operations for 13 years. In 1973, he joined Schering Plough Corporation, where he held various General Management positions in Latin America and Europe. He attended the University of Innsbruck, where he obtained a PhD in Law, and INSEAD in Fontainebleau, where he obtained an MBA.</t>
  </si>
  <si>
    <t>261798-04P</t>
  </si>
  <si>
    <t>G. Farris</t>
  </si>
  <si>
    <t>Farris</t>
  </si>
  <si>
    <t>G.</t>
  </si>
  <si>
    <t>+1 (202) 600-3300</t>
  </si>
  <si>
    <t>Washington, DC</t>
  </si>
  <si>
    <t>600 New Hampshire Avenue Northwest</t>
  </si>
  <si>
    <t>Suite 1200</t>
  </si>
  <si>
    <t>Washington</t>
  </si>
  <si>
    <t>District of Columbia</t>
  </si>
  <si>
    <t>Mr. G. Steven Farris serves Board Member at Harbour Energy. He serves as Board Member at MidOcean Energy. He served as Chairman and Chief Executive Officer of Apache Corporation, an oil and natural gas exploration and production company with operations in the United States, Canada, the United Kingdom sector of the North Sea, Egypt and Australia. He was named chairman of Apache in January 2009, upon the retirement of company Founder Raymond Plank. He was promoted to president in 1994 and Chief Executive Officer in May 2002. Mr. Farris joined Apache in June 1988 as vice president of domestic exploration and production and was promoted to senior vice president in May 1991. Prior to joining Apache, he was Vice President of finance and business development of Terra Resources, a subsidiary of Sempra Energy. Before working at Terra, he was executive vice president of Robert W. Berry, Inc., an independent exploration and production company. He began his career with Deloitte, Haskins &amp; Sells as a Certified Public Accountant, earning his CPA license in 1972. Mr. Farris is the former chairman of America's Natural Gas Alliance, the American chairman of the US-Egypt Business Council, a member of the Business Roundtable, a member of the Executive Committee of the M.D. Anderson Cancer Center Board of Visitors and a member of the Fund for Teachers Board of Directors. He holds bachelor's degrees in history and accounting from Oklahoma State University. Mr. Farris has served as a non-executive director of Chrysaor Holdings Ltd since 2017 and has been a member of the Board of Directors of Harbour Direct Holdings Limited since 2015.</t>
  </si>
  <si>
    <t>255156-22P</t>
  </si>
  <si>
    <t>Gaoxiang Hu</t>
  </si>
  <si>
    <t>Occidental Petroleum (Former)</t>
  </si>
  <si>
    <t>Hu</t>
  </si>
  <si>
    <t>Gaoxiang</t>
  </si>
  <si>
    <t>www.oxy.com</t>
  </si>
  <si>
    <t>Mr. Gary Hu serves as Board Member and Member of Advisory Committee and Audit Committee at Occidental Petroleum. He serves as a Board of Director at Dana (Automotive). He has served as a Portfolio Manager of Icahn Capital LP, the entity through which Carl C. Icahn manages investment funds, since October 2020. Prior to joining Icahn Capital LP, he held investment management roles at Silver Point Capital LP, a credit-focused investment fund, and Stockbridge Investors, the public securities affiliate of Berkshire Partners LLC, a leading middle market private equity firm. He graduated summa cum laude from the University of Pennsylvania with a B.S. Econ in Finance and Accounting from The Wharton School and a B.A.S. in Computer Science from the School of Engineering and Applied Science.</t>
  </si>
  <si>
    <t>144973-36P</t>
  </si>
  <si>
    <t>Gary Gultekin</t>
  </si>
  <si>
    <t>Mondelēz Global (Former)</t>
  </si>
  <si>
    <t>Gultekin</t>
  </si>
  <si>
    <t>Gary</t>
  </si>
  <si>
    <t>www.mondelezinternational.com</t>
  </si>
  <si>
    <t>Senior Director, Global Procurement, Supply Chain, Strategic Sourcing (Mergers and Acquisitions)</t>
  </si>
  <si>
    <t>Mr. Gary Gultekin serves as a Vice President Global Program Management Operations at Icahn Enterprises. Prior to that, he served as Senior Director, Global Procurement, Supply Chain, Strategic Sourcing (Mergers and Acquisitions) at Mondelez International.</t>
  </si>
  <si>
    <t>293876-11P</t>
  </si>
  <si>
    <t>Gary Hu</t>
  </si>
  <si>
    <t>Bausch + Lomb (Former)</t>
  </si>
  <si>
    <t>www.bausch.com</t>
  </si>
  <si>
    <t>Mr Gary Hu Board Member at Newell Brands. He serves as serves as Board Member &amp; Member of Audit and Innovation Committee at International Flavors &amp; Fragrances. Since October 2020, he has served as Portfolio Manager of Icahn Capital LP, a subsidiary of Icahn Enterprises L.P., a diversified holding company engaged in a variety of businesses including investment, energy, automotive, food packaging, real estate, home fashion and pharma. Prior to joining Icahn Capital LP, he spent eight years as an analyst at Silver Point Capital, a credit and special situations focused investments firm. Mr. Hu started his career in 2010 as an analyst at Stockbridge Investors, the public equities affiliate of Berkshire Partners. Mr. Hu currently serves on the boards of directors of International Flavors &amp; Fragrances, Inc., Bausch and Lomb Corp. and Dana Inc. Mr. Hu received his Bachelor of Science Degree, Summa Cum Laude, in Finance and Accounting from Wharton School of the University of Pennsylvania and his Bachelor of Science Degree, Summa Cum Laude, in Computer Science from the University of Pennsylvania.</t>
  </si>
  <si>
    <t>68609-80P</t>
  </si>
  <si>
    <t>Gary King</t>
  </si>
  <si>
    <t>T-Mobile US (Former)</t>
  </si>
  <si>
    <t>King</t>
  </si>
  <si>
    <t>www.t-mobile.com</t>
  </si>
  <si>
    <t>Executive Vice President and Chief Information Officer</t>
  </si>
  <si>
    <t>Mr. Gary King served as T-Mobile US's Executive Vice President and Chief Information Officer. He served as a Board Member at Swan AI Studios. Prior to joining T-Mobile US, he served as Executive Vice President and Chief Information Officer of Chico's FAS, Inc. from October 2004 to April 2013. Previously, He was the Chief Information officer of Barnes &amp; Noble Inc. from May 2002 to October 2004 and also served as its Vice President. Prior to that, Mr. King served as Executive Vice President - Operations of Barnesandnoble.com since December 31, 2001 and its Chief Technology Officer from January 1999 to May 2002. Prior to that, he spent ten years from 1988 to 1999 with Avon Products, Inc., and served as its Vice President, Global Information Technology from 1996 to 1999. He also held various systems management positions with Unisys Corporation and Borroughs Corporation from 1982 to 1987. He serves on the Advisory Boards of Center for Supply Chain Management at the University of Florida, Trident Capital and Pivotlink. Mr. King received a Bachelor of Science degree from the University of Florida with a major in computer science.</t>
  </si>
  <si>
    <t>36828-10P</t>
  </si>
  <si>
    <t>Gavin Rezos</t>
  </si>
  <si>
    <t>Rezos</t>
  </si>
  <si>
    <t>Gavin</t>
  </si>
  <si>
    <t>Non-Executive Deputy Chair</t>
  </si>
  <si>
    <t>grezos@v-er.eu</t>
  </si>
  <si>
    <t>Mr. Gavin Rezos serves as Non-Executive Deputy Chair at Vulcan Energy Resources. Executive Chair/CEO positions of three companies that grew from start-ups to the ASX 300. Extensive international investment banking experience. Investment banking Director of HSBC with senior multi-regional roles in investment banking, legal and compliance functions. Currently Chair of Resource and Energy Group, principal of Viaticus Capital, Non-Executive Director of Kuniko and Non-Executive Chair Resources &amp; Energy Group.</t>
  </si>
  <si>
    <t>185892-04P</t>
  </si>
  <si>
    <t>Gavin Street</t>
  </si>
  <si>
    <t>Street</t>
  </si>
  <si>
    <t>gavin.street@vulcan.co</t>
  </si>
  <si>
    <t>Mr. Gavin Street serves as Chief Commercial Officer at Vulcan Steel (Industrial Supplies and Parts). Mr. Gavin Street served as Chief Data &amp; Digital Officer, Secretary at Reece. Gavin is responsible for the company's commercial activities, including engagement with customers and business strategy. Prior to joining Vulcan, Gavin held a number of leadership positions including Chief Executive Officer roles at Lawrence &amp; Hanson Australia and Reece Group's Australia and New Zealand operations. He was also previously Group Chief Financial Officer and Chief Technology Officer at Reece Group, and before that was CFO at Westpac New Zealand.</t>
  </si>
  <si>
    <t>167873-77P</t>
  </si>
  <si>
    <t>Gavin Vandervegt</t>
  </si>
  <si>
    <t>Golconda Gold (Former)</t>
  </si>
  <si>
    <t>Vandervegt</t>
  </si>
  <si>
    <t>www.golcondagold.com</t>
  </si>
  <si>
    <t>Mr. Gavin Vandervegt served as Chief Financial Officer at Galane Gold. He has had extensive experience in Africa and held several senior finance positions in mining including Group Financial Controller at Nautilus Minerals, Finance Director at Katanga Mining and Commercial Controller at Xstrata Coal.</t>
  </si>
  <si>
    <t>115845-58P</t>
  </si>
  <si>
    <t>Gennady Gazin</t>
  </si>
  <si>
    <t>Veon (Former)</t>
  </si>
  <si>
    <t>Gazin</t>
  </si>
  <si>
    <t>Gennady</t>
  </si>
  <si>
    <t>+1 (646) 522-0314</t>
  </si>
  <si>
    <t>gg@roosh.vc</t>
  </si>
  <si>
    <t>Fort Pierce, FL</t>
  </si>
  <si>
    <t>130 South Indian River Drive</t>
  </si>
  <si>
    <t>Suite 202</t>
  </si>
  <si>
    <t>Fort Pierce</t>
  </si>
  <si>
    <t>Florida</t>
  </si>
  <si>
    <t>34950</t>
  </si>
  <si>
    <t>Mr. Gennady Gazin has served as a director of VEON Ltd. since June 2015 and served as an alternate director of VEON Ltd. from October 2014 until he was appointed a director. He served as a Partner and Advisor at Roosh Ventures. He also served as an Advisory Board Member at L1 Technology. He is serving as chairman of VEON Ltd.'s nominating and corporate governance committee and as a member of its audit and risk committee and its finance committee. He serves as a Board Member at Greenscreens.ai. He served as chairman of its special committee overseeing the internal investigation and the company's response to the inquiries by various authorities until its dissolution on August 3, 2016. He has served as an Affiliate Partner at Lindsay Goldberg, a New York-based private equity firm, since 2015; Chairman of the Board at Genesis Philanthropy Group since 2014; and a member of the advisory board of LetterOne Technology LLP since 2015 and DVO Private Equity since 2018. From 2007 to 2012, He served as CEO of EastOne, an international investment advisory group. Prior to EastOne, He worked at McKinsey &amp; Company's New York and Moscow offices for 14 years, during which time he was an active member of the Telecommunications practice and also served as the Senior Partner responsible for McKinsey's CIS practice. He started his professional career as a systems and telecommunications engineer at Bell Communications Research/Tellcordia and General Dynamics in the USA. He received a bachelor's degree in Electrical Engineering from Cornell University in 1987, a master's degree in Electrical Engineering from Stanford University in 1988, and an M.B.A. from the Wharton School of Business at the University of Pennsylvania in 1993. He served as an Advisor at Carggo.</t>
  </si>
  <si>
    <t>116452-81P</t>
  </si>
  <si>
    <t>Gennady Timchenko</t>
  </si>
  <si>
    <t>Timchenko</t>
  </si>
  <si>
    <t>+7 (8)495 777 5500</t>
  </si>
  <si>
    <t>gennady.timchenko@gunvorgroup.com</t>
  </si>
  <si>
    <t>16/1 Krzhizhanovskogo Street</t>
  </si>
  <si>
    <t>117218</t>
  </si>
  <si>
    <t>+7 (8)495 718 9065</t>
  </si>
  <si>
    <t>Mr. Gennady Timchenko serves as Director at Novatek (Russia). He is a Co-Founder of Novatek (Moscow). In 1976, Mr. Timchenko graduated from the Mechanical University in Leningrad with a degree in Electrical Engineering. He began his career at the Izhorsky Factory in Leningrad, an industrial plant which manufactured components for the energy industry. Between 1982 and 1988, he was a Senior Engineer at the Ministry of Foreign Trade. Mr. Timchenko has more than 20 years of experience in Russian and international energy industries. He has built interests in trading, logistics and transportation companies. In 1988, Mr. Timchenko became Vice President of Kirishineftekhimexport, the export and trading arm of the Kirishi Refinery in the Leningrad Region. In 1991, he joined Urals Finland which specialized in oil and petrochemical trading. Between 1994 and 2001, Mr. Timchenko was managing Director of IPP OY Finland and IPP AB Sweden. From 1997 to 2014, he was cofounder of Gunvor, a leading independent oil trading company. Mr. Timchenko was a member of the Board of Directors of OOO Transoil and OOO BalttransServicem, and Airfix Aviation OY. Mr. Timchenko has been member of NOVATEK Board of Directors since 2009. He is member of the Board of Directors of SIBUR Holding, the Chairman of the Board of Directors and President of the SKA St. Petersburg Ice Hockey Club, as well as the Chairman of the Board of Directors of OOO Kontinental Hockey League, a member of the Board of Trustees of the Russian Geographical Society, the Russian Co-Chairman of the Russian-Chinese Business Council, the Chairman of the Russian Olympic Committee Promotion Board and Vice-President of the Olympic Committee of the Russian Federation, the Chairman of the Economic Council of the Franco-Russian Chamber of Commerce (CCIFR). He is also a Co-founder at Gunvor Group.</t>
  </si>
  <si>
    <t>186501-70P</t>
  </si>
  <si>
    <t>George Willis</t>
  </si>
  <si>
    <t>Willis</t>
  </si>
  <si>
    <t>George</t>
  </si>
  <si>
    <t>george.willis@ups.com</t>
  </si>
  <si>
    <t>Mr. George Willis served as Board Member at Vulcan Materials Company. Mr. George Willis serves as President, U.S. Operations at United Parcel Service. George Willis is President of U.S. Operations for UPS with responsibility for all package delivery and logistics services for the world's largest economy. In the United States, UPS delivers and picks up more than 16 million packages each day and has 374,000 employees. George is a member of the company's Management Committee, which is responsible for long-term strategy and operating plans for the company's worldwide operations. Prior to his current role, George served as West Region president, with responsibility for all package delivery operations in 25 western states in the United States. Before serving as West Region president, he served as Managing Director for seven countries in Europe, while living in the U.K. In this role, he was responsible for operations, business development and strategy. In previous assignments, George was the East Carolina Chief Operating Officer, and led the group through the U.S. transformation which involved the integration of several territories into the current South Carolina region. George held several prior roles, including Vice President of U.S. Operations, as well as Vice President of UPS's retail unit, The UPS Store.</t>
  </si>
  <si>
    <t>84767-95P</t>
  </si>
  <si>
    <t>Giles Vardey</t>
  </si>
  <si>
    <t>Sportech (Former)</t>
  </si>
  <si>
    <t>Vardey</t>
  </si>
  <si>
    <t>Giles</t>
  </si>
  <si>
    <t>www.sportechplc.com</t>
  </si>
  <si>
    <t>Mr. Giles Vardey served as Chairman at Sportech (UK). He served as Advisory Board Member at CITE Investments. Giles Vardey is Chairman of London Capital Group Holding PLC, an AIM-listed company. He has worked in the financial services sector at both a senior management and board level for over 30 years. He is a Consultant to Asset Match Ltd, a new platform for trading private equity. Until recently, he was a Director at Aritas. Before that, Giles was Chairman of Plus Markets group, an AIM-listed stock exchange for smaller and growing companies, and Director of Collins Stewart Hawkpoint plc. Giles' previous Chairman roles in the last 10 years include Hunter Fleming Ltd (a venture-backed pharmaceutical company which was sold to Newron Spa of Italy), Trident Gaming Ltd (which sold its main business Gamebookers to Party Gaming PLC), The Boat Race Company (which organizes the world-famous annual Oxford and Cambridge Universities Boat Race) and Chairman of CQS Management (one of Europe's largest hedge funds). Prior to that, Giles was Chief Executive of Greig Middleton &amp; Co (part of Gerrard PLC). He was also on the main Gerrard PLC board and the company was sold to Old Mutual PLC in 2000. From 1997-8, he was President and CEO of Fidelity Brokerage Services. As a director on the main board of the London Stock Exchange, he also led the Exchange's listings to drive in Europe and the Far East. Giles was educated at Balliol College, Oxford, graduating in 1977 with an MA in PPE.</t>
  </si>
  <si>
    <t>400672-00P</t>
  </si>
  <si>
    <t>Gill Riggs</t>
  </si>
  <si>
    <t>Riggs</t>
  </si>
  <si>
    <t>Gill</t>
  </si>
  <si>
    <t>gill.riggs@harbourenergy.com</t>
  </si>
  <si>
    <t>Ms. Gill Riggs serves as Chief Human Resources Officer at Harbour Energy. She has extensive experience of managing human resources in the energy industry, including many international postings. Prior to joining Harbour, She was the Vice President Human Resources, for Chevron's global upstream business in the US. During her 20-year career with Chevron, She took on increasing responsibility in human resources including Regional HR Manager, Middle East, and East Africa (UAE), Regional HR Manager, Africa and Middle East (South Africa), General Manager HR, gas and midstream (US), and General Manager HR, upstream Asia Pacific (Singapore).</t>
  </si>
  <si>
    <t>278621-20P</t>
  </si>
  <si>
    <t>Gillian Russell</t>
  </si>
  <si>
    <t>Russell</t>
  </si>
  <si>
    <t>Gillian</t>
  </si>
  <si>
    <t>Chief Financial Officer and Business Manager and Corporate Secretary</t>
  </si>
  <si>
    <t>grussell@vulcanminerals.ca</t>
  </si>
  <si>
    <t>Ms. Gillian Russell serves as Chief Financial Officer and Business Manager and Corporate Secretary at Vulcan Minerals. She holds a Chartered Professional Accounting designation (CPA-CA) with the Institute of Chartered Professional Accountants of Newfoundland and Labrador. She has over two decades of accounting, audit and management experience including the roles of Controller and Manager in the private and public sectors.</t>
  </si>
  <si>
    <t>190840-06P</t>
  </si>
  <si>
    <t>Glen Appleby</t>
  </si>
  <si>
    <t>Judo Bank (Former)</t>
  </si>
  <si>
    <t>Glen</t>
  </si>
  <si>
    <t>www.judo.bank</t>
  </si>
  <si>
    <t>Mr. Glen Appleby served as Chief Information Security Officer at Judo Capital. He is a veteran banking information security professional having held multiple senior roles within Australian banks for the past 20 years. His specialty lies in identity management with a focus on core banking services and corporate IT security services. Now at Judo, Glen is responsible for IT security to maintain customer privacy.</t>
  </si>
  <si>
    <t>280895-95P</t>
  </si>
  <si>
    <t>Glen Haynes</t>
  </si>
  <si>
    <t>Haynes</t>
  </si>
  <si>
    <t>Dr. Glen Haynes serves as Board Member at Bank Of South Carolina. Dr. Haynes has been a member of the Board of Directors of the Bank and the Company since 2007. He was born in Charlottesville, Virginia and has lived in Summerville, South Carolina for 33 years. He graduated from Virginia Tech with a BS in Biology. He received a DVM from the University of Georgia. In addition to serving on the Board of Directors of the Bank and the Company, Dr. Haynes has served as former President of the Summerville Rotary Club, President of Frances Willis SPCA, Chairman of the South Carolina Board of Veterinary Medical Examiners, and former President of Trident Veterinary Medical Association. Dr. Haynes is a member of the American Veterinary Medical Association and a member of St. Paul's Anglican Church where he has served on the vestry. Currently, Dr. Haynes is Chairman of the Frances Willis SPCA Endowment Board and is a construction volunteer for Habitat for Humanity. In addition to serving on the Board of Directors of the Bank and Company, Dr. Haynes serves on the Loan Committee, Community Reinvestment Act Committee, and is the Chairman of the Nominating Committee.</t>
  </si>
  <si>
    <t>101998-18P</t>
  </si>
  <si>
    <t>Gloria Garcia</t>
  </si>
  <si>
    <t>Mabuhay Holdings</t>
  </si>
  <si>
    <t>Garcia</t>
  </si>
  <si>
    <t>Gloria</t>
  </si>
  <si>
    <t>www.mabuhayholdingscorp.com</t>
  </si>
  <si>
    <t>+63 (0)28 8502000</t>
  </si>
  <si>
    <t>gloria.garcia@mabuhayholdingscorp.com</t>
  </si>
  <si>
    <t>Makati City, Philippines</t>
  </si>
  <si>
    <t>35th Floor Rufino Pacific Tower</t>
  </si>
  <si>
    <t>6784 Ayala Avenue</t>
  </si>
  <si>
    <t>Makati City</t>
  </si>
  <si>
    <t>1223</t>
  </si>
  <si>
    <t>+63 (0)28 7248918</t>
  </si>
  <si>
    <t>Ms. Gloria Georgia Garcia serves as Chief Financial Officer at Mabuhay Holdings. A certified Public Accountant and a member of the Philippine Institute of Certified Public Accountants. She has been for several years connected with listed companies such as Vulcan Industrial and Mining Corporation, A Brown Company, etc. Her past affiliations covered dealings with banks and other financial institutions, the Philippine Stock Exchange, Inc., and government agencies such as the Department of Energy, Securities and Exchange Commission and Bureau of Internal Revenue.</t>
  </si>
  <si>
    <t>245469-97P</t>
  </si>
  <si>
    <t>Grant Roberts</t>
  </si>
  <si>
    <t>Trident Brands (Consumer Products)</t>
  </si>
  <si>
    <t>Roberts</t>
  </si>
  <si>
    <t>Grant</t>
  </si>
  <si>
    <t>Chief Strategic and Wellness Officer</t>
  </si>
  <si>
    <t>+1 (561) 962-4122</t>
  </si>
  <si>
    <t>Boca Raton, FL</t>
  </si>
  <si>
    <t>433 Plaza Real</t>
  </si>
  <si>
    <t>Suite 275</t>
  </si>
  <si>
    <t>Boca Raton</t>
  </si>
  <si>
    <t>33432</t>
  </si>
  <si>
    <t>Mr. Grant Roberts serves as Chief Strategic and Wellness Officer at Trident Brands (Consumer Products).</t>
  </si>
  <si>
    <t>326099-98P</t>
  </si>
  <si>
    <t>Grant Sboros</t>
  </si>
  <si>
    <t>Euro Sun Mining</t>
  </si>
  <si>
    <t>Sboros</t>
  </si>
  <si>
    <t>www.eurosunmining.com</t>
  </si>
  <si>
    <t>+1 (416) 361-0930</t>
  </si>
  <si>
    <t>grant.sboros@eurosunmining.com</t>
  </si>
  <si>
    <t>Vaughan, Canada</t>
  </si>
  <si>
    <t>289 Courtland Avenue</t>
  </si>
  <si>
    <t>Vaughan</t>
  </si>
  <si>
    <t>L4K 4W9</t>
  </si>
  <si>
    <t>Mr. Grant Sboros serves as Co-Chief Executive Officer and Board Member at Euro Sun Mining. He also serves as Managing Director, Africa Mining at Forbes &amp; Manhattan. He worked as the Chief Financial Officer of Katanga Mining Limited from 2017 to 2019 when he was appointed as Executive Director of Forbes Manhattan looking after Africa Mining assets. From 2013 to 2017 he was DCFO of Mopani Copper Mines PLC. From 2007 until 2013 Grant was Head of Auditing as a Deloitte partner in Mozambique. He is a Chartered Accountant and holds an Honors degree in Accounting Science from the University of South Africa. He has extensive mining experience in Africa in both operations and finance.</t>
  </si>
  <si>
    <t>62709-31P</t>
  </si>
  <si>
    <t>Gregory David</t>
  </si>
  <si>
    <t>Dollarama</t>
  </si>
  <si>
    <t>Gregory</t>
  </si>
  <si>
    <t>www.dollarama.com</t>
  </si>
  <si>
    <t>+1 (514) 737-1006</t>
  </si>
  <si>
    <t>gregory.david@dollarama.com</t>
  </si>
  <si>
    <t>Montreal, Canada</t>
  </si>
  <si>
    <t>5805 Royalmount Avenue</t>
  </si>
  <si>
    <t>Montreal</t>
  </si>
  <si>
    <t>Quebec</t>
  </si>
  <si>
    <t>H4P 0A1</t>
  </si>
  <si>
    <t>Mr. Gregory David serves as the Chief Executive Officer of GRI Capital Inc. and has been with the company and its affiliates since 2003. Prior to GRI Capital Inc., Mr. David provided financial and strategic advisory services to private and public companies from 2000 to 2003. Previously, he worked at Claridge Inc. from 1998 to 2000 and at McKinsey &amp; Co. from 1996 to 1998. He has a Bachelor of Commerce from Queen's University, a Bachelor of Laws from McGill University and a Master of Business Administration from Harvard Business School.</t>
  </si>
  <si>
    <t>60450-58P</t>
  </si>
  <si>
    <t>Gregory Landis JD</t>
  </si>
  <si>
    <t>H2O America</t>
  </si>
  <si>
    <t>Landis</t>
  </si>
  <si>
    <t>www.h2o-america.com</t>
  </si>
  <si>
    <t>+1 (800) 250-5147</t>
  </si>
  <si>
    <t>glandis@yarmuth.com</t>
  </si>
  <si>
    <t>110 West Taylor Street</t>
  </si>
  <si>
    <t>95110</t>
  </si>
  <si>
    <t>Mr. Gregory Landis serves as Board Member at SJW Group. Mr. Landis served as General Counsel and Senior Vice President of TerraPower, LLC from January 2013 until January 2015 and Senior Advisor from January 2015 until December 2018. Mr. Landis also served as a director of Unwired Planet, Inc. from 2013 to 2015. He was General Counsel and then Senior Legal Advisor of Intellectual Ventures from November 2007 until December 2012. Previously, Mr. Landis served as the General Counsel and Executive Vice President of Vulcan, Inc. from 2005 to 2007, and from 1995 to 2005 was the General Counsel of AT&amp;T Wireless Services, Inc., where he also served as Executive Vice President and Corporate Secretary. From 1985 until 1995, Mr. Landis was a partner at the law firm McCutchen, Doyle, Brown &amp; Enersen. Mr. Landis holds a Juris Doctor, cum laude, from Harvard Law School, and a Bachelor of Arts in Psychology, magna cum laude, from Yale University.</t>
  </si>
  <si>
    <t>298603-27P</t>
  </si>
  <si>
    <t>Grzegorz Tajak</t>
  </si>
  <si>
    <t>ERG (Poland)</t>
  </si>
  <si>
    <t>Tajak</t>
  </si>
  <si>
    <t>Grzegorz</t>
  </si>
  <si>
    <t>www.erg.com.pl</t>
  </si>
  <si>
    <t>President of the Management Board</t>
  </si>
  <si>
    <t>+48 32 264 0281</t>
  </si>
  <si>
    <t>gtajak@erg.com.pl</t>
  </si>
  <si>
    <t>Dabrowa Gornicza, Poland</t>
  </si>
  <si>
    <t>Chemiczna 6</t>
  </si>
  <si>
    <t>Dabrowa Gornicza</t>
  </si>
  <si>
    <t>42-520</t>
  </si>
  <si>
    <t>Poland</t>
  </si>
  <si>
    <t>Mr. Grzegorz Tajak serves as President of the Management Board at ERG (Poland). He is a legal advisor by education. He graduated from the Faculty of Law and Administration at the University of Silesia in Katowice, Poland. He completed his legal training at the Regional Chamber of Legal Advisors in Katowice, obtaining the title of legal advisor in 2003. He holds a licence to practice the profession of legal advisor (entry no. Kt-2218 on the list of legal advisors).</t>
  </si>
  <si>
    <t>373420-09P</t>
  </si>
  <si>
    <t>Guillaume Gras</t>
  </si>
  <si>
    <t>Gras</t>
  </si>
  <si>
    <t>Guillaume</t>
  </si>
  <si>
    <t>Mr. Guillaume Gras serves as Chief Financial Officer at DIA Group. Guillaume Gras is a graduate of EDHEC Business School in France, specializing in Finance. He began his career as a financial auditor at Ernst &amp; Young in 2001 and has held various positions in the retail sector for nearly 20 years within the Casino Group, with positions in France, Vietnam and Brazil. During his time in France, he developed different functions in the internal audit area, marketing department, and commercial management of Casino France. At the end of 2011, he was appointed financial director of Casino Restauration. Then in 2014, he took charge of the financial management of the distribution and property management activities in Vietnam. His professional experience continued in Brazil in 2016 at Pao de Açucar, first in charge of management control for the South America area and then as Vice President of Finance and Director of Financial Communication and Investor Relations.</t>
  </si>
  <si>
    <t>357452-65P</t>
  </si>
  <si>
    <t>Gustavo Baquero</t>
  </si>
  <si>
    <t>Baquero</t>
  </si>
  <si>
    <t>Gustavo</t>
  </si>
  <si>
    <t>Executive Vice President &amp; Managing Director</t>
  </si>
  <si>
    <t>gustavo.baquero@harbourenergy.com</t>
  </si>
  <si>
    <t>Mr. Gustavo Baquero serves as Executive Vice President &amp; Managing Director at Harbour Energy. He served as Executive Vice President of Strategy, Mergers &amp; Acquisitions, Business Development and Energy Transition at Harbour Energy.</t>
  </si>
  <si>
    <t>235298-71P</t>
  </si>
  <si>
    <t>Gustavo Valle</t>
  </si>
  <si>
    <t>Mondelēz Global</t>
  </si>
  <si>
    <t>Valle</t>
  </si>
  <si>
    <t>Executive Vice President &amp; President, North America</t>
  </si>
  <si>
    <t>+1 (847) 943-4000</t>
  </si>
  <si>
    <t>gustavo.valle@mondelezinternational.com</t>
  </si>
  <si>
    <t>East Hanover, NJ</t>
  </si>
  <si>
    <t>100 Deforest Avenue</t>
  </si>
  <si>
    <t>East Hanover</t>
  </si>
  <si>
    <t>New Jersey</t>
  </si>
  <si>
    <t>07936</t>
  </si>
  <si>
    <t>Mr. Gustavo Carlos Valle serves as Executive Vice President &amp; President, North America at Mondelez International. In this role, he is responsible for leading the company's $8.3Bn business in the US and Canada, including iconic brands such as OREO and belVita biscuits; Triscuit and Ritz crackers; Trident gum and Sour Patch Kids candy. Gustavo joined Mondelēz International in early 2020, bringing more than three decades of leadership experience and expertise across Latin America, North America and Europe. Gustavo has a proven track record of having led food and beverage businesses, demonstrating strategic capabilities and operational excellence to turn around challenged businesses and drive growth. He started his career in Finance before ascending into general management roles for markets including Argentina and Brazil before taking on leadership roles in the US and Europe. His passion for consumer-focused marketing, operational excellence and bold innovation has benefited the many brands he has led in categories such as Dairy and Beverages. In more than 20 years at Danone, he held roles including CFO of Argentina; CEO of Argentina; CEO Brazil; North America VP, Dairy Division; VP Dairy Division Europe and EVP, Dairy Division Worldwide. Gustavo has a degree in accounting from the University of Buenos Aires, Argentina and is a member of the Board for Universidad Austral, Buenos Aires, Argentina. He is fluent in Spanish, Portuguese, English and French.</t>
  </si>
  <si>
    <t>368684-47P</t>
  </si>
  <si>
    <t>Haiyan Huang</t>
  </si>
  <si>
    <t>Trident Digital Tech Holdings</t>
  </si>
  <si>
    <t>Huang</t>
  </si>
  <si>
    <t>Haiyan</t>
  </si>
  <si>
    <t>www.tridentity.me</t>
  </si>
  <si>
    <t>+65 6513 6868</t>
  </si>
  <si>
    <t>haiyan.huang@tridentity.me</t>
  </si>
  <si>
    <t>8 Temasek Boulevard Road</t>
  </si>
  <si>
    <t>Level 24, Unit 3, Suntec Tower 3</t>
  </si>
  <si>
    <t>038988</t>
  </si>
  <si>
    <t>Ms. Haiyan Huang serves as Chief Financial Officer at Trident Digital Tech. Ms. Huang has more than 20 years of experience in the financial sector. From June 2018 to April 2022, Ms. Huang first served as the chief financial officer of Zengame Technology Holding Limited (HKSE: 2660), an established mobile game developer and operator in the People's Republic of China with special focus on card and board and other casual mobile games. From September 2015 to May 2016, Ms. Huang served as a financial controller in Shenzhen TimeLink Technology Co., Ltd (NEEQ: 834974), a company primarily engaged in man-machine interaction and human-computer interface research and development, where Ms. Huang was primarily responsible for the administrative matters of the financial department. Ms. Huang was admitted as a Chartered Global Management Accountant by the Chartered Institute of Management Accountants in May 2017. Ms. Huang received her bachelor's degree in finance and taxation from Sun Yat-sen University in the People's Republic of China in 2001.</t>
  </si>
  <si>
    <t>184078-09P</t>
  </si>
  <si>
    <t>Haocheng Fan</t>
  </si>
  <si>
    <t>VeriSilicon</t>
  </si>
  <si>
    <t>Fan</t>
  </si>
  <si>
    <t>Haocheng</t>
  </si>
  <si>
    <t>www.verisilicon.com</t>
  </si>
  <si>
    <t>Vice President, Corporate of Engineering Operation</t>
  </si>
  <si>
    <t>+86 (0)10 6272 3900</t>
  </si>
  <si>
    <t>haocheng.fan@verisilicon.com</t>
  </si>
  <si>
    <t>Beijing, China</t>
  </si>
  <si>
    <t>A106, Information Center, Zhongguancun Software Park</t>
  </si>
  <si>
    <t>8 Dongbeiwang West Road, Haidian Distrtict</t>
  </si>
  <si>
    <t>100193</t>
  </si>
  <si>
    <t>China</t>
  </si>
  <si>
    <t>+86 (0)10 6272 3999</t>
  </si>
  <si>
    <t>Mr. Haocheng Fan serves as Vice President, Corporate of Engineering Operation at VeriSilicon. Mr. Fan had held management positions with the Project Management Office since joining us in 2011. Prior to joining us, he served as a senior manager of the hardware department of RealVision, Inc. from 2007 to 2011, where he develops display-related products based on SoC technology. From 2001 to 2007, he was a design manager and design engineer in the semiconductor design departments of several Japanese companies. Prior to this, he worked as a digital design engineer at Trident. He received a B.S. degree in electrical engineering and a M.S. degree in micro-electronics circuits and systems from Shanghai Jiaotong University.</t>
  </si>
  <si>
    <t>318839-59P</t>
  </si>
  <si>
    <t>Hardik Desai</t>
  </si>
  <si>
    <t>Trident Lifeline</t>
  </si>
  <si>
    <t>Desai</t>
  </si>
  <si>
    <t>Hardik</t>
  </si>
  <si>
    <t>www.tridentlifeline.com</t>
  </si>
  <si>
    <t>Chairman &amp; Executive Director</t>
  </si>
  <si>
    <t>+91 (0)81 6027 6395</t>
  </si>
  <si>
    <t>hardik@tridentlifeline.com</t>
  </si>
  <si>
    <t>Surat, India</t>
  </si>
  <si>
    <t>North Extension, Falsawadi Begumpura</t>
  </si>
  <si>
    <t>2nd Floor, Shop-2004, Nodh-4/1650, Sahara Darwaja</t>
  </si>
  <si>
    <t>Surat</t>
  </si>
  <si>
    <t>Gujarat</t>
  </si>
  <si>
    <t>+91 (0)26 1245 1284</t>
  </si>
  <si>
    <t>Mr. Hardik Desai serves as Chairman &amp; Managing Director at Trident Lifeline. He also serves as Managing Director &amp; Chairman at Trident Texofab. He has completed his bachelor of commerce from South Gujarat University. He has more than twenty years of experience in the textile and apparel Industry. He is responsible for our Company's overall business operations and is responsible for setting forth the strategy and vision of our Company. He is the Promoter of our Company and has been associated with us since inception.</t>
  </si>
  <si>
    <t>46603-36P</t>
  </si>
  <si>
    <t>Harley Rouda Jr.</t>
  </si>
  <si>
    <t>Rocky Brands (Former)</t>
  </si>
  <si>
    <t>Rouda</t>
  </si>
  <si>
    <t>Harley</t>
  </si>
  <si>
    <t>www.rockybrands.com</t>
  </si>
  <si>
    <t>Mr. Harley Rouda is the CEO of Trident Microsystems. He is also a Board Membet at Rocky Brands.</t>
  </si>
  <si>
    <t>390283-03P</t>
  </si>
  <si>
    <t>Harshavardhan Chauhaan</t>
  </si>
  <si>
    <t>Chauhaan</t>
  </si>
  <si>
    <t>Harshavardhan</t>
  </si>
  <si>
    <t>Chief Marketing Officer</t>
  </si>
  <si>
    <t>harshavardhanchauhaan@tridentindia.com</t>
  </si>
  <si>
    <t>Mr. Harshavardhan Chauhaan serves as Chief Marketing Officer at Trident Group.</t>
  </si>
  <si>
    <t>144995-32P</t>
  </si>
  <si>
    <t>Helene Cartier</t>
  </si>
  <si>
    <t>Falco Resources</t>
  </si>
  <si>
    <t>Cartier</t>
  </si>
  <si>
    <t>Helene</t>
  </si>
  <si>
    <t>Vice-president, Environment &amp; Sustainable Development</t>
  </si>
  <si>
    <t>+1 (514) 905-3162</t>
  </si>
  <si>
    <t>hcartier@falcores.com</t>
  </si>
  <si>
    <t>1100, Avenue Des Canadiens-de-Montreal</t>
  </si>
  <si>
    <t>H3B 2S2</t>
  </si>
  <si>
    <t>Ms. Helene Cartier serves as Vice President, Environment and Sustainable Development at Falco Resources. She was Vice president, Environment and Sustainable Development at OMC from 2012 to 2013. From 2013 to 2016, Ms. Cartier was Deputy Manager of La rue des Femmes de Montreal. She serves on the board of directors of Endeavour Mining Corporation since July 2020 and on the Board of l'Association Miniere du Quebec and has previously served on the board of directors of Semafo Inc. Ms. Cartier holds a degree in Industrial Engineering and a Bachelors Degree in Law. She was intimately involved in the community relations aspects during the development and operating phases of the Canadian Malartic Mine.</t>
  </si>
  <si>
    <t>401189-32P</t>
  </si>
  <si>
    <t>Heng Zhang</t>
  </si>
  <si>
    <t>NIP Group</t>
  </si>
  <si>
    <t>Zhang</t>
  </si>
  <si>
    <t>Heng</t>
  </si>
  <si>
    <t>www.nipg.com</t>
  </si>
  <si>
    <t>Chief Strategy Officer, Strategy</t>
  </si>
  <si>
    <t>+46 (0)705775564</t>
  </si>
  <si>
    <t>Stockholm, Sweden</t>
  </si>
  <si>
    <t>Rosenlundsgatan 31</t>
  </si>
  <si>
    <t>Stockholm</t>
  </si>
  <si>
    <t>118 63</t>
  </si>
  <si>
    <t>Mr. Heng Zhang serves as Chief Strategy Officer at NIP Group ( Holding Companies). He oversees our strategic development, including investor relations and corporate financing. He also serves as the secretary to our board. From 2014 to 2020, Vulcan was a senior vice president and secretary to the board of iDreamSky. Vulcan has a China securities investment fund industry practice certificate issued in 2017 by the Asset Management Association of China, and certificates of qualification as secretary of the board of directors from issued in 2016 by the Shenzhen Stock Exchange and the Shanghai Stock Exchange. He has also become a co-member of the Hong Kong Chartered Secretaries' Union in 2020. Vulcan received his financial master's degree in business administration (FMBA) from the Chinese University of Hong Kong - Tsinghua University Cooperative Education in 2017.</t>
  </si>
  <si>
    <t>154583-92P</t>
  </si>
  <si>
    <t>Henry Park</t>
  </si>
  <si>
    <t>AsiaBaseMetals</t>
  </si>
  <si>
    <t>Park</t>
  </si>
  <si>
    <t>Henry</t>
  </si>
  <si>
    <t>www.asiabasemetals.com</t>
  </si>
  <si>
    <t>+1 (212) 320-5736</t>
  </si>
  <si>
    <t>6153 Glendalough Place</t>
  </si>
  <si>
    <t>V6N 1S5</t>
  </si>
  <si>
    <t>Mr. Henry Park serves as Board Member at AsiaBaseMetals. Mr. Park, the Chief Investment Officer of Foundation Capital, was formerly a partner at Vulcan Mining, a mining private equity investment platform of Soros Fund Management. Prior to Vulcan Mining, Mr. Park held the position of managing director and commodity strategist at Electrum Group; after being for several years, the commodity analyst at Soros Fund Management where he focused on commodity investing in public and private equities and futures. Henry started his investing career at GE Capital where he was Assistant Vice President in the distressed debt business, followed by a long/short equity analyst in basic material sector for Highlander Fund Management (part of Ospraie Fund Management's Wingspan platform). Henry holds a Bachelor of Arts degree in Economics from University of Chicago and Master of Business Administration degree from Columbia University.</t>
  </si>
  <si>
    <t>127065-79P</t>
  </si>
  <si>
    <t>Hila Peled</t>
  </si>
  <si>
    <t>Peled</t>
  </si>
  <si>
    <t>Hila</t>
  </si>
  <si>
    <t>Senior Strategy Consultant</t>
  </si>
  <si>
    <t>Ms. Hila Peled serves as Senior Strategy Consultant at Playtech. Previously, she served as the Manager, Corporate Development at Playtech.</t>
  </si>
  <si>
    <t>269096-05P</t>
  </si>
  <si>
    <t>Hilario Pagauitan</t>
  </si>
  <si>
    <t>East Coast Vulcan</t>
  </si>
  <si>
    <t>Pagauitan</t>
  </si>
  <si>
    <t>Hilario</t>
  </si>
  <si>
    <t>eastcoastvulcanmining.com/home</t>
  </si>
  <si>
    <t>Chairman, Chief Executive Officer &amp; President</t>
  </si>
  <si>
    <t>+63 (0)28 5118312</t>
  </si>
  <si>
    <t>hilario@vulcanminingcorp.com</t>
  </si>
  <si>
    <t>Mandaluyong, Philippines</t>
  </si>
  <si>
    <t>4th Floor,Pacific Star Building, Sen Gil J Puyat Avenue, Makati</t>
  </si>
  <si>
    <t>Metro Manila</t>
  </si>
  <si>
    <t>Mandaluyong</t>
  </si>
  <si>
    <t>+63 (0)28 5501468</t>
  </si>
  <si>
    <t>Mr. Hilario Pagauitan serves as Chairman, Chief Executive Officer &amp; President at East Coast Vulcan. Mr. Pagauitan is the majority owner of East Coast Mineral Resources Company Incorporated, a company primarily engaged in the business of operating gold and nickel mines. He is presently the Mayor of Sta. Maria, Isabela. Mr. Pagauitan is a geologist by profession with extensive experience in the mining industry. He has interests in and serves as a director and/or senior officer at other privately-owned mining companies.</t>
  </si>
  <si>
    <t>284883-94P</t>
  </si>
  <si>
    <t>Hilary Stewart-Jones</t>
  </si>
  <si>
    <t>Paysafe (Former)</t>
  </si>
  <si>
    <t>Stewart-Jones</t>
  </si>
  <si>
    <t>Hilary</t>
  </si>
  <si>
    <t>www.paysafe.com</t>
  </si>
  <si>
    <t>Ms. Hilary Stewart-Jones serves as Board Member at Paysafe. She is a practicing UK lawyer who has specialized in assisting gambling companies and associated businesses since 1995 both in house and in private practice. She headed sector teams as a partner at BLP and DLA UK LLP, where she was able to leverage an international network to help support the burgeoning multi-jurisdictional online gambling industry from 2000-2013. From 2013 to 2015 she sat on the board of Playtech PLC, the LSE Main Market listed software house, becoming Deputy Chairman in 2014. She maintained a solicitor's practicing certificate for 33 years and continues to give legal advice to a wide portfolio of clients on a broad range of gambling related commercial and regulatory issues. She holds an LLB from Queen Mary College, London and an LLM from Queen Mary, Kings, UCL and LSE (London inter-collegiate). She also holds a Personal Management Licence from the Gambling Commission.</t>
  </si>
  <si>
    <t>309782-35P</t>
  </si>
  <si>
    <t>Hiten Ooka</t>
  </si>
  <si>
    <t>Andrada Mining</t>
  </si>
  <si>
    <t>Ooka</t>
  </si>
  <si>
    <t>Hiten</t>
  </si>
  <si>
    <t>www.andradamining.com</t>
  </si>
  <si>
    <t>+27 (0)11 268 6555</t>
  </si>
  <si>
    <t>hiten.ooka@andradamining.com</t>
  </si>
  <si>
    <t>Illovo, South Africa</t>
  </si>
  <si>
    <t>5 Harries Road, Illovo Edge Office Park</t>
  </si>
  <si>
    <t>Building 3, Ground Floor</t>
  </si>
  <si>
    <t>Illovo</t>
  </si>
  <si>
    <t>South Africa</t>
  </si>
  <si>
    <t>Mr. Hiten Ooka serves as Chief Financial Officer and Executive Director at Andrada Mining. Mr. Ooka brings over 14 years of technical, finance, and tax experience to his role. With a proven track record of senior management positions at prominent organizations such as Bushveld Minerals, Rand Uranium, Trafigura, and Eurasian Resources, Mr. Ooka possesses a wealth of industry knowledge and expertise. His invaluable insights and financial acumen directly contribute to Andrada Mining's success, as he plays a crucial role in driving the company's financial strategy and governance.</t>
  </si>
  <si>
    <t>11501-29P</t>
  </si>
  <si>
    <t>Hock Goh</t>
  </si>
  <si>
    <t>SKF</t>
  </si>
  <si>
    <t>Goh</t>
  </si>
  <si>
    <t>Hock</t>
  </si>
  <si>
    <t>www.skf.com</t>
  </si>
  <si>
    <t>+46 (0)31 337 10 00</t>
  </si>
  <si>
    <t>Sven Wingqvists gata 2</t>
  </si>
  <si>
    <t>415 26</t>
  </si>
  <si>
    <t>+46 (0)31 337 17 22</t>
  </si>
  <si>
    <t>Mr. Hock Goh served as Chairman at MEC Resources. He serves as a Director at Santos. Previously, he served as Board Member at Harbour Energy. Mr. Goh has more than 30 years' of experience in the oil and gas industry. He was most recently an Operating Partner at Baird Capital Partners based in China from 2005 until 2012. Prior to that, he had a 25-year career at Schlumberger, the world's leading supplier of technology, integrated project management, and information solutions to customers working in the oil and gas industry. There, he served as President of Network &amp; Infrastructure Solutions of SchlumbergerSema and President of Schlumberger Asia Pacific, where he was responsible for the integration of the Sema businesses into the organization, as well as all of the technology and oilfield businesses of Schlumberger in Greater China. He also held a number of other management roles at the company. Mr. Goh started as an oilfield services engineer working on rigs in Indonesia, Australia, and several countries in the Middle-east. Prior to Schlumberger, Mr. Goh was an Officer in the Singapore Armed Forces. He serves in non-executive leadership roles at AB SKF, Santos Limited, Stora Enso Oyj, Vesuvius PLC, MEC Resources Limited, and Advent Energy Limited. He holds a degree in Mechanical Engineering from Monash University in Melbourne, Australia, and completed the Advanced Management Program at INSEAD, France.</t>
  </si>
  <si>
    <t>125256-43P</t>
  </si>
  <si>
    <t>Hongyan Lu</t>
  </si>
  <si>
    <t>Coats Group</t>
  </si>
  <si>
    <t>Hongyan</t>
  </si>
  <si>
    <t>www.coats.com</t>
  </si>
  <si>
    <t>echolu@hollandandbarrett.com</t>
  </si>
  <si>
    <t>4th Floor</t>
  </si>
  <si>
    <t>14 Aldermanbury Square</t>
  </si>
  <si>
    <t>EC2V 7HS</t>
  </si>
  <si>
    <t>Ms. Hongyan Echo is currently the Managing Director, International of Holland &amp; Barrett International, a European health and wellbeing retailer. Echo previously served as the Managing Director of Homebase Ltd as part of Home Retail Group plc and spent ten years at Tesco plc in a variety of senior leadership roles, including Asia HR Director, Chief Operations Officer, China and Property Director, UK/Ireland. Echo has previously been a Non-Executive Director of Dobbies Garden Centres and served as a steering committee member of the Trestle Group Foundation, a nonprofit organization which supports female entrepreneurs in emerging economies. Echo has a Bachelor of Arts in International Economy and Finance from Fudan University, Shanghai and a Master of Science in Industrial Relations and Human Resources from West Virginia University</t>
  </si>
  <si>
    <t>217582-66P</t>
  </si>
  <si>
    <t>Hope Woodhouse</t>
  </si>
  <si>
    <t>Monro</t>
  </si>
  <si>
    <t>Woodhouse</t>
  </si>
  <si>
    <t>Hope</t>
  </si>
  <si>
    <t>corporate.monro.com</t>
  </si>
  <si>
    <t>+1 (800) 876-6676</t>
  </si>
  <si>
    <t>hwoodhouse@acadiarealty.com</t>
  </si>
  <si>
    <t>Fairport, NY</t>
  </si>
  <si>
    <t>295 Woodcliff Drive</t>
  </si>
  <si>
    <t>Fairport</t>
  </si>
  <si>
    <t>14450</t>
  </si>
  <si>
    <t>On February 9, 2023, the Board of Directors appointed Hope B. Woodhouse. She is an accomplished leader, who has held executive roles at several financial services firms, overseeing financial, operational, accounting, and risk management execution. From 2005 to 2008, she served as Chief Operating Officer and as a member of the management committee of Bridgewater Associates, Inc. Between 2003 and 2005, she was President and Chief Operating Officer of Auspex Group, L.P., and from 2000 to 2003 she was Chief Operating Officer and a member of the management committee of Soros Fund Management LLC. Previously, she held executive leadership positions in various companies, including Tiger Management L.L.C. and Salomon Brothers Inc. She currently serves on the Board of Two Harbors Investment Corp. (NYSE: TWO), where she has served since 2012 and is chair of the Risk Oversight Committee and a member of the Audit Committee. She is also a member of the Granite Point Mortgage Trust Inc. (NYSE: GPMT) Board, where she has served since 2017 and is chair of the Compensation Committee and a Member of the Audit Committee. She recently joined the Board of Acadia Realty Trust (NYSE: AKR), where she is a member of the Nominating and Governance Committee. Before these roles, She was a director of Atomyze LLC, Piper Jaffray Companies (NYSE: PIPR), Soros Funds Limited, Seoul Securities Co. Ltd, and The Bond Market Association. She holds an A.B. degree in Economics from Georgetown University and an M.B.A. from Harvard Business School.</t>
  </si>
  <si>
    <t>275371-84P</t>
  </si>
  <si>
    <t>Horst Kreuter</t>
  </si>
  <si>
    <t>Kreuter</t>
  </si>
  <si>
    <t>Horst</t>
  </si>
  <si>
    <t>Co-Founder &amp; Chief Representative</t>
  </si>
  <si>
    <t>hkreuter@v-er.eu</t>
  </si>
  <si>
    <t>Dr. Horst Kreuter is a Co-Founder and serves as Chief Representative at Vulcan Energy Resources. He worked in geothermal project development and permitting in Germany and worldwide and he is Co-Founder of Vulcan Zero Carbon Lithium™ Project, as well as Ex-CEO of Geothermal Group Germany GmbH and GeoThermal Engineering GmbH (GeoT). He has a widespread political, investor and industry network in Germany and Europe.</t>
  </si>
  <si>
    <t>280897-48P</t>
  </si>
  <si>
    <t>Hugh Lane</t>
  </si>
  <si>
    <t>Lane</t>
  </si>
  <si>
    <t>Hugh</t>
  </si>
  <si>
    <t>Mr. Charles Lane serves as Chairman &amp; Chairperson of the Executive Committee at Bank Of South Carolina. He served as President/Chief Executive Officer of the Bank from 1986 and of the Company from 1995. On April 11, 2012 he announced his retirement as President/Chief Executive Officer. He has served as Chairman of the Board of Directors of The Bank of South Carolina since its organization in 1986, and Chairman of the Board of Directors of Bank of South Carolina Corporation since its organization in 1995. Mr. Lane was born in Charleston, SC. He graduated from Choate School in Wallingford, Connecticut and earned a BA in economics from the University of Pennsylvania. Mr. Lane began his banking career at Citizens and Southern National Bank of Georgia in Atlanta. His banking career also included working in the Bond, Leasing and International Departments at the Chemical Bank in New York, City Executive of Citizens and Southern National Bank, Sumter South Carolina, and Executive Vice President, heading the Citizens and Southern National Bank's Southern Region. Mr. Lane also served on the Board of Directors of Citizens and Southern National Bank of South Carolina for 14 years. In addition to his responsibilities at The Bank of South Carolina, Mr. Lane has served as a member of the Advisory Committee for the ACE Basin National Estuarine Research Reserve System and is currently Chairman of the Charleston County Conservation Bank Board. He is a Trustee and past Chairman of the Belle W. Baruch Foundation, Trustee and past Chairman of the Board at Wofford College, past Chairman of South Carolina Independent Colleges &amp; Universities, Trustee and past President of Charleston Museum, past Co-Chairman of the Community Relations Committee, past member of Advisory Committee for the Storm Eye Institute of the Medical University of South Carolina, and past member of the Board of Trident Urban League. He has been the recipient of Honorary Doctorates from Charleston Southern University and The Citadel. He has also received the "Distinguished Citizen Award" from Wofford College National Alumni Council, the Avery Citizenship Award for outstanding community service, the Joseph P. Riley Leadership Award, and the Order of the Palmetto presented by the Governor of South Carolina. The Nominating Committee has recommended the re-election of Hugh C. Lane, Jr., to the Board of Directors based on his background in economics, banking experience, knowledge of the financials of the Company, and his strong commitment to the local community. In addition the Committee considered his current contribution to the Board and his continued devotion to serving the Shareholders of the Company.</t>
  </si>
  <si>
    <t>278684-65P</t>
  </si>
  <si>
    <t>Huw Salter</t>
  </si>
  <si>
    <t>Landore Resources</t>
  </si>
  <si>
    <t>Salter</t>
  </si>
  <si>
    <t>Huw</t>
  </si>
  <si>
    <t>www.landore.com</t>
  </si>
  <si>
    <t>+44 (0)14 8172 1374</t>
  </si>
  <si>
    <t>Guernsey, United Kingdom</t>
  </si>
  <si>
    <t>La Tonnelle House</t>
  </si>
  <si>
    <t>Les Banques, Saint Sampson</t>
  </si>
  <si>
    <t>GY1 3HS</t>
  </si>
  <si>
    <t>Huw Salter as a Non-Executive Director of the Company with effect from 15 October 2021 Huw is an experienced company director and has a background which includes numerous financial services roles, incorporating investment funds and hedge funds investing in various asset classes. In addition, he is an appointed Member of the Chartered Institute for Securities and Investment and hold a Master of Laws degree.Current Directorship / Partnerships: ACP Guernsey Limited Aspinall FS Holdings Limited Independent Fiduciary Services Limited Kimera Investments Carry GP Limited Kimera Investments I GP Limited Luminous Capital GP Limited MJ Hudson Fiduciaries Limited MJ Hudson Fund Management Guernsey Limited Mount Capital Alcian Fund Mount Capital Alcian Fund Feeder (Cayman) Mount Capital Cayman (GP) Limited Mount Capital Daner Limited Mount Capital Daner US LLC Mount Capital Regent Limited Navigator Guernsey GP Limited Navigator Holdings Limited Navigator PCC Limited New Nordic GP Limited Nova Pensions GP Limited Omnium Investments PCC Limited Profectus PCC Limited RAW Alpha PCC Limited RAW Mortgage Company One Limited RAW Mortgage Company Three Limited RAW Mortgage Company Two Limited RAW Sterling Cash SPV Limited Tower Gate Guernsey GP Limited VFS Directors 1 Limited VFS Directors 2 Limited VFS Nominees Limited VFS Trustees Limited Previous Directorship / Partnerships: AOC Holdings Limited BlueCrest BlueTrend Limited Ecotonian Sports Fund IC Nuovo Capital Group Limited Nuovo Capital Trust Limited RAW Sterling Diversified SPV Limited RCP MS 01 Limited RCP MS 02 Limited RCP MS 03 Limited RCP MS 04 Limited RCP MS 05 Limited RCP MS 06 Limited RCP MS 07 Limited RCP MS 08 Limited RCP MS 09 Limited RCP MS 10 Limited RCP MS 11 Limited RCP MS 12 Limited RCP MS 13 Limited RCP MS 14 Limited RCP MS 15 Limited RCP MS Limited Solid Global Investors Management Limited Tower Gate Guernsey GP II Limited Tower Managers Limited</t>
  </si>
  <si>
    <t>92493-64P</t>
  </si>
  <si>
    <t>Ian Penrose</t>
  </si>
  <si>
    <t>Penrose</t>
  </si>
  <si>
    <t>Ian</t>
  </si>
  <si>
    <t>+44 (0)20 7493 8445</t>
  </si>
  <si>
    <t>Mr. Ian Penrose serves as Board Member, Chair of Remuneration Committee &amp; Member of Audit Committee, Risk &amp; Compliance Committee and Sustainability &amp; Public Policy Committees at Playtech. He serves as Board Member at Phenix. Prior to his appointment, Ian was CEO of Sportech plc from 2005 to 2017 and served as CEO of Arena Leisure plc from 2001 to 2005. Ian is currently Nonexecutive Chairman of the National Football Museum, Non-executive Chairman of DataPOWA, and a strategic adviser to Weatherbys Limited and the UK Tote Group.</t>
  </si>
  <si>
    <t>53479-36P</t>
  </si>
  <si>
    <t>Idan Ofer</t>
  </si>
  <si>
    <t>OPC Energy (Former)</t>
  </si>
  <si>
    <t>Ofer</t>
  </si>
  <si>
    <t>Idan</t>
  </si>
  <si>
    <t>www.opc-energy.com</t>
  </si>
  <si>
    <t>Mr. Idan Ofer was the Owner and Founder and served as Principal at Quantum Pacific Group. Mr. Ofer is an Angel Investor. He also served as Chairman of Biocom Venture Capital Fund. Ofer's Eastern Pacific Shipping operates a fleet of over 100 bulk, container, and crude oil ships. He also has a controlling stake of 53% in Israel Corp, a publicly-traded chemicals, energy, and shipping conglomerate.</t>
  </si>
  <si>
    <t>175207-15P</t>
  </si>
  <si>
    <t>Owner</t>
  </si>
  <si>
    <t>idan.ofer@kenon-holdings.com</t>
  </si>
  <si>
    <t>Mr. Idan Ofer is the Owner at Kenon Holdings.</t>
  </si>
  <si>
    <t>72048-43P</t>
  </si>
  <si>
    <t>Igor Lerner Ph.D</t>
  </si>
  <si>
    <t>Lerner</t>
  </si>
  <si>
    <t>Igor</t>
  </si>
  <si>
    <t>Chief Auditor &amp; Chief Ethics Officer</t>
  </si>
  <si>
    <t>Dr. Igor Lerner served as Chief Auditor &amp; Chief Ethics Officer at En+ Group. Previously, he served as a Chief Audit Executive at Central European Aluminium Company (CEAC).</t>
  </si>
  <si>
    <t>181508-32P</t>
  </si>
  <si>
    <t>Ilkevicius Adamas Olegas</t>
  </si>
  <si>
    <t>National company KazMunayGaz (Former)</t>
  </si>
  <si>
    <t>Adamas Olegas</t>
  </si>
  <si>
    <t>Ilkevicius</t>
  </si>
  <si>
    <t>www.kmg.kz</t>
  </si>
  <si>
    <t>Mr. Ilkevicius Adamas Olegas served as Board Member at National company KazMunayGaz. He started his career in 1996 at Digital Equipment Corporation (DEC), which he continued in Compaq (successor of DEC). From 2001 to 2008, he held executive positions in the leading companies of Hi-Tech market - HP, Siemens and IBM, advised private and international companies, as well as public sector organizations. From 2008 to 2013, he was the general director of the specialized division of Eurasian Natural Resources Corporation PLC, ENRC BTS. In October 2013, he was appointed as managing director for business transformation of "National Welfare Fund "Samruk-Kazyna". In October 2017, he was appointed as managing director for asset optimization of "National Welfare Fund "Samruk-Kazyna". Having extensive international experience, he developed and proposed possible options for increasing the shareholder value of companies, by analyzing key performance indicators and improving management processes. He worked with industries related to oil and gas, as well as nuclear, mining, energy, logistics and transportation industries, helping companies to manage diversified portfolios.</t>
  </si>
  <si>
    <t>128280-25P</t>
  </si>
  <si>
    <t>Iosif Levinzon</t>
  </si>
  <si>
    <t>Levinzon</t>
  </si>
  <si>
    <t>Iosif</t>
  </si>
  <si>
    <t>Deputy Chairman &amp; Director of Geology</t>
  </si>
  <si>
    <t>ilevinzon@novatek.ru</t>
  </si>
  <si>
    <t>Mr. Iosif Levinzon serves as Deputy Chairman and Director of Geology at NOVATEK (Russia). He serves as Deputy Chairman and Director of Geology at NOVATEK (Natural Gas Producer). He served as Managing Director at Purneftegasgeologiya.</t>
  </si>
  <si>
    <t>83554-57P</t>
  </si>
  <si>
    <t>Iosiv Bakaleynik</t>
  </si>
  <si>
    <t>Züblin Immobilien Holding (Former)</t>
  </si>
  <si>
    <t>Bakaleynik</t>
  </si>
  <si>
    <t>Iosiv</t>
  </si>
  <si>
    <t>www.zueblin.ch</t>
  </si>
  <si>
    <t>Dr. Iosiv Bakaleynik served as Chief Executive Officer at Züblin Immobilien Holding. He has been advisor to the Chairman of the Board of Renova Management AG, Victor Vekselberg, since 2008. He is also currently Chairman of the Supervisory Board of Renova US Holdings Ltd, a subsidiary of the Renova Group. Dr Bakaleynik also acts as a trustee of the International Tax and Investment Center (ITIC). Iosif Bakaleynik holds an MBA from Harvard Business School and a master's degree and doctorate in economics from the State University of Moscow.</t>
  </si>
  <si>
    <t>300613-96P</t>
  </si>
  <si>
    <t>Irina Gayda</t>
  </si>
  <si>
    <t>Gayda</t>
  </si>
  <si>
    <t>Irina</t>
  </si>
  <si>
    <t>Ms. Irina Gayda serves as Independent Director at NOVATEK (Russia). She has more than 15 years of experience in oil and gas consulting regarding strategy, improvement of operational efficiency, motivation systems and organization models. She worked with Russian and international oil companies on projects in Russia, Central Asia and Europe. From 2005 to 2018, she worked in The Boston Consulting Group (BCG), where she was the head of BCG's expert practice for energy in CIS. In 2018-2019, she was a partner in Strategy&amp; (part of PricewaterhouseCoopers). From 2020 to 2022, she was the head of the SKOLKOVO Energy Centre. She is a member of the Eurasian Women's Forum under the aegis of the RF Federation Council. Since 2020, she has been the Chairman of the Management Board of the Women in Energy Industry Association.</t>
  </si>
  <si>
    <t>88918-57P</t>
  </si>
  <si>
    <t>Irina Matveeva</t>
  </si>
  <si>
    <t>Matveeva</t>
  </si>
  <si>
    <t>Board Member &amp; Member of the Audit &amp; Finance Committee</t>
  </si>
  <si>
    <t>imatveeva@renova.ru</t>
  </si>
  <si>
    <t>Ms. Irina Matveeva serves as Board Member &amp; Member of the Audit &amp; Finance Committee at OC Oerlikon. Irina Matveeva was elected to the Board of Directors at the 2020 Annual General Meeting of Shareholders. She is the Chief Financial Officer of AO Complex-Prom in Moscow, Russia. Prior to that, Mrs. Matveeva was General Director at LLC OLCOR M and served from 2010 to 2018 as Financial Director of the Renova Group. From 2007 to 2010, she held the position of Vice President Economics &amp; Finance at Comstar-UTS OJSC. Mrs. Matveeva graduated from the Moscow Technical University of Communication and Information with a degree in Information Systems in Economics and holds an executive MBA degree from the University of Antwerp. Ms. Irina Matveeva serves as Chief Financial Officer at Renova Group. She also servesd as the Board Member at International Financial Club.</t>
  </si>
  <si>
    <t>189940-51P</t>
  </si>
  <si>
    <t>Itai Avneri</t>
  </si>
  <si>
    <t>The INX Digital Company</t>
  </si>
  <si>
    <t>Avneri</t>
  </si>
  <si>
    <t>Itai</t>
  </si>
  <si>
    <t>www.inx.co</t>
  </si>
  <si>
    <t>+350 200 79000</t>
  </si>
  <si>
    <t>Gibraltar</t>
  </si>
  <si>
    <t>Line Wall Road</t>
  </si>
  <si>
    <t>Mr. Itai Avneri serves as Deputy Chief Executive Officer &amp; Chief Operating Officer at The INX Digital Company. He served as Co-Founder at Digital Trading Platform (Bittrex/ invest.com). He brings over 20 years of executive management experience. His commercial work spans a variety of technology companies, including Playtech Group-CMO and CEO of the Israel office, COO of anyoption, and CEO of invest.com in Israel, where he spearheaded the shift to cryptocurrency. He has led the launch of multiple financial services and products in Europe and South Africa among other regulated jurisdictions. He designed and built advanced information systems with specializations in trading, BI &amp; CRM solutions, marketing, and KYC automation as well as payments and integration hubs. He holds a BA in Economics and Information Technology from Ruppin Institute and MBA from the Inter-Disciplinary School.</t>
  </si>
  <si>
    <t>262619-47P</t>
  </si>
  <si>
    <t>J. Hill</t>
  </si>
  <si>
    <t>Hill</t>
  </si>
  <si>
    <t>J.</t>
  </si>
  <si>
    <t>hillj@vmcmail.com</t>
  </si>
  <si>
    <t>+1 (210) 524-3555</t>
  </si>
  <si>
    <t>Mr. J. Thomas Hill serves as Chairman of the Board, President, and Chief Executive Officer at Vulcan Materials Company. He was elected chairman of the board for Vulcan Materials Company in December 2015, and president and chief executive officer in July 2014. Mr. Hill has been with Vulcan for more than 25 years, serving in a variety of operations and general management assignments of increasing responsibility since first joining the Company in 1979. Before being named CEO, Mr. Hill was executive vice president and chief operating officer for the Company, having previously served as senior vice president of Vulcan's South Region. Mr. Hill has also served as president of Vulcan's former Florida Rock Division, as well as the Company's Southwest Division. Mr. Hill is a graduate of the University of Pittsburgh and the Wharton School of Business, Executive Management Program.</t>
  </si>
  <si>
    <t>424500-13P</t>
  </si>
  <si>
    <t>J. Thomas Hill</t>
  </si>
  <si>
    <t>J. Thomas</t>
  </si>
  <si>
    <t>Chairman of the Board and Chief Executive Officer</t>
  </si>
  <si>
    <t>hillt@vmcmail.com</t>
  </si>
  <si>
    <t>Mr. J. Thomas Hill serves as Chairman of the Board and Chief Executive Officer at Vulcan Materials. He was elected chairman of the board for Vulcan Materials Company in December 2015 and president and chief executive officer in July 2014. He has been with Vulcan for more than 25 years, serving in a variety of operations and general management assignments of increasing responsibility since first joining the Company in 1979. Before being named CEO, he was executive vice president and chief operating officer for the Company, having previously served as senior vice president of Vulcan's South Region. He has also served as president of Vulcan's former Florida Rock Division, as well as the Company's Southwest Division. He worked for Redlands Stone Products from 1990 to 1996 in sales and operations management, before rejoining Vulcan as vice president and general manager of the Company's Southwest Division. He is a graduate of the University of Pittsburgh and the Wharton School of Business, Executive Management Program.</t>
  </si>
  <si>
    <t>372603-43P</t>
  </si>
  <si>
    <t>Jack Cotton</t>
  </si>
  <si>
    <t>Newfield Resources</t>
  </si>
  <si>
    <t>Cotton</t>
  </si>
  <si>
    <t>Jack</t>
  </si>
  <si>
    <t>www.newfieldresources.com.au</t>
  </si>
  <si>
    <t>Non-Executive Director</t>
  </si>
  <si>
    <t>+61 (0)8 6558 0810</t>
  </si>
  <si>
    <t>Carlisle, Australia</t>
  </si>
  <si>
    <t>Unit 16A</t>
  </si>
  <si>
    <t>81 Briggs Street</t>
  </si>
  <si>
    <t>Carlisle</t>
  </si>
  <si>
    <t>6101</t>
  </si>
  <si>
    <t>Mr. Jack Spencer-Cotton serves as Non-Executive Director at Newfield Resources. He has over 28 years of experience in the field of engineering. He has held a range of senior engineering roles in international manufacturing companies, as well as established his own business in engineering and consulting. He has previously held senior engineering roles at ERG Group, Sanmina-SCI Corporation, Startronics, SRX Global, and Pfizer Perth. He is presently a project manager at One New Energy and a non-executive director of an ASX-listed company.</t>
  </si>
  <si>
    <t>153596-80P</t>
  </si>
  <si>
    <t>James Blackwell</t>
  </si>
  <si>
    <t>Blackwell</t>
  </si>
  <si>
    <t>Mr. James Blackwell served as a Board Member at Harbour Energy. He served as a Board Member at Maverick Natural Resources. He served as executive vice president of technology and services for Chevron Corporation. Previously, he served as president of Chevron Asia Pacific Exploration and Production Company. He was responsible for Chevron's exploration and production activities in nine countries across the Asia-Pacific region. From 2003-2007, he served as the managing director for Chevron's Southern Africa strategic business unit, based in Luanda, Angola. He was responsible for exploration and production activities in the southern region of Africa. From 2002 to 2003, he was the president of Chevron Pipe Line Company, based in Houston, Texas. He began his career in the energy industry in 1980 as a roustabout with Gulf Oil, offshore Louisiana. He serves as a trustee at St. Mary's College in Moraga, California, and is a director for KBR. He previously served as a director of the National Action Council for Minorities in Engineering and the National Bureau of Asian Research. He is a member of the CSIS U.S.-China Policy Roundtable and the CSIS U.S.-ASEAN Strategy Commission. He earned his bachelor's degree in biology and environmental technology from the University of Southern Mississippi in 1980 and a master's degree in petroleum engineering from Tulane University in 1984.</t>
  </si>
  <si>
    <t>87627-25P</t>
  </si>
  <si>
    <t>James Mullen</t>
  </si>
  <si>
    <t>Reach (Publishing) (Former)</t>
  </si>
  <si>
    <t>Mullen</t>
  </si>
  <si>
    <t>www.reachplc.com</t>
  </si>
  <si>
    <t>+44 (0)12 1234 5000</t>
  </si>
  <si>
    <t>jim.mullen@reachplc.com</t>
  </si>
  <si>
    <t>Birmingham, United Kingdom</t>
  </si>
  <si>
    <t>Embassy House, 60 Church Street</t>
  </si>
  <si>
    <t>B3 2DJ</t>
  </si>
  <si>
    <t>Mr. Mullen serves as Chief Executive Officer and Board Member at Birmingham Live. Mr. Mullen serves as Chief Executive Officer and Board Member at Reach (UK). Mr. James Mullen served as Chief Executive Officer at Ladbrokes. He was a Board member of the company. He was appointed Chief Executive on 1 April 2015 and a director on 7 May 2015. Jim joined Ladbrokes in November 2013 and immediately set about finalising the Playtech integration and leading Ladbrokes Digital operation. Prior to joining Ladbrokes Jim was chief operating officer for William Hill's digital operation for three years. He has significant experience in the technology sector including the Murray Group, Arc Worldwide and News International where he was director of digital strategy and then product management. He serves as Board Member at Racecourse Media Group. Jim is a graduate of Glasgow Caledonian University and the University of Westminster.</t>
  </si>
  <si>
    <t>57845-89P</t>
  </si>
  <si>
    <t>James Nelson</t>
  </si>
  <si>
    <t>Global Net Lease</t>
  </si>
  <si>
    <t>Nelson</t>
  </si>
  <si>
    <t>www.globalnetlease.com</t>
  </si>
  <si>
    <t>Co-Chief Executive Officer &amp; Board Member</t>
  </si>
  <si>
    <t>+1 (917) 475-2153</t>
  </si>
  <si>
    <t>650 Fifth Avenue</t>
  </si>
  <si>
    <t>30th Floor</t>
  </si>
  <si>
    <t>10019</t>
  </si>
  <si>
    <t>Mr. James Nelson serves as Chief Executive Officer at Global Net Lease. Previously, he served as a Board Member at Caesars Entertainment (Acquired by Eldorado Resorts). He serves as Board Member at Herbalife Nutrition. He has served as a director and member of the audit committee of Icahn Enterprises GP (IEP) since June 2001. Mr. Nelson has served as a director and member of audit committees of the Viskase Companies, Inc. from April 2003 through April 2010, American Entertainment Properties Corp. from May 2005 until November 2007, and Atlantic Coast Entertainment Holdings, Inc. from May 2005 until November 2007. Mr. Nelson was a director of Tropicana Entertainment Inc. from March 2010 until May 2014 and was a member of the audit committee from March 2010 until December 2013. Mr. Nelson was Chairman and Chief Executive Officer of Eaglescliff Corporation, a specialty investment banking, consulting and wealth management company from 1986 until 2009. From March 1998 through 2003, Mr. Nelson was Chairman and Chief Executive Officer of Orbit Aviation, Inc., a company engaged in the acquisition and completion of Boeing Business Jets for private and corporate clients. From August 1995 until July 1999, Mr. Nelson was Chief Executive Officer and Co-Chairman of Orbitex Management, Inc., a financial services company the mutual fund sector. From August 1995 until March 2001, he was on the Board of Orbitex Financial Services Group. From January 2008 through June 2008, Mr. Nelson served as a director and member of the audit committee of Shuffle Master, Inc., a gaming manufacturing company. From March 2008 until March 2010, Mr. Nelson was a director and served on the audit committee of Pacific Energy Resources Ltd., an energy producer. From April 2008 to November 2012, Mr. Nelson served as a director and as Chairman of the audit committee of the board of directors of Cequel Communications, an owner and operator of a large cable television system. From April 2010 through November 2013, Mr. Nelson served as a director and member of the audit committee of Take Two Interactive Software, Inc. a publisher, developer, and distributor of video games and video game peripherals. Since June 2011, Mr. Nelson has served as a Director and Member of the Compensation Committee, Governance and Strategic Alternatives Committee at Voltari Corporation (f/k/a Motricity Inc.). Since November 2013, Mr. Nelson has served as a director of VII Peaks Co- Optivist Income BDC II, Inc., an externally managed, closed-end management investment company and since April 2014, as a director of Ubiquity Corp.</t>
  </si>
  <si>
    <t>193104-28P</t>
  </si>
  <si>
    <t>James Pease</t>
  </si>
  <si>
    <t>Pease</t>
  </si>
  <si>
    <t>Vice President, Marketing</t>
  </si>
  <si>
    <t>Mr. James Pease served as Vice President, Market Development at Vulcan Materials Company.</t>
  </si>
  <si>
    <t>202479-85P</t>
  </si>
  <si>
    <t>James Wells</t>
  </si>
  <si>
    <t>Wells</t>
  </si>
  <si>
    <t>james.wells@vulcan.co</t>
  </si>
  <si>
    <t>Mr. James Wells serves as Chief Information Officer at Vulcan Steel (building products and steel distribution). He also serves as Board Member at Inviol. He is responsible for innovation, health and safety, brand and marketing and capital expenditure at Vulcan. Prior to joining Vulcan in 2004, He consulted to Vulcan, whilst competing in professional sport. He took on responsibilities for reviewing and implementing Vulcan's IT systems. He documented, designed and managed the development of Vulcan's fit-for-purpose IT software, and has led Vulcan's NZ Health &amp; Safety and Group Capital program since 2012. He has completed courses in innovative technologies, business process modelling and object-oriented analysis.</t>
  </si>
  <si>
    <t>70218-01P</t>
  </si>
  <si>
    <t>Jan Bune</t>
  </si>
  <si>
    <t>Bune</t>
  </si>
  <si>
    <t>Jan</t>
  </si>
  <si>
    <t>Mr. Jan Bune served as Independent Director at Mail.Ru Group. He was appointed to the Board in October 2013.</t>
  </si>
  <si>
    <t>281941-66P</t>
  </si>
  <si>
    <t>Jane O'Keeffe</t>
  </si>
  <si>
    <t>Bancroft Fund</t>
  </si>
  <si>
    <t>O'Keeffe</t>
  </si>
  <si>
    <t>Jane</t>
  </si>
  <si>
    <t>www.bancroftfund.com</t>
  </si>
  <si>
    <t>Trustee</t>
  </si>
  <si>
    <t>+1 (800) 422-3554</t>
  </si>
  <si>
    <t>One Corporate Center</t>
  </si>
  <si>
    <t>Rye</t>
  </si>
  <si>
    <t>10580-1422</t>
  </si>
  <si>
    <t>+1 (914) 921-5118</t>
  </si>
  <si>
    <t>Ms. Jane O'Keeffe serves as Trustee &amp; President at Bancroft Fund. She was Executive Vice President of the Ellsworth Growth and Income Fund Ltd. and President of the Ellsworth Growth and Income Fund Ltd. from 1996 until February 2014. Ms. O'Keeffe has been President of Dinsmore Capital Management from 1996 until 2015. In 1980, Ms. O'Keeffe began as an assistant to the portfolio manager of IDS Progressive Fund. From 1983 through March 1986, she had research and portfolio management responsibilities at Soros Fund Management Company. In 1986, Ms. O'Keeffe was a portfolio manager and research analyst at Simms Capital Management until she joined Fiduciary Trust International in 1988, where she became a Vice President and Portfolio Manager for individuals, endowments and foundations. Ms. O'Keeffe received a Bachelor's degree from the University of New Hampshire and attended the Lubin Graduate School of Pace University.</t>
  </si>
  <si>
    <t>179833-78P</t>
  </si>
  <si>
    <t>Jason Teter</t>
  </si>
  <si>
    <t>Teter</t>
  </si>
  <si>
    <t>Jason</t>
  </si>
  <si>
    <t>teterj@vulcanmaterials.com</t>
  </si>
  <si>
    <t>Jason P. Teter was appointed Senior Vice President of the Mideast and Southeast Divisions in March 2020. Prior to his current position, he was president of the Southeast Division. He joined Vulcan in 2013 as vice president of business development. He also served as vice president of finance for Vulcan and president of the Southern and Gulf Coast Division. Before joining Vulcan, he spent ten years in various finance, business development and general management positions with Lafarge North America.</t>
  </si>
  <si>
    <t>139028-95P</t>
  </si>
  <si>
    <t>Jason Wang</t>
  </si>
  <si>
    <t>Wang</t>
  </si>
  <si>
    <t>+886 (0)3 5782258</t>
  </si>
  <si>
    <t>jason_wang@umc.com</t>
  </si>
  <si>
    <t>Mr. Jason Wang serves as Co-President at United Microelectronics Corporation. Mr. Wang joined UMC as Vice President of Corporate Marketing in 2008, and from 2009 to 2014, served as President of UMC-USA, responsible for business operation efficiency enhancement and UMC North American strategic business development. He was appointed to his current position in November 2014. Before joining UMC, Mr. Wang spent 18 years at Trident Microsystems in numerous leadership positions. Mr. Wang was named vice president of Trident's Business Operations and Finance (Asia) after leading the company's strategic restructuring plan in 2003 to transform from a PC Graphics to a Digital Media company, increasing its enterprise value by $2 billion in 2006.</t>
  </si>
  <si>
    <t>168521-14P</t>
  </si>
  <si>
    <t>Javier La Calle Villalón</t>
  </si>
  <si>
    <t>La Calle Villalón</t>
  </si>
  <si>
    <t>Javier</t>
  </si>
  <si>
    <t>Chief Resources Officer and China Executive</t>
  </si>
  <si>
    <t>Mr. Javier La Calle Villalón served as Chief Resources Officer and China Executive at DIA Group. He hold Degree in Law and Graduate in Business from Universidad Pontificia Comillas Instituto Católico de Administración y Dirección de Empresas. Masters in Business Administration from the Instituto de Estudios Superiores de la Empresa. He joined DIA as a Deputy Business Manager in 1985. In 1996 he assumed various responsibilities as head of Marketing, Business Manager and General Manager for Business. In 1996 he was appointed Own Brands Business Manager of the Promodès Group in Paris. In 1999 he took responsibility as Deputy Supermarkets Manager, North, in Buenos Aires. In 2000 he assumed the position of New Business Manager of the DIA Group, again being the Business Manager of the DIA Group in 2006. In 2009 he was appointed as Senior Manager of the DIA Group in Greece and Turkey, in addition to Manager of New Retail Formats. From August 2010 to May 2015 he was the Senior Manager of the DIA Group in Portugal and China.</t>
  </si>
  <si>
    <t>237761-47P</t>
  </si>
  <si>
    <t>Javier López Calvet</t>
  </si>
  <si>
    <t>López Calvet</t>
  </si>
  <si>
    <t>Chief Financial Officer, Spain</t>
  </si>
  <si>
    <t>Mr. Javier López Calvet serves as Chief Financial Officer, Spain at DIA Group.</t>
  </si>
  <si>
    <t>35220-43P</t>
  </si>
  <si>
    <t>Jef Graham</t>
  </si>
  <si>
    <t>Netgear (Former)</t>
  </si>
  <si>
    <t>Graham</t>
  </si>
  <si>
    <t>Jef</t>
  </si>
  <si>
    <t>www.netgear.com</t>
  </si>
  <si>
    <t>+1 (905) 946-9666</t>
  </si>
  <si>
    <t>jef_graham@3com.com</t>
  </si>
  <si>
    <t>Jef T. Graham has served as one of our directors since July 2005. From September 2019 to May 2020, Mr. Graham served as Chief Executive Officer of Robin.io Inc., a software provider of kubernetes based application automation management. Mr. Graham previously served as Chairman and Chief Executive Officer of Console Connect Inc., a cloud connectivity company, from September 2016 until its acquisition by PCCW Global in November 2017. From January 2006 to January 2015, Mr. Graham served as the Chairman and Chief Executive Officer of RGB Networks, Inc., a provider of video and bandwidth management products. From July 2005 until January 2006, Mr. Graham served as the Executive Vice President, Application Products Group, of Juniper Networks, Inc., a provider of IP networking and security products. From October 2001 to July 2005, Mr. Graham served as the President and Chief Executive Officer of Peribit Networks Inc., a provider of wide-area network optimization appliances, which was acquired by Juniper Networks. Before Peribit, Mr. Graham served as the Senior Vice President of the commercial and consumer business units for 3Com Corporation, where he managed networking and connectivity product offerings. From 1993 to 1995, he served as the Chief Executive Officer of Trident Systems, a document management systems integrator. Mr. Graham also worked for Hewlett-Packard Company for 15 years, including ten years in sales and marketing around the world, and as general manager of both a hardware and a software division. Mr. Graham holds a B.A. with Honors in Business Studies from Sheffield Hallam University in the United Kingdom. He served as Executive Chairman at WhiteFox Defense Technologies.</t>
  </si>
  <si>
    <t>236801-17P</t>
  </si>
  <si>
    <t>Jeff Cohen</t>
  </si>
  <si>
    <t>Esports Entertainment Group (Former)</t>
  </si>
  <si>
    <t>Cohen</t>
  </si>
  <si>
    <t>Jeff</t>
  </si>
  <si>
    <t>www.esportsentertainmentgroup.com</t>
  </si>
  <si>
    <t>Vice President of Strategy and Investor Relations</t>
  </si>
  <si>
    <t>Mr. Jeff Cohen served as Vice President of Strategy and Investor Relations at Esports Entertainment Group Inc. He was previously an equity analyst covering gaming and esports for Stephens Inc., a leading Wall Street investment bank and asset manager. Prior to joining Stephens in 2017, Cohen was an analyst in the Equity Special Situations Group at Barclays. Mr. Cohen earned his Bachelor's in Government at Harvard University and an MBA in Finance and Accounting from Columbia Business School.</t>
  </si>
  <si>
    <t>143749-00P</t>
  </si>
  <si>
    <t>Jeff McCormick</t>
  </si>
  <si>
    <t>McCormick</t>
  </si>
  <si>
    <t>Vice President, Finance - Construction Materials</t>
  </si>
  <si>
    <t>Mr. Jeff McCormick serves as Vice President, Finance - Construction Materials at Vulcan Materials Company.</t>
  </si>
  <si>
    <t>256211-38P</t>
  </si>
  <si>
    <t>Jeffery Lott</t>
  </si>
  <si>
    <t>Lott</t>
  </si>
  <si>
    <t>Jeffery</t>
  </si>
  <si>
    <t>Mr. Jeffery Lott serves as President, Business Development, South at Vulcan Materials Company.</t>
  </si>
  <si>
    <t>382571-38P</t>
  </si>
  <si>
    <t>Jeffrey Engel</t>
  </si>
  <si>
    <t>iRobot</t>
  </si>
  <si>
    <t>Engel</t>
  </si>
  <si>
    <t>Jeffrey</t>
  </si>
  <si>
    <t>www.irobot.com</t>
  </si>
  <si>
    <t>Chief Operating Officer, Operations &amp; President</t>
  </si>
  <si>
    <t>+1 (781) 430-3000</t>
  </si>
  <si>
    <t>jengel@irobot.com</t>
  </si>
  <si>
    <t>Bedford, MA</t>
  </si>
  <si>
    <t>8 Crosby Drive</t>
  </si>
  <si>
    <t>Bedford</t>
  </si>
  <si>
    <t>01730</t>
  </si>
  <si>
    <t>+1 (781) 430-3001</t>
  </si>
  <si>
    <t>Mr. Jeffrey Engel serves as Chief Revenue Officer, President &amp; Chief Operating Officer at iRobot. Mr. Engel holds more than 30 years of executive and advisory experience, most recently serving as the company's Chief Restructuring Officer. He was named President &amp; Chief Operating Officer in August 2024. Jeff is a global turnaround and restructuring advisor with more than 30 years of C-suite and advisory experience leading successful turnarounds across multiple industries and geographies, including the Americas, EMEA and APAC. He previously served as iRobot's Chief Restructuring Officer. Prior to iRobot, Jeff served as Founder and Managing Director of Pacific Partners Capital, an advisory firm that helped clients navigate complex and challenging situations in industrial companies, manufacturing, consumer products and electronics, automotive and software sectors. He served as an Executive-in-Residence and Senior Advisor at AlixPartners, one of the world's leading management consulting and restructuring firms, frequently assuming interim C-suite positions to plan and lead business turnarounds. Throughout his career, Jeff has worked with many of the world's leading PE firms and investment banks on portfolio company operational challenges, strategic initiatives and investment decisions. He has held various C-suite and advisory positions at companies, including Senior Principal at Kearney, Executive Director and CPO of Americas at Ford Motor Company, and COO and Board Member of Westpoint Stevens with Icahn Enterprises. Jeff holds an M.B.A. from the University of Notre Dame and a B.A. in Business Administration from the University of Iowa.</t>
  </si>
  <si>
    <t>16201-36P</t>
  </si>
  <si>
    <t>Jeffrey Fox</t>
  </si>
  <si>
    <t>Westrock Coffee</t>
  </si>
  <si>
    <t>Fox</t>
  </si>
  <si>
    <t>www.westrockcoffee.com</t>
  </si>
  <si>
    <t>+1 (501) 320-4880</t>
  </si>
  <si>
    <t>Little Rock, AR</t>
  </si>
  <si>
    <t>4009 North Rodney Parham Road</t>
  </si>
  <si>
    <t>Little Rock</t>
  </si>
  <si>
    <t>Arkansas</t>
  </si>
  <si>
    <t>72212</t>
  </si>
  <si>
    <t>Mr. Jeffrey Fox is the Founder and Chief Executive Officer of Circumference Group. He serves as Board Member at Westrock Coffee Company. Mr. Fox served as Chief Executive Officer &amp; Board Member at Endurance International Group. He served as a chairman of the Board at Convergys. He served as President and CEO of Convergys from 2010 to 2012. He was also named to the board of Avis Budget Group Inc., the owner of Boston-based Zipcar, in 2013. As CEO, he led Convergys' strategic and operational transformation from a multi-line business services supplier into a market leader in the customer management business. This transformation involved divesting approximately $900 million of non-core assets in three major transactions while improving the operating performance of the customer management business. Prior to joining Convergys, he assembled a team of seasoned operators and founded Circumference Group in January 2009. As CEO and founder, he led the team through a successful first year of investing in private and public companies and advising clients and partners. He continues to be the majority shareholder in Circumference Group. Before founding Circumference Group, he served as Chief Operating Officer of Alltel Corporation from October 2007 to January 2009. In his role as COO, he directed operations of the fifth-largest wireless company in the United States with over $10 billion in revenue, $3.5 billion in EBITDA, and 16,000 employees. He was responsible for all retail, business, and indirect sales, marketing, customer service, IT, engineering, network planning and operations, supply chain, procurement, and operations support. He participated in the management team that led Alltel's $27 billion acquisition by TPG Capital and Goldman Sachs in 2007. From April 2003 to October 2007, he served as Alltel's Group President-Shared Services. As Group President-Shared Services, he was responsible for the enterprise infrastructure supporting Alltel's wireline and wireless operations, including network engineering and operations, IT, procurement, human resources, enterprise integration, and the enterprise project management organization. From 1996 to April 2003, he served as Group President-Alltel Information Services with responsibility for all subsidiary functions, including sales, marketing, research and development, legal, finance, strategy, and operations. AIS delivered software, professional services, and outsourcing to top-tier global financial institutions and U.S. telecommunications companies. During his tenure, he successfully led the restructuring of AIS, positioning it for acquisition by Fidelity National Financial for $1.3 billion. Prior to Alltel, he worked in investment banking for 10 years with Stephens Inc. preceded by two years with Merrill Lynch. He specialized in M&amp;A advisory services for public and private companies.
He is a graduate of Duke University with a degree in economics.</t>
  </si>
  <si>
    <t>190348-66P</t>
  </si>
  <si>
    <t>Jeffrey Lin</t>
  </si>
  <si>
    <t>M&amp;G</t>
  </si>
  <si>
    <t>Lin</t>
  </si>
  <si>
    <t>www.mandg.com</t>
  </si>
  <si>
    <t>Head of Thematic Equities</t>
  </si>
  <si>
    <t>+44 (0)20 7626 4588</t>
  </si>
  <si>
    <t>jeffrey.lin@mandg.com</t>
  </si>
  <si>
    <t>10 Fenchurch Avenue</t>
  </si>
  <si>
    <t>EC3M 5AG</t>
  </si>
  <si>
    <t>Mr. Jeffrey Lin serves as Head of Thematic Equities at M&amp;G. Mr. Lin served as Executive at Thomson Kelvin Capital. He is a Senior VP, Senior Equity Analyst for TCW with over 14 years of experience in the technology sector. Previously worked at Montgomery Securities and Paul Allen's Vulcan Ventures where three of his investments went public and three were acquired by publicly traded companies. Served as CFO of Zaffire, an optical equipment company funded by Kleiner Perkins, until the company's sale to Centerpoint Broadband. He was an Analysy at Provident Investment Counsel and Co-Portfolio Manager of Conquistador Ventures, a technology sector focused hedge fund.</t>
  </si>
  <si>
    <t>320190-94P</t>
  </si>
  <si>
    <t>Jenish Jariwala</t>
  </si>
  <si>
    <t>Trident Texofab</t>
  </si>
  <si>
    <t>Jariwala</t>
  </si>
  <si>
    <t>Jenish</t>
  </si>
  <si>
    <t>www.tridenttexofab.com</t>
  </si>
  <si>
    <t>2004, 3rd Floor, North Extension</t>
  </si>
  <si>
    <t>Begumpura, Falsawadi, Ring Road</t>
  </si>
  <si>
    <t>395003</t>
  </si>
  <si>
    <t>Mr. Jenish Jariwala serves as Chief Financial Officer at Trident Texofab. Mr. Jariwala holds a bachelor's degree in commerce from Veer Narmad South Gujarat University, Surat. He has more than 14 years of experience in the accounts and finance sector. His responsibility in our Company includes overseeing the corporate finance, accounts, statutory and internal audit, and financial projections of our Company. He looks after the day today accounting system, tax and other liasioning work with various government authorities. He has been associated with our Company since June 01, 2017.</t>
  </si>
  <si>
    <t>221315-50P</t>
  </si>
  <si>
    <t>Jennifer Ortiz</t>
  </si>
  <si>
    <t>Progress Software (Former)</t>
  </si>
  <si>
    <t>Ortiz</t>
  </si>
  <si>
    <t>Jennifer</t>
  </si>
  <si>
    <t>www.progress.com</t>
  </si>
  <si>
    <t>jortiz@progress.com</t>
  </si>
  <si>
    <t>Mrs. Jennifer Ortiz serves as Executive Vice President of Marketing at Progress Software. She leads all facets of a dynamic, high-producing global marketing organization. From corporate branding, analyst and public relations, to demand generation and field marketing, design, digital strategy, operations and events, her vision is imprinted across every facet of the business. With so many moving parts, she views herself as conducting a marketing symphony of talented professionals dedicated to amplifying Progress' value to an ever-evolving global marketplace. She honed her craft at Progress over 15 years, filling her quiver with experiences from leadership roles in IT, Finance and Marketing Operations. This included serving as Senior Director of Marketing Operations, as well as working in IT for six years. She draws on her well-rounded view of the Progress business to deliver measurable results for the company. Prior to Progress, she drove marketing functions in startup environments for an analyst firm and a tech trade show company. Beyond leading a top-notch marketing organization, her team co-founded and continues to champion Progress for Tomorrow, the company's Corporate Social Responsibly (CSR) program. It's an initiative driving both company culture and tangible policy change aimed at delivering measurable results. She further serves as an executive sponsor for two Employee Resource Groups (ERGs): the LGBTQ+ ERG called Plus and Unidos en Progress, which supports our Latinx community. In her free time, she has a very active family life which includes a mix of youth basketball and softball. But she does take time for herself, often in the form of early morning runs where she communes with the peaceful outdoors before tackling the busy day ahead. Jenn earned her Bachelor of Science in Business Administration from the University of Massachusetts.</t>
  </si>
  <si>
    <t>122898-79P</t>
  </si>
  <si>
    <t>Jerry Claridge</t>
  </si>
  <si>
    <t>xCraft</t>
  </si>
  <si>
    <t>Claridge</t>
  </si>
  <si>
    <t>Jerry</t>
  </si>
  <si>
    <t>www.xcraft.io</t>
  </si>
  <si>
    <t>Co-Founder, President, Chief Executive Officer, Chief Financial Officer, Treasurer &amp; Board Member</t>
  </si>
  <si>
    <t>+1 (509) 944-4647</t>
  </si>
  <si>
    <t>jd@xcraft.io</t>
  </si>
  <si>
    <t>Coeur d'Alene, ID</t>
  </si>
  <si>
    <t>418 East Lakeside Avenue</t>
  </si>
  <si>
    <t>Suite 08</t>
  </si>
  <si>
    <t>Coeur d'Alene</t>
  </si>
  <si>
    <t>Idaho</t>
  </si>
  <si>
    <t>83814</t>
  </si>
  <si>
    <t>Mr. Jerry Claridge is a Co-Founder and serves as President, Chief Executive Officer, Chief Financial Officer and Board Member at XCraft. He was born with a passion for flight. Building and crashing flying toys throughout his youth taught him much about the science and art of flight vehicle design. He once built a functional hang glider at the age of 7 and convinced his best friend to test fly it.</t>
  </si>
  <si>
    <t>93064-42P</t>
  </si>
  <si>
    <t>Jerry Perkins Jr.</t>
  </si>
  <si>
    <t>Perkins</t>
  </si>
  <si>
    <t>perkinsj@vulcanmaterials.com</t>
  </si>
  <si>
    <t>Jerry F. Perkins Jr. was appointed Senior Vice President of the Southern &amp; Gulf Coast and Southwest Divisions in March 2020. Prior to his current position, he was president of the Southern and Gulf Coast Division. He also served as general counsel and corporate secretary and held various legal leadership roles for Vulcan. Before joining Vulcan in 2002, he worked as a certified public accountant (CPA) at a global accounting firm and was an attorney with Burr &amp; Forman LLP in Birmingham, Alabama.</t>
  </si>
  <si>
    <t>35182-72P</t>
  </si>
  <si>
    <t>Ji Zhao Ph.D</t>
  </si>
  <si>
    <t>Zhao</t>
  </si>
  <si>
    <t>Ji</t>
  </si>
  <si>
    <t>Co-Founder, Chief Executive Officer &amp; Chairman of the Board</t>
  </si>
  <si>
    <t>+1 (408) 973-8559</t>
  </si>
  <si>
    <t>jack.zhao@paradetech.com</t>
  </si>
  <si>
    <t>Mr. Ji Zhao is a Co-Founder and serves as Chief Executive Officer &amp; Chairman of the Board at Parade Technologies. From 2005 through 2010, Dr. Zhao was the company's President and CEO and Board Co-Chairman. He has over 20 years of experience in the semiconductor industry. Prior to joining Parade, Dr. Zhao served as the VP of Engineering at a company that he co-founded, Cerdelinx Technologies, which was acquired by Lattice Semiconductor in 2002. Prior to Cerdelinx, Dr. Zhao served in various management positions at Cypress Semiconductor, National Semiconductor, and Trident Microsystems. He received his Ph.D. in EE from the University of California, Irvine, and M.S. and B.S. degrees from Shanghai Jiaotong University.</t>
  </si>
  <si>
    <t>240466-33P</t>
  </si>
  <si>
    <t>Jide Omotere</t>
  </si>
  <si>
    <t>Staco Insurance</t>
  </si>
  <si>
    <t>Omotere</t>
  </si>
  <si>
    <t>Jide</t>
  </si>
  <si>
    <t>www.stacoplc.com</t>
  </si>
  <si>
    <t>+234 (0)815 097 0457</t>
  </si>
  <si>
    <t>Lagos, Nigeria</t>
  </si>
  <si>
    <t>209, Herbert Macaulay Way, Ebute-Metta</t>
  </si>
  <si>
    <t>Yaba</t>
  </si>
  <si>
    <t>Lagos</t>
  </si>
  <si>
    <t>Nigeria</t>
  </si>
  <si>
    <t>Mr. Jide Omotere serves as Chief Financial Officer at Staco Insurance. Mr. Omotere started his career in professional practice with Anthony Chikwendu Chartered Accountants between 1989 to 1990; worked with Omni Investments Ltd from 1991 to 1992; Trident Finance &amp; Securities ltd 1992 to 1995; Regency Assurance Plc as head of Finance &amp; Accounts between 1995 to 2002; Royal Trust Assurance Ltd as Head, Finance &amp; Corporate Services until he joined Crusader Insurance Plc (which later merged with Custodian and Allied Insurance Plc) in 2007 as Group Head of Enterprise Management. Mr. Omotere holds a Higher National Diploma in Accountancy from Ondo State Polytechnic Owo in 1989, a Master's degree in Business Administration from University of Ado-Ekiti in 2001 and a Master of Science (Finance) from Lagos State University in 2004. He is a Fellow of the Institute of Chartered Accountants of Nigeria, an Associate Member of the Chartered Institute of Taxation of Nigeria and an alumnus of Lagos Business School, now Pan Africa University.</t>
  </si>
  <si>
    <t>31442-95P</t>
  </si>
  <si>
    <t>Jie Zheng</t>
  </si>
  <si>
    <t>Chongqing Iron &amp; Steel (Former)</t>
  </si>
  <si>
    <t>Zheng</t>
  </si>
  <si>
    <t>Jie</t>
  </si>
  <si>
    <t>www.cqgt.cn</t>
  </si>
  <si>
    <t>Mr. Jie Zheng served as Principal at WL Ross &amp; Co.. Mr. Jie Zheng served as Board Member at Chongqing Iron &amp; Steel. Mr. Zheng serves as Principal at WL Ross &amp; Co. His responsibilities include analyzing potential investment opportunities in various industries. Prior to joining WL Ross &amp; Co. LLC, Mr. Zheng worked at hedge fund Fore Research &amp; Management, focusing on credit and fundamental research. Formerly, Mr. Zheng worked in the Asset Management department at Everbright Securities in China. Mr. Zheng holds an M.B.A. from the University of Chicago, and a B.S. and a M.S. from Shanghai Jiao Tong University. Mr. Zheng holds the Chartered Financial Analyst designation.</t>
  </si>
  <si>
    <t>35182-81P</t>
  </si>
  <si>
    <t>Jimmy Chiu</t>
  </si>
  <si>
    <t>Chiu</t>
  </si>
  <si>
    <t>Jimmy</t>
  </si>
  <si>
    <t>Co-Founder &amp; Executive Vice President, Marketing</t>
  </si>
  <si>
    <t>+1 (510) 797-6104</t>
  </si>
  <si>
    <t>jimmy.chiu@paradetech.com</t>
  </si>
  <si>
    <t>Mr. Jimmy Chiu is a Co-Founder &amp; serves as Executive Vice President, Marketing at Parade Technologies. Mr. Chiu was appointed Executive Vice President of Marketing in January 2011. Mr. Chiu served the company as Vice President of Marketing from 2005 to 2010. Mr. Chiu has over 20 years of experience in the semiconductor industry with a focus on application, system, product, QA and design for video processing and notebook graphics. Prior to Parade, Mr. Chiu held positions at XGI and Trident Microsystems as AVP of application engineering. Mr. Chiu received his MS in EE from Texas A&amp;M University and B.S. from National Taiwan University.</t>
  </si>
  <si>
    <t>32668-12P</t>
  </si>
  <si>
    <t>Joe Cecin Jr.</t>
  </si>
  <si>
    <t>LICT</t>
  </si>
  <si>
    <t>Cecin</t>
  </si>
  <si>
    <t>Joe</t>
  </si>
  <si>
    <t>www.lictcorp.com</t>
  </si>
  <si>
    <t>+1 (914) 921-8821</t>
  </si>
  <si>
    <t>jcecin@lictcorp.com</t>
  </si>
  <si>
    <t>Rye, NY</t>
  </si>
  <si>
    <t>401 Theodore Fremd Avenue</t>
  </si>
  <si>
    <t>10580-1430</t>
  </si>
  <si>
    <t>+1 (914) 921-6410</t>
  </si>
  <si>
    <t>Mr. Joe Cecin serves as Chief Operating Officer at LICT. Mr. Cecin served as Chief Executive Officer at Enertech Resources. Mr. Cecin served as Director &amp; Board Member at Nerve Technologies. He serves as an Angel Investor at Jose Cecin. He guides the growth of the company through tenured business acumen. As a board of directors member, Joe uses his public and private board experience to build value for NerVve's investors. He was recently CEO of Vulcan Park Technologies and had more than 25 years of experience working in an executive capacity in technology and telecommunications for both start-ups and large companies. Joe has held positions in executive management at RCN, BB&amp;T Capital Markets, Cambrian Communications, Wave International, and Bell Atlantic. He has served on five public company boards, including RCN, Vuzix, Arbinet, and SkyTerra Communications. Joe currently serves as a Trustee of the United Way of the USA. Joe received his MBA from Stanford University and his BSEE from the US Military Academy at West Point.</t>
  </si>
  <si>
    <t>50204-53P</t>
  </si>
  <si>
    <t>Joel Gay</t>
  </si>
  <si>
    <t>Energy Recovery (Former)</t>
  </si>
  <si>
    <t>Gay</t>
  </si>
  <si>
    <t>Joel</t>
  </si>
  <si>
    <t>www.energyrecovery.com</t>
  </si>
  <si>
    <t>+1 (510) 746-2578</t>
  </si>
  <si>
    <t>jgay@energyrecovery.com</t>
  </si>
  <si>
    <t>Mr. Joel Gay serves as President, Chief Executive Officer and Board Member at Energy Recovery. He joined Energy Recovery in 2012 and has held several positions at the company, including Head of Strategy and Chief Financial Officer. Prior to joining Energy Recovery, he held various roles at Aegion Corporation, most notably as CFO of its largest division, North America and prior to that, Strategic Advisor to the CEO where he led the company's diversification into Oil &amp; Gas through a series of acquisitions. Mr. Gay has also held several General Management and Operations positions within the Service Master companies. He began his career in entrepreneurial finance, where he led a private equity-backed start-up to a successful liquidity event. Mr. Gay serves on the board of GDG Constructors as an Executive Director and Chair of the Audit Committee. He brings more than 15 years of experience, having led multiple corporate disciplines in global small-cap and large-cap companies through innovative and quantitatively rigorous discipline. He holds an MBA from the University of Chicago Booth School of Business and a BA from St. Thomas University.</t>
  </si>
  <si>
    <t>45690-94P</t>
  </si>
  <si>
    <t>John Baker II</t>
  </si>
  <si>
    <t>FRP Holdings</t>
  </si>
  <si>
    <t>Baker</t>
  </si>
  <si>
    <t>John</t>
  </si>
  <si>
    <t>www.frpdev.com</t>
  </si>
  <si>
    <t>+1 (410) 771-4100</t>
  </si>
  <si>
    <t>Jacksonville, FL</t>
  </si>
  <si>
    <t>200 West Forsyth Street</t>
  </si>
  <si>
    <t>7th Floor</t>
  </si>
  <si>
    <t>Jacksonville</t>
  </si>
  <si>
    <t>32202</t>
  </si>
  <si>
    <t>+1 (410) 771-8150</t>
  </si>
  <si>
    <t>Mr. John Baker serves as Chairman at FRP Holdings. He serves as Senior Advisor at Brinkmere Capital Partners. From February 2008 until October 2010, he served as the President and Chief Executive Officer of Patriot Transportation Holding, Inc. Before joining Patriot, Mr. Baker was president and Chief Executive Officer of Florida Rock Industries, Inc., a leading producer of construction aggregates and related materials throughout the Southeastern and Mid-Atlantic states. Mr. Baker is Chairman of regional utility Jacksonville Electric Authority Board and has previously served on the board of directors of Wells Fargo &amp; Company, Jacksonville Port Authority, Progress Energy, Vulcan Materials, Texas Industries, Hughes Supply and Edward Waters College. Mr. Baker maintains leadership roles in several community educational organizations including Tiger Academy, KIPP Jacksonville, Inc., and the YMCA of Florida's First Coast. Mr. Baker received a Bachelor of Arts degree from Princeton University and graduated with honors from the University of Florida School of Law.</t>
  </si>
  <si>
    <t>73237-69P</t>
  </si>
  <si>
    <t>John Campbell</t>
  </si>
  <si>
    <t>Porch Group</t>
  </si>
  <si>
    <t>www.porch.com</t>
  </si>
  <si>
    <t>Vice President, Investor Relations</t>
  </si>
  <si>
    <t>+1 (855) 767-2400</t>
  </si>
  <si>
    <t>johncampbell@porch.com</t>
  </si>
  <si>
    <t>Seattle, WA</t>
  </si>
  <si>
    <t>411 1st Avenue South</t>
  </si>
  <si>
    <t>Suite 501</t>
  </si>
  <si>
    <t>Seattle</t>
  </si>
  <si>
    <t>98104</t>
  </si>
  <si>
    <t>Mr. John Campbell serves as Vice President, Investor Relations at Porch Group. He serves as Managing Director of Financial Services at Stephens. Previously, he worked at FedEx Services as a Strategy Planning Analyst. He joined Stephens in 2011 as a research associate in the business services and insurance brokerage space. He was promoted into a lead analyst role in 2014 and has since built and currently leads the Firm's Real Estate Services practice. Before joining Stephens Inc., He spent time as a corporate strategy planning analyst at FedEx. He holds a BA in banking &amp; finance and an MBA from Ole Miss.</t>
  </si>
  <si>
    <t>133558-12P</t>
  </si>
  <si>
    <t>John Jackson</t>
  </si>
  <si>
    <t>Board Member, Chairman of Audit Committee &amp; Risk &amp; Member of Compliance Committee and Nominations Committee</t>
  </si>
  <si>
    <t>Mr.John Jackson serves as Board Member, Chairman of Audit Committee &amp; Risk &amp; Member of Compliance Committee and Nominations Committee at Playtech. John is a qualified accountant and his previous roles include Group Chief Executive of Jamie Oliver Holdings Limited from 2007 to 2015 and Group Retail and Leisure Director of Virgin Group Limited from 1998 to 2007. He is currently Nonexecutive Chairman of Rick Stein Group, a senior independent director of Game Digital plc; and a Non-executive Director of Wilkinson's Hardware Stores Limited. John brings a wealth of consumer industry experience combined with a strong accountancy and finance background.</t>
  </si>
  <si>
    <t>32108-86P</t>
  </si>
  <si>
    <t>John Krumins</t>
  </si>
  <si>
    <t>Krumins</t>
  </si>
  <si>
    <t>john.morelli@depsci.com</t>
  </si>
  <si>
    <t>John Krumins brings over 20 years' experience in corporate finance, technology, and complex project management. He spent nearly 15 years at Morgan Stanley as a Managing Director and subsequently worked at both Deutsche Bank and SociÃ©tÃ© GÃ©nÃ©rale. He is currently the Chairman of Wavex Technology Ltd, which provides IT services support and business service management products to SMEs. His role as a Trustee at Big Education Trust and acting as Finance Committee Chairman &amp; Trustee of the Royal Institution of Great Britain. Beyond his current role at Wavex, he has extensive experience of advising companies involved in technology and data analytics including both Hogg Robinson Group PLC, (2016-2018) and Intent HQ (2013-2016) where he was a Non-Executive Director. John also brings noteworthy regulatory experience from his previous role as a panel member of the UK's Competition and Markets Authority from 2013 to 2018. He serves as Board Member at Playtech. He served as a Board Member at OrganOx.</t>
  </si>
  <si>
    <t>246838-42P</t>
  </si>
  <si>
    <t>John Maxwell</t>
  </si>
  <si>
    <t>Vulcan Industries (London)</t>
  </si>
  <si>
    <t>Maxwell</t>
  </si>
  <si>
    <t>www.vulcanplc.com</t>
  </si>
  <si>
    <t>8th Floor, The Broadgate Tower</t>
  </si>
  <si>
    <t>20 Primrose Street</t>
  </si>
  <si>
    <t>EC2A 2EW</t>
  </si>
  <si>
    <t>Mr. John Maxwell serves as Board Member at Vulcan Industries (London). He is a member of The Institute of Chartered Accountants of Scotland. He is on the Board of Directors at London Finance &amp; Investment Group Plc. Mr. John was previously employed as an Independent Non-Executive Director by RSA Insurance Group Plc, Non-Executive Director by Provident Financial Plc, Chairman by DX Services Plc, Non-Executive Director by HomeServe Plc, Non-Executive Director by Parity plc, Executive Director by Prudential Plc, CEO of BPB Industries Plc, CEO of Provincial Group Plc, Chairman at Prolific Plc, General Director at The Automobile Association Limited and a Governor at Royal Ballet School</t>
  </si>
  <si>
    <t>79682-23P</t>
  </si>
  <si>
    <t>John McPherson</t>
  </si>
  <si>
    <t>Commercial Metals</t>
  </si>
  <si>
    <t>McPherson</t>
  </si>
  <si>
    <t>www.cmc.com</t>
  </si>
  <si>
    <t>+1 (214) 522-2055</t>
  </si>
  <si>
    <t>Irving, TX</t>
  </si>
  <si>
    <t>6565 North MacArthur Boulevard</t>
  </si>
  <si>
    <t>Suite 800</t>
  </si>
  <si>
    <t>Irving</t>
  </si>
  <si>
    <t>75039</t>
  </si>
  <si>
    <t>+1 (214) 689-5886</t>
  </si>
  <si>
    <t>Mr. John McPherson serves as a Board member at GCP Applied Technologies. He serves as Vice Chairman at Forterra. He served as the Chairman, President and CEO of Ferro Corporation (a leading producer of specialty materials and chemicals) from 2006 to 2012. He joined Ferro in October 2004 as its President and Chief Operating Officer, was appointed CEO and Director in November 2005 and was elected Chairman in December 2006. Prior to that, from 2002 through 2004, he served as President of Quantum Composites, Inc. (a manufacturer of thermoset molding compounds, parts and sub-assemblies for the automotive, aerospace, electrical and HVAC industries). From 2000 through 2002, he served as President and director of Ballard Generation Systems and Vice President for Ballard Power Systems in Burnaby, British Columbia, Canada. Mr. Kirsch began his career with The Dow Chemical Company, where he spent 19 years and held various positions of increasing responsibility, including global business director of Propylene Oxide and Derivatives and Global Vice President of Electrochemicals. Mr. Kirsch has served as a director of Rayonier Advanced Materials Inc. since 2014. He formerly served as a director of Cliffs Natural Resources, Inc. from March 2010 to August 2014 and as Executive Chairman from January 2014 to August 2014. He also served as an Executive Vice President &amp; Chief Financial Officer at Vulcan Materials Company.</t>
  </si>
  <si>
    <t>143954-56P</t>
  </si>
  <si>
    <t>Jonathan Christodoro</t>
  </si>
  <si>
    <t>Xerox</t>
  </si>
  <si>
    <t>Christodoro</t>
  </si>
  <si>
    <t>Jonathan</t>
  </si>
  <si>
    <t>www.xerox.com</t>
  </si>
  <si>
    <t>+1 (800) 828-6396</t>
  </si>
  <si>
    <t>Norwalk, CT</t>
  </si>
  <si>
    <t>201 Merritt 7</t>
  </si>
  <si>
    <t>Norwalk</t>
  </si>
  <si>
    <t>Connecticut</t>
  </si>
  <si>
    <t>06851</t>
  </si>
  <si>
    <t>Mr. Jonathan Christodoro serves as Board Member, Member of the Compensation Committee &amp; Corporate Governance and Nominating Committee at PayPal Holdings. Mr. Christodoro serves as Board Member at Xerox. He serves as a Board Member at Kadenwood. He serves as Chairman at Pioneer Merger. He serves as a Board Member at Bolttech. He also served in the United States Marine Corps. He also served as a Member of the Board of Directors of Herbalife International of America. He served as a Board Member at Herbalife Nutrition On May 13, 2018, Xerox Corporation announced that, in connection with the Settlement Agreement, he was appointed as a Director of the Company. He is a private investor. He served as a Managing Director of Icahn Capital LP, where he was responsible for identifying, analyzing, and monitoring investment opportunities and portfolio companies, from July 2012 to February 2017. Before joining Icahn Capital, he served in various investment and research roles at P2 Capital Partners, LLC, Prentice Capital Management, LP, and S.A.C. Capital Advisors, LP. He began his career as an investment banking analyst at Morgan Stanley, where he focused on merger and acquisition transactions across a variety of industries. Lyft, Inc., a mobile ride-sharing application, since May 2015; Enzon Pharmaceuticals, Inc., a biotechnology company, since October 2013 (and has been Chairman of the Board of Enzon since November 2013); and Herbalife Ltd., a nutrition company, since April 2013. He was previously a director of Xerox, from June 2016 to December 2017; Cheniere Energy, Inc., a developer of natural gas liquefaction and export facilities and related pipelines, from August 2015 to August 2017; American Railcar Industries, Inc., a railcar manufacturing company, from June 2015 to February 2017; Hologic, Inc., a supplier of diagnostic, medical imaging and surgical products, from December 2013 to March 2016; eBay Inc., a global commerce and payments company, from March 2015 to July 2015; and Talisman Energy Inc., an independent oil and gas exploration and production company, from December 2013 to May 2015. American Railcar Industries is indirectly controlled by Carl C. Icahn. Mr. Icahn has or previously had non-controlling interests in Xerox, PayPal, eBay, Lyft, Cheniere, Hologic, Talisman, Enzon, and Herbalife through the ownership of securities. He received an M.B.A. from the University of Pennsylvania's Wharton School of Business with Distinction, majoring in Finance and Entrepreneurial Management. He received a B.S. in Applied Economics and Management Magna Cum Laude with Honors Distinction in Research from Cornell University.</t>
  </si>
  <si>
    <t>143793-10P</t>
  </si>
  <si>
    <t>Jonathan Doubilet</t>
  </si>
  <si>
    <t>Doubilet</t>
  </si>
  <si>
    <t>Vice President &amp; Managing Director, Business Operations, US</t>
  </si>
  <si>
    <t>jonathan.doubilet@playtech.com</t>
  </si>
  <si>
    <t>Mr. Jonathan Doubilet serves as Vice President &amp; Managing Director, Business Operations, US at Playtech. Mr. Doubilet holds a MA (Master of Arts) from Bar-Ilan University and a BA in Finance from College of Management, Israel. He served as Senior Manager Corporate Development at Playtech. Previously he served as Business Development Manager at Player2Players.</t>
  </si>
  <si>
    <t>255862-36P</t>
  </si>
  <si>
    <t>Jonathan Frates</t>
  </si>
  <si>
    <t>SandRidge Energy</t>
  </si>
  <si>
    <t>Frates</t>
  </si>
  <si>
    <t>www.sandridgeenergy.com</t>
  </si>
  <si>
    <t>Chief Financial Officer, Finance &amp; Executive Vice President</t>
  </si>
  <si>
    <t>+1 (405) 429-5500</t>
  </si>
  <si>
    <t>jonathan.frates@sandridgeenergy.com</t>
  </si>
  <si>
    <t>Oklahoma City, OK</t>
  </si>
  <si>
    <t>1 East Sheridan</t>
  </si>
  <si>
    <t>Suite 500</t>
  </si>
  <si>
    <t>Oklahoma City</t>
  </si>
  <si>
    <t>Oklahoma</t>
  </si>
  <si>
    <t>73104</t>
  </si>
  <si>
    <t>On September 30, 2024, the Board announced that it had appointed Mr. Frates to serve as the Company's Executive Vice President and Chief Financial Officer, effective October 21, 2024. Mr. Frates, age 41, has served most recently as Investment Director of Vision One Management Partners, a Miami-based investment manager from July 2022 through September 2024. Prior to Vision One, Mr. Frates served as Managing Director and Head of Family Office of Daughters Capital Corp., a single-family office from July 2021 through June 2022, and as Managing Director of Icahn Enterprises L.P., a diversified holding company engaged in a variety of businesses, from November 2015 through July 2021. Prior to Icahn Enterprises, Mr. Frates held roles at First Acceptance Corp., Diamond A Ford Corp., and Wachovia Securities LLC. Mr. Frates has served as Chairman of the Board of Directors of the Company since June 2018. Mr. Frates previously served as a director of Herc Holdings, Inc. from August 2019 until May 2022, VIVUS, Inc. from December 2020 until July 2021, Viskase Companies, Inc. from March 2016 until July 2021, American Railcar Industries, Inc. from March 2016 until December 2018, CVR Refining, LP from April 2016 until January 2019, Ferrous Resources Ltd. from December 2016 until July 2019, CVR Partners from April 2016 until July 2021, and CVR Energy, Inc. from March 2016 until July 2021. Mr. Frates received a BBA from Southern Methodist University and an MBA from Columbia Business School. On September 30, 2024, Mr. Jonathan Frates notified the Board of Directors of SandRidge Energy, Inc. that he will resign as Chairman of the Board, effective October 1, 2024.</t>
  </si>
  <si>
    <t>446717-35P</t>
  </si>
  <si>
    <t>Jonathan Gilmore</t>
  </si>
  <si>
    <t>Challenger Energy Group</t>
  </si>
  <si>
    <t>Gilmore</t>
  </si>
  <si>
    <t>www.cegplc.com</t>
  </si>
  <si>
    <t>Secretary, Administration</t>
  </si>
  <si>
    <t>+44 (0)16 2464 7883</t>
  </si>
  <si>
    <t>j.gilmore@cegplc.com</t>
  </si>
  <si>
    <t>Castletown, United Kingdom</t>
  </si>
  <si>
    <t>The Engine House</t>
  </si>
  <si>
    <t>Alexandra Road</t>
  </si>
  <si>
    <t>Castletown</t>
  </si>
  <si>
    <t>Isle of Man</t>
  </si>
  <si>
    <t>IM9 1TG</t>
  </si>
  <si>
    <t>+44 (0)16 2466 5121</t>
  </si>
  <si>
    <t>Mr. Jonathan Gilmore serves as Finance Director, Group Financial Controller &amp; Co-Company Secretary at Challenger Energy Group. He has international, technical, corporate and commercial finance experience in the natural resources sector. His prior experience includes five years in audit managerial roles with EY London, focusing on mining and energy clients, internal audit and financial controller for mining and processing operations at Katanga Mining Limited in Africa, and Commercial Business Partner at Cushman &amp; Wakefield in the UK. He joined Columbus Energy Resources Plc as the Group Financial Controller in September 2018, before the merger with Challenger Energy in 2020. He holds a Bachelor of Commerce / Accounting from the University of Western Sydney and is a Fellow of the Institute of Chartered Accountants Australia and New Zealand.</t>
  </si>
  <si>
    <t>439422-04P</t>
  </si>
  <si>
    <t>Jonathan Wiesblatt</t>
  </si>
  <si>
    <t>Wiesblatt</t>
  </si>
  <si>
    <t>Co-Chief Executive Officer and Director</t>
  </si>
  <si>
    <t>Mr. Jonathan Wiesblatt serves as Co-Chief Executive Officer and Director at Trident Resources. He has over two decades of experience in the financial industry in various roles, including focused expertise in the mining industry as an analyst and institutional investor. He specializes in equity research, portfolio management, capital markets, hedge funds, and investment management. His expertise is in the US and Canadian capital markets. He has spent the last 15-years as an institutional investor working as a Portfolio Manager for several multi-strategy funds, a Canadian Equity Mutual Fund at Sprott Asset Management, as well as recently serving as an advisor to one of Canada's largest Family Offices, Reichmann International Development Corp. He is a graduate of The University of Western Ontario and Chartered Investment Manager Designation holder.</t>
  </si>
  <si>
    <t>37121-14P</t>
  </si>
  <si>
    <t>José Luis Guerrero Cortés</t>
  </si>
  <si>
    <t>Grupo Aeroportuario del Centro Norte (Former)</t>
  </si>
  <si>
    <t>Luis Guerrero Cortés</t>
  </si>
  <si>
    <t>José</t>
  </si>
  <si>
    <t>Mr. José Cortés served as the Chief Financial Officer at Grupo Aeroportuario del Centro Norte. Previously he worked as a summer associate at Goldman Sachs in the debt capital markets and derivatives groups, served as a financial analyst at Empresas ICA and as an assistant brand manager at Procter &amp; Gamble in México. He also worked in the environmental research group of Veolia Environment in France and as a research engineer for Vulcan Chemicals in Kansas. He holds a degree in chemical engineering from the Universidad Iberoamericana, a diploma in Finance from Instituto Tecnológico y de Estudios Superiores de Monterrey and an MBA from the Harvard Business School.</t>
  </si>
  <si>
    <t>228854-98P</t>
  </si>
  <si>
    <t>Justin Drummon</t>
  </si>
  <si>
    <t>Vulcan Industries (London) (Former)</t>
  </si>
  <si>
    <t>Drummon</t>
  </si>
  <si>
    <t>Justin</t>
  </si>
  <si>
    <t>Co-Founder, Chief Executive Officer &amp; Director</t>
  </si>
  <si>
    <t>Mr. Justin Drummon co-founded Vulcan Industries and served as its Chief Executive Officer &amp; Director at. He has 19 years' experience with publicly listed companies as an investor or co-founder of a number of successful technology, telecoms and listed investment companies. Justin founded Gaming Corporation plc ("Gaming Corp") in February 2000 which listed on the London Stock Exchange a year after its formation via the reverse takeover of Chrome Technology plc in May 2001. With an initial £200,000 investment in Gaming Corp, the Group grew rapidly to a £50 million market capitalisation in just four years. In 2012, he stepped down from his role as Chairman of two AIM listed companies, Coms plc and Clear Leisure plc, to focus on Corporate broking where he has since raised over £50 million from institutional investors. Justin previously served as a Non-Executive Director of Coms plc, the 2013 AIM Company of the year.</t>
  </si>
  <si>
    <t>63400-33P</t>
  </si>
  <si>
    <t>Justin Isernhinke</t>
  </si>
  <si>
    <t>American Express Global Business Travel</t>
  </si>
  <si>
    <t>Isernhinke</t>
  </si>
  <si>
    <t>www.amexglobalbusinesstravel.com</t>
  </si>
  <si>
    <t>Director - Technology, Supplier and Procurement Counsel</t>
  </si>
  <si>
    <t>ji@aexp.com</t>
  </si>
  <si>
    <t>5 Churchill Place</t>
  </si>
  <si>
    <t>Canary Wharf</t>
  </si>
  <si>
    <t>E14 5HU</t>
  </si>
  <si>
    <t>Ms. Justin Isernhinke serves as Director - Technology, Supplier and Procurement Counsel at American Express Global Business Travel. She served as General Counsel &amp; Chief Compliance Officer at Meridian Fund Services. Justine joined Meridian in 2012 and is based in the New York office where she is responsible for the legal and compliance affairs of Meridian Group globally. Prior to joining Meridian in 2012, Justine served as General Counsel for the publicly-listed company, Group NBT plc in London. Prior thereto, Justine was an associate at Appleby law firm in Bermuda in their Funds and Investments Team. Prior thereto, Justine worked as Legal Counsel-EMEA for Cendant in England. Prior thereto, Justine was the General Counsel of a small cosmetic distribution company in England. Prior thereto, Justine worked at the London law firm of Berwin Leighton Paisner. Prior to moving to London, Justine held chambers at Johannesburg Bar. Justine is qualified to practice law in the four jurisdictions of New York State, Bermuda, England and South Africa. Justine earned her Bachelor of Arts degree and bachelor of laws degree, both with honours, from the University of the Witwatersrand in Johannesburg, South Africa.</t>
  </si>
  <si>
    <t>465161-32P</t>
  </si>
  <si>
    <t>Kamuran Salim</t>
  </si>
  <si>
    <t>Salim</t>
  </si>
  <si>
    <t>Kamuran</t>
  </si>
  <si>
    <t>ksalim@v-er.eu</t>
  </si>
  <si>
    <t>Mr. Kamuran Salim serves as Chief Information Officer at Vulcan Energy Resources. Mr Salim brings 25 years' professional experience in information technology (IT) roles across sectors including Consumer &amp; Chemical Industry, Automotive and IT-Consulting. He brings invaluable experience in establishing relationships with suppliers, project management and resource planning. At Vulcan, he oversees all aspects of IT operations, cybersecurity, infrastructure and digital platforms. Prior to joining, he was Director of IT at HARIBO Group, where he was led the design, control, security and development of IT Global operations and as well for the Office to the CIO.</t>
  </si>
  <si>
    <t>339394-69P</t>
  </si>
  <si>
    <t>Kar Yeo</t>
  </si>
  <si>
    <t>Yeo</t>
  </si>
  <si>
    <t>Kar</t>
  </si>
  <si>
    <t>karyue.yeo@vulcan.co</t>
  </si>
  <si>
    <t>Mr. Kar Yeo serves as Chief Financial Officer at Vulcan Steel (Industrial Supplies and Parts). Mr. Yeo is the Chief Financial Officer, leading Vulcan's finance and accounting teams. He is responsible for Vulcan's financial strategy, reporting, budgeting and forecasting. He consulted with Vulcan for over two years before joining the Company in December 2020. Before joining Vulcan, He worked as an adviser to several publicly listed and private businesses in New Zealand and overseas in the consumer foods and industrial sectors on process improvement, product range optimization, channels-to-markets and business portfolio rationalization and strategies. He has worked in financial markets for over 25 years, with previous roles at Jarden, Citigroup and Deutsche Morgan Grenfell across New Zealand, Australia and Asia as an equity research analyst covering a range of industrial sectors including steel, and held leadership roles during this period. He was also an auditor for three years. He holds a Bachelor of Commerce and Administration from the Victoria University of Wellington.</t>
  </si>
  <si>
    <t>451616-77P</t>
  </si>
  <si>
    <t>Karina Varma</t>
  </si>
  <si>
    <t>Beazley</t>
  </si>
  <si>
    <t>Varma</t>
  </si>
  <si>
    <t>Karina</t>
  </si>
  <si>
    <t>www.beazley.com</t>
  </si>
  <si>
    <t>Corporate Development Manager</t>
  </si>
  <si>
    <t>+44 (0)20 7667 0623</t>
  </si>
  <si>
    <t>karina.varma@beazley.com</t>
  </si>
  <si>
    <t>22 Bishopsgate</t>
  </si>
  <si>
    <t>EC2N 4BQ</t>
  </si>
  <si>
    <t>+44 (0)20 7082 5198</t>
  </si>
  <si>
    <t>Ms. Karina Varma serves as Corporate Development Manager at Beazley. She is a founding member of Beazley's Race and Ethnicity ERG. Since becoming a Chair in January 2022, she has grown the network from a 10-person Steering Committee to four working groups with over 60 volunteers. Her recent work includes Lunar New Year celebrations, bespoke recruitment initiatives for Cyber that created new opportunities for people of color and working with the CFO and CSO to improve financial inclusion for marginalized communities. Colleagues rate the network 9.5 out of 10 for promoting an inclusive culture. She has also worked to boost engagement with cultural inclusion in Beazley's regional offices.</t>
  </si>
  <si>
    <t>165895-30P</t>
  </si>
  <si>
    <t>Karl-Heinz Holland</t>
  </si>
  <si>
    <t>Holland</t>
  </si>
  <si>
    <t>Karl-Heinz</t>
  </si>
  <si>
    <t>karl-heinz.holland@diagroup.com</t>
  </si>
  <si>
    <t>Mr. Karl-Heinz Holland served as Chief Executive Officer at DIA Group. He served as Advisor at L1 Retail. He drove the expansion of Lidl across Europe and established it as one of the continent's leading food retailers. In a 23-year career with Lidl, Karl-Heinz was responsible for purchasing, marketing and international logistics prior to his appointment as CEO in 2008. Karl-Heinz has extensive expertise and leadership experience in the international retail arena. He is currently Chairman of the Board of the DSD - Duales System Holding GmbH &amp; Co. KG as well as Member of the Supervisory Board of Zooplus AG. He served as Chairman of the Advisory Board at Der Grüne Punkt.</t>
  </si>
  <si>
    <t>15183-82P</t>
  </si>
  <si>
    <t>Kathleen Quirk</t>
  </si>
  <si>
    <t>Freeport-McMoRan</t>
  </si>
  <si>
    <t>Quirk</t>
  </si>
  <si>
    <t>Kathleen</t>
  </si>
  <si>
    <t>www.fcx.com</t>
  </si>
  <si>
    <t>+1 (602) 366-8016</t>
  </si>
  <si>
    <t>kathleen.quirk@fcx.com</t>
  </si>
  <si>
    <t>333 North Central Avenue</t>
  </si>
  <si>
    <t>85004</t>
  </si>
  <si>
    <t>Ms. Kathleen Quirk serves as Chief Executive Officer, previously served as President &amp; Board Member and previously served as Chief Financial Officer at Freeport-McMoRan. She has over twenty-five years of experience in the Freeport-McMoRan organization. She serves as Board Member at Vulcan Materials Company. She has played key roles in FCX's financings and corporate transactions, and she was Senior Vice President, Chief Financial Officer, and Treasurer prior to the Phelps Dodge transaction. During her career, she has held positions of increasing responsibility in tax, investor relations, treasury, and finance. She is a graduate of Louisiana State University with a B.S. degree in Accounting.</t>
  </si>
  <si>
    <t>60930-37P</t>
  </si>
  <si>
    <t>Keith Cozza</t>
  </si>
  <si>
    <t>Xerox (Former)</t>
  </si>
  <si>
    <t>Cozza</t>
  </si>
  <si>
    <t>Keith</t>
  </si>
  <si>
    <t>Chairman of the Board &amp; Corporate Governance</t>
  </si>
  <si>
    <t>kcozza@ielp.com</t>
  </si>
  <si>
    <t>Mr. Keith Cozza served as Chief Executive Officer, President, and Board Member at Icahn Enterprises. Mr. Cozza served as a Board Member at Herbalife International of America. He also serves as Chairman of the Board &amp; Corporate Governance at Xerox. Mr. Cozza served as Executive Vice President from February 2013 to February 2014. Mr. Cozza has served as the Chief Operating Officer of Icahn Capital, a wholly-owned subsidiary of Icahn Enterprises and Icahn Enterprises Holdings, since February 2013. Mr. Cozza has served as the Chief Financial Officer of Icahn Associates Holding, a company controlled by Carl C. Icahn, since 2006. From 2004 to 2006 Mr. Cozza served as Controller at Icahn Associates Holding. Prior to that, Mr. Cozza was a senior assurance associate at Grant Thornton. Mr. Cozza has been a director of The Pep Boys - Manny, Moe &amp; Jack, an automotive parts installer and retailer, since February 2016; a director of FCX Oil &amp; Gas, a wholly-owned subsidiary of Freeport-McMoRan, since October 2015; IEH Auto Parts, since June 2015; Tropicana Entertainment, since February 2014; PSC Metals, since February 2014; Herbalife, a nutrition company, since April 2013 and XO Holdings, a competitive provider of telecom services, since August 2011. Mr. Cozza has also been a member of the Executive Committee of American Railcar Leasing since June 2014. Mr. Cozza was previously a director of CVR Refining GP, the general partner of CVR Refining, from January 2013 to February 2014; and MGM Holdings, an entertainment company focused on the production and distribution of film and television content, from April 2012 to August 2012. XO Holdings is indirectly controlled by Carl C. Icahn. Mr. Icahn also has or previously had non-controlling interests in Freeport-McMoRan, Herbalife, and MGM Holdings through the ownership of securities. Mr. Cozza brings to his service as a director his significant experience in leadership roles as director of various companies as discussed above. In particular, his experience as the Chief Financial Officer of Icahn Associates Holding enables him to understand the complex business and financial issues that we may face.</t>
  </si>
  <si>
    <t>76281-31P</t>
  </si>
  <si>
    <t>Kelly Osborne</t>
  </si>
  <si>
    <t>Kinross Gold</t>
  </si>
  <si>
    <t>Osborne</t>
  </si>
  <si>
    <t>Kelly</t>
  </si>
  <si>
    <t>www.kinross.com</t>
  </si>
  <si>
    <t>+1 (416) 365-5123</t>
  </si>
  <si>
    <t>25 York Street</t>
  </si>
  <si>
    <t>17th Floor</t>
  </si>
  <si>
    <t>M5J 2V5</t>
  </si>
  <si>
    <t>+1 (416) 363-6622</t>
  </si>
  <si>
    <t>Mr. Osborne is currently the CEO of Twin Metals Minnesota, a wholly-owned subsidiary of Antofagasta plc. Previously, he was the President and Chief Executive Officer and a Director of Duluth Metals where he also held the position of Chief Operating Officer from July 2012 to April 2014 and the position of Chief Executive Officer of Twin Metal Minnesota, a wholly owned subsidiary of Duluth Metals, from July 2014 to January 2015. From 2004 to 2012, he held various progressive leadership positions with Freeport McMoRan Copper &amp; Gold, Indonesia, starting as Manager, Underground Development, from 2004 to 2006; Vice President, Underground Operations, from 2006 to 2010 and finally as Senior Vice President, Underground Mines, from 2010 to 2012. From October 2002 to August 2004, he served as the area manager for Vulcan Materials Company, a leading producer of construction materials in the United States. From 1998 to 2002, he was a Mine Superintendent with Stillwater Mining Company. From 1992 to 1998, he was Plant Manager with J.M. Huber Corporation, a Texas based multinational supplier of engineered materials. From 1984 to 1992, he was with Homestake Mining Company (Homestake) which later merged into Barrick Gold Corporation in 2002. At Homestake, he started as a Corporate Management Trainee, a position he held from 1984 to 1986, he progressed to the position of a Mine Planning Engineer, a position he held from 1986 to 1988 and was a Mine Captain from 1988 to 1992. Mr. Osborne holds a Bachelor of Science Degree in Mine Engineering from the University of Arizona, Tucson, Arizona.</t>
  </si>
  <si>
    <t>97088-59P</t>
  </si>
  <si>
    <t>Kenneth Gunderman</t>
  </si>
  <si>
    <t>Uniti Group (Financial Services)</t>
  </si>
  <si>
    <t>Gunderman</t>
  </si>
  <si>
    <t>Kenneth</t>
  </si>
  <si>
    <t>www.uniti.com</t>
  </si>
  <si>
    <t>+1 (501) 850-0820</t>
  </si>
  <si>
    <t>kgunderman@uniti.com</t>
  </si>
  <si>
    <t>2101 Riverfront Drive</t>
  </si>
  <si>
    <t>72202</t>
  </si>
  <si>
    <t>Mr. Kenneth Gunderman serves as the Board Member, Chief Executive Officer and President at Uniti Group. He serves as Board Member at Summit Utilities. He served as Executive Vice President &amp; Co-Head, Investment Banking at Stephens. He has 17 years of investment banking experience and is focused on expanding and diversifying CS&amp;L's real estate portfolio. Gunderman previously served as the co-head of investment banking at Stephens Inc., where he advised on many of the firm's notable investment banking transactions and specifically focused on telecommunications services. Prior to joining Stephens Inc., Gunderman was a member of the telecom investment banking group at Lehman Brothers, where he advised on various transactions and financings totaling more than $125 billion. He previously served as a senior accountant at KPMG as a CPA. He serves on the board of Car-Mart (NASDAQ: CRMT), the Arkansas Game &amp; Fish Foundation and the Hendrix College Board of Trustees. Gunderman holds a Bachelor of Arts degree from Hendrix College and an MBA from Yale.</t>
  </si>
  <si>
    <t>32415-13P</t>
  </si>
  <si>
    <t>Kent Yee</t>
  </si>
  <si>
    <t>DXP Enterprises</t>
  </si>
  <si>
    <t>Yee</t>
  </si>
  <si>
    <t>Kent</t>
  </si>
  <si>
    <t>www.dxpe.com</t>
  </si>
  <si>
    <t>Senior Vice President, Chief Financial Officer and Board Member</t>
  </si>
  <si>
    <t>+1 (404) 461-5158</t>
  </si>
  <si>
    <t>kent.yee@dxpe.com</t>
  </si>
  <si>
    <t>5301 Hollister Street</t>
  </si>
  <si>
    <t>77040</t>
  </si>
  <si>
    <t>+1 (713) 996-4701</t>
  </si>
  <si>
    <t>Mr. Kent Yee serves as Senior Vice President, Chief Financial Officer and Board Member at DXP Enterprises. He joined DXP from Stephens Inc.'s Industrial Distribution and Services team where he served in various positions and most recently as Vice President from August 2005 to February 2011. Prior to Stephens, he was a member of The Home Depot's Strategic Business Development Group with a primary focus on acquisition activity for HD Supply. He was also an Associate in the Global Syndicated Finance Group at JPMorgan Chase. He has executed over 25 transactions including more than $695 million in M&amp;A and $2.5 billion in financing transactions primarily for change of control deals and numerous industrial and distribution acquisition and sale assignments. He holds a Bachelor of Arts in Urban Planning from Morehouse College and an MBA from Harvard University Graduate School of Business.</t>
  </si>
  <si>
    <t>120057-04P</t>
  </si>
  <si>
    <t>Kirill Chuvakov</t>
  </si>
  <si>
    <t>Chuvakov</t>
  </si>
  <si>
    <t>Kirill</t>
  </si>
  <si>
    <t>Project Manager</t>
  </si>
  <si>
    <t>Mr. Kirill Chuvakov served as Project Manager at Mail.ru Group. Previously he co-founded Artofad.</t>
  </si>
  <si>
    <t>176593-78P</t>
  </si>
  <si>
    <t>Kirill Obukh</t>
  </si>
  <si>
    <t>Obukh</t>
  </si>
  <si>
    <t>Vice President for Marketing</t>
  </si>
  <si>
    <t>k.obukh@corp.mail.ru</t>
  </si>
  <si>
    <t>He joined Mail.Ru Group as a Vice President for Marketing in November 2017. He started his career in Mars in 1992. From 2001 he worked for Nestle, and in 2004 he joined VimpelCom, where he held various managerial positions in marketing departments. From 2006 to 2010, he worked at NBBK, an independent marketing partnership he had founded. In August 2010, he was appointed the Marketing Communications Director of Tele2 Russia, his responsibilities including brand development, strategic and operational marketing, company marketing communications, media, web, marketing research, promotion of additional services and offers for the mass and corporate market segments. In 2016 he joined the Moscow School of Management SKOLKOVO as the Head of the Chair of Strategic Marketing.</t>
  </si>
  <si>
    <t>72051-40P</t>
  </si>
  <si>
    <t>Kirill Orekhov</t>
  </si>
  <si>
    <t>Orekhov</t>
  </si>
  <si>
    <t>Director of Business Development</t>
  </si>
  <si>
    <t>Mr. Kirill Orekhov served as Director of Business Development at En+ Group. Previously, he served as a Metals Trading and Business Development Manager at Noble Group.</t>
  </si>
  <si>
    <t>116447-86P</t>
  </si>
  <si>
    <t>Kirill Yanovskiy</t>
  </si>
  <si>
    <t>Yanovskiy</t>
  </si>
  <si>
    <t>Board Member &amp; Director of Finance</t>
  </si>
  <si>
    <t>Mr. Kirill Yanovskiy served as Board Member and Director of Finance at Novatek (Russia). In 1991, Mr. Yanovskiy graduated from the Gubkin Institute of Oil and Gas in Moscow. From 1992, he headed a department of the Yugorsky Joint-Stock Bank. From 1995, he headed the Securities Department at the Neftek Joint-Stock Commercial Bank. Since 2002, he has been Director of NOVATEK's Financial Planning, Analysis and Control Department. In August 2007, Mr. Yanovskiy was elected to NOVATEK's Management Board and in 2007 was appointed Deputy Director for Finance and Strategy. Since May 2011 he has been Director for Finance and Strategy.</t>
  </si>
  <si>
    <t>392026-33P</t>
  </si>
  <si>
    <t>Koh Kuan</t>
  </si>
  <si>
    <t>3Ren</t>
  </si>
  <si>
    <t>Kuan</t>
  </si>
  <si>
    <t>Koh</t>
  </si>
  <si>
    <t>www.3ren.com.my</t>
  </si>
  <si>
    <t>Chief Executive Officer, Promoter, substantial shareholder and Executive Director</t>
  </si>
  <si>
    <t>+60 (0)45 08 9737</t>
  </si>
  <si>
    <t>kkuan@3ren.com.my</t>
  </si>
  <si>
    <t>Bukit Mertajam, Malaysia</t>
  </si>
  <si>
    <t>No. 9, Jalan Industri Tangkas 1</t>
  </si>
  <si>
    <t>Taman Industri Tangkas</t>
  </si>
  <si>
    <t>Bukit Mertajam</t>
  </si>
  <si>
    <t>Penang</t>
  </si>
  <si>
    <t>14000</t>
  </si>
  <si>
    <t>Malaysia</t>
  </si>
  <si>
    <t>Mr. Koh Kuan serves as Chief Executive Officer, Promoter, substantial shareholder and Executive Director at 3Ren. Koh Dim Kuan, a Malaysian aged 43, is our Promoter, substantial shareholder and Executive Director/CEO. He was appointed to our Board on 8 February 2024. He is responsible for the business strategy, development, management and the overall
operations of our Group. He graduated with a Diploma in Technology (Electronic Engineering) and an Advanced Diploma in Technology (Electronic Engineering) from Tunku Abdul
Rahman College in 2002 and 2004 respectively. He subsequently obtained a Bachelor in Electronics Systems Engineering from Sheffield Hallam University, United
Kingdom in 2004. He started his engineering career as a Graduate Trainee with Intel Microelectronics (M) Sdn Bhd in November 2004. He was promoted to Validation Design (Senior) in
February 2005 where he was involved with post-silicon validation, product validation test plans and strategies, new product validation, managing project resources and
providing technical debug support. He left the company in November 2008 to join Sophic Design as the Operation Manager and subsequently became a partner in October 2009. He was mainly responsible for overseeing the business operation as well as coordinating the overall training and consultancy works for Sophic Design. Sophic Design, a partnership formerly set up by Lee Chee Hoo, ceased its operation and transferred all of its businesses to SDTC Innovation Center Sdn Bhd (now known as System Innotech Integration Experts Sdn Bhd) ("SIIE") and the partnership subsequently expired in February 2011.</t>
  </si>
  <si>
    <t>251622-46P</t>
  </si>
  <si>
    <t>Kyle Appelby</t>
  </si>
  <si>
    <t>Realbotix (Former)</t>
  </si>
  <si>
    <t>Appelby</t>
  </si>
  <si>
    <t>Kyle</t>
  </si>
  <si>
    <t>www.realbotix.ai</t>
  </si>
  <si>
    <t>Mr. Kyle Appelby served as Chief Financial Officer at Tokens.com. Mr. Appleby spent the first 10 years of his career working in public accounting where he worked in both audit and advisory practices working with private companies and investment funds. In 2007 Mr. Appleby left the world of public accounting to focus on providing management and accounting services to public companies across a variety of industries including crypto-currency, technology, junior mining, food production, agriculture, cannabis, and others. Mr. Appleby has been the Chief Financial Officer for numerous companies, listed in Canada, US and London and has extensive experience in financial reporting, IPOs, fund raising, and corporate governance.</t>
  </si>
  <si>
    <t>425981-89P</t>
  </si>
  <si>
    <t>BrandPilot AI</t>
  </si>
  <si>
    <t>www.brandpilot.ai</t>
  </si>
  <si>
    <t>+1 (888) 960-2724</t>
  </si>
  <si>
    <t>kyle@brandpilot.ai</t>
  </si>
  <si>
    <t>130 Adelaide Street West</t>
  </si>
  <si>
    <t>Suite 3002</t>
  </si>
  <si>
    <t>M5H 3P5</t>
  </si>
  <si>
    <t>Mr. Kyle Appleby serves as Chief Financial Officer &amp; Executive Vice President of Finance at BrandPilot AI. He spent the first 10 years of his career working in public accounting where he worked in both audit and advisory practices and dealt primarily with private companies and investment funds. In 2007, he left the world of public accounting to focus on providing management, accounting and financial services to public companies across a variety of industries including cannabis, agriculture, technology, mining, crypto-currency and others. He is the Founder and CFO of Advantage Inc., a company that provides chief financial officer, and other financial accounting, reporting and compliance services to companies in various industries. Accordingly, he has been the CFO for numerous companies listed in Canada, the US and London, and has extensive experience in financial reporting, providing strategic direction and leadership, IPOs, fundraising, and corporate governance. He holds a Bachelor of Economics and is a member in good standing of the Chartered Professional Accountants of Ontario.</t>
  </si>
  <si>
    <t>176776-75P</t>
  </si>
  <si>
    <t>Kyle Appleby</t>
  </si>
  <si>
    <t>Tantalex Lithium Resources</t>
  </si>
  <si>
    <t>www.tantalexlithium.com</t>
  </si>
  <si>
    <t>+1 (416) 417-9176</t>
  </si>
  <si>
    <t>ka@tantalex.ca</t>
  </si>
  <si>
    <t>120 Adelaide Street West</t>
  </si>
  <si>
    <t>Suite 1410</t>
  </si>
  <si>
    <t>M5H 1T1</t>
  </si>
  <si>
    <t>Mr. Kyle Appleby serves as Chief Financial Officer at Tantalex Resources. Since 2007, he has been providing CFO services to a number of public and private companies both domestic and international. He has focused on assisting companies with financial reporting and controls, governance, operations, financing, regulatory compliance and taxation. Prior to 2007, Kyle worked for several public accounting firms in Canada. He is a member in good standing of the Chartered Professional Accountants of Canada and the Chartered Professional Accountants of Ontario.</t>
  </si>
  <si>
    <t>185286-61P</t>
  </si>
  <si>
    <t>OverActive Media (Former)</t>
  </si>
  <si>
    <t>www.overactivemedia.com</t>
  </si>
  <si>
    <t>Mr. Kyle Appleby served as Chief Financial Officer at OverActive Media.</t>
  </si>
  <si>
    <t>240411-79P</t>
  </si>
  <si>
    <t>Spetz (Former)</t>
  </si>
  <si>
    <t>www.spetz.app</t>
  </si>
  <si>
    <t>Mr. Kyle Appleby served as Chief Financial Officer at Digimax Global Solutions.</t>
  </si>
  <si>
    <t>243148-87P</t>
  </si>
  <si>
    <t>Nuinsco Resources</t>
  </si>
  <si>
    <t>www.nuinsco.ca</t>
  </si>
  <si>
    <t>Ottawa, Canada</t>
  </si>
  <si>
    <t>66 Wellington Street West</t>
  </si>
  <si>
    <t>Suite 4100</t>
  </si>
  <si>
    <t>Ottawa</t>
  </si>
  <si>
    <t>M5K 1B7</t>
  </si>
  <si>
    <t>Mr. Kyle Appleby serves as Chief Financial Officer at Nuinsco Resources. Mr. Appleby brings considerable financial experience to the Company. In addition to Nuinsco, he serves as the Chief Financial Officer of a number of TSX-V, OTC, AIM and CSE-listed companies.</t>
  </si>
  <si>
    <t>256011-13P</t>
  </si>
  <si>
    <t>Charbone Hydrogen (Former)</t>
  </si>
  <si>
    <t>www.charbone.com</t>
  </si>
  <si>
    <t>Mr. Kyle Appleby served as Chief Financial Officer at Charbone.</t>
  </si>
  <si>
    <t>309391-03P</t>
  </si>
  <si>
    <t>Lodestar Metals</t>
  </si>
  <si>
    <t>www.lodestarmetals.ca</t>
  </si>
  <si>
    <t>3217 Dunbar Street</t>
  </si>
  <si>
    <t>Suite 248</t>
  </si>
  <si>
    <t>V6S 0M1</t>
  </si>
  <si>
    <t>Mr. Kyle Appleby serves as Chief Financial Officer at Lodestar Battery Metals. Mr. Kyle Appleby served as Chief Financial Officer at Weekapaug Lithium.</t>
  </si>
  <si>
    <t>322380-46P</t>
  </si>
  <si>
    <t>Nuclear Vision</t>
  </si>
  <si>
    <t>www.nuclearvisionltd.com</t>
  </si>
  <si>
    <t>Chief Financial Officer &amp; Corporate Secretary</t>
  </si>
  <si>
    <t>+1 (647) 258-3310</t>
  </si>
  <si>
    <t>1111 West Hastings Street</t>
  </si>
  <si>
    <t>V6E 2J3</t>
  </si>
  <si>
    <t>Mr. Kyle Appleby serves as Chief Financial Officer &amp; Corporate Secretary at Nuclear Vision. Mr. Appleby left the world of public accounting and founded CFO Advantage Inc., a company focused on providing management and accounting services to public companies across a variety of industries including Junior mining, Cryptocurrency, technology, food production, 42 agriculture, cannabis, and many others. He has served as CFO for numerous companies listed in Canada, the and the US. As a result, he has extensive experience in financial reporting, IPOs, fundraising, and corporate governance. He is a graduate of York University, and has been a member in good standing of the Chartered Professional Accountants of Ontario (and Canada) since 2002.</t>
  </si>
  <si>
    <t>345508-39P</t>
  </si>
  <si>
    <t>Global Tactical Metals</t>
  </si>
  <si>
    <t>www.globaltacticalmetals.com</t>
  </si>
  <si>
    <t>+1 (877) 892-7633</t>
  </si>
  <si>
    <t>833 Seymour Street</t>
  </si>
  <si>
    <t>Suite 3606</t>
  </si>
  <si>
    <t>V6B 0G4</t>
  </si>
  <si>
    <t>Mr. Kyle Appleby serves as Chief Financial Officer at Global Defence Metals.</t>
  </si>
  <si>
    <t>371506-51P</t>
  </si>
  <si>
    <t>Pharmadrug</t>
  </si>
  <si>
    <t>www.pharmadrug.ca</t>
  </si>
  <si>
    <t>+1 (416) 400-7086</t>
  </si>
  <si>
    <t>77 King Street West</t>
  </si>
  <si>
    <t>Suite 2905</t>
  </si>
  <si>
    <t>M5K 1H1</t>
  </si>
  <si>
    <t>Mr. Kyle Appleby serves as Chief Financial Officer at Pharmadrug. Kyle has been the Chief Financial Officer (CFO) of Tantalex since 2015. Over a 15 year career, Kyle has provided CFO services to a number of public and private companies, both in Canada and abroad. He has a strong record of assisting companies with financial reporting and controls, governance, operations, financing, regulatory compliance and taxation.
He is a member in good standing of the Chartered Professional Accountants of Canada and the Chartered Professional Accountants of Ontario.</t>
  </si>
  <si>
    <t>386456-50P</t>
  </si>
  <si>
    <t>Greenway Greenhouse Cannabis</t>
  </si>
  <si>
    <t>www.greenway.ca</t>
  </si>
  <si>
    <t>+1 (519) 712-0311</t>
  </si>
  <si>
    <t>kylea@greenway.ca</t>
  </si>
  <si>
    <t>Kingsville, Canada</t>
  </si>
  <si>
    <t>1478 Seacliff Drive</t>
  </si>
  <si>
    <t>Kingsville</t>
  </si>
  <si>
    <t>N9Y 2M2</t>
  </si>
  <si>
    <t>Mr. Kyle Appleby serves as Chief Financial Officer at Greenway Greenhouse Cannabis. Mr. Appleby, a seasoned CPA, has held numerous senior finance positions within publicly traded companies since 2009. His proven ability to navigate complex financial landscapes and drive strategic decision-making makes him an invaluable addition to Greenway's executive leadership team.</t>
  </si>
  <si>
    <t>386938-45P</t>
  </si>
  <si>
    <t>EnviroGold Global</t>
  </si>
  <si>
    <t>www.envirogoldglobal.com</t>
  </si>
  <si>
    <t>kyle.appleby@envirogoldglobal.com</t>
  </si>
  <si>
    <t>1075 West Georgia Street</t>
  </si>
  <si>
    <t>Suite 1890</t>
  </si>
  <si>
    <t>V6E 3C9</t>
  </si>
  <si>
    <t>Mr. Kyle Appleby serves as Chief Financial Officer at EnviroGold Global.</t>
  </si>
  <si>
    <t>411956-56P</t>
  </si>
  <si>
    <t>Free Battery Metal</t>
  </si>
  <si>
    <t>www.freebatterymetal.com</t>
  </si>
  <si>
    <t>Ms. Kyle Appleby serves as Chief Financial Officer at Free Battery Metal. Kyle Appleby is an experienced public company CFO with a CPA designation and a specialization in providing accounting and governance-related services to all types of companies. Kyle has worked with over 20 public companies across several exchanges including the Canadian Securities Exchange and the Toronto Stock Exchange.</t>
  </si>
  <si>
    <t>412893-19P</t>
  </si>
  <si>
    <t>Protium Clean Energy</t>
  </si>
  <si>
    <t>www.protium.ca</t>
  </si>
  <si>
    <t>+1 (604) 816-2555</t>
  </si>
  <si>
    <t>789 West Pender Street</t>
  </si>
  <si>
    <t>Suite 810</t>
  </si>
  <si>
    <t>V6C 1H2</t>
  </si>
  <si>
    <t>Mr. Kyle Appleby serves as Chief Financial Officer at Protium Clean Energy. He is a Chartered Professional Accountant with extensive finance, accounting, audit and compliance experience in diverse industries, including, among others, the technology, telecom, bitcoin mining, junior mining, investment funds, and food industries. He has a marked ability to improve operations, impact growth, maximize profits and meet tight deadlines. He has experience in management, working with boards of directors, banks, lawyers, auditors and various regulatory bodies and has worked with over twenty (20) public companies across a variety of exchanges, including the TSXV, the CSE, the Alternative Investment Market (a sub-market of the London Stock Exchange) and the OTC Markets.</t>
  </si>
  <si>
    <t>422378-65P</t>
  </si>
  <si>
    <t>Zebediela Nickel Company</t>
  </si>
  <si>
    <t>www.zebnickel.com</t>
  </si>
  <si>
    <t>Mokopane, South Africa</t>
  </si>
  <si>
    <t>Mokopane</t>
  </si>
  <si>
    <t>Limpopo</t>
  </si>
  <si>
    <t>Mr. Kyle Appleby serves as Chief Financial Officer at Zebediela Nickel Company.</t>
  </si>
  <si>
    <t>451296-91P</t>
  </si>
  <si>
    <t>Metalite Resources</t>
  </si>
  <si>
    <t>www.metaliteresources.com</t>
  </si>
  <si>
    <t>+1 (778) 855-5001</t>
  </si>
  <si>
    <t>82 Richmond Street East</t>
  </si>
  <si>
    <t>M5C 1P1</t>
  </si>
  <si>
    <t>Mr. Kyle Appleby serves as Chief Financial Officer at Metalite Resources.</t>
  </si>
  <si>
    <t>111448-72P</t>
  </si>
  <si>
    <t>Lai Por-Hsiung Ph.D</t>
  </si>
  <si>
    <t>Clearbridge Health (Former)</t>
  </si>
  <si>
    <t>Por-Hsiung</t>
  </si>
  <si>
    <t>Lai</t>
  </si>
  <si>
    <t>www.clearbridgehealth.com</t>
  </si>
  <si>
    <t>Advisor</t>
  </si>
  <si>
    <t>Dr. Lai Por-Hsiung served as Advisor at Clearbridge Health. He. is the Founder of Dephoron Group, which explores investment opportunities in life sciences, and the Deputy CEO of the Institute for Biotechnology and Medicine Industry, an influential health policy think tank in Taiwan. He has more than 30 years of experience in the medical technologies and biotech industries. In 2000, he co-founded and was President and Vice Chairman of President Life Sciences, a prominent Taiwanese corporate fund of US$ 100 million. Prior to that, he co-founded Kirin Brewery of Japan and was Vice Chairman of Japanese Kirin Pharmaceuticals in Taipei. Before he returned to Asia, he held senior positions in several biotech companies in the U.S., including Department Head, Analytical Development and Process Development at Centocor; Department Head, Protein Development, and Protein Formulation at Amgen; and Director, Lab Services at Sequemat/Genetic Design. He has been a member on the boards of various companies, including Accuray (Nasdaq: ARAY), AndroScience, AuroraMRI, Aura BioSystems, A-Spine Asia, President Life Sciences Co., Plantaceutica, Protein Institute, and Trident Medical. He has published more than 40 research articles in referred journals and his key patents include a US patent on Erythropoietin Purification. He has a Ph.D. in Medicinal Chemistry from Massachusetts College of Pharmacy.</t>
  </si>
  <si>
    <t>226364-32P</t>
  </si>
  <si>
    <t>Laura Duda</t>
  </si>
  <si>
    <t>The Goodyear Tire &amp; Rubber</t>
  </si>
  <si>
    <t>Duda</t>
  </si>
  <si>
    <t>Laura</t>
  </si>
  <si>
    <t>www.goodyear.com</t>
  </si>
  <si>
    <t>Senior Vice President and Chief Communications Officer</t>
  </si>
  <si>
    <t>+1 (330) 796-2121</t>
  </si>
  <si>
    <t>laura_duda@goodyear.com</t>
  </si>
  <si>
    <t>Akron, OH</t>
  </si>
  <si>
    <t>200 Innovation Way</t>
  </si>
  <si>
    <t>Akron</t>
  </si>
  <si>
    <t>Ohio</t>
  </si>
  <si>
    <t>44316</t>
  </si>
  <si>
    <t>+1 (330) 796-2222</t>
  </si>
  <si>
    <t>Laura Duda serves as the Senior Vice President and Chief Communications Officer at The Goodyear Tire &amp; Rubber. As the chief communications officer, Ms. Duda leads all internal and external communications for the company, including public and media relations, employee communications, corporate reputation management, philanthropy and community relations, as well as Goodyear's fleet of world-famous airships. She joined Goodyear in 2016, serving as Vice President of Communications for the company's Americas business unit. Before joining Goodyear, she led corporate, utility and commercial communications for Chicago, Ill.-based Exelon Corporation and corporate and utility communications for Tampa, Fla.-based TECO Energy, Inc. She attended Western Carolina University, earning a Bachelor of Arts degree in Writing &amp; Editing. She later received her Master of Arts degree in Mass Communication from University of Florida and her Master of Business Administration degree from The University of Tampa. She is accredited in Public Relations and is a member of the Arthur W. Page Society and a graduate of Leadership Tampa, Leadership Greater Chicago and Leadership Akron. In 2020 and 2021, she was named to the National Diversity Council's Power 50, honoring women in the C-suite from top corporations who endeavor to improve not just departments and companies, but communities as well. She was also named to PR Week's 2021 Hall of Femme, recognizing inspiring women who set the bar higher within their organizations, nominated by their peers and colleagues, and as one of the 2021 Women of Note by Crain's Cleveland Business. She was Goodyear's 2020 Employee Resource Group executive sponsor of the year for her work with the company's Asia India Middle East (AIM) ERG. She is a board member of the Cleveland Museum of Natural History, the Greater Akron Chamber of Commerce and the Ohio &amp; Erie Canalway Coalition and a trustee of the Institute for Public Relations and the Rock &amp; Roll Hall of Fame.</t>
  </si>
  <si>
    <t>438799-24P</t>
  </si>
  <si>
    <t>Lee Han</t>
  </si>
  <si>
    <t>IPS Securex Holdings</t>
  </si>
  <si>
    <t>Han</t>
  </si>
  <si>
    <t>Lee</t>
  </si>
  <si>
    <t>www.ips-securex.com</t>
  </si>
  <si>
    <t>Finance and Administration Director</t>
  </si>
  <si>
    <t>+65 6863 4385</t>
  </si>
  <si>
    <t>213 Henderson Road</t>
  </si>
  <si>
    <t>Suite 04-09</t>
  </si>
  <si>
    <t>159553</t>
  </si>
  <si>
    <t>+65 6863 6270</t>
  </si>
  <si>
    <t>Ms. Lee Han serves as Finance and Administration Director at IPS Securex Holdings. She joined the Group in 2013 and is in charge of the Group's financial, administrative, and accounting operations. She has worked in the finance and administration department of IPSG as deputy general manager and financial controller with the responsibility of the management of the accounts and finance, sales administration support, purchasing, stock control and compliance functions of IPSG and its subsidiaries. Before joining IPSG, she gained experience in the management of accounting and finance matters from managerial positions held in KS Distribution Pte. Ltd., Aqua-Terra Supply Co., Ltd., and National University Hospital between 2004 and 2010. Prior to this, she had also held accounting positions at Sunshine Welfare Action Mission, NTUC Club, VICOM Ltd., AGRA Baymont Pte. Ltd. and Trident Travels Ltd. from 1984 to 2009. She is a member of the Institute of Singapore Chartered Accountants.</t>
  </si>
  <si>
    <t>255337-48P</t>
  </si>
  <si>
    <t>Lee Hogan</t>
  </si>
  <si>
    <t>Crown Castle International (Former)</t>
  </si>
  <si>
    <t>Hogan</t>
  </si>
  <si>
    <t>www.crowncastle.com</t>
  </si>
  <si>
    <t>Mr. Hogan was appointed to the Board as a director in March 2001. Mr. Hogan served as President and CEO of SFM Limited from March 2001 to December 2001. Mr. Hogan served as an officer and director of Reliant Energy Inc. (Reliant), a public diversified international energy services and energy delivery company, from 1990 to 2000. During his tenure at Reliant, Mr. Hogan served as Vice Chairman and as one of four members of The Office of the CEO, the principal management policy instrument of Reliant. In addition, he served on the Finance Committee of Reliant's board of directors. Previously, Mr. Hogan served as CEO of Reliant's Retail Energy Group, president and CEO of Reliant's International Business Group (directing energy operations in Asia, Europe and Latin America), and in a variety of capacities for Reliant's Houston Lighting &amp; Power subsidiary. Mr. Hogan was the founding president of The Greater Houston Partnership, a business advocacy organization, where he served from 1987 to 1990.</t>
  </si>
  <si>
    <t>55116-37P</t>
  </si>
  <si>
    <t>Leechung Yiu Ph.D</t>
  </si>
  <si>
    <t>Montage Technology</t>
  </si>
  <si>
    <t>Yiu</t>
  </si>
  <si>
    <t>Leechung</t>
  </si>
  <si>
    <t>Senior Vice President and Chief Technical Officer</t>
  </si>
  <si>
    <t>+86 (0)21 5467 9038</t>
  </si>
  <si>
    <t>leechung.yiu@montage-tech.com</t>
  </si>
  <si>
    <t>Shanghai, China</t>
  </si>
  <si>
    <t>6th Floor, Building A</t>
  </si>
  <si>
    <t>Science and Technology Building, 900 Yishan Road</t>
  </si>
  <si>
    <t>Shanghai</t>
  </si>
  <si>
    <t>200233</t>
  </si>
  <si>
    <t>+86 (0)21 5426 3132</t>
  </si>
  <si>
    <t>Dr. Leechung Yiu serves as Senior Vice President and Chief Technical Officer at Montage Technology. Dr. Yiu has over 25 years of product development experience in the integrated circuit design industry in a broad range of areas including storage, communication and multimedia applications. Before joining us, he served as Vice President of Engineering at Trident Microsystems, Inc., a digital TV chipset manufacturer, from 2007 to 2008. Dr. Yiu also served as VP of Engineering at Shanghai Huahong International, an integrated device manufacturer, from 2005 to 2007, Sunext Technology Company Limited, a supplier of semiconductor products for Optical Disc Drive applications, from 2003 to 2005 and Marvell Semiconductor, Inc., a fabless semiconductor company, from 1999 to 2003. In 1997, he co-founded Newave Semiconductor Corp., an integrated circuit design company in China, and served as its Vice President of Engineering from 1997 to 1999. He received both Ph.D. and master's degrees in Electrical Engineering from University of California at Berkeley, and a bachelor's degree in Electrical Engineering from National Taiwan University.</t>
  </si>
  <si>
    <t>269530-21P</t>
  </si>
  <si>
    <t>Len Blavatnik</t>
  </si>
  <si>
    <t>Warner Music Group</t>
  </si>
  <si>
    <t>Blavatnik</t>
  </si>
  <si>
    <t>Len</t>
  </si>
  <si>
    <t>www.wmg.com</t>
  </si>
  <si>
    <t>Vice Chairman &amp; Member of the Executive Committee</t>
  </si>
  <si>
    <t>+1 (212) 275-2000</t>
  </si>
  <si>
    <t>len.blavatnik@wmg.com</t>
  </si>
  <si>
    <t>1633 Broadway</t>
  </si>
  <si>
    <t>Mr. Len Blavatnik serves as Vice Chairman &amp; Member of the Executive Committee at Warner Music Group. He has served as a director and as Vice Chairman of the Board of the Company since July 20, 2011. Mr. Blavatnik is the founder and Chairman of Access, a privately held, U.S. industrial group with global strategic investments. He previously served as a member of the Company's board of directors from March 2004 to January 2008. Mr. Blavatnik provides financial support to, and remains engaged in, many educational pursuits. Mr. Blavatnik is a member of boards at Oxford University and Tel Aviv University, and is a member of Harvard University's Committee on University Resources, Global Advisory Council and the Task Force on Science and Engineering. In 2010, the Blavatnik Family Foundation committed £75 million to establish the Blavatnik School of Government at the University of Oxford. Mr. Blavatnik and the Blavatnik Family Foundation have also been generous supporters of other leading educational, scientific, cultural and charitable institutions throughout the world. Mr. Blavatnik is a member of the board of directors of the 92nd Street Y in New York, The Mariinsky Foundation of America, The Carnegie Hall Society, Inc. and The Center for Jewish History in New York. He is also a Trustee of the State Hermitage Museum in St. Petersburg, Russia. Mr. Blavatnik emigrated to the U.S. in 1978 and became a U.S. citizen in 1984. He received his Master's degree from Columbia University in 1981 and his M.B.A from Harvard Business School in 1989.</t>
  </si>
  <si>
    <t>166733-74P</t>
  </si>
  <si>
    <t>Leni Ekendahl</t>
  </si>
  <si>
    <t>PEPTONIC Medical</t>
  </si>
  <si>
    <t>Ekendahl</t>
  </si>
  <si>
    <t>Leni</t>
  </si>
  <si>
    <t>www.peptonicmedical.se</t>
  </si>
  <si>
    <t>+46 (0)8 530 20 110</t>
  </si>
  <si>
    <t>Kista, Sweden</t>
  </si>
  <si>
    <t>Farogatan 33</t>
  </si>
  <si>
    <t>Kista</t>
  </si>
  <si>
    <t>164 53</t>
  </si>
  <si>
    <t>+46 (0)470 731 550</t>
  </si>
  <si>
    <t>Ms. Leni Ekendahl serves as Board Member at PEPTONIC Medical. She has extensive experience of capital markets, fund raising, corporate social responsibility, marketing and public relations. Having worked closely with Percy Barnevik, former Chairman and CEO of ABB and Sandvik, she established Hand in Hand worldwide - a highly successful NGO which to date has helped create more than 1,450,000 micro-enterprises in rural India and over 150,000 elsewhere. Her experience also includes editorial and journalistic work within some of the largest Scandinavian media houses. Spending her time between the US, Scandinavia and India, Leni is currently Independent Director at OMC and Founder of the CSR consultancy agency Sustancia.</t>
  </si>
  <si>
    <t>15191-83P</t>
  </si>
  <si>
    <t>Leonard Potter JD</t>
  </si>
  <si>
    <t>Hilton Grand Vacations</t>
  </si>
  <si>
    <t>Potter</t>
  </si>
  <si>
    <t>Leonard</t>
  </si>
  <si>
    <t>www.hiltongrandvacations.com</t>
  </si>
  <si>
    <t>+1 (212) 931-6331</t>
  </si>
  <si>
    <t>leonard@vidaventures.com</t>
  </si>
  <si>
    <t>Orlando, FL</t>
  </si>
  <si>
    <t>5323 Millenia Lakes Boulevard</t>
  </si>
  <si>
    <t>Orlando</t>
  </si>
  <si>
    <t>32839</t>
  </si>
  <si>
    <t>Mr. Leonard Potter is a Co-Founder &amp; serves as Senior Advisor at Vida Ventures(Los Angeles). He serves as Chief Executive Officer &amp; Chief Investment Officer at Wildcat Capital Management. He serves as Chairman &amp; Board Member at Hilton Grand Vacations. He serves as Chairman of the Board at Silexion Therapeutics. He serves on the Investment Committee at Monograph Capital. He has served as a member of our Board of Directors since 2011. He founded Wildcat Capital Management, LLC, a registered investment advisor, in September 2011 and has served as its president and chief investment officer since its inception. From 2002 through 2009, he was managing director of private equity at Soros Fund Management LLC ("SFM"), where, from May 2005 through July 2009, he served as co-head of its private equity group and as a member of the private equity investment committee. From July 2009 until September 2011, He served as a consultant to SFM and as chief investment officer of Salt Creek Hospitality, a private acquirer and owner of hospitality-related assets, which was backed by SFM. From September 1998 until joining SFM in 2002, he was a managing director of Alpine Consolidated LLC, a private merchant bank. From April 1996 through September 1998, he founded and served as a managing director of Capstone Partners LLC, a private merchant bank ("Capstone"). Before founding Capstone, he was an attorney specializing in mergers, acquisitions, corporate governance, and corporate finance at Morgan, Lewis &amp; Bockius LLP and at Willkie Farr &amp; Gallagher LLP. He has served and continues to serve as a director on several boards of public and private companies, including Solar Capital Ltd. (NASDAQ: SLRC), Solar Senior Capital Ltd. (NASDAQ: SUNS), both of which are business development companies, and, since January 2017, as chairman of the board of directors for Hilton Grand Vacations Inc. (NYSE: HGV). He received a Bachelor of Arts degree from Brandeis University and a Juris Doctor degree from Fordham University School of Law.</t>
  </si>
  <si>
    <t>71117-56P</t>
  </si>
  <si>
    <t>Leonid Mikhelson</t>
  </si>
  <si>
    <t>Mikhelson</t>
  </si>
  <si>
    <t>Leonid</t>
  </si>
  <si>
    <t>Founder, Chief Executive Officer &amp; Chairman</t>
  </si>
  <si>
    <t>lvm@novatek.ru</t>
  </si>
  <si>
    <t>Mr. Leonid Mikhelson is the Founder and serves as Chief Executive Officer &amp; Chairman at NOVATEK (Russia). Mr. Mikhelson serves as a Chairman at Sibur Holding. He is an Angel Investor. He was the Founder and served as Managing Director at Nova. He began his career as foreman of a construction and assembling company in Surgut, Tyumen region, where he worked on the construction of the first section of the Urengoy-Chelyabinsk gas pipeline. In 1985, he was appointed Chief Engineer of Ryazantruboprovodstroy. In 1987, he became General Director of Kuibishevtruboprovodstroy which in 1991 was the first company in the region to sell its shares and became a private company, SNP NOVA. From 1987-1994 he worked as manager of SNP NOVA. Subsequently, he became the General Director of Novafininvest management company. Since 2003, he has served as a member of the Board of Directors and Chairman of the Management Board of NOVATEK. From March 2008 until December 2010, he was a member and Chairman of the Board of Directors of Stroytransgaz. In 2009 and 2010, he worked as Chairman of the Board of Directors at Yamal LNG; from 2008 until 2011 he was a member of the Board of Directors of Art Finance. Since 2011, he has served as Chairman of the Board of Directors of SIBUR and from 2011 until 2013 - a member of the Supervisory Board of the Russian Regional Development Bank. He is a recipient of the Russian Federation Order of the Badge of Honor, Order for Merit to the Fatherland, II Degree, and is an Honorary Gas Industry Worker.</t>
  </si>
  <si>
    <t>72588-70P</t>
  </si>
  <si>
    <t>Linda Cook</t>
  </si>
  <si>
    <t>Cook</t>
  </si>
  <si>
    <t>Linda</t>
  </si>
  <si>
    <t>linda.cook@eigpartners.com</t>
  </si>
  <si>
    <t>Ms. Linda Cook serves as Senior Advisor at EIG. She also serves as a Board Member and Chairwoman of the Human Resources and Compensation Committee &amp; Member of the Audit Committee, Corporate Governance, Nominating, and Social Responsibility Committee at BNY Mellon. She served as a Board Member at MidOcean Energy. He served as Chairman at Maverick. He serves as Managing Director, Chief Executive Officer, and Board Member at Harbour Energy. She serves as Director at BNY Mellon. She joined EIG in 2014, after spending over 29 years with Royal Dutch Shell at various companies in the U.S., the Netherlands, the United Kingdom, and Canada. At her retirement from Royal Dutch Shell, she was a member of the Executive Committee at the Netherlands headquarters and a member of the Board of Directors. Her primary executive responsibility was Shell's global upstream Natural Gas business in addition to oversight for Shell's global trading business, Shell Renewable Energy, and Shell's Downstream R&amp;D and Major Projects organizations. She previously was CEO of Shell Canada Limited, CEO of Shell Gas &amp; Power, and Executive VP of Finance, Strategy, and HR for Shell's global Exploration and Production businesses. She served as Non-Executive Chairman at Chrysaor Holdings. She is also a member of the Society of Petroleum Engineers and is a Trustee of the University of Kansas Endowment Association. She earned a Bachelor of Science degree in Petroleum Engineering from the University of Kansas.</t>
  </si>
  <si>
    <t>277198-30P</t>
  </si>
  <si>
    <t>Linda Marston-Weston</t>
  </si>
  <si>
    <t>Marston-Weston</t>
  </si>
  <si>
    <t>Linda Marston-Weston to the Board as a Non-Executive Director, with effect from 1 October 2021. Formerly a senior tax partner at EY, Linda brings more than 30 years' experience of working with UK and Global businesses and across corporate finance, strategy, tax, culture, and leadership. In addition to being a member of the EY Midlands Board, Linda was also Head of Tax EY Midlands. Linda has a track record of building businesses and nurturing entrepreneurs, having set up a Female Entrepreneur's Network, for local female led businesses. Playtech will also benefit from Linda's passion for, and experience in, delivering diversity and inclusion initiatives. At EY Midlands Linda was People Partner and led its People Strategy. Linda was also partner sponsor for, and established many local Midlands Networks within EY, including the EY Women's Network and BAME Network. Outside of EY, she established a local cross business female mentoring network, and acts as mentor to several upcoming talented women. Linda is currently Head of the Transaction Tax team at Cooper Parry, the accountancy firm.</t>
  </si>
  <si>
    <t>90713-35P</t>
  </si>
  <si>
    <t>Lital Kiperman Vaknin</t>
  </si>
  <si>
    <t>Kiperman Vaknin</t>
  </si>
  <si>
    <t>Lital</t>
  </si>
  <si>
    <t>Deal Flow and Business Development Director, Mergers and Acquisitions Team</t>
  </si>
  <si>
    <t>Ms. Lital Kiperman Vaknin served as Deal Flow and Business Development Director, Mergers and Acquisitions Team at Mail.Ru Group. Previously, she served as Regional Business Director at ICQ.</t>
  </si>
  <si>
    <t>196037-38P</t>
  </si>
  <si>
    <t>Louis Pastor JD</t>
  </si>
  <si>
    <t>Pastor</t>
  </si>
  <si>
    <t>Louis</t>
  </si>
  <si>
    <t>President &amp; Chief Operating Officer</t>
  </si>
  <si>
    <t>louie.pastor@xerox.com</t>
  </si>
  <si>
    <t>Mr. Louis Pastor serves as President &amp; Chief Operating Officer at Xerox. He also serves as Executive Advisor at Myriad Venture Partners. He served as an Executive Vice President, Chief Legal Officer, and Chief Corporate Development Officer at Xerox Ventures. He was named chief corporate development officer and chief legal officer for Xerox effective February 1, 2021. He is also the executive vice president of Xerox Holdings Corporation. He joined Xerox in October 2018 as general counsel. He leads all of Xerox's corporate development activities, with responsibility for mergers and acquisitions, investor relations, and Xerox's $250 million corporate venture capital fund. In addition, he oversees Xerox's legal affairs, including all legal aspects of the company's various strategic, commercial, and operational initiatives, and leads the company's environmental, health and safety, sustainability, government relations, and public policy activities on domestic and international affairs. He joined Xerox from Icahn Enterprises, where he was deputy general counsel, responsible for, among other things, numerous long-term strategic initiatives, including the acquisitions and dispositions of various operating companies, and investments in and engagements with various public and private companies. He began his career at Simpson, Thacher &amp; Bartlett LLP in New York, where he advised public companies on mergers and acquisitions, securities offerings, corporate governance, and other general corporate matters. He serves on the Board of Directors of the U.S. Chamber of Commerce, the world's largest business-oriented lobbying group, and is a member of The Economic Club of New York. He previously served on the Board of Directors of Herc Holdings Inc., one of the leading equipment rental suppliers in North America, from 2016 to 2020. He is also Executive Sponsor of the Black Women's Leadership Council, an employee resource group at Xerox dedicated to advancing the professional development of black women. He received his law degree from the University of Pennsylvania Law School and holds a Bachelor of Arts degree from The Ohio State University.</t>
  </si>
  <si>
    <t>91520-83P</t>
  </si>
  <si>
    <t>Luca Bettonte</t>
  </si>
  <si>
    <t>Bettonte</t>
  </si>
  <si>
    <t>Luca</t>
  </si>
  <si>
    <t>Mr. Luca Bettonte serves Board Member &amp; Member of Strategic Committee at ERG.</t>
  </si>
  <si>
    <t>131001-22P</t>
  </si>
  <si>
    <t>Lucia Bormida</t>
  </si>
  <si>
    <t>Bormida</t>
  </si>
  <si>
    <t>Lucia</t>
  </si>
  <si>
    <t>Chief Public Affairs &amp; Communication officer</t>
  </si>
  <si>
    <t>Mr. Lucia Bormida served as Chief Public Affairs &amp; Communication officer at ERG.</t>
  </si>
  <si>
    <t>278791-21P</t>
  </si>
  <si>
    <t>Luis Maia</t>
  </si>
  <si>
    <t>Maia</t>
  </si>
  <si>
    <t>Luis</t>
  </si>
  <si>
    <t>Chief Executive Officer Global Product BU (DIA Digital Labs</t>
  </si>
  <si>
    <t>Mr. Luis Maia served as Chief Executive Officer of Global Product BU (DIA Digital Labs at DIA Group. He holds a degree in Business Administration from the Federal University of Rio de Janeiro Prior to joining DIA, he was Director &amp; Country Manager of the classifieds marketplace for vehicles, properties and services at MercadoLivre.com.br, the leading e-commerce platform in Latin America, present in more than 18 countries. Before, he held the position of Head of E-commerce, Omnichannel Operations and Digital Products at the fashion retail chain Lojas Renner. Previously, he was the Director of E-commerce for more than 6 years at Magazine Luiza, one of the largest food retailers in Brazil, where he was responsible for the marketplace and digital innovation development.</t>
  </si>
  <si>
    <t>218064-79P</t>
  </si>
  <si>
    <t>Maksim Goldman</t>
  </si>
  <si>
    <t>Bank of Cyprus Holdings (Former)</t>
  </si>
  <si>
    <t>Goldman</t>
  </si>
  <si>
    <t>Maksim</t>
  </si>
  <si>
    <t>www.bankofcyprus.com</t>
  </si>
  <si>
    <t>Mr. Maksim Goldman served as Board Member at Bank of Cyprus. Mr. Goldman currently serves as director of strategic projects at Renova Group where he is responsible for coordinating the business development of various significant assets under management of the Renova Group. Mr. Goldman is currently the vice chairman of the Bank and a member of the board of directors of United Company Rusal Plc, OAO ''Volga'', FC ''Ural'' and United Manganese of Kalahari. Previously, Mr. Goldman served as deputy chief legal officer of Renova Group, responsible for implementing the investment policy and support of key mergers and acquisitions transactions. During 2005 to 2007, he worked as vice president and international legal counsel of OAO Sual-Holding, which was the management company for OAO ''SUAL'', the second largest aluminium producer in Russia, and also participated in the creation of United Company Rusal through combination of the assets of Sual-Holding, Rusal and Glencore. From 1999 to 2005, Mr. Goldman worked as an associate at Chadbourne &amp; Parke LLP in New York and in Moscow.</t>
  </si>
  <si>
    <t>219047-14P</t>
  </si>
  <si>
    <t>Malla Reddy</t>
  </si>
  <si>
    <t>Astra Microwave Products</t>
  </si>
  <si>
    <t>Reddy</t>
  </si>
  <si>
    <t>Malla</t>
  </si>
  <si>
    <t>www.astramwp.com</t>
  </si>
  <si>
    <t>Co-Founder, Owner &amp; Managing Director</t>
  </si>
  <si>
    <t>+91 (0)40 3061 8000</t>
  </si>
  <si>
    <t>Hyderabad, India</t>
  </si>
  <si>
    <t>Astra Towers, Survey No.12 (Part)</t>
  </si>
  <si>
    <t>Kothaguda Post, Kondapur, HitechCity</t>
  </si>
  <si>
    <t>Hyderabad</t>
  </si>
  <si>
    <t>Telangana</t>
  </si>
  <si>
    <t>500084</t>
  </si>
  <si>
    <t>+91 (0)40 3061 8048</t>
  </si>
  <si>
    <t>Mr. Malla Reddy is a Co-Founder, Owner &amp; serves as Managing Director at Astra Microwave Products. Mr. Reddy is among Astra Microwave's core founders. He worked for over two decades in the Systems Division of Indian Space Research Organisation, Bangalore, and with Defence Research and Development Laboratory, Hyderabad, before taking charge of software development and R&amp;D at OMC Computers Ltd, Hyderabad. He holds a Master's in Engineering (Automation) from the Indian Institute of Science, Bangalore.</t>
  </si>
  <si>
    <t>71551-90P</t>
  </si>
  <si>
    <t>Manish Bhatia</t>
  </si>
  <si>
    <t>Trident Group (Former)</t>
  </si>
  <si>
    <t>Bhatia</t>
  </si>
  <si>
    <t>Manish</t>
  </si>
  <si>
    <t>manishbhatia@tridentindia.com</t>
  </si>
  <si>
    <t>Mr. Manish Bhatia served as Chief Financial Officer at Trident Group. Mr.Bhatia served as Chief Financial Officer at Prism Johnson. He also served as Board Member, Head - Commercial &amp; Executive, Finance, IT, Sales &amp; Marketing at Apollo Tyres South Africa. Prior to joining Apollo, he worked for Essar Steel for 5 years where he started as a management trainee, and became an assistant manager in finance. As a Chartered Accountant (CA) from India, his academic qualifications include a B.Com from Commerce College, Rajasthan University (India). He was also part of the first group of management that attended the Advanced Leadership Development Programme (ALDP) in India as well as the Executive Leadership Development Programme (ELDP). He is one of the first recipients of the Apollo Roll of Honour. He was also instrumental in the successful implementation of SAP ERP implementation at Apollo in India. He currently serves as the Head - Of commercials at Apollo Durban.</t>
  </si>
  <si>
    <t>396602-74P</t>
  </si>
  <si>
    <t>Manish Halwawala</t>
  </si>
  <si>
    <t>Halwawala</t>
  </si>
  <si>
    <t>Executive Director &amp; Board Member</t>
  </si>
  <si>
    <t>manish.halwawala@tridenttexofab.com</t>
  </si>
  <si>
    <t>Mr. Manish Halwawala serves as Executive Director &amp; Board Member at Trident Texofab. .He has Diploma in Man Made Fibre Fabric. He has around 30 years of rich experience in the textile and Food and Beverage industry. He has joined the company from 11th November, 2020 as an executive director.</t>
  </si>
  <si>
    <t>379729-45P</t>
  </si>
  <si>
    <t>Manjul Jain</t>
  </si>
  <si>
    <t>Jain</t>
  </si>
  <si>
    <t>Manjul</t>
  </si>
  <si>
    <t>manjuljain@tridentindia.com</t>
  </si>
  <si>
    <t>Mr. Manjul Jain served as Chief Marketing Officer at Trident Group. With over 34 years of experience in the Indian Textile Industry, he is well known for his expertise in formulating marketing strategies to boost sales in versatile market conditions. Proficient in building and strengthening long-term customer relations, over the years Manjul Jain has trained and developed fresh talent and made them future ready.</t>
  </si>
  <si>
    <t>91673-65P</t>
  </si>
  <si>
    <t>Marc Wetherhill</t>
  </si>
  <si>
    <t>Hiscox</t>
  </si>
  <si>
    <t>Wetherhill</t>
  </si>
  <si>
    <t>Marc</t>
  </si>
  <si>
    <t>www.hiscox.com</t>
  </si>
  <si>
    <t>Group Company Secretary and General Counsel</t>
  </si>
  <si>
    <t>+1 (441) 278-8300</t>
  </si>
  <si>
    <t>marc.wetherhill@hiscox.com</t>
  </si>
  <si>
    <t>Pembroke, Bermuda</t>
  </si>
  <si>
    <t>Chesney House</t>
  </si>
  <si>
    <t>96 Pitts Bay Road</t>
  </si>
  <si>
    <t>Pembroke</t>
  </si>
  <si>
    <t>HM 08</t>
  </si>
  <si>
    <t>Bermuda</t>
  </si>
  <si>
    <t>+1 (441) 278-8301</t>
  </si>
  <si>
    <t>Mr. Marc Wetherhill serves as Group Company Secretary and General Counsel at Hiscox. Mr. Wetherhill served as Chief Legal Counsel, Chief Compliance Officer &amp; Company Secretary at PartnerRe. Based in Bermuda, Marc provides legal guidance to the Executive Committee and is the Principal Representative to the Bermuda Monetary Authority for Hiscox Bermuda, where he is a member of the Board. Marc joined Hiscox from PartnerRe Group, where he served as Chief Legal Officer, Chief Compliance Officer &amp; Secretary. Prior to joining PartnerRe, Marc was an Associate with Appleby, having trained as a solicitor at Berrymans Lace Mawer in London. Marc is a non-practicing member of the Roll of Solicitors of England &amp; Wales and was called to the Bermuda Bar in 2001.</t>
  </si>
  <si>
    <t>114034-96P</t>
  </si>
  <si>
    <t>Marcus Yoder</t>
  </si>
  <si>
    <t>Yoder</t>
  </si>
  <si>
    <t>Marcus</t>
  </si>
  <si>
    <t>marcus.yoder@playtech.com</t>
  </si>
  <si>
    <t>Mr. Marcus Yoder serves as Chief Commercial Officer at Playtech. He served as Senior Vice President, Sales at GameAccount Network. He served as Vice President, Regulated Markets Business Development at Gamblit Gaming. Marcus is a 20-year technology executive, now responsible for opening new markets for Gamblit by working with licensed casino operators, regulators, industry groups and approved casino OEMs.</t>
  </si>
  <si>
    <t>147360-16P</t>
  </si>
  <si>
    <t>Margareth Ovrum</t>
  </si>
  <si>
    <t>Transocean</t>
  </si>
  <si>
    <t>Ovrum</t>
  </si>
  <si>
    <t>Margareth</t>
  </si>
  <si>
    <t>www.deepwater.com</t>
  </si>
  <si>
    <t>+41 (0)41 749 0500</t>
  </si>
  <si>
    <t>mo@equinor.com</t>
  </si>
  <si>
    <t>Steinhausen, Switzerland</t>
  </si>
  <si>
    <t>Turmstrasse 30</t>
  </si>
  <si>
    <t>Steinhausen</t>
  </si>
  <si>
    <t>6312</t>
  </si>
  <si>
    <t>Ms. Ovrum served as Executive Vice President of Equinor ASA, Development and Production Brazil until earlier this year when she retired after nearly 40 years with Equinor. Her tenure at Equinor included working as President, of Equinor Brazil from 2018 to 2020; Executive Vice President of Technology, Projects, and Drilling from 2011 to 2018; Executive Vice President, Technology and New Energy for Statoil Hydro from 2007 to 2011; Executive Vice President of Technology and Projects from 2004 to 2007 and Executive Vice President of Health, Safety, and the Environment during 2004. Ms. Ovrum began her career in 1982 at Equinor in Strategic Analysis, Production, and Maintenance and within a decade became the first female platform manager of the company's oldest fields in the North Sea. Ms. Ovrum currently serves as an Independent Non-executive Director of Harbour Energy (OTCPK: ENGH) since 2021, Technip FMC (NYSE: FTI) (PARIS: FTI) since 2020 and FMC Corporation (NYSE: FMC) since 2016. She previously served as a director of Alfa Laval AB from 2015 to 2019, Atlas Copco AB from 2008 to 2017, and Ratos AB from 2009 to 2014.</t>
  </si>
  <si>
    <t>72052-30P</t>
  </si>
  <si>
    <t>Maria Gracheva</t>
  </si>
  <si>
    <t>Gracheva</t>
  </si>
  <si>
    <t>Maria</t>
  </si>
  <si>
    <t>Head of Sustainable Development Projects</t>
  </si>
  <si>
    <t>Ms. Maria Gracheva served as Head of Sustainable Development Projects at En+ Group. Previously, she served as a Head of Communications at Lafarge Russia.</t>
  </si>
  <si>
    <t>68254-12P</t>
  </si>
  <si>
    <t>Mark Anthony Gyetvay</t>
  </si>
  <si>
    <t>Anthony Gyetvay</t>
  </si>
  <si>
    <t>Mark</t>
  </si>
  <si>
    <t>Chief Financial Officer &amp; Deputy Chairman of the Management Board</t>
  </si>
  <si>
    <t>Mr. Mark Anthony Gyetvay served as Chief Financial Officer &amp; Deputy Chairman of the Management Board at NOVATEK. Mr. Gyetvay studied at Arizona State University (Bachelor of Science, Accounting, 1981) and later at Pace University, New York (Graduate Studies in Strategic Management, 1995). After graduation, Mr. Gyetvay worked in various capacities at a number of independent oil and gas companies (Champlin Petroleum Co., Texas, Ensource Inc. and MAG Enterprises, Colorado, and Amerada Hess Corporation, New Jersey) where he specialized in financial and economic analysis for both upstream and downstream segments of the petroleum industry. In 1994, Mr. Gyetvay began his work at Coopers and Lybrand, as Director, Strategic Energy Advisory Services. He subsequently moved to Moscow in 1995 with Coopers &amp; Lybrand to lead the oil and gas practice. He was admitted as a partner of PricewaterhouseCoopers Global Energy where he assumed the role of client service engagement partner, Utilities and Mining practice, based in Russia (Moscow office). Mr. Gyetvay was an engagement partner on various energy and mining clients providing overall project management, financial and operational expertise, maintaining and supporting client service relationships as well as serving as concurring partner on transaction services to the petroleum sector. Mr. Gyetvay is a Certified Public Accountant, a member of the American Institute of Certified Public Accountants and an associate member of the Society of Petroleum Engineers. From 2003 to 2014, Mr. Gyetvay became a member of NOVATEK's Board of Directors. Since 2004-2008, he has been Chief Financial Officer and, in August 2007, Mr. Gyetvay was elected to NOVATEK's Management Board. Since July 2010, he became Deputy Chairman of NOVATEK's Management Board.</t>
  </si>
  <si>
    <t>228319-57P</t>
  </si>
  <si>
    <t>Mark DiPaolo JD</t>
  </si>
  <si>
    <t>Innoviva</t>
  </si>
  <si>
    <t>DiPaolo</t>
  </si>
  <si>
    <t>www.inva.com</t>
  </si>
  <si>
    <t>+1 (650) 238-9600</t>
  </si>
  <si>
    <t>Burlingame, CA</t>
  </si>
  <si>
    <t>1350 Old Bayshore Highway</t>
  </si>
  <si>
    <t>Burlingame</t>
  </si>
  <si>
    <t>94010</t>
  </si>
  <si>
    <t>Mark A. DiPaolo, Esq. has served as a member of our Board of Directors since February 2018. Mr. DiPaolo has been a Senior Partner and the General Counsel of Sarissa Capital Management LP, a registered investment advisor, since May 2013. Sarissa Capital Management LP focuses on improving the strategies of companies to enhance shareholder value. From 2005?-?2013, Mr. DiPaolo served as a senior member of Icahn Capital's investment team, working on all aspects of Carl Icahn's activist investment strategy. Prior to working with Icahn Capital, Mr. DiPaolo was an attorney with Willkie Farr &amp; Gallagher LLP. From August 2017 to September 2018, Mr. DiPaolo previously served as a member of the board of directors of Novelion Therapeutics, Inc., a publicly traded biopharmaceutical company. Mr. DiPaolo received his B.A. degree from Fordham University and his J.D. degree from Georgetown University. Mr. DiPaolo's substantial experience in operations, transactions, law and corporate governance and knowledge of our field contributed to our conclusion that he should serve as a director.</t>
  </si>
  <si>
    <t>242978-32P</t>
  </si>
  <si>
    <t>Mark Gordon</t>
  </si>
  <si>
    <t>Hyzon Fuel Cell (Former)</t>
  </si>
  <si>
    <t>Gordon</t>
  </si>
  <si>
    <t>www.hyzonfuelcell.com</t>
  </si>
  <si>
    <t>Chief Financial Officer and Director</t>
  </si>
  <si>
    <t>+1 (646) 491-2319</t>
  </si>
  <si>
    <t>mark.gordon@hyzonmotors.com</t>
  </si>
  <si>
    <t>Pinedale, WY</t>
  </si>
  <si>
    <t>A 27 North Maybell Avenue</t>
  </si>
  <si>
    <t>PO Box 1360</t>
  </si>
  <si>
    <t>Pinedale</t>
  </si>
  <si>
    <t>Wyoming</t>
  </si>
  <si>
    <t>82941</t>
  </si>
  <si>
    <t>Mr. Mark Gordon served as a Chief Financial Officer and Director at Hyzon. He is a Co-Founder and serves as Chief Investment Officer at Ascent Funds. From January 2018 to October 2015 he served as a senior portfolio manager at Janus Henderson, a leading global active asset manager and its predecessor, where he managed the Alphagan Energy Funds. From December 2012 to December 2014, He worked as a senior analyst at Paulson &amp; Co, Inc., an investment management firm, where he was responsible for the energy sector. Prior to his tenure at Paulson, he was a portfolio manager at Soros Fund Management, an investment management firm, from April 2009 to March 2012, where he ran an energy and natural resources fund. He was a Managing Director of Goldman Sachs Asset Management from December 2007 to January 2009 and previously worked as a portfolio manager from September 2004 to January 2009. Prior to that, he worked as a research analyst from September 2000 to August 2004. He holds an M.B.A. (honors) from the University of Chicago with concentrations in Analytic Finance and Economics, an M.A. degree from Stanford University and a B.A. degree from Brown University (honors). He is a CFA charter holder. He serves as Board Member at Raven SR.</t>
  </si>
  <si>
    <t>175138-30P</t>
  </si>
  <si>
    <t>Mark Holcombe</t>
  </si>
  <si>
    <t>Holcombe</t>
  </si>
  <si>
    <t>Mr. Mark Holcombe serves as Chairman &amp; Board Member at Trident Brands Incorporated.</t>
  </si>
  <si>
    <t>214390-18P</t>
  </si>
  <si>
    <t>Mark Jitway</t>
  </si>
  <si>
    <t>Jitway</t>
  </si>
  <si>
    <t>Deputy Chairman</t>
  </si>
  <si>
    <t>Mr. Mark Jitway serves as Deputy Chairman at NOVATEK (Russia).</t>
  </si>
  <si>
    <t>172634-05P</t>
  </si>
  <si>
    <t>Mark Le Tissier</t>
  </si>
  <si>
    <t>Duke Capital (Former)</t>
  </si>
  <si>
    <t>Le Tissier</t>
  </si>
  <si>
    <t>www.dukecapital.com</t>
  </si>
  <si>
    <t>mletissier@tridenttrust.com</t>
  </si>
  <si>
    <t>Mr. Mark Le Tissier serves as Board Member at Duke Royalty. He is responsible for the oversight of the company's corporate obligations in Guernsey. Mr. Le Tissier is the European Regional Director of Trident Trust with oversight over five offices, as well as the Managing Director of Trident Trust Guernsey and has worked for Trident for over twenty years. He has extensive board-level experience and has an in-depth knowledge of Guernsey and other jurisdictions' corporate and investment regulations. Mr. Le Tissier is a Trust &amp; Estate Practitioner who has also completed the IOD Programme in company direction and is a resident in Guernsey.</t>
  </si>
  <si>
    <t>47250-64P</t>
  </si>
  <si>
    <t>Mark Pastrone</t>
  </si>
  <si>
    <t>Blink Charging (Former)</t>
  </si>
  <si>
    <t>Pastrone</t>
  </si>
  <si>
    <t>www.blinkcharging.com</t>
  </si>
  <si>
    <t>mpastrone@blinkcharging.com</t>
  </si>
  <si>
    <t>Mr. Mark Pastrone serves as Chief Operating Officer at Blink Charging. Mr. Pastrone served as Chief Operating Officer at SemaConnect. He has over 25 years of experience in building high-tech companies. Prior to SemaConnect, he led the development of several commercial start-ups in the aerospace industry. He was part of the founding team at GeoEye which was acquired by DigitalGlobe (NYSE:DGI) and is now the world's largest commercial satellite imagery provider. He also led many space commercialization ventures at Orbital Sciences Corporation (NYSE:ORB), the developer of the world's first commercial rocket. He has earned a B.S. in Electrical Engineering and a Masters in Electrical Engineering from Stanford. He also holds an MBA from Harvard Business School. When not fishing on the Chesapeake Bay, Mark enjoys nice long drives in his Tesla Model 3.</t>
  </si>
  <si>
    <t>93066-22P</t>
  </si>
  <si>
    <t>Mark Smith</t>
  </si>
  <si>
    <t>Vice President, Operations Support Services</t>
  </si>
  <si>
    <t>Mr. Mark Smith served as Vice President, Operations Support Services at Vulcan Materials Company. Previously, he served as a Vice President - Georgia Operations at Vulcan Materials Company.</t>
  </si>
  <si>
    <t>43060-51P</t>
  </si>
  <si>
    <t>Mark Tomkins</t>
  </si>
  <si>
    <t>Trinseo (Former)</t>
  </si>
  <si>
    <t>Tomkins</t>
  </si>
  <si>
    <t>www.trinseo.com</t>
  </si>
  <si>
    <t>Mr. Mark Tomkins serves as Board Member at Trinseo. He served as Board Member at Elevance Renewable Sciences. He is the Director and Non-Executive Chairman at ServiceMaster Global Holdings. He also served as the senior financial officer at several large companies. He was Senior Vice President and Chief Financial Officer of Innovene, a petroleum refining and chemical polymer business and subsidiary of BP, from May 2005 to January 2006, when Innovene was sold to a strategic buyer. From 2001 to 2005 he was Senior Vice President and Chief Financial Officer of Vulcan Materials Company, a publicly traded construction materials and chemicals company. From 1998 to 2001, he was Senior Vice President and Chief Financial Officer of Chemtura Corporation (formerly Great Lakes Chemical Corporation), a publicly traded specialty chemicals company. From 1996 to 1998, he was Vice President of Finance and Business Development for the polymers division and Vice President of Finance and Business Development for the electronic materials division of Honeywell Corporation. From 1990 to 1996, he worked at Monsanto Company in various management level finance and accounting positions, including Chief Financial Officer of the growth enterprises division. He received a BS in business, with majors in finance and management and an MBA from Eastern Illinois University.</t>
  </si>
  <si>
    <t>224032-60P</t>
  </si>
  <si>
    <t>Mark Warren</t>
  </si>
  <si>
    <t>Warren</t>
  </si>
  <si>
    <t>Vice President of Investor Relations</t>
  </si>
  <si>
    <t>mark@vulcanmaterials.com</t>
  </si>
  <si>
    <t>Mr. Mark Warren serves as Vice President of Investor Relations at Vulcan Materials Company. He joined Vulcan in 2000 as the Manager of financial analysis and reporting and assumed his current role in 2006. Before joining Vulcan, he held positions of increasing responsibility in both finance and operations in the construction industry. He earned a bachelor of science in Construction Science from Texas A&amp;M University and an MBA from the Georgia Institute of Technology.</t>
  </si>
  <si>
    <t>286005-52P</t>
  </si>
  <si>
    <t>Markus Ritzauer</t>
  </si>
  <si>
    <t>Ritzauer</t>
  </si>
  <si>
    <t>Markus</t>
  </si>
  <si>
    <t>Chief Financial Officer, Germany</t>
  </si>
  <si>
    <t>Mr. Markus Ritzauer served as Chief Financial Officer, Germany at Vulcan Energy Resources. He has over 20 years of experience in finance roles within the chemicals industry.
Formerly Head of Finance at Currenta, a chemical park service provider in Germany, with ~EUR 1.7bn turnover, ~5,300 employees and ~EUR 250m EBITDA. He was also CFO of the Bayer Group of companies in South Korea, and prior to that was Head of Corporate M&amp;A in the APAC region for Bayer.</t>
  </si>
  <si>
    <t>32410-81P</t>
  </si>
  <si>
    <t>Martha Byorum</t>
  </si>
  <si>
    <t>Tecnoglass (Former)</t>
  </si>
  <si>
    <t>Byorum</t>
  </si>
  <si>
    <t>Martha</t>
  </si>
  <si>
    <t>www.tecnoglass.com</t>
  </si>
  <si>
    <t>+57 (0)1 373 4000</t>
  </si>
  <si>
    <t>Barranquilla, Colombia</t>
  </si>
  <si>
    <t>Avenida Circunvalar a 100 mts de la Vía 40</t>
  </si>
  <si>
    <t>Barrio Las Flores</t>
  </si>
  <si>
    <t>Barranquilla</t>
  </si>
  <si>
    <t>Colombia</t>
  </si>
  <si>
    <t>Ms. Martha (Stormy) L. Byorum has served as a member of our board of directors since November 2011. Ms. Martha (Stormy) L. Byorum was the founder and chief executive officer of Stephens Cori Capital Advisors (Cori Capital), a financial services entity that was most recently (January 2005 through August 2013) a division of Stephens Inc., a private investment banking firm founded in 1933. Ms. Byorum was also an executive vice president of Stephens Inc. from January 2005 until August 2013. From March 2003 to December 2004, Ms. Byorum served as chief executive officer of Cori Investment Advisors, LLC, which was spun off from VB&amp;P in 2003. Ms. Byorum co-founded VB&amp;P in 1996 and served as a Partner until February 2003. Prior to co-founding VB&amp;P in 1996, Ms. Byorum had a 24-year career at Citibank, where, among other things, she served as chief of staff and chief financial officer for Citibank's Latin American Banking Group from 1986 to 1990, overseeing $15 billion of loans and coordinating activities in 22 countries. She was later appointed the head of Citibank's U.S. Corporate Banking Business and a member of the bank's Operating Committee and a Customer Group Executive with global responsibilities. Ms. Byorum is a Life Trustee of Amherst College and a chairman of the finance committee of the board of directors of Northwest Natural Gas, a large distributor of natural gas services in the Pacific Northwest. She also serves on the board of directors of JELD-WEN Holding, Inc., a vertically integrated global manufacturer and distributor of windows and doors, Ms. Byorum served as a director of Opes Acquisition Corp., a blank check company, from its inception in January 2018 through its business combination with BurgerFi International, LLC in December 2020.</t>
  </si>
  <si>
    <t>288491-50P</t>
  </si>
  <si>
    <t>Martin Bork</t>
  </si>
  <si>
    <t>Navigator Holdings</t>
  </si>
  <si>
    <t>Bork</t>
  </si>
  <si>
    <t>+44 (0)20 7340 4850</t>
  </si>
  <si>
    <t>martin.bork@navigatorgas.com</t>
  </si>
  <si>
    <t>The Verde</t>
  </si>
  <si>
    <t>10 Bressenden Place</t>
  </si>
  <si>
    <t>SW1E 5DH</t>
  </si>
  <si>
    <t>+44 (0)20 7340 4858</t>
  </si>
  <si>
    <t>Mr. Martin Bork serves as Chief Executive Officer at Navigator Holdings. Mr. Bork has more than 35 years of experience in the shipping industry and joined Navigator following the merger with Ultragas ApS in August 2021, where he was Chief Operating Officer. He joined Ultragas in 1995 and has previously worked for other shipowners including Dannebrog, CMB in Belgium and Lauritzen in Denmark.</t>
  </si>
  <si>
    <t>375124-60P</t>
  </si>
  <si>
    <t>Martin Copeland</t>
  </si>
  <si>
    <t>Serica Energy</t>
  </si>
  <si>
    <t>Copeland</t>
  </si>
  <si>
    <t>www.serica-energy.com</t>
  </si>
  <si>
    <t>+44 (0)20 7487 7300</t>
  </si>
  <si>
    <t>72 Welbeck Street</t>
  </si>
  <si>
    <t>W1G 0AY</t>
  </si>
  <si>
    <t>Mr. Martin Copeland serves as Chief Financial Officer &amp; Board Member at Serica Energy. Mr. Copeland has over 30 years' experience in oil and gas financing and advisory roles across several investment banks with extensive North Sea transaction and financing experience. Most recently, Principal at energy advisory firm Kirk Lovegrove &amp; Co. Ltd, where he acted as adviser to Tailwind Energy on their sale to the Company in 2023, as well as advising JX Nippon on selling their UKCS business to Neo Energy. Before that, he led RBC's EMEA energy team, where he advised Premier Oil on their reverse takeover by Chrysaor to create Harbour Energy as well as Ithaca Energy on their acquisition by Delek. Mr. Copeland was appointed to the Board of Serica Energy in February 2024.</t>
  </si>
  <si>
    <t>208505-98P</t>
  </si>
  <si>
    <t>Martin Page</t>
  </si>
  <si>
    <t>Great Southern Copper</t>
  </si>
  <si>
    <t>Page</t>
  </si>
  <si>
    <t>www.gscplc.com</t>
  </si>
  <si>
    <t>+44 (0)20 7638 9271</t>
  </si>
  <si>
    <t>London Wall</t>
  </si>
  <si>
    <t>Salisbury House</t>
  </si>
  <si>
    <t>EC2M 5PS</t>
  </si>
  <si>
    <t>Mr. Martin Page serves as Chief Financial Officer &amp; Board Member at Great Southern Copper. He has experience in capital and debt markets, statutory and management reporting requirements and detailed tax and treasury planning. He was previously CFO at Trident Royalties plc, an AIM-quoted junior mining royalty company, where he presided over an increase in the company's market cap from c.$40 million to c.$200m. In this role, he was responsible for oversight and management of the Group's finances, negotiation of debt financing, and the deployment of over US$100m in capital across several large deals. Before that, he held the position of CFO at Toro Gold, a group that owned and operated the Mako Gold mine in Senegal, which was sold to Resolute Mining for more than US$300m in 2019.</t>
  </si>
  <si>
    <t>37028-44P</t>
  </si>
  <si>
    <t>Martin Pucher</t>
  </si>
  <si>
    <t>Inspirato (Former)</t>
  </si>
  <si>
    <t>Pucher</t>
  </si>
  <si>
    <t>www.inspirato.com</t>
  </si>
  <si>
    <t>Co-Founder &amp; Chief Operating Officer</t>
  </si>
  <si>
    <t>Mr. Martin J. Pucher co-founded and served as Chief Operating Officer at Afini. He is also a Co-Founder of Inspirato and served as its Chief Operating Officer. Mr. Pucher served as an Executive Vice President of TII Network Technologies Inc., from September 20, 2006 to January 11, 2008 and also served as its President for Global Technologies Group (GTG) since June 2006. Mr. Pucher served as Chief Marketing Officer of TII Network Technologies Inc., from September 2006 to January 11, 2008. He has years of experience and background in technology and business development. Prior to joining TII, Mr. Pucher was Founder and served as Chief Executive Officer of 'One 2 One Consulting Inc., where he developed digital media, broadband, wireless and Internet technologies, to deliver media products and services to consumers and businesses worldwide. He was with companies such as Microsoft, IBM, Corbis, Vulcan Inc., AT&amp;T and PlayNetworks. He served as Senior Vice President and Chief Technology Officer within its digital media divisions at Liberty Media Corporation. He served as Senior Vice President of Technology and Broadband of Liberty Media's DMX Music and Liberty Digital companies. He was founding member of DMX Music. Mr. Pucher serves on several technology advisory boards, both domestically and in Europe. He served as a Director of TII Network Technologies Inc., until January 11, 2008. Mr. Pucher holds a B.S. Engineering degree from Georgia Tech University.</t>
  </si>
  <si>
    <t>220295-80P</t>
  </si>
  <si>
    <t>Martin Renaud</t>
  </si>
  <si>
    <t>Renaud</t>
  </si>
  <si>
    <t>Chief Marketing Officer, Marketing &amp; Executive Vice President</t>
  </si>
  <si>
    <t>martin.renaud@mondelezinternational.com</t>
  </si>
  <si>
    <t>Mr. Martin Renaud serves as Executive Vice President and Chief Marketing &amp; Sales Officer at Mondelez International. He leads the growth and marketing of the company's portfolio of global brands, including belVita, Cadbury, Milka, Oreo, and Trident. He leads the teams responsible for Media &amp; Digital, Insights &amp; Analytics, Category Growth Strategy, Global e-Commerce, as well as Brand Strategy and Agency Relationships, and Marketing Capability. Martin joined Mondelēz International in 2018 from Danone, where he held the role of President, of Fresh Dairy for Europe. A global citizen, Martin has lived and worked in both emerging and developed markets in Europe, Latin America, and Asia Pacific, and has North America experience having served as President, Evian-Volvic Worldwide. With 25 years of experience in both Marketing and General Management, Martin is a world-class marketer with a track record of driving growth. Martin has an MBA from ESSEC Business School in France and lives in New York City.</t>
  </si>
  <si>
    <t>314508-97P</t>
  </si>
  <si>
    <t>Martín Tolcachir</t>
  </si>
  <si>
    <t>Tolcachir</t>
  </si>
  <si>
    <t>Martín</t>
  </si>
  <si>
    <t>Group Chief Executive Officer</t>
  </si>
  <si>
    <t>Mr. Martín Tolcachir serves as Group Chief Executive Officer at DIA Group. Martín Tolcachir has a degree in Business Administration and Management from the University of Buenos Aires and an MBA from the IMD Business School. His professional career progressed at Carrefour Argentina where he managed Consumer Goods Products and he later went on to lead the same area for the Carrefour Group in France and the Own Brand products area for 7 years. He returned to Argentina as Sales and Marketing Director until 2018 when he joined the General Management of Electrolux Argentina and one year later when he occupied the same position for the company in the Southern Cone region. Tolcachir speaks fluent French and English and Spanish is his mother tongue.</t>
  </si>
  <si>
    <t>260582-95P</t>
  </si>
  <si>
    <t>Mary Carlisle</t>
  </si>
  <si>
    <t>Mary</t>
  </si>
  <si>
    <t>Chief Financial Officer, Finance &amp; Senior Vice President</t>
  </si>
  <si>
    <t>mcarlisle@vulcanmaterials.com</t>
  </si>
  <si>
    <t>Ms. Mary Carlisle serves as Senior Vice President &amp; Chief Financial Officer at Vulcan Materials Company. She joined Vulcan in May 2006 and has held various leadership roles within the Company's accounting and finance departments. Prior to her current position, she was vice president of financial planning, analysis, and reporting. She also served as vice president of business development and vice president of finance for the Company's Southern and Gulf Coast Division. She earned her bachelor's degree in Economics and Spanish from the University of Virginia and an MBA from the University of Alabama.</t>
  </si>
  <si>
    <t>272087-92P</t>
  </si>
  <si>
    <t>Mary Kissel</t>
  </si>
  <si>
    <t>QXO</t>
  </si>
  <si>
    <t>Kissel</t>
  </si>
  <si>
    <t>www.qxo.com</t>
  </si>
  <si>
    <t>Greenwich, CT</t>
  </si>
  <si>
    <t>Five American Lane</t>
  </si>
  <si>
    <t>Greenwich</t>
  </si>
  <si>
    <t>06831</t>
  </si>
  <si>
    <t>Mary Kissel (Age 47) Ms. Kissel is executive vice president and senior policy advisor with Stephens Inc. She joined Stephens in 2021, following her role as senior advisor to the U.S. Secretary of State. Earlier, during 14 years with The Wall Street Journal, she served on the editorial board in New York, and as editorial page editor for Asia Pacific in Hong Kong. She began her career at Goldman Sachs. Ms. Kissel is a member of the Council on Foreign Relations, and a director of the American Australian Council. She is vice chair of the board of directors of RXO, Inc.</t>
  </si>
  <si>
    <t>404149-51P</t>
  </si>
  <si>
    <t>Marzia Bonifacio</t>
  </si>
  <si>
    <t>Bonifacio</t>
  </si>
  <si>
    <t>Marzia</t>
  </si>
  <si>
    <t>Head, Diversity &amp; Inclusion, Learning and People Engagement</t>
  </si>
  <si>
    <t>mbonifacio@erg.it</t>
  </si>
  <si>
    <t>Ms. Marzia Bonifacio serves as Head, Diversity &amp; Inclusion, Learning and People Engagement at ERG.</t>
  </si>
  <si>
    <t>282323-89P</t>
  </si>
  <si>
    <t>Massimo Belcredi</t>
  </si>
  <si>
    <t>Eni</t>
  </si>
  <si>
    <t>Belcredi</t>
  </si>
  <si>
    <t>Massimo</t>
  </si>
  <si>
    <t>www.eni.com</t>
  </si>
  <si>
    <t>+39 06 5982 1</t>
  </si>
  <si>
    <t>Rome, Italy</t>
  </si>
  <si>
    <t>Piazzale Mattei, 1</t>
  </si>
  <si>
    <t>Rome</t>
  </si>
  <si>
    <t>00144</t>
  </si>
  <si>
    <t>+39 06 5982 2141</t>
  </si>
  <si>
    <t>Massimo Belcredi was born in Brindisi in 1962 and has been Eni Director since May 2023. He is currently Full Professor of Corporate Finance at the Faculty of Economics of the Universita Cattolica del Sacro Cuore in Milan; and Founder and Director of FIN-GOV (Centre for financial research on corporate governance of the Catholic University). He is a member of the Steering Committee of Cor-Gov (Master II level in Corporate Governance), of the teaching board of the Doctorate in Economics and Finance, and the committee of the Department of Economics and Business Management. He is a member of the Italian Academy of Business Economics (AIDEA) and the Association of Professors of Economics of Financial Market Intermediaries (ADEIMF). He is also a member of the Rivista Bancaria (Minerva Bancaria) Scientific Committee. Since 2021 he has been Director of Armonia SGR and a member of the Nedcommunity Scientific Committee. He provides technical consultancy and advice on the subjects of corporate finance and corporate governance, support for the board evaluation, remuneration policies, and related-parties transactions. He has been a member of the Board of Directors, European Financial Management Association and of the Editorial Board, Journal of Management Governance. He is author of several national and international publications, primarily in the field of corporate governance, directors' remuneration, economic analysis of listed companies law, business crises, and has worked as a consultant for Assonime on corporate governance, company law and crisis and regulation of financial markets matters, also participating in the working group for the development of the Italian Corporate Governance Code. Since 2003, he was Director in unlisted and listed companies, as well as companies under the supervision of Public Authorities (Arca SGR, Banca Italease, BPER Banca, Erg, Gedi and Pirelli Tyre), being also appointed as a member or chairman of internal committees (Nomination, Remuneration, Control and Risk, Related Parties). He was a member of the Advisory Board for the transformation and privatisation of municipal companies in the Municipality of Rome, and a member of the competition commissions for Consob and the Energy and Gas Authority (AEEG). In 2014 he received the Ambrogio Lorenzetti award for corporate governance, category 'Board of Director's'. He was Professor at the University of Svizzera Italiana and the University of Bologna. He graduated in Business and Economics from the Universita Cattolica del Sacro Cuore in Milan, where he also held the role of researcher and associate professor of Corporate Finance.</t>
  </si>
  <si>
    <t>137420-83P</t>
  </si>
  <si>
    <t>Massimo Derchi</t>
  </si>
  <si>
    <t>Snam</t>
  </si>
  <si>
    <t>Derchi</t>
  </si>
  <si>
    <t>www.snam.it</t>
  </si>
  <si>
    <t>+39 02 3703 1</t>
  </si>
  <si>
    <t>massimo.derchi@snam.it</t>
  </si>
  <si>
    <t>Piazza Santa Barbara, 7</t>
  </si>
  <si>
    <t>San Donato Milanese</t>
  </si>
  <si>
    <t>20097</t>
  </si>
  <si>
    <t>+39 02 3703 9227</t>
  </si>
  <si>
    <t>Mr. Massimo Derchi serves as Chief Industrial Assets Officer &amp; Chief Operating Officer at Snam. He was appointed to this position since January 2018. In Snam Rete Gas he has also been Chief Executive Officer since April 2022 and he has been Chairman from 2017 to 2022. With a degree in Engineering at the University of Genova in 1986, he held various positions (from Investment Development Management to M&amp;A, Purchases and Strategic Planning) in Italian and foreign companies in the energy sector. From 1986 to 1996 he has been Project Manager and Head of Foreign Projects in a subsidiary of the ERG group. During the following three years he has been Head of Projects in Air Liquide Italia, carrying out, amongst other things, the construction of two of the biggest plants for oxygen production in the world. From 1999 to 2004 he has been in charge of Italian subsidiaries of European and US engineering companies (water cooling system, flue gas treatment, etc.). Again in Erg, from 2005 to 2011 he held various senior management positions in refining (Head of Acquisitions, Organization, Planning and Control and, then, Head of Refining). From 2011 to 2016, as CEO of Erg Renew, he has led the transformation of the company from petroleum refiner in one of the top ten European onshore wind energy producers, and the most important in Italy, planning and managing the company's expansion in seven European countries also through acquisitions (Erg Renew has been awarded by Bloomberg as "#1 Worldwide Acquirer" in Clean Energy). He has also been Senior Advisor of Italian and international energy companies.</t>
  </si>
  <si>
    <t>118027-36P</t>
  </si>
  <si>
    <t>Matt Arbuckle</t>
  </si>
  <si>
    <t>Arbuckle</t>
  </si>
  <si>
    <t>Matt</t>
  </si>
  <si>
    <t>Business Development and Land Manager</t>
  </si>
  <si>
    <t>+1 (904) 505-4970</t>
  </si>
  <si>
    <t>Mr. Matt Arbuckle served as Business Development and Land Manager at Vulcan Materials Company, Southeast Division Jacksonville, Florida Area Mining &amp; Metals. Previously, he served as Sales Representative and General Manager of Freeport Aggregates at Vulcan Materials Company. He earned his Master of Business Administration in Accounting and Finance from University of North Florida in 2014 and Bachelor of Arts from Davidson College in 2002.</t>
  </si>
  <si>
    <t>227668-60P</t>
  </si>
  <si>
    <t>Matteo Bagnara</t>
  </si>
  <si>
    <t>Bagnara</t>
  </si>
  <si>
    <t>Matteo</t>
  </si>
  <si>
    <t>+39 01 0240 1423</t>
  </si>
  <si>
    <t>mbagnara@erg.eu</t>
  </si>
  <si>
    <t>Mr. Matteo Bagnara serves as Head, Investor Relations at ERG.</t>
  </si>
  <si>
    <t>91526-32P</t>
  </si>
  <si>
    <t>Matteo Falivene</t>
  </si>
  <si>
    <t>Falivene</t>
  </si>
  <si>
    <t>Mergers &amp; Acquisitions Executive</t>
  </si>
  <si>
    <t>Mr. Matteo Falivene serves in Consumer &amp; Retail Investment Banking at Bank of America Merrill Lynch. He served as an Mergers &amp; Acquisitions Executive at ERG.</t>
  </si>
  <si>
    <t>447665-95P</t>
  </si>
  <si>
    <t>Mavis Anagboso</t>
  </si>
  <si>
    <t>Anagboso</t>
  </si>
  <si>
    <t>Mavis</t>
  </si>
  <si>
    <t>Head of Diversity, Equity &amp; Inclusion (Europe)</t>
  </si>
  <si>
    <t>mavis.anagboso@harbourenergy.com</t>
  </si>
  <si>
    <t>Ms. Mavis Anagboso serves as Head of Diversity, Equity &amp; Inclusion (Europe) at Harbour Energy.</t>
  </si>
  <si>
    <t>217457-29P</t>
  </si>
  <si>
    <t>Maxim Mayorets</t>
  </si>
  <si>
    <t>Falcon Oil &amp; Gas (Former)</t>
  </si>
  <si>
    <t>Mayorets</t>
  </si>
  <si>
    <t>Maxim</t>
  </si>
  <si>
    <t>www.falconoilandgas.com</t>
  </si>
  <si>
    <t>Mr. Mayorets graduated from the Moscow State Institute of International Relations in 1999 and the Financial Academy under the auspices of the Government of the Russian Federation in 2001. From 2000 to 2002 Mr. Mayorets was head of the financial department at ZAO Medical Technologies Ltd. From 2002 to 2010 Mr. Mayorets held various positions in the International Business Division at OAO Gazprom, acted as head of several Gazprom subsidiaries, was on the boards of directors of the company's businesses and from 2007 Mr. Mayorets was deputy head of the international business department of ??? Gazprom. Between May 2010 and July 2018, Mr. Mayorets held the position of the M&amp;A Director at Renova Group. Between July 2018 and October 2019, Mr. Mayorets was a M&amp;A Director at ComplexProm. From 16 October 2019, Mr. Mayorets holds the role of Managing Partner at RPI Capital LLC.</t>
  </si>
  <si>
    <t>72047-35P</t>
  </si>
  <si>
    <t>Maxim Sokov</t>
  </si>
  <si>
    <t>Norilsk Nickel</t>
  </si>
  <si>
    <t>Sokov</t>
  </si>
  <si>
    <t>www.nornickel.com</t>
  </si>
  <si>
    <t>+7 (8)495 787 7667</t>
  </si>
  <si>
    <t>1st Krasnogvardeysky proezd 15</t>
  </si>
  <si>
    <t>123112</t>
  </si>
  <si>
    <t>Mr. Maxim Sokov serves as a Board Member at Norilsk Nickel. Mr. Sokov served as President &amp; Executive Director at En+ Group. He has served as a member of the Board of Directors since 2013. Mr. Sokov joined the Company as First Deputy Chief Executive Officer in July 2013 and has been the Chief Executive Officer of the Company since April 2014. Mr. Sokov has served as a member of the Board of Directors of UC RUSAL since September 2013. Mr. Sokov is also a member of the board of directors of Norilsk Nickel and EuroSibEnergo. Before joining the Group, Mr. Sokov worked at RUSAL since 2004. In 2007, he was appointed as Head of the Mergers and Acquisitions Department of UC RUSAL, and since then occupied various managerial positions, including Director for Strategy and Corporate Development, Director for Strategic Investment Management, and Advisor for Strategic Investment Management. In 2000</t>
  </si>
  <si>
    <t>318839-32P</t>
  </si>
  <si>
    <t>Mayurkumar Gajera</t>
  </si>
  <si>
    <t>Gajera</t>
  </si>
  <si>
    <t>Mayurkumar</t>
  </si>
  <si>
    <t>Chief Financial Officer &amp; Whole Time Director</t>
  </si>
  <si>
    <t>Mr. Mayurkumar Gajera serves as Chief Financial Officer &amp; Whole Time Director at Trident Lifeline.</t>
  </si>
  <si>
    <t>139210-12P</t>
  </si>
  <si>
    <t>Melissa Anderson</t>
  </si>
  <si>
    <t>Albemarle</t>
  </si>
  <si>
    <t>Anderson</t>
  </si>
  <si>
    <t>Melissa</t>
  </si>
  <si>
    <t>www.albemarle.com</t>
  </si>
  <si>
    <t>Chief Transformation Officer</t>
  </si>
  <si>
    <t>+1 (980) 299-5700</t>
  </si>
  <si>
    <t>melissa.anderson@albemarle.com</t>
  </si>
  <si>
    <t>Charlotte, NC</t>
  </si>
  <si>
    <t>4250 Congress Street</t>
  </si>
  <si>
    <t>Charlotte</t>
  </si>
  <si>
    <t>North Carolina</t>
  </si>
  <si>
    <t>28209</t>
  </si>
  <si>
    <t>+1 (980) 299-5512</t>
  </si>
  <si>
    <t>Ms Melissa Anderson serves as Chief Transformation officer at Albemarle. She joined Albemarle as Senior Vice President &amp; Chief Human Resources Officer in January 2021. Prior to joining Albemarle, Ms. Anderson served as Executive Vice President, Administration and Chief Human Resources Officer at Duke Energy, an American electric power holding company based in North Carolina. Previous to that role, she held the role of Senior Vice President, Human Resources, for Domtar Corporation in South Carolina. Her previous experience also includes 17 years with IBM in progressive Human Resources leadership roles. Ms. Anderson serves on the board of Vulcan Materials and as Chair of the Society of Human Resource Management (SHRM), the world's largest HR professional association. She is also a member of the advisory board for the Center for Executive Succession at the University of South Carolina's Darla Moore School of Business.</t>
  </si>
  <si>
    <t>13592-71P</t>
  </si>
  <si>
    <t>Meryl Hartzband</t>
  </si>
  <si>
    <t>Everest Group (Hamilton)</t>
  </si>
  <si>
    <t>Hartzband</t>
  </si>
  <si>
    <t>Meryl</t>
  </si>
  <si>
    <t>www.everestglobal.com</t>
  </si>
  <si>
    <t>+1 (441) 295-0006</t>
  </si>
  <si>
    <t>Hamilton, Bermuda</t>
  </si>
  <si>
    <t>Seon Place, 4th Floor, 141 Front Street</t>
  </si>
  <si>
    <t>PO Box HM 845</t>
  </si>
  <si>
    <t>Hamilton</t>
  </si>
  <si>
    <t>HM 19</t>
  </si>
  <si>
    <t>+1 (441) 295-4828</t>
  </si>
  <si>
    <t>Ms. Meryl Hartzband serves as a Board Member at Everest Re Group. She served as Senior Advisor at Vanbridge. He also serves as a Board Member at Conning. She is also a member of the Investment Committees of the Trident Funds. Before joining Stone Point in 1999, Ms. Hartzband was a Managing Director at J.P. Morgan &amp; Co., where, during a sixteen-year career, she specialized in managing private equity investments in the financial services industry. Ms. Hartzband worked closely with Stone Point and its predecessor operations during her tenure at J.P. Morgan &amp; Co. in connection with that firm's role as co-sponsor of Trident I and most of the platform's pre-Trident investments. Ms. Hartzband is a director of Harbor Point Limited, Sharebridge Holdings, Inc. and Wilton Re Holdings Limited, and a former director of several portfolio companies of the Trident Funds, including AXIS Capital Holdings Limited. She also previously served as a director of ACE Limited and St. Paul Travelers Companies, Inc. Ms. Hartzband holds a B.A. from Cornell University and an M.B.A. from the Columbia University Graduate School of Business.</t>
  </si>
  <si>
    <t>458266-51P</t>
  </si>
  <si>
    <t>Michael Ashley</t>
  </si>
  <si>
    <t>Huddled Group</t>
  </si>
  <si>
    <t>Michael</t>
  </si>
  <si>
    <t>www.huddled.com</t>
  </si>
  <si>
    <t>Nottingham, United Kingdom</t>
  </si>
  <si>
    <t>Cumberland Court</t>
  </si>
  <si>
    <t>80 Mount Street</t>
  </si>
  <si>
    <t>Nottingham</t>
  </si>
  <si>
    <t>NG1 6HH</t>
  </si>
  <si>
    <t>Mr. Michael Ashley serves as Chief Executive Officer and Board Member at Huddled Group. He has extensive leadership experience across consumer centric, high growth businesses through CEO, commercial, marketing and strategic roles including Boots, Argos, Dixons Retail Group, Travis Perkins, Holland and Barrett and Magnet Kitchens. He was most recently the Commercial Director of Nobia UK , incorporating Magnet Kitchens . He joined from Coverings Ltd, a Tiles distribution and retail business where he was the Chief Executive officer. Prior to this, he was the Chief Commercial Officer at Holland &amp; Barrett. He also held the position of CCO both in Wickes and the Plumbing and Heating division at Travis Perkins PLC leading the transformation of both businesses. Prior to this he led the turnaround of Harvard International PLC (formerly Alba PLC) as Chief Executive Officer, culminating in the successful sale to a listed Chinese consumer electronics business. He completed retail MBA modules at Manchester Business School sponsored by Home Retail Group.</t>
  </si>
  <si>
    <t>29557-27P</t>
  </si>
  <si>
    <t>Michael Borrell</t>
  </si>
  <si>
    <t>EnQuest</t>
  </si>
  <si>
    <t>Borrell</t>
  </si>
  <si>
    <t>www.enquest.com</t>
  </si>
  <si>
    <t>+1 (403) 571-7599</t>
  </si>
  <si>
    <t>Aberdeen, United Kingdom</t>
  </si>
  <si>
    <t>Annan House</t>
  </si>
  <si>
    <t>Palmerston Road</t>
  </si>
  <si>
    <t>Aberdeen</t>
  </si>
  <si>
    <t>Scotland</t>
  </si>
  <si>
    <t>AB11 5QP</t>
  </si>
  <si>
    <t>Michael Borrell has been appointed as a Non-Executive Director with effect from 5 September 2023. Michael is an experienced operator of large-scale Exploration &amp; Production assets, having worked for over 35 years with TotalEnergies, including managing the integration of the Maersk Oil business. His international career with TotalEnergies has spanned Europe, Asia, North and South America, culminating in his appointment as senior vice president North Sea and Russia, and as Denmark country chair in 2020. Michael was a non-executive director of Novatek OAO, which was listed on the London Stock Exchange and Moscow Stock Exchange, between 2015 and 2021.</t>
  </si>
  <si>
    <t>358188-94P</t>
  </si>
  <si>
    <t>Michael Denham</t>
  </si>
  <si>
    <t>National Bank of Canada (Montreall)</t>
  </si>
  <si>
    <t>Denham</t>
  </si>
  <si>
    <t>www.nbc.ca</t>
  </si>
  <si>
    <t>+1 (888) 835-6281</t>
  </si>
  <si>
    <t>michael.denham@nbc.ca</t>
  </si>
  <si>
    <t>800 Saint-Jacques Street</t>
  </si>
  <si>
    <t>H3C 1A3</t>
  </si>
  <si>
    <t>Mr. Michael Denham serves as Executive Vice-President of Commercial and Private Banking at National Bank of Canada. He is responsible for developing strategic orientations, advancing the client experience and overseeing all Commercial and Private Banking products and services. He supervises the sector's growth and ensures its sustainability by soundly managing risks. Mr. Denham is also a member of National Bank's Senior Leadership Team. M. Denham joined the Bank in 2021 with an impressive track record as a leader of people and businesses. Prior to joining the Bank, he was President and CEO of BDC (Business Development Bank of Canada), where he was instrumental in doubling the commercial franchise in Quebec and across Canada, advocating for small and medium-size business owners, and supporting the growth of entrepreneurs at every stage and across various industries. Prior to that, he held senior executive roles based in Montreal, including at Accenture, where he was President and CEO for Canada, CGI, Bombardier, and McKinsey. At the time of his appointment, Mr. Denham was Vice-Chairman, Commercial Banking and Financial Markets. In addition to his professional activities, Mr. Denham serves on the Boards of Sustainable Development Technology Canada (SDTC), the McGill University Health Centre (MUHC) Foundation and the Ontario Global 100 (OG100). Mr. Denham also serves as a mentor to entrepreneurs. He holds a Master's degree in Economy from the London School of Economics and Political Science (LSE) and a Bachelor's degree in Public and International Affairs from Princeton University.</t>
  </si>
  <si>
    <t>40693-42P</t>
  </si>
  <si>
    <t>Michael Dougherty</t>
  </si>
  <si>
    <t>Polaris (Automotive)</t>
  </si>
  <si>
    <t>Dougherty</t>
  </si>
  <si>
    <t>www.polaris.com</t>
  </si>
  <si>
    <t>President of On Road and International</t>
  </si>
  <si>
    <t>+1 (763) 542-0500</t>
  </si>
  <si>
    <t>michael.dougherty@polarisind.com</t>
  </si>
  <si>
    <t>Medina, MN</t>
  </si>
  <si>
    <t>2100 Highway 55</t>
  </si>
  <si>
    <t>Medina</t>
  </si>
  <si>
    <t>55340-9770</t>
  </si>
  <si>
    <t>+1 (763) 542-0599</t>
  </si>
  <si>
    <t>Mr. Michael Dougherty serves as President of On-Road and International at Polaris (US). He shifted roles in August 2011 to Vice President - Asia Pacific and Latin America from his most recent role as Vice President - Global New Market Development which he held since December 2008. He joined the company in 1998 as International Sales Manager, and has held several positions, including Vice President and General Manager of the ATV Division during his tenure. Prior to Polaris, hewas employed at Trident Medical International, a trading company.</t>
  </si>
  <si>
    <t>304758-10P</t>
  </si>
  <si>
    <t>Michael Farrugia</t>
  </si>
  <si>
    <t>Simonds Farsons Cisk</t>
  </si>
  <si>
    <t>Farrugia</t>
  </si>
  <si>
    <t>www.farsons.com</t>
  </si>
  <si>
    <t>Chief Business Development Officer, Deputy Chief Executive executive director</t>
  </si>
  <si>
    <t>+356 2381 4114</t>
  </si>
  <si>
    <t>michaelf@farsons.com</t>
  </si>
  <si>
    <t>The Brewery</t>
  </si>
  <si>
    <t>Mdina Road, Zone 2 Central Business District</t>
  </si>
  <si>
    <t>CBD 2010</t>
  </si>
  <si>
    <t>Mr. Michael Farrugia serves as Executive Director - Operations &amp; Business Development &amp; Deputy Chief Executive Officer (Beverages) &amp; Executive Director - Operations &amp; Business Development at Simonds Farsons Cisk. Mr. Michael Farrugia serves as Chief Business Development Officer at Simonds Farsons Cisk. He joined the group in 2006 and has assumed a wide variety of responsibilities on the local and international market and is today chiefly responsible for the company's export strategy and innovation. Mr Farrugia is a director of Farsons Beverage Imports Company Ltd and chairs its board. He serves as trustee on the board of the Farsons Foundation and plays an active role in the conversion and redevelopment of the Trident Business Park and The Brewhouse. Completing his secondary and higher education in the United Kingdom, Mr Farrugia graduated from Edinburgh University with a master's degree in History and followed up his studies with a postgraduate diploma in Journalism from the London School of Journalism and a Master of Business Administration (MBA) from Warwick University.</t>
  </si>
  <si>
    <t>314205-85P</t>
  </si>
  <si>
    <t>Michael Friedman</t>
  </si>
  <si>
    <t>Friedman</t>
  </si>
  <si>
    <t>President &amp; Chief Executive Officer</t>
  </si>
  <si>
    <t>Mr. Michael Friedman serves as President &amp; Chief Executive Officer at Trident Brands (Consumer Products).</t>
  </si>
  <si>
    <t>281048-50P</t>
  </si>
  <si>
    <t>Michael Insulan</t>
  </si>
  <si>
    <t>Electra Battery Materials</t>
  </si>
  <si>
    <t>Insulan</t>
  </si>
  <si>
    <t>www.electrabmc.com</t>
  </si>
  <si>
    <t>michael.insulan@crugroup.com</t>
  </si>
  <si>
    <t>133 Richmond Street West</t>
  </si>
  <si>
    <t>Suite 602</t>
  </si>
  <si>
    <t>M5H 2L3</t>
  </si>
  <si>
    <t>Michael Insulan has nearly 20 years of experience across oil and gas, bulk commodities, base and minor metals. He has worked for Royal Dutch Shell, CRU, and Eurasian Resources Group. Over the past four years, Michael has been primarily focused on the cobalt market where he has built a reputation as an industry expert. As Vice President, Commercial, Michael will have overall responsibility for marketing of the Company's refined cobalt sulfate production to electric vehicle (EV) manufacturers and battery cell makers. He will also be responsible for marketing recycled cobalt, nickel, lithium and other battery materials produced by First Cobalt's Canadian refinery under a proposed Phase 2 expansion to refine black mass recovered from end-of-life lithium-ion batteries. Michael holds a PhD in Economics, focused on the extractive industries.</t>
  </si>
  <si>
    <t>461217-70P</t>
  </si>
  <si>
    <t>Michael Kraftman</t>
  </si>
  <si>
    <t>Kraftman</t>
  </si>
  <si>
    <t>Mr. Michael Kraftman serves as Chief Executive Officer at Vulcan Two Group.</t>
  </si>
  <si>
    <t>93063-61P</t>
  </si>
  <si>
    <t>Michael Mills</t>
  </si>
  <si>
    <t>Chief Administrative Officer &amp; Secretary</t>
  </si>
  <si>
    <t>Michael Mills was elected Senior Vice President and General Counsel on November 1, 2012. He previously served from 2002-2012 in regional management roles as Senior Vice President - East Region, President of the former Southeast Division and Vice President and General Manager for Middle/West TN and KY. Michael joined Vulcan's Legal Department in 1991 and was Associate General Counsel at the time he moved into regional management. He is a graduate of Harvard University, the University of Alabama School of Law, and Northwestern University's Kellogg Graduate School of Management. Effective February 12, 2016, Michael Mills (55), formerly Senior Vice President &amp; General Counsel, has been named to the new role of Chief Administrative Officer. On September 6, 2019, Vulcan Materials Company announced the retirement of Michael R. Mills as Chief Administrative Officer and Secretary of the Company, effective as of September 15, 2019.</t>
  </si>
  <si>
    <t>159170-86P</t>
  </si>
  <si>
    <t>Michael Nossal</t>
  </si>
  <si>
    <t>IGO (Australia)</t>
  </si>
  <si>
    <t>Nossal</t>
  </si>
  <si>
    <t>www.igo.com.au</t>
  </si>
  <si>
    <t>+61 (0)8 9238 8300</t>
  </si>
  <si>
    <t>South Perth, Australia</t>
  </si>
  <si>
    <t>South Shore Centre</t>
  </si>
  <si>
    <t>Suite 4, Level 5, PO Box 496</t>
  </si>
  <si>
    <t>South Perth</t>
  </si>
  <si>
    <t>6951</t>
  </si>
  <si>
    <t>+61 (0)8 9238 8399</t>
  </si>
  <si>
    <t>Mr. Michael Nossal serves as Chairman &amp; Member of People, Performance &amp; Culture, Sustainability at Independence Group. Mr. Nossal is a senior mining executive with 35 years' experience in gold, base metals and industrial minerals in business development, exploration, project development and operations. Mr Nossal has held executive management and board positions including at Newcrest, MMG, WMC Resources, Lundin Gold, Nordgold, En+Group, UC Rusal and Normandy Mining. Mr Nossal has particular experience in strategy and business development internationally and has led significant growth initiatives most recently at Newcrest and MMG.</t>
  </si>
  <si>
    <t>389260-54P</t>
  </si>
  <si>
    <t>Michael Tuffin Ph.D</t>
  </si>
  <si>
    <t>Tuffin</t>
  </si>
  <si>
    <t>Senior Vice President, Performance and Integration</t>
  </si>
  <si>
    <t>michael.tuffin@harbourenergy.com</t>
  </si>
  <si>
    <t>Mr. Michael Tuffin serves as Senior Vice President of Performance and Integration at Harbour Energy. He served as Senior Vice President of Global Business Development at Harbour Energy.</t>
  </si>
  <si>
    <t>94171-51P</t>
  </si>
  <si>
    <t>Michael Wilson</t>
  </si>
  <si>
    <t>Ingevity (Former)</t>
  </si>
  <si>
    <t>Wilson</t>
  </si>
  <si>
    <t>President, Chief Executive Officer and Director</t>
  </si>
  <si>
    <t>michael.wilson@ingevity.com</t>
  </si>
  <si>
    <t>Mr. D.Michael Wilson served as President, Chief Executive Officer and Director at Ingevity. He joined Ingevity in September 2015 from Albemarle Corporation, where he was executive vice president and president of their Performance Chemicals business. Michael served as president of Albemarle's Catalyst Solutions business from 2013 through 2014. From 1997 to 2013, Michael held a number of business unit leadership roles with FMC Corporation, including group head of Industrial Chemicals from 2003 to 2010 and president of the Specialty Chemicals group from 2011 to 2013. Prior to FMC, Michael served in various senior-level roles at Wausau Paper Corporation and Rexam PLC. Michael currently serves on the board of directors for the American Chemistry Council. In Charleston, South Carolina, he serves on the boards of directors for the Greater Charleston Metro Chamber of Commerce and Trident United Way. He is also a member of the Trident CEO Council. He holds a Bachelor of Science degree in chemistry from the University of North Carolina at Chapel Hill and a Master of Business Administration degree from the Kenan-Flagler Business School at the University of North Carolina.</t>
  </si>
  <si>
    <t>345853-09P</t>
  </si>
  <si>
    <t>Michele Pedemonte</t>
  </si>
  <si>
    <t>Pedemonte</t>
  </si>
  <si>
    <t>Michele</t>
  </si>
  <si>
    <t>mpedemonte@erg.eu</t>
  </si>
  <si>
    <t>Mr. Michele Pedemonte serves as Chief Financial Officer at ERG.</t>
  </si>
  <si>
    <t>61290-73P</t>
  </si>
  <si>
    <t>Michelle Palmiotto-Wright</t>
  </si>
  <si>
    <t>Xperi (Electronics) (Former)</t>
  </si>
  <si>
    <t>Palmiotto-Wright</t>
  </si>
  <si>
    <t>Michelle</t>
  </si>
  <si>
    <t>www.xperi.com</t>
  </si>
  <si>
    <t>Director, Human Resources</t>
  </si>
  <si>
    <t>Ms. Michelle Palmiotto-Wright served as Director, Human Resources at Xperi. Previously, she served as a Global Staffing and Mobility Manager at Trident Microsystems.</t>
  </si>
  <si>
    <t>115839-91P</t>
  </si>
  <si>
    <t>Mikhail Fridman</t>
  </si>
  <si>
    <t>Fridman</t>
  </si>
  <si>
    <t>Mikhail</t>
  </si>
  <si>
    <t>Mr. Mikhail Fridman served as Board Member at Veon. Mr. Fridman was a Member of the board of directors of OJSC VimpelCom from July 2001 until April 2010. He currently serves as the Chairman of the Supervisory Board of the Alfa Group Consortium and a member of the board of directors of JSC Alfa-Bank since 1994, ABH Holdings S.A. since 2015, LetterOne Holdings SA since 2013, LetterOne Investment Holdings SA since 2015 and LetterOne Core Investments SARL since 2019. Mr. Fridman also has served as a member of the Supervisory Board of X5 RETAIL GROUP N.V. since 2006. He is a member of the Public Chamber of the Russian Federation. From 1986 until 1988, Mr. Fridman served as an engineer at Elektrostal Metallurgical Works. Mr. Fridman graduated with honors from the Faculty of Non-Ferrous Metals of the Moscow Institute of Steel and Alloys in 1986 and in 1989, together with his partners, founded the Alfa Group Consortium.</t>
  </si>
  <si>
    <t>65548-63P</t>
  </si>
  <si>
    <t>Mikhail Lifshitz</t>
  </si>
  <si>
    <t>Sulzer (Former)</t>
  </si>
  <si>
    <t>Lifshitz</t>
  </si>
  <si>
    <t>www.sulzer.com</t>
  </si>
  <si>
    <t>Mr. Mikhail Lifshitz , He has been High-Tech Assets Development Director of Renova Group since 2009 and CEO (2009 - 2015) as well as Chairman of the Board of Directors (since 2015) of Rotec - a company owned by Renova Group. Furthermore, he has chaired the Board of Directors of Ural Turbine Works (since 2012), and served as member of the Board of Directors of Oerlikon AG (2013 - 2016). Previously, he was Founder and President of the Global Edge Group (2001 - 2009) and Marketing Director of the USSR International Economic Cooperation Association of small and medium enterprises (1991 - 1994). Binding interests High-tech Asset Business Development Director, Renova Group, Russia Chairman of the Board of Directors, Rotec, Russia Chairman of the Board of Directors, Ural Turbine Works, Russia Member of the Board of Directors, Datadvance, Russia Member of the Board of Directors, Stentex LLC, Russia Educational background Graduate degree in Electronic Engineering, Bauman Moscow State Technical University, Russia Air Force Academy, Russia</t>
  </si>
  <si>
    <t>420861-25P</t>
  </si>
  <si>
    <t>Miliana Pineda</t>
  </si>
  <si>
    <t>Dutch Bros</t>
  </si>
  <si>
    <t>Pineda</t>
  </si>
  <si>
    <t>Miliana</t>
  </si>
  <si>
    <t>www.dutchbros.com</t>
  </si>
  <si>
    <t>Director, Diversity &amp; Inclusion</t>
  </si>
  <si>
    <t>+1 (541) 955-4700</t>
  </si>
  <si>
    <t>miliana.pineda@dutchbros.com</t>
  </si>
  <si>
    <t>Grants Pass, OR</t>
  </si>
  <si>
    <t>110 Southwest</t>
  </si>
  <si>
    <t>4th Street</t>
  </si>
  <si>
    <t>Grants Pass</t>
  </si>
  <si>
    <t>Oregon</t>
  </si>
  <si>
    <t>97526</t>
  </si>
  <si>
    <t>Ms. Miliana Pineda serves as Director of Diversity, Equity and Inclusion and Learning and Development at Dutch Bros. She previously served as Director of Diversity, Equity and Inclusion at Dutch Bros Coffee. Before that she served as Leader, Global DEI Programs and Impact | ERG Program Manager at Columbia Sportswear Company, Pride ERG Co-Chair at Columbia Sportswear Company, Global Talent Management Lead at Columbia Sportswear Company and People Manager- Program Manager at Nike and Lead Teacher at Nike, Women's Football Alliance at Portland Shockwave</t>
  </si>
  <si>
    <t>346383-82P</t>
  </si>
  <si>
    <t>Monica Appleby</t>
  </si>
  <si>
    <t>Tyro Payments</t>
  </si>
  <si>
    <t>Monica</t>
  </si>
  <si>
    <t>www.tyro.com</t>
  </si>
  <si>
    <t>Chief People and Communications Officer</t>
  </si>
  <si>
    <t>+61 (0)13 0000 8976</t>
  </si>
  <si>
    <t>mappleby@tyro.com</t>
  </si>
  <si>
    <t>Sydney, Australia</t>
  </si>
  <si>
    <t>55 Market Street</t>
  </si>
  <si>
    <t>Level 18</t>
  </si>
  <si>
    <t>Sydney</t>
  </si>
  <si>
    <t>New South Wales</t>
  </si>
  <si>
    <t>2000</t>
  </si>
  <si>
    <t>Ms. Monica Appleby serves as Chief People and Communications Officer at Tyro Payments. She has over 18 years' experience in strategic communications, change management and business transformation, specializing in financial services and technology. Having previously held roles at KMPG, Deloitte and Tabcorp, Monica joined Tyro in 2020 as Head of Corporate Communications ahead of being appointed as Chief People, Culture and Communications Officer. Monica is passionate about creating high performing teams and developing a thriving culture of engagement and growth that drives business outcomes. Monica holds commerce, law and change management qualifications.</t>
  </si>
  <si>
    <t>57926-62P</t>
  </si>
  <si>
    <t>Mor Weizer</t>
  </si>
  <si>
    <t>Weizer</t>
  </si>
  <si>
    <t>Mor</t>
  </si>
  <si>
    <t>mor.weizer@playtech.com</t>
  </si>
  <si>
    <t>Mr. Mor Weizer serves as Chief Executive Officer and Board Member at Playtech. He is a Angel Investor. Prior to being appointed as CEO, he was the chief executive officer of one of the Group's subsidiaries, Techplay Marketing Ltd., which required him to oversee the Group's licensee relationship management, product management for new licensees and the Group's marketing activities. Before joining Playtech, he worked for Oracle for over four years, initially as a development consultant and then as a product manager, which involved creating sales and consulting channels on behalf of Oracle Israel and Oracle Europe, the Middle East and Africa. Earlier in his career, he worked in a variety of roles, including as an auditor and financial consultant for PricewaterhouseCoopers and a system analyst for Tadiran Electronic Systems Limited, an Israeli company that designed electronic warfare systems.</t>
  </si>
  <si>
    <t>364822-75P</t>
  </si>
  <si>
    <t>Mossack Fonseca</t>
  </si>
  <si>
    <t>Leading Asia Pacific Investment</t>
  </si>
  <si>
    <t>Fonseca</t>
  </si>
  <si>
    <t>Mossack</t>
  </si>
  <si>
    <t>Hong Kong, Hong Kong</t>
  </si>
  <si>
    <t>Hong Kong</t>
  </si>
  <si>
    <t>Mr. Mossack Fonseca serves as Executive at Leading Asia Pacific Investment.</t>
  </si>
  <si>
    <t>127066-96P</t>
  </si>
  <si>
    <t>Nachi Kurizki</t>
  </si>
  <si>
    <t>Kurizki</t>
  </si>
  <si>
    <t>Nachi</t>
  </si>
  <si>
    <t>Business Development Executive</t>
  </si>
  <si>
    <t>nachi.kurizki@playtech.com</t>
  </si>
  <si>
    <t>Mr. Nachi Kurizki serves as Business Development Executive at Playtech. He drive M&amp;A, investment and joint venture activities in Europe, US, Asia and Israel. He also manages strategic partnerships in the online, social and mobile gaming sectors. Previously, he served as the Legal Counsel at Playtech.</t>
  </si>
  <si>
    <t>119012-86P</t>
  </si>
  <si>
    <t>Nadim Qureshi</t>
  </si>
  <si>
    <t>BPGC Acquisition</t>
  </si>
  <si>
    <t>Qureshi</t>
  </si>
  <si>
    <t>Nadim</t>
  </si>
  <si>
    <t>www.rossacquisition2.com</t>
  </si>
  <si>
    <t>Head of M&amp;A</t>
  </si>
  <si>
    <t>Palm Beach, FL</t>
  </si>
  <si>
    <t>1 Pelican Lane</t>
  </si>
  <si>
    <t>Palm Beach</t>
  </si>
  <si>
    <t>33480</t>
  </si>
  <si>
    <t>Mr. Nadim Qureshi is a Co-Founder and serves as Managing Partner at BroadPeak Global. Mr. Nadim Qureshi serves as Board Member at International Seaways. He is responsible for all aspects of the firm and investment management. He served as Chairman of the Board at Diamond S Management. He served as a Managing Director at WL Ross &amp; Co. In this role, he headed private equity investments in the chemical and industrial sectors. He joined WL Ross &amp; Co. in 2015. Prior to that, he was a Partner at Quinpario Partners, an investment and operating firm focused on the chemical and industrial sectors. Prior to this, he led the corporate development and strategy functions at Solutia Inc. He was a member of the executive team that led the restructuring and transformation of Solutia from a bankrupt, commodity producer to a global, highly profitable specialty chemicals business until its sale to Eastman Chemical in 2012. Prior to Solutia, he was with Arthur D. Little and Charles River Associates where he advised large multinational chemical, industrial, and private equity clients. Mr. Qureshi earned his B.S. in Chemical Engineering and M.S. in Macromolecular Science &amp; Engineering from Case Western Reserve University. Mr. Qureshi currently serves on the Board of Directors for Nexeo Solutions "NASDAQ: NXEO," a large global chemical distributor, and for International Seaways. He served as Chairman of Diamond S Shipping. Mr. Qureshi graduated with a B.S. in Chemical Engineering and an M.S. in Macromolecular Science from Case Western Reserve University. He also earned an M.B.A. from Northwestern University's Kellogg School of Management</t>
  </si>
  <si>
    <t>279967-06P</t>
  </si>
  <si>
    <t>Nancy Dunlap JD</t>
  </si>
  <si>
    <t>Dunlap</t>
  </si>
  <si>
    <t>Nancy</t>
  </si>
  <si>
    <t>Ms. Nancy Dunlap has been appointed to serve as a member of the Board on October 5, 2022. Ms. Dunlap (age 70) has served since 1999 as the private counsel and head/Chairman of the private family office of Jon S. Corzine, former New Jersey Governor and United States Senator. Ms. Dunlap has served as a director of Icahn Enterprises G.P. Inc., the general partner of Icahn Enterprises L.P., since April 2021. Ms. Dunlap was previously a director of CVR Refining, LP, an independent downstream energy limited partnership, from July 2018 to February 2019. Ms. Dunlap received a Juris Doctor from St. John's University School of Law and a Bachelor of Arts from University of Denver.</t>
  </si>
  <si>
    <t>358488-82P</t>
  </si>
  <si>
    <t>Narayana Karanam</t>
  </si>
  <si>
    <t>Karanam</t>
  </si>
  <si>
    <t>Narayana</t>
  </si>
  <si>
    <t>Mr. Narayana Karanam served as Chief Information Officer at Trident Group.</t>
  </si>
  <si>
    <t>388026-10P</t>
  </si>
  <si>
    <t>Narendra Gupta</t>
  </si>
  <si>
    <t>Trident Tools</t>
  </si>
  <si>
    <t>Gupta</t>
  </si>
  <si>
    <t>Narendra</t>
  </si>
  <si>
    <t>www.magicuttools.com</t>
  </si>
  <si>
    <t>Chairman &amp; Whole Time Director</t>
  </si>
  <si>
    <t>+91 (0)22 2525 7854</t>
  </si>
  <si>
    <t>narendra.gupta@magicuttools.com</t>
  </si>
  <si>
    <t>Thane, India</t>
  </si>
  <si>
    <t>Survey No 26, Tembhode Shirgon Road</t>
  </si>
  <si>
    <t>Dhansar Village, Palghar</t>
  </si>
  <si>
    <t>Thane</t>
  </si>
  <si>
    <t>Maharashtra</t>
  </si>
  <si>
    <t>+91 (0)22 2884 7191</t>
  </si>
  <si>
    <t>Mr. Narendra Gupta serves as Chairman &amp; Whole Time Director at Trident Tools. He has been instrumental in setting up various businesses. Started his career with manufacture of Engine Bearings &amp; gradually expanded to manufacture products such as Diesel Engine Spares, Copper Alloys and Cutting Tools.</t>
  </si>
  <si>
    <t>458124-76P</t>
  </si>
  <si>
    <t>Nasser Abushahab</t>
  </si>
  <si>
    <t>Parkin</t>
  </si>
  <si>
    <t>Abushahab</t>
  </si>
  <si>
    <t>Nasser</t>
  </si>
  <si>
    <t>www.parkin.ae</t>
  </si>
  <si>
    <t>Eng. Abushahab was appointed as an Independent Non-executive Board member of Parkin Company PJSC in 2023. With a career of over 27 years, he brings a wealth of relevant, practical experience to the Board. His deep knowledge and understanding of the transportation sector stem from his wide-ranging experience at the RTA and his appointment as CEO of Strategy and Corporate Governance. Eng. Abushahab chairs high-profile RTA committees responsible for transport integration, sustainability, repair and maintenance, strategy, crisis management, and enterprise command and control. He was also recently appointed CEO of Planning and Corporate Governance at Dubai Municipality, supervising urban planning procedures and operations across the Emirate. Eng. Abushahab has received multiple awards for his professional achievements, including the highly prestigious medal of His Highness Sheikh Mohammed bin Rashid Al Maktoum for Outstanding National Achievement. Eng. Abushahab graduated with a bachelor's degree in architectural engineering from UAE University and holds a master's in urban planning from the American University of Sharjah</t>
  </si>
  <si>
    <t>208680-40P</t>
  </si>
  <si>
    <t>Nathan Mauzy</t>
  </si>
  <si>
    <t>Mauzy</t>
  </si>
  <si>
    <t>Nathan</t>
  </si>
  <si>
    <t>Senior Vice President &amp; Energy Controller</t>
  </si>
  <si>
    <t>nathan.mauzy@cobaltintl.com</t>
  </si>
  <si>
    <t>Mr. Nathan Mauzy serves as Senior Vice President &amp; Energy Controller at Harbour Energy. He was the Controller for Cobalt International Energy following over 19 years with BHP Billiton which included two Australian expat assignments and various Petroleum Division roles including Head of Finance and Controller. In these positions, He was transaction lead for asset divestments in the UK and Pakistan and led an international finance team focused on partnering with the business to reduce costs, improve reporting and strengthen controls. He received a B.S. degree in Accounting from Arizona State University.</t>
  </si>
  <si>
    <t>312375-88P</t>
  </si>
  <si>
    <t>Naveet Jindal</t>
  </si>
  <si>
    <t>Jindal</t>
  </si>
  <si>
    <t>Naveet</t>
  </si>
  <si>
    <t>Chief Education Officer</t>
  </si>
  <si>
    <t>Mr. Naveet Jindal served as Chief Education Officer at Trident Group. Mr. Jindal serves as Managing Director-Paper, Chemicals, and Energy at Trident Group. He has over 20 years of experience in the areas of marketing, sales planning, and business development, he has revamped the paper business of Trident, making it one of India's most preferred paper brands. Over the years, under his leadership, Trident Paper has expanded by leaps and bounds with a varied market presence across the globe.</t>
  </si>
  <si>
    <t>287213-50P</t>
  </si>
  <si>
    <t>Neil Clayton</t>
  </si>
  <si>
    <t>Clayton</t>
  </si>
  <si>
    <t>Neil</t>
  </si>
  <si>
    <t>Group Finance Director &amp; Member of Audit Committee, Remuneration Committee &amp; Aquis Rule Compliance Committee</t>
  </si>
  <si>
    <t>nc@vulcanplc.com</t>
  </si>
  <si>
    <t>Mr. Neil Clayton serves as Group Finance Director &amp; Member of Audit Committee, Remuneration Committee &amp; Aquis Rule Compliance Committee at Vulcan Industries (London). He is a member of The Institute of Chartered Accountants of England and Wales. He is on the board of Agriterra Limited (AIM) and Block Commodities Limited (AQSE Growth Market) and Global Web Pay Limited. As well as providing CFO consulting to offshore AIM listed groups with business activities in agricultural, health and natural resources in Africa, he also brings to the Board specialised capital restructuring experience from his role as Group Finance Director of Earthport Plc. Previously he held senior financial positions at First Technology plc, the international automotive safety and sensing manufacturing group.</t>
  </si>
  <si>
    <t>204384-07P</t>
  </si>
  <si>
    <t>Neil Offord</t>
  </si>
  <si>
    <t>Offord</t>
  </si>
  <si>
    <t>Mergers and Acquisitions Director</t>
  </si>
  <si>
    <t>Mr. Neil Offord served as Mergers and Acquisitions Director at Playtech.</t>
  </si>
  <si>
    <t>57377-53P</t>
  </si>
  <si>
    <t>Nelson James</t>
  </si>
  <si>
    <t>Take-Two Interactive Software (Former)</t>
  </si>
  <si>
    <t>www.take2games.com</t>
  </si>
  <si>
    <t>Mr. Nelson James served as Director at Take-Two Interactive Software. He has served as a director of Icahn Enterprises G.P., Inc. since June 2001. Since April 2008, Mr. Nelson has served as a director and Chairman of the Audit Committee of Cequel Communications, an owner and operator of a large cable television system. Since June 2011, Mr. Nelson has served a director of Motricity, Inc., a mobile data solutions provider, and he has served as its Chairman of the Board since January 2012. Since December 2003, Mr. Nelson has served as a director of American Entertainment Properties Corp. From May 2005 until November 15, 2007, Mr. Nelson served as a director of Atlantic Coast Entertainment Holdings LLC. From 1986 until 2009, Mr. Nelson was Chairman and Chief Executive Officer of Eaglescliff Corporation, a specialty investment banking, consulting and wealth management company. From March 1998 through 2003, Mr. Nelson was Chairman and Chief Executive Officer of Orbit Aviation, Inc. From August 1995 until July 1999, Mr. Nelson was Chairman and Chief Executive Officer and Co-Chairman of Orbitex Management, Inc., a financial service company in the fund management sector. From August 1995 until March 2001, he was a director of Orbitex Financial Services Group. From April 2003 until April 2010, Mr. Nelson served as a director and Chairman of the Audit Committee of Viskase Companies, Inc. From January 2008 through June 2008, Mr. Nelson served as a director of Shuffle Master, Inc. From March 2008 until February 2010, Mr. Nelson served as a director and on the Audit Committee of Pacific Energy Resources Ltd., an energy producer. In November 2013, Mr. Nelson was appointed to the board of VII Peaks Co-Optivist Income BDC II, Inc., an externally managed, closed-end management investment company that has elected to be treated as a business development company under the Investment Company Act of 1940. Mr. Nelson brings to his service as a director his significant experience and leadership roles serving as Chief Executive Officer, Director and Chairman of the Audit Committee of various companies as discussed above. As such, the Board of Directors has deemed Mr. Nelson qualified to serve as a director.</t>
  </si>
  <si>
    <t>336765-07P</t>
  </si>
  <si>
    <t>Nevgul Safkan</t>
  </si>
  <si>
    <t>Teknosa Ic ve Dis Ticaret</t>
  </si>
  <si>
    <t>Safkan</t>
  </si>
  <si>
    <t>Nevgul</t>
  </si>
  <si>
    <t>www.teknosa.com</t>
  </si>
  <si>
    <t>Istanbul, Turkey</t>
  </si>
  <si>
    <t>Carrefoursa Plaza Cevizli Mahallesi</t>
  </si>
  <si>
    <t>Number: 67 Block: B Tugay Yolu Caddesi Maltepe</t>
  </si>
  <si>
    <t>Istanbul</t>
  </si>
  <si>
    <t>34846</t>
  </si>
  <si>
    <t>Turkey</t>
  </si>
  <si>
    <t>Ms. Nevgul Bilsel Safkan, From Austrian High School in 1989, Istanbul University Faculty of Business Administration in 1993 Nevgul Bilsel Safkan, who graduated from the Department, was EXECUTIP MBA at Bogazici University in 2003 He completed his master's degree. In 1993, he started as an auditor at Arthur Andersen. In the rapid growth process of the leader companies, he played a financial manager in different levels. 1999- Nevgul Bilsel Safkan, who worked as a CFO on Superonline between 2004, in 2005, Sabanci He joined the Community and worked as a CFO in Marsa for the first time in 11 years. Between 2006-2013 He directed Teknosa's public offering process and investor relations. In 2013 He was appointed as the General Manager of the e-commerce company Kliksa.com established within Teknosa and 2016 He continued this task until the year. Following HotelsPro and respectively in 2016-2018 He worked as General Manager in Dyson/Hakman companies. Nevgul Bilsel returned to Sabanci Group as General Manager of Sabanci Foundation in September 2018 Purebred, also Turkey's third sector Foundation (TUSEV) Vice President and Education Reform He is a member of the Board of Directors of the Initiative (ERG). Working in the field of disabled rights in 2021 The Austrian -based ESSL Foundation has been given the title of Zero Project ambassador for 4 years. Nevgul Bilsel is married and is a mother of a child.</t>
  </si>
  <si>
    <t>55073-26P</t>
  </si>
  <si>
    <t>Niall Nolan</t>
  </si>
  <si>
    <t>Nolan</t>
  </si>
  <si>
    <t>Niall</t>
  </si>
  <si>
    <t>Mr. Niall Nolan served as the Chief Financial Officer at Navigator Holdings.</t>
  </si>
  <si>
    <t>99660-79P</t>
  </si>
  <si>
    <t>Nicholas Brodie</t>
  </si>
  <si>
    <t>Golconda Gold</t>
  </si>
  <si>
    <t>Brodie</t>
  </si>
  <si>
    <t>Nicholas</t>
  </si>
  <si>
    <t>+1 (647) 987-7663</t>
  </si>
  <si>
    <t>nick.brodie@golcondagold.com</t>
  </si>
  <si>
    <t>181 Bay Street</t>
  </si>
  <si>
    <t>M5J 2T9</t>
  </si>
  <si>
    <t>+1 (416) 863-1515</t>
  </si>
  <si>
    <t>Mr. Brodie is a senior executive with extensive experience in Africa. Prior to joining the Corporation, Mr. Brodie was the CFO of Katanga Mining Limited and Copperbelt Energy Corporation Plc. Mr. Brodie is a Fellow of the Association of Certified Chartered Accountants and holds a BSc (Hons) Geography.</t>
  </si>
  <si>
    <t>69123-88P</t>
  </si>
  <si>
    <t>Nicholas Goode</t>
  </si>
  <si>
    <t>Coveo Solutions (Former)</t>
  </si>
  <si>
    <t>Goode</t>
  </si>
  <si>
    <t>www.coveo.com</t>
  </si>
  <si>
    <t>+1 (800) 635-5476</t>
  </si>
  <si>
    <t>ngoode@coveo.com</t>
  </si>
  <si>
    <t>Mr. Nicholas Goode serves as Chief Corporate Development Officer at Coveo. Mr. Nicholas Goode is a Co-Founder and serves as Chief Executive Officer at Momentum Youth Brands. In his role, he works closely with the leadership team to assist with corporate strategy and M&amp;A activities as the company continues its rapid growth and expansion in the market. Prior to joining Coveo, Nicholas was a Principal at Elliott Management. He helped to oversee the firm's existing investments, and also identified, evaluated, and executed new acquisition and investment opportunities, including the firm's investment in Coveo in 2018 and 2019. Prior to Evergreen, he was an Associate at Genstar Capital, a private equity firm based in San Francisco. Nicholas received his B.B.A. in Finance from the University of Notre Dame, where he graduated Magna cum Laude. =</t>
  </si>
  <si>
    <t>217722-34P</t>
  </si>
  <si>
    <t>Nicholas Graziano</t>
  </si>
  <si>
    <t>Graziano</t>
  </si>
  <si>
    <t>+1 (813) 857-1888</t>
  </si>
  <si>
    <t>Mr. Nicholas Graziano serves as Partner at 2717 Partners. Mr. Graziano served as a Board Member at Herbalife Nutrition. Mr. Graziano served as Board Member at Occidental Petroleum. On March 25, 2020, Occidental Petroleum Corporation appointed him to Occidental's Board of Directors. He has served as Portfolio Manager of Icahn Capital, the entity through which Carl C. Icahn manages investment funds, since February 2018. He was previously the Founding Partner and Chief Investment Officer of the hedge fund Venetus Partners LP, where he was responsible for portfolio and risk management, along with day-to-day firm management, from June 2015 to August 2017. Before founding Venetus, he was a Partner and Senior Managing Director at the hedge fund Corvex Management LP from December 2010 to March 2015. At Corvex, he played a key role in investment management and analysis, hiring and training of analysts, and risk management. Before Corvex, he was a Portfolio Manager at the hedge fund Omega Advisors, Inc., where he managed a proprietary equity portfolio and made investment recommendations, from September 2009 until December 2010. Before Omega, he served as a Managing Director and Head of Special Situations Equity at the hedge fund Sandell Asset Management, where he helped build and lead the special situations team responsible for managing a portfolio of concentrated equity and activist investments, from July 2006 to July 2009. He has served as a board member of Herbalife Ltd., a nutrition company, since April 2018. He previously served on the Board of Directors of each of Fair Isaac Corporation (FICO) from February 2008 to May 2013; WCI Communities Inc. from August 2007 to August 2009; and InfoSpace Inc. from May 2007 to October 2008. Carl C. Sandell Asset Management had non-controlling interests in FICO and InfoSpace through the ownership of securities. He completed a five-year undergraduate/MBA program at Duke University earning a BA in Economics and an MBA from The Fuqua School of Business.</t>
  </si>
  <si>
    <t>444835-18P</t>
  </si>
  <si>
    <t>Nicholas Lavacca</t>
  </si>
  <si>
    <t>Scientific Industries</t>
  </si>
  <si>
    <t>Lavacca</t>
  </si>
  <si>
    <t>www.scientificindustries.com</t>
  </si>
  <si>
    <t>+1 (631) 567-4700</t>
  </si>
  <si>
    <t>nlavacca@scientificindustries.com</t>
  </si>
  <si>
    <t>Bohemia, NY</t>
  </si>
  <si>
    <t>80 Orville Drive</t>
  </si>
  <si>
    <t>Suite 102</t>
  </si>
  <si>
    <t>Bohemia</t>
  </si>
  <si>
    <t>11716</t>
  </si>
  <si>
    <t>+1 (631) 567-5896</t>
  </si>
  <si>
    <t>Mr. Nicholas Lavacca serves as Chief Financial Officer at Scientific Industries. He brings a wealth of experience to the role, with over three decades in financial accounting and management across both private and public companies. Before joining Scientific Industries, he served as Senior Vice President of Accounting and Treasury at Innovid Corp., a publicly traded ad tech firm, from January 2022 to March 2025. His career also includes time as Vice President Controller for Horizon Media and various financial positions at Omnicom Group (NYSE:OMC), The New York Times (NYSE:NYT) Company, and Deloitte.</t>
  </si>
  <si>
    <t>450692-74P</t>
  </si>
  <si>
    <t>Nicholas Zangler</t>
  </si>
  <si>
    <t>Viant Technology</t>
  </si>
  <si>
    <t>Zangler</t>
  </si>
  <si>
    <t>www.viantinc.com</t>
  </si>
  <si>
    <t>+1 (949) 861-8888</t>
  </si>
  <si>
    <t>nzangler@viantinc.com</t>
  </si>
  <si>
    <t>Irvine, CA</t>
  </si>
  <si>
    <t>2722 Michelson Drive</t>
  </si>
  <si>
    <t>Irvine</t>
  </si>
  <si>
    <t>92612</t>
  </si>
  <si>
    <t>+1 (949) 861-8990</t>
  </si>
  <si>
    <t>Mr. Nicholas Zangler serves as Vice President of Investor Relations at Viant Technology. He will lead the company's investor relations strategy He brings over 15 years of relevant experience in sell-side equity research and investor relations across AdTech, media, specialty retail and healthcare industries. Most recently, he was an equity research analyst at Stephens Inc. responsible for Technology, Media and Telecom (TMT) coverage, which notably included several companies across the AdTech bid stream and the CTV landscape. Prior to his time at Stephens Inc., he held a leadership role at Walgreens Boots Alliance as part of the company's Investor Relations team. He is a CFA charterholder with a Bachelor of Science in Finance from Northern Illinois University.</t>
  </si>
  <si>
    <t>71159-41P</t>
  </si>
  <si>
    <t>Nicole Dinion</t>
  </si>
  <si>
    <t>Ericsson</t>
  </si>
  <si>
    <t>Dinion</t>
  </si>
  <si>
    <t>Nicole</t>
  </si>
  <si>
    <t>www.ericsson.com</t>
  </si>
  <si>
    <t>Executive, Business Development</t>
  </si>
  <si>
    <t>+46 (0)10 719 00 00</t>
  </si>
  <si>
    <t>nicole.dinion@ericsson.com</t>
  </si>
  <si>
    <t>Torshamnsgatan 21</t>
  </si>
  <si>
    <t>164 83</t>
  </si>
  <si>
    <t>Ms. Nicole Dinion serves as Executive, Business Development at Ericsson. Ms. Nicole Dinion served as Researcher at Ericsson. Prior to joining the Garage, Nicole was a manager with a business strategy consulting firm, inCode consulting, focused on the ICT sector. She graduated as an Echols Scholar from the University of Virginia with a Physics B.S. and an English B.A. At Virginia, she served on her residential governance board and volunteered as an EMT. She also spent many years on the USA national rowing team, where she set a world record for the 500m erg and earned a bronze medal at the World Championships. At inCode, Nicole developed a wide gambit of consulting skills ranging from market research to management of client relationships, project teams and deliverables. Today, she is driving adoption of fluid workforce and minimum viable business models in the Ericsson Garage - with the ultimate ambition of enhancing the funnel of new, sustainable, business viable solutions. She is also the driver of a project known as MicroWeather. MicroWeather is a new solution co-developed by Ericsson Research and SMHI to provide real-time rainfall with extremely granular time and spatial resolution. Her ambition is to bring this technology to markets across the world to address the numerous challenges caused by changing weather patterns and increased flood.</t>
  </si>
  <si>
    <t>438394-24P</t>
  </si>
  <si>
    <t>Nigel Hearne</t>
  </si>
  <si>
    <t>Hearne</t>
  </si>
  <si>
    <t>Nigel</t>
  </si>
  <si>
    <t>nigel.hearne@harbourenergy.com</t>
  </si>
  <si>
    <t>Mr. Nigel Hearne serves as Chief Operating Officer at Harbour Energy. As COO of Harbour Energy, He is accountable for safe and responsible business delivery across Harbour's seven Business Units in Norway, Germany, UK, MENA, South East Asia, Argentina and Mexico. He is a highly experienced oil and gas executive, with over three decades of experience, working on three continents, in upstream and downstream operations. Immediately prior to joining Harbour Energy, He was executive vice president, Oil, Products and Gas at Chevron responsible for Chevron's international upstream, downstream and midstream operations and investment program. During his 35-year career at Chevron, he led several businesses including Chevron's Australia LNG Assets, it's EurAsia E&amp;P business, and refineries in California. He has experience in a wide range of operational, strategic, capital project and management roles in both the upstream and downstream sectors. He began his career at Texaco as a facilities engineer at a refinery in Pembroke, Wales. An engineer by training, he has a BSc in mechanical engineering from the University of Sussex and an MSc in engineering management from the University of Glamorgan.</t>
  </si>
  <si>
    <t>90658-36P</t>
  </si>
  <si>
    <t>Niharika Khanna</t>
  </si>
  <si>
    <t>Serco Group (Former)</t>
  </si>
  <si>
    <t>Niharika</t>
  </si>
  <si>
    <t>www.serco.com</t>
  </si>
  <si>
    <t>Chairman, Serco Embrace (multicultural ERG)</t>
  </si>
  <si>
    <t>Ms. Niharika Khanna served as Chairman, Serco Embrace (multicultural ERG) at Serco Group. She served as Manager, Group Operations at Serco Group. Previously, she served as a Summer Intern, Capital Markets Group at DBS Bank.</t>
  </si>
  <si>
    <t>145890-10P</t>
  </si>
  <si>
    <t>Nir Blatman</t>
  </si>
  <si>
    <t>Blatman</t>
  </si>
  <si>
    <t>Nir</t>
  </si>
  <si>
    <t>Senior Analyst, Business Development and Mergers &amp; Acquisition</t>
  </si>
  <si>
    <t>Mr. Nir Blatman served as Senior Analyst, Business Development and Mergers &amp; Acquisition at Playtech. Previously, he served as a Operations &amp; CRM Manager, Online Marketing and Monetization Specialist at Playtika.</t>
  </si>
  <si>
    <t>153894-52P</t>
  </si>
  <si>
    <t>Norman Jetmundsen Jr.</t>
  </si>
  <si>
    <t>Jetmundsen</t>
  </si>
  <si>
    <t>Norman</t>
  </si>
  <si>
    <t>Vice President &amp; Associate General Counsel</t>
  </si>
  <si>
    <t>Mr. Norman Jetmundsen served as Vice President &amp; Associate General Counsel at Vulcan Materials Company. Mr. Jetmundsen joined Vulcan after a twenty-year career with Bradley, Arant, Rose &amp; White, where he was a partner. Mr. Jetmundsen earned his undergraduate degree in English literature from the University of the South and has a law degree from the University of Alabama School of Law. He also completed a M. Litt. degree at Magdalen College, Oxford. Mr. Jetmundsen is a member of the National Stone, Sand &amp; Gravel Association (NSSGA), and he serves on the Council of Counsel, as well as the Legal Task Force. He is also a member of the Alabama and American Bar Associations, the Alabama Defense Lawyers Association (ADLA), Defense Research Institute (DRI), International Association of Defense Counsel (IADC), and the Product Liability Advisory Counsel (PLAC).</t>
  </si>
  <si>
    <t>41154-04P</t>
  </si>
  <si>
    <t>O. B. Grayson Hall Jr.</t>
  </si>
  <si>
    <t>Hall</t>
  </si>
  <si>
    <t>O. B. Grayson</t>
  </si>
  <si>
    <t>Chairman of the Finance Committee &amp; Member of the Governance and Board of Directors</t>
  </si>
  <si>
    <t>Mr. O. B. Grayson Hall serves as Chairman of the Finance Committee and Member of the Governance and Board of Directors at Vulcan Materials Company. He served as Board Member at Zep.</t>
  </si>
  <si>
    <t>93998-53P</t>
  </si>
  <si>
    <t>Oleg Deripaska</t>
  </si>
  <si>
    <t>Deripaska</t>
  </si>
  <si>
    <t>Oleg</t>
  </si>
  <si>
    <t>Co-Owner &amp; Board Member</t>
  </si>
  <si>
    <t>olegvz@enplus.ru</t>
  </si>
  <si>
    <t>Mr. Oleg Deripaska is a Co-Owner and serves as Board Member at En+ Group. He was a Co-Owner of United Rusal. Since January 2009 Oleg Deripaska was Chief Executive Officer and Board Member of United Rusal. He served President at Rusal. as In 1997, Mr Deripaska, then Director General of the Sayanogorsk aluminium smelter, created Russia's first vertically integrated company - Siberian Aluminium (in 2001 renamed Basic Element) that later incorporated a number of Russia's leading aluminium production facilities. In 2000, Siberian Aluminium became one of the world's top ten aluminium producers. Between 2000 and 2003, Mr Deripaska was Director General of RUSAL, which was created through the merger of Siberian Aluminium and Sibneft's aluminium and alumina assets. In 2007, Russia's RUSAL and SUAL and Swiss Glencore merged to create United Company RUSAL, the world's largest producer of aluminium. In 2009, the year of global economic recession, Oleg Deripaska once again stepped in to head up RUSAL. Mr Deripaska graduated Summa Cum Laude from the Physics Department of Moscow State University and later received a degree from the Plekhanov Academy of Economics. Oleg Deripaska is Vice President of the Russian Union of Industrialists and Entrepreneurs, Chairman of the Executive Board of the Russian National Committee and a member of the Competitiveness and Entrepreneurship Council which is a Russian Government Agency. He also serves on the Boards of Trustees of the National Science Support Foundation, the Bolshoi Theatre and the Schools of Business Administration of the Moscow and St. Petersburg State Universities. In 2004, Russia's President Vladimir Putin appointed Oleg Deripaska as Russia's Representative in the Asia-Pacific Economic Cooperation Business Advisory Council. In 2007, he was appointed Chairman of the Council's Branch in Russia. In 1999, Mr Deripaska was awarded with the Order of Friendship. In 1999, 2006 and 2007 he was named "Businessman of the Year" by the Russian leading business daily Vedomosti. He was also named the Industry Ambassador of the Year at 2013 Metal Bulletin Global Aluminium Award for Excellence. Oleg Deripaska personally initiated construction of the Centre for epidemic and microbiological research and treatment in the Guinean Kindia province. The Centre was designed and constructed by RUSAL specialists with the assistance of Rospotrebnadzor scientists (RUSAL has invested $10m). RUSAL is a significant player in the bauxite and alumina industry in Guinea and one of the country's largest private sector investors. RUSAL has become the world's first public company to implement a major construction project aimed at fighting the spread of the Ebola virus. Today, thanks to the effective efforts of the international community, including Russia, the EVD has been contained and ongoing risk mitigated. He is also an Angel Investor.</t>
  </si>
  <si>
    <t>15681-07P</t>
  </si>
  <si>
    <t>Oscar Iglesias</t>
  </si>
  <si>
    <t>Codere Online Luxembourg</t>
  </si>
  <si>
    <t>Iglesias</t>
  </si>
  <si>
    <t>Oscar</t>
  </si>
  <si>
    <t>www.codereonline.com</t>
  </si>
  <si>
    <t>+34 93 252 0818</t>
  </si>
  <si>
    <t>Avenue Bruselas, 26</t>
  </si>
  <si>
    <t>28108</t>
  </si>
  <si>
    <t>Following consummation of the Business Combination, it is expected that Mr. Oscar Iglesias will serve as the Chief Financial Officer of Holdco. Mr. Iglesias currently serves as a member of the Holdco Board. Mr. Iglesias has served since 2015 as Deputy CFO of Codere Group and, since 2017, as Director of Corporate Development. Mr. Iglesias has served as officer and as a member of the board of directors of multiple subsidiaries of the Codere Group and, following consummation of the Business Combination, expects to continue to serve as a member of the board of directors of CCJV S.A.P.I. de C.V. and HR Mexico City Project Co. S.A.P.I. de C.V., two subsidiaries of the Codere Group. His previous experience includes CFO and Head of Corporate Development for Franklyn Hotels &amp; Resorts (Barcelona), principal with the private equity group WL Ross &amp; Co. LLC (New York), and roles within the investment banking and equity research departments of Bear, Stearns &amp; Co. Inc. (New York). Mr. Iglesias graduated from the McIntire School of Commerce at the University of Virginia and has an MBA from Columbia Business School. Oscar is a citizen of both the United States and Spain.</t>
  </si>
  <si>
    <t>174359-44P</t>
  </si>
  <si>
    <t>Owen Job</t>
  </si>
  <si>
    <t>GAM Investments (Former)</t>
  </si>
  <si>
    <t>Job</t>
  </si>
  <si>
    <t>Owen</t>
  </si>
  <si>
    <t>www.gam.com</t>
  </si>
  <si>
    <t>Investment Manager</t>
  </si>
  <si>
    <t>Mr. Owen Job served as Investment Manager at GAM Holding. He served on the absolute return fixed income team. He has particular focus on macro themes. Mr. Job has more than 12 years of experience in investment management, particularly within the macro strategy space. He was most recently a Senior Analyst with Soros Fund Management, and was previously a Strategist with Brevan Howard from 2013-2015.</t>
  </si>
  <si>
    <t>92158-03P</t>
  </si>
  <si>
    <t>Pam Kaufman</t>
  </si>
  <si>
    <t>Paramount Skydance</t>
  </si>
  <si>
    <t>Pam</t>
  </si>
  <si>
    <t>www.paramount.com</t>
  </si>
  <si>
    <t>President &amp; Chief Executive Officer of International Markets, Global Consumer Products &amp; Experiences</t>
  </si>
  <si>
    <t>pam_kaufman@ir.paramount.com</t>
  </si>
  <si>
    <t>1515 Broadway</t>
  </si>
  <si>
    <t>10036</t>
  </si>
  <si>
    <t>Ms. Pam Kaufman serves as President and Chief Executive Officer of International Markets, Global Consumer Products and Experiences at Paramount Skydance. She also served as President, Consumer Products &amp; Chief Marketing Officer at Nickelodeon. She is responsible for leading the continued globalization of Paramount's operations, driving growth of the company's international business which includes an expansive streaming portfolio, free-to-air broadcast networks in four countries, and an extensive suite of iconic brands including Nickelodeon and MTV. Under her leadership, the company has expanded Paramount+ globally, with the service now streaming in 45 markets, and has continued to expand Pluto TV, which is live in more than 35 territories. She also oversees the Global Consumer Products and Experiences organization, representing well over $6 billion in worldwide retail revenue. The organization covers a diverse slate of franchises, brands, and content from across the Paramount portfolio including Mean Girls, PAW Patrol, South Park, SpongeBob SquarePants, Star Trek, Teenage Mutant Ninja Turtles, Top Gun, and Yellowstone, among others. Her oversight includes worldwide product merchandising and licensing as well as business development, marketing, franchise planning, creative strategy, retail sales and consumer insights. In addition, her purview includes key brand extensions like Gaming, Themed Entertainment including live tours, theme parks, and hotels, including the award-winning Nickelodeon Hotels &amp; Resorts in Riviera Maya and Punta Cana. Under her leadership, the Paramount Consumer Products team established a Diversity, Equity &amp; Inclusion initiative, focusing on People &amp; Culture, to build meaningful connections and start brave conversations across our partnerships, products, and the industry as a whole. She also launched Paramount's Impact Series, an ongoing initiative to better equip employees with the tools they need to support gender equity in the workplace and beyond. She is the Executive Sponsor of Paramount's Women+ Employee Resource Group (ERG), where she champions women and allies of all levels across the company, by serving as a liaison between this group and the company's Senior Leadership Team to scale inclusivity efforts across the organization. She is a member of the Board of Directors of the Rock and Roll Hall of Fame Foundation, and joined the board of Stella McCartney Ltd. in 2022 and Lindblad Expeditions Holdings, Inc. in 2024. 
 Most recently, She was inducted into the Licensing International Hall of Fame in 2023 and landed on the Variety Dealmakers Impact Report in 2022. She has received many other awards and accolades throughout her career, including the Wonder Women Mentorship Award from Women in Toys in 2019. She earned her Bachelor of Arts in Public Communication from The American University in Washington D.C.</t>
  </si>
  <si>
    <t>436294-09P</t>
  </si>
  <si>
    <t>Pamala Kaufman</t>
  </si>
  <si>
    <t>Lindblad Expeditions Holdings</t>
  </si>
  <si>
    <t>Pamala</t>
  </si>
  <si>
    <t>world.expeditions.com</t>
  </si>
  <si>
    <t>+1 (212) 261-9000</t>
  </si>
  <si>
    <t>96 Morton Street</t>
  </si>
  <si>
    <t>9th Floor</t>
  </si>
  <si>
    <t>10014</t>
  </si>
  <si>
    <t>Pamela O. Kaufman has served as a Director since March 2024. Ms. Kaufman currently serves as the President and Chief Executive Officer of International Markets, Global Consumer Products &amp; Experiences for Paramount, one of the world's largest entertainment companies, since 2022. Ms. Kaufman is responsible for leading the continued globalization of Paramount's operations, driving growth of the company's international business which includes an expansive streaming portfolio, free-to-air broadcast networks in four countries, and an extensive suite of iconic brands including Nickelodeon and MTV. Under Ms. Kaufman's leadership, the company has expanded Paramount+ globally, with the service now streaming in 45 markets, and has continued to expand Pluto TV, which is live in more than 35 territories. Ms. Kaufman also oversees the Global Consumer Products and Experiences organization, representing well over $6 billion in worldwide retail revenue. The organization covers a diverse slate of franchises, brands, and content from across the Paramount portfolio including Mean Girls, PAW Patrol, South Park, SpongeBob SquarePants, Star Trek, Teenage Mutant Ninja Turtles, Top Gun, and Yellowstone, among others. Ms. Kaufman's oversight includes worldwide product merchandising and licensing as well as business development, marketing, franchise planning, creative strategy, retail sales and consumer insights. In addition, Ms. Kaufman's purview includes key brand extensions like Gaming, Themed Entertainment including live tours, theme parks, and hotels, including the award-winning Nickelodeon Hotels &amp; Resorts in Riviera Maya and Punta Cana. Under Ms. Kaufman's leadership, the Paramount Consumer Products team established a Diversity, Equity &amp; Inclusion initiative, focusing on People &amp; Culture, to build meaningful connections and start brave conversations across Paramount's partnerships, products, and the industry as a whole. She also launched Paramount's Impact Series, an ongoing initiative to better equip employees with the tools they need to support gender equity in the workplace and beyond. Ms. Kaufman is the Executive Sponsor of Paramount's Women+ Employee Resource Group (ERG), where she champions women and allies of all levels across the company, by serving as a liaison between this group and the company's Senior Leadership Team to scale inclusivity efforts across the organization. Ms. Kaufman is a member of the Board of Directors of the Rock and Roll Hall of Fame Foundation, and, as a passionate advocate for women and families, serves on the board of the Pace Women's Justice Center. Ms. Kaufman also joined the board of Stella McCartney Ltd. in 2022. Most recently, Ms. Kaufman was inducted into the Licensing International Hall of Fame in 2023 and landed on the Variety Dealmakers Impact Report in 2022. She has received many other awards and accolades throughout her career, including the Wonder Women Mentorship Award from Women in Toys in 2019. Ms. Kaufman earned her Bachelor of Arts in Public Communication from The American University in Washington D.C. In addition, she was awarded an Honorary Doctorate of Humanities in 2019, when she delivered the Commencement address for The American University School of Communications.</t>
  </si>
  <si>
    <t>145890-82P</t>
  </si>
  <si>
    <t>Paolo Casalini</t>
  </si>
  <si>
    <t>Casalini</t>
  </si>
  <si>
    <t>Paolo</t>
  </si>
  <si>
    <t>Head of Finance &amp; Group Risk Management</t>
  </si>
  <si>
    <t>paolo@erg.eu</t>
  </si>
  <si>
    <t>Mr. Paolo Casalini serves as Head of Finance &amp; Group Risk Management at ERG.</t>
  </si>
  <si>
    <t>130910-95P</t>
  </si>
  <si>
    <t>Paolo Merli</t>
  </si>
  <si>
    <t>Merli</t>
  </si>
  <si>
    <t>paolo.merli@erg.eu</t>
  </si>
  <si>
    <t>Mr. Paolo Merli serves as Chief Executive Officer at ERG. Early he served as Corporate General Manager and Chief Financial Officer at ERG. He graduated in Electrical Engineering from the University of Pavia in March 1996. After doing his national service at the Italian Red Cross, in the year 1997/1998 he was awarded an MBA in Finance from the Eni "Scuola Superiore Enrico Mattei". He joined ERG Group in September 2006 where he is currently Chief Financial Officer: reporting directly to the CEO, he is in charge of the Group Administration, Finance, Merger&amp;Acquisition, Procurement, Planning, Control &amp; Reporting, Group Risk Management &amp; Corporate Finance, Investor Relations. At present he's member of the Board of Directors of ERG Power Generation S.p.A.and TotalErg S.p.A. besides being Secretary of the Strategic Committee and member of other internal committees such as Management Committee, Investment Committee, Risk Committee and Human Capital Committee. As from 2014 he is the Manager Responsible for preparing the Company's financial reports. He previously worked for around 7 years as a financial analyst responsible for the European Energy sector at Intermonte, a leading brokerage firm owned by the Monte dei Paschi Banking Group. At Intermonte he was also a "specialist" in ERG stock when ERG joined the STAR segment. From 1998 to 2000 he worked in the sales department at Snam S.p.A. (current Gas &amp; Power division of Eni Group). In 1996 he carried out an internship at Eneco Consulting, an engineering company specialized in the energy sector.</t>
  </si>
  <si>
    <t>118769-86P</t>
  </si>
  <si>
    <t>Parag Garg</t>
  </si>
  <si>
    <t>CNH Industrial (Former)</t>
  </si>
  <si>
    <t>Garg</t>
  </si>
  <si>
    <t>Parag</t>
  </si>
  <si>
    <t>www.cnh.com</t>
  </si>
  <si>
    <t>Chief Digital Product Officer</t>
  </si>
  <si>
    <t>parag.garg@cnhind.com</t>
  </si>
  <si>
    <t>Mr. Parag Garg serves as Chief Digital Product Officer at CNH Industrial. He has over 20 years of experience in digital products, technology and strategy, gained in roles of increasing importance across a range of sectors including consumer products, telecommunications, online retail and technology companies, together with experience in establishing successful digital technology start-ups. He was appointed as Vice President Product and Technology for T-Mobile in 2017, a position he held until 2021, where he was responsible for product management for the consumer wireless business for all network, value added services, Consumer Internet of Things (IoT) and Partner Products. In 2014 he joined Sears Holdings, the parent company of US chain stores Kmart and Sears, as Vice President and General Manager, Connected Solutions. During his tenure he led the Connected Home and Internet of Things Product and Strategy, and established the Sears Seattle Tech Office. In 2013 he was appointed as Executive Technology Advisor to Paul Allen, the American business magnate, investor and philanthropist, responsible for supporting Mr. Allen's personal and professional interests including investments, museums, sports teams and more. From 2011 - 2013 he served as Product Architect, Digital Products Group at Amazon, where he established the Amazon Fire TV platform, developed product opportunities for the Digital Products Group and had mergers and acquisitions responsibilities that led to the formation of the Alexa team. In 2006 he joined Microsoft Corporation, assuming roles of increasing importance, and was responsible for working on products such as Microsoft Automotive, Windows Embedded, and the XBOX Platform. He started his career by establishing Airwave Communications as its CEO and Lead Engineer in 1999. Focused on manufacturing telematics, video integration and electronics for automotive applications, the Company's products were commercialized for BMW and Porsche and distributed worldwide. He holds a Bachelor of Arts degree in Business Management and Entrepreneurship from the University of Minnesota, USA. He is the holder of more than 20 US patents across a range of companies and industries.</t>
  </si>
  <si>
    <t>379729-63P</t>
  </si>
  <si>
    <t>Pardeep Markanday</t>
  </si>
  <si>
    <t>Markanday</t>
  </si>
  <si>
    <t>Pardeep</t>
  </si>
  <si>
    <t>Chief Executive Officer- Growth &amp; Projects</t>
  </si>
  <si>
    <t>pardeepmarkanday@tridentindia.com</t>
  </si>
  <si>
    <t>Mr. Pardeep Markanday serves as Chief Executive Officer- Growth &amp; Projects at Trident Group. He is a distinguished figure in the International Home Textiles market. Under his leadership, the home textiles division of Trident Group has earned a unique &amp; enviable position in the global market. Today, Trident Group is among the top Terry Towel manufacturers of the world and is serving top retailers of the world. He has worked in different business verticals like supply chain, projects, operations, sales, marketing and strategy and is currently spearheading the growth and strategy department. He served as Chief Operating Officer at Trident Group.</t>
  </si>
  <si>
    <t>141213-43P</t>
  </si>
  <si>
    <t>Patrick Laracy</t>
  </si>
  <si>
    <t>Laracy</t>
  </si>
  <si>
    <t>Patrick</t>
  </si>
  <si>
    <t>President, Chief Executive Officer and Board Member</t>
  </si>
  <si>
    <t>laracy@vulcanminerals.ca</t>
  </si>
  <si>
    <t>Mr. Patrick Laracy serves as Interim Chief Executive Officer at Atlas Salt he served as President, Chief Executive Officer and Board Member at Vulcan Minerals.</t>
  </si>
  <si>
    <t>114375-07P</t>
  </si>
  <si>
    <t>Paul Allen</t>
  </si>
  <si>
    <t>Admiral Group (Former)</t>
  </si>
  <si>
    <t>Paul</t>
  </si>
  <si>
    <t>www.admiralgroup.co.uk</t>
  </si>
  <si>
    <t>Mr. Paul Allen served as Managing Director at Admiral Group. He has over 20 years experience in sales, including 5 years in sales for Case Construction and 13 years at the Admiral Group as Sales Director and Managing Director of Voice &amp; IT services delivering Telephony, IT infrastructure &amp; Network services. A keen supporter of Arsenal, Paul enjoys all sports and keeps fit with regular gym sessions and outdoor pursuits.</t>
  </si>
  <si>
    <t>130702-24P</t>
  </si>
  <si>
    <t>Charter Communications (Former)</t>
  </si>
  <si>
    <t>corporate.charter.com</t>
  </si>
  <si>
    <t>Mr. Paul Allen served as Chairman at Charter Communications.</t>
  </si>
  <si>
    <t>329614-12P</t>
  </si>
  <si>
    <t>EduFocal</t>
  </si>
  <si>
    <t>www.edufocal.com</t>
  </si>
  <si>
    <t>Co-Founder and Chief Technology Officer</t>
  </si>
  <si>
    <t>+1 (876) 784-6717</t>
  </si>
  <si>
    <t>paul@edufocal.com</t>
  </si>
  <si>
    <t>Kingston, Jamaica</t>
  </si>
  <si>
    <t>Unit 6, 29 Munroe Road</t>
  </si>
  <si>
    <t>Kingston 6</t>
  </si>
  <si>
    <t>Kingston</t>
  </si>
  <si>
    <t>Jamaica</t>
  </si>
  <si>
    <t>Mr. Paul Allen is a Co-founder and serves as Chief Technology Officer at EduFocal. Mr. Allen is one of the primary individual contributors to the EduFocal technology platform. Today, he oversees Product and Engineering decisions and works closely with other managers and staff in running the Company day-to-day.Paul has been a member of several technology startup teams in Jamaica and the USA over his fifteen-year career as a software engineer. He has developed expertise in private and public sector roles spanning e-commerce, banking, digital media, marketing, data warehousing and social services. He has mentored many young engineers into thriving careers and is an active member of the local tech startup scene where he takes pride in working with new companies looking to break the mould in the industry. Paul has a Bachelors of Science degree in Management Information Systems from Excelsior Community College and is actively learning Spanish, French, and German. He is also fond of reading math textbooks in his spare time.</t>
  </si>
  <si>
    <t>339088-51P</t>
  </si>
  <si>
    <t>Airship AI Holdings</t>
  </si>
  <si>
    <t>www.airship.ai</t>
  </si>
  <si>
    <t>+1 (704) 798-7973</t>
  </si>
  <si>
    <t>paul@airshipai.com</t>
  </si>
  <si>
    <t>Redmond, WA</t>
  </si>
  <si>
    <t>8210 154th Avenue North East</t>
  </si>
  <si>
    <t>Redmond</t>
  </si>
  <si>
    <t>98052</t>
  </si>
  <si>
    <t>+1 (425) 467-8090</t>
  </si>
  <si>
    <t>Mr. Paul Allen serves as President at Airship AI Holdings.</t>
  </si>
  <si>
    <t>410124-88P</t>
  </si>
  <si>
    <t>Celadon Pharmaceuticals</t>
  </si>
  <si>
    <t>www.celadonpharma.com</t>
  </si>
  <si>
    <t>Co-Founder</t>
  </si>
  <si>
    <t>+44 (0)20 3150 0252</t>
  </si>
  <si>
    <t>paul@celadonpharma.co.uk</t>
  </si>
  <si>
    <t>71-75 Shelton Street</t>
  </si>
  <si>
    <t>WC2H 9JQ</t>
  </si>
  <si>
    <t>Mr. Paul Allen is a Co-Founder at Celadon Pharmaceuticals.</t>
  </si>
  <si>
    <t>84629-44P</t>
  </si>
  <si>
    <t>Paul Appleby</t>
  </si>
  <si>
    <t>Elastic (Database Software) (Former)</t>
  </si>
  <si>
    <t>www.elastic.co</t>
  </si>
  <si>
    <t>President, Worldwide Field Operations</t>
  </si>
  <si>
    <t>Mr. Paul Appleby served as Interim Chief Revenue Officer at Spring Health. He served as President, Worldwide Field Operations at Elasticsearch. He served as Advisor at Kinetica. He is responsible for accelerating Kinetica's growth and furthering the company's international expansion. Paul has over 25 years of experience successfully building and leading global teams for industry brands and startups alike. Paul came to Kinetica from BMC Software, where he was President of Worldwide Sales and Marketing. Prior to BMC, he was the Executive Vice President of Global Sales at Salesforce, and before that, Chief Revenue Officer at C3 IoT. Previously, Paul was Managing Director of EMEA and APJ for Travelex, the world's largest non-bank foreign exchange provider. Prior to Travelex, he held senior executive positions overseeing the Asia Pacific region at both Oracle Corporation and Siebel Corporation. Earlier in his career, Paul served as Chief Executive Officer at Gocorp and Director of both Financial Services and Telecommunications for SAP.</t>
  </si>
  <si>
    <t>55041-22P</t>
  </si>
  <si>
    <t>Paul Hewitt</t>
  </si>
  <si>
    <t>Vanquis Banking Group (Former)</t>
  </si>
  <si>
    <t>www.vanquis.com</t>
  </si>
  <si>
    <t>+44 (0)12 7066 1345</t>
  </si>
  <si>
    <t>paul.hewitt@vanquisbankinggroup.com</t>
  </si>
  <si>
    <t>90 Fetter Lane</t>
  </si>
  <si>
    <t>EC4A 1EN</t>
  </si>
  <si>
    <t>Mr. Paul Hewitt serves as serves as Board Member at Previsico and Amicable. He serves as Board Member at Provident Financial. He serves as Board Member at Optalitix. He is an experienced Chief Financial Officer, Chairman, Non-executive Director, and Audit Committee Chair who operates in a number of different sectors. He serves as Board Member at DrDoctor. He is currently also a non-executive director and Audit Committee chair at Charles Taylor plc and Chairman of Kintell Limited. His past non-executive director roles include chairing audit committees for Tokio Marine, Kiln, NEST Corporation, Tesco Bank, Collins Stewart Hawkpoint, Co-operative Banking Group, and GMT Global Aviation. He is also a past non-executive director of Playtech plc and past chairman of several private equity-backed businesses. He began his executive career in finance working for over 20 years as a finance director of various companies, culminating in becoming Deputy Group Chief Executive and CFO of the Co-operative Group from 2003 to 2007.</t>
  </si>
  <si>
    <t>56972-80P</t>
  </si>
  <si>
    <t>Paul Judge</t>
  </si>
  <si>
    <t>Somnigroup International (Former)</t>
  </si>
  <si>
    <t>Judge</t>
  </si>
  <si>
    <t>somnigroup.com</t>
  </si>
  <si>
    <t>Mr. Paul Judge serves as Board Member at The Abraaj Group. He is an Alderman of the City of London, President of the Chartered Institute of Marketing and of the Association of MBAs, Chairman of Schroder Income Growth Fund, the British-North American Committee, the North American Advisory Council at Chatham House, the Enterprise Education Trust and St Dunstan's College and Deputy Chairman of the American Management Association. He is also a Director of ENRC; Standard Bank Group, Johannesburg, and Tempur-Pedic International Inc., Kentucky, as well as the public bodies of the Higher Education Funding Council for England and the United Kingdom Accreditation Service. He is also a Member of the Advisory Board for Barclays Private Bank. Sir Paul led the buyout of the food interests of Cadbury Schweppes to form Premier Brands and was the key benefactor of the Judge Business School at the University of Cambridge.</t>
  </si>
  <si>
    <t>387427-69P</t>
  </si>
  <si>
    <t>Pernille Mehl</t>
  </si>
  <si>
    <t>TCM Group</t>
  </si>
  <si>
    <t>Mehl</t>
  </si>
  <si>
    <t>Pernille</t>
  </si>
  <si>
    <t>www.tcmgroup.dk</t>
  </si>
  <si>
    <t>+45 9743 5200</t>
  </si>
  <si>
    <t>Holstebro, Denmark</t>
  </si>
  <si>
    <t>Skautrupvej 16, Tvis</t>
  </si>
  <si>
    <t>Holstebro</t>
  </si>
  <si>
    <t>7500</t>
  </si>
  <si>
    <t>Denmark</t>
  </si>
  <si>
    <t>Ms. Pernille Wendel Mehl, Independent Director of the company. Member since: 2023. Pernille Wendel Mehl holds a Grad. Dip. BSC. In Business Administration (HD A), Master of Management Development (MMD) and CBS/ Borsen Executive Board Programme. Other positions: Pernille Wendel Mehl is CEO of Copenhagen Zoo and member of the board of directors of Vetnordic A/S, COOP Danmark A/S, Foreningen DGI Byen, and Nine A/S, and chairman of the board of Dansk Markedsforing.</t>
  </si>
  <si>
    <t>286525-09P</t>
  </si>
  <si>
    <t>Peter Amos</t>
  </si>
  <si>
    <t>Amber Technology (Australia)</t>
  </si>
  <si>
    <t>Amos</t>
  </si>
  <si>
    <t>Peter</t>
  </si>
  <si>
    <t>www.ambertech.com.au</t>
  </si>
  <si>
    <t>+61 (0)2 9998 7600</t>
  </si>
  <si>
    <t>pamos@ambertech.com.au</t>
  </si>
  <si>
    <t>Warriewood, Australia</t>
  </si>
  <si>
    <t>Unit 1/2</t>
  </si>
  <si>
    <t>Daydream Street</t>
  </si>
  <si>
    <t>Warriewood</t>
  </si>
  <si>
    <t>2102</t>
  </si>
  <si>
    <t>+61 (0)2 9999 0770</t>
  </si>
  <si>
    <t>Mr. Peter Amos serves as Managing Director at Amber Technology. He graduated from Sydney Technical College (now University of Technology, Sydney) with a Radio Trade Certificate and from North Sydney Technical College with an Electronics Engineering Certificate. He joined Rank Electronics, the Company from which Ambertech was formed via a management buyout, as a technician in the mid-1970s, rising from Senior Technician to Service Manager. Upon the formation of Ambertech Limited, Mr. Amos became Technical Director of the Ambertech Group. He also served in a senior role as Marketing Director of Quantum Pacific Pty Ltd, another company owned by Ambertech Limited, until it was sold in the mid-1990s. Mr. Amos has served as Managing Director of Ambertech Limited since 1995 and presided over the growth of the Company since that date. Mr. Amos has been a director of Ambertech's Group companies since 1987.</t>
  </si>
  <si>
    <t>36407-35P</t>
  </si>
  <si>
    <t>Peter Bang</t>
  </si>
  <si>
    <t>Solar Group</t>
  </si>
  <si>
    <t>Bang</t>
  </si>
  <si>
    <t>www.solar.eu</t>
  </si>
  <si>
    <t>+1 (212) 999-7074</t>
  </si>
  <si>
    <t>pbang@ergcapitalpartners.com</t>
  </si>
  <si>
    <t>Vejen, Denmark</t>
  </si>
  <si>
    <t>Industrivej Vest 43</t>
  </si>
  <si>
    <t>Vejen</t>
  </si>
  <si>
    <t>6600</t>
  </si>
  <si>
    <t>Mr. Peter Bang serves as Managing Director of M&amp;A at ERG Capital Partners. He is also an Independent Director. Chief Financial Officer of Salling Group Cand.oecon. 1994 from Aarhus University, specialising in business economics and financing. Chair of the board of directors of BIMobject AB. Experience within construction, climate/ energy, sustainability and green transition, digitalisation, organisational development, as well as finance and performance management.</t>
  </si>
  <si>
    <t>36552-34P</t>
  </si>
  <si>
    <t>Peter Loscher</t>
  </si>
  <si>
    <t>Telefónica</t>
  </si>
  <si>
    <t>Loscher</t>
  </si>
  <si>
    <t>www.telefonica.com</t>
  </si>
  <si>
    <t>20 Air Street</t>
  </si>
  <si>
    <t>SoHo</t>
  </si>
  <si>
    <t>W1B 5DL</t>
  </si>
  <si>
    <t>Mr. Peter Loscher serves as Board Member at TelefÃ³nica. Mr. Peter serves as a Member of the Supervisory Board at Philips. He serves as Board Member &amp; Member of the Appointments, Sustainability, Innovation, Technology and Digital Transformation Committees at CaixaBank. He formerly served at Siemens AG. He also serves as Chairman of the Board &amp; Strategy and Sustainability Committee at Sulzer. He also holds the position of the Chairman of the Supervisory Board at Telefonica Deutschland. Mr. Löscher served as Chief Executive Officer &amp; Board Member at Renova Management. In 2014, he became CEO of Swiss Renova, which is part of the empire of Russian oligarch Viktor Vekselberg. Good relations that used extinguishers with Russia always, paid off. As Executive Chairman of Sulzer AG, which is part of the Renova composite, he made 2015 Siemens real trouble. With the knowledge of the former Siemens bosses, Sulzer has a takeover battle for the American oil and gas industry equipment supplier Dresser-Rand triggered. Siemens won and paid the win with 7.6 billion US dollars, but very expensive. What extinguished what happened at Siemens, occurred even at Renova: M AngloHe joined success in April 2016 but is still Executive Chairman of Sulzer today. Last year he became chairman of the Austrian oil company OMV.</t>
  </si>
  <si>
    <t>217849-51P</t>
  </si>
  <si>
    <t>Peter Salvo</t>
  </si>
  <si>
    <t>Salvo</t>
  </si>
  <si>
    <t>Owner &amp; Controller</t>
  </si>
  <si>
    <t>Mr. Peter Salvo is the Owner &amp; serves as Controller at Trident Brands. Effective March 21st, 2014, Peter Salvo was appointed as Controller. Peter Salvo, (Age 59), is a professional accountant with over 25 years of experience in manufacturing, most notably in the automotive industry. He has served in many capacities, most recently as controller and finance manager with MSSC (Meritor Suspension Systems Company) for 14 years. He has also worked for Rockwell International for 11 years as Manager of Financial Analysis. Mr. Salvo has extensive financial management experience and served as a key member of various management teams. His experience includes the development of business operating plans, preparation of sales and profit projections and monitoring of results, preparation of monthly financial statements and variance analysis, cash flow forecasts, standard costing and inventory controls, capital expenditure and cost-benefit analysis, implementation of internal controls, and safeguarding of assets. Mr. Salvo received his CMA designation in 1985 and holds a BComm from McMaster University. He also has a DFA-Distinguished Financial Advisor designation-Tax Services Specialist.</t>
  </si>
  <si>
    <t>202482-64P</t>
  </si>
  <si>
    <t>Peter Wells</t>
  </si>
  <si>
    <t>Mr. Peter Wells serves as Chairman at Vulcan Steel (Industrial Supplies and Parts).</t>
  </si>
  <si>
    <t>228853-27P</t>
  </si>
  <si>
    <t>Peter Williams</t>
  </si>
  <si>
    <t>Finance Director</t>
  </si>
  <si>
    <t>Mr. Peter Williams served as Finance Director at Vulcan Industries (London). Peter qualified as a Chartered Accountant with PWC in 1991 and from 1992 to 1996 was a Corporate Finance Executive with Rea Brothers Limited, specializing in the SME sector. Peter has been Finance Director of a number of AIM companies including Virtual Internet plc, Gaming Corporation plc and Gable Holdings Inc. Prior to joining Vulcan, Peter worked for 5 years as Finance Director (before moving to the role of Managing Director) with Comux UK Limited. Comux operates the TV broadcasting multiplex for local TV in the UK enabling 34 local TV companies and 3 national channels to launch on its network. Peter was instrumental in steering Comux through its infrastructure build and in I, 14.1(d) I, 14.1(c); 14.1(d) 34 securing £25 million grant from the BBC before implementing its longer-term commercial strategy, creating the profitable and sustainable business it is today.</t>
  </si>
  <si>
    <t>50485-69P</t>
  </si>
  <si>
    <t>Phil Kirk</t>
  </si>
  <si>
    <t>Kirk</t>
  </si>
  <si>
    <t>Phil</t>
  </si>
  <si>
    <t>Chief Executive Officer, Europe, Board Member &amp; President</t>
  </si>
  <si>
    <t>pk@harbourenergy.com</t>
  </si>
  <si>
    <t>Mr. Phil Kirk serves as President &amp; Chief Executive Officer and Board Member of Europe at Harbour Energy. Mr. Phil Kirk co-founded and served as Chief Executive Officer and Board Member at Chrysaor Holdings. He qualified as a chartered accountant with Ernst &amp; Young in 1991, before joining Hess in 1996. He served as Head of Internal Audit, in London for two years and then Head of Finance, North West Europe (1998-2002) and finally Portfolio, Planning &amp; Performance Manager before leaving in 2002 to co-found CH4 with Francis Gugen and another colleague from Hess, Mark Routh. He was joing-MD of CH4 until it was sold in 2006 to Venture Production PLC. After working on a number of potential private equity-backed opportunities he founded Chrysaor in 2007.</t>
  </si>
  <si>
    <t>181060-48P</t>
  </si>
  <si>
    <t>Phillip Farmer</t>
  </si>
  <si>
    <t>L3 Harris Technologies (Former)</t>
  </si>
  <si>
    <t>Farmer</t>
  </si>
  <si>
    <t>Phillip</t>
  </si>
  <si>
    <t>www.l3harris.com</t>
  </si>
  <si>
    <t>Mr. Phillip Farmer served as Board Member at Harris (Florida). He joined Harris in 1982 as vice president-general manager of the Government Support Systems Division and was named vice president-Palm Bay Operations, Electronic Systems Sector in 1986 and senior vice president-sector executive in 1988. He was elected president of the Electronic Systems Sector in 1989, executive vice president of Harris in 1991, president and chief operating officer in 1993, and chairman of the board, president and chief executive officer in 1995. Mr. Farmer served as president until July 1, 1999, and was reappointed as president in June 2000. Mr. Farmer was elected to our board in 1993 and is a member of the Executive and Finance Committee and the Investment Committee for the Harris Corporation Retirement Plans. Prior to his employment with Harris, Mr. Farmer held various management and technical positions with General Electric for twenty years. He is also a director of Vulcan Materials Company and serves on the board of governors of both the Aerospace Industries Association and the Manufacturers Alliance. He is also a trustee of the Florida Institute of Technology.</t>
  </si>
  <si>
    <t>353835-28P</t>
  </si>
  <si>
    <t>Phillip Wilding</t>
  </si>
  <si>
    <t>Westgold Resources (Former)</t>
  </si>
  <si>
    <t>Wilding</t>
  </si>
  <si>
    <t>www.westgold.com.au</t>
  </si>
  <si>
    <t>Chief Operating Officer, Operations</t>
  </si>
  <si>
    <t>phillip.wilding@westgold.com.au</t>
  </si>
  <si>
    <t>Mr. Phillip Wilding serves as Chief Operating Officer at Westgold Resources. He is a Mining Engineer (BEng Honours (Mining Engineering)) with over 17 years of experience in the industry. He has been with Westgold Group since 2013 in management positions at Trident, Paddy's Flat and Big Bell, GM for Cue Gold Operations, Group Projects Manager and GM Projects &amp; Sustainability. Prior to this, he worked throughout WA and NSW, gaining experience in a large variety of mining methods for Underground and Open Pit mining.</t>
  </si>
  <si>
    <t>297617-32P</t>
  </si>
  <si>
    <t>Pilar Hermida</t>
  </si>
  <si>
    <t>Hermida</t>
  </si>
  <si>
    <t>Pilar</t>
  </si>
  <si>
    <t>Chief Communications &amp; Sustainability Officer</t>
  </si>
  <si>
    <t>+34 91 211 5588</t>
  </si>
  <si>
    <t>pilar.hermida@diagroup.com</t>
  </si>
  <si>
    <t>Ms. Pilar Hermida serves as Chief Communications &amp; Sustainability Officer at Grupo Dia (Department Stores). Ms. Hermida has a degree in Journalism from the Complutense University of Madrid and completed university studies in Lille (France). Her training includes various scholarships and postgraduate at La Trobe University in Melbourne (Australia), Instituto de Empresa and ISDI. After working as a journalist for TVE or the EFE Agency, for more than 20 years she has promoted the reputation of companies such as Air France, L'Oréal and the European University of Madrid. In the last seven years, she has held the position of Director of Communications for HEINEKEN Spain, coordinating the communication of the corporation and its commercial brands. She currently holds the position of Chief Communications &amp; Sustainability Officer, being responsible for the Communication Area of Dia Group globally and in Spain, from where she will boost the reputation of the Spanish company towards its stakeholders, customers, employees, franchisees, media communication and opinion leaders. In addition, as head of the Group's Sustainability Area, one of his challenges will be to promote the new strategic plan for the next period.</t>
  </si>
  <si>
    <t>282161-89P</t>
  </si>
  <si>
    <t>Pip Greenwood</t>
  </si>
  <si>
    <t>The a2 Milk Company</t>
  </si>
  <si>
    <t>Greenwood</t>
  </si>
  <si>
    <t>Pip</t>
  </si>
  <si>
    <t>www.thea2milkcompany.com</t>
  </si>
  <si>
    <t>+64 (0)29 697 7000</t>
  </si>
  <si>
    <t>Shortland Street</t>
  </si>
  <si>
    <t>PO Box 163</t>
  </si>
  <si>
    <t>1010</t>
  </si>
  <si>
    <t>+64 (0)9 375 5990</t>
  </si>
  <si>
    <t>Pip Greenwood Pip has been a director of the Company since 1 July 2019. She is also Chair of the Nomination Committee and a member of the People and Remuneration Committee. Currently Pip is also a director on the boards of Westpac New Zealand, Spark New Zealand, Fisher &amp; Paykel Healthcare and Vulcan Steel. She was previously a senior partner at law firm Russell McVeagh, where she spent over 10 years on the firm's board including acting as the firm's board Chair and interim CEO. Pip brings extensive commercial and board experience to The a2 Milk Company Board. A leader in the field of corporate law and in the New Zealand business community, she is the recipient of numerous industry awards including being named New Zealand Dealmaker of the Year at the Australasian Law Awards 2018, an accolade she has won five times; and she has twice been recognised as a finalist at the Women of Influence Awards. Pip resides in New Zealand.</t>
  </si>
  <si>
    <t>368684-74P</t>
  </si>
  <si>
    <t>Poh Kiong Tan</t>
  </si>
  <si>
    <t>Tan</t>
  </si>
  <si>
    <t>Poh Kiong</t>
  </si>
  <si>
    <t>Chief Technology Officer, Technology &amp; Board Member</t>
  </si>
  <si>
    <t>Mr. Poh Kiong Tan serves as Chief Technology Officer &amp; Director at Trident Digital Tech. Mr. Tan has more than 9 years of experience in the software industry. Mr. Tan has served as a director and chief executive officer of QZT since 2014. Since January 2014, Mr. Tan has served as a director in S-Cube Pte. Ltd, a Singapore company primarily engaged in development of computer software and provision of technical and management consultancy services, where Mr. Tan was mainly responsible for operations management, quality assurance and software development. Mr. Tan received his bachelor's degree in business information systems and cyber forensics from Murdoch University in Australia in 2014.</t>
  </si>
  <si>
    <t>291062-71P</t>
  </si>
  <si>
    <t>Pradip Shah</t>
  </si>
  <si>
    <t>Bajaj Holdings and Investment</t>
  </si>
  <si>
    <t>Shah</t>
  </si>
  <si>
    <t>Pradip</t>
  </si>
  <si>
    <t>www.bhil.in</t>
  </si>
  <si>
    <t>Pune, India</t>
  </si>
  <si>
    <t>3rd Floor, Panchshil Tech Park</t>
  </si>
  <si>
    <t>Above ICICI Bank, Viman Nagar</t>
  </si>
  <si>
    <t>Pune</t>
  </si>
  <si>
    <t>411014</t>
  </si>
  <si>
    <t>Mr. Pradip P Shah runs lndAsia, a corporate finance, private equity, and investment advisory business. He is also the co-founder of www.Grow-Trees.com, a web-enabled social initiative, and Universal Trustees Private limited. Earlier, lndAsia had a joint venture with AMP of Australia for the private equity business. Prior to that, he helped establish the lndocean Fund in 1994, the first foreign India-dedicated private equity fund, in association with affiliates of Chase Capital Partners and Soros Fund Management. Before starting lndocean, he was the founder Managing Director of CRISIL, India's first and largest credit rating agency. Mr. Shah provided technical assistance and training to Rating Agency Malaysia Berhad and MAALOT. He has been honored with a garden of a hundred trees in his name in Israel. Prior to founding CRISIL, Mr. Shah assisted in founding Housing Development Finance Corporation (HDFC), India's first retail housing finance company, in 1977. He was seconded from ICICI, where he was Project Officer, to start HDFC from where he was seconded to start CRISIL Mr. Shah has also served as a consultant to USAID, the World Bank and the Asian Development Bank. Mr. Shah holds an MBA from Harvard, is a Management Accountant and ranked first in India in the Chartered Accountants' examinations. He has written articles and given talks in India and in Amsterdam, Abu Dhabi, Bahrain, Bangkok, Copenhagen, Hong Kong, Istanbul, Singapore, Kuala Lumpur, Jakarta, Shanghai, Bali, Colombo, Tel Aviv, London, Oslo, Washington, San Francisco, New York, Chicago, Boston, Perth, Melbourne and Sydney on credit rating, housing finance, capital markets, venture capital and other subjects. Mr. Shah is Chairman of Kansai Nerolac Paints, Sonata Software and Director of Pfizer, BASF (India) and Godrej &amp; Boyce amongst other companies. He has been appointed as Member, Banks Board Bureau by the Government of India, was appointed by the government on the Justice Easwar Committee for simplifying direct taxes, serves on the Management Committee of the Indian Merchants' Chamber, was a Director on the Western Region Board of Reserve Bank of India, was the first Chairman of the CII's Financial Sector Committee, and has served as a member of the Finance Commission of the State Government of Gujarat; of the Expert Group on Infrastructure Financing appointed by the Government of India; of the Advisory Board of the Bureau of State Public Enterprises, Government of Maharashtra; of the CII National Task Force on Non-Performing Assets; of the SEBI Committee on Venture Capital; of the SIDBI Working Group on Access to Capital Markets for Small industries; of the Expert Committee, Public Sector Restructuring Program, Government of Gujarat, and of the Gujarat Infrastructure Development Board Task Force on Policy and Implementation. He is also associated with several non-profit organizations as Trustee /Governing Council Member, and co-founded Harvard Business School Association of India.</t>
  </si>
  <si>
    <t>311257-99P</t>
  </si>
  <si>
    <t>R. Cox</t>
  </si>
  <si>
    <t>Terex</t>
  </si>
  <si>
    <t>Cox</t>
  </si>
  <si>
    <t>R.</t>
  </si>
  <si>
    <t>www.terex.com</t>
  </si>
  <si>
    <t>Senior Vice President, Corporate Development</t>
  </si>
  <si>
    <t>+1 (203) 222-7170</t>
  </si>
  <si>
    <t>mark.cox@terex.com</t>
  </si>
  <si>
    <t>45 Glover Avenue</t>
  </si>
  <si>
    <t>06850</t>
  </si>
  <si>
    <t>Mr. R. Cox serves as Senior Vice President, Corporate Development at Terex. He also served as Executive Vice President of Corporate Development at Trinity Industries. He joined Trinity in 2021 as Executive Vice President of Corporate Development bringing more than 25 years of industrial merger and acquisition experience predominantly in the rail industry. Before Trinity he originated the roles of Senior Vice President M&amp;A for the Stone Canyon Rail business of Stone Canyon Industries and of Executive Vice President Corporate Development for Wabtec Corporation and served as the Director of Business Development for Eaton Corporation. In addition, he served in several Investment Banking roles with UBS Warburg, Prudential Securities and Stephens Inc. He holds a Bachelor of Science in Commerce from The McIntire School of Commerce University of Virginia and an MBA from The Darden Graduate School of Business Administration of the University of Virginia.</t>
  </si>
  <si>
    <t>217528-12P</t>
  </si>
  <si>
    <t>Raffaele Zagari</t>
  </si>
  <si>
    <t>Star Bulk Carriers</t>
  </si>
  <si>
    <t>Zagari</t>
  </si>
  <si>
    <t>Raffaele</t>
  </si>
  <si>
    <t>www.starbulk.com</t>
  </si>
  <si>
    <t>+30 210 617 8400</t>
  </si>
  <si>
    <t>Athens, Greece</t>
  </si>
  <si>
    <t>40, Agiou Konstantinou Street</t>
  </si>
  <si>
    <t>Maroussi</t>
  </si>
  <si>
    <t>Athens</t>
  </si>
  <si>
    <t>151 24</t>
  </si>
  <si>
    <t>Greece</t>
  </si>
  <si>
    <t>Mr. Raffaele Zagari has served as director on our board of directors since August 2018. In his career he has developed approximately 25 years' experience in the shipping business. Since 2010, as CEO of Augustea Group Mr Zagari engineered and implemented the expansion and consolidation of the dry bulk business that has led to the incorporation of Augustea Atlantica, and its subsidiaries in Argentina, Singapore, London and Malta (Augustea Group). He has actively promoted the incorporation of CBC, AOM, ABML and ABY, the joint ventures in which Augustea Atlantica is a shareholder. He founded the towage company Augustea Grancolombia in the Santa Marta area in Colombia and he has over the years worked closely with Drummond Coal and Glencore on their logistical/maritime needs for their local coal loading operations which have a combined 60 million tons yearly throughput. During this time he supervised in excess of 50 vessel sale and purchase transactions (both new building and second hand), and more than a dozen long-term ship leases primarily with the support of Japanese conglomerate Mitsui &amp; Co. Since 1997, he has actively led the Chartering Department of Augustea Dry Bulk Division, and directing the other business of the Augustea Group. In 2017, Raffaele was appointed Chairman of Augustea Group Holding SpA, in addition to his role as the Group's CEO. He is also a non-executive director of Steamship Mutual, one of the largest P&amp;I marine insurance, where he also chairs the Underwriting and Reinsurance Committee. Prior to joining Augustea, and for the period 1993-1995, Mr Zagari worked for Blenheim Shipping (a company of the former Scinicariello Augustea Group) during which time he gained extensive experience in the Japanese shipyards, Sumitomo Yokuska and Sanoyas Mitsushima, as assistant site supervisor. In 1996 -1997, he worked at Zodiac Maritime Agencies with the operations department before joining the Augustea Group. Mr Zagari holds a Diploma in Commercial Operation of Shipping at Guldhall University London.</t>
  </si>
  <si>
    <t>359111-17P</t>
  </si>
  <si>
    <t>Raghav Garg</t>
  </si>
  <si>
    <t>Umang Dairies (Former)</t>
  </si>
  <si>
    <t>Raghav</t>
  </si>
  <si>
    <t>www.umangdairies.com</t>
  </si>
  <si>
    <t>Mr. Raghav Garg served as Chief Financial Officer at Umang Dairies. Mr. Garg is a qualified Chartered Accountant from the lnstitute of Chartered Accountants of lndia and a Graduate in Commerce from Punjab University, Chandigarh. He has around 16 years of experience in various areas of finance including accounts, financial planning and analysis, budgeting, costing, working capital management, project monitoring and project funding. Prior to joining the Company, he was associated as Chief Financial Officer of JKPL Packaging Products Limited and Trident Limited for its Home Textiles division.</t>
  </si>
  <si>
    <t>208481-05P</t>
  </si>
  <si>
    <t>Rain Kivisik</t>
  </si>
  <si>
    <t>Kivisik</t>
  </si>
  <si>
    <t>Rain</t>
  </si>
  <si>
    <t>rain.kivisik@playtech.com</t>
  </si>
  <si>
    <t>Mr. Rain Kivisik is a Co-Founder of Playtech. Mr. Kivisik is an Angel Investor.</t>
  </si>
  <si>
    <t>67755-88P</t>
  </si>
  <si>
    <t>Rajat Mehra</t>
  </si>
  <si>
    <t>SAMHI Hotels</t>
  </si>
  <si>
    <t>Mehra</t>
  </si>
  <si>
    <t>Rajat</t>
  </si>
  <si>
    <t>www.samhi.co.in</t>
  </si>
  <si>
    <t>+91 (0)12 4491 0100</t>
  </si>
  <si>
    <t>rajat.mehra@samhi.co.in</t>
  </si>
  <si>
    <t>Gurugram, India</t>
  </si>
  <si>
    <t>14th-Floor Building 10C</t>
  </si>
  <si>
    <t>Cyber City, DLF Cyber City, DLF Phase 2, Sector 24</t>
  </si>
  <si>
    <t>Gurugram</t>
  </si>
  <si>
    <t>Haryana</t>
  </si>
  <si>
    <t>122002</t>
  </si>
  <si>
    <t>Mr. Mehra serves as the Corporate Financial Controller &amp; Chief Financial Officer at SAMHI Hotels. He also serves as Board Member at Ascent Hotels. He has over 14 years of experience in different areas of Finance and Accounting and has worked with international finance service and manufacturing groups, such as GE motors, Fleetcorp India and Trident Group. Prior to joining SAMHI, he was with Religare Enterprise Limited as EVP - Finance. he is a chartered accountant from ICAI (1998) and a post-graduate diploma in Management from IGNOU (1998).</t>
  </si>
  <si>
    <t>318735-91P</t>
  </si>
  <si>
    <t>Rajeev Jain</t>
  </si>
  <si>
    <t>Supriya Lifesciences</t>
  </si>
  <si>
    <t>Rajeev</t>
  </si>
  <si>
    <t>www.supriyalifescience.com</t>
  </si>
  <si>
    <t>+91 (0)22 4033 2727</t>
  </si>
  <si>
    <t>Mumbai, India</t>
  </si>
  <si>
    <t>207/208, Udyog Bhavan, Sonawala Road</t>
  </si>
  <si>
    <t>Goregaon, East</t>
  </si>
  <si>
    <t>Mumbai</t>
  </si>
  <si>
    <t>400063</t>
  </si>
  <si>
    <t>Mr. Rajeev Jain serves as Chief Executive Officer at Supriya Lifesciences. Mr. Jain is a Master of Business Administration (Marketing) from Jivaji University, Gwalior and B Sc (PCB) with distinction. Additionally, he has taken part in business seminars and workshops on corporate transformation in China, Germany, and the Netherlands. He has over 35+ years of rich functional experience in the manufacturing domain of Bulk Drugs, Intermediate and API with a "Safety First, Quality Must and EBIDTA Growth" mindset. He is very skilled and experienced in managing regulations and guidelines, such as those from the USFDA, KFDA, EMA, ANVISA, CDSCO, ISO, PMDA, and IDL CHINA. Throughout his career, he has maintained an impeccable record with reputable companies like Morepen Labs Ltd., Ind Swift Labs, Arch Pharma, Trident Group, Max India (DSM), etc.</t>
  </si>
  <si>
    <t>385886-17P</t>
  </si>
  <si>
    <t>Rajendra Lad</t>
  </si>
  <si>
    <t>Lad</t>
  </si>
  <si>
    <t>Rajendra</t>
  </si>
  <si>
    <t>rajendra.lad@magicuttools.com</t>
  </si>
  <si>
    <t>Mr. Rajendra Lad serves as Chief Financial Officer at Trident Tools.</t>
  </si>
  <si>
    <t>30361-33P</t>
  </si>
  <si>
    <t>Rajesh Sawhney</t>
  </si>
  <si>
    <t>IndiaMART InterMESH</t>
  </si>
  <si>
    <t>Sawhney</t>
  </si>
  <si>
    <t>Rajesh</t>
  </si>
  <si>
    <t>www.indiamart.com</t>
  </si>
  <si>
    <t>+91 (0)12 0677 7777</t>
  </si>
  <si>
    <t>rajesh@gsfindia.com</t>
  </si>
  <si>
    <t>Noida, India</t>
  </si>
  <si>
    <t>6th Floor, Tower 2, Assotech Business Cresterra</t>
  </si>
  <si>
    <t>Plot Number 22, Sector 135</t>
  </si>
  <si>
    <t>Noida</t>
  </si>
  <si>
    <t>Uttar Pradesh</t>
  </si>
  <si>
    <t>201305</t>
  </si>
  <si>
    <t>Mr. Rajesh Sawhney is the Founder &amp; serves as General Partner at GSF India. Mr. Sawhney serves as Board Member at IndiaMART. He is a Co-Founder and serves as Chief Executive Officer and Board Member at InnerChef. He served as an Advisor at Chizel. He serves as an Advisor at HackerEarth. He serves as an Advisor at Zimyo. He is the founder of GSF Superangels Academy. He previously served as a Board Member at Microland. He served as an Advisor at Silversparro. He serves as a Board Member at DailyRounds and ixigo. He is a Co-Founder at Gastrotope. He has made over 20 investments as an active and engaged angel investor, which include Viki (acquired by Rakuten for USD 225M), Little Eye Labs (acquired by Facebook), Mobstac, Pokkt, Silverpush, HackerEarth, Browntape, Overcart, Flinto, and Timesaverz. He hosts and curates the two leading Tech/Startup conferences in Asia: WhereDoWeGoNow in Bangalore and Global Superangels Forum in New Delhi. His journey has been a continuum of re-invention waves. He brought private radio (Times FM) to India in the early nineties, redefining Indian youth culture. He was at the cusp of early Internet culture in India in early 2000, building Indiatimes.com, the most valuable Internet business in India in 2005 (funded by Sequoia). Subsequently, as the founding President of Reliance Entertainment, he was at the center of a massive transformation of the Indian film industry, where he oversaw the corporatization of mom-and-pop Bollywood businesses into a multi-billion dollar industry. He oversaw the biggest investment deal (Dreamworks) between Hollywood and Bollywood. He serves on Neilsoft, Indiamart, Reliance Broadcast Network, Live Media, and Autowale boards. He also advises Trident Capital, a prominent venture firm based in Palo Alto, California. He served as a Board Member at Tushky. He holds an MBA (Master of Business Administration) from the London School of Economics and Political Science. He holds a Degree in Engineering from Delhi University, India &amp; also holds a Degree from Harvard Business School.</t>
  </si>
  <si>
    <t>282299-86P</t>
  </si>
  <si>
    <t>Rajiv Dewan</t>
  </si>
  <si>
    <t>Mrs. Bector's Food Specialties</t>
  </si>
  <si>
    <t>Dewan</t>
  </si>
  <si>
    <t>Rajiv</t>
  </si>
  <si>
    <t>www.bectorfoods.com</t>
  </si>
  <si>
    <t>+91 (0)12 4409 6300</t>
  </si>
  <si>
    <t>Emaar Digital Greens - Tower A</t>
  </si>
  <si>
    <t>First Floor, Unit No. 22-27, Sector 61</t>
  </si>
  <si>
    <t>122102</t>
  </si>
  <si>
    <t>Mr. Rajiv Dewan is a fellow member of the Institute of Chartered Accountants of India and is a practicing Chartered Accountant. He has 37 years of experience in taxation and business restructuring consultancy. He is currently a partner in R. Dewan &amp; Co., Chartered Accountants, Ludhiana. In the past, he has served as a director in various companies, including JSW Vallabh Tinplate Private Limited, Punjab Communications Limited, Trident Aerospace Limited, Trinetra Technologies Limited, Trident Powercom Limited, Trident Brokers Limited, Trident Research Limited and Trident Brands Limited.</t>
  </si>
  <si>
    <t>369096-76P</t>
  </si>
  <si>
    <t>Rajneesh Bhatia</t>
  </si>
  <si>
    <t>Rajneesh</t>
  </si>
  <si>
    <t>Chief Executive Officer - myTrident</t>
  </si>
  <si>
    <t>rajneeshbhatia@tridentindia.com</t>
  </si>
  <si>
    <t>Mr. Rajneesh Bhatia serves as Chief Executive Officer - myTrident at Trident Group.</t>
  </si>
  <si>
    <t>69319-09P</t>
  </si>
  <si>
    <t>Randall Neely</t>
  </si>
  <si>
    <t>Capricorn Energy</t>
  </si>
  <si>
    <t>Neely</t>
  </si>
  <si>
    <t>Randall</t>
  </si>
  <si>
    <t>www.capricornenergy.com</t>
  </si>
  <si>
    <t>+44 (0)13 1475 3000</t>
  </si>
  <si>
    <t>Edinburgh, United Kingdom</t>
  </si>
  <si>
    <t>50 Lothian Road</t>
  </si>
  <si>
    <t>Edinburgh</t>
  </si>
  <si>
    <t>EH3 9BY</t>
  </si>
  <si>
    <t>+44 (0)13 1475 3030</t>
  </si>
  <si>
    <t>Randall Neely has been appointed to the board as Chief Executive Officer with effect from 01st June 2023. Randy has more than 25 years of industry experience in executive and financial roles, including CFO of Zodiac Exploration, CFO of Pearl Exploration &amp; Production and CFO of Trident Exploration. Most recently, he was President and CEO of TransGlobe Energy, an Egypt-focused production and development business with operations in the Eastern and Western Deserts. At TransGlobe Energy Randy led negotiations which resulted in an amended, extended and consolidated Production Sharing Contract with EGPC in Egypt, and ultimately the negotiations which led to the merger between TransGlobe and VAALCO Energy in October 2022. Randy hold designations as a Chartered Public Accountant (CPA) and Chartered Financial Analyst (CFA). Education: Bachelor of Commerce, Accounting, University of Calgary.</t>
  </si>
  <si>
    <t>246621-07P</t>
  </si>
  <si>
    <t>Randall Weisenburger</t>
  </si>
  <si>
    <t>MP Materials</t>
  </si>
  <si>
    <t>Weisenburger</t>
  </si>
  <si>
    <t>www.mpmaterials.com</t>
  </si>
  <si>
    <t>+1 (702) 844-6111</t>
  </si>
  <si>
    <t>rweisenburger@mpmaterials.com</t>
  </si>
  <si>
    <t>Las Vegas, NV</t>
  </si>
  <si>
    <t>1700 South Pavilion Center Drive</t>
  </si>
  <si>
    <t>Eighth Floor</t>
  </si>
  <si>
    <t>Las Vegas</t>
  </si>
  <si>
    <t>Nevada</t>
  </si>
  <si>
    <t>89135</t>
  </si>
  <si>
    <t>Mr. Randall Weisenburger serves as Board Member at MP Materials. Mr. Weisenburger was the Executive Vice President and Chief Financial Officer of Omnicom Group Inc. (NYSE: OMC), a global media, marketing and corporate communications holding company, from 1998 to 2014. In 2015, Mr. Weisenburger formed Mile 26 Capital. Mr. Weisenburger was a founding member of Wasserstein Perella, and, from 1993 to 1998, was President and Chief Executive Officer of the firm's merchant banking subsidiary, Wasserstein &amp; Co. He also held various roles within the firm's portfolio of investment companies including Co-Chairman of Collins &amp; Aikman Corp., CEO of Wickes Manufacturing, Vice Chairman of Maybelline Inc., and Chairman of American Law Media. Before Wasserstein Perella, Mr. Weisenburger was a member of the First Boston Corporation. Mr. Weisenburger currently serves as the Presiding Director and Senior Independent Director of Carnival Corporation (NYSE: CCL), a cruise and vacation company. He is also a director of Valero Energy Corporation (NYSE: VLO), an oil and gas company, and a director of Corsair Gaming Inc. (NASDAQ: CRSR), a computer gaming company. Mr. Weisenburger holds an M.B.A. from the Wharton School of the University of Pennsylvania, where he was named the Henry Ford Scholar, and a B.A. in Finance and Accounting from Virginia Polytechnic Institute and State University (Virginia Tech).</t>
  </si>
  <si>
    <t>69723-37P</t>
  </si>
  <si>
    <t>Randle Reece</t>
  </si>
  <si>
    <t>AMN Healthcare Services</t>
  </si>
  <si>
    <t>Reece</t>
  </si>
  <si>
    <t>Randle</t>
  </si>
  <si>
    <t>www.amnhealthcare.com</t>
  </si>
  <si>
    <t>Vice President of Investor Relations &amp; Strategy</t>
  </si>
  <si>
    <t>+1 (866) 871-8519</t>
  </si>
  <si>
    <t>randle.reece@amnhealthcare.com</t>
  </si>
  <si>
    <t>Coppell, TX</t>
  </si>
  <si>
    <t>2999 Olympus Boulevard</t>
  </si>
  <si>
    <t>Coppell</t>
  </si>
  <si>
    <t>75019</t>
  </si>
  <si>
    <t>Mr. Randle Reece serves as Vice President of Investor Relations &amp; Strategy at AMN Healthcare Services. He served as Vice President &amp; Senior Research Analyst at Avondale Partners. He has 15 years of Wall Street experience on the buy-side, sell-side, and as head of investor relations for a public company. He followed small and midcap stocks on the buy-side at Hoover Investment Management, Waddell &amp; Reed, and Ivy Mackenzie. He began on the sell-side at Stephens Inc., covering business and IT services, and became a senior analyst within nine months. Randy also covered business services at Banc of America Securities (formerly Montgomery) before becoming the Investor Relations Officer of StaffMark, Inc. His investment career was preceded by 11 years in the newspaper business. He graduated from the University of Arkansas, Fayetteville, with a BA in philosophy and political science, and later returned for an MBA in finance. He is a CFA Charterholder.</t>
  </si>
  <si>
    <t>260583-40P</t>
  </si>
  <si>
    <t>Randy Pigg</t>
  </si>
  <si>
    <t>Pigg</t>
  </si>
  <si>
    <t>Randy</t>
  </si>
  <si>
    <t>Chief Accounting Officer, Accounting &amp; Controller, Finance</t>
  </si>
  <si>
    <t>+1 (205) 969-2305</t>
  </si>
  <si>
    <t>rpigg@vulcanmaterials.com</t>
  </si>
  <si>
    <t>Mr. Randy Pigg serves as Vice President &amp; Controller at Vulcan Materials Company. Mr. Pigg joined Vulcan in August 2005 and has held various leadership roles with the Company's accounting and finance departments. In his most recent role, Mr. Pigg served as Vulcan's vice president of accounting. Mr. Pigg earned his master's degree in accounting from the University of Alabama and has a bachelor's degree in accounting from the University of Alabama at Huntsville.</t>
  </si>
  <si>
    <t>143937-82P</t>
  </si>
  <si>
    <t>Raquel Tejon</t>
  </si>
  <si>
    <t>Tejon</t>
  </si>
  <si>
    <t>Raquel</t>
  </si>
  <si>
    <t>Director, Corporate Development</t>
  </si>
  <si>
    <t>Ms. Raquel Tejon served as a Director, Corporate Development at Distribuidora Internacional de Alimentacion. Previously, he served as a Director International Development at Clarel- Dia group.</t>
  </si>
  <si>
    <t>385885-18P</t>
  </si>
  <si>
    <t>Ravi Gupta</t>
  </si>
  <si>
    <t>Ravi</t>
  </si>
  <si>
    <t>Managing Director, Compliance Officer &amp; Executive Director</t>
  </si>
  <si>
    <t>ravi.gupta@magicuttools.com</t>
  </si>
  <si>
    <t>Mr. Ravi Gupta serves as Managing Director, Compliance Officer &amp; Executive Director at Trident Tools.</t>
  </si>
  <si>
    <t>261127-54P</t>
  </si>
  <si>
    <t>Rebecca Grossman-Cohen</t>
  </si>
  <si>
    <t>The New York Times</t>
  </si>
  <si>
    <t>Grossman-Cohen</t>
  </si>
  <si>
    <t>Rebecca</t>
  </si>
  <si>
    <t>www.nytco.com</t>
  </si>
  <si>
    <t>Senior Vice President, Platform Strategy and Partnerships &amp; Chief of Staff to the Chief Executive Officer</t>
  </si>
  <si>
    <t>+1 (800) 698-4637</t>
  </si>
  <si>
    <t>rebecca.grossman-cohen@nytimes.com</t>
  </si>
  <si>
    <t>620 Eighth Avenue</t>
  </si>
  <si>
    <t>10018</t>
  </si>
  <si>
    <t>Ms. Rebecca Grossman-Cohen serves as Senior Vice President, Platform Strategy and Partnerships &amp; Chief of Staff to the Chief Executive Officer at The New York Times. She has been at The Times since 2014 as a leader across various departments, helping to build and accelerate the success of our business. As chief of staff, she runs the office of the C.E.O., enterprise operations, and leads relationships and strategic partnerships with large tech partners. Before her current role, she led digital subscription growth. She is the co-chair of the Black@NYT ERG and previously served as the chair of the Women's Network E.R.G. at The Times. She serves on the executive boards of Digital Content Next and the News/Media Alliance, two media trade associations. Previous to The Times, she was a vice president in various roles at News Corp and executive director of marketing at The New Republic. She has also worked in strategy and fundraising roles for The Associated Press and NPR. She has an M.B.A. from Northwestern University's Kellogg School of Management.</t>
  </si>
  <si>
    <t>368679-43P</t>
  </si>
  <si>
    <t>Renato Pizzolla</t>
  </si>
  <si>
    <t>Infrastructure</t>
  </si>
  <si>
    <t>Pizzolla</t>
  </si>
  <si>
    <t>Renato</t>
  </si>
  <si>
    <t>renato.pizzolla@ifminvestors.com</t>
  </si>
  <si>
    <t>Mr. Renato Pizzolla serves as Investment Director, Infrastructure at IFM Investors. He is responsible for the origination and execution of infrastructure transactions and asset management of existing assets. He joined IFM Investors in its London office in 2015 and moved in 2023 to the newly established Milan office, in Italy. He has been involved in a range of transactions, focusing on transport and energy assets across Europe. He worked on the successful acquisitions of a stake in Vienna Airport (Austria), Mersin Port (Turkey), Aqualia (Spain), and Baltic Hub (Poland). He led the efforts of IFM Investors' investments in Italy, overseeing the successful acquisitions of a controlling stake in Autostrade Lombarde (Brebemi toll road, connecting Milan to Brescia) and SQ Renewables (ERG, leading European renewables platform). He currently serves on the Board of Directors of Autostrade Lombarde, SQ Renewables, and ERG. Before joining IFM Investors, he worked for a few years in an economic consulting firm, The Brattle Group. He holds an MSc in Finance and a BSc in Economics and Finance from Bocconi University in Milan, Italy.</t>
  </si>
  <si>
    <t>247363-84P</t>
  </si>
  <si>
    <t>Renato Sturani</t>
  </si>
  <si>
    <t>Sturani</t>
  </si>
  <si>
    <t>rsturani@erg.it</t>
  </si>
  <si>
    <t>Mr. Renato Sturani serves as Chief Operating Officer at ERG. He can boast over twenty-five years of experience in international electricity companies, mainly in the area of Operations: from October 2013 to November 2020 in BKW AG (Switzerland) where he first held the position of Head of Business Division Renewables &amp; Efficiency and later of Head of Business Unit Hydraulic Power Generation; from July 2002 to October 2013 in ALPIQ AG, Olten (Switzerland) where he first held the position of Head of Business Unit Power Generation Region West (Italy and France) and later of Head of Business Unit Renewable Energy Sources (5 European countries); from January 1993 to July 2002 in ABB Alstom Power in the position of Site Manager, he followed the construction of combined cycles in Malaysia, Thailand, Taiwan and Mexico. He holds a degree in Mechanical Engineering in 1992 from Politecnico di Milano, he obtained an MBA at SDA Bocconi - School of Management in Milan in 2003.</t>
  </si>
  <si>
    <t>202483-09P</t>
  </si>
  <si>
    <t>Rhys Jones</t>
  </si>
  <si>
    <t>Rhys</t>
  </si>
  <si>
    <t>rhys.jones@vulcan.co</t>
  </si>
  <si>
    <t>Rhys Jones joined Vulcan in 2006 as an executive director, and has been Vulcan's Managing Director and Chief Executive Officer since 2011. Prior to Vulcan, Rhys held several management positions within the steel industry (including as an executive of Fletcher EasySteel NZ and General Manager/Chief Executive Officer of Pacific Steel and Wiremakers) and was formerly the Chief Operating Officer of Carter Holt Harvey's Pulp, Paper, Packaging and New Ventures division. Rhys currently serves as a director of Ridley Corporation (ASX: RIC). He was a director of Metro Performance Glass (NZX: MPG; ASX: MPP) until 24 July 2023.</t>
  </si>
  <si>
    <t>237760-66P</t>
  </si>
  <si>
    <t>Ricardo Álvarez</t>
  </si>
  <si>
    <t>Álvarez</t>
  </si>
  <si>
    <t>Ricardo</t>
  </si>
  <si>
    <t>Chief Executive Officer, Spain</t>
  </si>
  <si>
    <t>Mr. Ricardo Álvarez serves as Chief Executive Officer, Spain at DIA Group ( Department Stores).</t>
  </si>
  <si>
    <t>129535-03P</t>
  </si>
  <si>
    <t>Ricardo Currás de Don Pablos</t>
  </si>
  <si>
    <t>Currás de Don Pablos</t>
  </si>
  <si>
    <t>Executive Director &amp; Chief Executive Officer</t>
  </si>
  <si>
    <t>Mr. Ricardo Currás de Don Pablos served as Executive Director &amp; Chief Executive Officer at DIA Group. He holds degree in Mathematical Sciences from the Complutense University of Madrid and Master in Business Administration from the Instituto de Empresa. After a short period at Arthur Andersen, he joined the DIA Group in 1986 as an analyst in management control. In 1991, he joined the Commercial Management as Director of Own Brand. In 1994, he took over as Director of Business Operations and Logistics, and in 1997 he was appointed Commercial Director of the DIA Group. In 2006, he became a member of the Management Committee of the Carrefour Group as Executive Director DIA Spain. In May 2009, he was appointed Executive Director and Chief Executive of the DIA Group and also a member of the Carrefour Group's Executive Committee.</t>
  </si>
  <si>
    <t>14863-33P</t>
  </si>
  <si>
    <t>Richard Carnwath</t>
  </si>
  <si>
    <t>Carnwath</t>
  </si>
  <si>
    <t>Richard</t>
  </si>
  <si>
    <t>VP, Planning &amp; Development</t>
  </si>
  <si>
    <t>Mr. Richard Carnwath served as VP, Planning &amp; Development at Vulcan Materials.</t>
  </si>
  <si>
    <t>86122-45P</t>
  </si>
  <si>
    <t>Richard Massey</t>
  </si>
  <si>
    <t>Austerlitz Acquisition I</t>
  </si>
  <si>
    <t>Massey</t>
  </si>
  <si>
    <t>1701 Village Center Circle</t>
  </si>
  <si>
    <t>89134</t>
  </si>
  <si>
    <t>Mr. Richard Massey serves as Vice Chairman &amp; Board Member at Cannae Holdings. Mr. Massey served as Chief Executive Officer &amp; Board Member at Foley Trasimene Acquisition. He serves as Chief Executive Officer and Board Member at Austerlitz Acquisition II. He served as Chief Executive Officer and Board Member at Austerlitz Acquisition I. In addition, he served as a Senior Managing Director of Trasimene Capital and Chief Executive Officer of Cannae Holdings. Previously, he served as the Chairman and principal shareholder of Bear State Financial, Inc. Prior to that, he was a partner in Westrock Capital, LLC, a private investment partnership. Prior to that, he was Chief Strategy Officer and General Counsel of Alltel Corporation and served as a Managing Director of Stephens Inc., a private investment bank, during which time his financial advisory practice focused on software and information technology companies, and he formerly served as a director of FIS. He formerly served as a director of FIS and Chairman of Bear State Financial, Inc.</t>
  </si>
  <si>
    <t>446231-35P</t>
  </si>
  <si>
    <t>Jena Acquisition II</t>
  </si>
  <si>
    <t>Co Founder, Chief Executive Officer &amp; Director</t>
  </si>
  <si>
    <t>+1 (702) 323-7330</t>
  </si>
  <si>
    <t>Mr. Richard Massey is the as Co Founder and serves as Chief Executive Officer &amp; Director at Jena Acquisition II. He previously served as Chief Executive Officer of Cannae Holdings until February 2024. From March 2020 to July 2021, Mr. Massey served as Chief Executive Officer and a Director of Foley Trasimene I, and from January 2021 to December 2022 served as Chief Executive Officer and a Director of Austerlitz I and Austerlitz II, and previously served as Chief Executive Officer and as a director of Foley Trasimene II from July 2020 until March 2021. Mr. Massey served as the Chairman and principal shareholder of Bear State Financial, Inc., a publicly traded financial institution, and the parent company of Bear State Bank, from 2011 until April 2018. Mr. Massey previously served on Cannae Holdings' board of directors from June 2018 until June 2024 and on Black Knight's board of directors from December 2014 until July 2020 and as a director of FNF from February 2006 until January 2021. Mr. Massey currently serves as a director of Dunn and Bradstreet and Alight. Mr. Massey was Chief Strategy Officer and General Counsel of Alltel Corporation until its sale to Verizon and served as a Managing Director of Stephens Inc., a private investment bank, during which time his financial advisory practice focused on software and information technology companies, and he formerly served as a director of FIS and FGL Holdings. Mr. Massey is also a director of the Oxford American Literary Project and the Arkansas Razorback Foundation.</t>
  </si>
  <si>
    <t>44870-05P</t>
  </si>
  <si>
    <t>Richard Mulligan Ph.D</t>
  </si>
  <si>
    <t>Sana Biotechnology</t>
  </si>
  <si>
    <t>Mulligan</t>
  </si>
  <si>
    <t>www.sana.com</t>
  </si>
  <si>
    <t>Vice Chairman</t>
  </si>
  <si>
    <t>+1 (206) 701-7914</t>
  </si>
  <si>
    <t>richard.mulligan@sana.com</t>
  </si>
  <si>
    <t>188 East Blaine Street</t>
  </si>
  <si>
    <t>98102</t>
  </si>
  <si>
    <t>Dr. Richard Mulligan serves as Board Member &amp; Executive at Sana Biotechnology . He serves as a Board Member &amp; Member of the Compensation and Management Development Committee at Biogen. He has served as the Head of SanaX and Executive Vice-Chairman of our Board of Directors since November 2018. Dr. Mulligan is currently the Mallinckrodt Professor of Genetics, Emeritus, at Harvard Medical School, and has been Visiting Scientist at the Massachusetts Institute of Technology since March 2017. From 1996-2013, Dr. Mulligan served as the Mallinckrodt Professor of Genetics at Harvard and Director of the Harvard Gene Therapy Initiative. Prior to that, he was Professor of Molecular Biology at the Massachusetts Institute of Technology, and a member of the Whitehead Institute for Biomedical Research. From May 2013 to December 2016, Dr. Mulligan was Founding Partner and Senior Managing Director of Sarissa Capital Management LP, a registered investment advisor, and from March 2017 to October 2018 he served as Portfolio Manager at Icahn Capital LP.</t>
  </si>
  <si>
    <t>225503-83P</t>
  </si>
  <si>
    <t>Richard O'Brien</t>
  </si>
  <si>
    <t>Saudi Arabian Mining</t>
  </si>
  <si>
    <t>O'Brien</t>
  </si>
  <si>
    <t>www.maaden.com</t>
  </si>
  <si>
    <t>Non-Executive Board Member</t>
  </si>
  <si>
    <t>+966 (0)11 874 8000</t>
  </si>
  <si>
    <t>Riyadh, Saudi Arabia</t>
  </si>
  <si>
    <t>PO BOX 68861</t>
  </si>
  <si>
    <t>Riyadh</t>
  </si>
  <si>
    <t>11537</t>
  </si>
  <si>
    <t>Mr. Richard O'Brien serves as a Non-Executive Board Member at Saudi Arabian Mining. He was Chief Financial Officer and later CEO of Newmont Mining Corporation, one of the world's largest gold mining companies, during 2005-13. During 1984-2000, he held several positions including that of Operations Manager and CFO at PacifiCorp, working in coal mining, power generation, distribution, and transportation. He is a non-executive member of the Board of Directors of electricity company Xcel Energy, where he also chairs the Audit Committee and is a member of the Operations Committee and Environment and Safety Committee. He sits on the Board of Directors of Vulcan Materials Company, which produces construction materials, and chairs the Audit and Environment and Safety committees. O'Brien secured his bachelor's degree in Economy from Chicago University, USA and professional doctorate in law from Lewis &amp; Clark Law School, USA.</t>
  </si>
  <si>
    <t>54290-89P</t>
  </si>
  <si>
    <t>Richard O'Brien JD</t>
  </si>
  <si>
    <t>New Gold</t>
  </si>
  <si>
    <t>www.newgold.com</t>
  </si>
  <si>
    <t>+1 (416) 324-6000</t>
  </si>
  <si>
    <t>robrien@newgold.com</t>
  </si>
  <si>
    <t>Brookfield Place, 181 Bay Street</t>
  </si>
  <si>
    <t>Suite 3320</t>
  </si>
  <si>
    <t>M5J 2T3</t>
  </si>
  <si>
    <t>+1 (416) 324-9494</t>
  </si>
  <si>
    <t>Mr. O'Brien, who was appointed to the Chair of the Board on March 25, 2024. Richard O'Brien has over 40 years of experience in the mining and energy sectors, including more than 20 years in chief executive officer and chief financial officer roles. Mr. O'Brien served as President and Chief Executive Officer of Newmont Mining Corporation from 2007 to 2013, Executive Vice President and Chief Financial Officer from 2006 to 2007, and Senior Vice President and Chief Financial Officer from 2005 to 2006. He also served as President and Chief Executive Officer of Boart Longyear Limited, the world's leading provider of drilling services, drilling equipment and performance tooling for mining and drilling companies, from 2013 to 2015. He currently serves on the boards of Vulcan Materials Co., Xcel Energy Inc. and Ma'aden, The Saudi Arabian Mining Company. He was also Chair of the Board of Pretivm Resources inc. from 2019 to 2022, until its acquisition by Newcrest Mining Limited. Mr. O'Brien holds a Bachelor of Arts (Economics) from the University of Chicago and a Juris Doctor from Lewis and Clark School of Law. He also completed the Directors' Consortium at Stanford Business School. His principal occupation is as a corporate director.</t>
  </si>
  <si>
    <t>68077-36P</t>
  </si>
  <si>
    <t>Richard Phegley Jr.</t>
  </si>
  <si>
    <t>Invesco Mortgage Capital (Former)</t>
  </si>
  <si>
    <t>Phegley</t>
  </si>
  <si>
    <t>www.invescomortgagecapital.com</t>
  </si>
  <si>
    <t>Mr. Richard Phegley serves as Chief Financial Officer at Invesco Mortgage Capital. He served as Chief Financial Officer at WL Ross &amp; Co. and Invesco Mortgage Capital. He has been appointed as Chief Financial Officer of the Company, effective May 2014. He also serves as the Global Head of Real Estate Investment Accounting for Invesco Real Estate, our Manager's affiliated real estate team, a position he has held since 2006. Before joining Invesco, he was a Director and responsible for Private Equity Accounting at Archon Group from 2004 to 2006. Prior to 2004, he served as a Senior Manager at KPMG LLP for two years and Arthur Andersen LLP for seven years, managing audit engagements for public and private clients, including investment management clients. He received a Bachelor of Arts from Baylor University and a Master of Science in Accountancy from the University of Houston. He is a Certified Public Accountant.</t>
  </si>
  <si>
    <t>246101-23P</t>
  </si>
  <si>
    <t>Richard Russell</t>
  </si>
  <si>
    <t>LM Funding America</t>
  </si>
  <si>
    <t>www.lmfunding.com</t>
  </si>
  <si>
    <t>+1 (866) 235-5001</t>
  </si>
  <si>
    <t>rrussell@lmfunding.com</t>
  </si>
  <si>
    <t>Tampa, FL</t>
  </si>
  <si>
    <t>1200 West Platt Street</t>
  </si>
  <si>
    <t>Tampa</t>
  </si>
  <si>
    <t>33606</t>
  </si>
  <si>
    <t>Mr. Richard Russell serves as Chief Financial Officer at LM Funding America. He serves as Audit Committee Chairman at Trident Brands (Consumer Products). Mr. Russell served as Chief Financial Officer and Treasurer at Generation Income Properties. He served as Chief Financial Officer &amp; Board Member at LMF Acquisition Opportunities. Since 2016 He provided financial and accounting consulting services with a focus on technical and external reporting, internal auditing, mergers &amp; acquisitions, risk management, and interim CFO and controller services. He also served as Chief Financial Officer for Mission Health Communities from 2013 to 2016 and before that, he served in a variety of roles for Cott Corporation from 2007 to 2013 including Senior Director of Finance, Senior Director of Internal Auditing, and Assistant Corporate Controller. His extensive professional experience with public companies includes his position as Director of Financial Reporting and Internal Controls for Quality Distribution and as Danka's Director of Reporting from 2001 - 2004. He also holds the following positions: Chief Executive Officer and Chief Financial Officer of Omega Brands Inc. which is an inactive public shell company and Chief Financial Officer of Affinitas Life which is an emerging senior care private company. He earned his bachelor of science in accounting and a master's in tax accounting from the University of Alabama, a bachelor of arts in international studies from the University of South Florida, and a master's in business administration from the University of Tampa.</t>
  </si>
  <si>
    <t>130799-98P</t>
  </si>
  <si>
    <t>Richard Sykes</t>
  </si>
  <si>
    <t>PDS Biotechnology (Former)</t>
  </si>
  <si>
    <t>Sykes</t>
  </si>
  <si>
    <t>www.pdsbiotech.com</t>
  </si>
  <si>
    <t>Mr. Richard Sykes served as Board Member at PDS Biotechnology. Mr. Sykes is currently Chairman of Imperial College Healthcare NHS Trust, Chairman of the Royal Institution of Great Britain, Chairman of the UK Stem Cell Foundation, Chairman of Omnicyte, NetScientific, and the investment board of Deepridge Capital. He was appointed Chancellor of Brunel University in 2013. Before that, he was Senior Independent Director and non-executive Chairman of ENRC from 2007 to June 2011, Chairman of NHS London from December 2008 to July 2010, and Rector of Imperial College London from 2000 to 2008. He was a non-executive director of Rio Tinto plc from 1997 to 2007, and senior independent director from 2004 to 2007. He has over 30 years of experience within the biotechnology and pharmaceutical industries field, serving as Chief Executive and Chairman of GlaxoWellcome from 1995 to 2000 and then as Chairman of GlaxoSmithKline until 2002. Internationally he is Chairman of the International Advisory Board, A*Star Biomedical Research Council, Singapore, and a Board member of EDBI. He was awarded Honorary Citizenship of Singapore in 2004 for his contribution to the development of the country's biomedical sciences industry. He holds several degrees and awards from Institutions both in the UK and overseas. He is a Fellow of the Royal Society and Academy of Medical Sciences, and an Honorary Fellow of the Royal Academy of Engineering, Royal Society of Chemistry, Royal Pharmaceutical Society, Royal College of Pathologists, and the Royal College of Physicians. He is also President of the R and D Society, a position he has held since 2002. He is a Fellow of Imperial College London and the Imperial College School of Medicine, King's College London, and an Honorary Fellow of the Universities of Wales and Central Lancashire. He received a Knighthood in the 1994 New Year's Honours list for services to the pharmaceutical industry.</t>
  </si>
  <si>
    <t>406833-40P</t>
  </si>
  <si>
    <t>Ripudaman Bandral</t>
  </si>
  <si>
    <t>Aavas Financiers</t>
  </si>
  <si>
    <t>Bandral</t>
  </si>
  <si>
    <t>Ripudaman</t>
  </si>
  <si>
    <t>www.aavas.in</t>
  </si>
  <si>
    <t>Chief Credit Officer</t>
  </si>
  <si>
    <t>ripudaman.bandral@aavas.in</t>
  </si>
  <si>
    <t>Jaipur, India</t>
  </si>
  <si>
    <t>201-202, 2nd Floor, Southend Square</t>
  </si>
  <si>
    <t>Mansarovar Industrial Area</t>
  </si>
  <si>
    <t>Jaipur</t>
  </si>
  <si>
    <t>Rajasthan</t>
  </si>
  <si>
    <t>302020</t>
  </si>
  <si>
    <t>Mr. Ripudaman Bandral serves as Chief Credit Officer at Aavas Financiers. He has around 25 years of experience in Business Development, Strategic Planning, Credit and Risk Assessment, Client Relationship Management, and Team Building. He was previously associated with ICICI Bank Ltd, HDFC Ltd., Indiabulls Home Loans, Transamerica Apple Distribution Finance and Trident Group. He has done a Masters in Finance &amp; Control from Punjabi University, Patiala.</t>
  </si>
  <si>
    <t>84485-44P</t>
  </si>
  <si>
    <t>Robert Bates</t>
  </si>
  <si>
    <t>Legacy Housing Corp (Former)</t>
  </si>
  <si>
    <t>Bates</t>
  </si>
  <si>
    <t>Robert</t>
  </si>
  <si>
    <t>www.legacyhousing.com</t>
  </si>
  <si>
    <t>+1 (501) 224-2224</t>
  </si>
  <si>
    <t>rduncan@legacyhousing.com</t>
  </si>
  <si>
    <t>Mr Robert Duncan Bates served as the CEO &amp; President at Legacy Housing Corp Mr. Bates resigned from the Company's Board effective June 7, 2022. Mr. Bates most recently served as Senior Vice President, Mergers &amp; Acquisitions of Arcosa Inc., a publicly traded infrastructure products company since August 2018. Under his leadership, Arcosa executed 16 acquisitions and 2 divestitures in a three and ½ year period to reposition its portfolio around growth-oriented, high-margin products. Previously, he served as a Vice President in the Industrials Investment Banking Group at Stephens Inc. from June 2015 to August 2018. From February 2012 to June 2015, he worked in the Energy Investment Banking Group at Seaport Global Securities, LLC. Mr. Bates began his career in New York at Willis Re Inc. in July 2010. Mr. Bates received his B.S. Management degree with a double major in Finance and Legal Studies from Tulane University.</t>
  </si>
  <si>
    <t>145892-08P</t>
  </si>
  <si>
    <t>Robert Grenier</t>
  </si>
  <si>
    <t>Grenier</t>
  </si>
  <si>
    <t>Chairman of ERG Partners</t>
  </si>
  <si>
    <t>Mr. Robert Grenier served as Chairman of ERG Partners at ERG. Previously, Bob was Kroll's chairman for Global Security Consulting and a managing director, following a 27-year career with the Central Intelligence Agency (CIA), where most recently, Bob was the Director of CIA's Counterterrorism Center, where he led the CIA's involvement in the global War on Terror. Previously, he was Deputy National Intelligence Officer for Near East and South Asia and originally conceived and organized CIA's Counter-Proliferation Division, serving as its first Chief of Operations. Bob's other positions included Chief of CIA's training at "the Farm.", CIA's representative to the White House on Iraq; and Chief of Station in Islamabad, Pakistan 1999-2002 before and following the attacks of 9/11. Bob received an AB with Distinction in Philosophy from Dartmouth College and later did graduate studies at the University of Virginia.</t>
  </si>
  <si>
    <t>226925-29P</t>
  </si>
  <si>
    <t>Robert Ierace</t>
  </si>
  <si>
    <t>Ierace</t>
  </si>
  <si>
    <t>rob.ierace@toubaniresources.com</t>
  </si>
  <si>
    <t>Mr. Robert Ierace serves as Chief Financial Officer at Toubani Resources. He serves as Chief Financial Officer at Strandline Resources. He has over 20 years experience in senior finance roles with ASX listed mining and energy companies. He is former CFO for Vulcan Energy Resources Ltd and Bullseye Mining Ltd. He has experience in project finance, capital raisings, corporate governance, corporate strategy, treasury, insurance and corporate acquisitions and divestment. He has completed Chartered Accountant, Graduate Diploma in Corporate Governance and Bachelor of Commerce.</t>
  </si>
  <si>
    <t>177073-66P</t>
  </si>
  <si>
    <t>Robert Klein</t>
  </si>
  <si>
    <t>Western Uranium &amp; Vanadium</t>
  </si>
  <si>
    <t>Klein</t>
  </si>
  <si>
    <t>www.western-uranium.com</t>
  </si>
  <si>
    <t>+1 (908) 872-7686</t>
  </si>
  <si>
    <t>rklein@western-uranium.com</t>
  </si>
  <si>
    <t>330 Bay Street</t>
  </si>
  <si>
    <t>Suite 1400</t>
  </si>
  <si>
    <t>M5H 2S8</t>
  </si>
  <si>
    <t>Mr. Robert Klein serves as Chief Financial Officer at Western Uranium &amp; Vanadium. Mr. Klein is Chief Financial Officer of Western Uranium &amp; Vanadium Corp. He is in charge of accounting and finance, and is closely involved in capital markets activities, corporate transactions, investor relations, public relations, and legal, and compliance. Formerly, Mr. Klein served as Vice President- Finance and had leading roles in reporting, corporate transactions, and Western's public listings on the CSE and OTCQX. Mr. Klein was formerly the Chief Operating Officer of Cross River Group and began his association with Western on an Operating Partner basis after the formation of Western's predecessor company, Pinon Ridge Mining, LLC. Previously, Mr. Klein was a Managing Director at Analytical Research, an alternative investments research firm. He has a broad financial background derived from senior operating and investment roles with asset managers and through Exeter Analytics, a consulting firm he founded. Mr. Klein was formerly the CFO of Five Points Capital, a hedge fund spin-out from Soros Fund Management. After having begun his career in public accounting, Mr. Klein worked for Lehman Brothers, an investment bank, and William E. Simon &amp; Sons, a merchant bank and private investment firm. Rob holds the Chartered Financial Analyst® designation, received an M.B.A. from the Robert H. Smith School of Business at the University of Maryland and a B.S. in Accounting from George Mason University.</t>
  </si>
  <si>
    <t>265170-25P</t>
  </si>
  <si>
    <t>Robert Mercer</t>
  </si>
  <si>
    <t>Nature's Sunshine Products (Former)</t>
  </si>
  <si>
    <t>Mercer</t>
  </si>
  <si>
    <t>www.naturessunshine.com</t>
  </si>
  <si>
    <t>Mr. Robert Mercer serves as Board Member at Nature's Sunshine Products. He has served on the Board since 2010, and currently serves on the Audit Committee and as Chairman of the Governance Committee. Mr. Mercer served as Vice President Dealer Operations for Mazda North America from 2007 to 2009, as Vice President, General Counsel and Secretary for Mazda North America from 2002 until 2007, and as Senior Vice President, Government and Industry Relations, and General Counsel and Secretary for Volvo North America for approximately 20 years prior. While at Mazda, Mr. Mercer was a member of its Executive and Audit Committees, and was also responsible for Internal Audit. He has been elected to several corporate and charitable boards, and currently serves as Chairman of the Board of Chancellors of the Mountain Valley Chapter of the Juvenile Diabetes Research Foundation (JDRF), and is also Secretary, and a member of the Board of Directors of the Joseph James Morelli Legacy Foundation. Previously, he was a member of the Board of Visitors of Duke Health, and was President, and a member of the Board of Directors of both the Mountain Valley Chapter of JDRF, and the Orange County, California Chapter of JDRF. Mr. Mercer received his J.D. from University of Maryland School of Law in 1976 and his B.A. from Duke University in 1973. The Governance Committee nominated Mr. Mercer to the Board because of its belief that he brings significant operational, legal and corporate governance experience to the Board, including experience with public, consumer-oriented companies, which supplements the Board's skills in these key areas.</t>
  </si>
  <si>
    <t>92794-60P</t>
  </si>
  <si>
    <t>Robert Neill</t>
  </si>
  <si>
    <t>Cordoba Minerals (Former)</t>
  </si>
  <si>
    <t>Neill</t>
  </si>
  <si>
    <t>www.cordobaminerals.com</t>
  </si>
  <si>
    <t>Mr. Robert Neill served as Director at Cordoba Minerals. Mr. Neill is the CEO of Grupo de Bullet S.A.S, a private Colombian company with an extensive portfolio of gold, copper and polymetallic mineral projects. Mr. Neill has several years of experience managing project exploration, development and financing. Prior to his role at Grupo de Bullet, he spent over five years as a consultant specializing in strategy and operations improvement. He is also a Board Member at Angkor Gold Corp. and Trident Gold Corp. Mr. Neill received his MBA from Vanderbilt University, and a BA in Mechanical Engineering from Dartmouth College.</t>
  </si>
  <si>
    <t>277676-38P</t>
  </si>
  <si>
    <t>Robert Triebe</t>
  </si>
  <si>
    <t>Thermal Energy International</t>
  </si>
  <si>
    <t>Triebe</t>
  </si>
  <si>
    <t>www.thermalenergy.com</t>
  </si>
  <si>
    <t>+1 (613) 723-6776</t>
  </si>
  <si>
    <t>robert.triebe@thermalenergy.com</t>
  </si>
  <si>
    <t>36 Antares Drive</t>
  </si>
  <si>
    <t>Suite 850</t>
  </si>
  <si>
    <t>K2E 7W5</t>
  </si>
  <si>
    <t>+1 (613) 723-7286</t>
  </si>
  <si>
    <t>Mr. Robert Triebe serves as Chief Operating Officer at Thermal Energy International. Robert Triebe was appointed Chief Operating Officer responsible for the Americas and Asia on November 2, 2009. He has worked in varying capacities since first joining the Company in 1993. His responsibilities have ranged from research and development, to project design and implementation to his more recent efforts managing the North American and Asian sales team. Mr. Triebe is a Professional Engineer and obtained his B.A.Sc. in Chemical Engineering from the University of Waterloo, and his M.A.Sc. in Environmental Engineering from the University of Ottawa. He has nearly 20 years of energy and environment sales and engineering experience, specializing in energy and water efficiency systems. His expertise has been derived from the large number and millions of dollars, of energy and water conservation projects completed in industrial, institutional, and commercial facilities. Prior to Thermal Energy Mr. Triebe developed and managed the corporate Environmental Process Engineering group with Jacques Whitford Environment Limited (now Stantec Inc.). He is recognized as a technical and business expert in environmental technologies as demonstrated by his ongoing work as an Expert Reviewer with the Sustainable Development Technology Corporation (SDTC), reviewing applications for funding of environmental technologies on behalf of the SDTC and the Canadian government.</t>
  </si>
  <si>
    <t>14863-87P</t>
  </si>
  <si>
    <t>Robert Wason IV</t>
  </si>
  <si>
    <t>Wason</t>
  </si>
  <si>
    <t>VP, Corporate Development</t>
  </si>
  <si>
    <t>Mr. Robert Wason served as VP, Corporate Development at Vulcan Materials.</t>
  </si>
  <si>
    <t>369097-57P</t>
  </si>
  <si>
    <t>Rohan Bhargava</t>
  </si>
  <si>
    <t>Bhargava</t>
  </si>
  <si>
    <t>Rohan</t>
  </si>
  <si>
    <t>Chief People Officer (Budhni)</t>
  </si>
  <si>
    <t>rohanbhargava@tridentindia.com</t>
  </si>
  <si>
    <t>Mr. Rohan Bhargava serves as Head Contractor and Outsourcing at Trident Group. After joining Trident family in 2008, he has been a consistent performer in Trident HR. He has played a key role in improving employee relations, building and sustaining people connections. He has always actively participated and spearheaded company initiatives and has played an integral part Digitalization of HR processes. He played a key role in launching Sameep - AI AI-enabled HR Chatbot for all members, including contractor members.</t>
  </si>
  <si>
    <t>123772-60P</t>
  </si>
  <si>
    <t>Ronnie Pruitt</t>
  </si>
  <si>
    <t>Pruitt</t>
  </si>
  <si>
    <t>Ronnie</t>
  </si>
  <si>
    <t>pruittr@vmcmail.com</t>
  </si>
  <si>
    <t>Ronnie Pruitt is Senior Vice President of U.S. Concrete and the Western and Southwest Divisions. He joined Vulcan as part of Vulcan's August 2021 acquisition of U.S. Concrete, Inc. He held various leadership roles at U.S. Concrete, including President and Chief Executive Officer from April 2020 to August 2021, President and Chief Operating Officer from April 2019 to April 2020, and Senior Vice President and Chief Operating Officer from October 2015 to April 2019. Prior to joining U.S. Concrete in 2015, he served as the Vice President of Cement Sales of Martin Marietta Materials, Inc. and held various positions at Texas Industries, Inc.</t>
  </si>
  <si>
    <t>326910-88P</t>
  </si>
  <si>
    <t>Ross Fujii</t>
  </si>
  <si>
    <t>Quantum (Software Services) (Former)</t>
  </si>
  <si>
    <t>Fujii</t>
  </si>
  <si>
    <t>Ross</t>
  </si>
  <si>
    <t>www.quantum.com</t>
  </si>
  <si>
    <t>Chief Development Officer &amp; Senior Vice President</t>
  </si>
  <si>
    <t>Mr. Ross Fujii served as Chief Development Officer &amp; Senior Vice President at Quantum. As Quantum's Chief Development Officer, he leads the global Product, Research, Engineering, and User Experience teams. He is responsible for defining Quantum's strategic direction, executing product releases, driving innovation in Quantum's end-to-end portfolio, and delivering product go-to-market plans. He brings a structured approach to product development with a passion for solving customer pain points and delivering best-in-class data lifecycle management solutions. He has over 30 years of experience developing integrated product portfolios, launching disruptive hybrid IT solutions, and leading customers through changing market transitions. Having held key leadership positions at both startups and public companies, his breadth of experience spans engineering, architecture, product strategy, business development, and Chief Technology Officer leadership roles. He joined Quantum in June 2021 as the General Manager of the Strategic Markets Business Unit, completing the acquisitions of Pivot3 and EnCloudEn, and most recently led the Quantum global Services and Support organization as Chief Customer Officer. Before joining Quantum, he served in executive roles at SolarWinds, Cisco Systems, Seagate, and Computer Associates/Nimsoft. He received his Bachelor of Science in Electrical Engineering from the University of Michigan.</t>
  </si>
  <si>
    <t>76010-59P</t>
  </si>
  <si>
    <t>Ross McElroy</t>
  </si>
  <si>
    <t>Apollo Silver</t>
  </si>
  <si>
    <t>McElroy</t>
  </si>
  <si>
    <t>www.apollosilver.com</t>
  </si>
  <si>
    <t>+1 (604) 428-6128</t>
  </si>
  <si>
    <t>ross@apollosilver.com</t>
  </si>
  <si>
    <t>710-1030 West Georgia Street</t>
  </si>
  <si>
    <t>V6E 2Y3</t>
  </si>
  <si>
    <t>Mr. Ross McElroy serves as Chief Operating Officer at F3 Uranium. He also serves as President &amp; Chief Executive Officer at Apollo Silver, Board Member at Trident Resources and Shine Minerals, and President, Chief Operating Officer, and Director at Fission Energy. He previously served as Founder and Chairman of the Board at SKRR Exploration, Board Member at East West Petroleum and Strathmore Plus Uranium, and Chief Executive Officer, President, Director &amp; Board Member at Fission Uranium. He completed his Bachelor's Degree in Science with a Specialization in Geology from the University of Alberta in 1987.</t>
  </si>
  <si>
    <t>145888-48P</t>
  </si>
  <si>
    <t>Roy Ilani</t>
  </si>
  <si>
    <t>Ilani</t>
  </si>
  <si>
    <t>Roy</t>
  </si>
  <si>
    <t>Mr. Roy Ilani served as Director, Corporate Development at Playtech.</t>
  </si>
  <si>
    <t>359453-80P</t>
  </si>
  <si>
    <t>Rudi Deysel</t>
  </si>
  <si>
    <t>West Wits Mining</t>
  </si>
  <si>
    <t>Deysel</t>
  </si>
  <si>
    <t>Rudi</t>
  </si>
  <si>
    <t>www.westwitsmining.com</t>
  </si>
  <si>
    <t>+61 (0)3 8692 9049</t>
  </si>
  <si>
    <t>rdeysel@westwitsmining.com</t>
  </si>
  <si>
    <t>Melbourne, Australia</t>
  </si>
  <si>
    <t>Level 6, 400 Collins Street</t>
  </si>
  <si>
    <t>Melbourne</t>
  </si>
  <si>
    <t>Victoria</t>
  </si>
  <si>
    <t>3000</t>
  </si>
  <si>
    <t>+61 (0)3 8692 9040</t>
  </si>
  <si>
    <t>Mr. Rudi Deysel serves as Chief Executive Officer &amp; Managing Director at West Wits Mining. He served as Chief Operating Officer and Country Manager(South Africa) at West Wits Mining. He holds degrees in B.Sc (Geophysics) and B.Eng (Mining) and has obtained his MBA. He has extensive production experience in conventional narrow tabular underground, as well as open cast, mining various commodities including Gold, PGMs, Copper and Cobalt. He project managed several brown- and greenfield mining projects in South Africa, the DRC and Ghana, which led to extensive experience in mine development, including scoping-, pre-feasibility, feasibility, development and execution. Before joining West Wits, He was part of line management at Anglo American, after which he joined Murray-and-Roberts Cementation with the main focus on underground mine infrastructure, construction and contracting. Through ERG Africa, his technical input established strong management operating systems at its various operations in Africa. At Asanko Gold, he was part of a senior management team that facilitated strong technical and financial principles at their Ghanian operation.</t>
  </si>
  <si>
    <t>124388-29P</t>
  </si>
  <si>
    <t>Runlin Cao</t>
  </si>
  <si>
    <t>China City Railway Transportation Technology</t>
  </si>
  <si>
    <t>Cao</t>
  </si>
  <si>
    <t>Runlin</t>
  </si>
  <si>
    <t>www.biitt.cn</t>
  </si>
  <si>
    <t>Deputy General Manager</t>
  </si>
  <si>
    <t>+852 2545 1555</t>
  </si>
  <si>
    <t>runlinc@biitt.cn</t>
  </si>
  <si>
    <t>Unit 4407, 44/F</t>
  </si>
  <si>
    <t>Cosco Tower, 183 Queen's Road Central</t>
  </si>
  <si>
    <t>Ms. Runlin Cao serves as Deputy General Manager at China City Railway Transportation Technology. Ms. Cao served as deputy general manager of BII ERG. From October 2004 to January 2010, Ms. Cao had served as financial supervisor, senior supervisor of the planning finance department and deputy manager of finance management department of BII. During the period from September 2003 to September 2004</t>
  </si>
  <si>
    <t>80123-68P</t>
  </si>
  <si>
    <t>Russell Chenu</t>
  </si>
  <si>
    <t>RWC Global</t>
  </si>
  <si>
    <t>Chenu</t>
  </si>
  <si>
    <t>www.rwc.com</t>
  </si>
  <si>
    <t>2300 Defoor Hills Road North West</t>
  </si>
  <si>
    <t>30318</t>
  </si>
  <si>
    <t>Russell Chenu Independent Non-Executive Director Member of Audit and Risk Committee Member of Nomination and Remuneration Committee Mr. Chenu is an experienced corporate and finance professional who held senior finance and management positions with a number of ASX listed companies. His last executive role was Chief Financial Officer of James Hardie Industries plc from 2004 to 2013. He is currently the Chair of Vulcan Steel Limited and a Non-executive Director of CIMIC Group Limited. Mr. Chenu holds a Bachelor of Commerce from University of Melbourne and an MBA from Macquarie Graduate School of Management, Australia. Other listed company directorships in the past 3 years: Vulcan Steel Limited (since 2021) CIMIC Group Limited (since June 2014. The company delisted from the ASX in May 2022) Metro Performance Glass Limited (July 2014 until August 2021)</t>
  </si>
  <si>
    <t>92271-70P</t>
  </si>
  <si>
    <t>Sagi Harari</t>
  </si>
  <si>
    <t>Harari</t>
  </si>
  <si>
    <t>Sagi</t>
  </si>
  <si>
    <t>Head of Content</t>
  </si>
  <si>
    <t>sagi.harari@playtech.com</t>
  </si>
  <si>
    <t>Mr. Sagi Harari serves as Head of Content at Playtech. Mr. Harari founded VideoBet and served as its Chief Executive Officer.</t>
  </si>
  <si>
    <t>344988-10P</t>
  </si>
  <si>
    <t>Sagrario Fernández</t>
  </si>
  <si>
    <t>Fernández</t>
  </si>
  <si>
    <t>Sagrario</t>
  </si>
  <si>
    <t>Executive, Legal</t>
  </si>
  <si>
    <t>Ms. Sagrario Fernández served as General Counsel &amp; Compliance Officer and Vicesecretary of the Board at DIA Group. With a Law degree from Universidad Complutense in Madrid and master's in digital business by ISDI Madrid, Sagrario Fernández has been a lawyer for more than 20 years. She began her career at Garrigues Abogados, Madrid office, later joining Indra as manager of the Company's corporate legal department. In 2001, she was appointed as Legal and HR Department Director of the telecommunications company Iberbanda, as well as secretary of the Board until 2005. For a decade, she was general counsel and secretary of the Board at Prosegur Compañía de Seguridad, later she held the charge of General Counsel of Codere and since 2019, she held the position of General Counsel Dia Group &amp; BOD Vice-secretary.</t>
  </si>
  <si>
    <t>368060-95P</t>
  </si>
  <si>
    <t>Samir Joshipura</t>
  </si>
  <si>
    <t>Joshipura</t>
  </si>
  <si>
    <t>Samir</t>
  </si>
  <si>
    <t>Mr. Samir Joshipura serves as Group Chief Executive Officer at Trident Group. Mr. Samir serves as Co-Chief Executive Officer at Sintex-BAPL.</t>
  </si>
  <si>
    <t>58428-82P</t>
  </si>
  <si>
    <t>Samuel Merksamer</t>
  </si>
  <si>
    <t>AutoStore (Former)</t>
  </si>
  <si>
    <t>Merksamer</t>
  </si>
  <si>
    <t>Samuel</t>
  </si>
  <si>
    <t>www.autostoresystem.com</t>
  </si>
  <si>
    <t>Chairman of the Board</t>
  </si>
  <si>
    <t>+1 (212) 702-4300</t>
  </si>
  <si>
    <t>smerksamer@mubadalacapital.ae</t>
  </si>
  <si>
    <t>Mr. Samuel Merksamer serves as Executive Director at Mubadala Capital. He serves as Board Member at EQRx and CI Financial. Previously, he was a Partner at One Investment Management from 2022 to 2024. Before then, he was a Partner at SoftBank Investment Advisers and a Managing Director at SB Management, an affiliate of SoftBank, from 2019 to 2022. From 2017 to 2019, he was a co-founder of Caligan Partners, L.P., an investment firm. Mr. Merksamer was a Managing Director of Icahn Capital LP, a subsidiary of Icahn Enterprises L.P., from 2008 to 2016. He has an A.B. degree, Economics from Cornell University.</t>
  </si>
  <si>
    <t>399649-60P</t>
  </si>
  <si>
    <t>Sandeep Gandhi</t>
  </si>
  <si>
    <t>Gandhi</t>
  </si>
  <si>
    <t>Sandeep</t>
  </si>
  <si>
    <t>sandeep.gandhi@playtech.com</t>
  </si>
  <si>
    <t>Mr. Sandeep Gandhi serves as Head of Investor Relations at Playtech.</t>
  </si>
  <si>
    <t>70218-55P</t>
  </si>
  <si>
    <t>Sang Hun Kim</t>
  </si>
  <si>
    <t>VK Company</t>
  </si>
  <si>
    <t>Hun Kim</t>
  </si>
  <si>
    <t>Sang</t>
  </si>
  <si>
    <t>shunkim@vk.company</t>
  </si>
  <si>
    <t>Leningradsky prospekt 39</t>
  </si>
  <si>
    <t>Building 79</t>
  </si>
  <si>
    <t>125167</t>
  </si>
  <si>
    <t>Mr. Sang Hun Kim serves as Board Member at Mail.Ru Group and Klim Ventures. He served as Board Member at Direct Cloud. He was appointed to the Board in February 2011. He has been Chief Executive of South Korea's NHN Corporation since April 2009 and was previously its Executive Vice President of Business Management. Sang Hun graduated in law from Seoul National University before going on to earn a Master's degree in law from Harvard Law School. He has served as a judge at the Seoul Central Court.</t>
  </si>
  <si>
    <t>260316-37P</t>
  </si>
  <si>
    <t>Santiago Gallo</t>
  </si>
  <si>
    <t>AmRest Holdings (Former)</t>
  </si>
  <si>
    <t>Gallo</t>
  </si>
  <si>
    <t>Santiago</t>
  </si>
  <si>
    <t>www.amrest.eu</t>
  </si>
  <si>
    <t>Mr. Santiago Gallo served as Chief Marketing Officer at AmRest. Mr. Gallo has over 18 years of Marketing experience, both in Mexico and the USA, plus 2 years as Operations Director for Walmart's Bodega Aurrera.He has collaborated with leading CPG (Consumer Packaged Goods) / FMCG (Fast Moving Consumer Goods) brands like Trident, Clorets, and Halls. In the beverages / beer sector he worked with brands like Modelo Especial, Victoria, Pacifico &amp; spirits such as Tequila Casa Noble. His role in retail was both as the Marketing Director for Walmart Mexico as well as a Regional Operations Director, leading 120+ stores and a team of 5,000+ associates. Before coming to Amrest,Mr. Gallo was the Marketing Director for Domino's Pizza Mexico.</t>
  </si>
  <si>
    <t>382894-57P</t>
  </si>
  <si>
    <t>Schroeder Norman</t>
  </si>
  <si>
    <t>Simpple (Automation/Workflow Software)</t>
  </si>
  <si>
    <t>Schroeder</t>
  </si>
  <si>
    <t>www.simpple.ai</t>
  </si>
  <si>
    <t>Chief Executive Officer &amp; Executive Director</t>
  </si>
  <si>
    <t>+65 6816 2194</t>
  </si>
  <si>
    <t>norman@simpple.ai</t>
  </si>
  <si>
    <t>200 Braddell Road, BCA Academy (Braddell Campus), Block G</t>
  </si>
  <si>
    <t>Suite 01-00</t>
  </si>
  <si>
    <t>579700</t>
  </si>
  <si>
    <t>Mr. Schroeder Norman serves as Chief Executive Officer and Executive Director at Simpple. He has been serving as Chief Executive Officer and Executive Director since February 1, 2024. Mr. Schroeder has been our independent director since December 1, 2022. Mr. Schroeder has had over 8 years of experience in the facilities management industry. Mr. Schroeder has been a strategic development manager at OCS since December 2022, where he oversees strategic business development and relationship management. Mr. Schroeder has worked at Trident Services Australia as Chief Executive Officer, where he was responsible for overall operational, strategic, and business-wide responsibilities from December 2021 to November 2022. Additionally, he served as Chief Operations Officer from October 2017 to November 2022, overseeing overall operational and business development responsibilities. From February 2014 to September 2017, Mr. Schroeder was the director of strategic development and aviation services at SECUREcorp, where he was in charge of overall operational and business development responsibilities, including aviation services. From 2002 to 2013, Mr. Schroeder worked at Spotless Group, where he was a regional manager from 2002 to 2006 and general manager from 2006 to 2013. From 1997 to 2002, Mr. Schroeder was a national operations manager at Gate Gourmet, and from 1990 to 1997, Mr. Schroeder was an operations manager at Cathay Pacific Airways. Mr Schroeder completed higher school certificate level education from Fachhochschule Hamburg in 1981.</t>
  </si>
  <si>
    <t>162088-39P</t>
  </si>
  <si>
    <t>Scott Davis</t>
  </si>
  <si>
    <t>DLP Resources</t>
  </si>
  <si>
    <t>Davis</t>
  </si>
  <si>
    <t>Scott</t>
  </si>
  <si>
    <t>www.dlpresourcesinc.com</t>
  </si>
  <si>
    <t>+1 (604) 558-4300</t>
  </si>
  <si>
    <t>Cranbrook, Canada</t>
  </si>
  <si>
    <t>135 10th Avenue South</t>
  </si>
  <si>
    <t>Suite 201</t>
  </si>
  <si>
    <t>Cranbrook</t>
  </si>
  <si>
    <t>V1C 2N1</t>
  </si>
  <si>
    <t>Mr. Scott Davis serves as Chief Financial Officer at DLP Resources and Global Copper Corp. Mr. Davis serves as Chief Financial Officer at Sekur Private data. He also serves as Chief Financial Officer at Viscount Mining Resources. He served as Chief Financial Officer at International Bethlehem Mining. He serves as Chief Financial Officer and Corporate Secretary at Tudor Gold. He served as Chief Financial Officer at DGTL Holdings. He served as Chief Financial Officer at Future Farm Technologies. He also serves as Co-Chief Financial Officer at Snow Lake Resources. He is a partner of Cross Davis &amp; Company LLP, Chartered Professional Accountants, his experience consists of senior management positions, including four years at Appleby as an Assistant Financial Controller and two years at Davidson &amp; Company LLP, Chartered Professional Accountants as an Auditor.</t>
  </si>
  <si>
    <t>175935-52P</t>
  </si>
  <si>
    <t>iMetal Resources</t>
  </si>
  <si>
    <t>www.imetalresources.ca</t>
  </si>
  <si>
    <t>+1 (604) 484-3031</t>
  </si>
  <si>
    <t>800 West Pender Street</t>
  </si>
  <si>
    <t>Suite 550</t>
  </si>
  <si>
    <t>V6C 2V6</t>
  </si>
  <si>
    <t>Mr. Scott Davis serves as Board Member at iMetal Resources. He was Chief Financial Officer at iMetal Resources. He is a partner of Cross Davis &amp; Company LLP Chartered Professional Accountants, a firm focused on providing accounting and management services for publicly-listed companies. His experience includes CFO positions of several companies listed on the TSX Venture Exchange and his past experience consists of senior management positions, including four years at Appleby as an Assistant Financial Controller. Prior to that, he spent two years at Davidson &amp; Company LLP Chartered Professional Accountants as an Auditor and five years with Pacific Opportunity Capital Ltd. as an Accounting Manager.</t>
  </si>
  <si>
    <t>179139-97P</t>
  </si>
  <si>
    <t>Baru Gold (Former)</t>
  </si>
  <si>
    <t>www.barugold.com</t>
  </si>
  <si>
    <t>Mr. Scott Davis served as Chief Financial Officer at East Asia Minerals. He is a founding partner of Cross Davis &amp; Company LLP Chartered Professional Accountants, a firm focused on providing accounting and management services for publicly listed companies. His experience includes CFO positions at several companies listed on the TSX Venture Exchange and Canadian Securities Exchange. Prior positions included senior management positions including Assistant Financial Controller at Appleby; Auditor at Davidson &amp; Company LLP Chartered Accountants; and Accounting Manager at Pacific Opportunity Capital Ltd.; and working at Jacobson Soda and Hosak, Chartered Accountants. He is a Member of the Certified General Accountants Association of British Columbia, a member of the Association of Chartered Certified Accountants, Glasgow, United Kingdom, and is a graduate of the British Columbia Institute of Technology.</t>
  </si>
  <si>
    <t>219678-76P</t>
  </si>
  <si>
    <t>Alzex Biomedical Group (Former)</t>
  </si>
  <si>
    <t>www.alzex.ca</t>
  </si>
  <si>
    <t>Mr. Scott Davis serves as Chief Financial Officer at Alzex Biomedical Group. His past experience consists of senior management positions, including four years at Appleby as an Assistant Financial Controller, two years at Davidson &amp; Company LLP Chartered Professional Accountants as an Auditor and five years with Pacific Opportunity Capital Ltd. as an Accounting Manager.</t>
  </si>
  <si>
    <t>233319-97P</t>
  </si>
  <si>
    <t>Desert Mountain Energy (Former)</t>
  </si>
  <si>
    <t>www.desertmountainenergy.com</t>
  </si>
  <si>
    <t>Co-Chief Financial Officer</t>
  </si>
  <si>
    <t>Mr. Scott Davis served as Chief Financial Officer at Desert Mountain Energy. He is a partner of Vancouver-based Cross Davis &amp; Company LLP Chartered Professional Accountants. The firm is focused on providing accounting and management services for publicly-listed companies. Mr. Davis has extensive accounting and finance experience dealing with the complexities of both private and public corporations in a variety of industries. His experience includes CFO positions of several companies listed on the TSX Venture Exchange. His past senior management experience includes four years at Appleby as an Assistant Financial Controller, two years at Davidson &amp; Company LLP Chartered Professional Accountants as an Auditor and five years with Pacific Opportunity Capital Ltd. as an Accounting Manager.</t>
  </si>
  <si>
    <t>234335-98P</t>
  </si>
  <si>
    <t>Urano Energy</t>
  </si>
  <si>
    <t>www.uranoenergy.com</t>
  </si>
  <si>
    <t>+1 (833) 888-2862</t>
  </si>
  <si>
    <t>1771 Robson Street</t>
  </si>
  <si>
    <t>Suite 1221</t>
  </si>
  <si>
    <t>V6G 1C9</t>
  </si>
  <si>
    <t>Mr. Scott Davis serves as Chief Financial Officer at Urano Energy. Mr. Davis is a partner of Cross Davis &amp; Company LLP Chartered Professional Accountants, a firm focused on providing accounting and management services for publicly-listed companies. His experience includes CFO positions of several companies listed on the TSX Venture Exchange. His past experience consists of senior management positions, including four years at Appleby as an Assistant Financial Controller, two years at Davidson &amp; Company LLP Chartered Professional Accountants as an Auditor and five years with Pacific Opportunity Capital Ltd. as an Accounting Manager. Mr. Davis previously served as the CFO of Golden Predator Mining Corp. prior to his reappointment in 2020.</t>
  </si>
  <si>
    <t>241225-39P</t>
  </si>
  <si>
    <t>enCore Energy (Former)</t>
  </si>
  <si>
    <t>www.encoreuranium.com</t>
  </si>
  <si>
    <t>Mr. Scott Davis served as Chief Financial Officer at Encore Energy. Mr. Davis is a partner of Cross Davis &amp; Company LLP Chartered Professional Accountants, a firm focused on providing accounting and management services for publicly-listed companies. His experience includes CFO positions of several companies listed on the TSX Venture Exchange. His past experience consists of senior management positions, including four years at Appleby as an Assistant Financial Controller, two years at Davidson &amp; Company LLP Chartered Professional Accountants as an Auditor and five years with Pacific Opportunity Capital Ltd. as an Accounting Manager. Mr. Davis previously served as the CFO of enCore Energy prior to his reappointment in 2020.</t>
  </si>
  <si>
    <t>303741-55P</t>
  </si>
  <si>
    <t>Freeport Resources</t>
  </si>
  <si>
    <t>www.freeportresources.com</t>
  </si>
  <si>
    <t>+1 (236) 334-1660</t>
  </si>
  <si>
    <t>750 West Pender Street</t>
  </si>
  <si>
    <t>Suite 250</t>
  </si>
  <si>
    <t>V6C 2T7</t>
  </si>
  <si>
    <t>Mr. Scott Davis serves as Chief Financial Officer &amp; Director at Freeport Resources. He also serves as Chief Financial Officer at Victory Mountain Ventures. He is a partner of Cross Davis &amp; Company LLP, Chartered Professional Accountants, a firm focused on providing accounting and management services for publicly-listed companies. His experience includes CFO positions of several companies listed on the TSX Venture Exchange. His past experience consists of senior management positions, including four years at Appleby as an Assistant Financial Controller, two years at Davidson &amp; Company LLP, Chartered Professional Accountants as an Auditor and five years with Pacific Opportunity Capital Ltd. as an Accounting Manager.</t>
  </si>
  <si>
    <t>344730-79P</t>
  </si>
  <si>
    <t>Questcorp Mining</t>
  </si>
  <si>
    <t>www.questcorpmining.ca</t>
  </si>
  <si>
    <t>Chief Financial Officer &amp; Board Member</t>
  </si>
  <si>
    <t>sdavis@questcorpmining.ca</t>
  </si>
  <si>
    <t>Mr. Scott Davis serves as Chief Financial Officer &amp; Board Member at Questcorp Mining. Mr. Davis is a partner of Cross Davis &amp; Company LLP Chartered Professional Accountants, a firm focused on providing accounting and management services for publicly- listed companies. His experience includes CFO positions of several companies listed on the TSX Venture Exchange and his past experience consists of senior management positions, including four years at Appleby as an Assistant Financial Controller. Prior to that, he spent two years at Davidson &amp; Company LLP Chartered Professional Accountants as an Auditor and five years with Pacific Opportunity Capital Ltd. as an Accounting Manager.</t>
  </si>
  <si>
    <t>355124-53P</t>
  </si>
  <si>
    <t>Patterson Metals</t>
  </si>
  <si>
    <t>www.pattersonmetals.com</t>
  </si>
  <si>
    <t>Chief Financial Officer &amp; Director</t>
  </si>
  <si>
    <t>+1 (604) 339-0339</t>
  </si>
  <si>
    <t>885 West Georgia Street</t>
  </si>
  <si>
    <t>Suite 2200</t>
  </si>
  <si>
    <t>V6C 3E8</t>
  </si>
  <si>
    <t>Mr. Scott Davis serves as Chief Financial Officer &amp; Director at Trench Metals. He is a partner of Cross Davis &amp; Company Chartered Professional Accountants, focusing on providing accounting and management services for publicly listed companies. He has worked as a CFO for several companies listed on the TSX Venture Exchange. He has filled numerous senior management positions including four years at Appleby as an assistant financial controller, two years at Davidson &amp; Company Chartered Professional Accountants as an auditor and five years with Pacific Opportunity Capital as an accounting manager.</t>
  </si>
  <si>
    <t>264381-04P</t>
  </si>
  <si>
    <t>Scott Gleason</t>
  </si>
  <si>
    <t>Orasure Technologies (Former)</t>
  </si>
  <si>
    <t>Gleason</t>
  </si>
  <si>
    <t>www.orasure.com</t>
  </si>
  <si>
    <t>+1 (801) 657-9803</t>
  </si>
  <si>
    <t>scott.gleason@nxprenatal.com</t>
  </si>
  <si>
    <t>Bellaire, TX</t>
  </si>
  <si>
    <t>4800 Fournace Place</t>
  </si>
  <si>
    <t>Suite BW28</t>
  </si>
  <si>
    <t>Bellaire</t>
  </si>
  <si>
    <t>77401</t>
  </si>
  <si>
    <t>Mr. Scott Gleason serves as Chief Financial Officer at NX Prenatal . He served as Senior Vice President at Orasure Technologies. He comes to NX Prenatal having previously served as the Interim CFO and as the SVP of Investor Relations and Corporate Communications at OraSure Technologies. Prior to OraSure he was the SVP of Investor Relations and Corporate Strategy at Myriad Genetics, a leading laboratory company. He also served as a financial analyst at Stephens Inc. covering the life science tools and diagnostics industry. He holds a degree in Economics from the United States Air Force Academy. Mr. Scott Gleason serves as Chief Financial Officer at LarmorBio.</t>
  </si>
  <si>
    <t>143748-73P</t>
  </si>
  <si>
    <t>Sean Hawley</t>
  </si>
  <si>
    <t>Hawley</t>
  </si>
  <si>
    <t>Sean</t>
  </si>
  <si>
    <t>Vice President of Financial Planning, Analysis and Reporting</t>
  </si>
  <si>
    <t>Mr. Sean Hawley serves as Vice President of Financial Planning, Analysis and Reporting at Vulcan Materials Company. Hawley joined Vulcan in 2014 after a ten year career with Lafarge, where he most recently served as the vice president and general manager of Midwest Aggregates. Before joining Lafarge, Mr. Hawley worked as a financial and asset manager for Clark Enterprises and audit manager for Arthur Andersen. Mr. Hawley has served as a board member to the National Stone, Sand and Gravel Association, the Illinois Association of Aggregate Producers, and the Broomfield, Colorado Chamber of Commerce. Mr. Hawley graduated from Cornell University with a Bachelor of Science in Agricultural Economics and Business Management. He is a Certified Public Accountant.</t>
  </si>
  <si>
    <t>174694-51P</t>
  </si>
  <si>
    <t>Sergey Vladimirovich Vasyunin</t>
  </si>
  <si>
    <t>Vladimirovich Vasyunin</t>
  </si>
  <si>
    <t>Sergey</t>
  </si>
  <si>
    <t>Deputy Chairman of the Management Board &amp; Director for Operations</t>
  </si>
  <si>
    <t>sergey.vasyunin@novatek.ru</t>
  </si>
  <si>
    <t>Mr. Sergey Vladimirovich Vasyunin serves as Deputy Chairman of the Management Board and Director for Operations at NOVATEK (Russia). In 1993, Sergey Vasyunin graduated from the Ufa Oil Institute, specializing in the Development and Operation of Oil and Gas Fields. Between 1993 and 1997, Mr Vasyunin was employed with Condor as deputy director, Stroykomplekt as head of the sales department, and with OAO Spetsnefteenergomontazhavtomatika - as marketing engineer. In 1998, he got a job in the Urengoygazprom industrial association of OAO Gazprom where he served in the capacity of an oil, gas and condensate production foreman. Between 2002 and 2017, Mr. Vasyunin was employed in the positions of gas condensate production shop manager, deputy general director for operations, and first deputy general director - chief engineer of OOO NOVATEK-YURKHAROVNEFTEGAS. In April 2017, he was appointed Deputy Chairman of the Management Board - Director for Operations of NOVATEK. In 2005, the Russian Ministry of Industry and Energy issued a commendation to Sergey Vasyunin. He holds the Honored Employee of NOVATEK title.</t>
  </si>
  <si>
    <t>90714-16P</t>
  </si>
  <si>
    <t>Shanni Shivhon</t>
  </si>
  <si>
    <t>Shivhon</t>
  </si>
  <si>
    <t>Shanni</t>
  </si>
  <si>
    <t>Analyst, Deal Flow &amp; Business Development, Mergers &amp; Acquisitions</t>
  </si>
  <si>
    <t>Ms. Shanni Shivhon served as Analyst, Deal Flow &amp; Business Development, Mergers and Acquisitions at Mail.Ru Group. Previously, she served as a Office Manager &amp; Startups Relations.</t>
  </si>
  <si>
    <t>380451-97P</t>
  </si>
  <si>
    <t>Sharad Naithani</t>
  </si>
  <si>
    <t>Trident Techlabs</t>
  </si>
  <si>
    <t>Naithani</t>
  </si>
  <si>
    <t>Sharad</t>
  </si>
  <si>
    <t>tridenttechlabs.com</t>
  </si>
  <si>
    <t>+91 (0)11 6181 1100</t>
  </si>
  <si>
    <t>sharad@tridenttechlabs.com</t>
  </si>
  <si>
    <t>New Delhi, India</t>
  </si>
  <si>
    <t>White House, 1/18-20, 2nd Floor</t>
  </si>
  <si>
    <t>Rani Jhansi Road</t>
  </si>
  <si>
    <t>New Delhi</t>
  </si>
  <si>
    <t>110055</t>
  </si>
  <si>
    <t>Mr. Sharad Naithani serves as Chairman at Trident Techlabs. He has more than 36 Years of experience in Marketing and Business Development in the Banking and Technical Education Sector. In 2001, he joined Trident Techlabs Pvt. Ltd. to oversee all business development, marketing, and management of account relationships for the Company. His core expertise in tapping prospects, analysing their requirements and negotiating (commercially) for the orders flourishes the business in new profitable directions. He holds a Post Graduate Degree in Economics from H. N. Bahuguna University, Garhwal.</t>
  </si>
  <si>
    <t>99325-27P</t>
  </si>
  <si>
    <t>Shaun Morris</t>
  </si>
  <si>
    <t>The Bank of N.T. Butterfield &amp; Son</t>
  </si>
  <si>
    <t>Morris</t>
  </si>
  <si>
    <t>Shaun</t>
  </si>
  <si>
    <t>www.butterfieldgroup.com</t>
  </si>
  <si>
    <t>General Counsel, Legal &amp; Chief Legal Officer, Legal</t>
  </si>
  <si>
    <t>+1 (441) 298-4691</t>
  </si>
  <si>
    <t>65 Front Street</t>
  </si>
  <si>
    <t>HM12</t>
  </si>
  <si>
    <t>Mr. Shaun Morris served as Group General Counsel &amp; Chief Legal Officer at Butterfield Bank. Mr. Morris served as Group General Counsel &amp; Chief Legal Officer, Buitterfield Bank at Butterfield Bank (Cayman). From 2005 to 2012, Mr. Morris was the Managing Partner of Appleby's Bermuda office. Appleby is the largest offshore law and fiduciary group. Prior to joining Butterfield, Mr. Morris spent his entire professional career at Appleby and was a Partner in the Banking and Asset Finance team in Bermuda. In that role, he practiced corporate and commercial law, specializing in shipping, capital markets, mergers and acquisitions, and project finance. Mr. Morris holds an MA (Economics) from Dalhousie University in Canada and a Bachelor of Laws from the London School of Economics &amp; Political Science. He is currently a member of the Bermuda Bar Association.</t>
  </si>
  <si>
    <t>166436-11P</t>
  </si>
  <si>
    <t>Shay Segev</t>
  </si>
  <si>
    <t>Entain (Former)</t>
  </si>
  <si>
    <t>Segev</t>
  </si>
  <si>
    <t>Shay</t>
  </si>
  <si>
    <t>www.entaingroup.com</t>
  </si>
  <si>
    <t>+44 (0)20 3957 5830</t>
  </si>
  <si>
    <t>ssegev@dazngroup.com</t>
  </si>
  <si>
    <t>12 Hammersmith Grove</t>
  </si>
  <si>
    <t>W6 7AP</t>
  </si>
  <si>
    <t>Mr. Shay Segev served as Chief Executive Officer &amp; Board Member at Entain. He served as Chief Operating Officer at GVC Holdings.He was previously CEO of Entain, a FTSE 100 sports betting and gaming company, where he led a phenomenal period of growth, including - most notably - the acquisition of bwin.party and Ladbrokes Coral, and establishment of US market leader BetMGM. He brings vast technology and operations experience with a proven track record in transformation and scaling digital consumer businesses. Earlier in his career, He held executive positions at Playtech, Gala Coral and global software company Mercury Interactive</t>
  </si>
  <si>
    <t>127067-77P</t>
  </si>
  <si>
    <t>Shimon Akad</t>
  </si>
  <si>
    <t>Akad</t>
  </si>
  <si>
    <t>Shimon</t>
  </si>
  <si>
    <t>+350 56002783</t>
  </si>
  <si>
    <t>shimon.akad@playtech.com</t>
  </si>
  <si>
    <t>Mr. Shimon Akad serves as Chief Operating Officer at Playtech. Mr. Akad served as the Chief Executive Officer at Techplay (Playtech Group). He holds a LLB (Bachelor of Laws) Degree from College of Management Academic Studies.</t>
  </si>
  <si>
    <t>318838-51P</t>
  </si>
  <si>
    <t>Shravan Patel</t>
  </si>
  <si>
    <t>Patel</t>
  </si>
  <si>
    <t>Shravan</t>
  </si>
  <si>
    <t>Managing Director &amp; Board Member</t>
  </si>
  <si>
    <t>shravan@tridentlifeline.com</t>
  </si>
  <si>
    <t>Mr. Shravan Patel serves as Managing Director &amp; Board Member at Trident Lifeline.</t>
  </si>
  <si>
    <t>371123-02P</t>
  </si>
  <si>
    <t>Shruti Sharma</t>
  </si>
  <si>
    <t>Siemens</t>
  </si>
  <si>
    <t>Sharma</t>
  </si>
  <si>
    <t>Shruti</t>
  </si>
  <si>
    <t>www.siemens.com</t>
  </si>
  <si>
    <t>Asian Cultural Exchange (ACE)- ERG Finance Lead</t>
  </si>
  <si>
    <t>+49 (0)89 3803 5491</t>
  </si>
  <si>
    <t>shrutisharma@siemens.com</t>
  </si>
  <si>
    <t>Munich, Germany</t>
  </si>
  <si>
    <t>Werner-Von-Siemens-Straße 1</t>
  </si>
  <si>
    <t>Munich</t>
  </si>
  <si>
    <t>80333</t>
  </si>
  <si>
    <t>Germany</t>
  </si>
  <si>
    <t>+49 (0)69 7976 664</t>
  </si>
  <si>
    <t>Ms. Shruti Sharma serves as Asian Cultural Exchange (ACE)- ERG Finance Lead at Siemens.</t>
  </si>
  <si>
    <t>324268-12P</t>
  </si>
  <si>
    <t>Simon Cleghorn</t>
  </si>
  <si>
    <t>AK Altynalmas (Former)</t>
  </si>
  <si>
    <t>Cleghorn</t>
  </si>
  <si>
    <t>Simon</t>
  </si>
  <si>
    <t>www.altynalmas.kz</t>
  </si>
  <si>
    <t>Chief Technical Officer</t>
  </si>
  <si>
    <t>Mr. Simon Cleghorn served as Chief Technical Officer at Altynalmas. He has prior experience as Chief Operating Officer at Altynalmas, Group Chief Geologist at Eurasian Resources Group, Technical Services Manager at Georgian Mining, Resource Manager at KEFI Gold and Copper, Geologist - Mining and Resources at Consultant Geologist, Group Chief Geologist at GeoProMining International, Georgia-Armenia Based, Exploration Manager at JSC Madneuli - GeoProMining, Director of Exploration and Mining at Global Gold Mining and Founding Partner - Geological Manager at Athelea Investments. He has a Bachelor of Engineering from Western Australian School of Mines.</t>
  </si>
  <si>
    <t>217965-88P</t>
  </si>
  <si>
    <t>Simon Tuma-Waku</t>
  </si>
  <si>
    <t>Magma Silver (Former)</t>
  </si>
  <si>
    <t>Tuma-Waku</t>
  </si>
  <si>
    <t>www.magmasilver.com</t>
  </si>
  <si>
    <t>Mr Tuma-Waku was Minister of Mines &amp; Hydrocarbons for the DRC between 2001 and 2003. In this role, he was responsible for the drafting and implementation of the mining code and regulations currently in force in the DRC. Most recently, Mr. Tuma-Waku acts as the representative of La Generale des Carrieres et des Mines S.A. (Gecamines) the DRC government mining company, in a joint venture with China Molybdenum on the Tenke Fungurume DRC mining operations that were acquired by China Molybdenum from Freeport McMoRan and Lundin Mining in 2016. He remains a board member of Standard Bank (DRC), Non-Executive Chairman of Mongwalu Gold Mines (MGM) DRC, and National Vice-President in charge of Mining Federation des Enterprise Du Congo. Mr. Tuma-Waku was formerly CEO of Congo Railways Solutions and Executive Chairman of Kamoto Copper Company (KCC), a division of Katanga Mining Limited (KML). Mr. Tuma-Waku holds a Master of Sciences (Mining) degree as well as a Diploma in Business Administration.</t>
  </si>
  <si>
    <t>293437-54P</t>
  </si>
  <si>
    <t>Siska Ghesquiere</t>
  </si>
  <si>
    <t>Metropole Television</t>
  </si>
  <si>
    <t>Ghesquiere</t>
  </si>
  <si>
    <t>Siska</t>
  </si>
  <si>
    <t>www.groupem6.fr</t>
  </si>
  <si>
    <t>Neuilly-sur-Seine, France</t>
  </si>
  <si>
    <t>89, Avenue Charles de Gaulle</t>
  </si>
  <si>
    <t>Neuilly-sur-Seine</t>
  </si>
  <si>
    <t>92575</t>
  </si>
  <si>
    <t>Ms. Siska Ghesquiere serves as a Board Member at Metropole Television. He also serves as General Counsel &amp; Head, Mergers and Acquisitions at RTL Group. She has been RTL Group's General Counsel and Head of M&amp;A since 1 February 2020. She is a member of RTL Group's Operations Management Committee (OMC). She joined RTL Group as Corporate Counsel in 2012 and was promoted to Senior Corporate Counsel in 2016 before being appointed Vice President of Global Operations Management MPN Businesses in 2018. Before assuming her current position, she was Vice President of Mergers &amp; Acquisitions. Prior to joining RTL Group, she was a corporate and M&amp;A lawyer at Linklaters for several years. She studied law at the University of Leuven (Belgium) and the University of Bologna (Italy) and holds an LL.M. degree from the University of Chicago and an Executive MBA from INSEAD.</t>
  </si>
  <si>
    <t>368684-02P</t>
  </si>
  <si>
    <t>Soon Huat Lim</t>
  </si>
  <si>
    <t>Lim</t>
  </si>
  <si>
    <t>Soon Huat</t>
  </si>
  <si>
    <t>Mr. Soon Huat Lim is the Founder and serves as Chief Executive Officer &amp; Chairman at Trident Digital Tech. Mr. Lim has over 30 years of management experience and combined expertise in sales, supply chain, retail and services, tourism, entertainment and media, e-commerce, and technology industries. Since May 2022, Mr. Lim has served as a director of our operative subsidiary, Trident Singapore. Meanwhile, since 2021, Mr. Lim has served as a director of Trident Foodtech Pte Ltd, a company primarily engaged in the wholesale of fruits and vegetables and the retail sale of beverages, and Trident V Tech Pte Ltd, a resale company in Singapore. Since February 2021, Mr. Lim has also been a director and chief executive officer of Asia Bird's Nest Corporation Pte Ltd, a lifestyle consumer goods company in Singapore. In addition, Mr. Lim has been appointed as a director of E-mobility Solutions Pte Ltd, a company primarily engaged in tourism and public transportation business in Singapore, since September 2018.</t>
  </si>
  <si>
    <t>56819-26P</t>
  </si>
  <si>
    <t>Spiros Milonas</t>
  </si>
  <si>
    <t>Milonas</t>
  </si>
  <si>
    <t>Spiros</t>
  </si>
  <si>
    <t>Mr. Spiros Milonas serves as a Director at Navigator Holdings. He has been a member of the Board since August 2006. He is chairman and president of Ionian Management Inc., which oversees the Ionian Group, with interests in shipping, oil and gas and real estate. Mr. Milonas is a director of the New York Shipping Cooperation Committee, a member of Leadership 100, a member of the Board of Advisors of Atlantic Bank, and a recipient of the Ellis Island Medal of Honor Award. Mr. Milonas graduated from Athens University, School of Economics.</t>
  </si>
  <si>
    <t>282288-25P</t>
  </si>
  <si>
    <t>Sridhar Patra</t>
  </si>
  <si>
    <t>National Aluminium (Former)</t>
  </si>
  <si>
    <t>Patra</t>
  </si>
  <si>
    <t>Sridhar</t>
  </si>
  <si>
    <t>www.nalcoindia.com</t>
  </si>
  <si>
    <t>spatra@nalcoindia.com</t>
  </si>
  <si>
    <t>Mr. Sridhar Patra, took over as Chairman, Chief Executive Officer, Managing Director &amp; Board Member of the Company on 17th December, 2019. Before his elevation to the position of CMD, Shri Patra was serving as the Director (Finance) of the Company. Prior to joining NALCO, Shri Patra was the Director (Finance) of THDC India Ltd. He has an illustrious career and wide-ranging exposure spanning nearly three decades in various Public Sector Undertakings, including Odisha Mining Corporation Ltd. (OMC), Indian Rare Earths Ltd. (IREL), Mangalore Refinery &amp; Petrochemicals Ltd (MRPL) and THDC India Ltd. He has been successfully steering the Company during the COVID pandemic, steadfastly focusing on the 5Ps - Production, Productivity, Projects, People &amp; Profitability. Amidst the most turbulent and challenging business environment, Shri Patra through his astute leadership, strong vision and strategic initiatives, has scripted the turnaround of the organization during FY 2020-21, taking the Company on the path of growth, stability and business excellence. Shri Sridhar Patra's empathetic leadership qualities with a strong sense of commitment for the society and social causes, have endeared him to the industrial fraternity, employees and stakeholders.</t>
  </si>
  <si>
    <t>106147-81P</t>
  </si>
  <si>
    <t>Stalbek Mishakov Ph.D</t>
  </si>
  <si>
    <t>Norilsk Nickel (Former)</t>
  </si>
  <si>
    <t>Mishakov</t>
  </si>
  <si>
    <t>Stalbek</t>
  </si>
  <si>
    <t>Dr. Stalbek Mishakov served as Board Member at Norilsk Nickel. He served as Deputy Chief Executive Officer at En+ Group. He has been with the Group's main shareholder Oleg Deripaska since 1999. In 2010-2013, he was Advisor to CEO of UC RUSAL. Prior to that he was CEO of Altius Development, Deputy CEO, Director (M&amp;A), and Chairman of the Investment Committee at Basic Element (holds 20% in En+ Group). In 1997-1998, Mr. Mishakov was Head of the State Committee for Foreign Economic Relations of the Republic of Khakassia. Stalbek Mishakov graduated from the International Law School of the Moscow State Institute of International Relations, obtained a Master of Arts degree in the University of Notre Dame (USA) and a PhD in Economics in the Russian Foreign Ministry Diplomatic Academy.</t>
  </si>
  <si>
    <t>143747-11P</t>
  </si>
  <si>
    <t>Stanley Bass</t>
  </si>
  <si>
    <t>Bass</t>
  </si>
  <si>
    <t>Stanley</t>
  </si>
  <si>
    <t>Chief Strategy Officer</t>
  </si>
  <si>
    <t>basss@vmcmail.com</t>
  </si>
  <si>
    <t>Mr. Stanley Bass serves as Chief Strategy Officer at Vulcan Materials Company. Mr. Bass has served in a variety of operations and general management assignments since first joining the Company in 1996. Prior to his current position, Mr. Bass was senior vice president of the West Region. He has also served as senior vice president of the Central Region and president of the Midsouth and Southwest Divisions. Mr. Bass graduated from Virginia Military Institute with a Bachelor's Degree in Civil Engineering. He also attended the Wharton School of Business Advanced Management Program. Mr. Bass serves on the board of the National Asphalt Pavement Association.</t>
  </si>
  <si>
    <t>399320-65P</t>
  </si>
  <si>
    <t>Stefan Brand</t>
  </si>
  <si>
    <t>Brand</t>
  </si>
  <si>
    <t>Stefan</t>
  </si>
  <si>
    <t>Chief Technology Officer</t>
  </si>
  <si>
    <t>sbrand@v-er.eu</t>
  </si>
  <si>
    <t>Mr. Stefan Brand serves as Chief Technology Officer at Vulcan Energy Resources. He joins Vulcan from Clariant, a world-leading specialty and sustainable chemical solutions company. With his background, Dr Brand is ideally positioned to lead Vulcan's lithium technical team, providing crucial technical support to the execution and operation teams at Vulcan's Phase One ZERO CARBON LITHIUM Project.</t>
  </si>
  <si>
    <t>165829-51P</t>
  </si>
  <si>
    <t>Stephan DuCharme</t>
  </si>
  <si>
    <t>DuCharme</t>
  </si>
  <si>
    <t>Stephan</t>
  </si>
  <si>
    <t>Mr. Stephan DuCharme served as Executive Chairman &amp; Executive Director at DIA Group. He also served as Senior Advisor at L1 Retail. Over the 2012-2015 period, he served as CEO of X5, leading the strategic turnaround of the company to become the fastest-growing public food retailer. He has over 25 years of the financial sector and retail expertise. He previously held senior positions in family offices (SUN Group, Alfa Group) and financial institutions (European Bank for Reconstruction and Development (EBRD) and Salomon Brothers Inc.). He graduated with distinction from the University of California at Berkeley and received his MBA from INSEAD.</t>
  </si>
  <si>
    <t>62383-69P</t>
  </si>
  <si>
    <t>Stephen Harrison Ph.D</t>
  </si>
  <si>
    <t>Harrison</t>
  </si>
  <si>
    <t>Stephen</t>
  </si>
  <si>
    <t>Dr. Stephen Harrison served as Chief Technical Officer at Vulcan Energy Resources. He served as Chief Technology Officer at Simbol. A diverse multi-industry background in electrochemistry and lithium extraction, with thorough knowledge of all steps of industry process/product commercialization in the lithium industry dating back to 1998. CTO of Simbol Materials for seven years (2008-2015), where he led the scientific and engineering teams through rapid process development, taking less than one year to develop a process to extract lithium from geothermal brine, which is today recognized as the lowest cost production method to lithium hydroxide. As CEO of Rakehill Technology LLC, Dr. Harrison has since consulted with the lithium industry on various lithium extraction technologies including sorbents.</t>
  </si>
  <si>
    <t>56504-17P</t>
  </si>
  <si>
    <t>Stephen Jones</t>
  </si>
  <si>
    <t>Hycroft Mining Holding (Former)</t>
  </si>
  <si>
    <t>www.hycroftmining.com</t>
  </si>
  <si>
    <t>Chief Financial Officer &amp; Executive Vice President</t>
  </si>
  <si>
    <t>steve.jones@hycroftmining.com</t>
  </si>
  <si>
    <t>Mr. Stephen Jones served as Executive Vice President and Chief Financial Officer at Hycroft Mining. Mr. Jones was formerly with EPM Mining Ventures, Inc., as the Chief Financial Officer from May 2011 to August 2011, the President and Secretary from March 2010 to May 2011, and a director from March 2010 to April 2012. Mr. Jones also served as Katanga Mining Limited's Senior Vice President and Chief Financial Officer from June 2006 until December 2008. Effective on July 1, 2020, the Board appointed Stephen Jones, the Company's current Executive Vice President and Chief Financial Officer, who has served in that role since 2012, as President and Chief Executive Officer on an interim basis and effective upon Mr. Buffington's departure. It is expected that Mr. Jones will serve in such roles until the appointment by the Board of a permanent president and chief executive officer. In connection with his appointment as interim President and Chief Executive Officer, Mr. Jones stepped down from his position as Executive Vice President, Chief Financial Officer, and Secretary of the Company.</t>
  </si>
  <si>
    <t>193138-57P</t>
  </si>
  <si>
    <t>Steve Swanson</t>
  </si>
  <si>
    <t>Swanson</t>
  </si>
  <si>
    <t>Steve</t>
  </si>
  <si>
    <t>sswanson@quicksortrx.com</t>
  </si>
  <si>
    <t>Mr. Swanson founded Automated Trading Desk, a pioneering electronic trading firm based in South Carolina. As President and CEO, Mr. Swanson grew the business from pure proprietary trading to creating a fully automated market maker servicing the broker-dealer community. After its acquisition by Citigroup in 2007, Mr. Swanson became responsible for global equity and option electronic trading operations. Mr. Swanson serves on the Board of Trustees of the College of Charleston, the College of Charleston School of Business Board, the Honors College Advisory Board, and formerly, he served on the Board of Trustees of South Carolina State University. Mr. Swanson previously served on the Board of SnapCap, MedTrust, Trident United Way, and Charleston Angel Partners. In addition to serving on the Board of Directors of the Bank and the Company, Mr. Swanson is the former Chairman of the Audit &amp; Compliance Committee and serves on the Executive/Long-Range Planning Committee.</t>
  </si>
  <si>
    <t>79043-95P</t>
  </si>
  <si>
    <t>Steven Bromley</t>
  </si>
  <si>
    <t>Organto Foods</t>
  </si>
  <si>
    <t>Bromley</t>
  </si>
  <si>
    <t>Steven</t>
  </si>
  <si>
    <t>www.organto.com</t>
  </si>
  <si>
    <t>Chairman and Chief Executive Officer</t>
  </si>
  <si>
    <t>+1 (647) 228-8883</t>
  </si>
  <si>
    <t>steve.bromley@organto.com</t>
  </si>
  <si>
    <t>Suite 410</t>
  </si>
  <si>
    <t>Mr. Steven Bromley serves as Chairman and Chief Executive Officer at Organto Foods. He also serves as a Senior Advisor at Origin Merchant Partners. Previously, he served as Chief Executive Officer at The Organic Corporation. He has over 30 years of food, beverage, and general leadership experience in private and public companies at both management and board levels. Most recently he served as the CEO of SunOpta a leading integrated global natural, organic, and specialty foods company, where he spent approximately 15 years in a variety of roles including CFO, COO, and ultimately CEO for his last 8 years. Before SunOpta, he worked for over 13 years in the Canadian dairy industry in a wide range of financial and operational roles at both Natrel and Ault Foods. He served as a member of the board of directors at Natrel from 1997-1999, served on the board of SunOpta from 2007 to 2015, served on the board of Opta Minerals from 2004 to 2016, and was a member of the Rabobank North American Agribusiness Advisory Board from 2010 to 2015. He was recently appointed to the Advisory Board of Trident Brands Incorporated and also serves on the board of Enchi Corporation, a privately held provider of leading technology for the conversion of biomass to fuels and chemicals. He is a Chartered Professional Accountant (CPA) and Certified General Accountant.</t>
  </si>
  <si>
    <t>153597-70P</t>
  </si>
  <si>
    <t>Steven Farris</t>
  </si>
  <si>
    <t>Mr. Steven Farris served as Board Member at Harbour Energy. Mr. Farris was named chairman of Apache in January 2009, upon the retirement of company Founder Raymond Plank. He was promoted to president in 1994 and chief executive officer in May 2002. Farris joined Apache in June 1988 as vice president of domestic exploration and production and was promoted to senior vice president in May 1991.</t>
  </si>
  <si>
    <t>124387-93P</t>
  </si>
  <si>
    <t>Steven Zhongliang Ph.D</t>
  </si>
  <si>
    <t>China City Railway Transportation Technology (Former)</t>
  </si>
  <si>
    <t>Zhongliang</t>
  </si>
  <si>
    <t>Vice President &amp; Deputy General Manager</t>
  </si>
  <si>
    <t>Dr. Steven Zhongliang served as a Vice President &amp; Deputy General Manager at China City Railway Transportation Technology. He has over 14 years of experience in the management technology and communications industry as well as the metro industry. Prior to joining our Group, he had worked at Anshan Municipal Commission of Development and Reform, and had served as the project manager at Motorola (China) Electronics Limited, the department manager at Samsung SDS (China) Limited, the director of engineering and software development at Telvent Control System (China) Limited (now known as Schneider Electric China) and the China regional deputy general manager at ERG Group (now known as Vix-ERG) respectively, he obtained a master's degree in management information study from Institute of Scientific and Technical Information of China in 2000 and was a visiting scholar at the University of Maryland in 2000. He is primarily responsible for the strategic planning and business development of our Group.</t>
  </si>
  <si>
    <t>378212-32P</t>
  </si>
  <si>
    <t>Sukesh Naithani</t>
  </si>
  <si>
    <t>Sukesh</t>
  </si>
  <si>
    <t>Executive Director, Chief Financial Officer &amp; Chief Executive Officer</t>
  </si>
  <si>
    <t>n.chandra@tridenttechlabs.com</t>
  </si>
  <si>
    <t>Mr. Sukesh Naithani serves as Executive Director, Chief Financial Officer &amp; Chief Executive Officer at Trident Techlabs. He has more than 34 years of experience in Information Technology and Electronics. He is involved in popularizing engineering system simulation at numerous engineering colleges and govt.-funded RandD labs and private industry. In 1988, he started his career as a marketing professional for high-end computer peripherals and later a variety of InfoTech solutions. He transformed his professional career into an entrepreneurship in 2000 by establishing a marketing outfit for electronics system simulation software along with like-minded partners. Apart from his many achievements, he has received recognition as the "Most Promising Entrepreneur" for year 2011 by Enterprise Asia. He holds a Science degree from Garhwal University and Post Graduate Diploma in Computer Science and Application from Priyadarshini Institute, New Delhi.</t>
  </si>
  <si>
    <t>372477-07P</t>
  </si>
  <si>
    <t>Sultan Temirbayev</t>
  </si>
  <si>
    <t>NAC Kazatomprom</t>
  </si>
  <si>
    <t>Temirbayev</t>
  </si>
  <si>
    <t>Sultan</t>
  </si>
  <si>
    <t>www.kazatomprom.kz</t>
  </si>
  <si>
    <t>Chief Financial Officer &amp; Member of the Management Board</t>
  </si>
  <si>
    <t>+7 (717) 245 8101</t>
  </si>
  <si>
    <t>stemirbayev@kazatomprom.kz</t>
  </si>
  <si>
    <t>Nur-Sultan, Kazakhstan</t>
  </si>
  <si>
    <t>17/12, Syganak Street</t>
  </si>
  <si>
    <t>Z05T1X3</t>
  </si>
  <si>
    <t>Nur-Sultan</t>
  </si>
  <si>
    <t>Kazakhstan</t>
  </si>
  <si>
    <t>Mr. Sultan Temirbayev serves as Chief Financial Officer &amp; Member of the Management Board at Kazatomprom. In 2008 he graduated from the University of Durham (UK) with a bachelor's degree in economics. In 2020, he completed professional retraining at Tomsk Polytechnic University under the program "uranium in-situ leaching technology". Currently, he is studying under the Global MBA program at the Astana School of Management and Business. He began his career in 2008 as a specialist in the accounting department of Zhana Temirzhol. In 2009-2011 period, he worked as a specialist in the investment department at ENRC Logistics. Afterwards, over the years he worked at Kazakhstan Freight Company, Kazakhstan Petrochemical Industries and Odyssey Investments Group in various positions, including management ones. In 2020, he was appointed to the position of Deputy General Director for Economics and Finance at JV Inkai (a joint venture of NAC Kazatomprom JSC). On 28 August 2023, he was appointed as the Chief Financial Officer of NAC Kazatomprom JSC. Since 28 September 2023, he is the member of the Management Board of NAC Kazatomprom JSC.</t>
  </si>
  <si>
    <t>151081-39P</t>
  </si>
  <si>
    <t>Suzanne Wood</t>
  </si>
  <si>
    <t>RELX (Information Technology)</t>
  </si>
  <si>
    <t>Wood</t>
  </si>
  <si>
    <t>Suzanne</t>
  </si>
  <si>
    <t>www.relx.com</t>
  </si>
  <si>
    <t>+44 (0)20 7166 5500</t>
  </si>
  <si>
    <t>1-3 Strand</t>
  </si>
  <si>
    <t>WC2N 5JR</t>
  </si>
  <si>
    <t>Mr. Suzanne Wood serves as Board Member at Ferguson. Mr. Wood serves as Board Member at H&amp;E Equipment Services. Mr. Wood serves as Board Member at RELX (Information Technology). He served as Chief Financial Officer &amp; Board Member at Ashtead Group. He served as Chief Financial Officer &amp; Senior Vice President at Vulcan Materials Company. He served as Chief Financial Officer &amp; Senior Vice President at Vulcan Materials Master Pension Trust Fund.</t>
  </si>
  <si>
    <t>31586-23P</t>
  </si>
  <si>
    <t>Sylvia Summers</t>
  </si>
  <si>
    <t>Semtech</t>
  </si>
  <si>
    <t>Sylvia</t>
  </si>
  <si>
    <t>www.semtech.com</t>
  </si>
  <si>
    <t>+1 (805) 498-2111</t>
  </si>
  <si>
    <t>ssummers@semtech.com</t>
  </si>
  <si>
    <t>Camarillo, CA</t>
  </si>
  <si>
    <t>200 Flynn Road</t>
  </si>
  <si>
    <t>Camarillo</t>
  </si>
  <si>
    <t>93012</t>
  </si>
  <si>
    <t>Ms. Sylvia Summers serves as Board Member, Member of the Audit and Nominating and Governance Committees at Semtech. Ms. Sylvia Summers, Chief Executive Officer, President and Director of Trident Microsystems, Inc., a company that delivers integrated circuits to the digital TV and set top box markets, from 2007 through 2011. Previously Executive Vice President and General Manager at Spansion Ltd. from 2003 to 2007 and Group Vice President at Cisco Systems, Inc. from 2001 to 2002. Director of Aristocrat Leisure Limited, a company listed on the Australian Stock Exchange and a leading provider of gaming solutions, since September 2016. Previously served as a director of public companies, including Headwaters, Inc. from 2013 to 2017, Alcatel-Lucent from 2015 to 2016, JNI Corporation from 2001 to 2003, Riverstone Networks Inc. from 2002 to 2006 and Gadzoox Networks, Inc. from 2001 to 2003 where she served on the audit and compensation committees.</t>
  </si>
  <si>
    <t>340807-78P</t>
  </si>
  <si>
    <t>Taher Sachak</t>
  </si>
  <si>
    <t>EFU Life Assurance</t>
  </si>
  <si>
    <t>Sachak</t>
  </si>
  <si>
    <t>Taher</t>
  </si>
  <si>
    <t>www.efulife.com</t>
  </si>
  <si>
    <t>+92 (0)11 1338111</t>
  </si>
  <si>
    <t>Karachi, Pakistan</t>
  </si>
  <si>
    <t>EFU Life House, Plot No.112</t>
  </si>
  <si>
    <t>8th East Street, Phase 1, DHA</t>
  </si>
  <si>
    <t>Karachi</t>
  </si>
  <si>
    <t>75400</t>
  </si>
  <si>
    <t>Pakistan</t>
  </si>
  <si>
    <t>+92 (0)213 4535079</t>
  </si>
  <si>
    <t>Mr. Taher Sachak serves as Vice Chairman at EFU Life Assurance. Mr. Sachak served as Chief Executive Office, Managing Director &amp; Executive Director at EFU Life Assurance. . Mr. Taher G. Sachak has studied in UK and is a graduate in Business Studies from Bournemouth University, and also has a post-graduate Diploma in Management Studies from Liverpool University. Following his studies, he joined the British Civil Service and after 5 years decided to pursue a career in life assurance. He held executive positions in major UK Life Assurance Companies, Allied Dunbar, Trident Life and finally Century Life before coming to Pakistan in 1994 to join EFU Life. He is also Chief Executive &amp; Managing Director of EFU Life Assurance Limited and Vice Chairman of Allianz EFU Health. He is also a "Certified Director" from Pakistan Institute of Corporate Governance.</t>
  </si>
  <si>
    <t>86544-82P</t>
  </si>
  <si>
    <t>Tai-Shung Ho</t>
  </si>
  <si>
    <t>Ho</t>
  </si>
  <si>
    <t>Tai-Shung</t>
  </si>
  <si>
    <t>Mr. Tai-Shung Ho serves as Chairman at Novatek Microelectronics. He is also the Founder of the company.</t>
  </si>
  <si>
    <t>46145-08P</t>
  </si>
  <si>
    <t>Takashi Kato</t>
  </si>
  <si>
    <t>OneBe</t>
  </si>
  <si>
    <t>Kato</t>
  </si>
  <si>
    <t>Takashi</t>
  </si>
  <si>
    <t>www.onebe.co.jp</t>
  </si>
  <si>
    <t>Founder, Chief Executive Officer, President &amp; Board Member</t>
  </si>
  <si>
    <t>+81 (0)36 856 4814</t>
  </si>
  <si>
    <t>takashi.kato@onebe.co.jp</t>
  </si>
  <si>
    <t>Tokyo, Japan</t>
  </si>
  <si>
    <t>4-3-17 Shinjuku, Shinjuku-ku</t>
  </si>
  <si>
    <t>Forcast Shinjuku South 3 Floor</t>
  </si>
  <si>
    <t>Tokyo</t>
  </si>
  <si>
    <t>160-0022</t>
  </si>
  <si>
    <t>Japan</t>
  </si>
  <si>
    <t>+81 (0)36 697 6251</t>
  </si>
  <si>
    <t>Mr. Takashi Kato is the Founder and serves as Chief Executive Officer, President &amp; Board Member at OneBe. Previously he served as a Markting Manager at Cybozu. Mr. Kato holds a degree in Information Technology from Trident School.</t>
  </si>
  <si>
    <t>250249-42P</t>
  </si>
  <si>
    <t>Tal Cohen</t>
  </si>
  <si>
    <t>Stratasys (Printing Services (B2B)) (Former)</t>
  </si>
  <si>
    <t>Tal</t>
  </si>
  <si>
    <t>Mr. Tal Cohen served as Chief Marketing Officer at Stratasys. Tal Cohen joined Stratasys as Chief Marketing Officer in January 2021. Cohen brings over 20 years of digital marketing experience at companies including Google, McKinsey, Lennar Homes, Vivendi Universal, Scientific Games and other technology companies. Cohen is a serial tech entrepreneur and executive. In 1999, Cohen founded ibetcha.com, an early innovator in the online gaming sector, which was acquired by the Vivendi Universal conglomerate. Following ibetcha, Cohen joined McKinsey &amp; Co. and served clients in the tech and internet sectors for 2 years. Cohen briefly joined Google as head of tech and finance vertical sales, and then joined the founding team of Markets.com, an online Fintech company which was acquired by Playtech. In 2013, Cohen founded Sirin Labs, a manufacturer of unique mobile phones.Cohen holds an LLB from the Hebrew University in Jerusalem.</t>
  </si>
  <si>
    <t>32455-72P</t>
  </si>
  <si>
    <t>Talia Sessler</t>
  </si>
  <si>
    <t>Max Stock</t>
  </si>
  <si>
    <t>Sessler</t>
  </si>
  <si>
    <t>Talia</t>
  </si>
  <si>
    <t>www.maxstock.co.il</t>
  </si>
  <si>
    <t>Chief Corporate Development and IR Officer</t>
  </si>
  <si>
    <t>+972 (0)3 675 2545</t>
  </si>
  <si>
    <t>talia@maxstock.co.il</t>
  </si>
  <si>
    <t>Haifa, Israel</t>
  </si>
  <si>
    <t>Khalutzei HaTa'a'ssiya St. 71</t>
  </si>
  <si>
    <t>Kiryat Haim, Mega Compound</t>
  </si>
  <si>
    <t>Haifa</t>
  </si>
  <si>
    <t>Israel</t>
  </si>
  <si>
    <t>Ms. Talia Sessler serves as Chief Corporate Development and IR Officer at MAX Israel. Ms. Sessler served as Principal at Claridge Israel. Over twelve years of experience in cross border and Israel related private equity, M&amp;A and growth investments. Previously worked at Apax Partners, Strauss Group and Merrill Lynch in New York as an M&amp;A investment banker. Holds an MBA from the University of California at Berkeley and a Joint Bachelor Degree in Accounting &amp; Economics from Tel Aviv University.</t>
  </si>
  <si>
    <t>249633-64P</t>
  </si>
  <si>
    <t>Tatiana Mitrova</t>
  </si>
  <si>
    <t>SLB (Other Energy Services)</t>
  </si>
  <si>
    <t>Mitrova</t>
  </si>
  <si>
    <t>Tatiana</t>
  </si>
  <si>
    <t>www.slb.com</t>
  </si>
  <si>
    <t>+1 (713) 513-2000</t>
  </si>
  <si>
    <t>tm@slb.com</t>
  </si>
  <si>
    <t>5599 San Felipe</t>
  </si>
  <si>
    <t>77056</t>
  </si>
  <si>
    <t>Ms. Tatiana Mitrova serves as Board Member at Schlumberger. She has been the director of the Energy Centre of the Moscow School of Management SKOLKOVO, a graduate business school, since February 2017. She has also been the head of research of the Oil and Gas Department in the Energy Research Institute of the Russian Academy of Sciences since 2011, a visiting professor at the Paris School of International Affairs (PISA), part of the Paris Institute of Political Studies, since 2014, and an assistant professor at the Gubkin Russian State University of Oil and Gas since 2008. Dr. Mitrova was a visiting researcher at the King Abdullah Petroleum Studies and Research Center from April 2016 to April 2017. Dr. Mitrova has been a member of the board of directors of Novatek, a Russian independent natural gas producer, since April 2020, and is chairman of its strategy committee and a member of its audit committee and compensation and nomination committee. She was a member of the board of directors of Unipro PJSC from June 2014 to December 2017 and was a member of the appointment and remuneration committees.</t>
  </si>
  <si>
    <t>225526-96P</t>
  </si>
  <si>
    <t>Tatiana Volochkovich</t>
  </si>
  <si>
    <t>Volochkovich</t>
  </si>
  <si>
    <t>Director of Investor Relations and Sustainable Development</t>
  </si>
  <si>
    <t>Ms. Tatiana Volochkovich served as Director of Investor Relations and Sustainable Development at VK Company. She joined Mail.ru Group in April 2019 from Morgan Stanley where she was a Vice President in charge of Russia/CIS equity sales efforts since 2011. She started her career as a Russia real estate Research Analyst at Merrill Lynch in 2007 and later Small Cap sales and generalist Russia/CIS sales at Bank of America Merrill Lynch. She has been ranked top-10 Russia sales in Extel since 2011 (#2 in 2017-18), having also been recognized among top alpha generators among global bulge bracket firms for Europe by TIM, incl #1 ranking for 2016and #2 for 2017. she graduated from Kenyon College in Gambier, Ohio (USA) with a B.A. degree in Economics, with Honors, and Mathematics.</t>
  </si>
  <si>
    <t>94869-82P</t>
  </si>
  <si>
    <t>Teddy Sagi</t>
  </si>
  <si>
    <t>Teddy</t>
  </si>
  <si>
    <t>Founder &amp; Entrepreneur</t>
  </si>
  <si>
    <t>teddy.sagi@playtech.com</t>
  </si>
  <si>
    <t>Mr. Teddy Sagi is the Founder and serves as Entrepreneur at Playtech. Mr. Sagi is an Angel Investor. He sold a 12% slice of Playtech for almost $400 million in 2016; he sold the rest for $88 million in November 2018. He has taken 4 companies public on London's AIM: Playtech, Market Tech, online payments processor SafeCharge and cybersecurity company Kape. He took Market Tech (now Labtech London) private in July 2017; it owns a portfolio of London property including tourist hot spot Camden Market. In 2019, he sold SafeCharge to the Canadian company, Nuvei for $889 million. His other investments include co-working spaces and technology startups.</t>
  </si>
  <si>
    <t>51478-93P</t>
  </si>
  <si>
    <t>Thierry Pilenko</t>
  </si>
  <si>
    <t>LanzaTech Global</t>
  </si>
  <si>
    <t>Pilenko</t>
  </si>
  <si>
    <t>Thierry</t>
  </si>
  <si>
    <t>www.lanzatech.com</t>
  </si>
  <si>
    <t>+1 (847) 324-2400</t>
  </si>
  <si>
    <t>Skokie, IL</t>
  </si>
  <si>
    <t>Illinois Science and Technology Park (ISTP), 8045 Lamon Avenue</t>
  </si>
  <si>
    <t>Skokie</t>
  </si>
  <si>
    <t>60077</t>
  </si>
  <si>
    <t>Mr. Thierry Pilenko is a Co-Founder and serves as a Board Member at P6 Technologies. He serves as Board Member at DeepIQ. He serves as Partner at Tupper Lake Partners. He serves as Board Member at LanzaTech. He serves as a Board Member at LanzaTech and Valaris. He served as Director at Hercules Offshore. He serves as an Advisor at Lavni Ventures. He serves as a Board Member at Trident Energy Management. He MC plc, a project management and equipment company resulting from the merger of Technip and FMC Technologies. Prior to this Thierry was Chairman and Chief Executive Officer of Technip, a world leader in engineering, technologies and project management for the oil and gas industry. Before joining Technip in 2007, Thierry was Chairman and Chief Executive Officer of Veritas DGC, a seismic services company based in Houston. While at Veritas DGC he successfully managed its merger with Compagnie Générale de Géophysique (CGG). Prior to this appointment, Thierry held various management and executive positions with Schlumberger where he started in 1984 as a Geologist. He held several international positions in Europe, Africa, the Middle East, and Asia before becoming President of Schlumberger-GeoQuest in Houston and subsequently Managing Director of SchlumbergerSema in Paris until 2004. He currently serves as a Non-Executive Director on the boards of Arkema SA, Trident Energy and Rely Solutions. Previously Thierry was a Director of Veritas DGC, CGGVeritas, Technip SA, Peugeot SA, Hercules Offshore, Valaris, TechnipFMC and Ensign Natural Resources. He is the founder of Pil &amp; Co LLC, a consulting firm in strategy and leadership and the co-founder of P6 Technologies, a software platform for carbon lifecycle analysis. Thierry holds Engineering degrees from France's Nancy School of Geology (1981) and the IFP School (1982).</t>
  </si>
  <si>
    <t>176700-52P</t>
  </si>
  <si>
    <t>Thom Albrecht</t>
  </si>
  <si>
    <t>Celadon Group</t>
  </si>
  <si>
    <t>Albrecht</t>
  </si>
  <si>
    <t>Thom</t>
  </si>
  <si>
    <t>www.celadontrucking.com</t>
  </si>
  <si>
    <t>thom.albrecht@reliancepartners.com</t>
  </si>
  <si>
    <t>Indianapolis, IN</t>
  </si>
  <si>
    <t>9503 East 33rd Street</t>
  </si>
  <si>
    <t>Indianapolis</t>
  </si>
  <si>
    <t>Indiana</t>
  </si>
  <si>
    <t>46235</t>
  </si>
  <si>
    <t>Mr. Thom Albrecht serves as Chief Revenue Officer, previously served as Chief Financial Officer at Reliance Partners. Mr. Albrecht served as Chief Strategy Officer at Celadon Group. He has been a transportation industry financial analyst since 1988 and currently serves as President of Sword &amp; Sea Transport, a consulting company focusing on market research, growth strategies, and capacity overviews for freight transportation carriers and shippers. Prior to joining Sword &amp; Sea Transport, he served as a Managing Director at BB&amp;T Capital Markets for 12 years. His coverage included truckload and LTL carriers, intermodal, selected equipment companies, freight brokerage, and freight forwarding. He has been quoted on the industry by the national media, including the Wall Street Journal, Logistics Management, Transport Topics, and the Journal of Commerce and he has been a featured speaker at several industry events. Before rejoining BB&amp;T in 2009, He was a Managing Director at Stephens Inc. and has also followed the sector at ABN AMRO, Inc., and A.G. Edwards. He has provided advice and insight to numerous companies, including public and private carriers' teams and their boards of directors, as well as shippers' teams and has been involved with approximately 40 IPO, follow-on, and secondary public stock offerings. He repeatedly has been recognized as a Wall Street Journal All-Star, per its analyst rankings, and as the best analyst in his sector among regional/boutique firms by Institutional Investor magazine. He was designated a Chartered Financial Analyst and holds a B.S. in business administration with a Finance major from the University of Central Missouri. He is on the Federal Reserve Beige Book committee and also on the Board of Directors for Forward Air Corporation (NASDAQ: FWRD), a transportation and logistics company servicing the air freight and expedited LTL industry.</t>
  </si>
  <si>
    <t>59932-72P</t>
  </si>
  <si>
    <t>Thomas Fanning</t>
  </si>
  <si>
    <t>Fanning</t>
  </si>
  <si>
    <t>Thomas</t>
  </si>
  <si>
    <t>Mr. Thomas Fanning served as Chairman of the Board of Directors, Chief Executive Officer and president at Southern Company. His knowledge of our business and the utility industry, understanding of the complex regulatory structure of the industry, and experience in strategy development and execution uniquely qualify him to be the Chairman of the Board. Mr. Fanning has held numerous leadership positions across the Southern Company system during his more than 30 years with the Company. He served as Executive Vice President and Chief Operating Officer of the Company from 2008 to 2010, leading the Company's generation and transmission, engineering and construction services, research and environmental affairs, system planning, and competitive generation business units. He served as the Company's Executive Vice President and Chief Financial Officer from 2003 to 2008, where he was responsible for the Company's accounting, finance, tax, investor relations, treasury, and risk management functions. In those roles, he also served as the chief risk officer and had responsibility for corporate strategy. Mr. Fanning was on the Board of Southern Power, a subsidiary of Southern Company. He also serves as a Board Member at the Vulcan Materials Company</t>
  </si>
  <si>
    <t>210649-42P</t>
  </si>
  <si>
    <t>Thompson Baker II</t>
  </si>
  <si>
    <t>Thompson</t>
  </si>
  <si>
    <t>bakert@vmcmail.com</t>
  </si>
  <si>
    <t>Mr. Thompson Baker served as Chief Operating Officer at Vulcan Materials Company. He previously served as senior vice president with senior corporate management responsibility for the Mideast, Southeast, Southwest, and Southern &amp; Gulf Coast Divisions. Prior to serving as senior vice president, Mr. Baker was president and chief executive officer of Patriot Transportation Holding, Inc. and Florida Rock Properties. He also served as president of Vulcan's Florida Rock Division from 2008 to 2010. Prior to that, Mr. Baker spent 24 years in various leadership capacities at Florida Rock Industries, Inc., before its acquisition by Vulcan in 2007. Mr. Baker is a graduate of Davidson College with a Bachelor of Science degree in History.</t>
  </si>
  <si>
    <t>260887-87P</t>
  </si>
  <si>
    <t>Thorsten Weimann</t>
  </si>
  <si>
    <t>Weimann</t>
  </si>
  <si>
    <t>Thorsten</t>
  </si>
  <si>
    <t>Managing Director &amp; Chief Development Officer</t>
  </si>
  <si>
    <t>tweimann@v-er.eu</t>
  </si>
  <si>
    <t>Mr. Thorsten Weimann serves as Managing Director &amp; Chief Development Officer at Vulcan Energy Resources. He served as Chief Operating Officer at Gec-co Global Engineering and Consulting. He has a more than 25 years of professional experience in the fields of geothermal energy and drilling technology. He is the technical managing director of the German Geothermal Association..</t>
  </si>
  <si>
    <t>410344-39P</t>
  </si>
  <si>
    <t>Tiago Miranda</t>
  </si>
  <si>
    <t>Atlas Lithium</t>
  </si>
  <si>
    <t>Miranda</t>
  </si>
  <si>
    <t>Tiago</t>
  </si>
  <si>
    <t>www.atlas-lithium.com</t>
  </si>
  <si>
    <t>+55 83 3661 7900</t>
  </si>
  <si>
    <t>tiago.miranda@atlas-lithium.com</t>
  </si>
  <si>
    <t>Belo Horizonte, Brazil</t>
  </si>
  <si>
    <t>Rua Buenos Aires</t>
  </si>
  <si>
    <t>10-14th Floor</t>
  </si>
  <si>
    <t>Belo Horizonte</t>
  </si>
  <si>
    <t>MG</t>
  </si>
  <si>
    <t>30315-570</t>
  </si>
  <si>
    <t>Brazil</t>
  </si>
  <si>
    <t>Mr. Tiago Miranda serves as Chief Financial Officer, Principal Accounting Officer and Treasurer at Atlas Lithium. From February 2024 until July 2024, Mr. Miranda was the Chief Financial Officer of Apollo Resources Corporation, a private company and a subsidiary of Atlas Lithium. In such capacity, Mr. Miranda managed all of Apollo Resources' financial and administrative related processes, including treasury, accounting, tax, and financial planning and budgeting. Previously, from May 2020 to December 2023, Mr. Miranda was the senior financial officer for the Brazilian operations of Horizonte Minerals Plc., a British publicly listed company with two nickel projects in Brazil. During his tenure, he successfully contributed to securing project financing of US$713 million for a ferronickel project and an additional $300 million Brazilian real credit facility with Banco da Amazônia. Between November 2019 to April 2020, Mr. Miranda held the position of Financial Controller for the Brazilian operations at Equinox Gold, a Canadian publicly listed gold producer. From March 2008 to October 2019, Mr. Miranda served as the Controller of Ferrous Resources Ltd., an iron producer partially owned by Icahn Enterprises, a NYSE-listed company. He actively contributed to the development of company projects from exploration through construction and operation and was also heavily involved in Ferrous Resources' US$550 million sale to Vale S/A, the largest Brazilian mining company. From September 2005 to March 2008, Mr. Miranda was an auditor with Deloitte Touche Tohmatsu in Brazil. He has an undergraduate degree in Business Administration and Accounting, and a Master of Business Administration, both from IBMEC in Brazil.</t>
  </si>
  <si>
    <t>254185-39P</t>
  </si>
  <si>
    <t>Tim Cahill</t>
  </si>
  <si>
    <t>Lockheed Martin</t>
  </si>
  <si>
    <t>Cahill</t>
  </si>
  <si>
    <t>Tim</t>
  </si>
  <si>
    <t>www.lockheedmartin.com</t>
  </si>
  <si>
    <t>President, Missiles and Fire Control</t>
  </si>
  <si>
    <t>+1 (877) 314-8442</t>
  </si>
  <si>
    <t>tim.cahill@lmco.com</t>
  </si>
  <si>
    <t>Bethesda, MD</t>
  </si>
  <si>
    <t>6801 Rockledge Drive</t>
  </si>
  <si>
    <t>Bethesda</t>
  </si>
  <si>
    <t>20817</t>
  </si>
  <si>
    <t>Mr. Tim Cahill serves as President, Missiles and Fire Control at Lockheed Martin. In this role, Mr. Cahill is focused on bringing integrated solutions to customers who rely on Lockheed Martin's capabilities and technologies to support their missions and address their most pressing needs. His responsibilities also include establishing comprehensive strategies across the enterprise that will enable future growth. Prior to assuming his new role. He previously served as senior vice president of Global Business Development &amp; Strategy Mr. Cahill served as senior vice president for Lockheed Martin International, and before that, vice president, of Integrated Air, and Missile Defense (IAMD) Systems for Lockheed Martin Missiles and Fire Control. In this capacity, he managed several significant programs, including Terminal High Altitude Area Defense (THAAD), Patriot PAC-3 Missile, Medium Extended Air Defense System (MEADS), and numerous other emerging IAMD technologies. Before joining Missiles and Fire Control, Mr. Cahill worked at Lockheed Martin Space Systems Company, where he held various senior leadership positions. He served as Vice President of Engineering and Technology and, more recently as, Vice President and General Manager of Strategic and Missile Defense Systems, where he was responsible for over 4,000 employees in the US, UK, and Marshall Islands. While at Space Systems Company, Mr. Cahill oversaw various critical US military efforts, including the US Navy's Trident II D5 Fleet Ballistic Missile program as well as the US Air Force's Intercontinental Ballistic Missile program. Mr. Cahill joined Lockheed Martin in 1995, following a distinguished career as an officer in the US Air Force, where he managed the integration and launch of twenty military, NASA, and classified spacecraft on Space Shuttle, Titan, and Atlas launch vehicles. He holds a patent for a modular spacecraft bus design. Mr. Cahill holds Bachelor's and Master of Science degrees in Aeronautical and Astronautical Engineering from Purdue University and a Master's in Business from Stanford University. He has also completed the Executive Program Manager's Course at the Defense Systems Management College at Ft. Belvoir, VA.</t>
  </si>
  <si>
    <t>298132-21P</t>
  </si>
  <si>
    <t>Tim Jarman</t>
  </si>
  <si>
    <t>Microsoft</t>
  </si>
  <si>
    <t>Jarman</t>
  </si>
  <si>
    <t>www.microsoft.com</t>
  </si>
  <si>
    <t>EMEA Diversity &amp; Inclusion Leader</t>
  </si>
  <si>
    <t>+1 (800) 285-7772</t>
  </si>
  <si>
    <t>tjarman@microsoft.com</t>
  </si>
  <si>
    <t>One Microsoft Way</t>
  </si>
  <si>
    <t>Mr. Tim Jarman serves as EMEA Diversity &amp; Inclusion Leader at Microsoft. Mr. Jarman is an experienced &amp; passionate Diversity &amp; Inclusion professional of over 16 years, building cultures of allyship, inclusion, and belonging. Specialist in Allyship, Inclusive Leadership, ERG/employee network governance, LGBTQI+ inclusion, employee diversity data, and self-identification. I joined Microsoft in 2020 after over 15 years at EY, where I joined the firm's Diversity &amp; Inclusiveness team in 2007 after several years in EY's Human Capital team. Before joining EY, I spent 4.5 years at Fidelity International, including time working in India on offshoring projects. I'm proud to have been named in the UK Pride Power List 2016 - 2023. Education-wise, I hold a BSc International Studies (Hons) degree from the Open University, which I achieved during my time at E, Y, and have more recently achieved a Level 6 Certificate in Leadership and Management from the Chartered Management Institute (CMI). In 2019, I was also proud to have taken part in the first cohort of ESCP Europe Business School's LGBT+ Leadership Programme.</t>
  </si>
  <si>
    <t>274010-77P</t>
  </si>
  <si>
    <t>Timothy Burgess</t>
  </si>
  <si>
    <t>Lifecore Biomedical (Pharmaceuticals) (Former)</t>
  </si>
  <si>
    <t>Burgess</t>
  </si>
  <si>
    <t>Timothy</t>
  </si>
  <si>
    <t>www.lifecore.com</t>
  </si>
  <si>
    <t>Senior Vice President &amp; Vice President</t>
  </si>
  <si>
    <t>Mr. Timothy Burgess serves as Senior Vice President, Supply Chain at Curation Foods. Prior to Curation Foods, Mr. Burgess served as Vice President, Global Manufacturing at Trident Seafoods. Mr. Burgess also held several leadership roles throughout his tenure at Mead Johnson Nutrition, where he ran end-to-end supply chain operations in high-growth international regions, oversaw acquisition integration and delivered capital projects on time and on budget. His deep experience within the food industry includes management positions at The Dannon Company, Basic Vegetable Products L.P., Sunkist Growers Inc., Nestle/Carnation Company and Golden Cheese Company of California.</t>
  </si>
  <si>
    <t>446295-52P</t>
  </si>
  <si>
    <t>Tirza Ottolenghi</t>
  </si>
  <si>
    <t>Inrom Industries</t>
  </si>
  <si>
    <t>Ottolenghi</t>
  </si>
  <si>
    <t>Tirza</t>
  </si>
  <si>
    <t>inrom-group.co.il</t>
  </si>
  <si>
    <t>+972 (0)3 971 8181</t>
  </si>
  <si>
    <t>Lod, Israel</t>
  </si>
  <si>
    <t>Golan Street, Golan House</t>
  </si>
  <si>
    <t>Lod</t>
  </si>
  <si>
    <t>70151</t>
  </si>
  <si>
    <t>+972 (0)3 971 8193</t>
  </si>
  <si>
    <t>Ms. Tirza Florentin Ottolenghi, Director. BA in Economics from Tel Aviv University; MA in Economics and Business from Tel Aviv University; Graduate of the Executive Program from Harvard Business School ;Graduate of the Advanced Program for Directors - Corporate Management - Lahav, Faculty of Management Tel Aviv University and the Governmental Companies Authority; Graduate of the Advanced Financial Training Course for Directors - Deloitte Brightman Almagor; Graduate of the Directors and Senior Officers Course - Lahav, Faculty of Management, Tel Aviv University; Independent Investment Manager through Epsilon Investment House Ltd. from 2009 to the present. CEO at Gaon Group Ltd. (term ended September 2023); CEO at Vulcan Industries Ltd. (term ended); CEO at Ratio Financing Ltd. (term ended); CEO at Kfarit Industries Ltd. (term ended); CEO at Belbad Industries Ltd. (term ended); CEO at Israel Ports Ltd. (term ended); Director of Agriculture Business Kfar Aza; Director of Sincopa; Managing Director of Malran Projects Ltd; Managing Director of Extel Limited Ltd; Managing Director of the company.</t>
  </si>
  <si>
    <t>248873-14P</t>
  </si>
  <si>
    <t>Todd Lant</t>
  </si>
  <si>
    <t>Blackbaud</t>
  </si>
  <si>
    <t>Lant</t>
  </si>
  <si>
    <t>Todd</t>
  </si>
  <si>
    <t>www.blackbaud.com</t>
  </si>
  <si>
    <t>Chief Customer Officer</t>
  </si>
  <si>
    <t>+1 (843) 216-6200</t>
  </si>
  <si>
    <t>todd.lant@blackbaud.com</t>
  </si>
  <si>
    <t>65 Fairchild Street</t>
  </si>
  <si>
    <t>29492</t>
  </si>
  <si>
    <t>+1 (843) 216-6100</t>
  </si>
  <si>
    <t>Mr. Todd Lant serves as Chief Customer Officer at Blackbaud. Mr. Todd Lant served as Chief Information Officer at Blackbaud. He is responsible for helping Blackbaud power social good by leading the company's enterprise information technology and cybersecurity strategy. With 25 years of experience in IT, he leads Blackbaud's global IT digital transformation, business applications, operations, project management, governance, and infrastructure. Since joining Blackbaud in May 2003, he has helped lead the company through significant growth and helped develop subscription and cloud-based solution offerings and supporting platforms. In addition, Todd leads Blackbaud's Cybersecurity team, a critical partner with Research, Delivery and Operations to protect the company's and its customers' data and infrastructure. Prior to Blackbaud, Todd held various IT leadership positions in commercial software and telecommunications. He speaks on digital transformation and technology trends at industry and community events and contributes to regional technology development. Todd serves as a board member at the Charleston Digital Corridor, Trident United Way, and the YMCA of Greater Charleston. He is also an advisory board member to The Citadel's Department of Engineering Leadership &amp; Program Management and Charleston Southern University's Computer Science Department. He holds a BS in computer science and an MBA from Georgia State University.</t>
  </si>
  <si>
    <t>210650-77P</t>
  </si>
  <si>
    <t>Todd Vencil</t>
  </si>
  <si>
    <t>Vencil</t>
  </si>
  <si>
    <t>Vice President and General Manager - Florida / Bahamas</t>
  </si>
  <si>
    <t>Mr. L. Todd Vencil serves as Vice President and General Manager - Florida / Bahamas at Vulcan Materials Company. He joined Vulcan in July 2016. Mr. Vencil previously worked as the managing director, equity research with Sterne Agee and Leach/Sterne Agee CRT in Richmond, Virginia, where he followed companies in a variety of industries, including construction materials and building products. He earned a Bachelor of Arts degree from the University of Virginia with a dual major in Philosophy and English Literature and is a CFA charter holder.</t>
  </si>
  <si>
    <t>31405-33P</t>
  </si>
  <si>
    <t>Tom Grams</t>
  </si>
  <si>
    <t>Intel (Former)</t>
  </si>
  <si>
    <t>Grams</t>
  </si>
  <si>
    <t>Tom</t>
  </si>
  <si>
    <t>www.intel.com</t>
  </si>
  <si>
    <t>Head</t>
  </si>
  <si>
    <t>Tom Grams serves as Head of Content Portfolios for Intel Corporation's Media Group. He is a 20-year veteran of the U.S. and international television industry. He has been an executive at, and senior consultant to some of the world's most successful media companies. As one of Discovery Channel's early employees, Tom helped that company grow to become the world's largest producer of non-fiction entertainment. At Discovery, he also helped to launch The Learning Channel (TLC). He was a co-founder of the cable network, ZDTV for Ziff Davis, which was sold to Paul Allen and became TechTV. As General Manager of TechTV International, Tom launched channels across Asia and created TechTV Canada. His recent clients have included HGTV, Discovery Communications, Universal Music Group, CNET, Edmunds, and Underground film. Tom is a partner with William Randolph Hearst III in San Simeon Releasing, a digital media investment company. He sits on the Advisory Board of Broadband Media companies, including, TurnHere.com, ForaTV, and InDplay.com. He earned an MBA in international finance from George Washington University and a BA in political science from Minnesota State University.</t>
  </si>
  <si>
    <t>96960-16P</t>
  </si>
  <si>
    <t>Tom MacNeill</t>
  </si>
  <si>
    <t>MacNeill</t>
  </si>
  <si>
    <t>Co-Chief Executive Officer &amp; Director</t>
  </si>
  <si>
    <t>Mr. Tom MacNeill serves as Co-Chief Executive Officer &amp; Director at Trident Resources. As a member of a multi-generational mining family, he has held key positions as a director or executive officer of several companies, including Claude Resources, Omineca Mining and Metals Ltd., 49 North Resources Inc., Royal Helium, FNR Energy Inc., FNR Energy II Inc., and FNR Energy III Inc. His rich experience covers all facets of exploration, project development, and finance within the mining sector. Notable corporate development achievements include the early stage financing and development of Athabasca Potash (acquired by BHP), Rallymont Energy (acquired by Husky Energy), Copper Canyon Resources (acquired by Novagold), and Prairie Hunter Energy (acquired by Renegade Energy). His track record of success and experience is further underscored by his prior positions as an Investment Advisor with a major brokerage house and as the CFO of Pacific Western Trust (now Schedule 1 Canadian Chartered Bank Versabank).</t>
  </si>
  <si>
    <t>339229-36P</t>
  </si>
  <si>
    <t>Tong Zhu</t>
  </si>
  <si>
    <t>Lobo Technologies</t>
  </si>
  <si>
    <t>Zhu</t>
  </si>
  <si>
    <t>Tong</t>
  </si>
  <si>
    <t>www.loboebike.com</t>
  </si>
  <si>
    <t>+86 (0)510 8858 4252</t>
  </si>
  <si>
    <t>tzhu@loboai.com</t>
  </si>
  <si>
    <t>Wuxi, China</t>
  </si>
  <si>
    <t>Gemini Mansion B 901</t>
  </si>
  <si>
    <t>I Park, No. 18-17 Zhenze Road</t>
  </si>
  <si>
    <t>Wuxi</t>
  </si>
  <si>
    <t>Xinwu District</t>
  </si>
  <si>
    <t>214111</t>
  </si>
  <si>
    <t>Ms. Tong Zhu serves as Chief Financial Officer at Lobo Ev Technologies. She has more than 25 years of experience in accounting and finance. From March 2016 to October 2022, She served as CFO of Dandehill Supply Chain Co., Ltd., a supply chain company. From February 2006 to November 2015, She served in various roles with Caterpillar Inc. (NYSE: CAT), where she gained solid experience in manufacturing management accounting. From August 2004 to October 2005, He worked as an accountant with Fleishman Hillard (NYSE: OMC) in Australia. She is a Certified Public Accountant of Australia and a Certified Internal Auditor. She received her Bachelor's degree in Finance from Shandong University of Finance and Economics in 1996 and her Master's degree in Accounting from Macquarie University, Sydney in 2004.</t>
  </si>
  <si>
    <t>151742-35P</t>
  </si>
  <si>
    <t>Tony Buffin</t>
  </si>
  <si>
    <t>DFS Furniture</t>
  </si>
  <si>
    <t>Buffin</t>
  </si>
  <si>
    <t>Tony</t>
  </si>
  <si>
    <t>www.dfscorporate.co.uk</t>
  </si>
  <si>
    <t>Doncaster, United Kingdom</t>
  </si>
  <si>
    <t>1 Rockingham Way</t>
  </si>
  <si>
    <t>Redhouse Interchange, Adwick-le-Street</t>
  </si>
  <si>
    <t>Doncaster</t>
  </si>
  <si>
    <t>DN6 7NA</t>
  </si>
  <si>
    <t>Mr. Anthony Buffin serves as Non-Executive Partner and Board Member at Ama Capital. He is a Board Member and Member of the Audit, Remuneration, Responsible and Sustainable Business, and Nomination Committee at DFS Furniture. He served as a Board Member at Kingfisher, Bathrooms.com, and TheVeganKind. Mr. Buffin served as Chief Executive Officer and Board Member at Holland &amp; Barrett. He also serves as Non-Executive Director at Tyrefix UK. He served as Chief Operating Officer and Board Member at Travis Perkins. He was appointed Chief Operating Officer in 2017. Mr. Buffin served as Chairman at International Decorative Surfaces. With operational and commercial responsibility for the Plumbing and Heating division, he also leads the development of our Toolstation business and is a member of the Executive Committee and PLC Board. He serves as Chairman at Ashleigh &amp; Burwood and The Vegan Kind.</t>
  </si>
  <si>
    <t>404152-30P</t>
  </si>
  <si>
    <t>Tony Perri</t>
  </si>
  <si>
    <t>Perri</t>
  </si>
  <si>
    <t>Investor Relations Manager</t>
  </si>
  <si>
    <t>Mr. Tony Perri serves as Investor Relations Manager at Trident Resources.</t>
  </si>
  <si>
    <t>301942-99P</t>
  </si>
  <si>
    <t>Trevor Westacott</t>
  </si>
  <si>
    <t>Westacott</t>
  </si>
  <si>
    <t>Trevor</t>
  </si>
  <si>
    <t>trevor.westacott@playtech.com</t>
  </si>
  <si>
    <t>Mr. Trevor Westacott serves as Vice President, Marketing at Playtech.</t>
  </si>
  <si>
    <t>393438-16P</t>
  </si>
  <si>
    <t>Tristan Bautil</t>
  </si>
  <si>
    <t>Gladstone Investment Corp BDC</t>
  </si>
  <si>
    <t>Bautil</t>
  </si>
  <si>
    <t>Tristan</t>
  </si>
  <si>
    <t>www.gladstoneinvestment.com</t>
  </si>
  <si>
    <t>Senior Associate</t>
  </si>
  <si>
    <t>+1 (703) 287-5829</t>
  </si>
  <si>
    <t>tristan.bautil@gladstonecompanies.com</t>
  </si>
  <si>
    <t>McLean, VA</t>
  </si>
  <si>
    <t>1521 Westbranch Drive</t>
  </si>
  <si>
    <t>McLean</t>
  </si>
  <si>
    <t>22102</t>
  </si>
  <si>
    <t>Mr. Tristan Bautil serves as a Senior Associate at Gladstone Investment Corp BDC. He joined Gladstone in 2024. Before joining Gladstone, he worked as an Associate in the Diversified Industrials Investment Banking Group at Stephens Inc., where he advised on numerous M&amp;A transactions in the Aerospace &amp; Defense sector. He earned a BA in Economics and Finance from the College of William &amp; Mary.</t>
  </si>
  <si>
    <t>227805-49P</t>
  </si>
  <si>
    <t>Vadim Geraskin</t>
  </si>
  <si>
    <t>Geraskin</t>
  </si>
  <si>
    <t>Vadim</t>
  </si>
  <si>
    <t>Mr. Vadim Geraskin serves as Board Member at En+ Group Ltd.</t>
  </si>
  <si>
    <t>178736-14P</t>
  </si>
  <si>
    <t>Valerie Oswalt</t>
  </si>
  <si>
    <t>Campbell's (Former)</t>
  </si>
  <si>
    <t>Oswalt</t>
  </si>
  <si>
    <t>Valerie</t>
  </si>
  <si>
    <t>www.thecampbellscompany.com</t>
  </si>
  <si>
    <t>Executive Vice President and President Campbell Snacks</t>
  </si>
  <si>
    <t>valerie_oswalt@campbells.com</t>
  </si>
  <si>
    <t>Ms. Valerie J. Oswalt serves as Executive Vice President and President Campbell Snacks at Campbell Soup. She served as Chief Executive Officer at Century Snacks. She served as President, US Sales at Mondelēz International. She also serves on the Board of The Network of Executive Women. She has more than two decades of experience in the snack food industry, leading both large and established brands in senior positions at Kraft Foods and Mondelēz International, as well as at fast-growing start-ups. Oswalt most recently served as CEO of Century Snacks, a privately held trail mix and nut products company, where she led the turnaround of the business with a portfolio of more than 400 branded, private label and commercial products. Previously, she held the position of President of Mondelēz's North American Confections business, a $1.5 billion portfolio that included well-known brands such as Oreo, Cadbury, Trident, Halls and Sour Patch Kids. Earlier in her career, she held executive roles including President of North American Sales at Mondelēz and Vice President, Walmart Customer Team Coffee, Beverage and Grocery at Kraft Foods Group. She began her career as an accountant at Deloitte. Oswalt earned her MBA in Marketing, Strategy and Finance from the Northwestern University Kellogg Graduate School of Management and her B.A. in Economics and Accounting from Queens College, City University of New York. She is a member of the Board of Directors for FMI - The Food Industry Association.</t>
  </si>
  <si>
    <t>90240-94P</t>
  </si>
  <si>
    <t>Varshan Gokool</t>
  </si>
  <si>
    <t>Euromax Resources (Former)</t>
  </si>
  <si>
    <t>Gokool</t>
  </si>
  <si>
    <t>Varshan</t>
  </si>
  <si>
    <t>www.euromaxresources.com</t>
  </si>
  <si>
    <t>+44 (0)13 2664 0640</t>
  </si>
  <si>
    <t>v.gokool@cornishlithium.com</t>
  </si>
  <si>
    <t>Penryn, United Kingdom</t>
  </si>
  <si>
    <t>Tremough Innovation Centre</t>
  </si>
  <si>
    <t>Cornwall</t>
  </si>
  <si>
    <t>Penryn</t>
  </si>
  <si>
    <t>TR10 9TA</t>
  </si>
  <si>
    <t>Mr. Varshan Gokool serves as Chief Financial Officer &amp; Board Member at Cornish Lithium. He served as Chief Executive Officer at Euromax Resources. Previously VP and Treasurer at European Goldfields, where he was responsible for the sourcing and execution of debt financing for the Hellas Gold and Certej Projects, tax structuring, financial modelling, insurance and offtake negotiation. He has had a number of corporate and banking mining roles prior to European Goldfields, including being Treasurer at Katanga Mining Limited, a Vice President in Societe Generale's Mining Finance team and worked for Ashanti Goldfields as a Risk Manager. Mr. Gokool is a graduate of the University of Cape Town with a B.Bus.Sci (Finance), and is a CFA Charterholder.</t>
  </si>
  <si>
    <t>144377-65P</t>
  </si>
  <si>
    <t>Vasiliy Maguryan</t>
  </si>
  <si>
    <t>Maguryan</t>
  </si>
  <si>
    <t>Vasiliy</t>
  </si>
  <si>
    <t>Chief Executive Officer, VK Play</t>
  </si>
  <si>
    <t>Mr. Vasiliy Maguryan served as Chief Executive Officer, VK Play at VK Company. He joined the Mail.Ru Group in 2010. He served as Chief Executive Officer at My. Games. He has worked at IT-Territory since 2006 and later at Astrum Online. In 2010, he became head of IT-Territory, a studio that develops browser-based, social, and mobile games. Under Vasily's direction, the first projects at Astrum Online were localized and launched, and Mail.Ru Group's first mobile games were created. He has been the Deputy Chief of the company's Games Division since 2014. He graduated from Ivanovo State Power University, majoring in Software Support of Computing Machinery and Automated Systems.</t>
  </si>
  <si>
    <t>116452-36P</t>
  </si>
  <si>
    <t>Viktor Orlov</t>
  </si>
  <si>
    <t>Orlov</t>
  </si>
  <si>
    <t>Viktor</t>
  </si>
  <si>
    <t>Mr. Viktor Orlov served as Board Member at NOVATEK (Russia).</t>
  </si>
  <si>
    <t>64895-14P</t>
  </si>
  <si>
    <t>Vincent Intrieri</t>
  </si>
  <si>
    <t>Hertz</t>
  </si>
  <si>
    <t>Intrieri</t>
  </si>
  <si>
    <t>Vincent</t>
  </si>
  <si>
    <t>www.hertz.com</t>
  </si>
  <si>
    <t>+1 (239) 301-7000</t>
  </si>
  <si>
    <t>Estero, FL</t>
  </si>
  <si>
    <t>8501 Williams Road</t>
  </si>
  <si>
    <t>Estero</t>
  </si>
  <si>
    <t>33928</t>
  </si>
  <si>
    <t>Mr. Vincent Intrieri serves as Board Member at Hertz. He was employed by Carl C. Icahn related entities in various investment related capacities from 1998 to 2016, including as Senior Managing Director of Icahn Capital LP and as a Director of Icahn Enterprises. Prior to joining the Icahn organization, Mr. Intrieri served as a portfolio manager at Elliott Associates from 1995 to 1998. Mr. Intrieri is currently a director of Transocean, Ltd., Conduent Incorporated, Hertz Global Holdings, Inc. and Navistar International Corporation. Over the years, Mr. Intrieri has served as a director of several publicly traded energy companies, including: Chesapeake Energy Corporation, CVR Refining, LP, and National Energy Group, Inc. Additionally, Mr. Intrieri has served on numerous other board including Forest Laboratories Inc. and Motorola Solutions, Inc. Mr. Intrieri graduated, with Distinction, from the Pennsylvania State University with a B.S. in Accounting in 1984.</t>
  </si>
  <si>
    <t>70207-84P</t>
  </si>
  <si>
    <t>Vladimir Gabrielyan</t>
  </si>
  <si>
    <t>Gabrielyan</t>
  </si>
  <si>
    <t>Vladimir</t>
  </si>
  <si>
    <t>Head of Search and E-commerce Business Unit, Vice President &amp; Chief Technology Officer</t>
  </si>
  <si>
    <t>Mr. Vladimir Gabrielyan served as Vice-President, Chief Technology Officer and Head of the Search and E-commerce Business Unit at Mail.Ru. He began his career in the Mail.Ru Group in 2001 as a Unix developer. In 2003 he led the development and technical support of the company's largest project - mail service.</t>
  </si>
  <si>
    <t>204665-77P</t>
  </si>
  <si>
    <t>Vladimir Kiriukhin Ph.D</t>
  </si>
  <si>
    <t>Kiriukhin</t>
  </si>
  <si>
    <t>vkiriukhin@enplusgroup.com</t>
  </si>
  <si>
    <t>Dr. Vladimir Kiryukhin served as Chief Executive Officer at En + Group. idate of technical sciences. He oversees the Company's long-term strategy, business development and cooperation with key external stakeholders, including regulators. A long-serving member of En+ Group, Mr Kiriukhin has served as Chief Executive Officer of En+ Development since 2009. From 2001-2008, he held several top positions at EuroSibEnergo, En+ Group's 100% subsidiary, operating energy assets, including First Deputy CEO and CEO. Before joining the Company, he held senior positions at Russian Aluminium between 1999 and 2001. Mr Kiriukhin is the Chairman of the board of directors of PJSC Irkutskenergo and member of the board of directors of the JSC Krasnoyarsk Territory Development Corporation. Previously he held the position of Chairman of the Moscow Energy Exchange Mr. Kiriukhin has a degree in mathematics and a PhD in engineering.</t>
  </si>
  <si>
    <t>447296-50P</t>
  </si>
  <si>
    <t>Vladimir Kolmogorov</t>
  </si>
  <si>
    <t>Kolmogorov</t>
  </si>
  <si>
    <t>vkolmogorov@enplusgroup.com</t>
  </si>
  <si>
    <t>Mr. Vladimir Kolmogorov serves as Chief Executive Officer at En+ Group. He graduated from the Novosibirsk Electrotechnical Institute and started his career as a foreman at Krasnoyarsk HPP and then took the position of Senior Group Foreman at Sayano-Shushenskaya HPP. In 1989, he was appointed Director of Krasnoyarsk HPP, which he managed until 1997. He then moved to RAO UES of Russia, where he held senior positions in the management of generation facilities in Siberia. Between 2000 and 2016, he headed such energy companies as Siberian Energy Company, Irkutskenergo and OGK-3 and also served as an Advisor to the CEO of Norilsk Nickel. From 2016 to 2023, he served as first Deputy CEO of En+ for technical policy.</t>
  </si>
  <si>
    <t>181099-00P</t>
  </si>
  <si>
    <t>Vladislav Solovyev</t>
  </si>
  <si>
    <t>Solovyev</t>
  </si>
  <si>
    <t>Vladislav</t>
  </si>
  <si>
    <t>Mr. Vladislav Solovyev served as Chief Executive Officer at En+ Group. He was appointed to the Board of Directors of En+ Group in December, 2017. Since November 2014 he is CEO of UC RUSAL. Mr. Solovyev is responsible for UC RUSAL's long-term development, driving output growth of value-added products and entry into new strategic markets. From April 2010 to November 2014, Vladislav Solovyev served as First Deputy CEO and was responsible for the operational management with a focus on increasing UC RUSAL's business efficiency and improving production and financial performance. Between 2008 and 2010, Vladislav Solovyev was CEO of En+ Group. Between February 2001 and January 2008, he served as Head of RUSAL's Finance Directorate. Between 2000 and 2001, he was Director of RUSAL's Accounting Department. From 1998 to 2000, Mr Solovyev held the position of Deputy Director of the Department of Tax Policy and worked as an adviser to the Minister for Taxes of the Russian Federation. From 1994 to 1998, Vladislav Solovyev held various executive positions in UNICON/MC Consulting with responsibility for auditing oil and gas companies. Since 2013, Mr Solovyev has also served on the Board of PJSC MMC Norilsk Nickel. Vladislav Solovyev graduated Summa Cum Laude from the State Academy of Management and later received a degree from "Stankin" Moscow Technical University. He also graduated from the Finance Academy under the Government of the Russian Federation and earned an MBA degree from Antwerp University in Belgium.</t>
  </si>
  <si>
    <t>12053-08P</t>
  </si>
  <si>
    <t>W. Conn JD</t>
  </si>
  <si>
    <t>Charter Communications</t>
  </si>
  <si>
    <t>Conn</t>
  </si>
  <si>
    <t>W.</t>
  </si>
  <si>
    <t>Board Member, Member of Finance Committee &amp; Chairman of the Compensation and Benefits Committee</t>
  </si>
  <si>
    <t>+1 (203) 905-7800</t>
  </si>
  <si>
    <t>Stamford, CT</t>
  </si>
  <si>
    <t>400 Washington Boulevard</t>
  </si>
  <si>
    <t>10th Floor</t>
  </si>
  <si>
    <t>Stamford</t>
  </si>
  <si>
    <t>06902</t>
  </si>
  <si>
    <t>+1 (203) 564-1377</t>
  </si>
  <si>
    <t>Mr. W. Lance Conn serves as a Board Member, Member of the Finance Committee &amp; Chairman of the Compensation and Benefits Committee at Charter Communications. He is the former president of Vulcan Capital. He was is responsible for managing the diverse multi-billion-dollar investment portfolio of Vulcan. He sits on the boards of Charter Communications, Vulcan Energy Corporation, Oxygen Media, PAA/Vulcan Gas Storage, and Diego and serves as an advisory director for Makena Capital Management. He is also on the boards of the Seattle Seahawks and the Portland Trailblazers. Prior to joining Vulcan, he worked for America Online, where he served in various senior business and corporate development roles in the United States and Europe and helped lead a company-wide effort in 2002 to restructure and optimize the company's operations. Prior to AOL, he was an attorney with the Shaw Pittman law firm in Washington, D.C. He holds a J.D. from the University of Virginia, a master's degree in history from the University of Mississippi and an A.B. in history from Princeton University. He serves on the board of Charter Communications.</t>
  </si>
  <si>
    <t>186018-13P</t>
  </si>
  <si>
    <t>Walter Shamu</t>
  </si>
  <si>
    <t>Orion Minerals (Multi-line Mining) (Former)</t>
  </si>
  <si>
    <t>Shamu</t>
  </si>
  <si>
    <t>Walter</t>
  </si>
  <si>
    <t>www.orionminerals.com.au</t>
  </si>
  <si>
    <t>Mr. Walter Shamu served as Chief Operating Officer at Orion Minerals (Multi-line Mining). He is a mining engineer with a B.Eng (Mining Engineering) and a Masters in Engineering (Rock Mechanics) from Curtin University as well as an LLB (Law) from Macquarie University in Australia. He spent 12 years in the Australasian mining industry with Henry Walter Eltin, Western Mining, and Gold Fields. He moved to South Africa in 2007 where he has held technical and corporate roles with Gold Fields, ERG, and Taurus Gold on exploration projects, mine development, and mining operations throughout Africa.</t>
  </si>
  <si>
    <t>47290-33P</t>
  </si>
  <si>
    <t>Walter Witoshkin</t>
  </si>
  <si>
    <t>FluoroPharma</t>
  </si>
  <si>
    <t>Witoshkin</t>
  </si>
  <si>
    <t>www.fluoropharma.com</t>
  </si>
  <si>
    <t>+1 (973) 744-1565</t>
  </si>
  <si>
    <t>Montclair, NJ</t>
  </si>
  <si>
    <t>8 Hillside Avenue</t>
  </si>
  <si>
    <t>Suite 108</t>
  </si>
  <si>
    <t>Montclair</t>
  </si>
  <si>
    <t>07042</t>
  </si>
  <si>
    <t>+1 (973) 744-7617</t>
  </si>
  <si>
    <t>Walter Witoshkin has been a member of our Board since February 14, 2011. Mr. Witoshkin was the chairman and chief executive officer of QuantRx Biomedical Corporation, a medical technology company from April 2005 through August 2010. Mr. Witoshkin has held executive positions in the healthcare and pharmaceutical industries including senior financial positions at Wyeth Labs (American Cyanimade), VP Business Development and chief financial officer positions at SmithKline Beecham (now Glaxo SmithKline) and Menley &amp; James Laboratories, Inc. He is a founding partner of the Trident Group, a global consultancy to the pharmaceutical industry.</t>
  </si>
  <si>
    <t>31515-49P</t>
  </si>
  <si>
    <t>Warren Stephens</t>
  </si>
  <si>
    <t>Dillard's (Former)</t>
  </si>
  <si>
    <t>Stephens</t>
  </si>
  <si>
    <t>www.dillards.com</t>
  </si>
  <si>
    <t>+1 (501) 377-2148</t>
  </si>
  <si>
    <t>warrenstephens@stephens.com</t>
  </si>
  <si>
    <t>111 Center Street</t>
  </si>
  <si>
    <t>72201</t>
  </si>
  <si>
    <t>Mr. Warren Stephens serves as Chairman at Stephens. He also serves as Board Member at Dillard's. A graduate of Washington and Lee University, he received his BA in economics and later received his MBA from Wake Forest University. He was named President and Chief Executive Officer in 1986, succeeding his father, Jack Stephens. He was named Chairman in 2005. Under his leadership, the firm has remained true to its mission of providing capital to middle-market and small-cap companies while expanding into major U.S. markets and opening Stephens Europe offices in London and Frankfurt. Through its public finance arm, Stephens Inc. has been recognized for its integral role in revitalizing local economies, underwriting infrastructure and education projects around the Southeastern United States. He has been vocal in his belief that banks should remain modestly leveraged, pointing to his own company's ability to weather the economic downturn of 2008 without government assistance. He is equally vocal in his support of capitalism, frequently speaking around the country to industry associations, students, and business leaders about capitalism's unmatched power to lift people out of poverty, create jobs, and stabilize communities. He has served on the NASD District Conduct Committee, and ended his tenure as its chairman. He currently serves on the Board of Directors of Dillard's Inc. and is a former member of the Board of Trustees at Washington and Lee University, and he co-chaired the successful Capital Campaign that concluded in June, 2015. Civic and community involvements include: chairman of the board of the Arkansas Museum of Fine Arts; chair of the Arkansas Museum of Fine Arts Foundation Board (current); co-chair of the Arkansas Museum of Fine Arts Capital Campaign with his wife, Harriet C. Stephens (current); chair of Episcopal Collegiate School Foundation Board (current); chairman of the Capital Campaign to renovate the current theatre for the Arkansas Repertory Theatre; and the Board of Directors for the Central Arkansas Boys and Girls Club.</t>
  </si>
  <si>
    <t>14863-51P</t>
  </si>
  <si>
    <t>Wayne Houston</t>
  </si>
  <si>
    <t>Wayne</t>
  </si>
  <si>
    <t>VP, Human Resources</t>
  </si>
  <si>
    <t>Mr. Wayne Houston served as VP, Human Resources at Vulcan Materials.</t>
  </si>
  <si>
    <t>124386-94P</t>
  </si>
  <si>
    <t>Wei Cao</t>
  </si>
  <si>
    <t>Wei</t>
  </si>
  <si>
    <t>Executive Director</t>
  </si>
  <si>
    <t>Mr. Wei Cao served as Executive Director at China City Railway Transportation Technology. He was appointed as Director on 7 January 2011 and redesignated as executive Director on 7 December 2011. Mr. Cao joined Group in April 2009. Mr. Cao is a director and is indirectly interested in the shares of ERG Transportation (Greater China) Pty Ltd ("ERG Greater China"). Mr. Cao has over 14 years of experience in the management technology and communications industry and has developed business relationship and networks in the industry, Mr. Cao has been serving as director of ERG BJ and ERG HK since his appointment in May 2011 and April 2010, respectively. He had been a director and the general manager of Beijing Enterprises Teletron Information Technology, a company which became a subsidiary of Beijing Development in 2001. From 2005 to 2010, Mr. Cao was an executive director and vice president of Beijing Development (Hong Kong) Limited (a company listed on the Main Board of the Stock Exchange (Stock Code: 154)). From 1996 to 2001, Mr. Cao was the general manager of Beijing Telecom Network Technology. Mr. Cao obtained a bachelor's degree in industrial automation from Harbin Institute of Technology in July 1985 and received his certification as senior engineer in 1996. Mr. Cao subsequently obtained an executive MBA (EMBA) from Tsinghua University in July 2009.</t>
  </si>
  <si>
    <t>15681-52P</t>
  </si>
  <si>
    <t>Wendy Teramoto</t>
  </si>
  <si>
    <t>The Greenbrier Companies</t>
  </si>
  <si>
    <t>Teramoto</t>
  </si>
  <si>
    <t>Wendy</t>
  </si>
  <si>
    <t>www.gbrx.com</t>
  </si>
  <si>
    <t>+1 (503) 684-7000</t>
  </si>
  <si>
    <t>Lake Oswego, OR</t>
  </si>
  <si>
    <t>One Centerpointe Drive</t>
  </si>
  <si>
    <t>Suite 200</t>
  </si>
  <si>
    <t>Lake Oswego</t>
  </si>
  <si>
    <t>97035</t>
  </si>
  <si>
    <t>+1 (503) 684-7553</t>
  </si>
  <si>
    <t>On October 23, 2019, the Board of Directors of the Company elected Wendy L. Teramoto to its Board, effective immediately. Ms. Teramoto has been a senior investment management professional with an affiliate of Fairfax Financial Holdings Limited since 2018. From 2017 to 2018, she served in a senior capacity at the United States Department of Commerce. Until 2017, Ms. Teramoto was a Managing Director and a senior investment management professional, and a founding partner, at a New York based private equity firm affiliated with Invesco Ltd. Ms. Teramoto has served as a board member for several companies in the transportation sector. In addition to serving on many private boards, Ms. Teramoto previously served on the Greenbrier Board from 2009 to 2017, and on the board for Navigator Holdings Ltd. from 2014 to 2017. The Board has determined that Ms. Teramoto will be eligible to qualify as independent in less than one year beginning on September 1, 2020.</t>
  </si>
  <si>
    <t>12536-83P</t>
  </si>
  <si>
    <t>Wilbur Ross Jr.</t>
  </si>
  <si>
    <t>Coya Therapeutics</t>
  </si>
  <si>
    <t>Wilbur</t>
  </si>
  <si>
    <t>www.coyatherapeutics.com</t>
  </si>
  <si>
    <t>+1 (800) 587-8170</t>
  </si>
  <si>
    <t>wross@rossacquisition2.com</t>
  </si>
  <si>
    <t>5850 San Felipe Street</t>
  </si>
  <si>
    <t>77057</t>
  </si>
  <si>
    <t>Mr. Wilbur L. Ross, Jr. has been a director since November 2023. Mr. Ross serves as a senior advisor at 28 Capital. Mr. Ross was sworn in by Vice President Mike Pence as the 39th Secretary of Commerce on February 28, 2017. Secretary Ross was the principal voice of business in the Trump Administration, ensuring that U.S. entrepreneurs and businesses have the tools they need to create jobs and economic opportunity. Secretary Ross is the former Chairman and Chief Strategy Officer of WL Ross &amp; Co. LLC and has over 55 years of investment banking and private equity experience. He has restructured over $400 billion of assets in the airline, apparel, auto parts, banking, beverage, chemical, credit card, electric utility, food service, furniture, gypsum, homebuilding, insurance, marine transport, mortgage origination and servicing, oil and gas, railcar manufacturing and leasing, real estate, restaurant, shipyard, steel, textile and trucking industries. Secretary Ross has been chairman or lead director of more than 100 companies operating in more than 20 different countries. Named by Bloomberg Markets as one of the 50 most influential people in global finance, Secretary Ross is the only person elected to both the Private Equity Hall of Fame and the Turnaround Management Hall of Fame. He previously served as privatization adviser to New York City Mayor Rudy Giuliani and was appointed by President Bill Clinton to the board of the U.S.-Russia Investment Fund. President Kim Dae-jung awarded Secretary Ross a medal for helping South Korea during its financial crisis and, in November 2014, the Emperor of Japan awarded him the Order of the Rising Sun, Gold and Silver Star. As a philanthropist, Secretary Ross has served as Chairman of the Japan Society, Trustee of the Brookings Institution and Chairman of its Economic Studies Council, International Counsel Member of the Musee des Arts Decoratifs in Paris, Trustee of the Blenheim Foundation, President of the American Friends of the Rene Magritte Museum in Brussels and Director of the Palm Beach Civic Association. He also was an Advisory Board Member of Yale University School of Management. Secretary Ross received his undergraduate degree in English literature from Yale University, and graduated with distinction from Harvard Business School.</t>
  </si>
  <si>
    <t>14863-42P</t>
  </si>
  <si>
    <t>William Denson III</t>
  </si>
  <si>
    <t>William</t>
  </si>
  <si>
    <t>VP, General Counsel &amp; Secretary</t>
  </si>
  <si>
    <t>Mr. William Denson served as VP, General Counsel &amp; Secretary at Vulcan Materials.</t>
  </si>
  <si>
    <t>69788-35P</t>
  </si>
  <si>
    <t>Wulf von Schimmelmann Ph.D</t>
  </si>
  <si>
    <t>Thomson Reuters (Former)</t>
  </si>
  <si>
    <t>von Schimmelmann</t>
  </si>
  <si>
    <t>Wulf</t>
  </si>
  <si>
    <t>www.thomsonreuters.com</t>
  </si>
  <si>
    <t>Dr. Wulf von Schimmelmann serves as Board Member at Thomson Reuters. He served as a Board Member at LetterOne. From 1999 to June 2007, he was Chief Executive Officer of Deutsche Postbank AG, where he transformed the organization from a check processing division of Deutsche Post to one of Germany's leading retail banks. Since 2008, he has served as Chairman of the Supervisory Board of Deutsche Post DHL AG, an international leader in mail and logistics services. He also serves as a member of the Supervisory Boards of both Maxingvest AG and Allianz Deutschland AG and as a director of Accenture Ltd., as well as Western Union. Before his lengthy career in banking, he was a partner at McKinsey &amp; Co., working in Switzerland, the U.S., and Germany. He was also previously a member of the Supervisory Board of Deutsche Teleknow and Chair of BAWAG P.S.K. He holds a Ph.d (Doctor of Philosophy) in Economics from the University of Zurich and</t>
  </si>
  <si>
    <t>90714-52P</t>
  </si>
  <si>
    <t>Yaniv Hoftman</t>
  </si>
  <si>
    <t>Hoftman</t>
  </si>
  <si>
    <t>Yaniv</t>
  </si>
  <si>
    <t>Head, Finance of M&amp;A Team</t>
  </si>
  <si>
    <t>Mr. Yaniv Hoftman served as Head, Finance of M&amp;A Team at Mail.Ru Group. Previously, he served as Finance Manager at ICQ.</t>
  </si>
  <si>
    <t>262298-71P</t>
  </si>
  <si>
    <t>Yevgeny Fundler JD</t>
  </si>
  <si>
    <t>Build-A-Bear</t>
  </si>
  <si>
    <t>Fundler</t>
  </si>
  <si>
    <t>Yevgeny</t>
  </si>
  <si>
    <t>ir.buildabear.com</t>
  </si>
  <si>
    <t>Secretary, Administration &amp; Chief Legal Officer, Legal</t>
  </si>
  <si>
    <t>+1 (877) 789-2327</t>
  </si>
  <si>
    <t>yfundler@bensonhill.com</t>
  </si>
  <si>
    <t>Saint Louis, MO</t>
  </si>
  <si>
    <t>415 South 18th Street</t>
  </si>
  <si>
    <t>Saint Louis</t>
  </si>
  <si>
    <t>Missouri</t>
  </si>
  <si>
    <t>63103</t>
  </si>
  <si>
    <t>Mr. Yevgeny Fundler serves as Chief Legal Officer &amp; Corporate Secretary at Benson Hill. He is an accomplished legal counsel in the areas of corporate governance, mergers and acquisitions, financial and capital market transactions, complex commercial transactions, intellectual property and litigation management, and compliance. Prior to joining Benson Hill, he served as Senior Vice President, General Counsel and Secretary of AITX (formerly known as American Railcar Industries). Yevgeny also held multiple leadership roles in various organizations, including WestPoint Home and Icahn Enterprises. Before going in-house, Yevgeny worked in law firms representing the interests of business and institutional clients in a broad range of corporate, mergers and acquisitions, and other commercial transactions. Yevgeny earned a Bachelor of Arts in International Business from San Diego State University and a Juris Doctor from University of California Hastings College of the Law.</t>
  </si>
  <si>
    <t>124387-84P</t>
  </si>
  <si>
    <t>Ying Cao</t>
  </si>
  <si>
    <t>Ying</t>
  </si>
  <si>
    <t>ycao@biitt.cn</t>
  </si>
  <si>
    <t>Ms. Ying Cao serves as Deputy General Manager at China City Railway Transportation Technology. Ms. Cao has over 9 years of experience in the management technology and communications industry. Ms. Cao was appointed as a director of ERG BJ in March 2011. Prior to joining our Group, Ms. Cao was the administrative manager at Beijing Development (Hong Kong) Limited and the business development director at Beijing Beikong Telecom Information Technology Limited. Ms. Cao obtained a bachelor's degree in polymer chemical engineering from the Beijing University of Chemical Technology in 1997, Ms. Cao is primarily responsible for administrative and business management of our Group.</t>
  </si>
  <si>
    <t>46918-00P</t>
  </si>
  <si>
    <t>Yoad Gidron</t>
  </si>
  <si>
    <t>Gidron</t>
  </si>
  <si>
    <t>Yoad</t>
  </si>
  <si>
    <t>Senior Technologist</t>
  </si>
  <si>
    <t>Mr. Gidron serves as a Senior Technologist of Playtech. He co-founded and served as Chief Technology Officer of Banner Play. He is our tech leader with years of experience in telecommunications, mobile, internet and software systems. He also served as Co-Founder &amp; Chief Technology Officer at NewACT. He was a Co-Founder &amp; Chief Technology Officer of Mobilitec.</t>
  </si>
  <si>
    <t>403131-16P</t>
  </si>
  <si>
    <t>Yulia Chekunaeva</t>
  </si>
  <si>
    <t>JPMorgan Russian Secs</t>
  </si>
  <si>
    <t>Chekunaeva</t>
  </si>
  <si>
    <t>Yulia</t>
  </si>
  <si>
    <t>www.jpmeemeasecurities.com</t>
  </si>
  <si>
    <t>Yulia Chekunaeva will be appointed to the board as non-executive director with effect from 01 July 2024. Yulia Chekunaeva has extensive senior executive experience in the emerging markets industrials sectors at EN+ Group IPJSC London, Goldman Sachs London and Sberbank of Russia, CIB. She was until 2022 a Non-executive Director of NordGold plc.</t>
  </si>
  <si>
    <t>30461-86P</t>
  </si>
  <si>
    <t>Yuri Milner</t>
  </si>
  <si>
    <t>Planet Labs (Former)</t>
  </si>
  <si>
    <t>Milner</t>
  </si>
  <si>
    <t>Yuri</t>
  </si>
  <si>
    <t>www.planet.com</t>
  </si>
  <si>
    <t>+7 495 363-13-68</t>
  </si>
  <si>
    <t>yuri.milner@dst-global.com</t>
  </si>
  <si>
    <t>Mr. Yuri Milner is a Co-Founder of DST Global. He is the Founder of Apoletto Asia. He served as a Board Member at Planet. He served as Advisory Board Member at Seiza. He co-founded Illumina Accelerator. He also serves as an Advisor at Qianhai Juzi Information Technology. He serves as a Board Member at Udaan. He founded Newbridge. He was a Co-Owner &amp; served as Chief Executive Officer at Mail.ru Group. Mr. Milner served as an Investment Professional at Start Fund. He is a Russian entrepreneur and venture capitalist. He also serves as a Board member at Work4 Labs. He worked at the World Bank, served as the Director of Alliance-Menatep, and was General Manager of the New investment fund Trinity Investments. From 2001 the year 2012 year has held positions as Director-General and Chairman of the Board of Directors of Mail.ru Group. In 2012 year established an annual award for significant achievement in the field of fundamental physics in the amount of $3 million.</t>
  </si>
  <si>
    <t>277024-06P</t>
  </si>
  <si>
    <t>Zulmira Razakova</t>
  </si>
  <si>
    <t>Razakova</t>
  </si>
  <si>
    <t>Zulmira</t>
  </si>
  <si>
    <t>zulmira.razakova@novatek.ru</t>
  </si>
  <si>
    <t>Ms. Zulmira Razakova serves as Secretary at NOVATEK (Russia). Ms. Razakova holds a higher legal education degree and began working for NOVATEK in 2004. Between 2007 and 2012, Ms. Razakova held the position of lead specialist of the Management Board and Board of Directors staff. In April 2012, Ms. Razakova was elected as Secretary of the Board of Directors. Since 2014, Ms. Razakova has been NOVATEK's Corporate Secretary.</t>
  </si>
  <si>
    <t>© PitchBook Data, Inc.  2025</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</si>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</sst>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2" formatCode="dd-mmm-yyyy"/>
    <numFmt numFmtId="83" formatCode="#,###"/>
  </numFmts>
  <fonts count="49">
    <font>
      <sz val="11"/>
      <color theme="1"/>
      <name val="Calibri"/>
      <family val="2"/>
      <scheme val="minor"/>
    </font>
    <font>
      <sz val="8"/>
      <color rgb="FF000000"/>
      <name val="Open Sans"/>
      <family val="2"/>
    </font>
    <font>
      <b/>
      <sz val="8"/>
      <color rgb="FF000000"/>
      <name val="Open Sans"/>
      <family val="2"/>
    </font>
    <font>
      <sz val="11"/>
      <color theme="1"/>
      <name val="Calibri"/>
      <family val="2"/>
      <scheme val="minor"/>
    </font>
    <font>
      <u/>
      <sz val="11"/>
      <color rgb="FF0563C1"/>
      <name val="Calibri"/>
    </font>
    <font>
      <b/>
      <sz val="8"/>
      <color rgb="FF26649E"/>
      <name val="Open Sans"/>
      <family val="2"/>
    </font>
    <font>
      <b/>
      <sz val="16"/>
      <color rgb="FF000000"/>
      <name val="Open Sans"/>
      <family val="2"/>
    </font>
    <font>
      <b/>
      <sz val="8"/>
      <color rgb="FFFFFFFF"/>
      <name val="Open Sans"/>
      <family val="2"/>
    </font>
    <font>
      <i/>
      <sz val="10"/>
      <color rgb="FF000000"/>
      <name val="Open Sans"/>
      <family val="2"/>
    </font>
    <font>
      <i/>
      <sz val="10"/>
      <color rgb="FF000000"/>
      <name val="Open Sans"/>
      <family val="2"/>
    </font>
    <font>
      <sz val="8"/>
      <color rgb="FF000000"/>
      <name val="Open Sans"/>
      <family val="2"/>
    </font>
    <font>
      <sz val="8"/>
      <color rgb="FF000000"/>
      <name val="Open Sans"/>
      <family val="2"/>
    </font>
    <font>
      <sz val="8"/>
      <color rgb="FF000000"/>
      <name val="Open Sans"/>
      <family val="2"/>
    </font>
    <font>
      <i/>
      <sz val="10"/>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b/>
      <sz val="8"/>
      <color rgb="FF000000"/>
      <name val="Open Sans"/>
      <family val="2"/>
    </font>
    <font>
      <b/>
      <sz val="8"/>
      <color rgb="FF000000"/>
      <name val="Open Sans"/>
      <family val="2"/>
    </font>
    <font>
      <b/>
      <sz val="8"/>
      <color rgb="FF000000"/>
      <name val="Open Sans"/>
      <family val="2"/>
    </font>
    <font>
      <b/>
      <sz val="8"/>
      <color rgb="FF26649E"/>
      <name val="Open Sans"/>
      <family val="2"/>
    </font>
    <font>
      <b/>
      <sz val="8"/>
      <color rgb="FF26649E"/>
      <name val="Open Sans"/>
      <family val="2"/>
    </font>
    <font>
      <b/>
      <sz val="8"/>
      <color rgb="FF26649E"/>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14">
    <border>
      <left/>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
      <left/>
      <right style="thin">
        <color rgb="FFD3D3D3"/>
      </right>
      <top style="thin">
        <color rgb="FF78766F"/>
      </top>
      <bottom/>
      <diagonal/>
    </border>
  </borders>
  <cellStyleXfs count="26">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6" fillId="0" borderId="0">
      <alignment horizontal="left" vertical="center"/>
    </xf>
    <xf numFmtId="0" fontId="7" fillId="0" borderId="0">
      <alignment horizontal="center" vertical="center" wrapText="1"/>
    </xf>
    <xf numFmtId="0" fontId="1" fillId="0" borderId="1">
      <alignment horizontal="left" vertical="center" indent="1"/>
    </xf>
    <xf numFmtId="0" fontId="1" fillId="3" borderId="1">
      <alignment horizontal="left" vertical="center" indent="1"/>
    </xf>
    <xf numFmtId="0" fontId="12" fillId="0" borderId="1">
      <alignment horizontal="right" vertical="center" indent="1"/>
    </xf>
    <xf numFmtId="0" fontId="12" fillId="3" borderId="1">
      <alignment horizontal="right" vertical="center" indent="1"/>
    </xf>
    <xf numFmtId="0" fontId="12" fillId="0" borderId="1">
      <alignment horizontal="center" vertical="center"/>
    </xf>
    <xf numFmtId="0" fontId="12" fillId="3" borderId="1">
      <alignment horizontal="center" vertical="center"/>
    </xf>
    <xf numFmtId="0" fontId="22" fillId="0" borderId="1">
      <alignment horizontal="left" vertical="center" indent="1"/>
    </xf>
    <xf numFmtId="0" fontId="22" fillId="3" borderId="1">
      <alignment horizontal="left" vertical="center" indent="1"/>
    </xf>
    <xf numFmtId="0" fontId="22" fillId="0" borderId="1">
      <alignment horizontal="right" vertical="center" indent="1"/>
    </xf>
    <xf numFmtId="0" fontId="22" fillId="3" borderId="11">
      <alignment horizontal="right" vertical="center" indent="1"/>
    </xf>
    <xf numFmtId="0" fontId="31" fillId="4" borderId="13">
      <alignment horizontal="left" vertical="center" indent="1"/>
    </xf>
    <xf numFmtId="0" fontId="34" fillId="4" borderId="13">
      <alignment horizontal="left" vertical="center" indent="1"/>
    </xf>
    <xf numFmtId="0" fontId="12" fillId="0" borderId="0">
      <alignment horizontal="left" vertical="center"/>
    </xf>
    <xf numFmtId="0" fontId="40" fillId="0" borderId="0">
      <alignment horizontal="left" vertical="center"/>
    </xf>
    <xf numFmtId="0" fontId="44" fillId="5" borderId="0">
      <alignment horizontal="left" vertical="center"/>
    </xf>
    <xf numFmtId="0" fontId="48" fillId="5" borderId="0">
      <alignment horizontal="left" vertical="center"/>
    </xf>
    <xf numFmtId="0" fontId="44" fillId="5" borderId="0">
      <alignment horizontal="right" vertical="center"/>
    </xf>
  </cellStyleXfs>
  <cellXfs count="40">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7"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6" fillId="0" borderId="0" xfId="7">
      <alignment horizontal="left" vertical="center"/>
    </xf>
    <xf numFmtId="0" fontId="0" fillId="0" borderId="0" xfId="0">
      <protection locked="0"/>
    </xf>
    <xf numFmtId="0" fontId="1" fillId="0" borderId="1" xfId="9">
      <alignment horizontal="left" vertical="center" indent="1"/>
    </xf>
    <xf numFmtId="0" fontId="1" fillId="3" borderId="1" xfId="10">
      <alignment horizontal="left" vertical="center" indent="1"/>
    </xf>
    <xf numFmtId="0" fontId="12" fillId="0" borderId="1" xfId="11">
      <alignment horizontal="right" vertical="center" indent="1"/>
    </xf>
    <xf numFmtId="0" fontId="12" fillId="3" borderId="1" xfId="12">
      <alignment horizontal="right" vertical="center" indent="1"/>
    </xf>
    <xf numFmtId="0" fontId="12" fillId="0" borderId="1" xfId="13">
      <alignment horizontal="center" vertical="center"/>
    </xf>
    <xf numFmtId="0" fontId="12" fillId="3" borderId="1" xfId="14">
      <alignment horizontal="center" vertical="center"/>
    </xf>
    <xf numFmtId="0" fontId="22" fillId="0" borderId="1" xfId="15">
      <alignment horizontal="left" vertical="center" indent="1"/>
    </xf>
    <xf numFmtId="0" fontId="22" fillId="3" borderId="1" xfId="16">
      <alignment horizontal="left" vertical="center" indent="1"/>
    </xf>
    <xf numFmtId="0" fontId="22" fillId="0" borderId="1" xfId="17">
      <alignment horizontal="right" vertical="center" indent="1"/>
    </xf>
    <xf numFmtId="0" fontId="22" fillId="3" borderId="11" xfId="18">
      <alignment horizontal="right" vertical="center" indent="1"/>
    </xf>
    <xf numFmtId="0" fontId="31" fillId="4" borderId="13" xfId="19">
      <alignment horizontal="left" vertical="center" indent="1"/>
    </xf>
    <xf numFmtId="0" fontId="34" fillId="4" borderId="13" xfId="20">
      <alignment horizontal="left" vertical="center" indent="1"/>
    </xf>
    <xf numFmtId="83" fontId="1" fillId="0" borderId="1" xfId="9" applyNumberFormat="1">
      <alignment horizontal="left" vertical="center" indent="1"/>
    </xf>
    <xf numFmtId="83" fontId="1" fillId="3" borderId="1" xfId="10" applyNumberFormat="1">
      <alignment horizontal="left" vertical="center" indent="1"/>
    </xf>
    <xf numFmtId="83" fontId="12" fillId="0" borderId="1" xfId="11" applyNumberFormat="1">
      <alignment horizontal="right" vertical="center" indent="1"/>
    </xf>
    <xf numFmtId="83" fontId="12" fillId="3" borderId="1" xfId="12" applyNumberFormat="1">
      <alignment horizontal="right" vertical="center" indent="1"/>
    </xf>
    <xf numFmtId="83" fontId="12" fillId="0" borderId="1" xfId="13" applyNumberFormat="1">
      <alignment horizontal="center" vertical="center"/>
    </xf>
    <xf numFmtId="83" fontId="12" fillId="3" borderId="1" xfId="14" applyNumberFormat="1">
      <alignment horizontal="center" vertical="center"/>
    </xf>
    <xf numFmtId="83" fontId="22" fillId="0" borderId="1" xfId="15" applyNumberFormat="1">
      <alignment horizontal="left" vertical="center" indent="1"/>
    </xf>
    <xf numFmtId="83" fontId="22" fillId="3" borderId="1" xfId="16" applyNumberFormat="1">
      <alignment horizontal="left" vertical="center" indent="1"/>
    </xf>
    <xf numFmtId="83" fontId="22" fillId="0" borderId="1" xfId="17" applyNumberFormat="1">
      <alignment horizontal="right" vertical="center" indent="1"/>
    </xf>
    <xf numFmtId="83" fontId="22" fillId="3" borderId="11" xfId="18" applyNumberFormat="1">
      <alignment horizontal="right" vertical="center" indent="1"/>
    </xf>
    <xf numFmtId="83" fontId="31" fillId="4" borderId="13" xfId="19" applyNumberFormat="1">
      <alignment horizontal="left" vertical="center" indent="1"/>
    </xf>
    <xf numFmtId="83" fontId="34" fillId="4" borderId="13" xfId="20" applyNumberFormat="1">
      <alignment horizontal="left" vertical="center" indent="1"/>
    </xf>
    <xf numFmtId="0" fontId="12" fillId="0" borderId="0" xfId="21">
      <alignment horizontal="left" vertical="center"/>
    </xf>
    <xf numFmtId="0" fontId="40" fillId="0" borderId="0" xfId="22">
      <alignment horizontal="left" vertical="center"/>
    </xf>
    <xf numFmtId="0" fontId="44" fillId="5" borderId="0" xfId="23">
      <alignment horizontal="left" vertical="center"/>
    </xf>
    <xf numFmtId="0" fontId="0" fillId="0" borderId="0" xfId="0">
      <protection locked="0"/>
    </xf>
    <xf numFmtId="0" fontId="48" fillId="5" borderId="0" xfId="24">
      <alignment horizontal="left" vertical="center"/>
    </xf>
    <xf numFmtId="0" fontId="44" fillId="5" borderId="0" xfId="25">
      <alignment horizontal="right" vertical="center"/>
    </xf>
  </cellXfs>
  <cellStyles count="26">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LeftColored" xfId="10"/>
    <cellStyle name="tableCellStyleRight" xfId="11"/>
    <cellStyle name="tableCellStyleRightColored" xfId="12"/>
    <cellStyle name="tableCellStyleCenter" xfId="13"/>
    <cellStyle name="tableCellStyleCenterColored" xfId="14"/>
    <cellStyle name="tableCellStyleLeftHyperlink" xfId="15"/>
    <cellStyle name="tableCellStyleLeftHyperlinkColored" xfId="16"/>
    <cellStyle name="tableCellStyleRightHyperlink" xfId="17"/>
    <cellStyle name="tableCellStyleRightHyperlinkColored" xfId="18"/>
    <cellStyle name="tableCellStyleLeftGroupingColored" xfId="19"/>
    <cellStyle name="hyperlinkTableCellStyleLeftGroupingColored" xfId="20"/>
    <cellStyle name="defaultStyle" xfId="21"/>
    <cellStyle name="fontSize14Bold" xfId="22"/>
    <cellStyle name="fontSize10Italic" xfId="23"/>
    <cellStyle name="fontSize10ItalicHyperlink" xfId="24"/>
    <cellStyle name="fontSize10ItalicRight" xfId="25"/>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233906-58" TargetMode="External"/><Relationship Id="rId2" Type="http://schemas.openxmlformats.org/officeDocument/2006/relationships/drawing" Target="../drawings/drawing1.xml"/></Relationships>
</file>

<file path=xl/worksheets/_rels/sheet3.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X614"/>
  <sheetViews>
    <sheetView showGridLines="0" workbookViewId="0">
      <selection sqref="A1"/>
    </sheetView>
  </sheetViews>
  <sheetFormatPr defaultRowHeight="15"/>
  <cols>
    <col min="1" max="1" width="21.7109375" customWidth="1"/>
    <col min="2" max="2" width="44.140625" customWidth="1"/>
    <col min="3" max="3" width="36.85546875" customWidth="1"/>
    <col min="4" max="4" width="61.5703125" customWidth="1"/>
    <col min="5" max="5" width="31" customWidth="1"/>
    <col min="6" max="7" width="19.5703125" customWidth="1"/>
    <col min="8" max="8" width="31.85546875" customWidth="1"/>
    <col min="9" max="9" width="36.85546875" customWidth="1"/>
    <col min="10" max="10" width="18.7109375" customWidth="1"/>
    <col min="11" max="11" width="15.140625" customWidth="1"/>
    <col min="12" max="12" width="17.42578125" customWidth="1"/>
    <col min="13" max="13" width="15.85546875" customWidth="1"/>
    <col min="14" max="14" width="27.5703125" customWidth="1"/>
    <col min="15" max="15" width="35.42578125" customWidth="1"/>
    <col min="16" max="17" width="26.7109375" customWidth="1"/>
    <col min="18" max="18" width="18" customWidth="1"/>
    <col min="19" max="19" width="24.5703125" customWidth="1"/>
    <col min="20" max="20" width="17" customWidth="1"/>
    <col min="21" max="21" width="24.28515625" customWidth="1"/>
    <col min="22" max="22" width="15.85546875" customWidth="1"/>
    <col min="23" max="23" width="36.85546875" customWidth="1"/>
    <col min="24" max="24" width="18.7109375" customWidth="1"/>
  </cols>
  <sheetData>
    <row r="1" ht="25" customHeight="1">
      <c r="D1" s="8" t="s">
        <v>7</v>
      </c>
    </row>
    <row r="3">
      <c r="A3" s="1" t="s">
        <v>0</v>
      </c>
      <c r="B3" s="3">
        <v>45954</v>
      </c>
    </row>
    <row r="4">
      <c r="A4" s="1" t="s">
        <v>1</v>
      </c>
      <c r="B4" s="2" t="s">
        <v>2</v>
      </c>
    </row>
    <row r="5">
      <c r="A5" s="4" t="s">
        <v>3</v>
      </c>
      <c r="B5" s="6" t="s">
        <v>4</v>
      </c>
    </row>
    <row r="6" ht="30" customHeight="1">
      <c r="A6" s="4" t="s">
        <v>5</v>
      </c>
      <c r="B6" s="7" t="s">
        <v>6</v>
      </c>
    </row>
    <row r="8" ht="35" customHeight="1">
      <c r="A8" s="5" t="s">
        <v>8</v>
      </c>
      <c r="B8" s="5" t="s">
        <v>9</v>
      </c>
      <c r="C8" s="5" t="s">
        <v>10</v>
      </c>
      <c r="D8" s="5" t="s">
        <v>11</v>
      </c>
      <c r="E8" s="5" t="s">
        <v>12</v>
      </c>
      <c r="F8" s="5" t="s">
        <v>13</v>
      </c>
      <c r="G8" s="5" t="s">
        <v>14</v>
      </c>
      <c r="H8" s="5" t="s">
        <v>15</v>
      </c>
      <c r="I8" s="5" t="s">
        <v>16</v>
      </c>
      <c r="J8" s="5" t="s">
        <v>17</v>
      </c>
      <c r="K8" s="5" t="s">
        <v>18</v>
      </c>
      <c r="L8" s="5" t="s">
        <v>19</v>
      </c>
      <c r="M8" s="5" t="s">
        <v>20</v>
      </c>
      <c r="N8" s="5" t="s">
        <v>21</v>
      </c>
      <c r="O8" s="5" t="s">
        <v>22</v>
      </c>
      <c r="P8" s="5" t="s">
        <v>23</v>
      </c>
      <c r="Q8" s="5" t="s">
        <v>24</v>
      </c>
      <c r="R8" s="5" t="s">
        <v>25</v>
      </c>
      <c r="S8" s="5" t="s">
        <v>26</v>
      </c>
      <c r="T8" s="5" t="s">
        <v>27</v>
      </c>
      <c r="U8" s="5" t="s">
        <v>28</v>
      </c>
      <c r="V8" s="5" t="s">
        <v>29</v>
      </c>
      <c r="W8" s="5" t="s">
        <v>30</v>
      </c>
      <c r="X8" s="5" t="s">
        <v>31</v>
      </c>
    </row>
    <row r="9">
      <c r="A9" t="s" s="11">
        <v>32</v>
      </c>
      <c r="B9" t="s" s="11">
        <v>33</v>
      </c>
      <c r="C9" t="s" s="11">
        <v>34</v>
      </c>
      <c r="D9" t="s" s="11">
        <v>35</v>
      </c>
      <c r="E9" t="s" s="11">
        <v>36</v>
      </c>
      <c r="F9" t="s" s="11">
        <v>37</v>
      </c>
      <c r="G9" t="s" s="11">
        <v>38</v>
      </c>
      <c r="H9" s="17">
        <f>HYPERLINK("http://www.goldenmatrix.com", "www.goldenmatrix.com")</f>
      </c>
      <c r="I9" t="s" s="11">
        <v>40</v>
      </c>
      <c r="J9" t="s" s="25">
        <v>34</v>
      </c>
      <c r="K9" t="s" s="25">
        <v>34</v>
      </c>
      <c r="L9" t="s" s="25">
        <v>34</v>
      </c>
      <c r="M9" t="s" s="13">
        <v>34</v>
      </c>
      <c r="N9" t="s" s="11">
        <v>34</v>
      </c>
      <c r="O9" t="s" s="11">
        <v>34</v>
      </c>
      <c r="P9" t="s" s="11">
        <v>34</v>
      </c>
      <c r="Q9" t="s" s="11">
        <v>34</v>
      </c>
      <c r="R9" t="s" s="11">
        <v>34</v>
      </c>
      <c r="S9" t="s" s="11">
        <v>34</v>
      </c>
      <c r="T9" t="s" s="13">
        <v>34</v>
      </c>
      <c r="U9" t="s" s="11">
        <v>34</v>
      </c>
      <c r="V9" t="s" s="13">
        <v>34</v>
      </c>
      <c r="W9" t="s" s="11">
        <v>41</v>
      </c>
      <c r="X9" s="17">
        <f>HYPERLINK("https://my.pitchbook.com?p=239236-75P", "View People Online")</f>
      </c>
    </row>
    <row r="10">
      <c r="A10" t="s" s="10">
        <v>42</v>
      </c>
      <c r="B10" t="s" s="10">
        <v>43</v>
      </c>
      <c r="C10" t="s" s="10">
        <v>34</v>
      </c>
      <c r="D10" t="s" s="10">
        <v>44</v>
      </c>
      <c r="E10" t="s" s="10">
        <v>36</v>
      </c>
      <c r="F10" t="s" s="10">
        <v>45</v>
      </c>
      <c r="G10" t="s" s="10">
        <v>46</v>
      </c>
      <c r="H10" s="16">
        <f>HYPERLINK("http://www.kinetiko.com.au", "www.kinetiko.com.au")</f>
      </c>
      <c r="I10" t="s" s="10">
        <v>48</v>
      </c>
      <c r="J10" s="24">
        <v>1</v>
      </c>
      <c r="K10" s="24">
        <v>5</v>
      </c>
      <c r="L10" s="24">
        <v>4</v>
      </c>
      <c r="M10" t="s" s="12">
        <v>49</v>
      </c>
      <c r="N10" t="s" s="10">
        <v>50</v>
      </c>
      <c r="O10" t="s" s="10">
        <v>51</v>
      </c>
      <c r="P10" t="s" s="10">
        <v>52</v>
      </c>
      <c r="Q10" t="s" s="10">
        <v>53</v>
      </c>
      <c r="R10" t="s" s="10">
        <v>54</v>
      </c>
      <c r="S10" t="s" s="10">
        <v>55</v>
      </c>
      <c r="T10" t="s" s="12">
        <v>56</v>
      </c>
      <c r="U10" t="s" s="10">
        <v>57</v>
      </c>
      <c r="V10" t="s" s="12">
        <v>58</v>
      </c>
      <c r="W10" t="s" s="10">
        <v>59</v>
      </c>
      <c r="X10" s="16">
        <f>HYPERLINK("https://my.pitchbook.com?p=174177-64P", "View People Online")</f>
      </c>
    </row>
    <row r="11">
      <c r="A11" t="s" s="11">
        <v>60</v>
      </c>
      <c r="B11" t="s" s="11">
        <v>43</v>
      </c>
      <c r="C11" t="s" s="11">
        <v>34</v>
      </c>
      <c r="D11" t="s" s="11">
        <v>61</v>
      </c>
      <c r="E11" t="s" s="11">
        <v>36</v>
      </c>
      <c r="F11" t="s" s="11">
        <v>45</v>
      </c>
      <c r="G11" t="s" s="11">
        <v>46</v>
      </c>
      <c r="H11" s="17">
        <f>HYPERLINK("http://www.raptorresources.com.au", "www.raptorresources.com.au")</f>
      </c>
      <c r="I11" t="s" s="11">
        <v>63</v>
      </c>
      <c r="J11" t="s" s="25">
        <v>34</v>
      </c>
      <c r="K11" s="25">
        <v>2</v>
      </c>
      <c r="L11" t="s" s="25">
        <v>34</v>
      </c>
      <c r="M11" t="s" s="13">
        <v>64</v>
      </c>
      <c r="N11" t="s" s="11">
        <v>65</v>
      </c>
      <c r="O11" t="s" s="11">
        <v>51</v>
      </c>
      <c r="P11" t="s" s="11">
        <v>66</v>
      </c>
      <c r="Q11" t="s" s="11">
        <v>67</v>
      </c>
      <c r="R11" t="s" s="11">
        <v>54</v>
      </c>
      <c r="S11" t="s" s="11">
        <v>55</v>
      </c>
      <c r="T11" t="s" s="13">
        <v>56</v>
      </c>
      <c r="U11" t="s" s="11">
        <v>57</v>
      </c>
      <c r="V11" t="s" s="13">
        <v>34</v>
      </c>
      <c r="W11" t="s" s="11">
        <v>68</v>
      </c>
      <c r="X11" s="17">
        <f>HYPERLINK("https://my.pitchbook.com?p=404880-58P", "View People Online")</f>
      </c>
    </row>
    <row r="12">
      <c r="A12" t="s" s="10">
        <v>69</v>
      </c>
      <c r="B12" t="s" s="10">
        <v>70</v>
      </c>
      <c r="C12" t="s" s="10">
        <v>34</v>
      </c>
      <c r="D12" t="s" s="10">
        <v>71</v>
      </c>
      <c r="E12" t="s" s="10">
        <v>36</v>
      </c>
      <c r="F12" t="s" s="10">
        <v>72</v>
      </c>
      <c r="G12" t="s" s="10">
        <v>73</v>
      </c>
      <c r="H12" s="16">
        <f>HYPERLINK("http://www.vulcan.co", "www.vulcan.co")</f>
      </c>
      <c r="I12" t="s" s="10">
        <v>75</v>
      </c>
      <c r="J12" s="24">
        <v>1</v>
      </c>
      <c r="K12" s="24">
        <v>1</v>
      </c>
      <c r="L12" t="s" s="24">
        <v>34</v>
      </c>
      <c r="M12" t="s" s="12">
        <v>76</v>
      </c>
      <c r="N12" t="s" s="10">
        <v>77</v>
      </c>
      <c r="O12" t="s" s="10">
        <v>78</v>
      </c>
      <c r="P12" t="s" s="10">
        <v>79</v>
      </c>
      <c r="Q12" t="s" s="10">
        <v>80</v>
      </c>
      <c r="R12" t="s" s="10">
        <v>81</v>
      </c>
      <c r="S12" t="s" s="10">
        <v>34</v>
      </c>
      <c r="T12" t="s" s="12">
        <v>82</v>
      </c>
      <c r="U12" t="s" s="10">
        <v>83</v>
      </c>
      <c r="V12" t="s" s="12">
        <v>84</v>
      </c>
      <c r="W12" t="s" s="10">
        <v>85</v>
      </c>
      <c r="X12" s="16">
        <f>HYPERLINK("https://my.pitchbook.com?p=339393-43P", "View People Online")</f>
      </c>
    </row>
    <row r="13">
      <c r="A13" t="s" s="11">
        <v>86</v>
      </c>
      <c r="B13" t="s" s="11">
        <v>87</v>
      </c>
      <c r="C13" t="s" s="11">
        <v>34</v>
      </c>
      <c r="D13" t="s" s="11">
        <v>88</v>
      </c>
      <c r="E13" t="s" s="11">
        <v>36</v>
      </c>
      <c r="F13" t="s" s="11">
        <v>89</v>
      </c>
      <c r="G13" t="s" s="11">
        <v>73</v>
      </c>
      <c r="H13" s="17">
        <f>HYPERLINK("http://www.atlasmining.com.ph", "www.atlasmining.com.ph")</f>
      </c>
      <c r="I13" t="s" s="11">
        <v>91</v>
      </c>
      <c r="J13" s="25">
        <v>1</v>
      </c>
      <c r="K13" s="25">
        <v>1</v>
      </c>
      <c r="L13" t="s" s="25">
        <v>34</v>
      </c>
      <c r="M13" t="s" s="13">
        <v>92</v>
      </c>
      <c r="N13" t="s" s="11">
        <v>93</v>
      </c>
      <c r="O13" t="s" s="11">
        <v>94</v>
      </c>
      <c r="P13" t="s" s="11">
        <v>95</v>
      </c>
      <c r="Q13" t="s" s="11">
        <v>34</v>
      </c>
      <c r="R13" t="s" s="11">
        <v>96</v>
      </c>
      <c r="S13" t="s" s="11">
        <v>97</v>
      </c>
      <c r="T13" t="s" s="13">
        <v>98</v>
      </c>
      <c r="U13" t="s" s="11">
        <v>99</v>
      </c>
      <c r="V13" t="s" s="13">
        <v>100</v>
      </c>
      <c r="W13" t="s" s="11">
        <v>101</v>
      </c>
      <c r="X13" s="17">
        <f>HYPERLINK("https://my.pitchbook.com?p=325952-65P", "View People Online")</f>
      </c>
    </row>
    <row r="14">
      <c r="A14" t="s" s="10">
        <v>102</v>
      </c>
      <c r="B14" t="s" s="10">
        <v>103</v>
      </c>
      <c r="C14" t="s" s="10">
        <v>34</v>
      </c>
      <c r="D14" t="s" s="10">
        <v>104</v>
      </c>
      <c r="E14" t="s" s="10">
        <v>36</v>
      </c>
      <c r="F14" t="s" s="10">
        <v>105</v>
      </c>
      <c r="G14" t="s" s="10">
        <v>106</v>
      </c>
      <c r="H14" s="16">
        <f>HYPERLINK("http://www.fuyucorp.com", "www.fuyucorp.com")</f>
      </c>
      <c r="I14" t="s" s="10">
        <v>108</v>
      </c>
      <c r="J14" t="s" s="24">
        <v>34</v>
      </c>
      <c r="K14" t="s" s="24">
        <v>34</v>
      </c>
      <c r="L14" t="s" s="24">
        <v>34</v>
      </c>
      <c r="M14" t="s" s="12">
        <v>34</v>
      </c>
      <c r="N14" t="s" s="10">
        <v>34</v>
      </c>
      <c r="O14" t="s" s="10">
        <v>34</v>
      </c>
      <c r="P14" t="s" s="10">
        <v>34</v>
      </c>
      <c r="Q14" t="s" s="10">
        <v>34</v>
      </c>
      <c r="R14" t="s" s="10">
        <v>34</v>
      </c>
      <c r="S14" t="s" s="10">
        <v>34</v>
      </c>
      <c r="T14" t="s" s="12">
        <v>34</v>
      </c>
      <c r="U14" t="s" s="10">
        <v>34</v>
      </c>
      <c r="V14" t="s" s="12">
        <v>34</v>
      </c>
      <c r="W14" t="s" s="10">
        <v>109</v>
      </c>
      <c r="X14" s="16">
        <f>HYPERLINK("https://my.pitchbook.com?p=282164-23P", "View People Online")</f>
      </c>
    </row>
    <row r="15">
      <c r="A15" t="s" s="11">
        <v>110</v>
      </c>
      <c r="B15" t="s" s="11">
        <v>111</v>
      </c>
      <c r="C15" t="s" s="11">
        <v>34</v>
      </c>
      <c r="D15" t="s" s="11">
        <v>112</v>
      </c>
      <c r="E15" t="s" s="11">
        <v>36</v>
      </c>
      <c r="F15" t="s" s="11">
        <v>113</v>
      </c>
      <c r="G15" t="s" s="11">
        <v>114</v>
      </c>
      <c r="H15" s="17">
        <f>HYPERLINK("http://www.harbourenergy.com", "www.harbourenergy.com")</f>
      </c>
      <c r="I15" t="s" s="11">
        <v>108</v>
      </c>
      <c r="J15" s="25">
        <v>2</v>
      </c>
      <c r="K15" s="25">
        <v>7</v>
      </c>
      <c r="L15" s="25">
        <v>5</v>
      </c>
      <c r="M15" t="s" s="13">
        <v>116</v>
      </c>
      <c r="N15" t="s" s="11">
        <v>34</v>
      </c>
      <c r="O15" t="s" s="11">
        <v>117</v>
      </c>
      <c r="P15" t="s" s="11">
        <v>118</v>
      </c>
      <c r="Q15" t="s" s="11">
        <v>34</v>
      </c>
      <c r="R15" t="s" s="11">
        <v>119</v>
      </c>
      <c r="S15" t="s" s="11">
        <v>120</v>
      </c>
      <c r="T15" t="s" s="13">
        <v>121</v>
      </c>
      <c r="U15" t="s" s="11">
        <v>122</v>
      </c>
      <c r="V15" t="s" s="13">
        <v>123</v>
      </c>
      <c r="W15" t="s" s="11">
        <v>124</v>
      </c>
      <c r="X15" s="17">
        <f>HYPERLINK("https://my.pitchbook.com?p=230786-83P", "View People Online")</f>
      </c>
    </row>
    <row r="16">
      <c r="A16" t="s" s="10">
        <v>125</v>
      </c>
      <c r="B16" t="s" s="10">
        <v>126</v>
      </c>
      <c r="C16" t="s" s="10">
        <v>34</v>
      </c>
      <c r="D16" t="s" s="10">
        <v>127</v>
      </c>
      <c r="E16" t="s" s="10">
        <v>36</v>
      </c>
      <c r="F16" t="s" s="10">
        <v>128</v>
      </c>
      <c r="G16" t="s" s="10">
        <v>114</v>
      </c>
      <c r="H16" s="16">
        <f>HYPERLINK("http://www.playtech.com", "www.playtech.com")</f>
      </c>
      <c r="I16" t="s" s="10">
        <v>130</v>
      </c>
      <c r="J16" t="s" s="24">
        <v>34</v>
      </c>
      <c r="K16" t="s" s="24">
        <v>34</v>
      </c>
      <c r="L16" t="s" s="24">
        <v>34</v>
      </c>
      <c r="M16" t="s" s="12">
        <v>34</v>
      </c>
      <c r="N16" t="s" s="10">
        <v>34</v>
      </c>
      <c r="O16" t="s" s="10">
        <v>34</v>
      </c>
      <c r="P16" t="s" s="10">
        <v>34</v>
      </c>
      <c r="Q16" t="s" s="10">
        <v>34</v>
      </c>
      <c r="R16" t="s" s="10">
        <v>34</v>
      </c>
      <c r="S16" t="s" s="10">
        <v>34</v>
      </c>
      <c r="T16" t="s" s="12">
        <v>34</v>
      </c>
      <c r="U16" t="s" s="10">
        <v>34</v>
      </c>
      <c r="V16" t="s" s="12">
        <v>34</v>
      </c>
      <c r="W16" t="s" s="10">
        <v>131</v>
      </c>
      <c r="X16" s="16">
        <f>HYPERLINK("https://my.pitchbook.com?p=60247-36P", "View People Online")</f>
      </c>
    </row>
    <row r="17">
      <c r="A17" t="s" s="11">
        <v>132</v>
      </c>
      <c r="B17" t="s" s="11">
        <v>133</v>
      </c>
      <c r="C17" t="s" s="11">
        <v>34</v>
      </c>
      <c r="D17" t="s" s="11">
        <v>134</v>
      </c>
      <c r="E17" t="s" s="11">
        <v>36</v>
      </c>
      <c r="F17" t="s" s="11">
        <v>135</v>
      </c>
      <c r="G17" t="s" s="11">
        <v>114</v>
      </c>
      <c r="H17" s="17">
        <f>HYPERLINK("http://www.fareastorchard.com.sg", "www.fareastorchard.com.sg")</f>
      </c>
      <c r="I17" t="s" s="11">
        <v>137</v>
      </c>
      <c r="J17" t="s" s="25">
        <v>34</v>
      </c>
      <c r="K17" s="25">
        <v>1</v>
      </c>
      <c r="L17" t="s" s="25">
        <v>34</v>
      </c>
      <c r="M17" t="s" s="13">
        <v>138</v>
      </c>
      <c r="N17" t="s" s="11">
        <v>139</v>
      </c>
      <c r="O17" t="s" s="11">
        <v>140</v>
      </c>
      <c r="P17" t="s" s="11">
        <v>141</v>
      </c>
      <c r="Q17" t="s" s="11">
        <v>142</v>
      </c>
      <c r="R17" t="s" s="11">
        <v>143</v>
      </c>
      <c r="S17" t="s" s="11">
        <v>34</v>
      </c>
      <c r="T17" t="s" s="13">
        <v>144</v>
      </c>
      <c r="U17" t="s" s="11">
        <v>143</v>
      </c>
      <c r="V17" t="s" s="13">
        <v>34</v>
      </c>
      <c r="W17" t="s" s="11">
        <v>145</v>
      </c>
      <c r="X17" s="17">
        <f>HYPERLINK("https://my.pitchbook.com?p=213114-70P", "View People Online")</f>
      </c>
    </row>
    <row r="18">
      <c r="A18" t="s" s="10">
        <v>146</v>
      </c>
      <c r="B18" t="s" s="10">
        <v>147</v>
      </c>
      <c r="C18" t="s" s="10">
        <v>34</v>
      </c>
      <c r="D18" t="s" s="10">
        <v>148</v>
      </c>
      <c r="E18" t="s" s="10">
        <v>36</v>
      </c>
      <c r="F18" t="s" s="10">
        <v>149</v>
      </c>
      <c r="G18" t="s" s="10">
        <v>150</v>
      </c>
      <c r="H18" s="16">
        <f>HYPERLINK("http://www.stem.com", "www.stem.com")</f>
      </c>
      <c r="I18" t="s" s="10">
        <v>152</v>
      </c>
      <c r="J18" t="s" s="24">
        <v>34</v>
      </c>
      <c r="K18" s="24">
        <v>2</v>
      </c>
      <c r="L18" t="s" s="24">
        <v>34</v>
      </c>
      <c r="M18" t="s" s="12">
        <v>153</v>
      </c>
      <c r="N18" t="s" s="10">
        <v>154</v>
      </c>
      <c r="O18" t="s" s="10">
        <v>155</v>
      </c>
      <c r="P18" t="s" s="10">
        <v>156</v>
      </c>
      <c r="Q18" t="s" s="10">
        <v>157</v>
      </c>
      <c r="R18" t="s" s="10">
        <v>158</v>
      </c>
      <c r="S18" t="s" s="10">
        <v>159</v>
      </c>
      <c r="T18" t="s" s="12">
        <v>160</v>
      </c>
      <c r="U18" t="s" s="10">
        <v>161</v>
      </c>
      <c r="V18" t="s" s="12">
        <v>34</v>
      </c>
      <c r="W18" t="s" s="10">
        <v>162</v>
      </c>
      <c r="X18" s="16">
        <f>HYPERLINK("https://my.pitchbook.com?p=167249-80P", "View People Online")</f>
      </c>
    </row>
    <row r="19">
      <c r="A19" t="s" s="11">
        <v>163</v>
      </c>
      <c r="B19" t="s" s="11">
        <v>164</v>
      </c>
      <c r="C19" t="s" s="11">
        <v>34</v>
      </c>
      <c r="D19" t="s" s="11">
        <v>165</v>
      </c>
      <c r="E19" t="s" s="11">
        <v>36</v>
      </c>
      <c r="F19" t="s" s="11">
        <v>166</v>
      </c>
      <c r="G19" t="s" s="11">
        <v>167</v>
      </c>
      <c r="H19" s="17">
        <f>HYPERLINK("http://www.erg.eu", "www.erg.eu")</f>
      </c>
      <c r="I19" t="s" s="11">
        <v>169</v>
      </c>
      <c r="J19" t="s" s="25">
        <v>34</v>
      </c>
      <c r="K19" s="25">
        <v>1</v>
      </c>
      <c r="L19" t="s" s="25">
        <v>34</v>
      </c>
      <c r="M19" t="s" s="13">
        <v>170</v>
      </c>
      <c r="N19" t="s" s="11">
        <v>171</v>
      </c>
      <c r="O19" t="s" s="11">
        <v>172</v>
      </c>
      <c r="P19" t="s" s="11">
        <v>173</v>
      </c>
      <c r="Q19" t="s" s="11">
        <v>34</v>
      </c>
      <c r="R19" t="s" s="11">
        <v>174</v>
      </c>
      <c r="S19" t="s" s="11">
        <v>34</v>
      </c>
      <c r="T19" t="s" s="13">
        <v>175</v>
      </c>
      <c r="U19" t="s" s="11">
        <v>176</v>
      </c>
      <c r="V19" t="s" s="13">
        <v>177</v>
      </c>
      <c r="W19" t="s" s="11">
        <v>178</v>
      </c>
      <c r="X19" s="17">
        <f>HYPERLINK("https://my.pitchbook.com?p=263976-40P", "View People Online")</f>
      </c>
    </row>
    <row r="20">
      <c r="A20" t="s" s="10">
        <v>179</v>
      </c>
      <c r="B20" t="s" s="10">
        <v>180</v>
      </c>
      <c r="C20" t="s" s="10">
        <v>34</v>
      </c>
      <c r="D20" t="s" s="10">
        <v>181</v>
      </c>
      <c r="E20" t="s" s="10">
        <v>36</v>
      </c>
      <c r="F20" t="s" s="10">
        <v>182</v>
      </c>
      <c r="G20" t="s" s="10">
        <v>167</v>
      </c>
      <c r="H20" s="16">
        <f>HYPERLINK("http://www.erg.eu", "www.erg.eu")</f>
      </c>
      <c r="I20" t="s" s="10">
        <v>183</v>
      </c>
      <c r="J20" t="s" s="24">
        <v>34</v>
      </c>
      <c r="K20" t="s" s="24">
        <v>34</v>
      </c>
      <c r="L20" t="s" s="24">
        <v>34</v>
      </c>
      <c r="M20" t="s" s="12">
        <v>34</v>
      </c>
      <c r="N20" t="s" s="10">
        <v>34</v>
      </c>
      <c r="O20" t="s" s="10">
        <v>34</v>
      </c>
      <c r="P20" t="s" s="10">
        <v>34</v>
      </c>
      <c r="Q20" t="s" s="10">
        <v>34</v>
      </c>
      <c r="R20" t="s" s="10">
        <v>34</v>
      </c>
      <c r="S20" t="s" s="10">
        <v>34</v>
      </c>
      <c r="T20" t="s" s="12">
        <v>34</v>
      </c>
      <c r="U20" t="s" s="10">
        <v>34</v>
      </c>
      <c r="V20" t="s" s="12">
        <v>34</v>
      </c>
      <c r="W20" t="s" s="10">
        <v>184</v>
      </c>
      <c r="X20" s="16">
        <f>HYPERLINK("https://my.pitchbook.com?p=131000-68P", "View People Online")</f>
      </c>
    </row>
    <row r="21">
      <c r="A21" t="s" s="11">
        <v>185</v>
      </c>
      <c r="B21" t="s" s="11">
        <v>186</v>
      </c>
      <c r="C21" t="s" s="11">
        <v>34</v>
      </c>
      <c r="D21" t="s" s="11">
        <v>187</v>
      </c>
      <c r="E21" t="s" s="11">
        <v>36</v>
      </c>
      <c r="F21" t="s" s="11">
        <v>188</v>
      </c>
      <c r="G21" t="s" s="11">
        <v>189</v>
      </c>
      <c r="H21" s="17">
        <f>HYPERLINK("http://www.diacorporate.com", "www.diacorporate.com")</f>
      </c>
      <c r="I21" t="s" s="11">
        <v>191</v>
      </c>
      <c r="J21" t="s" s="25">
        <v>34</v>
      </c>
      <c r="K21" t="s" s="25">
        <v>34</v>
      </c>
      <c r="L21" t="s" s="25">
        <v>34</v>
      </c>
      <c r="M21" t="s" s="13">
        <v>34</v>
      </c>
      <c r="N21" t="s" s="11">
        <v>34</v>
      </c>
      <c r="O21" t="s" s="11">
        <v>34</v>
      </c>
      <c r="P21" t="s" s="11">
        <v>34</v>
      </c>
      <c r="Q21" t="s" s="11">
        <v>34</v>
      </c>
      <c r="R21" t="s" s="11">
        <v>34</v>
      </c>
      <c r="S21" t="s" s="11">
        <v>34</v>
      </c>
      <c r="T21" t="s" s="13">
        <v>34</v>
      </c>
      <c r="U21" t="s" s="11">
        <v>34</v>
      </c>
      <c r="V21" t="s" s="13">
        <v>34</v>
      </c>
      <c r="W21" t="s" s="11">
        <v>192</v>
      </c>
      <c r="X21" s="17">
        <f>HYPERLINK("https://my.pitchbook.com?p=200438-29P", "View People Online")</f>
      </c>
    </row>
    <row r="22">
      <c r="A22" t="s" s="10">
        <v>193</v>
      </c>
      <c r="B22" t="s" s="10">
        <v>194</v>
      </c>
      <c r="C22" t="s" s="10">
        <v>34</v>
      </c>
      <c r="D22" t="s" s="10">
        <v>195</v>
      </c>
      <c r="E22" t="s" s="10">
        <v>36</v>
      </c>
      <c r="F22" t="s" s="10">
        <v>196</v>
      </c>
      <c r="G22" t="s" s="10">
        <v>197</v>
      </c>
      <c r="H22" s="16">
        <f>HYPERLINK("http://www.novatek.ru", "www.novatek.ru")</f>
      </c>
      <c r="I22" t="s" s="10">
        <v>108</v>
      </c>
      <c r="J22" s="24">
        <v>1</v>
      </c>
      <c r="K22" s="24">
        <v>1</v>
      </c>
      <c r="L22" t="s" s="24">
        <v>34</v>
      </c>
      <c r="M22" t="s" s="12">
        <v>199</v>
      </c>
      <c r="N22" t="s" s="10">
        <v>34</v>
      </c>
      <c r="O22" t="s" s="10">
        <v>200</v>
      </c>
      <c r="P22" t="s" s="10">
        <v>201</v>
      </c>
      <c r="Q22" t="s" s="10">
        <v>34</v>
      </c>
      <c r="R22" t="s" s="10">
        <v>202</v>
      </c>
      <c r="S22" t="s" s="10">
        <v>34</v>
      </c>
      <c r="T22" t="s" s="12">
        <v>203</v>
      </c>
      <c r="U22" t="s" s="10">
        <v>204</v>
      </c>
      <c r="V22" t="s" s="12">
        <v>205</v>
      </c>
      <c r="W22" t="s" s="10">
        <v>206</v>
      </c>
      <c r="X22" s="16">
        <f>HYPERLINK("https://my.pitchbook.com?p=300613-87P", "View People Online")</f>
      </c>
    </row>
    <row r="23">
      <c r="A23" t="s" s="11">
        <v>207</v>
      </c>
      <c r="B23" t="s" s="11">
        <v>208</v>
      </c>
      <c r="C23" t="s" s="11">
        <v>34</v>
      </c>
      <c r="D23" t="s" s="11">
        <v>209</v>
      </c>
      <c r="E23" t="s" s="11">
        <v>36</v>
      </c>
      <c r="F23" t="s" s="11">
        <v>210</v>
      </c>
      <c r="G23" t="s" s="11">
        <v>211</v>
      </c>
      <c r="H23" s="17">
        <f>HYPERLINK("http://www.eukedos.it", "www.eukedos.it")</f>
      </c>
      <c r="I23" t="s" s="11">
        <v>108</v>
      </c>
      <c r="J23" t="s" s="25">
        <v>34</v>
      </c>
      <c r="K23" t="s" s="25">
        <v>34</v>
      </c>
      <c r="L23" t="s" s="25">
        <v>34</v>
      </c>
      <c r="M23" t="s" s="13">
        <v>34</v>
      </c>
      <c r="N23" t="s" s="11">
        <v>34</v>
      </c>
      <c r="O23" t="s" s="11">
        <v>34</v>
      </c>
      <c r="P23" t="s" s="11">
        <v>34</v>
      </c>
      <c r="Q23" t="s" s="11">
        <v>34</v>
      </c>
      <c r="R23" t="s" s="11">
        <v>34</v>
      </c>
      <c r="S23" t="s" s="11">
        <v>34</v>
      </c>
      <c r="T23" t="s" s="13">
        <v>34</v>
      </c>
      <c r="U23" t="s" s="11">
        <v>34</v>
      </c>
      <c r="V23" t="s" s="13">
        <v>34</v>
      </c>
      <c r="W23" t="s" s="11">
        <v>213</v>
      </c>
      <c r="X23" s="17">
        <f>HYPERLINK("https://my.pitchbook.com?p=124551-64P", "View People Online")</f>
      </c>
    </row>
    <row r="24">
      <c r="A24" t="s" s="10">
        <v>214</v>
      </c>
      <c r="B24" t="s" s="10">
        <v>215</v>
      </c>
      <c r="C24" t="s" s="10">
        <v>34</v>
      </c>
      <c r="D24" t="s" s="10">
        <v>216</v>
      </c>
      <c r="E24" t="s" s="10">
        <v>36</v>
      </c>
      <c r="F24" t="s" s="10">
        <v>217</v>
      </c>
      <c r="G24" t="s" s="10">
        <v>211</v>
      </c>
      <c r="H24" s="16">
        <f>HYPERLINK("http://www.denora.com", "www.denora.com")</f>
      </c>
      <c r="I24" t="s" s="10">
        <v>108</v>
      </c>
      <c r="J24" s="24">
        <v>1</v>
      </c>
      <c r="K24" s="24">
        <v>3</v>
      </c>
      <c r="L24" s="24">
        <v>2</v>
      </c>
      <c r="M24" t="s" s="12">
        <v>219</v>
      </c>
      <c r="N24" t="s" s="10">
        <v>220</v>
      </c>
      <c r="O24" t="s" s="10">
        <v>221</v>
      </c>
      <c r="P24" t="s" s="10">
        <v>222</v>
      </c>
      <c r="Q24" t="s" s="10">
        <v>34</v>
      </c>
      <c r="R24" t="s" s="10">
        <v>223</v>
      </c>
      <c r="S24" t="s" s="10">
        <v>34</v>
      </c>
      <c r="T24" t="s" s="12">
        <v>224</v>
      </c>
      <c r="U24" t="s" s="10">
        <v>176</v>
      </c>
      <c r="V24" t="s" s="12">
        <v>34</v>
      </c>
      <c r="W24" t="s" s="10">
        <v>225</v>
      </c>
      <c r="X24" s="16">
        <f>HYPERLINK("https://my.pitchbook.com?p=102500-92P", "View People Online")</f>
      </c>
    </row>
    <row r="25">
      <c r="A25" t="s" s="11">
        <v>226</v>
      </c>
      <c r="B25" t="s" s="11">
        <v>227</v>
      </c>
      <c r="C25" t="s" s="11">
        <v>34</v>
      </c>
      <c r="D25" t="s" s="11">
        <v>112</v>
      </c>
      <c r="E25" t="s" s="11">
        <v>36</v>
      </c>
      <c r="F25" t="s" s="11">
        <v>228</v>
      </c>
      <c r="G25" t="s" s="11">
        <v>229</v>
      </c>
      <c r="H25" s="17">
        <f>HYPERLINK("http://www.harbourenergy.com", "www.harbourenergy.com")</f>
      </c>
      <c r="I25" t="s" s="11">
        <v>230</v>
      </c>
      <c r="J25" s="25">
        <v>1</v>
      </c>
      <c r="K25" s="25">
        <v>1</v>
      </c>
      <c r="L25" t="s" s="25">
        <v>34</v>
      </c>
      <c r="M25" t="s" s="13">
        <v>116</v>
      </c>
      <c r="N25" t="s" s="11">
        <v>231</v>
      </c>
      <c r="O25" t="s" s="11">
        <v>117</v>
      </c>
      <c r="P25" t="s" s="11">
        <v>118</v>
      </c>
      <c r="Q25" t="s" s="11">
        <v>34</v>
      </c>
      <c r="R25" t="s" s="11">
        <v>119</v>
      </c>
      <c r="S25" t="s" s="11">
        <v>120</v>
      </c>
      <c r="T25" t="s" s="13">
        <v>121</v>
      </c>
      <c r="U25" t="s" s="11">
        <v>122</v>
      </c>
      <c r="V25" t="s" s="13">
        <v>123</v>
      </c>
      <c r="W25" t="s" s="11">
        <v>232</v>
      </c>
      <c r="X25" s="17">
        <f>HYPERLINK("https://my.pitchbook.com?p=62567-47P", "View People Online")</f>
      </c>
    </row>
    <row r="26">
      <c r="A26" t="s" s="10">
        <v>233</v>
      </c>
      <c r="B26" t="s" s="10">
        <v>234</v>
      </c>
      <c r="C26" t="s" s="10">
        <v>34</v>
      </c>
      <c r="D26" t="s" s="10">
        <v>235</v>
      </c>
      <c r="E26" t="s" s="10">
        <v>36</v>
      </c>
      <c r="F26" t="s" s="10">
        <v>236</v>
      </c>
      <c r="G26" t="s" s="10">
        <v>229</v>
      </c>
      <c r="H26" s="16">
        <f>HYPERLINK("http://www.pharmacychain366.ru", "www.pharmacychain366.ru")</f>
      </c>
      <c r="I26" t="s" s="10">
        <v>238</v>
      </c>
      <c r="J26" t="s" s="24">
        <v>34</v>
      </c>
      <c r="K26" s="24">
        <v>1</v>
      </c>
      <c r="L26" t="s" s="24">
        <v>34</v>
      </c>
      <c r="M26" t="s" s="12">
        <v>239</v>
      </c>
      <c r="N26" t="s" s="10">
        <v>240</v>
      </c>
      <c r="O26" t="s" s="10">
        <v>200</v>
      </c>
      <c r="P26" t="s" s="10">
        <v>241</v>
      </c>
      <c r="Q26" t="s" s="10">
        <v>242</v>
      </c>
      <c r="R26" t="s" s="10">
        <v>202</v>
      </c>
      <c r="S26" t="s" s="10">
        <v>34</v>
      </c>
      <c r="T26" t="s" s="12">
        <v>243</v>
      </c>
      <c r="U26" t="s" s="10">
        <v>204</v>
      </c>
      <c r="V26" t="s" s="12">
        <v>239</v>
      </c>
      <c r="W26" t="s" s="10">
        <v>244</v>
      </c>
      <c r="X26" s="16">
        <f>HYPERLINK("https://my.pitchbook.com?p=260227-18P", "View People Online")</f>
      </c>
    </row>
    <row r="27">
      <c r="A27" t="s" s="11">
        <v>245</v>
      </c>
      <c r="B27" t="s" s="11">
        <v>246</v>
      </c>
      <c r="C27" t="s" s="11">
        <v>34</v>
      </c>
      <c r="D27" t="s" s="11">
        <v>247</v>
      </c>
      <c r="E27" t="s" s="11">
        <v>36</v>
      </c>
      <c r="F27" t="s" s="11">
        <v>248</v>
      </c>
      <c r="G27" t="s" s="11">
        <v>229</v>
      </c>
      <c r="H27" s="17">
        <f>HYPERLINK("http://www.novatek.ru", "www.novatek.ru")</f>
      </c>
      <c r="I27" t="s" s="11">
        <v>249</v>
      </c>
      <c r="J27" t="s" s="25">
        <v>34</v>
      </c>
      <c r="K27" t="s" s="25">
        <v>34</v>
      </c>
      <c r="L27" t="s" s="25">
        <v>34</v>
      </c>
      <c r="M27" t="s" s="13">
        <v>34</v>
      </c>
      <c r="N27" t="s" s="11">
        <v>34</v>
      </c>
      <c r="O27" t="s" s="11">
        <v>34</v>
      </c>
      <c r="P27" t="s" s="11">
        <v>34</v>
      </c>
      <c r="Q27" t="s" s="11">
        <v>34</v>
      </c>
      <c r="R27" t="s" s="11">
        <v>34</v>
      </c>
      <c r="S27" t="s" s="11">
        <v>34</v>
      </c>
      <c r="T27" t="s" s="13">
        <v>34</v>
      </c>
      <c r="U27" t="s" s="11">
        <v>34</v>
      </c>
      <c r="V27" t="s" s="13">
        <v>34</v>
      </c>
      <c r="W27" t="s" s="11">
        <v>250</v>
      </c>
      <c r="X27" s="17">
        <f>HYPERLINK("https://my.pitchbook.com?p=116448-40P", "View People Online")</f>
      </c>
    </row>
    <row r="28">
      <c r="A28" t="s" s="10">
        <v>251</v>
      </c>
      <c r="B28" t="s" s="10">
        <v>252</v>
      </c>
      <c r="C28" t="s" s="10">
        <v>34</v>
      </c>
      <c r="D28" t="s" s="10">
        <v>195</v>
      </c>
      <c r="E28" t="s" s="10">
        <v>36</v>
      </c>
      <c r="F28" t="s" s="10">
        <v>253</v>
      </c>
      <c r="G28" t="s" s="10">
        <v>229</v>
      </c>
      <c r="H28" s="16">
        <f>HYPERLINK("http://www.novatek.ru", "www.novatek.ru")</f>
      </c>
      <c r="I28" t="s" s="10">
        <v>254</v>
      </c>
      <c r="J28" t="s" s="24">
        <v>34</v>
      </c>
      <c r="K28" s="24">
        <v>1</v>
      </c>
      <c r="L28" t="s" s="24">
        <v>34</v>
      </c>
      <c r="M28" t="s" s="12">
        <v>255</v>
      </c>
      <c r="N28" t="s" s="10">
        <v>256</v>
      </c>
      <c r="O28" t="s" s="10">
        <v>200</v>
      </c>
      <c r="P28" t="s" s="10">
        <v>201</v>
      </c>
      <c r="Q28" t="s" s="10">
        <v>34</v>
      </c>
      <c r="R28" t="s" s="10">
        <v>202</v>
      </c>
      <c r="S28" t="s" s="10">
        <v>34</v>
      </c>
      <c r="T28" t="s" s="12">
        <v>203</v>
      </c>
      <c r="U28" t="s" s="10">
        <v>204</v>
      </c>
      <c r="V28" t="s" s="12">
        <v>205</v>
      </c>
      <c r="W28" t="s" s="10">
        <v>257</v>
      </c>
      <c r="X28" s="16">
        <f>HYPERLINK("https://my.pitchbook.com?p=214390-45P", "View People Online")</f>
      </c>
    </row>
    <row r="29">
      <c r="A29" t="s" s="11">
        <v>258</v>
      </c>
      <c r="B29" t="s" s="11">
        <v>259</v>
      </c>
      <c r="C29" t="s" s="11">
        <v>34</v>
      </c>
      <c r="D29" t="s" s="11">
        <v>260</v>
      </c>
      <c r="E29" t="s" s="11">
        <v>36</v>
      </c>
      <c r="F29" t="s" s="11">
        <v>261</v>
      </c>
      <c r="G29" t="s" s="11">
        <v>229</v>
      </c>
      <c r="H29" s="17">
        <f>HYPERLINK("http://www.carmoney.ru", "www.carmoney.ru")</f>
      </c>
      <c r="I29" t="s" s="11">
        <v>263</v>
      </c>
      <c r="J29" t="s" s="25">
        <v>34</v>
      </c>
      <c r="K29" t="s" s="25">
        <v>34</v>
      </c>
      <c r="L29" t="s" s="25">
        <v>34</v>
      </c>
      <c r="M29" t="s" s="13">
        <v>34</v>
      </c>
      <c r="N29" t="s" s="11">
        <v>34</v>
      </c>
      <c r="O29" t="s" s="11">
        <v>34</v>
      </c>
      <c r="P29" t="s" s="11">
        <v>34</v>
      </c>
      <c r="Q29" t="s" s="11">
        <v>34</v>
      </c>
      <c r="R29" t="s" s="11">
        <v>34</v>
      </c>
      <c r="S29" t="s" s="11">
        <v>34</v>
      </c>
      <c r="T29" t="s" s="13">
        <v>34</v>
      </c>
      <c r="U29" t="s" s="11">
        <v>34</v>
      </c>
      <c r="V29" t="s" s="13">
        <v>34</v>
      </c>
      <c r="W29" t="s" s="11">
        <v>264</v>
      </c>
      <c r="X29" s="17">
        <f>HYPERLINK("https://my.pitchbook.com?p=174193-93P", "View People Online")</f>
      </c>
    </row>
    <row r="30">
      <c r="A30" t="s" s="10">
        <v>265</v>
      </c>
      <c r="B30" t="s" s="10">
        <v>266</v>
      </c>
      <c r="C30" t="s" s="10">
        <v>34</v>
      </c>
      <c r="D30" t="s" s="10">
        <v>267</v>
      </c>
      <c r="E30" t="s" s="10">
        <v>36</v>
      </c>
      <c r="F30" t="s" s="10">
        <v>268</v>
      </c>
      <c r="G30" t="s" s="10">
        <v>229</v>
      </c>
      <c r="H30" s="16">
        <f>HYPERLINK("http://www.navigatorgas.com", "www.navigatorgas.com")</f>
      </c>
      <c r="I30" t="s" s="10">
        <v>108</v>
      </c>
      <c r="J30" t="s" s="24">
        <v>34</v>
      </c>
      <c r="K30" t="s" s="24">
        <v>34</v>
      </c>
      <c r="L30" t="s" s="24">
        <v>34</v>
      </c>
      <c r="M30" t="s" s="12">
        <v>34</v>
      </c>
      <c r="N30" t="s" s="10">
        <v>34</v>
      </c>
      <c r="O30" t="s" s="10">
        <v>34</v>
      </c>
      <c r="P30" t="s" s="10">
        <v>34</v>
      </c>
      <c r="Q30" t="s" s="10">
        <v>34</v>
      </c>
      <c r="R30" t="s" s="10">
        <v>34</v>
      </c>
      <c r="S30" t="s" s="10">
        <v>34</v>
      </c>
      <c r="T30" t="s" s="12">
        <v>34</v>
      </c>
      <c r="U30" t="s" s="10">
        <v>34</v>
      </c>
      <c r="V30" t="s" s="12">
        <v>34</v>
      </c>
      <c r="W30" t="s" s="10">
        <v>270</v>
      </c>
      <c r="X30" s="16">
        <f>HYPERLINK("https://my.pitchbook.com?p=56819-53P", "View People Online")</f>
      </c>
    </row>
    <row r="31">
      <c r="A31" t="s" s="11">
        <v>271</v>
      </c>
      <c r="B31" t="s" s="11">
        <v>272</v>
      </c>
      <c r="C31" t="s" s="11">
        <v>34</v>
      </c>
      <c r="D31" t="s" s="11">
        <v>273</v>
      </c>
      <c r="E31" t="s" s="11">
        <v>36</v>
      </c>
      <c r="F31" t="s" s="11">
        <v>274</v>
      </c>
      <c r="G31" t="s" s="11">
        <v>229</v>
      </c>
      <c r="H31" s="17">
        <f>HYPERLINK("http://www.enplusgroup.com", "www.enplusgroup.com")</f>
      </c>
      <c r="I31" t="s" s="11">
        <v>263</v>
      </c>
      <c r="J31" t="s" s="25">
        <v>34</v>
      </c>
      <c r="K31" t="s" s="25">
        <v>34</v>
      </c>
      <c r="L31" t="s" s="25">
        <v>34</v>
      </c>
      <c r="M31" t="s" s="13">
        <v>34</v>
      </c>
      <c r="N31" t="s" s="11">
        <v>34</v>
      </c>
      <c r="O31" t="s" s="11">
        <v>34</v>
      </c>
      <c r="P31" t="s" s="11">
        <v>34</v>
      </c>
      <c r="Q31" t="s" s="11">
        <v>34</v>
      </c>
      <c r="R31" t="s" s="11">
        <v>34</v>
      </c>
      <c r="S31" t="s" s="11">
        <v>34</v>
      </c>
      <c r="T31" t="s" s="13">
        <v>34</v>
      </c>
      <c r="U31" t="s" s="11">
        <v>34</v>
      </c>
      <c r="V31" t="s" s="13">
        <v>34</v>
      </c>
      <c r="W31" t="s" s="11">
        <v>276</v>
      </c>
      <c r="X31" s="17">
        <f>HYPERLINK("https://my.pitchbook.com?p=72049-06P", "View People Online")</f>
      </c>
    </row>
    <row r="32">
      <c r="A32" t="s" s="10">
        <v>277</v>
      </c>
      <c r="B32" t="s" s="10">
        <v>278</v>
      </c>
      <c r="C32" t="s" s="10">
        <v>34</v>
      </c>
      <c r="D32" t="s" s="10">
        <v>279</v>
      </c>
      <c r="E32" t="s" s="10">
        <v>36</v>
      </c>
      <c r="F32" t="s" s="10">
        <v>280</v>
      </c>
      <c r="G32" t="s" s="10">
        <v>229</v>
      </c>
      <c r="H32" s="16">
        <f>HYPERLINK("http://www.enplusgroup.com", "www.enplusgroup.com")</f>
      </c>
      <c r="I32" t="s" s="10">
        <v>281</v>
      </c>
      <c r="J32" t="s" s="24">
        <v>34</v>
      </c>
      <c r="K32" s="24">
        <v>3</v>
      </c>
      <c r="L32" s="24">
        <v>2</v>
      </c>
      <c r="M32" t="s" s="12">
        <v>282</v>
      </c>
      <c r="N32" t="s" s="10">
        <v>283</v>
      </c>
      <c r="O32" t="s" s="10">
        <v>200</v>
      </c>
      <c r="P32" t="s" s="10">
        <v>284</v>
      </c>
      <c r="Q32" t="s" s="10">
        <v>34</v>
      </c>
      <c r="R32" t="s" s="10">
        <v>202</v>
      </c>
      <c r="S32" t="s" s="10">
        <v>34</v>
      </c>
      <c r="T32" t="s" s="12">
        <v>285</v>
      </c>
      <c r="U32" t="s" s="10">
        <v>204</v>
      </c>
      <c r="V32" t="s" s="12">
        <v>286</v>
      </c>
      <c r="W32" t="s" s="10">
        <v>287</v>
      </c>
      <c r="X32" s="16">
        <f>HYPERLINK("https://my.pitchbook.com?p=158248-90P", "View People Online")</f>
      </c>
    </row>
    <row r="33">
      <c r="A33" t="s" s="11">
        <v>288</v>
      </c>
      <c r="B33" t="s" s="11">
        <v>289</v>
      </c>
      <c r="C33" t="s" s="11">
        <v>34</v>
      </c>
      <c r="D33" t="s" s="11">
        <v>290</v>
      </c>
      <c r="E33" t="s" s="11">
        <v>36</v>
      </c>
      <c r="F33" t="s" s="11">
        <v>291</v>
      </c>
      <c r="G33" t="s" s="11">
        <v>292</v>
      </c>
      <c r="H33" s="17">
        <f>HYPERLINK("http://www.rusal.ru", "www.rusal.ru")</f>
      </c>
      <c r="I33" t="s" s="11">
        <v>294</v>
      </c>
      <c r="J33" t="s" s="25">
        <v>34</v>
      </c>
      <c r="K33" s="25">
        <v>1</v>
      </c>
      <c r="L33" s="25">
        <v>1</v>
      </c>
      <c r="M33" t="s" s="13">
        <v>34</v>
      </c>
      <c r="N33" t="s" s="11">
        <v>34</v>
      </c>
      <c r="O33" t="s" s="11">
        <v>34</v>
      </c>
      <c r="P33" t="s" s="11">
        <v>34</v>
      </c>
      <c r="Q33" t="s" s="11">
        <v>34</v>
      </c>
      <c r="R33" t="s" s="11">
        <v>34</v>
      </c>
      <c r="S33" t="s" s="11">
        <v>34</v>
      </c>
      <c r="T33" t="s" s="13">
        <v>34</v>
      </c>
      <c r="U33" t="s" s="11">
        <v>34</v>
      </c>
      <c r="V33" t="s" s="13">
        <v>34</v>
      </c>
      <c r="W33" t="s" s="11">
        <v>295</v>
      </c>
      <c r="X33" s="17">
        <f>HYPERLINK("https://my.pitchbook.com?p=139393-00P", "View People Online")</f>
      </c>
    </row>
    <row r="34">
      <c r="A34" t="s" s="10">
        <v>296</v>
      </c>
      <c r="B34" t="s" s="10">
        <v>297</v>
      </c>
      <c r="C34" t="s" s="10">
        <v>34</v>
      </c>
      <c r="D34" t="s" s="10">
        <v>88</v>
      </c>
      <c r="E34" t="s" s="10">
        <v>36</v>
      </c>
      <c r="F34" t="s" s="10">
        <v>89</v>
      </c>
      <c r="G34" t="s" s="10">
        <v>298</v>
      </c>
      <c r="H34" s="16">
        <f>HYPERLINK("http://www.atlasmining.com.ph", "www.atlasmining.com.ph")</f>
      </c>
      <c r="I34" t="s" s="10">
        <v>299</v>
      </c>
      <c r="J34" t="s" s="24">
        <v>34</v>
      </c>
      <c r="K34" s="24">
        <v>1</v>
      </c>
      <c r="L34" t="s" s="24">
        <v>34</v>
      </c>
      <c r="M34" t="s" s="12">
        <v>92</v>
      </c>
      <c r="N34" t="s" s="10">
        <v>34</v>
      </c>
      <c r="O34" t="s" s="10">
        <v>94</v>
      </c>
      <c r="P34" t="s" s="10">
        <v>95</v>
      </c>
      <c r="Q34" t="s" s="10">
        <v>34</v>
      </c>
      <c r="R34" t="s" s="10">
        <v>96</v>
      </c>
      <c r="S34" t="s" s="10">
        <v>97</v>
      </c>
      <c r="T34" t="s" s="12">
        <v>98</v>
      </c>
      <c r="U34" t="s" s="10">
        <v>99</v>
      </c>
      <c r="V34" t="s" s="12">
        <v>100</v>
      </c>
      <c r="W34" t="s" s="10">
        <v>300</v>
      </c>
      <c r="X34" s="16">
        <f>HYPERLINK("https://my.pitchbook.com?p=325953-28P", "View People Online")</f>
      </c>
    </row>
    <row r="35">
      <c r="A35" t="s" s="11">
        <v>301</v>
      </c>
      <c r="B35" t="s" s="11">
        <v>302</v>
      </c>
      <c r="C35" t="s" s="11">
        <v>34</v>
      </c>
      <c r="D35" t="s" s="11">
        <v>303</v>
      </c>
      <c r="E35" t="s" s="11">
        <v>36</v>
      </c>
      <c r="F35" t="s" s="11">
        <v>304</v>
      </c>
      <c r="G35" t="s" s="11">
        <v>305</v>
      </c>
      <c r="H35" s="17">
        <f>HYPERLINK("http://www.firefinchltd.com", "www.firefinchltd.com")</f>
      </c>
      <c r="I35" t="s" s="11">
        <v>307</v>
      </c>
      <c r="J35" s="25">
        <v>1</v>
      </c>
      <c r="K35" s="25">
        <v>2</v>
      </c>
      <c r="L35" s="25">
        <v>1</v>
      </c>
      <c r="M35" t="s" s="13">
        <v>308</v>
      </c>
      <c r="N35" t="s" s="11">
        <v>34</v>
      </c>
      <c r="O35" t="s" s="11">
        <v>309</v>
      </c>
      <c r="P35" t="s" s="11">
        <v>310</v>
      </c>
      <c r="Q35" t="s" s="11">
        <v>311</v>
      </c>
      <c r="R35" t="s" s="11">
        <v>312</v>
      </c>
      <c r="S35" t="s" s="11">
        <v>55</v>
      </c>
      <c r="T35" t="s" s="13">
        <v>313</v>
      </c>
      <c r="U35" t="s" s="11">
        <v>57</v>
      </c>
      <c r="V35" t="s" s="13">
        <v>314</v>
      </c>
      <c r="W35" t="s" s="11">
        <v>315</v>
      </c>
      <c r="X35" s="17">
        <f>HYPERLINK("https://my.pitchbook.com?p=162583-48P", "View People Online")</f>
      </c>
    </row>
    <row r="36">
      <c r="A36" t="s" s="10">
        <v>316</v>
      </c>
      <c r="B36" t="s" s="10">
        <v>317</v>
      </c>
      <c r="C36" t="s" s="10">
        <v>34</v>
      </c>
      <c r="D36" t="s" s="10">
        <v>318</v>
      </c>
      <c r="E36" t="s" s="10">
        <v>36</v>
      </c>
      <c r="F36" t="s" s="10">
        <v>319</v>
      </c>
      <c r="G36" t="s" s="10">
        <v>320</v>
      </c>
      <c r="H36" s="16">
        <f>HYPERLINK("http://www.civeo.com", "www.civeo.com")</f>
      </c>
      <c r="I36" t="s" s="10">
        <v>322</v>
      </c>
      <c r="J36" t="s" s="24">
        <v>34</v>
      </c>
      <c r="K36" s="24">
        <v>1</v>
      </c>
      <c r="L36" t="s" s="24">
        <v>34</v>
      </c>
      <c r="M36" t="s" s="12">
        <v>323</v>
      </c>
      <c r="N36" t="s" s="10">
        <v>324</v>
      </c>
      <c r="O36" t="s" s="10">
        <v>325</v>
      </c>
      <c r="P36" t="s" s="10">
        <v>326</v>
      </c>
      <c r="Q36" t="s" s="10">
        <v>327</v>
      </c>
      <c r="R36" t="s" s="10">
        <v>328</v>
      </c>
      <c r="S36" t="s" s="10">
        <v>329</v>
      </c>
      <c r="T36" t="s" s="12">
        <v>330</v>
      </c>
      <c r="U36" t="s" s="10">
        <v>161</v>
      </c>
      <c r="V36" t="s" s="12">
        <v>331</v>
      </c>
      <c r="W36" t="s" s="10">
        <v>332</v>
      </c>
      <c r="X36" s="16">
        <f>HYPERLINK("https://my.pitchbook.com?p=217441-18P", "View People Online")</f>
      </c>
    </row>
    <row r="37">
      <c r="A37" t="s" s="11">
        <v>333</v>
      </c>
      <c r="B37" t="s" s="11">
        <v>334</v>
      </c>
      <c r="C37" t="s" s="11">
        <v>34</v>
      </c>
      <c r="D37" t="s" s="11">
        <v>335</v>
      </c>
      <c r="E37" t="s" s="11">
        <v>36</v>
      </c>
      <c r="F37" t="s" s="11">
        <v>336</v>
      </c>
      <c r="G37" t="s" s="11">
        <v>320</v>
      </c>
      <c r="H37" s="17">
        <f>HYPERLINK("http://www.regionalhealthproperties.com", "www.regionalhealthproperties.com")</f>
      </c>
      <c r="I37" t="s" s="11">
        <v>338</v>
      </c>
      <c r="J37" t="s" s="25">
        <v>34</v>
      </c>
      <c r="K37" t="s" s="25">
        <v>34</v>
      </c>
      <c r="L37" t="s" s="25">
        <v>34</v>
      </c>
      <c r="M37" t="s" s="13">
        <v>34</v>
      </c>
      <c r="N37" t="s" s="11">
        <v>34</v>
      </c>
      <c r="O37" t="s" s="11">
        <v>34</v>
      </c>
      <c r="P37" t="s" s="11">
        <v>34</v>
      </c>
      <c r="Q37" t="s" s="11">
        <v>34</v>
      </c>
      <c r="R37" t="s" s="11">
        <v>34</v>
      </c>
      <c r="S37" t="s" s="11">
        <v>34</v>
      </c>
      <c r="T37" t="s" s="13">
        <v>34</v>
      </c>
      <c r="U37" t="s" s="11">
        <v>34</v>
      </c>
      <c r="V37" t="s" s="13">
        <v>34</v>
      </c>
      <c r="W37" t="s" s="11">
        <v>339</v>
      </c>
      <c r="X37" s="17">
        <f>HYPERLINK("https://my.pitchbook.com?p=29215-18P", "View People Online")</f>
      </c>
    </row>
    <row r="38">
      <c r="A38" t="s" s="10">
        <v>340</v>
      </c>
      <c r="B38" t="s" s="10">
        <v>341</v>
      </c>
      <c r="C38" t="s" s="10">
        <v>34</v>
      </c>
      <c r="D38" t="s" s="10">
        <v>187</v>
      </c>
      <c r="E38" t="s" s="10">
        <v>36</v>
      </c>
      <c r="F38" t="s" s="10">
        <v>342</v>
      </c>
      <c r="G38" t="s" s="10">
        <v>343</v>
      </c>
      <c r="H38" s="16">
        <f>HYPERLINK("http://www.diacorporate.com", "www.diacorporate.com")</f>
      </c>
      <c r="I38" t="s" s="10">
        <v>344</v>
      </c>
      <c r="J38" t="s" s="24">
        <v>34</v>
      </c>
      <c r="K38" t="s" s="24">
        <v>34</v>
      </c>
      <c r="L38" t="s" s="24">
        <v>34</v>
      </c>
      <c r="M38" t="s" s="12">
        <v>34</v>
      </c>
      <c r="N38" t="s" s="10">
        <v>34</v>
      </c>
      <c r="O38" t="s" s="10">
        <v>34</v>
      </c>
      <c r="P38" t="s" s="10">
        <v>34</v>
      </c>
      <c r="Q38" t="s" s="10">
        <v>34</v>
      </c>
      <c r="R38" t="s" s="10">
        <v>34</v>
      </c>
      <c r="S38" t="s" s="10">
        <v>34</v>
      </c>
      <c r="T38" t="s" s="12">
        <v>34</v>
      </c>
      <c r="U38" t="s" s="10">
        <v>34</v>
      </c>
      <c r="V38" t="s" s="12">
        <v>34</v>
      </c>
      <c r="W38" t="s" s="10">
        <v>345</v>
      </c>
      <c r="X38" s="16">
        <f>HYPERLINK("https://my.pitchbook.com?p=168520-51P", "View People Online")</f>
      </c>
    </row>
    <row r="39">
      <c r="A39" t="s" s="11">
        <v>346</v>
      </c>
      <c r="B39" t="s" s="11">
        <v>347</v>
      </c>
      <c r="C39" t="s" s="11">
        <v>34</v>
      </c>
      <c r="D39" t="s" s="11">
        <v>187</v>
      </c>
      <c r="E39" t="s" s="11">
        <v>36</v>
      </c>
      <c r="F39" t="s" s="11">
        <v>348</v>
      </c>
      <c r="G39" t="s" s="11">
        <v>349</v>
      </c>
      <c r="H39" s="17">
        <f>HYPERLINK("http://www.diacorporate.com", "www.diacorporate.com")</f>
      </c>
      <c r="I39" t="s" s="11">
        <v>350</v>
      </c>
      <c r="J39" t="s" s="25">
        <v>34</v>
      </c>
      <c r="K39" s="25">
        <v>1</v>
      </c>
      <c r="L39" s="25">
        <v>1</v>
      </c>
      <c r="M39" t="s" s="13">
        <v>34</v>
      </c>
      <c r="N39" t="s" s="11">
        <v>34</v>
      </c>
      <c r="O39" t="s" s="11">
        <v>34</v>
      </c>
      <c r="P39" t="s" s="11">
        <v>34</v>
      </c>
      <c r="Q39" t="s" s="11">
        <v>34</v>
      </c>
      <c r="R39" t="s" s="11">
        <v>34</v>
      </c>
      <c r="S39" t="s" s="11">
        <v>34</v>
      </c>
      <c r="T39" t="s" s="13">
        <v>34</v>
      </c>
      <c r="U39" t="s" s="11">
        <v>34</v>
      </c>
      <c r="V39" t="s" s="13">
        <v>34</v>
      </c>
      <c r="W39" t="s" s="11">
        <v>351</v>
      </c>
      <c r="X39" s="17">
        <f>HYPERLINK("https://my.pitchbook.com?p=305619-67P", "View People Online")</f>
      </c>
    </row>
    <row r="40">
      <c r="A40" t="s" s="10">
        <v>352</v>
      </c>
      <c r="B40" t="s" s="10">
        <v>353</v>
      </c>
      <c r="C40" t="s" s="10">
        <v>34</v>
      </c>
      <c r="D40" t="s" s="10">
        <v>354</v>
      </c>
      <c r="E40" t="s" s="10">
        <v>36</v>
      </c>
      <c r="F40" t="s" s="10">
        <v>355</v>
      </c>
      <c r="G40" t="s" s="10">
        <v>356</v>
      </c>
      <c r="H40" s="16">
        <f>HYPERLINK("http://www.tridentestatesplc.com", "www.tridentestatesplc.com")</f>
      </c>
      <c r="I40" t="s" s="10">
        <v>263</v>
      </c>
      <c r="J40" t="s" s="24">
        <v>34</v>
      </c>
      <c r="K40" s="24">
        <v>1</v>
      </c>
      <c r="L40" t="s" s="24">
        <v>34</v>
      </c>
      <c r="M40" t="s" s="12">
        <v>358</v>
      </c>
      <c r="N40" t="s" s="10">
        <v>359</v>
      </c>
      <c r="O40" t="s" s="10">
        <v>360</v>
      </c>
      <c r="P40" t="s" s="10">
        <v>361</v>
      </c>
      <c r="Q40" t="s" s="10">
        <v>362</v>
      </c>
      <c r="R40" t="s" s="10">
        <v>363</v>
      </c>
      <c r="S40" t="s" s="10">
        <v>34</v>
      </c>
      <c r="T40" t="s" s="12">
        <v>364</v>
      </c>
      <c r="U40" t="s" s="10">
        <v>365</v>
      </c>
      <c r="V40" t="s" s="12">
        <v>34</v>
      </c>
      <c r="W40" t="s" s="10">
        <v>366</v>
      </c>
      <c r="X40" s="16">
        <f>HYPERLINK("https://my.pitchbook.com?p=337445-83P", "View People Online")</f>
      </c>
    </row>
    <row r="41">
      <c r="A41" t="s" s="11">
        <v>367</v>
      </c>
      <c r="B41" t="s" s="11">
        <v>368</v>
      </c>
      <c r="C41" t="s" s="11">
        <v>34</v>
      </c>
      <c r="D41" t="s" s="11">
        <v>165</v>
      </c>
      <c r="E41" t="s" s="11">
        <v>36</v>
      </c>
      <c r="F41" t="s" s="11">
        <v>369</v>
      </c>
      <c r="G41" t="s" s="11">
        <v>356</v>
      </c>
      <c r="H41" s="17">
        <f>HYPERLINK("http://www.erg.eu", "www.erg.eu")</f>
      </c>
      <c r="I41" t="s" s="11">
        <v>370</v>
      </c>
      <c r="J41" t="s" s="25">
        <v>34</v>
      </c>
      <c r="K41" s="25">
        <v>1</v>
      </c>
      <c r="L41" t="s" s="25">
        <v>34</v>
      </c>
      <c r="M41" t="s" s="13">
        <v>170</v>
      </c>
      <c r="N41" t="s" s="11">
        <v>371</v>
      </c>
      <c r="O41" t="s" s="11">
        <v>172</v>
      </c>
      <c r="P41" t="s" s="11">
        <v>173</v>
      </c>
      <c r="Q41" t="s" s="11">
        <v>34</v>
      </c>
      <c r="R41" t="s" s="11">
        <v>174</v>
      </c>
      <c r="S41" t="s" s="11">
        <v>34</v>
      </c>
      <c r="T41" t="s" s="13">
        <v>175</v>
      </c>
      <c r="U41" t="s" s="11">
        <v>176</v>
      </c>
      <c r="V41" t="s" s="13">
        <v>177</v>
      </c>
      <c r="W41" t="s" s="11">
        <v>372</v>
      </c>
      <c r="X41" s="17">
        <f>HYPERLINK("https://my.pitchbook.com?p=145895-32P", "View People Online")</f>
      </c>
    </row>
    <row r="42">
      <c r="A42" t="s" s="10">
        <v>373</v>
      </c>
      <c r="B42" t="s" s="10">
        <v>374</v>
      </c>
      <c r="C42" t="s" s="10">
        <v>34</v>
      </c>
      <c r="D42" t="s" s="10">
        <v>112</v>
      </c>
      <c r="E42" t="s" s="10">
        <v>36</v>
      </c>
      <c r="F42" t="s" s="10">
        <v>375</v>
      </c>
      <c r="G42" t="s" s="10">
        <v>356</v>
      </c>
      <c r="H42" s="16">
        <f>HYPERLINK("http://www.harbourenergy.com", "www.harbourenergy.com")</f>
      </c>
      <c r="I42" t="s" s="10">
        <v>376</v>
      </c>
      <c r="J42" t="s" s="24">
        <v>34</v>
      </c>
      <c r="K42" s="24">
        <v>1</v>
      </c>
      <c r="L42" t="s" s="24">
        <v>34</v>
      </c>
      <c r="M42" t="s" s="12">
        <v>116</v>
      </c>
      <c r="N42" t="s" s="10">
        <v>377</v>
      </c>
      <c r="O42" t="s" s="10">
        <v>117</v>
      </c>
      <c r="P42" t="s" s="10">
        <v>118</v>
      </c>
      <c r="Q42" t="s" s="10">
        <v>34</v>
      </c>
      <c r="R42" t="s" s="10">
        <v>119</v>
      </c>
      <c r="S42" t="s" s="10">
        <v>120</v>
      </c>
      <c r="T42" t="s" s="12">
        <v>121</v>
      </c>
      <c r="U42" t="s" s="10">
        <v>122</v>
      </c>
      <c r="V42" t="s" s="12">
        <v>123</v>
      </c>
      <c r="W42" t="s" s="10">
        <v>378</v>
      </c>
      <c r="X42" s="16">
        <f>HYPERLINK("https://my.pitchbook.com?p=89866-72P", "View People Online")</f>
      </c>
    </row>
    <row r="43">
      <c r="A43" t="s" s="11">
        <v>379</v>
      </c>
      <c r="B43" t="s" s="11">
        <v>380</v>
      </c>
      <c r="C43" t="s" s="11">
        <v>34</v>
      </c>
      <c r="D43" t="s" s="11">
        <v>195</v>
      </c>
      <c r="E43" t="s" s="11">
        <v>36</v>
      </c>
      <c r="F43" t="s" s="11">
        <v>381</v>
      </c>
      <c r="G43" t="s" s="11">
        <v>382</v>
      </c>
      <c r="H43" s="17">
        <f>HYPERLINK("http://www.novatek.ru", "www.novatek.ru")</f>
      </c>
      <c r="I43" t="s" s="11">
        <v>383</v>
      </c>
      <c r="J43" s="25">
        <v>1</v>
      </c>
      <c r="K43" s="25">
        <v>1</v>
      </c>
      <c r="L43" t="s" s="25">
        <v>34</v>
      </c>
      <c r="M43" t="s" s="13">
        <v>199</v>
      </c>
      <c r="N43" t="s" s="11">
        <v>34</v>
      </c>
      <c r="O43" t="s" s="11">
        <v>200</v>
      </c>
      <c r="P43" t="s" s="11">
        <v>201</v>
      </c>
      <c r="Q43" t="s" s="11">
        <v>34</v>
      </c>
      <c r="R43" t="s" s="11">
        <v>202</v>
      </c>
      <c r="S43" t="s" s="11">
        <v>34</v>
      </c>
      <c r="T43" t="s" s="13">
        <v>203</v>
      </c>
      <c r="U43" t="s" s="11">
        <v>204</v>
      </c>
      <c r="V43" t="s" s="13">
        <v>205</v>
      </c>
      <c r="W43" t="s" s="11">
        <v>384</v>
      </c>
      <c r="X43" s="17">
        <f>HYPERLINK("https://my.pitchbook.com?p=116449-30P", "View People Online")</f>
      </c>
    </row>
    <row r="44">
      <c r="A44" t="s" s="10">
        <v>385</v>
      </c>
      <c r="B44" t="s" s="10">
        <v>386</v>
      </c>
      <c r="C44" t="s" s="10">
        <v>34</v>
      </c>
      <c r="D44" t="s" s="10">
        <v>247</v>
      </c>
      <c r="E44" t="s" s="10">
        <v>36</v>
      </c>
      <c r="F44" t="s" s="10">
        <v>387</v>
      </c>
      <c r="G44" t="s" s="10">
        <v>382</v>
      </c>
      <c r="H44" s="16">
        <f>HYPERLINK("http://www.novatek.ru", "www.novatek.ru")</f>
      </c>
      <c r="I44" t="s" s="10">
        <v>299</v>
      </c>
      <c r="J44" t="s" s="24">
        <v>34</v>
      </c>
      <c r="K44" t="s" s="24">
        <v>34</v>
      </c>
      <c r="L44" t="s" s="24">
        <v>34</v>
      </c>
      <c r="M44" t="s" s="12">
        <v>34</v>
      </c>
      <c r="N44" t="s" s="10">
        <v>34</v>
      </c>
      <c r="O44" t="s" s="10">
        <v>34</v>
      </c>
      <c r="P44" t="s" s="10">
        <v>34</v>
      </c>
      <c r="Q44" t="s" s="10">
        <v>34</v>
      </c>
      <c r="R44" t="s" s="10">
        <v>34</v>
      </c>
      <c r="S44" t="s" s="10">
        <v>34</v>
      </c>
      <c r="T44" t="s" s="12">
        <v>34</v>
      </c>
      <c r="U44" t="s" s="10">
        <v>34</v>
      </c>
      <c r="V44" t="s" s="12">
        <v>34</v>
      </c>
      <c r="W44" t="s" s="10">
        <v>388</v>
      </c>
      <c r="X44" s="16">
        <f>HYPERLINK("https://my.pitchbook.com?p=28595-26P", "View People Online")</f>
      </c>
    </row>
    <row r="45">
      <c r="A45" t="s" s="11">
        <v>389</v>
      </c>
      <c r="B45" t="s" s="11">
        <v>390</v>
      </c>
      <c r="C45" t="s" s="11">
        <v>34</v>
      </c>
      <c r="D45" t="s" s="11">
        <v>391</v>
      </c>
      <c r="E45" t="s" s="11">
        <v>36</v>
      </c>
      <c r="F45" t="s" s="11">
        <v>392</v>
      </c>
      <c r="G45" t="s" s="11">
        <v>393</v>
      </c>
      <c r="H45" s="17">
        <f>HYPERLINK("http://www.mene.com", "www.mene.com")</f>
      </c>
      <c r="I45" t="s" s="11">
        <v>108</v>
      </c>
      <c r="J45" s="25">
        <v>2</v>
      </c>
      <c r="K45" s="25">
        <v>2</v>
      </c>
      <c r="L45" t="s" s="25">
        <v>34</v>
      </c>
      <c r="M45" t="s" s="13">
        <v>34</v>
      </c>
      <c r="N45" t="s" s="11">
        <v>34</v>
      </c>
      <c r="O45" t="s" s="11">
        <v>395</v>
      </c>
      <c r="P45" t="s" s="11">
        <v>396</v>
      </c>
      <c r="Q45" t="s" s="11">
        <v>34</v>
      </c>
      <c r="R45" t="s" s="11">
        <v>397</v>
      </c>
      <c r="S45" t="s" s="11">
        <v>34</v>
      </c>
      <c r="T45" t="s" s="13">
        <v>398</v>
      </c>
      <c r="U45" t="s" s="11">
        <v>399</v>
      </c>
      <c r="V45" t="s" s="13">
        <v>34</v>
      </c>
      <c r="W45" t="s" s="11">
        <v>400</v>
      </c>
      <c r="X45" s="17">
        <f>HYPERLINK("https://my.pitchbook.com?p=217642-78P", "View People Online")</f>
      </c>
    </row>
    <row r="46">
      <c r="A46" t="s" s="10">
        <v>401</v>
      </c>
      <c r="B46" t="s" s="10">
        <v>402</v>
      </c>
      <c r="C46" t="s" s="10">
        <v>34</v>
      </c>
      <c r="D46" t="s" s="10">
        <v>403</v>
      </c>
      <c r="E46" t="s" s="10">
        <v>36</v>
      </c>
      <c r="F46" t="s" s="10">
        <v>404</v>
      </c>
      <c r="G46" t="s" s="10">
        <v>405</v>
      </c>
      <c r="H46" s="16">
        <f>HYPERLINK("http://www.markel.com", "www.markel.com")</f>
      </c>
      <c r="I46" t="s" s="10">
        <v>407</v>
      </c>
      <c r="J46" t="s" s="24">
        <v>34</v>
      </c>
      <c r="K46" s="24">
        <v>2</v>
      </c>
      <c r="L46" t="s" s="24">
        <v>34</v>
      </c>
      <c r="M46" t="s" s="12">
        <v>408</v>
      </c>
      <c r="N46" t="s" s="10">
        <v>409</v>
      </c>
      <c r="O46" t="s" s="10">
        <v>410</v>
      </c>
      <c r="P46" t="s" s="10">
        <v>411</v>
      </c>
      <c r="Q46" t="s" s="10">
        <v>34</v>
      </c>
      <c r="R46" t="s" s="10">
        <v>412</v>
      </c>
      <c r="S46" t="s" s="10">
        <v>413</v>
      </c>
      <c r="T46" t="s" s="12">
        <v>414</v>
      </c>
      <c r="U46" t="s" s="10">
        <v>161</v>
      </c>
      <c r="V46" t="s" s="12">
        <v>34</v>
      </c>
      <c r="W46" t="s" s="10">
        <v>415</v>
      </c>
      <c r="X46" s="16">
        <f>HYPERLINK("https://my.pitchbook.com?p=48229-03P", "View People Online")</f>
      </c>
    </row>
    <row r="47">
      <c r="A47" t="s" s="11">
        <v>416</v>
      </c>
      <c r="B47" t="s" s="11">
        <v>417</v>
      </c>
      <c r="C47" t="s" s="11">
        <v>34</v>
      </c>
      <c r="D47" t="s" s="11">
        <v>418</v>
      </c>
      <c r="E47" t="s" s="11">
        <v>36</v>
      </c>
      <c r="F47" t="s" s="11">
        <v>419</v>
      </c>
      <c r="G47" t="s" s="11">
        <v>405</v>
      </c>
      <c r="H47" s="17">
        <f>HYPERLINK("http://www.hercrentals.com", "www.hercrentals.com")</f>
      </c>
      <c r="I47" t="s" s="11">
        <v>108</v>
      </c>
      <c r="J47" t="s" s="25">
        <v>34</v>
      </c>
      <c r="K47" t="s" s="25">
        <v>34</v>
      </c>
      <c r="L47" t="s" s="25">
        <v>34</v>
      </c>
      <c r="M47" t="s" s="13">
        <v>34</v>
      </c>
      <c r="N47" t="s" s="11">
        <v>34</v>
      </c>
      <c r="O47" t="s" s="11">
        <v>34</v>
      </c>
      <c r="P47" t="s" s="11">
        <v>34</v>
      </c>
      <c r="Q47" t="s" s="11">
        <v>34</v>
      </c>
      <c r="R47" t="s" s="11">
        <v>34</v>
      </c>
      <c r="S47" t="s" s="11">
        <v>34</v>
      </c>
      <c r="T47" t="s" s="13">
        <v>34</v>
      </c>
      <c r="U47" t="s" s="11">
        <v>34</v>
      </c>
      <c r="V47" t="s" s="13">
        <v>34</v>
      </c>
      <c r="W47" t="s" s="11">
        <v>421</v>
      </c>
      <c r="X47" s="17">
        <f>HYPERLINK("https://my.pitchbook.com?p=150414-04P", "View People Online")</f>
      </c>
    </row>
    <row r="48">
      <c r="A48" t="s" s="10">
        <v>422</v>
      </c>
      <c r="B48" t="s" s="10">
        <v>423</v>
      </c>
      <c r="C48" t="s" s="10">
        <v>34</v>
      </c>
      <c r="D48" t="s" s="10">
        <v>424</v>
      </c>
      <c r="E48" t="s" s="10">
        <v>36</v>
      </c>
      <c r="F48" t="s" s="10">
        <v>425</v>
      </c>
      <c r="G48" t="s" s="10">
        <v>405</v>
      </c>
      <c r="H48" s="16">
        <f>HYPERLINK("http://www.centuryaluminum.com", "www.centuryaluminum.com")</f>
      </c>
      <c r="I48" t="s" s="10">
        <v>307</v>
      </c>
      <c r="J48" s="24">
        <v>1</v>
      </c>
      <c r="K48" s="24">
        <v>1</v>
      </c>
      <c r="L48" t="s" s="24">
        <v>34</v>
      </c>
      <c r="M48" t="s" s="12">
        <v>427</v>
      </c>
      <c r="N48" t="s" s="10">
        <v>34</v>
      </c>
      <c r="O48" t="s" s="10">
        <v>428</v>
      </c>
      <c r="P48" t="s" s="10">
        <v>429</v>
      </c>
      <c r="Q48" t="s" s="10">
        <v>430</v>
      </c>
      <c r="R48" t="s" s="10">
        <v>431</v>
      </c>
      <c r="S48" t="s" s="10">
        <v>432</v>
      </c>
      <c r="T48" t="s" s="12">
        <v>433</v>
      </c>
      <c r="U48" t="s" s="10">
        <v>161</v>
      </c>
      <c r="V48" t="s" s="12">
        <v>434</v>
      </c>
      <c r="W48" t="s" s="10">
        <v>435</v>
      </c>
      <c r="X48" s="16">
        <f>HYPERLINK("https://my.pitchbook.com?p=29827-81P", "View People Online")</f>
      </c>
    </row>
    <row r="49">
      <c r="A49" t="s" s="11">
        <v>436</v>
      </c>
      <c r="B49" t="s" s="11">
        <v>437</v>
      </c>
      <c r="C49" t="s" s="11">
        <v>34</v>
      </c>
      <c r="D49" t="s" s="11">
        <v>438</v>
      </c>
      <c r="E49" t="s" s="11">
        <v>36</v>
      </c>
      <c r="F49" t="s" s="11">
        <v>439</v>
      </c>
      <c r="G49" t="s" s="11">
        <v>405</v>
      </c>
      <c r="H49" s="17">
        <f>HYPERLINK("http://www.fossilgroup.com", "www.fossilgroup.com")</f>
      </c>
      <c r="I49" t="s" s="11">
        <v>441</v>
      </c>
      <c r="J49" t="s" s="25">
        <v>34</v>
      </c>
      <c r="K49" t="s" s="25">
        <v>34</v>
      </c>
      <c r="L49" t="s" s="25">
        <v>34</v>
      </c>
      <c r="M49" t="s" s="13">
        <v>34</v>
      </c>
      <c r="N49" t="s" s="11">
        <v>442</v>
      </c>
      <c r="O49" t="s" s="11">
        <v>34</v>
      </c>
      <c r="P49" t="s" s="11">
        <v>34</v>
      </c>
      <c r="Q49" t="s" s="11">
        <v>34</v>
      </c>
      <c r="R49" t="s" s="11">
        <v>34</v>
      </c>
      <c r="S49" t="s" s="11">
        <v>34</v>
      </c>
      <c r="T49" t="s" s="13">
        <v>34</v>
      </c>
      <c r="U49" t="s" s="11">
        <v>34</v>
      </c>
      <c r="V49" t="s" s="13">
        <v>34</v>
      </c>
      <c r="W49" t="s" s="11">
        <v>443</v>
      </c>
      <c r="X49" s="17">
        <f>HYPERLINK("https://my.pitchbook.com?p=403362-10P", "View People Online")</f>
      </c>
    </row>
    <row r="50">
      <c r="A50" t="s" s="10">
        <v>444</v>
      </c>
      <c r="B50" t="s" s="10">
        <v>445</v>
      </c>
      <c r="C50" t="s" s="10">
        <v>34</v>
      </c>
      <c r="D50" t="s" s="10">
        <v>127</v>
      </c>
      <c r="E50" t="s" s="10">
        <v>36</v>
      </c>
      <c r="F50" t="s" s="10">
        <v>446</v>
      </c>
      <c r="G50" t="s" s="10">
        <v>405</v>
      </c>
      <c r="H50" s="16">
        <f>HYPERLINK("http://www.playtech.com", "www.playtech.com")</f>
      </c>
      <c r="I50" t="s" s="10">
        <v>230</v>
      </c>
      <c r="J50" t="s" s="24">
        <v>34</v>
      </c>
      <c r="K50" s="24">
        <v>2</v>
      </c>
      <c r="L50" s="24">
        <v>1</v>
      </c>
      <c r="M50" t="s" s="12">
        <v>34</v>
      </c>
      <c r="N50" t="s" s="10">
        <v>447</v>
      </c>
      <c r="O50" t="s" s="10">
        <v>117</v>
      </c>
      <c r="P50" t="s" s="10">
        <v>448</v>
      </c>
      <c r="Q50" t="s" s="10">
        <v>449</v>
      </c>
      <c r="R50" t="s" s="10">
        <v>119</v>
      </c>
      <c r="S50" t="s" s="10">
        <v>120</v>
      </c>
      <c r="T50" t="s" s="12">
        <v>450</v>
      </c>
      <c r="U50" t="s" s="10">
        <v>122</v>
      </c>
      <c r="V50" t="s" s="12">
        <v>34</v>
      </c>
      <c r="W50" t="s" s="10">
        <v>451</v>
      </c>
      <c r="X50" s="16">
        <f>HYPERLINK("https://my.pitchbook.com?p=57925-99P", "View People Online")</f>
      </c>
    </row>
    <row r="51">
      <c r="A51" t="s" s="11">
        <v>452</v>
      </c>
      <c r="B51" t="s" s="11">
        <v>453</v>
      </c>
      <c r="C51" t="s" s="11">
        <v>34</v>
      </c>
      <c r="D51" t="s" s="11">
        <v>273</v>
      </c>
      <c r="E51" t="s" s="11">
        <v>36</v>
      </c>
      <c r="F51" t="s" s="11">
        <v>454</v>
      </c>
      <c r="G51" t="s" s="11">
        <v>455</v>
      </c>
      <c r="H51" s="17">
        <f>HYPERLINK("http://www.enplusgroup.com", "www.enplusgroup.com")</f>
      </c>
      <c r="I51" t="s" s="11">
        <v>456</v>
      </c>
      <c r="J51" t="s" s="25">
        <v>34</v>
      </c>
      <c r="K51" t="s" s="25">
        <v>34</v>
      </c>
      <c r="L51" t="s" s="25">
        <v>34</v>
      </c>
      <c r="M51" t="s" s="13">
        <v>282</v>
      </c>
      <c r="N51" t="s" s="11">
        <v>34</v>
      </c>
      <c r="O51" t="s" s="11">
        <v>34</v>
      </c>
      <c r="P51" t="s" s="11">
        <v>34</v>
      </c>
      <c r="Q51" t="s" s="11">
        <v>34</v>
      </c>
      <c r="R51" t="s" s="11">
        <v>34</v>
      </c>
      <c r="S51" t="s" s="11">
        <v>34</v>
      </c>
      <c r="T51" t="s" s="13">
        <v>34</v>
      </c>
      <c r="U51" t="s" s="11">
        <v>34</v>
      </c>
      <c r="V51" t="s" s="13">
        <v>34</v>
      </c>
      <c r="W51" t="s" s="11">
        <v>457</v>
      </c>
      <c r="X51" s="17">
        <f>HYPERLINK("https://my.pitchbook.com?p=72052-03P", "View People Online")</f>
      </c>
    </row>
    <row r="52">
      <c r="A52" t="s" s="10">
        <v>458</v>
      </c>
      <c r="B52" t="s" s="10">
        <v>459</v>
      </c>
      <c r="C52" t="s" s="10">
        <v>34</v>
      </c>
      <c r="D52" t="s" s="10">
        <v>273</v>
      </c>
      <c r="E52" t="s" s="10">
        <v>36</v>
      </c>
      <c r="F52" t="s" s="10">
        <v>460</v>
      </c>
      <c r="G52" t="s" s="10">
        <v>455</v>
      </c>
      <c r="H52" s="16">
        <f>HYPERLINK("http://www.enplusgroup.com", "www.enplusgroup.com")</f>
      </c>
      <c r="I52" t="s" s="10">
        <v>263</v>
      </c>
      <c r="J52" t="s" s="24">
        <v>34</v>
      </c>
      <c r="K52" t="s" s="24">
        <v>34</v>
      </c>
      <c r="L52" t="s" s="24">
        <v>34</v>
      </c>
      <c r="M52" t="s" s="12">
        <v>34</v>
      </c>
      <c r="N52" t="s" s="10">
        <v>34</v>
      </c>
      <c r="O52" t="s" s="10">
        <v>34</v>
      </c>
      <c r="P52" t="s" s="10">
        <v>34</v>
      </c>
      <c r="Q52" t="s" s="10">
        <v>34</v>
      </c>
      <c r="R52" t="s" s="10">
        <v>34</v>
      </c>
      <c r="S52" t="s" s="10">
        <v>34</v>
      </c>
      <c r="T52" t="s" s="12">
        <v>34</v>
      </c>
      <c r="U52" t="s" s="10">
        <v>34</v>
      </c>
      <c r="V52" t="s" s="12">
        <v>34</v>
      </c>
      <c r="W52" t="s" s="10">
        <v>461</v>
      </c>
      <c r="X52" s="16">
        <f>HYPERLINK("https://my.pitchbook.com?p=72050-50P", "View People Online")</f>
      </c>
    </row>
    <row r="53">
      <c r="A53" t="s" s="11">
        <v>462</v>
      </c>
      <c r="B53" t="s" s="11">
        <v>463</v>
      </c>
      <c r="C53" t="s" s="11">
        <v>34</v>
      </c>
      <c r="D53" t="s" s="11">
        <v>127</v>
      </c>
      <c r="E53" t="s" s="11">
        <v>36</v>
      </c>
      <c r="F53" t="s" s="11">
        <v>464</v>
      </c>
      <c r="G53" t="s" s="11">
        <v>465</v>
      </c>
      <c r="H53" s="17">
        <f>HYPERLINK("http://www.playtech.com", "www.playtech.com")</f>
      </c>
      <c r="I53" t="s" s="11">
        <v>466</v>
      </c>
      <c r="J53" t="s" s="25">
        <v>34</v>
      </c>
      <c r="K53" t="s" s="25">
        <v>34</v>
      </c>
      <c r="L53" t="s" s="25">
        <v>34</v>
      </c>
      <c r="M53" t="s" s="13">
        <v>34</v>
      </c>
      <c r="N53" t="s" s="11">
        <v>34</v>
      </c>
      <c r="O53" t="s" s="11">
        <v>34</v>
      </c>
      <c r="P53" t="s" s="11">
        <v>34</v>
      </c>
      <c r="Q53" t="s" s="11">
        <v>34</v>
      </c>
      <c r="R53" t="s" s="11">
        <v>34</v>
      </c>
      <c r="S53" t="s" s="11">
        <v>34</v>
      </c>
      <c r="T53" t="s" s="13">
        <v>34</v>
      </c>
      <c r="U53" t="s" s="11">
        <v>34</v>
      </c>
      <c r="V53" t="s" s="13">
        <v>34</v>
      </c>
      <c r="W53" t="s" s="11">
        <v>467</v>
      </c>
      <c r="X53" s="17">
        <f>HYPERLINK("https://my.pitchbook.com?p=145891-45P", "View People Online")</f>
      </c>
    </row>
    <row r="54">
      <c r="A54" t="s" s="10">
        <v>468</v>
      </c>
      <c r="B54" t="s" s="10">
        <v>469</v>
      </c>
      <c r="C54" t="s" s="10">
        <v>34</v>
      </c>
      <c r="D54" t="s" s="10">
        <v>470</v>
      </c>
      <c r="E54" t="s" s="10">
        <v>36</v>
      </c>
      <c r="F54" t="s" s="10">
        <v>471</v>
      </c>
      <c r="G54" t="s" s="10">
        <v>472</v>
      </c>
      <c r="H54" s="16">
        <f>HYPERLINK("http://www.anglingdirect.co.uk", "www.anglingdirect.co.uk")</f>
      </c>
      <c r="I54" t="s" s="10">
        <v>474</v>
      </c>
      <c r="J54" s="24">
        <v>2</v>
      </c>
      <c r="K54" s="24">
        <v>2</v>
      </c>
      <c r="L54" t="s" s="24">
        <v>34</v>
      </c>
      <c r="M54" t="s" s="12">
        <v>475</v>
      </c>
      <c r="N54" t="s" s="10">
        <v>476</v>
      </c>
      <c r="O54" t="s" s="10">
        <v>477</v>
      </c>
      <c r="P54" t="s" s="10">
        <v>478</v>
      </c>
      <c r="Q54" t="s" s="10">
        <v>479</v>
      </c>
      <c r="R54" t="s" s="10">
        <v>480</v>
      </c>
      <c r="S54" t="s" s="10">
        <v>120</v>
      </c>
      <c r="T54" t="s" s="12">
        <v>481</v>
      </c>
      <c r="U54" t="s" s="10">
        <v>122</v>
      </c>
      <c r="V54" t="s" s="12">
        <v>34</v>
      </c>
      <c r="W54" t="s" s="10">
        <v>482</v>
      </c>
      <c r="X54" s="16">
        <f>HYPERLINK("https://my.pitchbook.com?p=222462-73P", "View People Online")</f>
      </c>
    </row>
    <row r="55">
      <c r="A55" t="s" s="11">
        <v>483</v>
      </c>
      <c r="B55" t="s" s="11">
        <v>484</v>
      </c>
      <c r="C55" t="s" s="11">
        <v>34</v>
      </c>
      <c r="D55" t="s" s="11">
        <v>485</v>
      </c>
      <c r="E55" t="s" s="11">
        <v>36</v>
      </c>
      <c r="F55" t="s" s="11">
        <v>486</v>
      </c>
      <c r="G55" t="s" s="11">
        <v>487</v>
      </c>
      <c r="H55" s="17">
        <f>HYPERLINK("http://www.totalenergies.com", "www.totalenergies.com")</f>
      </c>
      <c r="I55" t="s" s="11">
        <v>108</v>
      </c>
      <c r="J55" s="25">
        <v>2</v>
      </c>
      <c r="K55" s="25">
        <v>2</v>
      </c>
      <c r="L55" t="s" s="25">
        <v>34</v>
      </c>
      <c r="M55" t="s" s="13">
        <v>489</v>
      </c>
      <c r="N55" t="s" s="11">
        <v>34</v>
      </c>
      <c r="O55" t="s" s="11">
        <v>395</v>
      </c>
      <c r="P55" t="s" s="11">
        <v>490</v>
      </c>
      <c r="Q55" t="s" s="11">
        <v>491</v>
      </c>
      <c r="R55" t="s" s="11">
        <v>397</v>
      </c>
      <c r="S55" t="s" s="11">
        <v>34</v>
      </c>
      <c r="T55" t="s" s="13">
        <v>492</v>
      </c>
      <c r="U55" t="s" s="11">
        <v>399</v>
      </c>
      <c r="V55" t="s" s="13">
        <v>34</v>
      </c>
      <c r="W55" t="s" s="11">
        <v>493</v>
      </c>
      <c r="X55" s="17">
        <f>HYPERLINK("https://my.pitchbook.com?p=218135-53P", "View People Online")</f>
      </c>
    </row>
    <row r="56">
      <c r="A56" t="s" s="10">
        <v>494</v>
      </c>
      <c r="B56" t="s" s="10">
        <v>495</v>
      </c>
      <c r="C56" t="s" s="10">
        <v>34</v>
      </c>
      <c r="D56" t="s" s="10">
        <v>496</v>
      </c>
      <c r="E56" t="s" s="10">
        <v>36</v>
      </c>
      <c r="F56" t="s" s="10">
        <v>497</v>
      </c>
      <c r="G56" t="s" s="10">
        <v>498</v>
      </c>
      <c r="H56" s="16">
        <f>HYPERLINK("http://www.jdplc.com", "www.jdplc.com")</f>
      </c>
      <c r="I56" t="s" s="10">
        <v>108</v>
      </c>
      <c r="J56" s="24">
        <v>4</v>
      </c>
      <c r="K56" s="24">
        <v>4</v>
      </c>
      <c r="L56" t="s" s="24">
        <v>34</v>
      </c>
      <c r="M56" t="s" s="12">
        <v>500</v>
      </c>
      <c r="N56" t="s" s="10">
        <v>34</v>
      </c>
      <c r="O56" t="s" s="10">
        <v>501</v>
      </c>
      <c r="P56" t="s" s="10">
        <v>502</v>
      </c>
      <c r="Q56" t="s" s="10">
        <v>503</v>
      </c>
      <c r="R56" t="s" s="10">
        <v>504</v>
      </c>
      <c r="S56" t="s" s="10">
        <v>120</v>
      </c>
      <c r="T56" t="s" s="12">
        <v>505</v>
      </c>
      <c r="U56" t="s" s="10">
        <v>122</v>
      </c>
      <c r="V56" t="s" s="12">
        <v>506</v>
      </c>
      <c r="W56" t="s" s="10">
        <v>507</v>
      </c>
      <c r="X56" s="16">
        <f>HYPERLINK("https://my.pitchbook.com?p=217482-67P", "View People Online")</f>
      </c>
    </row>
    <row r="57">
      <c r="A57" t="s" s="11">
        <v>508</v>
      </c>
      <c r="B57" t="s" s="11">
        <v>509</v>
      </c>
      <c r="C57" t="s" s="11">
        <v>34</v>
      </c>
      <c r="D57" t="s" s="11">
        <v>510</v>
      </c>
      <c r="E57" t="s" s="11">
        <v>36</v>
      </c>
      <c r="F57" t="s" s="11">
        <v>511</v>
      </c>
      <c r="G57" t="s" s="11">
        <v>512</v>
      </c>
      <c r="H57" s="17">
        <f>HYPERLINK("http://www.capriholdings.com", "www.capriholdings.com")</f>
      </c>
      <c r="I57" t="s" s="11">
        <v>108</v>
      </c>
      <c r="J57" t="s" s="25">
        <v>34</v>
      </c>
      <c r="K57" t="s" s="25">
        <v>34</v>
      </c>
      <c r="L57" t="s" s="25">
        <v>34</v>
      </c>
      <c r="M57" t="s" s="13">
        <v>34</v>
      </c>
      <c r="N57" t="s" s="11">
        <v>34</v>
      </c>
      <c r="O57" t="s" s="11">
        <v>34</v>
      </c>
      <c r="P57" t="s" s="11">
        <v>34</v>
      </c>
      <c r="Q57" t="s" s="11">
        <v>34</v>
      </c>
      <c r="R57" t="s" s="11">
        <v>34</v>
      </c>
      <c r="S57" t="s" s="11">
        <v>34</v>
      </c>
      <c r="T57" t="s" s="13">
        <v>34</v>
      </c>
      <c r="U57" t="s" s="11">
        <v>34</v>
      </c>
      <c r="V57" t="s" s="13">
        <v>34</v>
      </c>
      <c r="W57" t="s" s="11">
        <v>514</v>
      </c>
      <c r="X57" s="17">
        <f>HYPERLINK("https://my.pitchbook.com?p=65245-33P", "View People Online")</f>
      </c>
    </row>
    <row r="58">
      <c r="A58" t="s" s="10">
        <v>515</v>
      </c>
      <c r="B58" t="s" s="10">
        <v>516</v>
      </c>
      <c r="C58" t="s" s="10">
        <v>34</v>
      </c>
      <c r="D58" t="s" s="10">
        <v>517</v>
      </c>
      <c r="E58" t="s" s="10">
        <v>36</v>
      </c>
      <c r="F58" t="s" s="10">
        <v>518</v>
      </c>
      <c r="G58" t="s" s="10">
        <v>519</v>
      </c>
      <c r="H58" s="16">
        <f>HYPERLINK("http://www.vk.company", "www.vk.company")</f>
      </c>
      <c r="I58" t="s" s="10">
        <v>521</v>
      </c>
      <c r="J58" t="s" s="24">
        <v>34</v>
      </c>
      <c r="K58" t="s" s="24">
        <v>34</v>
      </c>
      <c r="L58" t="s" s="24">
        <v>34</v>
      </c>
      <c r="M58" t="s" s="12">
        <v>34</v>
      </c>
      <c r="N58" t="s" s="10">
        <v>34</v>
      </c>
      <c r="O58" t="s" s="10">
        <v>34</v>
      </c>
      <c r="P58" t="s" s="10">
        <v>34</v>
      </c>
      <c r="Q58" t="s" s="10">
        <v>34</v>
      </c>
      <c r="R58" t="s" s="10">
        <v>34</v>
      </c>
      <c r="S58" t="s" s="10">
        <v>34</v>
      </c>
      <c r="T58" t="s" s="12">
        <v>34</v>
      </c>
      <c r="U58" t="s" s="10">
        <v>34</v>
      </c>
      <c r="V58" t="s" s="12">
        <v>34</v>
      </c>
      <c r="W58" t="s" s="10">
        <v>522</v>
      </c>
      <c r="X58" s="16">
        <f>HYPERLINK("https://my.pitchbook.com?p=237953-89P", "View People Online")</f>
      </c>
    </row>
    <row r="59">
      <c r="A59" t="s" s="11">
        <v>523</v>
      </c>
      <c r="B59" t="s" s="11">
        <v>524</v>
      </c>
      <c r="C59" t="s" s="11">
        <v>34</v>
      </c>
      <c r="D59" t="s" s="11">
        <v>525</v>
      </c>
      <c r="E59" t="s" s="11">
        <v>36</v>
      </c>
      <c r="F59" t="s" s="11">
        <v>526</v>
      </c>
      <c r="G59" t="s" s="11">
        <v>519</v>
      </c>
      <c r="H59" s="17">
        <f>HYPERLINK("http://www.oerlikon.com", "www.oerlikon.com")</f>
      </c>
      <c r="I59" t="s" s="11">
        <v>528</v>
      </c>
      <c r="J59" t="s" s="25">
        <v>34</v>
      </c>
      <c r="K59" s="25">
        <v>1</v>
      </c>
      <c r="L59" t="s" s="25">
        <v>34</v>
      </c>
      <c r="M59" t="s" s="13">
        <v>529</v>
      </c>
      <c r="N59" t="s" s="11">
        <v>530</v>
      </c>
      <c r="O59" t="s" s="11">
        <v>531</v>
      </c>
      <c r="P59" t="s" s="11">
        <v>532</v>
      </c>
      <c r="Q59" t="s" s="11">
        <v>34</v>
      </c>
      <c r="R59" t="s" s="11">
        <v>533</v>
      </c>
      <c r="S59" t="s" s="11">
        <v>34</v>
      </c>
      <c r="T59" t="s" s="13">
        <v>534</v>
      </c>
      <c r="U59" t="s" s="11">
        <v>535</v>
      </c>
      <c r="V59" t="s" s="13">
        <v>34</v>
      </c>
      <c r="W59" t="s" s="11">
        <v>536</v>
      </c>
      <c r="X59" s="17">
        <f>HYPERLINK("https://my.pitchbook.com?p=180201-79P", "View People Online")</f>
      </c>
    </row>
    <row r="60">
      <c r="A60" t="s" s="10">
        <v>537</v>
      </c>
      <c r="B60" t="s" s="10">
        <v>538</v>
      </c>
      <c r="C60" t="s" s="10">
        <v>34</v>
      </c>
      <c r="D60" t="s" s="10">
        <v>539</v>
      </c>
      <c r="E60" t="s" s="10">
        <v>36</v>
      </c>
      <c r="F60" t="s" s="10">
        <v>540</v>
      </c>
      <c r="G60" t="s" s="10">
        <v>541</v>
      </c>
      <c r="H60" s="16">
        <f>HYPERLINK("http://v-er.eu", "v-er.eu")</f>
      </c>
      <c r="I60" t="s" s="10">
        <v>543</v>
      </c>
      <c r="J60" t="s" s="24">
        <v>34</v>
      </c>
      <c r="K60" s="24">
        <v>1</v>
      </c>
      <c r="L60" t="s" s="24">
        <v>34</v>
      </c>
      <c r="M60" t="s" s="12">
        <v>544</v>
      </c>
      <c r="N60" t="s" s="10">
        <v>545</v>
      </c>
      <c r="O60" t="s" s="10">
        <v>51</v>
      </c>
      <c r="P60" t="s" s="10">
        <v>546</v>
      </c>
      <c r="Q60" t="s" s="10">
        <v>547</v>
      </c>
      <c r="R60" t="s" s="10">
        <v>54</v>
      </c>
      <c r="S60" t="s" s="10">
        <v>55</v>
      </c>
      <c r="T60" t="s" s="12">
        <v>56</v>
      </c>
      <c r="U60" t="s" s="10">
        <v>57</v>
      </c>
      <c r="V60" t="s" s="12">
        <v>34</v>
      </c>
      <c r="W60" t="s" s="10">
        <v>548</v>
      </c>
      <c r="X60" s="16">
        <f>HYPERLINK("https://my.pitchbook.com?p=382547-26P", "View People Online")</f>
      </c>
    </row>
    <row r="61">
      <c r="A61" t="s" s="11">
        <v>549</v>
      </c>
      <c r="B61" t="s" s="11">
        <v>550</v>
      </c>
      <c r="C61" t="s" s="11">
        <v>34</v>
      </c>
      <c r="D61" t="s" s="11">
        <v>551</v>
      </c>
      <c r="E61" t="s" s="11">
        <v>36</v>
      </c>
      <c r="F61" t="s" s="11">
        <v>552</v>
      </c>
      <c r="G61" t="s" s="11">
        <v>553</v>
      </c>
      <c r="H61" s="17">
        <f>HYPERLINK("http://www.compasspathways.com", "www.compasspathways.com")</f>
      </c>
      <c r="I61" t="s" s="11">
        <v>108</v>
      </c>
      <c r="J61" s="25">
        <v>14</v>
      </c>
      <c r="K61" s="25">
        <v>19</v>
      </c>
      <c r="L61" t="s" s="25">
        <v>34</v>
      </c>
      <c r="M61" t="s" s="13">
        <v>34</v>
      </c>
      <c r="N61" t="s" s="11">
        <v>34</v>
      </c>
      <c r="O61" t="s" s="11">
        <v>555</v>
      </c>
      <c r="P61" t="s" s="11">
        <v>556</v>
      </c>
      <c r="Q61" t="s" s="11">
        <v>557</v>
      </c>
      <c r="R61" t="s" s="11">
        <v>558</v>
      </c>
      <c r="S61" t="s" s="11">
        <v>120</v>
      </c>
      <c r="T61" t="s" s="13">
        <v>559</v>
      </c>
      <c r="U61" t="s" s="11">
        <v>122</v>
      </c>
      <c r="V61" t="s" s="13">
        <v>34</v>
      </c>
      <c r="W61" t="s" s="11">
        <v>560</v>
      </c>
      <c r="X61" s="17">
        <f>HYPERLINK("https://my.pitchbook.com?p=98570-62P", "View People Online")</f>
      </c>
    </row>
    <row r="62">
      <c r="A62" t="s" s="10">
        <v>561</v>
      </c>
      <c r="B62" t="s" s="10">
        <v>562</v>
      </c>
      <c r="C62" t="s" s="10">
        <v>34</v>
      </c>
      <c r="D62" t="s" s="10">
        <v>563</v>
      </c>
      <c r="E62" t="s" s="10">
        <v>36</v>
      </c>
      <c r="F62" t="s" s="10">
        <v>564</v>
      </c>
      <c r="G62" t="s" s="10">
        <v>565</v>
      </c>
      <c r="H62" s="16">
        <f>HYPERLINK("http://www.marchex.com", "www.marchex.com")</f>
      </c>
      <c r="I62" t="s" s="10">
        <v>307</v>
      </c>
      <c r="J62" t="s" s="24">
        <v>34</v>
      </c>
      <c r="K62" s="24">
        <v>2</v>
      </c>
      <c r="L62" s="24">
        <v>1</v>
      </c>
      <c r="M62" t="s" s="12">
        <v>34</v>
      </c>
      <c r="N62" t="s" s="10">
        <v>34</v>
      </c>
      <c r="O62" t="s" s="10">
        <v>34</v>
      </c>
      <c r="P62" t="s" s="10">
        <v>34</v>
      </c>
      <c r="Q62" t="s" s="10">
        <v>34</v>
      </c>
      <c r="R62" t="s" s="10">
        <v>34</v>
      </c>
      <c r="S62" t="s" s="10">
        <v>34</v>
      </c>
      <c r="T62" t="s" s="12">
        <v>34</v>
      </c>
      <c r="U62" t="s" s="10">
        <v>34</v>
      </c>
      <c r="V62" t="s" s="12">
        <v>34</v>
      </c>
      <c r="W62" t="s" s="10">
        <v>567</v>
      </c>
      <c r="X62" s="16">
        <f>HYPERLINK("https://my.pitchbook.com?p=74745-46P", "View People Online")</f>
      </c>
    </row>
    <row r="63">
      <c r="A63" t="s" s="11">
        <v>568</v>
      </c>
      <c r="B63" t="s" s="11">
        <v>569</v>
      </c>
      <c r="C63" t="s" s="11">
        <v>34</v>
      </c>
      <c r="D63" t="s" s="11">
        <v>570</v>
      </c>
      <c r="E63" t="s" s="11">
        <v>36</v>
      </c>
      <c r="F63" t="s" s="11">
        <v>571</v>
      </c>
      <c r="G63" t="s" s="11">
        <v>565</v>
      </c>
      <c r="H63" s="17">
        <f>HYPERLINK("http://www.astonmartin.com", "www.astonmartin.com")</f>
      </c>
      <c r="I63" t="s" s="11">
        <v>573</v>
      </c>
      <c r="J63" s="25">
        <v>2</v>
      </c>
      <c r="K63" s="25">
        <v>2</v>
      </c>
      <c r="L63" t="s" s="25">
        <v>34</v>
      </c>
      <c r="M63" t="s" s="13">
        <v>574</v>
      </c>
      <c r="N63" t="s" s="11">
        <v>34</v>
      </c>
      <c r="O63" t="s" s="11">
        <v>575</v>
      </c>
      <c r="P63" t="s" s="11">
        <v>576</v>
      </c>
      <c r="Q63" t="s" s="11">
        <v>577</v>
      </c>
      <c r="R63" t="s" s="11">
        <v>578</v>
      </c>
      <c r="S63" t="s" s="11">
        <v>120</v>
      </c>
      <c r="T63" t="s" s="13">
        <v>579</v>
      </c>
      <c r="U63" t="s" s="11">
        <v>122</v>
      </c>
      <c r="V63" t="s" s="13">
        <v>34</v>
      </c>
      <c r="W63" t="s" s="11">
        <v>580</v>
      </c>
      <c r="X63" s="17">
        <f>HYPERLINK("https://my.pitchbook.com?p=128460-79P", "View People Online")</f>
      </c>
    </row>
    <row r="64">
      <c r="A64" t="s" s="10">
        <v>581</v>
      </c>
      <c r="B64" t="s" s="10">
        <v>582</v>
      </c>
      <c r="C64" t="s" s="10">
        <v>34</v>
      </c>
      <c r="D64" t="s" s="10">
        <v>583</v>
      </c>
      <c r="E64" t="s" s="10">
        <v>36</v>
      </c>
      <c r="F64" t="s" s="10">
        <v>584</v>
      </c>
      <c r="G64" t="s" s="10">
        <v>585</v>
      </c>
      <c r="H64" s="16">
        <f>HYPERLINK("http://www.galenamining.com.au", "www.galenamining.com.au")</f>
      </c>
      <c r="I64" t="s" s="10">
        <v>587</v>
      </c>
      <c r="J64" t="s" s="24">
        <v>34</v>
      </c>
      <c r="K64" t="s" s="24">
        <v>34</v>
      </c>
      <c r="L64" t="s" s="24">
        <v>34</v>
      </c>
      <c r="M64" t="s" s="12">
        <v>34</v>
      </c>
      <c r="N64" t="s" s="10">
        <v>34</v>
      </c>
      <c r="O64" t="s" s="10">
        <v>34</v>
      </c>
      <c r="P64" t="s" s="10">
        <v>34</v>
      </c>
      <c r="Q64" t="s" s="10">
        <v>34</v>
      </c>
      <c r="R64" t="s" s="10">
        <v>34</v>
      </c>
      <c r="S64" t="s" s="10">
        <v>34</v>
      </c>
      <c r="T64" t="s" s="12">
        <v>34</v>
      </c>
      <c r="U64" t="s" s="10">
        <v>34</v>
      </c>
      <c r="V64" t="s" s="12">
        <v>34</v>
      </c>
      <c r="W64" t="s" s="10">
        <v>588</v>
      </c>
      <c r="X64" s="16">
        <f>HYPERLINK("https://my.pitchbook.com?p=269427-25P", "View People Online")</f>
      </c>
    </row>
    <row r="65">
      <c r="A65" t="s" s="11">
        <v>589</v>
      </c>
      <c r="B65" t="s" s="11">
        <v>590</v>
      </c>
      <c r="C65" t="s" s="11">
        <v>34</v>
      </c>
      <c r="D65" t="s" s="11">
        <v>591</v>
      </c>
      <c r="E65" t="s" s="11">
        <v>36</v>
      </c>
      <c r="F65" t="s" s="11">
        <v>592</v>
      </c>
      <c r="G65" t="s" s="11">
        <v>585</v>
      </c>
      <c r="H65" s="17">
        <f>HYPERLINK("http://www.akamai.com", "www.akamai.com")</f>
      </c>
      <c r="I65" t="s" s="11">
        <v>594</v>
      </c>
      <c r="J65" t="s" s="25">
        <v>34</v>
      </c>
      <c r="K65" s="25">
        <v>1</v>
      </c>
      <c r="L65" t="s" s="25">
        <v>34</v>
      </c>
      <c r="M65" t="s" s="13">
        <v>595</v>
      </c>
      <c r="N65" t="s" s="11">
        <v>596</v>
      </c>
      <c r="O65" t="s" s="11">
        <v>597</v>
      </c>
      <c r="P65" t="s" s="11">
        <v>598</v>
      </c>
      <c r="Q65" t="s" s="11">
        <v>34</v>
      </c>
      <c r="R65" t="s" s="11">
        <v>599</v>
      </c>
      <c r="S65" t="s" s="11">
        <v>600</v>
      </c>
      <c r="T65" t="s" s="13">
        <v>601</v>
      </c>
      <c r="U65" t="s" s="11">
        <v>161</v>
      </c>
      <c r="V65" t="s" s="13">
        <v>602</v>
      </c>
      <c r="W65" t="s" s="11">
        <v>603</v>
      </c>
      <c r="X65" s="17">
        <f>HYPERLINK("https://my.pitchbook.com?p=243339-85P", "View People Online")</f>
      </c>
    </row>
    <row r="66">
      <c r="A66" t="s" s="10">
        <v>604</v>
      </c>
      <c r="B66" t="s" s="10">
        <v>605</v>
      </c>
      <c r="C66" t="s" s="10">
        <v>34</v>
      </c>
      <c r="D66" t="s" s="10">
        <v>606</v>
      </c>
      <c r="E66" t="s" s="10">
        <v>36</v>
      </c>
      <c r="F66" t="s" s="10">
        <v>607</v>
      </c>
      <c r="G66" t="s" s="10">
        <v>608</v>
      </c>
      <c r="H66" s="16">
        <f>HYPERLINK("http://www.paref.com", "www.paref.com")</f>
      </c>
      <c r="I66" t="s" s="10">
        <v>610</v>
      </c>
      <c r="J66" t="s" s="24">
        <v>34</v>
      </c>
      <c r="K66" s="24">
        <v>1</v>
      </c>
      <c r="L66" t="s" s="24">
        <v>34</v>
      </c>
      <c r="M66" t="s" s="12">
        <v>611</v>
      </c>
      <c r="N66" t="s" s="10">
        <v>612</v>
      </c>
      <c r="O66" t="s" s="10">
        <v>395</v>
      </c>
      <c r="P66" t="s" s="10">
        <v>613</v>
      </c>
      <c r="Q66" t="s" s="10">
        <v>34</v>
      </c>
      <c r="R66" t="s" s="10">
        <v>397</v>
      </c>
      <c r="S66" t="s" s="10">
        <v>34</v>
      </c>
      <c r="T66" t="s" s="12">
        <v>614</v>
      </c>
      <c r="U66" t="s" s="10">
        <v>399</v>
      </c>
      <c r="V66" t="s" s="12">
        <v>34</v>
      </c>
      <c r="W66" t="s" s="10">
        <v>615</v>
      </c>
      <c r="X66" s="16">
        <f>HYPERLINK("https://my.pitchbook.com?p=244521-55P", "View People Online")</f>
      </c>
    </row>
    <row r="67">
      <c r="A67" t="s" s="11">
        <v>616</v>
      </c>
      <c r="B67" t="s" s="11">
        <v>617</v>
      </c>
      <c r="C67" t="s" s="11">
        <v>34</v>
      </c>
      <c r="D67" t="s" s="11">
        <v>517</v>
      </c>
      <c r="E67" t="s" s="11">
        <v>36</v>
      </c>
      <c r="F67" t="s" s="11">
        <v>618</v>
      </c>
      <c r="G67" t="s" s="11">
        <v>619</v>
      </c>
      <c r="H67" s="17">
        <f>HYPERLINK("http://www.vk.company", "www.vk.company")</f>
      </c>
      <c r="I67" t="s" s="11">
        <v>620</v>
      </c>
      <c r="J67" t="s" s="25">
        <v>34</v>
      </c>
      <c r="K67" t="s" s="25">
        <v>34</v>
      </c>
      <c r="L67" t="s" s="25">
        <v>34</v>
      </c>
      <c r="M67" t="s" s="13">
        <v>34</v>
      </c>
      <c r="N67" t="s" s="11">
        <v>621</v>
      </c>
      <c r="O67" t="s" s="11">
        <v>34</v>
      </c>
      <c r="P67" t="s" s="11">
        <v>34</v>
      </c>
      <c r="Q67" t="s" s="11">
        <v>34</v>
      </c>
      <c r="R67" t="s" s="11">
        <v>34</v>
      </c>
      <c r="S67" t="s" s="11">
        <v>34</v>
      </c>
      <c r="T67" t="s" s="13">
        <v>34</v>
      </c>
      <c r="U67" t="s" s="11">
        <v>34</v>
      </c>
      <c r="V67" t="s" s="13">
        <v>34</v>
      </c>
      <c r="W67" t="s" s="11">
        <v>622</v>
      </c>
      <c r="X67" s="17">
        <f>HYPERLINK("https://my.pitchbook.com?p=279314-92P", "View People Online")</f>
      </c>
    </row>
    <row r="68">
      <c r="A68" t="s" s="10">
        <v>623</v>
      </c>
      <c r="B68" t="s" s="10">
        <v>624</v>
      </c>
      <c r="C68" t="s" s="10">
        <v>34</v>
      </c>
      <c r="D68" t="s" s="10">
        <v>625</v>
      </c>
      <c r="E68" t="s" s="10">
        <v>36</v>
      </c>
      <c r="F68" t="s" s="10">
        <v>626</v>
      </c>
      <c r="G68" t="s" s="10">
        <v>619</v>
      </c>
      <c r="H68" s="16">
        <f>HYPERLINK("http://www.uniwagon.com", "www.uniwagon.com")</f>
      </c>
      <c r="I68" t="s" s="10">
        <v>628</v>
      </c>
      <c r="J68" t="s" s="24">
        <v>34</v>
      </c>
      <c r="K68" t="s" s="24">
        <v>34</v>
      </c>
      <c r="L68" t="s" s="24">
        <v>34</v>
      </c>
      <c r="M68" t="s" s="12">
        <v>34</v>
      </c>
      <c r="N68" t="s" s="10">
        <v>34</v>
      </c>
      <c r="O68" t="s" s="10">
        <v>34</v>
      </c>
      <c r="P68" t="s" s="10">
        <v>34</v>
      </c>
      <c r="Q68" t="s" s="10">
        <v>34</v>
      </c>
      <c r="R68" t="s" s="10">
        <v>34</v>
      </c>
      <c r="S68" t="s" s="10">
        <v>34</v>
      </c>
      <c r="T68" t="s" s="12">
        <v>34</v>
      </c>
      <c r="U68" t="s" s="10">
        <v>34</v>
      </c>
      <c r="V68" t="s" s="12">
        <v>34</v>
      </c>
      <c r="W68" t="s" s="10">
        <v>629</v>
      </c>
      <c r="X68" s="16">
        <f>HYPERLINK("https://my.pitchbook.com?p=145476-01P", "View People Online")</f>
      </c>
    </row>
    <row r="69">
      <c r="A69" t="s" s="11">
        <v>630</v>
      </c>
      <c r="B69" t="s" s="11">
        <v>631</v>
      </c>
      <c r="C69" t="s" s="11">
        <v>34</v>
      </c>
      <c r="D69" t="s" s="11">
        <v>187</v>
      </c>
      <c r="E69" t="s" s="11">
        <v>36</v>
      </c>
      <c r="F69" t="s" s="11">
        <v>632</v>
      </c>
      <c r="G69" t="s" s="11">
        <v>633</v>
      </c>
      <c r="H69" s="17">
        <f>HYPERLINK("http://www.diacorporate.com", "www.diacorporate.com")</f>
      </c>
      <c r="I69" t="s" s="11">
        <v>294</v>
      </c>
      <c r="J69" t="s" s="25">
        <v>34</v>
      </c>
      <c r="K69" t="s" s="25">
        <v>34</v>
      </c>
      <c r="L69" t="s" s="25">
        <v>34</v>
      </c>
      <c r="M69" t="s" s="13">
        <v>34</v>
      </c>
      <c r="N69" t="s" s="11">
        <v>34</v>
      </c>
      <c r="O69" t="s" s="11">
        <v>34</v>
      </c>
      <c r="P69" t="s" s="11">
        <v>34</v>
      </c>
      <c r="Q69" t="s" s="11">
        <v>34</v>
      </c>
      <c r="R69" t="s" s="11">
        <v>34</v>
      </c>
      <c r="S69" t="s" s="11">
        <v>34</v>
      </c>
      <c r="T69" t="s" s="13">
        <v>34</v>
      </c>
      <c r="U69" t="s" s="11">
        <v>34</v>
      </c>
      <c r="V69" t="s" s="13">
        <v>34</v>
      </c>
      <c r="W69" t="s" s="11">
        <v>634</v>
      </c>
      <c r="X69" s="17">
        <f>HYPERLINK("https://my.pitchbook.com?p=192259-36P", "View People Online")</f>
      </c>
    </row>
    <row r="70">
      <c r="A70" t="s" s="10">
        <v>635</v>
      </c>
      <c r="B70" t="s" s="10">
        <v>636</v>
      </c>
      <c r="C70" t="s" s="10">
        <v>34</v>
      </c>
      <c r="D70" t="s" s="10">
        <v>187</v>
      </c>
      <c r="E70" t="s" s="10">
        <v>36</v>
      </c>
      <c r="F70" t="s" s="10">
        <v>637</v>
      </c>
      <c r="G70" t="s" s="10">
        <v>633</v>
      </c>
      <c r="H70" s="16">
        <f>HYPERLINK("http://www.diacorporate.com", "www.diacorporate.com")</f>
      </c>
      <c r="I70" t="s" s="10">
        <v>638</v>
      </c>
      <c r="J70" t="s" s="24">
        <v>34</v>
      </c>
      <c r="K70" t="s" s="24">
        <v>34</v>
      </c>
      <c r="L70" t="s" s="24">
        <v>34</v>
      </c>
      <c r="M70" t="s" s="12">
        <v>34</v>
      </c>
      <c r="N70" t="s" s="10">
        <v>34</v>
      </c>
      <c r="O70" t="s" s="10">
        <v>34</v>
      </c>
      <c r="P70" t="s" s="10">
        <v>34</v>
      </c>
      <c r="Q70" t="s" s="10">
        <v>34</v>
      </c>
      <c r="R70" t="s" s="10">
        <v>34</v>
      </c>
      <c r="S70" t="s" s="10">
        <v>34</v>
      </c>
      <c r="T70" t="s" s="12">
        <v>34</v>
      </c>
      <c r="U70" t="s" s="10">
        <v>34</v>
      </c>
      <c r="V70" t="s" s="12">
        <v>34</v>
      </c>
      <c r="W70" t="s" s="10">
        <v>639</v>
      </c>
      <c r="X70" s="16">
        <f>HYPERLINK("https://my.pitchbook.com?p=129537-28P", "View People Online")</f>
      </c>
    </row>
    <row r="71">
      <c r="A71" t="s" s="11">
        <v>640</v>
      </c>
      <c r="B71" t="s" s="11">
        <v>641</v>
      </c>
      <c r="C71" t="s" s="11">
        <v>34</v>
      </c>
      <c r="D71" t="s" s="11">
        <v>642</v>
      </c>
      <c r="E71" t="s" s="11">
        <v>36</v>
      </c>
      <c r="F71" t="s" s="11">
        <v>643</v>
      </c>
      <c r="G71" t="s" s="11">
        <v>633</v>
      </c>
      <c r="H71" s="17">
        <f>HYPERLINK("http://www.diacorporate.com", "www.diacorporate.com")</f>
      </c>
      <c r="I71" t="s" s="11">
        <v>644</v>
      </c>
      <c r="J71" s="25">
        <v>1</v>
      </c>
      <c r="K71" s="25">
        <v>2</v>
      </c>
      <c r="L71" t="s" s="25">
        <v>34</v>
      </c>
      <c r="M71" t="s" s="13">
        <v>645</v>
      </c>
      <c r="N71" t="s" s="11">
        <v>646</v>
      </c>
      <c r="O71" t="s" s="11">
        <v>647</v>
      </c>
      <c r="P71" t="s" s="11">
        <v>648</v>
      </c>
      <c r="Q71" t="s" s="11">
        <v>649</v>
      </c>
      <c r="R71" t="s" s="11">
        <v>650</v>
      </c>
      <c r="S71" t="s" s="11">
        <v>651</v>
      </c>
      <c r="T71" t="s" s="13">
        <v>652</v>
      </c>
      <c r="U71" t="s" s="11">
        <v>653</v>
      </c>
      <c r="V71" t="s" s="13">
        <v>34</v>
      </c>
      <c r="W71" t="s" s="11">
        <v>654</v>
      </c>
      <c r="X71" s="17">
        <f>HYPERLINK("https://my.pitchbook.com?p=302153-59P", "View People Online")</f>
      </c>
    </row>
    <row r="72">
      <c r="A72" t="s" s="10">
        <v>655</v>
      </c>
      <c r="B72" t="s" s="10">
        <v>656</v>
      </c>
      <c r="C72" t="s" s="10">
        <v>34</v>
      </c>
      <c r="D72" t="s" s="10">
        <v>657</v>
      </c>
      <c r="E72" t="s" s="10">
        <v>36</v>
      </c>
      <c r="F72" t="s" s="10">
        <v>658</v>
      </c>
      <c r="G72" t="s" s="10">
        <v>659</v>
      </c>
      <c r="H72" s="16">
        <f>HYPERLINK("http://www.capdrill.com", "www.capdrill.com")</f>
      </c>
      <c r="I72" t="s" s="10">
        <v>108</v>
      </c>
      <c r="J72" s="24">
        <v>3</v>
      </c>
      <c r="K72" s="24">
        <v>3</v>
      </c>
      <c r="L72" t="s" s="24">
        <v>34</v>
      </c>
      <c r="M72" t="s" s="12">
        <v>661</v>
      </c>
      <c r="N72" t="s" s="10">
        <v>34</v>
      </c>
      <c r="O72" t="s" s="10">
        <v>117</v>
      </c>
      <c r="P72" t="s" s="10">
        <v>662</v>
      </c>
      <c r="Q72" t="s" s="10">
        <v>663</v>
      </c>
      <c r="R72" t="s" s="10">
        <v>119</v>
      </c>
      <c r="S72" t="s" s="10">
        <v>120</v>
      </c>
      <c r="T72" t="s" s="12">
        <v>664</v>
      </c>
      <c r="U72" t="s" s="10">
        <v>122</v>
      </c>
      <c r="V72" t="s" s="12">
        <v>34</v>
      </c>
      <c r="W72" t="s" s="10">
        <v>665</v>
      </c>
      <c r="X72" s="16">
        <f>HYPERLINK("https://my.pitchbook.com?p=53052-76P", "View People Online")</f>
      </c>
    </row>
    <row r="73">
      <c r="A73" t="s" s="11">
        <v>666</v>
      </c>
      <c r="B73" t="s" s="11">
        <v>667</v>
      </c>
      <c r="C73" t="s" s="11">
        <v>34</v>
      </c>
      <c r="D73" t="s" s="11">
        <v>668</v>
      </c>
      <c r="E73" t="s" s="11">
        <v>36</v>
      </c>
      <c r="F73" t="s" s="11">
        <v>669</v>
      </c>
      <c r="G73" t="s" s="11">
        <v>670</v>
      </c>
      <c r="H73" s="17">
        <f>HYPERLINK("http://www.stratasys.com", "www.stratasys.com")</f>
      </c>
      <c r="I73" t="s" s="11">
        <v>108</v>
      </c>
      <c r="J73" s="25">
        <v>1</v>
      </c>
      <c r="K73" s="25">
        <v>1</v>
      </c>
      <c r="L73" t="s" s="25">
        <v>34</v>
      </c>
      <c r="M73" t="s" s="13">
        <v>672</v>
      </c>
      <c r="N73" t="s" s="11">
        <v>34</v>
      </c>
      <c r="O73" t="s" s="11">
        <v>673</v>
      </c>
      <c r="P73" t="s" s="11">
        <v>674</v>
      </c>
      <c r="Q73" t="s" s="11">
        <v>34</v>
      </c>
      <c r="R73" t="s" s="11">
        <v>675</v>
      </c>
      <c r="S73" t="s" s="11">
        <v>676</v>
      </c>
      <c r="T73" t="s" s="13">
        <v>677</v>
      </c>
      <c r="U73" t="s" s="11">
        <v>161</v>
      </c>
      <c r="V73" t="s" s="13">
        <v>678</v>
      </c>
      <c r="W73" t="s" s="11">
        <v>679</v>
      </c>
      <c r="X73" s="17">
        <f>HYPERLINK("https://my.pitchbook.com?p=41909-50P", "View People Online")</f>
      </c>
    </row>
    <row r="74">
      <c r="A74" t="s" s="10">
        <v>680</v>
      </c>
      <c r="B74" t="s" s="10">
        <v>681</v>
      </c>
      <c r="C74" t="s" s="10">
        <v>34</v>
      </c>
      <c r="D74" t="s" s="10">
        <v>682</v>
      </c>
      <c r="E74" t="s" s="10">
        <v>36</v>
      </c>
      <c r="F74" t="s" s="10">
        <v>683</v>
      </c>
      <c r="G74" t="s" s="10">
        <v>684</v>
      </c>
      <c r="H74" s="16">
        <f>HYPERLINK("http://www.woodside.com", "www.woodside.com")</f>
      </c>
      <c r="I74" t="s" s="10">
        <v>108</v>
      </c>
      <c r="J74" s="24">
        <v>2</v>
      </c>
      <c r="K74" s="24">
        <v>6</v>
      </c>
      <c r="L74" s="24">
        <v>4</v>
      </c>
      <c r="M74" t="s" s="12">
        <v>686</v>
      </c>
      <c r="N74" t="s" s="10">
        <v>687</v>
      </c>
      <c r="O74" t="s" s="10">
        <v>51</v>
      </c>
      <c r="P74" t="s" s="10">
        <v>688</v>
      </c>
      <c r="Q74" t="s" s="10">
        <v>689</v>
      </c>
      <c r="R74" t="s" s="10">
        <v>54</v>
      </c>
      <c r="S74" t="s" s="10">
        <v>55</v>
      </c>
      <c r="T74" t="s" s="12">
        <v>690</v>
      </c>
      <c r="U74" t="s" s="10">
        <v>57</v>
      </c>
      <c r="V74" t="s" s="12">
        <v>34</v>
      </c>
      <c r="W74" t="s" s="10">
        <v>691</v>
      </c>
      <c r="X74" s="16">
        <f>HYPERLINK("https://my.pitchbook.com?p=171991-81P", "View People Online")</f>
      </c>
    </row>
    <row r="75">
      <c r="A75" t="s" s="11">
        <v>692</v>
      </c>
      <c r="B75" t="s" s="11">
        <v>693</v>
      </c>
      <c r="C75" t="s" s="11">
        <v>34</v>
      </c>
      <c r="D75" t="s" s="11">
        <v>694</v>
      </c>
      <c r="E75" t="s" s="11">
        <v>36</v>
      </c>
      <c r="F75" t="s" s="11">
        <v>695</v>
      </c>
      <c r="G75" t="s" s="11">
        <v>696</v>
      </c>
      <c r="H75" s="17">
        <f>HYPERLINK("http://www.the9.com", "www.the9.com")</f>
      </c>
      <c r="I75" t="s" s="11">
        <v>299</v>
      </c>
      <c r="J75" t="s" s="25">
        <v>34</v>
      </c>
      <c r="K75" t="s" s="25">
        <v>34</v>
      </c>
      <c r="L75" t="s" s="25">
        <v>34</v>
      </c>
      <c r="M75" t="s" s="13">
        <v>34</v>
      </c>
      <c r="N75" t="s" s="11">
        <v>698</v>
      </c>
      <c r="O75" t="s" s="11">
        <v>34</v>
      </c>
      <c r="P75" t="s" s="11">
        <v>34</v>
      </c>
      <c r="Q75" t="s" s="11">
        <v>34</v>
      </c>
      <c r="R75" t="s" s="11">
        <v>34</v>
      </c>
      <c r="S75" t="s" s="11">
        <v>34</v>
      </c>
      <c r="T75" t="s" s="13">
        <v>34</v>
      </c>
      <c r="U75" t="s" s="11">
        <v>34</v>
      </c>
      <c r="V75" t="s" s="13">
        <v>34</v>
      </c>
      <c r="W75" t="s" s="11">
        <v>699</v>
      </c>
      <c r="X75" s="17">
        <f>HYPERLINK("https://my.pitchbook.com?p=178722-46P", "View People Online")</f>
      </c>
    </row>
    <row r="76">
      <c r="A76" t="s" s="10">
        <v>700</v>
      </c>
      <c r="B76" t="s" s="10">
        <v>701</v>
      </c>
      <c r="C76" t="s" s="10">
        <v>34</v>
      </c>
      <c r="D76" t="s" s="10">
        <v>702</v>
      </c>
      <c r="E76" t="s" s="10">
        <v>36</v>
      </c>
      <c r="F76" t="s" s="10">
        <v>703</v>
      </c>
      <c r="G76" t="s" s="10">
        <v>704</v>
      </c>
      <c r="H76" s="16">
        <f>HYPERLINK("http://www.ikigaiventuresltd.com", "www.ikigaiventuresltd.com")</f>
      </c>
      <c r="I76" t="s" s="10">
        <v>108</v>
      </c>
      <c r="J76" s="24">
        <v>2</v>
      </c>
      <c r="K76" s="24">
        <v>2</v>
      </c>
      <c r="L76" t="s" s="24">
        <v>34</v>
      </c>
      <c r="M76" t="s" s="12">
        <v>706</v>
      </c>
      <c r="N76" t="s" s="10">
        <v>34</v>
      </c>
      <c r="O76" t="s" s="10">
        <v>122</v>
      </c>
      <c r="P76" t="s" s="10">
        <v>707</v>
      </c>
      <c r="Q76" t="s" s="10">
        <v>708</v>
      </c>
      <c r="R76" t="s" s="10">
        <v>34</v>
      </c>
      <c r="S76" t="s" s="10">
        <v>709</v>
      </c>
      <c r="T76" t="s" s="12">
        <v>710</v>
      </c>
      <c r="U76" t="s" s="10">
        <v>122</v>
      </c>
      <c r="V76" t="s" s="12">
        <v>34</v>
      </c>
      <c r="W76" t="s" s="10">
        <v>711</v>
      </c>
      <c r="X76" s="16">
        <f>HYPERLINK("https://my.pitchbook.com?p=190439-02P", "View People Online")</f>
      </c>
    </row>
    <row r="77">
      <c r="A77" t="s" s="11">
        <v>712</v>
      </c>
      <c r="B77" t="s" s="11">
        <v>713</v>
      </c>
      <c r="C77" t="s" s="11">
        <v>34</v>
      </c>
      <c r="D77" t="s" s="11">
        <v>714</v>
      </c>
      <c r="E77" t="s" s="11">
        <v>36</v>
      </c>
      <c r="F77" t="s" s="11">
        <v>715</v>
      </c>
      <c r="G77" t="s" s="11">
        <v>716</v>
      </c>
      <c r="H77" s="17">
        <f>HYPERLINK("http://www.intuit.com", "www.intuit.com")</f>
      </c>
      <c r="I77" t="s" s="11">
        <v>718</v>
      </c>
      <c r="J77" t="s" s="25">
        <v>34</v>
      </c>
      <c r="K77" s="25">
        <v>2</v>
      </c>
      <c r="L77" t="s" s="25">
        <v>34</v>
      </c>
      <c r="M77" t="s" s="13">
        <v>719</v>
      </c>
      <c r="N77" t="s" s="11">
        <v>720</v>
      </c>
      <c r="O77" t="s" s="11">
        <v>721</v>
      </c>
      <c r="P77" t="s" s="11">
        <v>722</v>
      </c>
      <c r="Q77" t="s" s="11">
        <v>34</v>
      </c>
      <c r="R77" t="s" s="11">
        <v>723</v>
      </c>
      <c r="S77" t="s" s="11">
        <v>159</v>
      </c>
      <c r="T77" t="s" s="13">
        <v>724</v>
      </c>
      <c r="U77" t="s" s="11">
        <v>161</v>
      </c>
      <c r="V77" t="s" s="13">
        <v>34</v>
      </c>
      <c r="W77" t="s" s="11">
        <v>725</v>
      </c>
      <c r="X77" s="17">
        <f>HYPERLINK("https://my.pitchbook.com?p=39631-51P", "View People Online")</f>
      </c>
    </row>
    <row r="78">
      <c r="A78" t="s" s="10">
        <v>726</v>
      </c>
      <c r="B78" t="s" s="10">
        <v>727</v>
      </c>
      <c r="C78" t="s" s="10">
        <v>34</v>
      </c>
      <c r="D78" t="s" s="10">
        <v>728</v>
      </c>
      <c r="E78" t="s" s="10">
        <v>36</v>
      </c>
      <c r="F78" t="s" s="10">
        <v>729</v>
      </c>
      <c r="G78" t="s" s="10">
        <v>730</v>
      </c>
      <c r="H78" s="16">
        <f>HYPERLINK("http://www.paypal.com", "www.paypal.com")</f>
      </c>
      <c r="I78" t="s" s="10">
        <v>732</v>
      </c>
      <c r="J78" t="s" s="24">
        <v>34</v>
      </c>
      <c r="K78" s="24">
        <v>1</v>
      </c>
      <c r="L78" t="s" s="24">
        <v>34</v>
      </c>
      <c r="M78" t="s" s="12">
        <v>34</v>
      </c>
      <c r="N78" t="s" s="10">
        <v>733</v>
      </c>
      <c r="O78" t="s" s="10">
        <v>734</v>
      </c>
      <c r="P78" t="s" s="10">
        <v>735</v>
      </c>
      <c r="Q78" t="s" s="10">
        <v>34</v>
      </c>
      <c r="R78" t="s" s="10">
        <v>736</v>
      </c>
      <c r="S78" t="s" s="10">
        <v>159</v>
      </c>
      <c r="T78" t="s" s="12">
        <v>737</v>
      </c>
      <c r="U78" t="s" s="10">
        <v>161</v>
      </c>
      <c r="V78" t="s" s="12">
        <v>34</v>
      </c>
      <c r="W78" t="s" s="10">
        <v>738</v>
      </c>
      <c r="X78" s="16">
        <f>HYPERLINK("https://my.pitchbook.com?p=142742-89P", "View People Online")</f>
      </c>
    </row>
    <row r="79">
      <c r="A79" t="s" s="11">
        <v>739</v>
      </c>
      <c r="B79" t="s" s="11">
        <v>740</v>
      </c>
      <c r="C79" t="s" s="11">
        <v>34</v>
      </c>
      <c r="D79" t="s" s="11">
        <v>741</v>
      </c>
      <c r="E79" t="s" s="11">
        <v>36</v>
      </c>
      <c r="F79" t="s" s="11">
        <v>742</v>
      </c>
      <c r="G79" t="s" s="11">
        <v>743</v>
      </c>
      <c r="H79" s="17">
        <f>HYPERLINK("http://www.vulcanmaterials.com", "www.vulcanmaterials.com")</f>
      </c>
      <c r="I79" t="s" s="11">
        <v>745</v>
      </c>
      <c r="J79" t="s" s="25">
        <v>34</v>
      </c>
      <c r="K79" s="25">
        <v>2</v>
      </c>
      <c r="L79" s="25">
        <v>2</v>
      </c>
      <c r="M79" t="s" s="13">
        <v>34</v>
      </c>
      <c r="N79" t="s" s="11">
        <v>34</v>
      </c>
      <c r="O79" t="s" s="11">
        <v>34</v>
      </c>
      <c r="P79" t="s" s="11">
        <v>34</v>
      </c>
      <c r="Q79" t="s" s="11">
        <v>34</v>
      </c>
      <c r="R79" t="s" s="11">
        <v>34</v>
      </c>
      <c r="S79" t="s" s="11">
        <v>34</v>
      </c>
      <c r="T79" t="s" s="13">
        <v>34</v>
      </c>
      <c r="U79" t="s" s="11">
        <v>34</v>
      </c>
      <c r="V79" t="s" s="13">
        <v>34</v>
      </c>
      <c r="W79" t="s" s="11">
        <v>746</v>
      </c>
      <c r="X79" s="17">
        <f>HYPERLINK("https://my.pitchbook.com?p=156673-90P", "View People Online")</f>
      </c>
    </row>
    <row r="80">
      <c r="A80" t="s" s="10">
        <v>747</v>
      </c>
      <c r="B80" t="s" s="10">
        <v>748</v>
      </c>
      <c r="C80" t="s" s="10">
        <v>34</v>
      </c>
      <c r="D80" t="s" s="10">
        <v>749</v>
      </c>
      <c r="E80" t="s" s="10">
        <v>36</v>
      </c>
      <c r="F80" t="s" s="10">
        <v>750</v>
      </c>
      <c r="G80" t="s" s="10">
        <v>751</v>
      </c>
      <c r="H80" s="16">
        <f>HYPERLINK("http://www.kenon-holdings.com", "www.kenon-holdings.com")</f>
      </c>
      <c r="I80" t="s" s="10">
        <v>108</v>
      </c>
      <c r="J80" s="24">
        <v>3</v>
      </c>
      <c r="K80" s="24">
        <v>3</v>
      </c>
      <c r="L80" t="s" s="24">
        <v>34</v>
      </c>
      <c r="M80" t="s" s="12">
        <v>753</v>
      </c>
      <c r="N80" t="s" s="10">
        <v>754</v>
      </c>
      <c r="O80" t="s" s="10">
        <v>140</v>
      </c>
      <c r="P80" t="s" s="10">
        <v>755</v>
      </c>
      <c r="Q80" t="s" s="10">
        <v>756</v>
      </c>
      <c r="R80" t="s" s="10">
        <v>143</v>
      </c>
      <c r="S80" t="s" s="10">
        <v>34</v>
      </c>
      <c r="T80" t="s" s="12">
        <v>757</v>
      </c>
      <c r="U80" t="s" s="10">
        <v>143</v>
      </c>
      <c r="V80" t="s" s="12">
        <v>758</v>
      </c>
      <c r="W80" t="s" s="10">
        <v>759</v>
      </c>
      <c r="X80" s="16">
        <f>HYPERLINK("https://my.pitchbook.com?p=241850-17P", "View People Online")</f>
      </c>
    </row>
    <row r="81">
      <c r="A81" t="s" s="11">
        <v>760</v>
      </c>
      <c r="B81" t="s" s="11">
        <v>761</v>
      </c>
      <c r="C81" t="s" s="11">
        <v>34</v>
      </c>
      <c r="D81" t="s" s="11">
        <v>127</v>
      </c>
      <c r="E81" t="s" s="11">
        <v>36</v>
      </c>
      <c r="F81" t="s" s="11">
        <v>762</v>
      </c>
      <c r="G81" t="s" s="11">
        <v>763</v>
      </c>
      <c r="H81" s="17">
        <f>HYPERLINK("http://www.playtech.com", "www.playtech.com")</f>
      </c>
      <c r="I81" t="s" s="11">
        <v>764</v>
      </c>
      <c r="J81" t="s" s="25">
        <v>34</v>
      </c>
      <c r="K81" t="s" s="25">
        <v>34</v>
      </c>
      <c r="L81" t="s" s="25">
        <v>34</v>
      </c>
      <c r="M81" t="s" s="13">
        <v>34</v>
      </c>
      <c r="N81" t="s" s="11">
        <v>34</v>
      </c>
      <c r="O81" t="s" s="11">
        <v>34</v>
      </c>
      <c r="P81" t="s" s="11">
        <v>34</v>
      </c>
      <c r="Q81" t="s" s="11">
        <v>34</v>
      </c>
      <c r="R81" t="s" s="11">
        <v>34</v>
      </c>
      <c r="S81" t="s" s="11">
        <v>34</v>
      </c>
      <c r="T81" t="s" s="13">
        <v>34</v>
      </c>
      <c r="U81" t="s" s="11">
        <v>34</v>
      </c>
      <c r="V81" t="s" s="13">
        <v>34</v>
      </c>
      <c r="W81" t="s" s="11">
        <v>765</v>
      </c>
      <c r="X81" s="17">
        <f>HYPERLINK("https://my.pitchbook.com?p=81290-62P", "View People Online")</f>
      </c>
    </row>
    <row r="82">
      <c r="A82" t="s" s="10">
        <v>766</v>
      </c>
      <c r="B82" t="s" s="10">
        <v>767</v>
      </c>
      <c r="C82" t="s" s="10">
        <v>34</v>
      </c>
      <c r="D82" t="s" s="10">
        <v>768</v>
      </c>
      <c r="E82" t="s" s="10">
        <v>36</v>
      </c>
      <c r="F82" t="s" s="10">
        <v>769</v>
      </c>
      <c r="G82" t="s" s="10">
        <v>770</v>
      </c>
      <c r="H82" s="16">
        <f>HYPERLINK("http://www.iqep.com", "www.iqep.com")</f>
      </c>
      <c r="I82" t="s" s="10">
        <v>108</v>
      </c>
      <c r="J82" s="24">
        <v>1</v>
      </c>
      <c r="K82" s="24">
        <v>1</v>
      </c>
      <c r="L82" t="s" s="24">
        <v>34</v>
      </c>
      <c r="M82" t="s" s="12">
        <v>772</v>
      </c>
      <c r="N82" t="s" s="10">
        <v>34</v>
      </c>
      <c r="O82" t="s" s="10">
        <v>773</v>
      </c>
      <c r="P82" t="s" s="10">
        <v>774</v>
      </c>
      <c r="Q82" t="s" s="10">
        <v>34</v>
      </c>
      <c r="R82" t="s" s="10">
        <v>775</v>
      </c>
      <c r="S82" t="s" s="10">
        <v>776</v>
      </c>
      <c r="T82" t="s" s="12">
        <v>777</v>
      </c>
      <c r="U82" t="s" s="10">
        <v>122</v>
      </c>
      <c r="V82" t="s" s="12">
        <v>34</v>
      </c>
      <c r="W82" t="s" s="10">
        <v>778</v>
      </c>
      <c r="X82" s="16">
        <f>HYPERLINK("https://my.pitchbook.com?p=280705-96P", "View People Online")</f>
      </c>
    </row>
    <row r="83">
      <c r="A83" t="s" s="11">
        <v>779</v>
      </c>
      <c r="B83" t="s" s="11">
        <v>780</v>
      </c>
      <c r="C83" t="s" s="11">
        <v>34</v>
      </c>
      <c r="D83" t="s" s="11">
        <v>781</v>
      </c>
      <c r="E83" t="s" s="11">
        <v>36</v>
      </c>
      <c r="F83" t="s" s="11">
        <v>782</v>
      </c>
      <c r="G83" t="s" s="11">
        <v>783</v>
      </c>
      <c r="H83" s="17">
        <f>HYPERLINK("http://v-er.eu", "v-er.eu")</f>
      </c>
      <c r="I83" t="s" s="11">
        <v>784</v>
      </c>
      <c r="J83" t="s" s="25">
        <v>34</v>
      </c>
      <c r="K83" t="s" s="25">
        <v>34</v>
      </c>
      <c r="L83" t="s" s="25">
        <v>34</v>
      </c>
      <c r="M83" t="s" s="13">
        <v>34</v>
      </c>
      <c r="N83" t="s" s="11">
        <v>34</v>
      </c>
      <c r="O83" t="s" s="11">
        <v>34</v>
      </c>
      <c r="P83" t="s" s="11">
        <v>34</v>
      </c>
      <c r="Q83" t="s" s="11">
        <v>34</v>
      </c>
      <c r="R83" t="s" s="11">
        <v>34</v>
      </c>
      <c r="S83" t="s" s="11">
        <v>34</v>
      </c>
      <c r="T83" t="s" s="13">
        <v>34</v>
      </c>
      <c r="U83" t="s" s="11">
        <v>34</v>
      </c>
      <c r="V83" t="s" s="13">
        <v>34</v>
      </c>
      <c r="W83" t="s" s="11">
        <v>785</v>
      </c>
      <c r="X83" s="17">
        <f>HYPERLINK("https://my.pitchbook.com?p=306324-55P", "View People Online")</f>
      </c>
    </row>
    <row r="84">
      <c r="A84" t="s" s="10">
        <v>786</v>
      </c>
      <c r="B84" t="s" s="10">
        <v>787</v>
      </c>
      <c r="C84" t="s" s="10">
        <v>34</v>
      </c>
      <c r="D84" t="s" s="10">
        <v>788</v>
      </c>
      <c r="E84" t="s" s="10">
        <v>36</v>
      </c>
      <c r="F84" t="s" s="10">
        <v>789</v>
      </c>
      <c r="G84" t="s" s="10">
        <v>790</v>
      </c>
      <c r="H84" s="16">
        <f>HYPERLINK("http://www.tigoenergy.com", "www.tigoenergy.com")</f>
      </c>
      <c r="I84" t="s" s="10">
        <v>792</v>
      </c>
      <c r="J84" t="s" s="24">
        <v>34</v>
      </c>
      <c r="K84" s="24">
        <v>1</v>
      </c>
      <c r="L84" t="s" s="24">
        <v>34</v>
      </c>
      <c r="M84" t="s" s="12">
        <v>793</v>
      </c>
      <c r="N84" t="s" s="10">
        <v>794</v>
      </c>
      <c r="O84" t="s" s="10">
        <v>795</v>
      </c>
      <c r="P84" t="s" s="10">
        <v>796</v>
      </c>
      <c r="Q84" t="s" s="10">
        <v>797</v>
      </c>
      <c r="R84" t="s" s="10">
        <v>798</v>
      </c>
      <c r="S84" t="s" s="10">
        <v>159</v>
      </c>
      <c r="T84" t="s" s="12">
        <v>799</v>
      </c>
      <c r="U84" t="s" s="10">
        <v>161</v>
      </c>
      <c r="V84" t="s" s="12">
        <v>34</v>
      </c>
      <c r="W84" t="s" s="10">
        <v>800</v>
      </c>
      <c r="X84" s="16">
        <f>HYPERLINK("https://my.pitchbook.com?p=177965-29P", "View People Online")</f>
      </c>
    </row>
    <row r="85">
      <c r="A85" t="s" s="11">
        <v>801</v>
      </c>
      <c r="B85" t="s" s="11">
        <v>802</v>
      </c>
      <c r="C85" t="s" s="11">
        <v>34</v>
      </c>
      <c r="D85" t="s" s="11">
        <v>517</v>
      </c>
      <c r="E85" t="s" s="11">
        <v>36</v>
      </c>
      <c r="F85" t="s" s="11">
        <v>803</v>
      </c>
      <c r="G85" t="s" s="11">
        <v>804</v>
      </c>
      <c r="H85" s="17">
        <f>HYPERLINK("http://www.vk.company", "www.vk.company")</f>
      </c>
      <c r="I85" t="s" s="11">
        <v>294</v>
      </c>
      <c r="J85" s="25">
        <v>2</v>
      </c>
      <c r="K85" s="25">
        <v>10</v>
      </c>
      <c r="L85" s="25">
        <v>8</v>
      </c>
      <c r="M85" t="s" s="13">
        <v>805</v>
      </c>
      <c r="N85" t="s" s="11">
        <v>34</v>
      </c>
      <c r="O85" t="s" s="11">
        <v>200</v>
      </c>
      <c r="P85" t="s" s="11">
        <v>806</v>
      </c>
      <c r="Q85" t="s" s="11">
        <v>34</v>
      </c>
      <c r="R85" t="s" s="11">
        <v>202</v>
      </c>
      <c r="S85" t="s" s="11">
        <v>34</v>
      </c>
      <c r="T85" t="s" s="13">
        <v>807</v>
      </c>
      <c r="U85" t="s" s="11">
        <v>204</v>
      </c>
      <c r="V85" t="s" s="13">
        <v>34</v>
      </c>
      <c r="W85" t="s" s="11">
        <v>808</v>
      </c>
      <c r="X85" s="17">
        <f>HYPERLINK("https://my.pitchbook.com?p=140312-71P", "View People Online")</f>
      </c>
    </row>
    <row r="86">
      <c r="A86" t="s" s="10">
        <v>809</v>
      </c>
      <c r="B86" t="s" s="10">
        <v>810</v>
      </c>
      <c r="C86" t="s" s="10">
        <v>34</v>
      </c>
      <c r="D86" t="s" s="10">
        <v>517</v>
      </c>
      <c r="E86" t="s" s="10">
        <v>36</v>
      </c>
      <c r="F86" t="s" s="10">
        <v>811</v>
      </c>
      <c r="G86" t="s" s="10">
        <v>804</v>
      </c>
      <c r="H86" s="16">
        <f>HYPERLINK("http://www.vk.company", "www.vk.company")</f>
      </c>
      <c r="I86" t="s" s="10">
        <v>294</v>
      </c>
      <c r="J86" t="s" s="24">
        <v>34</v>
      </c>
      <c r="K86" s="24">
        <v>1</v>
      </c>
      <c r="L86" s="24">
        <v>1</v>
      </c>
      <c r="M86" t="s" s="12">
        <v>34</v>
      </c>
      <c r="N86" t="s" s="10">
        <v>34</v>
      </c>
      <c r="O86" t="s" s="10">
        <v>34</v>
      </c>
      <c r="P86" t="s" s="10">
        <v>34</v>
      </c>
      <c r="Q86" t="s" s="10">
        <v>34</v>
      </c>
      <c r="R86" t="s" s="10">
        <v>34</v>
      </c>
      <c r="S86" t="s" s="10">
        <v>34</v>
      </c>
      <c r="T86" t="s" s="12">
        <v>34</v>
      </c>
      <c r="U86" t="s" s="10">
        <v>34</v>
      </c>
      <c r="V86" t="s" s="12">
        <v>34</v>
      </c>
      <c r="W86" t="s" s="10">
        <v>812</v>
      </c>
      <c r="X86" s="16">
        <f>HYPERLINK("https://my.pitchbook.com?p=176595-76P", "View People Online")</f>
      </c>
    </row>
    <row r="87">
      <c r="A87" t="s" s="11">
        <v>813</v>
      </c>
      <c r="B87" t="s" s="11">
        <v>814</v>
      </c>
      <c r="C87" t="s" s="11">
        <v>34</v>
      </c>
      <c r="D87" t="s" s="11">
        <v>517</v>
      </c>
      <c r="E87" t="s" s="11">
        <v>36</v>
      </c>
      <c r="F87" t="s" s="11">
        <v>815</v>
      </c>
      <c r="G87" t="s" s="11">
        <v>804</v>
      </c>
      <c r="H87" s="17">
        <f>HYPERLINK("http://www.vk.company", "www.vk.company")</f>
      </c>
      <c r="I87" t="s" s="11">
        <v>816</v>
      </c>
      <c r="J87" t="s" s="25">
        <v>34</v>
      </c>
      <c r="K87" s="25">
        <v>1</v>
      </c>
      <c r="L87" s="25">
        <v>1</v>
      </c>
      <c r="M87" t="s" s="13">
        <v>34</v>
      </c>
      <c r="N87" t="s" s="11">
        <v>817</v>
      </c>
      <c r="O87" t="s" s="11">
        <v>34</v>
      </c>
      <c r="P87" t="s" s="11">
        <v>34</v>
      </c>
      <c r="Q87" t="s" s="11">
        <v>34</v>
      </c>
      <c r="R87" t="s" s="11">
        <v>34</v>
      </c>
      <c r="S87" t="s" s="11">
        <v>34</v>
      </c>
      <c r="T87" t="s" s="13">
        <v>34</v>
      </c>
      <c r="U87" t="s" s="11">
        <v>34</v>
      </c>
      <c r="V87" t="s" s="13">
        <v>34</v>
      </c>
      <c r="W87" t="s" s="11">
        <v>818</v>
      </c>
      <c r="X87" s="17">
        <f>HYPERLINK("https://my.pitchbook.com?p=230464-09P", "View People Online")</f>
      </c>
    </row>
    <row r="88">
      <c r="A88" t="s" s="10">
        <v>819</v>
      </c>
      <c r="B88" t="s" s="10">
        <v>820</v>
      </c>
      <c r="C88" t="s" s="10">
        <v>34</v>
      </c>
      <c r="D88" t="s" s="10">
        <v>187</v>
      </c>
      <c r="E88" t="s" s="10">
        <v>36</v>
      </c>
      <c r="F88" t="s" s="10">
        <v>821</v>
      </c>
      <c r="G88" t="s" s="10">
        <v>822</v>
      </c>
      <c r="H88" s="16">
        <f>HYPERLINK("http://www.diacorporate.com", "www.diacorporate.com")</f>
      </c>
      <c r="I88" t="s" s="10">
        <v>294</v>
      </c>
      <c r="J88" t="s" s="24">
        <v>34</v>
      </c>
      <c r="K88" t="s" s="24">
        <v>34</v>
      </c>
      <c r="L88" t="s" s="24">
        <v>34</v>
      </c>
      <c r="M88" t="s" s="12">
        <v>34</v>
      </c>
      <c r="N88" t="s" s="10">
        <v>34</v>
      </c>
      <c r="O88" t="s" s="10">
        <v>34</v>
      </c>
      <c r="P88" t="s" s="10">
        <v>34</v>
      </c>
      <c r="Q88" t="s" s="10">
        <v>34</v>
      </c>
      <c r="R88" t="s" s="10">
        <v>34</v>
      </c>
      <c r="S88" t="s" s="10">
        <v>34</v>
      </c>
      <c r="T88" t="s" s="12">
        <v>34</v>
      </c>
      <c r="U88" t="s" s="10">
        <v>34</v>
      </c>
      <c r="V88" t="s" s="12">
        <v>34</v>
      </c>
      <c r="W88" t="s" s="10">
        <v>823</v>
      </c>
      <c r="X88" s="16">
        <f>HYPERLINK("https://my.pitchbook.com?p=200437-48P", "View People Online")</f>
      </c>
    </row>
    <row r="89">
      <c r="A89" t="s" s="11">
        <v>824</v>
      </c>
      <c r="B89" t="s" s="11">
        <v>825</v>
      </c>
      <c r="C89" t="s" s="11">
        <v>34</v>
      </c>
      <c r="D89" t="s" s="11">
        <v>826</v>
      </c>
      <c r="E89" t="s" s="11">
        <v>36</v>
      </c>
      <c r="F89" t="s" s="11">
        <v>827</v>
      </c>
      <c r="G89" t="s" s="11">
        <v>828</v>
      </c>
      <c r="H89" s="17">
        <f>HYPERLINK("http://www.veon.com", "www.veon.com")</f>
      </c>
      <c r="I89" t="s" s="11">
        <v>108</v>
      </c>
      <c r="J89" s="25">
        <v>1</v>
      </c>
      <c r="K89" s="25">
        <v>1</v>
      </c>
      <c r="L89" t="s" s="25">
        <v>34</v>
      </c>
      <c r="M89" t="s" s="13">
        <v>830</v>
      </c>
      <c r="N89" t="s" s="11">
        <v>831</v>
      </c>
      <c r="O89" t="s" s="11">
        <v>832</v>
      </c>
      <c r="P89" t="s" s="11">
        <v>833</v>
      </c>
      <c r="Q89" t="s" s="11">
        <v>834</v>
      </c>
      <c r="R89" t="s" s="11">
        <v>835</v>
      </c>
      <c r="S89" t="s" s="11">
        <v>34</v>
      </c>
      <c r="T89" t="s" s="13">
        <v>836</v>
      </c>
      <c r="U89" t="s" s="11">
        <v>837</v>
      </c>
      <c r="V89" t="s" s="13">
        <v>34</v>
      </c>
      <c r="W89" t="s" s="11">
        <v>838</v>
      </c>
      <c r="X89" s="17">
        <f>HYPERLINK("https://my.pitchbook.com?p=411686-02P", "View People Online")</f>
      </c>
    </row>
    <row r="90">
      <c r="A90" t="s" s="10">
        <v>839</v>
      </c>
      <c r="B90" t="s" s="10">
        <v>840</v>
      </c>
      <c r="C90" t="s" s="10">
        <v>34</v>
      </c>
      <c r="D90" t="s" s="10">
        <v>841</v>
      </c>
      <c r="E90" t="s" s="10">
        <v>36</v>
      </c>
      <c r="F90" t="s" s="10">
        <v>842</v>
      </c>
      <c r="G90" t="s" s="10">
        <v>843</v>
      </c>
      <c r="H90" s="16">
        <f>HYPERLINK("http://www.vulcantwo.com", "www.vulcantwo.com")</f>
      </c>
      <c r="I90" t="s" s="10">
        <v>845</v>
      </c>
      <c r="J90" t="s" s="24">
        <v>34</v>
      </c>
      <c r="K90" s="24">
        <v>1</v>
      </c>
      <c r="L90" t="s" s="24">
        <v>34</v>
      </c>
      <c r="M90" t="s" s="12">
        <v>34</v>
      </c>
      <c r="N90" t="s" s="10">
        <v>34</v>
      </c>
      <c r="O90" t="s" s="10">
        <v>117</v>
      </c>
      <c r="P90" t="s" s="10">
        <v>846</v>
      </c>
      <c r="Q90" t="s" s="10">
        <v>847</v>
      </c>
      <c r="R90" t="s" s="10">
        <v>119</v>
      </c>
      <c r="S90" t="s" s="10">
        <v>120</v>
      </c>
      <c r="T90" t="s" s="12">
        <v>848</v>
      </c>
      <c r="U90" t="s" s="10">
        <v>122</v>
      </c>
      <c r="V90" t="s" s="12">
        <v>34</v>
      </c>
      <c r="W90" t="s" s="10">
        <v>849</v>
      </c>
      <c r="X90" s="16">
        <f>HYPERLINK("https://my.pitchbook.com?p=461218-33P", "View People Online")</f>
      </c>
    </row>
    <row r="91">
      <c r="A91" t="s" s="11">
        <v>850</v>
      </c>
      <c r="B91" t="s" s="11">
        <v>851</v>
      </c>
      <c r="C91" t="s" s="11">
        <v>34</v>
      </c>
      <c r="D91" t="s" s="11">
        <v>852</v>
      </c>
      <c r="E91" t="s" s="11">
        <v>36</v>
      </c>
      <c r="F91" t="s" s="11">
        <v>853</v>
      </c>
      <c r="G91" t="s" s="11">
        <v>854</v>
      </c>
      <c r="H91" s="17">
        <f>HYPERLINK("http://www.kns.com", "www.kns.com")</f>
      </c>
      <c r="I91" t="s" s="11">
        <v>108</v>
      </c>
      <c r="J91" t="s" s="25">
        <v>34</v>
      </c>
      <c r="K91" t="s" s="25">
        <v>34</v>
      </c>
      <c r="L91" t="s" s="25">
        <v>34</v>
      </c>
      <c r="M91" t="s" s="13">
        <v>34</v>
      </c>
      <c r="N91" t="s" s="11">
        <v>34</v>
      </c>
      <c r="O91" t="s" s="11">
        <v>34</v>
      </c>
      <c r="P91" t="s" s="11">
        <v>34</v>
      </c>
      <c r="Q91" t="s" s="11">
        <v>34</v>
      </c>
      <c r="R91" t="s" s="11">
        <v>34</v>
      </c>
      <c r="S91" t="s" s="11">
        <v>34</v>
      </c>
      <c r="T91" t="s" s="13">
        <v>34</v>
      </c>
      <c r="U91" t="s" s="11">
        <v>34</v>
      </c>
      <c r="V91" t="s" s="13">
        <v>34</v>
      </c>
      <c r="W91" t="s" s="11">
        <v>856</v>
      </c>
      <c r="X91" s="17">
        <f>HYPERLINK("https://my.pitchbook.com?p=138846-16P", "View People Online")</f>
      </c>
    </row>
    <row r="92">
      <c r="A92" t="s" s="10">
        <v>857</v>
      </c>
      <c r="B92" t="s" s="10">
        <v>858</v>
      </c>
      <c r="C92" t="s" s="10">
        <v>34</v>
      </c>
      <c r="D92" t="s" s="10">
        <v>859</v>
      </c>
      <c r="E92" t="s" s="10">
        <v>36</v>
      </c>
      <c r="F92" t="s" s="10">
        <v>860</v>
      </c>
      <c r="G92" t="s" s="10">
        <v>854</v>
      </c>
      <c r="H92" s="16">
        <f>HYPERLINK("http://www.agenusbio.com", "www.agenusbio.com")</f>
      </c>
      <c r="I92" t="s" s="10">
        <v>862</v>
      </c>
      <c r="J92" s="24">
        <v>3</v>
      </c>
      <c r="K92" s="24">
        <v>3</v>
      </c>
      <c r="L92" t="s" s="24">
        <v>34</v>
      </c>
      <c r="M92" t="s" s="12">
        <v>863</v>
      </c>
      <c r="N92" t="s" s="10">
        <v>34</v>
      </c>
      <c r="O92" t="s" s="10">
        <v>864</v>
      </c>
      <c r="P92" t="s" s="10">
        <v>865</v>
      </c>
      <c r="Q92" t="s" s="10">
        <v>34</v>
      </c>
      <c r="R92" t="s" s="10">
        <v>866</v>
      </c>
      <c r="S92" t="s" s="10">
        <v>600</v>
      </c>
      <c r="T92" t="s" s="12">
        <v>867</v>
      </c>
      <c r="U92" t="s" s="10">
        <v>161</v>
      </c>
      <c r="V92" t="s" s="12">
        <v>868</v>
      </c>
      <c r="W92" t="s" s="10">
        <v>869</v>
      </c>
      <c r="X92" s="16">
        <f>HYPERLINK("https://my.pitchbook.com?p=60821-74P", "View People Online")</f>
      </c>
    </row>
    <row r="93">
      <c r="A93" t="s" s="11">
        <v>870</v>
      </c>
      <c r="B93" t="s" s="11">
        <v>871</v>
      </c>
      <c r="C93" t="s" s="11">
        <v>34</v>
      </c>
      <c r="D93" t="s" s="11">
        <v>127</v>
      </c>
      <c r="E93" t="s" s="11">
        <v>36</v>
      </c>
      <c r="F93" t="s" s="11">
        <v>872</v>
      </c>
      <c r="G93" t="s" s="11">
        <v>854</v>
      </c>
      <c r="H93" s="17">
        <f>HYPERLINK("http://www.playtech.com", "www.playtech.com")</f>
      </c>
      <c r="I93" t="s" s="11">
        <v>307</v>
      </c>
      <c r="J93" t="s" s="25">
        <v>34</v>
      </c>
      <c r="K93" s="25">
        <v>3</v>
      </c>
      <c r="L93" s="25">
        <v>2</v>
      </c>
      <c r="M93" t="s" s="13">
        <v>34</v>
      </c>
      <c r="N93" t="s" s="11">
        <v>873</v>
      </c>
      <c r="O93" t="s" s="11">
        <v>874</v>
      </c>
      <c r="P93" t="s" s="11">
        <v>34</v>
      </c>
      <c r="Q93" t="s" s="11">
        <v>34</v>
      </c>
      <c r="R93" t="s" s="11">
        <v>875</v>
      </c>
      <c r="S93" t="s" s="11">
        <v>120</v>
      </c>
      <c r="T93" t="s" s="13">
        <v>34</v>
      </c>
      <c r="U93" t="s" s="11">
        <v>122</v>
      </c>
      <c r="V93" t="s" s="13">
        <v>34</v>
      </c>
      <c r="W93" t="s" s="11">
        <v>876</v>
      </c>
      <c r="X93" s="17">
        <f>HYPERLINK("https://my.pitchbook.com?p=32349-61P", "View People Online")</f>
      </c>
    </row>
    <row r="94">
      <c r="A94" t="s" s="10">
        <v>877</v>
      </c>
      <c r="B94" t="s" s="10">
        <v>878</v>
      </c>
      <c r="C94" t="s" s="10">
        <v>34</v>
      </c>
      <c r="D94" t="s" s="10">
        <v>879</v>
      </c>
      <c r="E94" t="s" s="10">
        <v>36</v>
      </c>
      <c r="F94" t="s" s="10">
        <v>880</v>
      </c>
      <c r="G94" t="s" s="10">
        <v>854</v>
      </c>
      <c r="H94" s="16">
        <f>HYPERLINK("http://www.playtech.com", "www.playtech.com")</f>
      </c>
      <c r="I94" t="s" s="10">
        <v>881</v>
      </c>
      <c r="J94" t="s" s="24">
        <v>34</v>
      </c>
      <c r="K94" s="24">
        <v>1</v>
      </c>
      <c r="L94" t="s" s="24">
        <v>34</v>
      </c>
      <c r="M94" t="s" s="12">
        <v>34</v>
      </c>
      <c r="N94" t="s" s="10">
        <v>882</v>
      </c>
      <c r="O94" t="s" s="10">
        <v>883</v>
      </c>
      <c r="P94" t="s" s="10">
        <v>884</v>
      </c>
      <c r="Q94" t="s" s="10">
        <v>885</v>
      </c>
      <c r="R94" t="s" s="10">
        <v>886</v>
      </c>
      <c r="S94" t="s" s="10">
        <v>120</v>
      </c>
      <c r="T94" t="s" s="12">
        <v>887</v>
      </c>
      <c r="U94" t="s" s="10">
        <v>122</v>
      </c>
      <c r="V94" t="s" s="12">
        <v>34</v>
      </c>
      <c r="W94" t="s" s="10">
        <v>888</v>
      </c>
      <c r="X94" s="16">
        <f>HYPERLINK("https://my.pitchbook.com?p=228932-83P", "View People Online")</f>
      </c>
    </row>
    <row r="95">
      <c r="A95" t="s" s="11">
        <v>889</v>
      </c>
      <c r="B95" t="s" s="11">
        <v>890</v>
      </c>
      <c r="C95" t="s" s="11">
        <v>34</v>
      </c>
      <c r="D95" t="s" s="11">
        <v>891</v>
      </c>
      <c r="E95" t="s" s="11">
        <v>36</v>
      </c>
      <c r="F95" t="s" s="11">
        <v>892</v>
      </c>
      <c r="G95" t="s" s="11">
        <v>893</v>
      </c>
      <c r="H95" s="17">
        <f>HYPERLINK("http://www.vitrolifegroup.com", "www.vitrolifegroup.com")</f>
      </c>
      <c r="I95" t="s" s="11">
        <v>895</v>
      </c>
      <c r="J95" t="s" s="25">
        <v>34</v>
      </c>
      <c r="K95" s="25">
        <v>3</v>
      </c>
      <c r="L95" s="25">
        <v>2</v>
      </c>
      <c r="M95" t="s" s="13">
        <v>896</v>
      </c>
      <c r="N95" t="s" s="11">
        <v>34</v>
      </c>
      <c r="O95" t="s" s="11">
        <v>897</v>
      </c>
      <c r="P95" t="s" s="11">
        <v>898</v>
      </c>
      <c r="Q95" t="s" s="11">
        <v>899</v>
      </c>
      <c r="R95" t="s" s="11">
        <v>900</v>
      </c>
      <c r="S95" t="s" s="11">
        <v>34</v>
      </c>
      <c r="T95" t="s" s="13">
        <v>901</v>
      </c>
      <c r="U95" t="s" s="11">
        <v>902</v>
      </c>
      <c r="V95" t="s" s="13">
        <v>903</v>
      </c>
      <c r="W95" t="s" s="11">
        <v>904</v>
      </c>
      <c r="X95" s="17">
        <f>HYPERLINK("https://my.pitchbook.com?p=360768-88P", "View People Online")</f>
      </c>
    </row>
    <row r="96">
      <c r="A96" t="s" s="10">
        <v>905</v>
      </c>
      <c r="B96" t="s" s="10">
        <v>906</v>
      </c>
      <c r="C96" t="s" s="10">
        <v>34</v>
      </c>
      <c r="D96" t="s" s="10">
        <v>907</v>
      </c>
      <c r="E96" t="s" s="10">
        <v>36</v>
      </c>
      <c r="F96" t="s" s="10">
        <v>908</v>
      </c>
      <c r="G96" t="s" s="10">
        <v>909</v>
      </c>
      <c r="H96" t="s" s="10">
        <v>34</v>
      </c>
      <c r="I96" t="s" s="10">
        <v>910</v>
      </c>
      <c r="J96" s="24">
        <v>1</v>
      </c>
      <c r="K96" s="24">
        <v>1</v>
      </c>
      <c r="L96" t="s" s="24">
        <v>34</v>
      </c>
      <c r="M96" t="s" s="12">
        <v>911</v>
      </c>
      <c r="N96" t="s" s="10">
        <v>34</v>
      </c>
      <c r="O96" t="s" s="10">
        <v>912</v>
      </c>
      <c r="P96" t="s" s="10">
        <v>913</v>
      </c>
      <c r="Q96" t="s" s="10">
        <v>430</v>
      </c>
      <c r="R96" t="s" s="10">
        <v>914</v>
      </c>
      <c r="S96" t="s" s="10">
        <v>915</v>
      </c>
      <c r="T96" t="s" s="12">
        <v>916</v>
      </c>
      <c r="U96" t="s" s="10">
        <v>917</v>
      </c>
      <c r="V96" t="s" s="12">
        <v>918</v>
      </c>
      <c r="W96" t="s" s="10">
        <v>919</v>
      </c>
      <c r="X96" s="16">
        <f>HYPERLINK("https://my.pitchbook.com?p=272858-59P", "View People Online")</f>
      </c>
    </row>
    <row r="97">
      <c r="A97" t="s" s="11">
        <v>920</v>
      </c>
      <c r="B97" t="s" s="11">
        <v>921</v>
      </c>
      <c r="C97" t="s" s="11">
        <v>34</v>
      </c>
      <c r="D97" t="s" s="11">
        <v>922</v>
      </c>
      <c r="E97" t="s" s="11">
        <v>36</v>
      </c>
      <c r="F97" t="s" s="11">
        <v>923</v>
      </c>
      <c r="G97" t="s" s="11">
        <v>924</v>
      </c>
      <c r="H97" s="17">
        <f>HYPERLINK("http://www.greenlightre.com", "www.greenlightre.com")</f>
      </c>
      <c r="I97" t="s" s="11">
        <v>108</v>
      </c>
      <c r="J97" s="25">
        <v>1</v>
      </c>
      <c r="K97" s="25">
        <v>1</v>
      </c>
      <c r="L97" t="s" s="25">
        <v>34</v>
      </c>
      <c r="M97" t="s" s="13">
        <v>926</v>
      </c>
      <c r="N97" t="s" s="11">
        <v>34</v>
      </c>
      <c r="O97" t="s" s="11">
        <v>927</v>
      </c>
      <c r="P97" t="s" s="11">
        <v>928</v>
      </c>
      <c r="Q97" t="s" s="11">
        <v>929</v>
      </c>
      <c r="R97" t="s" s="11">
        <v>930</v>
      </c>
      <c r="S97" t="s" s="11">
        <v>34</v>
      </c>
      <c r="T97" t="s" s="13">
        <v>931</v>
      </c>
      <c r="U97" t="s" s="11">
        <v>932</v>
      </c>
      <c r="V97" t="s" s="13">
        <v>933</v>
      </c>
      <c r="W97" t="s" s="11">
        <v>934</v>
      </c>
      <c r="X97" s="17">
        <f>HYPERLINK("https://my.pitchbook.com?p=248849-83P", "View People Online")</f>
      </c>
    </row>
    <row r="98">
      <c r="A98" t="s" s="10">
        <v>935</v>
      </c>
      <c r="B98" t="s" s="10">
        <v>936</v>
      </c>
      <c r="C98" t="s" s="10">
        <v>34</v>
      </c>
      <c r="D98" t="s" s="10">
        <v>195</v>
      </c>
      <c r="E98" t="s" s="10">
        <v>36</v>
      </c>
      <c r="F98" t="s" s="10">
        <v>937</v>
      </c>
      <c r="G98" t="s" s="10">
        <v>938</v>
      </c>
      <c r="H98" s="16">
        <f>HYPERLINK("http://www.novatek.ru", "www.novatek.ru")</f>
      </c>
      <c r="I98" t="s" s="10">
        <v>939</v>
      </c>
      <c r="J98" s="24">
        <v>1</v>
      </c>
      <c r="K98" s="24">
        <v>1</v>
      </c>
      <c r="L98" t="s" s="24">
        <v>34</v>
      </c>
      <c r="M98" t="s" s="12">
        <v>199</v>
      </c>
      <c r="N98" t="s" s="10">
        <v>34</v>
      </c>
      <c r="O98" t="s" s="10">
        <v>200</v>
      </c>
      <c r="P98" t="s" s="10">
        <v>201</v>
      </c>
      <c r="Q98" t="s" s="10">
        <v>34</v>
      </c>
      <c r="R98" t="s" s="10">
        <v>202</v>
      </c>
      <c r="S98" t="s" s="10">
        <v>34</v>
      </c>
      <c r="T98" t="s" s="12">
        <v>203</v>
      </c>
      <c r="U98" t="s" s="10">
        <v>204</v>
      </c>
      <c r="V98" t="s" s="12">
        <v>205</v>
      </c>
      <c r="W98" t="s" s="10">
        <v>940</v>
      </c>
      <c r="X98" s="16">
        <f>HYPERLINK("https://my.pitchbook.com?p=116450-29P", "View People Online")</f>
      </c>
    </row>
    <row r="99">
      <c r="A99" t="s" s="11">
        <v>941</v>
      </c>
      <c r="B99" t="s" s="11">
        <v>942</v>
      </c>
      <c r="C99" t="s" s="11">
        <v>34</v>
      </c>
      <c r="D99" t="s" s="11">
        <v>943</v>
      </c>
      <c r="E99" t="s" s="11">
        <v>36</v>
      </c>
      <c r="F99" t="s" s="11">
        <v>944</v>
      </c>
      <c r="G99" t="s" s="11">
        <v>945</v>
      </c>
      <c r="H99" s="17">
        <f>HYPERLINK("http://www.vulcanmaterials.com", "www.vulcanmaterials.com")</f>
      </c>
      <c r="I99" t="s" s="11">
        <v>946</v>
      </c>
      <c r="J99" t="s" s="25">
        <v>34</v>
      </c>
      <c r="K99" s="25">
        <v>1</v>
      </c>
      <c r="L99" t="s" s="25">
        <v>34</v>
      </c>
      <c r="M99" t="s" s="13">
        <v>947</v>
      </c>
      <c r="N99" t="s" s="11">
        <v>948</v>
      </c>
      <c r="O99" t="s" s="11">
        <v>949</v>
      </c>
      <c r="P99" t="s" s="11">
        <v>950</v>
      </c>
      <c r="Q99" t="s" s="11">
        <v>34</v>
      </c>
      <c r="R99" t="s" s="11">
        <v>951</v>
      </c>
      <c r="S99" t="s" s="11">
        <v>952</v>
      </c>
      <c r="T99" t="s" s="13">
        <v>953</v>
      </c>
      <c r="U99" t="s" s="11">
        <v>161</v>
      </c>
      <c r="V99" t="s" s="13">
        <v>34</v>
      </c>
      <c r="W99" t="s" s="11">
        <v>954</v>
      </c>
      <c r="X99" s="17">
        <f>HYPERLINK("https://my.pitchbook.com?p=79684-93P", "View People Online")</f>
      </c>
    </row>
    <row r="100">
      <c r="A100" t="s" s="10">
        <v>955</v>
      </c>
      <c r="B100" t="s" s="10">
        <v>956</v>
      </c>
      <c r="C100" t="s" s="10">
        <v>34</v>
      </c>
      <c r="D100" t="s" s="10">
        <v>957</v>
      </c>
      <c r="E100" t="s" s="10">
        <v>36</v>
      </c>
      <c r="F100" t="s" s="10">
        <v>958</v>
      </c>
      <c r="G100" t="s" s="10">
        <v>959</v>
      </c>
      <c r="H100" s="16">
        <f>HYPERLINK("http://www.gamestop.com", "www.gamestop.com")</f>
      </c>
      <c r="I100" t="s" s="10">
        <v>961</v>
      </c>
      <c r="J100" t="s" s="24">
        <v>34</v>
      </c>
      <c r="K100" t="s" s="24">
        <v>34</v>
      </c>
      <c r="L100" t="s" s="24">
        <v>34</v>
      </c>
      <c r="M100" t="s" s="12">
        <v>34</v>
      </c>
      <c r="N100" t="s" s="10">
        <v>34</v>
      </c>
      <c r="O100" t="s" s="10">
        <v>34</v>
      </c>
      <c r="P100" t="s" s="10">
        <v>34</v>
      </c>
      <c r="Q100" t="s" s="10">
        <v>34</v>
      </c>
      <c r="R100" t="s" s="10">
        <v>34</v>
      </c>
      <c r="S100" t="s" s="10">
        <v>34</v>
      </c>
      <c r="T100" t="s" s="12">
        <v>34</v>
      </c>
      <c r="U100" t="s" s="10">
        <v>34</v>
      </c>
      <c r="V100" t="s" s="12">
        <v>34</v>
      </c>
      <c r="W100" t="s" s="10">
        <v>962</v>
      </c>
      <c r="X100" s="16">
        <f>HYPERLINK("https://my.pitchbook.com?p=90071-65P", "View People Online")</f>
      </c>
    </row>
    <row r="101">
      <c r="A101" t="s" s="11">
        <v>963</v>
      </c>
      <c r="B101" t="s" s="11">
        <v>964</v>
      </c>
      <c r="C101" t="s" s="11">
        <v>34</v>
      </c>
      <c r="D101" t="s" s="11">
        <v>965</v>
      </c>
      <c r="E101" t="s" s="11">
        <v>36</v>
      </c>
      <c r="F101" t="s" s="11">
        <v>966</v>
      </c>
      <c r="G101" t="s" s="11">
        <v>967</v>
      </c>
      <c r="H101" s="17">
        <f>HYPERLINK("http://www.nuscalepower.com", "www.nuscalepower.com")</f>
      </c>
      <c r="I101" t="s" s="11">
        <v>969</v>
      </c>
      <c r="J101" t="s" s="25">
        <v>34</v>
      </c>
      <c r="K101" t="s" s="25">
        <v>34</v>
      </c>
      <c r="L101" t="s" s="25">
        <v>34</v>
      </c>
      <c r="M101" t="s" s="13">
        <v>34</v>
      </c>
      <c r="N101" t="s" s="11">
        <v>34</v>
      </c>
      <c r="O101" t="s" s="11">
        <v>34</v>
      </c>
      <c r="P101" t="s" s="11">
        <v>34</v>
      </c>
      <c r="Q101" t="s" s="11">
        <v>34</v>
      </c>
      <c r="R101" t="s" s="11">
        <v>34</v>
      </c>
      <c r="S101" t="s" s="11">
        <v>34</v>
      </c>
      <c r="T101" t="s" s="13">
        <v>34</v>
      </c>
      <c r="U101" t="s" s="11">
        <v>34</v>
      </c>
      <c r="V101" t="s" s="13">
        <v>34</v>
      </c>
      <c r="W101" t="s" s="11">
        <v>970</v>
      </c>
      <c r="X101" s="17">
        <f>HYPERLINK("https://my.pitchbook.com?p=68239-90P", "View People Online")</f>
      </c>
    </row>
    <row r="102">
      <c r="A102" t="s" s="10">
        <v>971</v>
      </c>
      <c r="B102" t="s" s="10">
        <v>972</v>
      </c>
      <c r="C102" t="s" s="10">
        <v>34</v>
      </c>
      <c r="D102" t="s" s="10">
        <v>973</v>
      </c>
      <c r="E102" t="s" s="10">
        <v>36</v>
      </c>
      <c r="F102" t="s" s="10">
        <v>974</v>
      </c>
      <c r="G102" t="s" s="10">
        <v>967</v>
      </c>
      <c r="H102" s="16">
        <f>HYPERLINK("http://www.oerlikon.com", "www.oerlikon.com")</f>
      </c>
      <c r="I102" t="s" s="10">
        <v>108</v>
      </c>
      <c r="J102" t="s" s="24">
        <v>34</v>
      </c>
      <c r="K102" t="s" s="24">
        <v>34</v>
      </c>
      <c r="L102" t="s" s="24">
        <v>34</v>
      </c>
      <c r="M102" t="s" s="12">
        <v>34</v>
      </c>
      <c r="N102" t="s" s="10">
        <v>34</v>
      </c>
      <c r="O102" t="s" s="10">
        <v>34</v>
      </c>
      <c r="P102" t="s" s="10">
        <v>34</v>
      </c>
      <c r="Q102" t="s" s="10">
        <v>34</v>
      </c>
      <c r="R102" t="s" s="10">
        <v>34</v>
      </c>
      <c r="S102" t="s" s="10">
        <v>34</v>
      </c>
      <c r="T102" t="s" s="12">
        <v>34</v>
      </c>
      <c r="U102" t="s" s="10">
        <v>34</v>
      </c>
      <c r="V102" t="s" s="12">
        <v>34</v>
      </c>
      <c r="W102" t="s" s="10">
        <v>975</v>
      </c>
      <c r="X102" s="16">
        <f>HYPERLINK("https://my.pitchbook.com?p=65550-25P", "View People Online")</f>
      </c>
    </row>
    <row r="103">
      <c r="A103" t="s" s="11">
        <v>976</v>
      </c>
      <c r="B103" t="s" s="11">
        <v>977</v>
      </c>
      <c r="C103" t="s" s="11">
        <v>34</v>
      </c>
      <c r="D103" t="s" s="11">
        <v>978</v>
      </c>
      <c r="E103" t="s" s="11">
        <v>36</v>
      </c>
      <c r="F103" t="s" s="11">
        <v>979</v>
      </c>
      <c r="G103" t="s" s="11">
        <v>980</v>
      </c>
      <c r="H103" s="17">
        <f>HYPERLINK("http://www.edison.it", "www.edison.it")</f>
      </c>
      <c r="I103" t="s" s="11">
        <v>982</v>
      </c>
      <c r="J103" t="s" s="25">
        <v>34</v>
      </c>
      <c r="K103" t="s" s="25">
        <v>34</v>
      </c>
      <c r="L103" t="s" s="25">
        <v>34</v>
      </c>
      <c r="M103" t="s" s="13">
        <v>34</v>
      </c>
      <c r="N103" t="s" s="11">
        <v>34</v>
      </c>
      <c r="O103" t="s" s="11">
        <v>34</v>
      </c>
      <c r="P103" t="s" s="11">
        <v>34</v>
      </c>
      <c r="Q103" t="s" s="11">
        <v>34</v>
      </c>
      <c r="R103" t="s" s="11">
        <v>34</v>
      </c>
      <c r="S103" t="s" s="11">
        <v>34</v>
      </c>
      <c r="T103" t="s" s="13">
        <v>34</v>
      </c>
      <c r="U103" t="s" s="11">
        <v>34</v>
      </c>
      <c r="V103" t="s" s="13">
        <v>34</v>
      </c>
      <c r="W103" t="s" s="11">
        <v>983</v>
      </c>
      <c r="X103" s="17">
        <f>HYPERLINK("https://my.pitchbook.com?p=145892-53P", "View People Online")</f>
      </c>
    </row>
    <row r="104">
      <c r="A104" t="s" s="10">
        <v>984</v>
      </c>
      <c r="B104" t="s" s="10">
        <v>985</v>
      </c>
      <c r="C104" t="s" s="10">
        <v>34</v>
      </c>
      <c r="D104" t="s" s="10">
        <v>539</v>
      </c>
      <c r="E104" t="s" s="10">
        <v>36</v>
      </c>
      <c r="F104" t="s" s="10">
        <v>986</v>
      </c>
      <c r="G104" t="s" s="10">
        <v>987</v>
      </c>
      <c r="H104" s="16">
        <f>HYPERLINK("http://v-er.eu", "v-er.eu")</f>
      </c>
      <c r="I104" t="s" s="10">
        <v>988</v>
      </c>
      <c r="J104" t="s" s="24">
        <v>34</v>
      </c>
      <c r="K104" s="24">
        <v>1</v>
      </c>
      <c r="L104" t="s" s="24">
        <v>34</v>
      </c>
      <c r="M104" t="s" s="12">
        <v>544</v>
      </c>
      <c r="N104" t="s" s="10">
        <v>989</v>
      </c>
      <c r="O104" t="s" s="10">
        <v>51</v>
      </c>
      <c r="P104" t="s" s="10">
        <v>546</v>
      </c>
      <c r="Q104" t="s" s="10">
        <v>547</v>
      </c>
      <c r="R104" t="s" s="10">
        <v>54</v>
      </c>
      <c r="S104" t="s" s="10">
        <v>55</v>
      </c>
      <c r="T104" t="s" s="12">
        <v>56</v>
      </c>
      <c r="U104" t="s" s="10">
        <v>57</v>
      </c>
      <c r="V104" t="s" s="12">
        <v>34</v>
      </c>
      <c r="W104" t="s" s="10">
        <v>990</v>
      </c>
      <c r="X104" s="16">
        <f>HYPERLINK("https://my.pitchbook.com?p=424397-17P", "View People Online")</f>
      </c>
    </row>
    <row r="105">
      <c r="A105" t="s" s="11">
        <v>991</v>
      </c>
      <c r="B105" t="s" s="11">
        <v>992</v>
      </c>
      <c r="C105" t="s" s="11">
        <v>34</v>
      </c>
      <c r="D105" t="s" s="11">
        <v>993</v>
      </c>
      <c r="E105" t="s" s="11">
        <v>36</v>
      </c>
      <c r="F105" t="s" s="11">
        <v>994</v>
      </c>
      <c r="G105" t="s" s="11">
        <v>995</v>
      </c>
      <c r="H105" s="17">
        <f>HYPERLINK("http://www.aresmining.com", "www.aresmining.com")</f>
      </c>
      <c r="I105" t="s" s="11">
        <v>108</v>
      </c>
      <c r="J105" s="25">
        <v>1</v>
      </c>
      <c r="K105" s="25">
        <v>1</v>
      </c>
      <c r="L105" t="s" s="25">
        <v>34</v>
      </c>
      <c r="M105" t="s" s="13">
        <v>997</v>
      </c>
      <c r="N105" t="s" s="11">
        <v>34</v>
      </c>
      <c r="O105" t="s" s="11">
        <v>998</v>
      </c>
      <c r="P105" t="s" s="11">
        <v>999</v>
      </c>
      <c r="Q105" t="s" s="11">
        <v>1000</v>
      </c>
      <c r="R105" t="s" s="11">
        <v>1001</v>
      </c>
      <c r="S105" t="s" s="11">
        <v>1002</v>
      </c>
      <c r="T105" t="s" s="13">
        <v>1003</v>
      </c>
      <c r="U105" t="s" s="11">
        <v>917</v>
      </c>
      <c r="V105" t="s" s="13">
        <v>34</v>
      </c>
      <c r="W105" t="s" s="11">
        <v>1004</v>
      </c>
      <c r="X105" s="17">
        <f>HYPERLINK("https://my.pitchbook.com?p=217766-80P", "View People Online")</f>
      </c>
    </row>
    <row r="106">
      <c r="A106" t="s" s="10">
        <v>1005</v>
      </c>
      <c r="B106" t="s" s="10">
        <v>1006</v>
      </c>
      <c r="C106" t="s" s="10">
        <v>34</v>
      </c>
      <c r="D106" t="s" s="10">
        <v>1007</v>
      </c>
      <c r="E106" t="s" s="10">
        <v>36</v>
      </c>
      <c r="F106" t="s" s="10">
        <v>1008</v>
      </c>
      <c r="G106" t="s" s="10">
        <v>1009</v>
      </c>
      <c r="H106" s="16">
        <f>HYPERLINK("http://www.tridentresourcescorp.com", "www.tridentresourcescorp.com")</f>
      </c>
      <c r="I106" t="s" s="10">
        <v>263</v>
      </c>
      <c r="J106" t="s" s="24">
        <v>34</v>
      </c>
      <c r="K106" s="24">
        <v>1</v>
      </c>
      <c r="L106" t="s" s="24">
        <v>34</v>
      </c>
      <c r="M106" t="s" s="12">
        <v>1011</v>
      </c>
      <c r="N106" t="s" s="10">
        <v>34</v>
      </c>
      <c r="O106" t="s" s="10">
        <v>998</v>
      </c>
      <c r="P106" t="s" s="10">
        <v>1012</v>
      </c>
      <c r="Q106" t="s" s="10">
        <v>1013</v>
      </c>
      <c r="R106" t="s" s="10">
        <v>1001</v>
      </c>
      <c r="S106" t="s" s="10">
        <v>1002</v>
      </c>
      <c r="T106" t="s" s="12">
        <v>1014</v>
      </c>
      <c r="U106" t="s" s="10">
        <v>917</v>
      </c>
      <c r="V106" t="s" s="12">
        <v>34</v>
      </c>
      <c r="W106" t="s" s="10">
        <v>1015</v>
      </c>
      <c r="X106" s="16">
        <f>HYPERLINK("https://my.pitchbook.com?p=439422-67P", "View People Online")</f>
      </c>
    </row>
    <row r="107">
      <c r="A107" t="s" s="11">
        <v>1016</v>
      </c>
      <c r="B107" t="s" s="11">
        <v>1017</v>
      </c>
      <c r="C107" t="s" s="11">
        <v>34</v>
      </c>
      <c r="D107" t="s" s="11">
        <v>1018</v>
      </c>
      <c r="E107" t="s" s="11">
        <v>36</v>
      </c>
      <c r="F107" t="s" s="11">
        <v>1019</v>
      </c>
      <c r="G107" t="s" s="11">
        <v>1020</v>
      </c>
      <c r="H107" t="s" s="11">
        <v>34</v>
      </c>
      <c r="I107" t="s" s="11">
        <v>1021</v>
      </c>
      <c r="J107" s="25">
        <v>1</v>
      </c>
      <c r="K107" s="25">
        <v>1</v>
      </c>
      <c r="L107" t="s" s="25">
        <v>34</v>
      </c>
      <c r="M107" t="s" s="13">
        <v>1022</v>
      </c>
      <c r="N107" t="s" s="11">
        <v>34</v>
      </c>
      <c r="O107" t="s" s="11">
        <v>325</v>
      </c>
      <c r="P107" t="s" s="11">
        <v>1023</v>
      </c>
      <c r="Q107" t="s" s="11">
        <v>1024</v>
      </c>
      <c r="R107" t="s" s="11">
        <v>328</v>
      </c>
      <c r="S107" t="s" s="11">
        <v>329</v>
      </c>
      <c r="T107" t="s" s="13">
        <v>330</v>
      </c>
      <c r="U107" t="s" s="11">
        <v>161</v>
      </c>
      <c r="V107" t="s" s="13">
        <v>34</v>
      </c>
      <c r="W107" t="s" s="11">
        <v>1025</v>
      </c>
      <c r="X107" s="17">
        <f>HYPERLINK("https://my.pitchbook.com?p=460527-49P", "View People Online")</f>
      </c>
    </row>
    <row r="108">
      <c r="A108" t="s" s="10">
        <v>1026</v>
      </c>
      <c r="B108" t="s" s="10">
        <v>1027</v>
      </c>
      <c r="C108" t="s" s="10">
        <v>34</v>
      </c>
      <c r="D108" t="s" s="10">
        <v>1028</v>
      </c>
      <c r="E108" t="s" s="10">
        <v>36</v>
      </c>
      <c r="F108" t="s" s="10">
        <v>1029</v>
      </c>
      <c r="G108" t="s" s="10">
        <v>1020</v>
      </c>
      <c r="H108" s="16">
        <f>HYPERLINK("http://www.tencent.com", "www.tencent.com")</f>
      </c>
      <c r="I108" t="s" s="10">
        <v>108</v>
      </c>
      <c r="J108" s="24">
        <v>1</v>
      </c>
      <c r="K108" s="24">
        <v>1</v>
      </c>
      <c r="L108" t="s" s="24">
        <v>34</v>
      </c>
      <c r="M108" t="s" s="12">
        <v>1031</v>
      </c>
      <c r="N108" t="s" s="10">
        <v>34</v>
      </c>
      <c r="O108" t="s" s="10">
        <v>1032</v>
      </c>
      <c r="P108" t="s" s="10">
        <v>1033</v>
      </c>
      <c r="Q108" t="s" s="10">
        <v>34</v>
      </c>
      <c r="R108" t="s" s="10">
        <v>1034</v>
      </c>
      <c r="S108" t="s" s="10">
        <v>159</v>
      </c>
      <c r="T108" t="s" s="12">
        <v>1035</v>
      </c>
      <c r="U108" t="s" s="10">
        <v>161</v>
      </c>
      <c r="V108" t="s" s="12">
        <v>34</v>
      </c>
      <c r="W108" t="s" s="10">
        <v>1036</v>
      </c>
      <c r="X108" s="16">
        <f>HYPERLINK("https://my.pitchbook.com?p=70215-40P", "View People Online")</f>
      </c>
    </row>
    <row r="109">
      <c r="A109" t="s" s="11">
        <v>1037</v>
      </c>
      <c r="B109" t="s" s="11">
        <v>1038</v>
      </c>
      <c r="C109" t="s" s="11">
        <v>34</v>
      </c>
      <c r="D109" t="s" s="11">
        <v>354</v>
      </c>
      <c r="E109" t="s" s="11">
        <v>36</v>
      </c>
      <c r="F109" t="s" s="11">
        <v>1039</v>
      </c>
      <c r="G109" t="s" s="11">
        <v>1020</v>
      </c>
      <c r="H109" s="17">
        <f>HYPERLINK("http://www.tridentestatesplc.com", "www.tridentestatesplc.com")</f>
      </c>
      <c r="I109" t="s" s="11">
        <v>294</v>
      </c>
      <c r="J109" t="s" s="25">
        <v>34</v>
      </c>
      <c r="K109" s="25">
        <v>1</v>
      </c>
      <c r="L109" t="s" s="25">
        <v>34</v>
      </c>
      <c r="M109" t="s" s="13">
        <v>1040</v>
      </c>
      <c r="N109" t="s" s="11">
        <v>1041</v>
      </c>
      <c r="O109" t="s" s="11">
        <v>360</v>
      </c>
      <c r="P109" t="s" s="11">
        <v>361</v>
      </c>
      <c r="Q109" t="s" s="11">
        <v>362</v>
      </c>
      <c r="R109" t="s" s="11">
        <v>363</v>
      </c>
      <c r="S109" t="s" s="11">
        <v>34</v>
      </c>
      <c r="T109" t="s" s="13">
        <v>364</v>
      </c>
      <c r="U109" t="s" s="11">
        <v>365</v>
      </c>
      <c r="V109" t="s" s="13">
        <v>34</v>
      </c>
      <c r="W109" t="s" s="11">
        <v>1042</v>
      </c>
      <c r="X109" s="17">
        <f>HYPERLINK("https://my.pitchbook.com?p=301651-84P", "View People Online")</f>
      </c>
    </row>
    <row r="110">
      <c r="A110" t="s" s="10">
        <v>1043</v>
      </c>
      <c r="B110" t="s" s="10">
        <v>1044</v>
      </c>
      <c r="C110" t="s" s="10">
        <v>34</v>
      </c>
      <c r="D110" t="s" s="10">
        <v>1045</v>
      </c>
      <c r="E110" t="s" s="10">
        <v>36</v>
      </c>
      <c r="F110" t="s" s="10">
        <v>1046</v>
      </c>
      <c r="G110" t="s" s="10">
        <v>1047</v>
      </c>
      <c r="H110" s="16">
        <f>HYPERLINK("http://www.montage-tech.com", "www.montage-tech.com")</f>
      </c>
      <c r="I110" t="s" s="10">
        <v>1049</v>
      </c>
      <c r="J110" t="s" s="24">
        <v>34</v>
      </c>
      <c r="K110" t="s" s="24">
        <v>34</v>
      </c>
      <c r="L110" t="s" s="24">
        <v>34</v>
      </c>
      <c r="M110" t="s" s="12">
        <v>34</v>
      </c>
      <c r="N110" t="s" s="10">
        <v>34</v>
      </c>
      <c r="O110" t="s" s="10">
        <v>34</v>
      </c>
      <c r="P110" t="s" s="10">
        <v>34</v>
      </c>
      <c r="Q110" t="s" s="10">
        <v>34</v>
      </c>
      <c r="R110" t="s" s="10">
        <v>34</v>
      </c>
      <c r="S110" t="s" s="10">
        <v>34</v>
      </c>
      <c r="T110" t="s" s="12">
        <v>34</v>
      </c>
      <c r="U110" t="s" s="10">
        <v>34</v>
      </c>
      <c r="V110" t="s" s="12">
        <v>34</v>
      </c>
      <c r="W110" t="s" s="10">
        <v>1050</v>
      </c>
      <c r="X110" s="16">
        <f>HYPERLINK("https://my.pitchbook.com?p=55118-26P", "View People Online")</f>
      </c>
    </row>
    <row r="111">
      <c r="A111" t="s" s="11">
        <v>1051</v>
      </c>
      <c r="B111" t="s" s="11">
        <v>1052</v>
      </c>
      <c r="C111" t="s" s="11">
        <v>34</v>
      </c>
      <c r="D111" t="s" s="11">
        <v>1053</v>
      </c>
      <c r="E111" t="s" s="11">
        <v>36</v>
      </c>
      <c r="F111" t="s" s="11">
        <v>1054</v>
      </c>
      <c r="G111" t="s" s="11">
        <v>1055</v>
      </c>
      <c r="H111" s="17">
        <f>HYPERLINK("http://www.novatek.com.tw", "www.novatek.com.tw")</f>
      </c>
      <c r="I111" t="s" s="11">
        <v>1057</v>
      </c>
      <c r="J111" t="s" s="25">
        <v>34</v>
      </c>
      <c r="K111" s="25">
        <v>1</v>
      </c>
      <c r="L111" t="s" s="25">
        <v>34</v>
      </c>
      <c r="M111" t="s" s="13">
        <v>1058</v>
      </c>
      <c r="N111" t="s" s="11">
        <v>34</v>
      </c>
      <c r="O111" t="s" s="11">
        <v>1059</v>
      </c>
      <c r="P111" t="s" s="11">
        <v>1060</v>
      </c>
      <c r="Q111" t="s" s="11">
        <v>1061</v>
      </c>
      <c r="R111" t="s" s="11">
        <v>1062</v>
      </c>
      <c r="S111" t="s" s="11">
        <v>34</v>
      </c>
      <c r="T111" t="s" s="13">
        <v>1063</v>
      </c>
      <c r="U111" t="s" s="11">
        <v>1064</v>
      </c>
      <c r="V111" t="s" s="13">
        <v>1065</v>
      </c>
      <c r="W111" t="s" s="11">
        <v>1066</v>
      </c>
      <c r="X111" s="17">
        <f>HYPERLINK("https://my.pitchbook.com?p=312168-43P", "View People Online")</f>
      </c>
    </row>
    <row r="112">
      <c r="A112" t="s" s="10">
        <v>1067</v>
      </c>
      <c r="B112" t="s" s="10">
        <v>1068</v>
      </c>
      <c r="C112" t="s" s="10">
        <v>34</v>
      </c>
      <c r="D112" t="s" s="10">
        <v>1069</v>
      </c>
      <c r="E112" t="s" s="10">
        <v>36</v>
      </c>
      <c r="F112" t="s" s="10">
        <v>1054</v>
      </c>
      <c r="G112" t="s" s="10">
        <v>1070</v>
      </c>
      <c r="H112" s="16">
        <f>HYPERLINK("http://www.umc.com", "www.umc.com")</f>
      </c>
      <c r="I112" t="s" s="10">
        <v>230</v>
      </c>
      <c r="J112" s="24">
        <v>1</v>
      </c>
      <c r="K112" s="24">
        <v>1</v>
      </c>
      <c r="L112" t="s" s="24">
        <v>34</v>
      </c>
      <c r="M112" t="s" s="12">
        <v>1072</v>
      </c>
      <c r="N112" t="s" s="10">
        <v>1073</v>
      </c>
      <c r="O112" t="s" s="10">
        <v>1059</v>
      </c>
      <c r="P112" t="s" s="10">
        <v>1074</v>
      </c>
      <c r="Q112" t="s" s="10">
        <v>1061</v>
      </c>
      <c r="R112" t="s" s="10">
        <v>1062</v>
      </c>
      <c r="S112" t="s" s="10">
        <v>34</v>
      </c>
      <c r="T112" t="s" s="12">
        <v>1075</v>
      </c>
      <c r="U112" t="s" s="10">
        <v>1064</v>
      </c>
      <c r="V112" t="s" s="12">
        <v>1076</v>
      </c>
      <c r="W112" t="s" s="10">
        <v>1077</v>
      </c>
      <c r="X112" s="16">
        <f>HYPERLINK("https://my.pitchbook.com?p=284509-81P", "View People Online")</f>
      </c>
    </row>
    <row r="113">
      <c r="A113" t="s" s="11">
        <v>1078</v>
      </c>
      <c r="B113" t="s" s="11">
        <v>1079</v>
      </c>
      <c r="C113" t="s" s="11">
        <v>34</v>
      </c>
      <c r="D113" t="s" s="11">
        <v>879</v>
      </c>
      <c r="E113" t="s" s="11">
        <v>36</v>
      </c>
      <c r="F113" t="s" s="11">
        <v>1080</v>
      </c>
      <c r="G113" t="s" s="11">
        <v>1081</v>
      </c>
      <c r="H113" s="17">
        <f>HYPERLINK("http://www.playtech.com", "www.playtech.com")</f>
      </c>
      <c r="I113" t="s" s="11">
        <v>230</v>
      </c>
      <c r="J113" s="25">
        <v>2</v>
      </c>
      <c r="K113" s="25">
        <v>2</v>
      </c>
      <c r="L113" t="s" s="25">
        <v>34</v>
      </c>
      <c r="M113" t="s" s="13">
        <v>1082</v>
      </c>
      <c r="N113" t="s" s="11">
        <v>1083</v>
      </c>
      <c r="O113" t="s" s="11">
        <v>883</v>
      </c>
      <c r="P113" t="s" s="11">
        <v>884</v>
      </c>
      <c r="Q113" t="s" s="11">
        <v>885</v>
      </c>
      <c r="R113" t="s" s="11">
        <v>886</v>
      </c>
      <c r="S113" t="s" s="11">
        <v>120</v>
      </c>
      <c r="T113" t="s" s="13">
        <v>887</v>
      </c>
      <c r="U113" t="s" s="11">
        <v>122</v>
      </c>
      <c r="V113" t="s" s="13">
        <v>34</v>
      </c>
      <c r="W113" t="s" s="11">
        <v>1084</v>
      </c>
      <c r="X113" s="17">
        <f>HYPERLINK("https://my.pitchbook.com?p=263595-16P", "View People Online")</f>
      </c>
    </row>
    <row r="114">
      <c r="A114" t="s" s="10">
        <v>1085</v>
      </c>
      <c r="B114" t="s" s="10">
        <v>1086</v>
      </c>
      <c r="C114" t="s" s="10">
        <v>34</v>
      </c>
      <c r="D114" t="s" s="10">
        <v>1087</v>
      </c>
      <c r="E114" t="s" s="10">
        <v>36</v>
      </c>
      <c r="F114" t="s" s="10">
        <v>1088</v>
      </c>
      <c r="G114" t="s" s="10">
        <v>1081</v>
      </c>
      <c r="H114" s="16">
        <f>HYPERLINK("http://www.aehr.com", "www.aehr.com")</f>
      </c>
      <c r="I114" t="s" s="10">
        <v>1090</v>
      </c>
      <c r="J114" t="s" s="24">
        <v>34</v>
      </c>
      <c r="K114" s="24">
        <v>1</v>
      </c>
      <c r="L114" t="s" s="24">
        <v>34</v>
      </c>
      <c r="M114" t="s" s="12">
        <v>1091</v>
      </c>
      <c r="N114" t="s" s="10">
        <v>1092</v>
      </c>
      <c r="O114" t="s" s="10">
        <v>1093</v>
      </c>
      <c r="P114" t="s" s="10">
        <v>1094</v>
      </c>
      <c r="Q114" t="s" s="10">
        <v>34</v>
      </c>
      <c r="R114" t="s" s="10">
        <v>1095</v>
      </c>
      <c r="S114" t="s" s="10">
        <v>159</v>
      </c>
      <c r="T114" t="s" s="12">
        <v>1096</v>
      </c>
      <c r="U114" t="s" s="10">
        <v>161</v>
      </c>
      <c r="V114" t="s" s="12">
        <v>1097</v>
      </c>
      <c r="W114" t="s" s="10">
        <v>1098</v>
      </c>
      <c r="X114" s="16">
        <f>HYPERLINK("https://my.pitchbook.com?p=277549-03P", "View People Online")</f>
      </c>
    </row>
    <row r="115">
      <c r="A115" t="s" s="11">
        <v>1099</v>
      </c>
      <c r="B115" t="s" s="11">
        <v>1100</v>
      </c>
      <c r="C115" t="s" s="11">
        <v>34</v>
      </c>
      <c r="D115" t="s" s="11">
        <v>539</v>
      </c>
      <c r="E115" t="s" s="11">
        <v>36</v>
      </c>
      <c r="F115" t="s" s="11">
        <v>1101</v>
      </c>
      <c r="G115" t="s" s="11">
        <v>1102</v>
      </c>
      <c r="H115" s="17">
        <f>HYPERLINK("http://v-er.eu", "v-er.eu")</f>
      </c>
      <c r="I115" t="s" s="11">
        <v>1103</v>
      </c>
      <c r="J115" t="s" s="25">
        <v>34</v>
      </c>
      <c r="K115" s="25">
        <v>1</v>
      </c>
      <c r="L115" t="s" s="25">
        <v>34</v>
      </c>
      <c r="M115" t="s" s="13">
        <v>544</v>
      </c>
      <c r="N115" t="s" s="11">
        <v>1104</v>
      </c>
      <c r="O115" t="s" s="11">
        <v>51</v>
      </c>
      <c r="P115" t="s" s="11">
        <v>546</v>
      </c>
      <c r="Q115" t="s" s="11">
        <v>547</v>
      </c>
      <c r="R115" t="s" s="11">
        <v>54</v>
      </c>
      <c r="S115" t="s" s="11">
        <v>55</v>
      </c>
      <c r="T115" t="s" s="13">
        <v>56</v>
      </c>
      <c r="U115" t="s" s="11">
        <v>57</v>
      </c>
      <c r="V115" t="s" s="13">
        <v>34</v>
      </c>
      <c r="W115" t="s" s="11">
        <v>1105</v>
      </c>
      <c r="X115" s="17">
        <f>HYPERLINK("https://my.pitchbook.com?p=424861-39P", "View People Online")</f>
      </c>
    </row>
    <row r="116">
      <c r="A116" t="s" s="10">
        <v>1106</v>
      </c>
      <c r="B116" t="s" s="10">
        <v>1107</v>
      </c>
      <c r="C116" t="s" s="10">
        <v>34</v>
      </c>
      <c r="D116" t="s" s="10">
        <v>1108</v>
      </c>
      <c r="E116" t="s" s="10">
        <v>36</v>
      </c>
      <c r="F116" t="s" s="10">
        <v>1109</v>
      </c>
      <c r="G116" t="s" s="10">
        <v>1102</v>
      </c>
      <c r="H116" s="16">
        <f>HYPERLINK("http://www.falcores.com", "www.falcores.com")</f>
      </c>
      <c r="I116" t="s" s="10">
        <v>764</v>
      </c>
      <c r="J116" t="s" s="24">
        <v>34</v>
      </c>
      <c r="K116" t="s" s="24">
        <v>34</v>
      </c>
      <c r="L116" t="s" s="24">
        <v>34</v>
      </c>
      <c r="M116" t="s" s="12">
        <v>34</v>
      </c>
      <c r="N116" t="s" s="10">
        <v>1111</v>
      </c>
      <c r="O116" t="s" s="10">
        <v>34</v>
      </c>
      <c r="P116" t="s" s="10">
        <v>34</v>
      </c>
      <c r="Q116" t="s" s="10">
        <v>34</v>
      </c>
      <c r="R116" t="s" s="10">
        <v>34</v>
      </c>
      <c r="S116" t="s" s="10">
        <v>34</v>
      </c>
      <c r="T116" t="s" s="12">
        <v>34</v>
      </c>
      <c r="U116" t="s" s="10">
        <v>34</v>
      </c>
      <c r="V116" t="s" s="12">
        <v>34</v>
      </c>
      <c r="W116" t="s" s="10">
        <v>1112</v>
      </c>
      <c r="X116" s="16">
        <f>HYPERLINK("https://my.pitchbook.com?p=291868-30P", "View People Online")</f>
      </c>
    </row>
    <row r="117">
      <c r="A117" t="s" s="11">
        <v>1113</v>
      </c>
      <c r="B117" t="s" s="11">
        <v>1114</v>
      </c>
      <c r="C117" t="s" s="11">
        <v>34</v>
      </c>
      <c r="D117" t="s" s="11">
        <v>354</v>
      </c>
      <c r="E117" t="s" s="11">
        <v>36</v>
      </c>
      <c r="F117" t="s" s="11">
        <v>1115</v>
      </c>
      <c r="G117" t="s" s="11">
        <v>1116</v>
      </c>
      <c r="H117" s="17">
        <f>HYPERLINK("http://www.tridentestatesplc.com", "www.tridentestatesplc.com")</f>
      </c>
      <c r="I117" t="s" s="11">
        <v>845</v>
      </c>
      <c r="J117" t="s" s="25">
        <v>34</v>
      </c>
      <c r="K117" s="25">
        <v>1</v>
      </c>
      <c r="L117" t="s" s="25">
        <v>34</v>
      </c>
      <c r="M117" t="s" s="13">
        <v>358</v>
      </c>
      <c r="N117" t="s" s="11">
        <v>1117</v>
      </c>
      <c r="O117" t="s" s="11">
        <v>360</v>
      </c>
      <c r="P117" t="s" s="11">
        <v>361</v>
      </c>
      <c r="Q117" t="s" s="11">
        <v>362</v>
      </c>
      <c r="R117" t="s" s="11">
        <v>363</v>
      </c>
      <c r="S117" t="s" s="11">
        <v>34</v>
      </c>
      <c r="T117" t="s" s="13">
        <v>364</v>
      </c>
      <c r="U117" t="s" s="11">
        <v>365</v>
      </c>
      <c r="V117" t="s" s="13">
        <v>34</v>
      </c>
      <c r="W117" t="s" s="11">
        <v>1118</v>
      </c>
      <c r="X117" s="17">
        <f>HYPERLINK("https://my.pitchbook.com?p=301652-47P", "View People Online")</f>
      </c>
    </row>
    <row r="118">
      <c r="A118" t="s" s="10">
        <v>1119</v>
      </c>
      <c r="B118" t="s" s="10">
        <v>1120</v>
      </c>
      <c r="C118" t="s" s="10">
        <v>34</v>
      </c>
      <c r="D118" t="s" s="10">
        <v>1121</v>
      </c>
      <c r="E118" t="s" s="10">
        <v>36</v>
      </c>
      <c r="F118" t="s" s="10">
        <v>1122</v>
      </c>
      <c r="G118" t="s" s="10">
        <v>1116</v>
      </c>
      <c r="H118" s="16">
        <f>HYPERLINK("http://www.payoneer.com", "www.payoneer.com")</f>
      </c>
      <c r="I118" t="s" s="10">
        <v>108</v>
      </c>
      <c r="J118" s="24">
        <v>5</v>
      </c>
      <c r="K118" s="24">
        <v>23</v>
      </c>
      <c r="L118" s="24">
        <v>13</v>
      </c>
      <c r="M118" t="s" s="12">
        <v>1124</v>
      </c>
      <c r="N118" t="s" s="10">
        <v>34</v>
      </c>
      <c r="O118" t="s" s="10">
        <v>1125</v>
      </c>
      <c r="P118" t="s" s="10">
        <v>1126</v>
      </c>
      <c r="Q118" t="s" s="10">
        <v>34</v>
      </c>
      <c r="R118" t="s" s="10">
        <v>1127</v>
      </c>
      <c r="S118" t="s" s="10">
        <v>1127</v>
      </c>
      <c r="T118" t="s" s="12">
        <v>1128</v>
      </c>
      <c r="U118" t="s" s="10">
        <v>161</v>
      </c>
      <c r="V118" t="s" s="12">
        <v>34</v>
      </c>
      <c r="W118" t="s" s="10">
        <v>1129</v>
      </c>
      <c r="X118" s="16">
        <f>HYPERLINK("https://my.pitchbook.com?p=165636-28P", "View People Online")</f>
      </c>
    </row>
    <row r="119">
      <c r="A119" t="s" s="11">
        <v>1130</v>
      </c>
      <c r="B119" t="s" s="11">
        <v>1131</v>
      </c>
      <c r="C119" t="s" s="11">
        <v>34</v>
      </c>
      <c r="D119" t="s" s="11">
        <v>1132</v>
      </c>
      <c r="E119" t="s" s="11">
        <v>36</v>
      </c>
      <c r="F119" t="s" s="11">
        <v>1133</v>
      </c>
      <c r="G119" t="s" s="11">
        <v>1116</v>
      </c>
      <c r="H119" s="17">
        <f>HYPERLINK("http://www.sunlinkhealth.com", "www.sunlinkhealth.com")</f>
      </c>
      <c r="I119" t="s" s="11">
        <v>108</v>
      </c>
      <c r="J119" t="s" s="25">
        <v>34</v>
      </c>
      <c r="K119" t="s" s="25">
        <v>34</v>
      </c>
      <c r="L119" t="s" s="25">
        <v>34</v>
      </c>
      <c r="M119" t="s" s="13">
        <v>34</v>
      </c>
      <c r="N119" t="s" s="11">
        <v>34</v>
      </c>
      <c r="O119" t="s" s="11">
        <v>34</v>
      </c>
      <c r="P119" t="s" s="11">
        <v>34</v>
      </c>
      <c r="Q119" t="s" s="11">
        <v>34</v>
      </c>
      <c r="R119" t="s" s="11">
        <v>34</v>
      </c>
      <c r="S119" t="s" s="11">
        <v>34</v>
      </c>
      <c r="T119" t="s" s="13">
        <v>34</v>
      </c>
      <c r="U119" t="s" s="11">
        <v>34</v>
      </c>
      <c r="V119" t="s" s="13">
        <v>34</v>
      </c>
      <c r="W119" t="s" s="11">
        <v>1135</v>
      </c>
      <c r="X119" s="17">
        <f>HYPERLINK("https://my.pitchbook.com?p=71861-14P", "View People Online")</f>
      </c>
    </row>
    <row r="120">
      <c r="A120" t="s" s="10">
        <v>1136</v>
      </c>
      <c r="B120" t="s" s="10">
        <v>1137</v>
      </c>
      <c r="C120" t="s" s="10">
        <v>34</v>
      </c>
      <c r="D120" t="s" s="10">
        <v>539</v>
      </c>
      <c r="E120" t="s" s="10">
        <v>36</v>
      </c>
      <c r="F120" t="s" s="10">
        <v>1138</v>
      </c>
      <c r="G120" t="s" s="10">
        <v>1116</v>
      </c>
      <c r="H120" s="16">
        <f>HYPERLINK("http://v-er.eu", "v-er.eu")</f>
      </c>
      <c r="I120" t="s" s="10">
        <v>1139</v>
      </c>
      <c r="J120" t="s" s="24">
        <v>34</v>
      </c>
      <c r="K120" s="24">
        <v>1</v>
      </c>
      <c r="L120" t="s" s="24">
        <v>34</v>
      </c>
      <c r="M120" t="s" s="12">
        <v>544</v>
      </c>
      <c r="N120" t="s" s="10">
        <v>34</v>
      </c>
      <c r="O120" t="s" s="10">
        <v>51</v>
      </c>
      <c r="P120" t="s" s="10">
        <v>546</v>
      </c>
      <c r="Q120" t="s" s="10">
        <v>547</v>
      </c>
      <c r="R120" t="s" s="10">
        <v>54</v>
      </c>
      <c r="S120" t="s" s="10">
        <v>55</v>
      </c>
      <c r="T120" t="s" s="12">
        <v>56</v>
      </c>
      <c r="U120" t="s" s="10">
        <v>57</v>
      </c>
      <c r="V120" t="s" s="12">
        <v>34</v>
      </c>
      <c r="W120" t="s" s="10">
        <v>1140</v>
      </c>
      <c r="X120" s="16">
        <f>HYPERLINK("https://my.pitchbook.com?p=353989-72P", "View People Online")</f>
      </c>
    </row>
    <row r="121">
      <c r="A121" t="s" s="11">
        <v>1141</v>
      </c>
      <c r="B121" t="s" s="11">
        <v>1142</v>
      </c>
      <c r="C121" t="s" s="11">
        <v>34</v>
      </c>
      <c r="D121" t="s" s="11">
        <v>1143</v>
      </c>
      <c r="E121" t="s" s="11">
        <v>36</v>
      </c>
      <c r="F121" t="s" s="11">
        <v>1144</v>
      </c>
      <c r="G121" t="s" s="11">
        <v>1116</v>
      </c>
      <c r="H121" s="17">
        <f>HYPERLINK("http://www.turkcell.com.tr", "www.turkcell.com.tr")</f>
      </c>
      <c r="I121" t="s" s="11">
        <v>108</v>
      </c>
      <c r="J121" t="s" s="25">
        <v>34</v>
      </c>
      <c r="K121" t="s" s="25">
        <v>34</v>
      </c>
      <c r="L121" t="s" s="25">
        <v>34</v>
      </c>
      <c r="M121" t="s" s="13">
        <v>34</v>
      </c>
      <c r="N121" t="s" s="11">
        <v>34</v>
      </c>
      <c r="O121" t="s" s="11">
        <v>34</v>
      </c>
      <c r="P121" t="s" s="11">
        <v>34</v>
      </c>
      <c r="Q121" t="s" s="11">
        <v>34</v>
      </c>
      <c r="R121" t="s" s="11">
        <v>34</v>
      </c>
      <c r="S121" t="s" s="11">
        <v>34</v>
      </c>
      <c r="T121" t="s" s="13">
        <v>34</v>
      </c>
      <c r="U121" t="s" s="11">
        <v>34</v>
      </c>
      <c r="V121" t="s" s="13">
        <v>34</v>
      </c>
      <c r="W121" t="s" s="11">
        <v>1146</v>
      </c>
      <c r="X121" s="17">
        <f>HYPERLINK("https://my.pitchbook.com?p=232864-84P", "View People Online")</f>
      </c>
    </row>
    <row r="122">
      <c r="A122" t="s" s="10">
        <v>1147</v>
      </c>
      <c r="B122" t="s" s="10">
        <v>1148</v>
      </c>
      <c r="C122" t="s" s="10">
        <v>34</v>
      </c>
      <c r="D122" t="s" s="10">
        <v>741</v>
      </c>
      <c r="E122" t="s" s="10">
        <v>36</v>
      </c>
      <c r="F122" t="s" s="10">
        <v>1149</v>
      </c>
      <c r="G122" t="s" s="10">
        <v>1150</v>
      </c>
      <c r="H122" s="16">
        <f>HYPERLINK("http://www.vulcanmaterials.com", "www.vulcanmaterials.com")</f>
      </c>
      <c r="I122" t="s" s="10">
        <v>34</v>
      </c>
      <c r="J122" t="s" s="24">
        <v>34</v>
      </c>
      <c r="K122" t="s" s="24">
        <v>34</v>
      </c>
      <c r="L122" t="s" s="24">
        <v>34</v>
      </c>
      <c r="M122" t="s" s="12">
        <v>34</v>
      </c>
      <c r="N122" t="s" s="10">
        <v>34</v>
      </c>
      <c r="O122" t="s" s="10">
        <v>34</v>
      </c>
      <c r="P122" t="s" s="10">
        <v>34</v>
      </c>
      <c r="Q122" t="s" s="10">
        <v>34</v>
      </c>
      <c r="R122" t="s" s="10">
        <v>34</v>
      </c>
      <c r="S122" t="s" s="10">
        <v>34</v>
      </c>
      <c r="T122" t="s" s="12">
        <v>34</v>
      </c>
      <c r="U122" t="s" s="10">
        <v>34</v>
      </c>
      <c r="V122" t="s" s="12">
        <v>34</v>
      </c>
      <c r="W122" t="s" s="10">
        <v>1151</v>
      </c>
      <c r="X122" s="16">
        <f>HYPERLINK("https://my.pitchbook.com?p=210651-85P", "View People Online")</f>
      </c>
    </row>
    <row r="123">
      <c r="A123" t="s" s="11">
        <v>1152</v>
      </c>
      <c r="B123" t="s" s="11">
        <v>1153</v>
      </c>
      <c r="C123" t="s" s="11">
        <v>34</v>
      </c>
      <c r="D123" t="s" s="11">
        <v>1154</v>
      </c>
      <c r="E123" t="s" s="11">
        <v>36</v>
      </c>
      <c r="F123" t="s" s="11">
        <v>1155</v>
      </c>
      <c r="G123" t="s" s="11">
        <v>1156</v>
      </c>
      <c r="H123" s="17">
        <f>HYPERLINK("http://www.centene.com", "www.centene.com")</f>
      </c>
      <c r="I123" t="s" s="11">
        <v>1158</v>
      </c>
      <c r="J123" t="s" s="25">
        <v>34</v>
      </c>
      <c r="K123" t="s" s="25">
        <v>34</v>
      </c>
      <c r="L123" t="s" s="25">
        <v>34</v>
      </c>
      <c r="M123" t="s" s="13">
        <v>1159</v>
      </c>
      <c r="N123" t="s" s="11">
        <v>1160</v>
      </c>
      <c r="O123" t="s" s="11">
        <v>34</v>
      </c>
      <c r="P123" t="s" s="11">
        <v>34</v>
      </c>
      <c r="Q123" t="s" s="11">
        <v>34</v>
      </c>
      <c r="R123" t="s" s="11">
        <v>34</v>
      </c>
      <c r="S123" t="s" s="11">
        <v>34</v>
      </c>
      <c r="T123" t="s" s="13">
        <v>34</v>
      </c>
      <c r="U123" t="s" s="11">
        <v>34</v>
      </c>
      <c r="V123" t="s" s="13">
        <v>34</v>
      </c>
      <c r="W123" t="s" s="11">
        <v>1161</v>
      </c>
      <c r="X123" s="17">
        <f>HYPERLINK("https://my.pitchbook.com?p=198218-89P", "View People Online")</f>
      </c>
    </row>
    <row r="124">
      <c r="A124" t="s" s="10">
        <v>1162</v>
      </c>
      <c r="B124" t="s" s="10">
        <v>1163</v>
      </c>
      <c r="C124" t="s" s="10">
        <v>34</v>
      </c>
      <c r="D124" t="s" s="10">
        <v>165</v>
      </c>
      <c r="E124" t="s" s="10">
        <v>36</v>
      </c>
      <c r="F124" t="s" s="10">
        <v>1164</v>
      </c>
      <c r="G124" t="s" s="10">
        <v>1165</v>
      </c>
      <c r="H124" s="16">
        <f>HYPERLINK("http://www.erg.eu", "www.erg.eu")</f>
      </c>
      <c r="I124" t="s" s="10">
        <v>1166</v>
      </c>
      <c r="J124" t="s" s="24">
        <v>34</v>
      </c>
      <c r="K124" s="24">
        <v>1</v>
      </c>
      <c r="L124" t="s" s="24">
        <v>34</v>
      </c>
      <c r="M124" t="s" s="12">
        <v>170</v>
      </c>
      <c r="N124" t="s" s="10">
        <v>1167</v>
      </c>
      <c r="O124" t="s" s="10">
        <v>172</v>
      </c>
      <c r="P124" t="s" s="10">
        <v>173</v>
      </c>
      <c r="Q124" t="s" s="10">
        <v>34</v>
      </c>
      <c r="R124" t="s" s="10">
        <v>174</v>
      </c>
      <c r="S124" t="s" s="10">
        <v>34</v>
      </c>
      <c r="T124" t="s" s="12">
        <v>175</v>
      </c>
      <c r="U124" t="s" s="10">
        <v>176</v>
      </c>
      <c r="V124" t="s" s="12">
        <v>177</v>
      </c>
      <c r="W124" t="s" s="10">
        <v>1168</v>
      </c>
      <c r="X124" s="16">
        <f>HYPERLINK("https://my.pitchbook.com?p=91522-90P", "View People Online")</f>
      </c>
    </row>
    <row r="125">
      <c r="A125" t="s" s="11">
        <v>1169</v>
      </c>
      <c r="B125" t="s" s="11">
        <v>1170</v>
      </c>
      <c r="C125" t="s" s="11">
        <v>34</v>
      </c>
      <c r="D125" t="s" s="11">
        <v>1171</v>
      </c>
      <c r="E125" t="s" s="11">
        <v>36</v>
      </c>
      <c r="F125" t="s" s="11">
        <v>1172</v>
      </c>
      <c r="G125" t="s" s="11">
        <v>1173</v>
      </c>
      <c r="H125" s="17">
        <f>HYPERLINK("http://www.gencor.com", "www.gencor.com")</f>
      </c>
      <c r="I125" t="s" s="11">
        <v>108</v>
      </c>
      <c r="J125" t="s" s="25">
        <v>34</v>
      </c>
      <c r="K125" t="s" s="25">
        <v>34</v>
      </c>
      <c r="L125" t="s" s="25">
        <v>34</v>
      </c>
      <c r="M125" t="s" s="13">
        <v>34</v>
      </c>
      <c r="N125" t="s" s="11">
        <v>34</v>
      </c>
      <c r="O125" t="s" s="11">
        <v>34</v>
      </c>
      <c r="P125" t="s" s="11">
        <v>34</v>
      </c>
      <c r="Q125" t="s" s="11">
        <v>34</v>
      </c>
      <c r="R125" t="s" s="11">
        <v>34</v>
      </c>
      <c r="S125" t="s" s="11">
        <v>34</v>
      </c>
      <c r="T125" t="s" s="13">
        <v>34</v>
      </c>
      <c r="U125" t="s" s="11">
        <v>34</v>
      </c>
      <c r="V125" t="s" s="13">
        <v>34</v>
      </c>
      <c r="W125" t="s" s="11">
        <v>1175</v>
      </c>
      <c r="X125" s="17">
        <f>HYPERLINK("https://my.pitchbook.com?p=217687-24P", "View People Online")</f>
      </c>
    </row>
    <row r="126">
      <c r="A126" t="s" s="10">
        <v>1176</v>
      </c>
      <c r="B126" t="s" s="10">
        <v>1177</v>
      </c>
      <c r="C126" t="s" s="10">
        <v>34</v>
      </c>
      <c r="D126" t="s" s="10">
        <v>165</v>
      </c>
      <c r="E126" t="s" s="10">
        <v>36</v>
      </c>
      <c r="F126" t="s" s="10">
        <v>1178</v>
      </c>
      <c r="G126" t="s" s="10">
        <v>1179</v>
      </c>
      <c r="H126" s="16">
        <f>HYPERLINK("http://www.erg.eu", "www.erg.eu")</f>
      </c>
      <c r="I126" t="s" s="10">
        <v>1180</v>
      </c>
      <c r="J126" t="s" s="24">
        <v>34</v>
      </c>
      <c r="K126" s="24">
        <v>1</v>
      </c>
      <c r="L126" t="s" s="24">
        <v>34</v>
      </c>
      <c r="M126" t="s" s="12">
        <v>170</v>
      </c>
      <c r="N126" t="s" s="10">
        <v>1181</v>
      </c>
      <c r="O126" t="s" s="10">
        <v>172</v>
      </c>
      <c r="P126" t="s" s="10">
        <v>173</v>
      </c>
      <c r="Q126" t="s" s="10">
        <v>34</v>
      </c>
      <c r="R126" t="s" s="10">
        <v>174</v>
      </c>
      <c r="S126" t="s" s="10">
        <v>34</v>
      </c>
      <c r="T126" t="s" s="12">
        <v>175</v>
      </c>
      <c r="U126" t="s" s="10">
        <v>176</v>
      </c>
      <c r="V126" t="s" s="12">
        <v>177</v>
      </c>
      <c r="W126" t="s" s="10">
        <v>1182</v>
      </c>
      <c r="X126" s="16">
        <f>HYPERLINK("https://my.pitchbook.com?p=404146-99P", "View People Online")</f>
      </c>
    </row>
    <row r="127">
      <c r="A127" t="s" s="11">
        <v>1183</v>
      </c>
      <c r="B127" t="s" s="11">
        <v>1184</v>
      </c>
      <c r="C127" t="s" s="11">
        <v>34</v>
      </c>
      <c r="D127" t="s" s="11">
        <v>1185</v>
      </c>
      <c r="E127" t="s" s="11">
        <v>36</v>
      </c>
      <c r="F127" t="s" s="11">
        <v>1186</v>
      </c>
      <c r="G127" t="s" s="11">
        <v>1187</v>
      </c>
      <c r="H127" s="17">
        <f>HYPERLINK("http://deltaseaboard.com", "deltaseaboard.com")</f>
      </c>
      <c r="I127" t="s" s="11">
        <v>263</v>
      </c>
      <c r="J127" t="s" s="25">
        <v>34</v>
      </c>
      <c r="K127" s="25">
        <v>1</v>
      </c>
      <c r="L127" t="s" s="25">
        <v>34</v>
      </c>
      <c r="M127" t="s" s="13">
        <v>34</v>
      </c>
      <c r="N127" t="s" s="11">
        <v>34</v>
      </c>
      <c r="O127" t="s" s="11">
        <v>1189</v>
      </c>
      <c r="P127" t="s" s="11">
        <v>1190</v>
      </c>
      <c r="Q127" t="s" s="11">
        <v>1191</v>
      </c>
      <c r="R127" t="s" s="11">
        <v>1192</v>
      </c>
      <c r="S127" t="s" s="11">
        <v>329</v>
      </c>
      <c r="T127" t="s" s="13">
        <v>398</v>
      </c>
      <c r="U127" t="s" s="11">
        <v>161</v>
      </c>
      <c r="V127" t="s" s="13">
        <v>34</v>
      </c>
      <c r="W127" t="s" s="11">
        <v>1193</v>
      </c>
      <c r="X127" s="17">
        <f>HYPERLINK("https://my.pitchbook.com?p=292447-90P", "View People Online")</f>
      </c>
    </row>
    <row r="128">
      <c r="A128" t="s" s="10">
        <v>1194</v>
      </c>
      <c r="B128" t="s" s="10">
        <v>1195</v>
      </c>
      <c r="C128" t="s" s="10">
        <v>34</v>
      </c>
      <c r="D128" t="s" s="10">
        <v>1196</v>
      </c>
      <c r="E128" t="s" s="10">
        <v>36</v>
      </c>
      <c r="F128" t="s" s="10">
        <v>1197</v>
      </c>
      <c r="G128" t="s" s="10">
        <v>1187</v>
      </c>
      <c r="H128" s="16">
        <f>HYPERLINK("http://www.aciworldwide.com", "www.aciworldwide.com")</f>
      </c>
      <c r="I128" t="s" s="10">
        <v>1199</v>
      </c>
      <c r="J128" t="s" s="24">
        <v>34</v>
      </c>
      <c r="K128" t="s" s="24">
        <v>34</v>
      </c>
      <c r="L128" t="s" s="24">
        <v>34</v>
      </c>
      <c r="M128" t="s" s="12">
        <v>34</v>
      </c>
      <c r="N128" t="s" s="10">
        <v>1200</v>
      </c>
      <c r="O128" t="s" s="10">
        <v>34</v>
      </c>
      <c r="P128" t="s" s="10">
        <v>34</v>
      </c>
      <c r="Q128" t="s" s="10">
        <v>34</v>
      </c>
      <c r="R128" t="s" s="10">
        <v>34</v>
      </c>
      <c r="S128" t="s" s="10">
        <v>34</v>
      </c>
      <c r="T128" t="s" s="12">
        <v>34</v>
      </c>
      <c r="U128" t="s" s="10">
        <v>34</v>
      </c>
      <c r="V128" t="s" s="12">
        <v>34</v>
      </c>
      <c r="W128" t="s" s="10">
        <v>1201</v>
      </c>
      <c r="X128" s="16">
        <f>HYPERLINK("https://my.pitchbook.com?p=108295-84P", "View People Online")</f>
      </c>
    </row>
    <row r="129">
      <c r="A129" t="s" s="11">
        <v>1202</v>
      </c>
      <c r="B129" t="s" s="11">
        <v>1203</v>
      </c>
      <c r="C129" t="s" s="11">
        <v>34</v>
      </c>
      <c r="D129" t="s" s="11">
        <v>943</v>
      </c>
      <c r="E129" t="s" s="11">
        <v>36</v>
      </c>
      <c r="F129" t="s" s="11">
        <v>1204</v>
      </c>
      <c r="G129" t="s" s="11">
        <v>1205</v>
      </c>
      <c r="H129" s="17">
        <f>HYPERLINK("http://www.vulcanmaterials.com", "www.vulcanmaterials.com")</f>
      </c>
      <c r="I129" t="s" s="11">
        <v>108</v>
      </c>
      <c r="J129" s="25">
        <v>2</v>
      </c>
      <c r="K129" s="25">
        <v>15</v>
      </c>
      <c r="L129" t="s" s="25">
        <v>34</v>
      </c>
      <c r="M129" t="s" s="13">
        <v>947</v>
      </c>
      <c r="N129" t="s" s="11">
        <v>34</v>
      </c>
      <c r="O129" t="s" s="11">
        <v>949</v>
      </c>
      <c r="P129" t="s" s="11">
        <v>950</v>
      </c>
      <c r="Q129" t="s" s="11">
        <v>34</v>
      </c>
      <c r="R129" t="s" s="11">
        <v>951</v>
      </c>
      <c r="S129" t="s" s="11">
        <v>952</v>
      </c>
      <c r="T129" t="s" s="13">
        <v>953</v>
      </c>
      <c r="U129" t="s" s="11">
        <v>161</v>
      </c>
      <c r="V129" t="s" s="13">
        <v>34</v>
      </c>
      <c r="W129" t="s" s="11">
        <v>1206</v>
      </c>
      <c r="X129" s="17">
        <f>HYPERLINK("https://my.pitchbook.com?p=14726-80P", "View People Online")</f>
      </c>
    </row>
    <row r="130">
      <c r="A130" t="s" s="10">
        <v>1207</v>
      </c>
      <c r="B130" t="s" s="10">
        <v>1208</v>
      </c>
      <c r="C130" t="s" s="10">
        <v>34</v>
      </c>
      <c r="D130" t="s" s="10">
        <v>1209</v>
      </c>
      <c r="E130" t="s" s="10">
        <v>36</v>
      </c>
      <c r="F130" t="s" s="10">
        <v>1210</v>
      </c>
      <c r="G130" t="s" s="10">
        <v>1211</v>
      </c>
      <c r="H130" s="16">
        <f>HYPERLINK("http://www.tartisannickel.com", "www.tartisannickel.com")</f>
      </c>
      <c r="I130" t="s" s="10">
        <v>1213</v>
      </c>
      <c r="J130" t="s" s="24">
        <v>34</v>
      </c>
      <c r="K130" s="24">
        <v>5</v>
      </c>
      <c r="L130" s="24">
        <v>4</v>
      </c>
      <c r="M130" t="s" s="12">
        <v>1214</v>
      </c>
      <c r="N130" t="s" s="10">
        <v>34</v>
      </c>
      <c r="O130" t="s" s="10">
        <v>1215</v>
      </c>
      <c r="P130" t="s" s="10">
        <v>1216</v>
      </c>
      <c r="Q130" t="s" s="10">
        <v>1217</v>
      </c>
      <c r="R130" t="s" s="10">
        <v>1218</v>
      </c>
      <c r="S130" t="s" s="10">
        <v>1219</v>
      </c>
      <c r="T130" t="s" s="12">
        <v>1220</v>
      </c>
      <c r="U130" t="s" s="10">
        <v>917</v>
      </c>
      <c r="V130" t="s" s="12">
        <v>1221</v>
      </c>
      <c r="W130" t="s" s="10">
        <v>1222</v>
      </c>
      <c r="X130" s="16">
        <f>HYPERLINK("https://my.pitchbook.com?p=168449-32P", "View People Online")</f>
      </c>
    </row>
    <row r="131">
      <c r="A131" t="s" s="11">
        <v>1223</v>
      </c>
      <c r="B131" t="s" s="11">
        <v>1224</v>
      </c>
      <c r="C131" t="s" s="11">
        <v>34</v>
      </c>
      <c r="D131" t="s" s="11">
        <v>1225</v>
      </c>
      <c r="E131" t="s" s="11">
        <v>36</v>
      </c>
      <c r="F131" t="s" s="11">
        <v>1226</v>
      </c>
      <c r="G131" t="s" s="11">
        <v>1227</v>
      </c>
      <c r="H131" s="17">
        <f>HYPERLINK("http://www.parkland.ca", "www.parkland.ca")</f>
      </c>
      <c r="I131" t="s" s="11">
        <v>1229</v>
      </c>
      <c r="J131" t="s" s="25">
        <v>34</v>
      </c>
      <c r="K131" s="25">
        <v>2</v>
      </c>
      <c r="L131" s="25">
        <v>1</v>
      </c>
      <c r="M131" t="s" s="13">
        <v>1230</v>
      </c>
      <c r="N131" t="s" s="11">
        <v>1231</v>
      </c>
      <c r="O131" t="s" s="11">
        <v>912</v>
      </c>
      <c r="P131" t="s" s="11">
        <v>1232</v>
      </c>
      <c r="Q131" t="s" s="11">
        <v>1233</v>
      </c>
      <c r="R131" t="s" s="11">
        <v>914</v>
      </c>
      <c r="S131" t="s" s="11">
        <v>915</v>
      </c>
      <c r="T131" t="s" s="13">
        <v>1234</v>
      </c>
      <c r="U131" t="s" s="11">
        <v>917</v>
      </c>
      <c r="V131" t="s" s="13">
        <v>34</v>
      </c>
      <c r="W131" t="s" s="11">
        <v>1235</v>
      </c>
      <c r="X131" s="17">
        <f>HYPERLINK("https://my.pitchbook.com?p=145989-55P", "View People Online")</f>
      </c>
    </row>
    <row r="132">
      <c r="A132" t="s" s="10">
        <v>1236</v>
      </c>
      <c r="B132" t="s" s="10">
        <v>1237</v>
      </c>
      <c r="C132" t="s" s="10">
        <v>34</v>
      </c>
      <c r="D132" t="s" s="10">
        <v>907</v>
      </c>
      <c r="E132" t="s" s="10">
        <v>36</v>
      </c>
      <c r="F132" t="s" s="10">
        <v>1238</v>
      </c>
      <c r="G132" t="s" s="10">
        <v>1239</v>
      </c>
      <c r="H132" t="s" s="10">
        <v>34</v>
      </c>
      <c r="I132" t="s" s="10">
        <v>1240</v>
      </c>
      <c r="J132" s="24">
        <v>3</v>
      </c>
      <c r="K132" s="24">
        <v>7</v>
      </c>
      <c r="L132" s="24">
        <v>4</v>
      </c>
      <c r="M132" t="s" s="12">
        <v>1241</v>
      </c>
      <c r="N132" t="s" s="10">
        <v>1242</v>
      </c>
      <c r="O132" t="s" s="10">
        <v>912</v>
      </c>
      <c r="P132" t="s" s="10">
        <v>913</v>
      </c>
      <c r="Q132" t="s" s="10">
        <v>430</v>
      </c>
      <c r="R132" t="s" s="10">
        <v>914</v>
      </c>
      <c r="S132" t="s" s="10">
        <v>915</v>
      </c>
      <c r="T132" t="s" s="12">
        <v>916</v>
      </c>
      <c r="U132" t="s" s="10">
        <v>917</v>
      </c>
      <c r="V132" t="s" s="12">
        <v>918</v>
      </c>
      <c r="W132" t="s" s="10">
        <v>1243</v>
      </c>
      <c r="X132" s="16">
        <f>HYPERLINK("https://my.pitchbook.com?p=114657-58P", "View People Online")</f>
      </c>
    </row>
    <row r="133">
      <c r="A133" t="s" s="11">
        <v>1244</v>
      </c>
      <c r="B133" t="s" s="11">
        <v>1245</v>
      </c>
      <c r="C133" t="s" s="11">
        <v>34</v>
      </c>
      <c r="D133" t="s" s="11">
        <v>1246</v>
      </c>
      <c r="E133" t="s" s="11">
        <v>36</v>
      </c>
      <c r="F133" t="s" s="11">
        <v>1247</v>
      </c>
      <c r="G133" t="s" s="11">
        <v>1239</v>
      </c>
      <c r="H133" s="17">
        <f>HYPERLINK("http://www.goviex.com", "www.goviex.com")</f>
      </c>
      <c r="I133" t="s" s="11">
        <v>1249</v>
      </c>
      <c r="J133" s="25">
        <v>3</v>
      </c>
      <c r="K133" s="25">
        <v>3</v>
      </c>
      <c r="L133" t="s" s="25">
        <v>34</v>
      </c>
      <c r="M133" t="s" s="13">
        <v>1250</v>
      </c>
      <c r="N133" t="s" s="11">
        <v>1251</v>
      </c>
      <c r="O133" t="s" s="11">
        <v>998</v>
      </c>
      <c r="P133" t="s" s="11">
        <v>1252</v>
      </c>
      <c r="Q133" t="s" s="11">
        <v>1253</v>
      </c>
      <c r="R133" t="s" s="11">
        <v>1001</v>
      </c>
      <c r="S133" t="s" s="11">
        <v>1002</v>
      </c>
      <c r="T133" t="s" s="13">
        <v>1254</v>
      </c>
      <c r="U133" t="s" s="11">
        <v>917</v>
      </c>
      <c r="V133" t="s" s="13">
        <v>1255</v>
      </c>
      <c r="W133" t="s" s="11">
        <v>1256</v>
      </c>
      <c r="X133" s="17">
        <f>HYPERLINK("https://my.pitchbook.com?p=95082-67P", "View People Online")</f>
      </c>
    </row>
    <row r="134">
      <c r="A134" t="s" s="10">
        <v>1257</v>
      </c>
      <c r="B134" t="s" s="10">
        <v>1258</v>
      </c>
      <c r="C134" t="s" s="10">
        <v>34</v>
      </c>
      <c r="D134" t="s" s="10">
        <v>1259</v>
      </c>
      <c r="E134" t="s" s="10">
        <v>36</v>
      </c>
      <c r="F134" t="s" s="10">
        <v>1260</v>
      </c>
      <c r="G134" t="s" s="10">
        <v>1239</v>
      </c>
      <c r="H134" s="16">
        <f>HYPERLINK("http://www.indivior.com", "www.indivior.com")</f>
      </c>
      <c r="I134" t="s" s="10">
        <v>108</v>
      </c>
      <c r="J134" s="24">
        <v>3</v>
      </c>
      <c r="K134" s="24">
        <v>7</v>
      </c>
      <c r="L134" s="24">
        <v>4</v>
      </c>
      <c r="M134" t="s" s="12">
        <v>1262</v>
      </c>
      <c r="N134" t="s" s="10">
        <v>1263</v>
      </c>
      <c r="O134" t="s" s="10">
        <v>1264</v>
      </c>
      <c r="P134" t="s" s="10">
        <v>1265</v>
      </c>
      <c r="Q134" t="s" s="10">
        <v>1266</v>
      </c>
      <c r="R134" t="s" s="10">
        <v>1267</v>
      </c>
      <c r="S134" t="s" s="10">
        <v>413</v>
      </c>
      <c r="T134" t="s" s="12">
        <v>1268</v>
      </c>
      <c r="U134" t="s" s="10">
        <v>161</v>
      </c>
      <c r="V134" t="s" s="12">
        <v>34</v>
      </c>
      <c r="W134" t="s" s="10">
        <v>1269</v>
      </c>
      <c r="X134" s="16">
        <f>HYPERLINK("https://my.pitchbook.com?p=73107-19P", "View People Online")</f>
      </c>
    </row>
    <row r="135">
      <c r="A135" t="s" s="11">
        <v>1270</v>
      </c>
      <c r="B135" t="s" s="11">
        <v>1271</v>
      </c>
      <c r="C135" t="s" s="11">
        <v>34</v>
      </c>
      <c r="D135" t="s" s="11">
        <v>1272</v>
      </c>
      <c r="E135" t="s" s="11">
        <v>36</v>
      </c>
      <c r="F135" t="s" s="11">
        <v>1273</v>
      </c>
      <c r="G135" t="s" s="11">
        <v>1239</v>
      </c>
      <c r="H135" s="17">
        <f>HYPERLINK("http://www.ingevity.com", "www.ingevity.com")</f>
      </c>
      <c r="I135" t="s" s="11">
        <v>108</v>
      </c>
      <c r="J135" s="25">
        <v>2</v>
      </c>
      <c r="K135" s="25">
        <v>2</v>
      </c>
      <c r="L135" t="s" s="25">
        <v>34</v>
      </c>
      <c r="M135" t="s" s="13">
        <v>1275</v>
      </c>
      <c r="N135" t="s" s="11">
        <v>34</v>
      </c>
      <c r="O135" t="s" s="11">
        <v>1276</v>
      </c>
      <c r="P135" t="s" s="11">
        <v>1277</v>
      </c>
      <c r="Q135" t="s" s="11">
        <v>1278</v>
      </c>
      <c r="R135" t="s" s="11">
        <v>1279</v>
      </c>
      <c r="S135" t="s" s="11">
        <v>1280</v>
      </c>
      <c r="T135" t="s" s="13">
        <v>1281</v>
      </c>
      <c r="U135" t="s" s="11">
        <v>161</v>
      </c>
      <c r="V135" t="s" s="13">
        <v>34</v>
      </c>
      <c r="W135" t="s" s="11">
        <v>1282</v>
      </c>
      <c r="X135" s="17">
        <f>HYPERLINK("https://my.pitchbook.com?p=83765-44P", "View People Online")</f>
      </c>
    </row>
    <row r="136">
      <c r="A136" t="s" s="10">
        <v>1283</v>
      </c>
      <c r="B136" t="s" s="10">
        <v>1284</v>
      </c>
      <c r="C136" t="s" s="10">
        <v>34</v>
      </c>
      <c r="D136" t="s" s="10">
        <v>1285</v>
      </c>
      <c r="E136" t="s" s="10">
        <v>36</v>
      </c>
      <c r="F136" t="s" s="10">
        <v>1286</v>
      </c>
      <c r="G136" t="s" s="10">
        <v>1287</v>
      </c>
      <c r="H136" s="16">
        <f>HYPERLINK("http://www.prismi.net", "www.prismi.net")</f>
      </c>
      <c r="I136" t="s" s="10">
        <v>108</v>
      </c>
      <c r="J136" t="s" s="24">
        <v>34</v>
      </c>
      <c r="K136" t="s" s="24">
        <v>34</v>
      </c>
      <c r="L136" t="s" s="24">
        <v>34</v>
      </c>
      <c r="M136" t="s" s="12">
        <v>34</v>
      </c>
      <c r="N136" t="s" s="10">
        <v>34</v>
      </c>
      <c r="O136" t="s" s="10">
        <v>34</v>
      </c>
      <c r="P136" t="s" s="10">
        <v>34</v>
      </c>
      <c r="Q136" t="s" s="10">
        <v>34</v>
      </c>
      <c r="R136" t="s" s="10">
        <v>34</v>
      </c>
      <c r="S136" t="s" s="10">
        <v>34</v>
      </c>
      <c r="T136" t="s" s="12">
        <v>34</v>
      </c>
      <c r="U136" t="s" s="10">
        <v>34</v>
      </c>
      <c r="V136" t="s" s="12">
        <v>34</v>
      </c>
      <c r="W136" t="s" s="10">
        <v>1289</v>
      </c>
      <c r="X136" s="16">
        <f>HYPERLINK("https://my.pitchbook.com?p=54096-58P", "View People Online")</f>
      </c>
    </row>
    <row r="137">
      <c r="A137" t="s" s="11">
        <v>1290</v>
      </c>
      <c r="B137" t="s" s="11">
        <v>1291</v>
      </c>
      <c r="C137" t="s" s="11">
        <v>34</v>
      </c>
      <c r="D137" t="s" s="11">
        <v>1292</v>
      </c>
      <c r="E137" t="s" s="11">
        <v>36</v>
      </c>
      <c r="F137" t="s" s="11">
        <v>1293</v>
      </c>
      <c r="G137" t="s" s="11">
        <v>1294</v>
      </c>
      <c r="H137" s="17">
        <f>HYPERLINK("http://www.toubaniresources.com", "www.toubaniresources.com")</f>
      </c>
      <c r="I137" t="s" s="11">
        <v>307</v>
      </c>
      <c r="J137" s="25">
        <v>2</v>
      </c>
      <c r="K137" s="25">
        <v>2</v>
      </c>
      <c r="L137" t="s" s="25">
        <v>34</v>
      </c>
      <c r="M137" t="s" s="13">
        <v>34</v>
      </c>
      <c r="N137" t="s" s="11">
        <v>1296</v>
      </c>
      <c r="O137" t="s" s="11">
        <v>1297</v>
      </c>
      <c r="P137" t="s" s="11">
        <v>1298</v>
      </c>
      <c r="Q137" t="s" s="11">
        <v>34</v>
      </c>
      <c r="R137" t="s" s="11">
        <v>1299</v>
      </c>
      <c r="S137" t="s" s="11">
        <v>55</v>
      </c>
      <c r="T137" t="s" s="13">
        <v>1300</v>
      </c>
      <c r="U137" t="s" s="11">
        <v>57</v>
      </c>
      <c r="V137" t="s" s="13">
        <v>34</v>
      </c>
      <c r="W137" t="s" s="11">
        <v>1301</v>
      </c>
      <c r="X137" s="17">
        <f>HYPERLINK("https://my.pitchbook.com?p=213211-54P", "View People Online")</f>
      </c>
    </row>
    <row r="138">
      <c r="A138" t="s" s="10">
        <v>1302</v>
      </c>
      <c r="B138" t="s" s="10">
        <v>1303</v>
      </c>
      <c r="C138" t="s" s="10">
        <v>34</v>
      </c>
      <c r="D138" t="s" s="10">
        <v>1304</v>
      </c>
      <c r="E138" t="s" s="10">
        <v>36</v>
      </c>
      <c r="F138" t="s" s="10">
        <v>1305</v>
      </c>
      <c r="G138" t="s" s="10">
        <v>1294</v>
      </c>
      <c r="H138" s="16">
        <f>HYPERLINK("http://www.beazer.com", "www.beazer.com")</f>
      </c>
      <c r="I138" t="s" s="10">
        <v>108</v>
      </c>
      <c r="J138" s="24">
        <v>1</v>
      </c>
      <c r="K138" s="24">
        <v>1</v>
      </c>
      <c r="L138" t="s" s="24">
        <v>34</v>
      </c>
      <c r="M138" t="s" s="12">
        <v>1307</v>
      </c>
      <c r="N138" t="s" s="10">
        <v>34</v>
      </c>
      <c r="O138" t="s" s="10">
        <v>1308</v>
      </c>
      <c r="P138" t="s" s="10">
        <v>1309</v>
      </c>
      <c r="Q138" t="s" s="10">
        <v>1310</v>
      </c>
      <c r="R138" t="s" s="10">
        <v>1311</v>
      </c>
      <c r="S138" t="s" s="10">
        <v>1312</v>
      </c>
      <c r="T138" t="s" s="12">
        <v>1313</v>
      </c>
      <c r="U138" t="s" s="10">
        <v>161</v>
      </c>
      <c r="V138" t="s" s="12">
        <v>1314</v>
      </c>
      <c r="W138" t="s" s="10">
        <v>1315</v>
      </c>
      <c r="X138" s="16">
        <f>HYPERLINK("https://my.pitchbook.com?p=79681-42P", "View People Online")</f>
      </c>
    </row>
    <row r="139">
      <c r="A139" t="s" s="11">
        <v>1316</v>
      </c>
      <c r="B139" t="s" s="11">
        <v>1317</v>
      </c>
      <c r="C139" t="s" s="11">
        <v>34</v>
      </c>
      <c r="D139" t="s" s="11">
        <v>741</v>
      </c>
      <c r="E139" t="s" s="11">
        <v>36</v>
      </c>
      <c r="F139" t="s" s="11">
        <v>1318</v>
      </c>
      <c r="G139" t="s" s="11">
        <v>1319</v>
      </c>
      <c r="H139" s="17">
        <f>HYPERLINK("http://www.vulcanmaterials.com", "www.vulcanmaterials.com")</f>
      </c>
      <c r="I139" t="s" s="11">
        <v>1320</v>
      </c>
      <c r="J139" t="s" s="25">
        <v>34</v>
      </c>
      <c r="K139" t="s" s="25">
        <v>34</v>
      </c>
      <c r="L139" t="s" s="25">
        <v>34</v>
      </c>
      <c r="M139" t="s" s="13">
        <v>34</v>
      </c>
      <c r="N139" t="s" s="11">
        <v>1321</v>
      </c>
      <c r="O139" t="s" s="11">
        <v>34</v>
      </c>
      <c r="P139" t="s" s="11">
        <v>34</v>
      </c>
      <c r="Q139" t="s" s="11">
        <v>34</v>
      </c>
      <c r="R139" t="s" s="11">
        <v>34</v>
      </c>
      <c r="S139" t="s" s="11">
        <v>34</v>
      </c>
      <c r="T139" t="s" s="13">
        <v>34</v>
      </c>
      <c r="U139" t="s" s="11">
        <v>34</v>
      </c>
      <c r="V139" t="s" s="13">
        <v>34</v>
      </c>
      <c r="W139" t="s" s="11">
        <v>1322</v>
      </c>
      <c r="X139" s="17">
        <f>HYPERLINK("https://my.pitchbook.com?p=294606-82P", "View People Online")</f>
      </c>
    </row>
    <row r="140">
      <c r="A140" t="s" s="10">
        <v>1323</v>
      </c>
      <c r="B140" t="s" s="10">
        <v>1324</v>
      </c>
      <c r="C140" t="s" s="10">
        <v>34</v>
      </c>
      <c r="D140" t="s" s="10">
        <v>1325</v>
      </c>
      <c r="E140" t="s" s="10">
        <v>36</v>
      </c>
      <c r="F140" t="s" s="10">
        <v>1326</v>
      </c>
      <c r="G140" t="s" s="10">
        <v>1327</v>
      </c>
      <c r="H140" s="16">
        <f>HYPERLINK("http://www.medtronic.com", "www.medtronic.com")</f>
      </c>
      <c r="I140" t="s" s="10">
        <v>1329</v>
      </c>
      <c r="J140" t="s" s="24">
        <v>34</v>
      </c>
      <c r="K140" s="24">
        <v>1</v>
      </c>
      <c r="L140" t="s" s="24">
        <v>34</v>
      </c>
      <c r="M140" t="s" s="12">
        <v>1330</v>
      </c>
      <c r="N140" t="s" s="10">
        <v>1331</v>
      </c>
      <c r="O140" t="s" s="10">
        <v>1332</v>
      </c>
      <c r="P140" t="s" s="10">
        <v>1333</v>
      </c>
      <c r="Q140" t="s" s="10">
        <v>34</v>
      </c>
      <c r="R140" t="s" s="10">
        <v>1334</v>
      </c>
      <c r="S140" t="s" s="10">
        <v>676</v>
      </c>
      <c r="T140" t="s" s="12">
        <v>1335</v>
      </c>
      <c r="U140" t="s" s="10">
        <v>161</v>
      </c>
      <c r="V140" t="s" s="12">
        <v>34</v>
      </c>
      <c r="W140" t="s" s="10">
        <v>1336</v>
      </c>
      <c r="X140" s="16">
        <f>HYPERLINK("https://my.pitchbook.com?p=44470-45P", "View People Online")</f>
      </c>
    </row>
    <row r="141">
      <c r="A141" t="s" s="11">
        <v>1337</v>
      </c>
      <c r="B141" t="s" s="11">
        <v>1338</v>
      </c>
      <c r="C141" t="s" s="11">
        <v>34</v>
      </c>
      <c r="D141" t="s" s="11">
        <v>943</v>
      </c>
      <c r="E141" t="s" s="11">
        <v>36</v>
      </c>
      <c r="F141" t="s" s="11">
        <v>1339</v>
      </c>
      <c r="G141" t="s" s="11">
        <v>1327</v>
      </c>
      <c r="H141" s="17">
        <f>HYPERLINK("http://www.vulcanmaterials.com", "www.vulcanmaterials.com")</f>
      </c>
      <c r="I141" t="s" s="11">
        <v>322</v>
      </c>
      <c r="J141" t="s" s="25">
        <v>34</v>
      </c>
      <c r="K141" s="25">
        <v>1</v>
      </c>
      <c r="L141" t="s" s="25">
        <v>34</v>
      </c>
      <c r="M141" t="s" s="13">
        <v>947</v>
      </c>
      <c r="N141" t="s" s="11">
        <v>1340</v>
      </c>
      <c r="O141" t="s" s="11">
        <v>949</v>
      </c>
      <c r="P141" t="s" s="11">
        <v>950</v>
      </c>
      <c r="Q141" t="s" s="11">
        <v>34</v>
      </c>
      <c r="R141" t="s" s="11">
        <v>951</v>
      </c>
      <c r="S141" t="s" s="11">
        <v>952</v>
      </c>
      <c r="T141" t="s" s="13">
        <v>953</v>
      </c>
      <c r="U141" t="s" s="11">
        <v>161</v>
      </c>
      <c r="V141" t="s" s="13">
        <v>34</v>
      </c>
      <c r="W141" t="s" s="11">
        <v>1341</v>
      </c>
      <c r="X141" s="17">
        <f>HYPERLINK("https://my.pitchbook.com?p=262620-28P", "View People Online")</f>
      </c>
    </row>
    <row r="142">
      <c r="A142" t="s" s="10">
        <v>1342</v>
      </c>
      <c r="B142" t="s" s="10">
        <v>1343</v>
      </c>
      <c r="C142" t="s" s="10">
        <v>34</v>
      </c>
      <c r="D142" t="s" s="10">
        <v>1344</v>
      </c>
      <c r="E142" t="s" s="10">
        <v>36</v>
      </c>
      <c r="F142" t="s" s="10">
        <v>1345</v>
      </c>
      <c r="G142" t="s" s="10">
        <v>1327</v>
      </c>
      <c r="H142" s="16">
        <f>HYPERLINK("http://www.ringenergy.com", "www.ringenergy.com")</f>
      </c>
      <c r="I142" t="s" s="10">
        <v>108</v>
      </c>
      <c r="J142" s="24">
        <v>1</v>
      </c>
      <c r="K142" s="24">
        <v>23</v>
      </c>
      <c r="L142" s="24">
        <v>14</v>
      </c>
      <c r="M142" t="s" s="12">
        <v>1347</v>
      </c>
      <c r="N142" t="s" s="10">
        <v>1348</v>
      </c>
      <c r="O142" t="s" s="10">
        <v>1349</v>
      </c>
      <c r="P142" t="s" s="10">
        <v>1350</v>
      </c>
      <c r="Q142" t="s" s="10">
        <v>1351</v>
      </c>
      <c r="R142" t="s" s="10">
        <v>1352</v>
      </c>
      <c r="S142" t="s" s="10">
        <v>329</v>
      </c>
      <c r="T142" t="s" s="12">
        <v>1353</v>
      </c>
      <c r="U142" t="s" s="10">
        <v>161</v>
      </c>
      <c r="V142" t="s" s="12">
        <v>34</v>
      </c>
      <c r="W142" t="s" s="10">
        <v>1354</v>
      </c>
      <c r="X142" s="16">
        <f>HYPERLINK("https://my.pitchbook.com?p=28347-04P", "View People Online")</f>
      </c>
    </row>
    <row r="143">
      <c r="A143" t="s" s="11">
        <v>1355</v>
      </c>
      <c r="B143" t="s" s="11">
        <v>1356</v>
      </c>
      <c r="C143" t="s" s="11">
        <v>34</v>
      </c>
      <c r="D143" t="s" s="11">
        <v>1357</v>
      </c>
      <c r="E143" t="s" s="11">
        <v>36</v>
      </c>
      <c r="F143" t="s" s="11">
        <v>1358</v>
      </c>
      <c r="G143" t="s" s="11">
        <v>1327</v>
      </c>
      <c r="H143" s="17">
        <f>HYPERLINK("http://www.authid.ai", "www.authid.ai")</f>
      </c>
      <c r="I143" t="s" s="11">
        <v>1360</v>
      </c>
      <c r="J143" t="s" s="25">
        <v>34</v>
      </c>
      <c r="K143" t="s" s="25">
        <v>34</v>
      </c>
      <c r="L143" t="s" s="25">
        <v>34</v>
      </c>
      <c r="M143" t="s" s="13">
        <v>34</v>
      </c>
      <c r="N143" t="s" s="11">
        <v>34</v>
      </c>
      <c r="O143" t="s" s="11">
        <v>34</v>
      </c>
      <c r="P143" t="s" s="11">
        <v>34</v>
      </c>
      <c r="Q143" t="s" s="11">
        <v>34</v>
      </c>
      <c r="R143" t="s" s="11">
        <v>34</v>
      </c>
      <c r="S143" t="s" s="11">
        <v>34</v>
      </c>
      <c r="T143" t="s" s="13">
        <v>34</v>
      </c>
      <c r="U143" t="s" s="11">
        <v>34</v>
      </c>
      <c r="V143" t="s" s="13">
        <v>34</v>
      </c>
      <c r="W143" t="s" s="11">
        <v>1361</v>
      </c>
      <c r="X143" s="17">
        <f>HYPERLINK("https://my.pitchbook.com?p=150234-76P", "View People Online")</f>
      </c>
    </row>
    <row r="144">
      <c r="A144" t="s" s="10">
        <v>1362</v>
      </c>
      <c r="B144" t="s" s="10">
        <v>1363</v>
      </c>
      <c r="C144" t="s" s="10">
        <v>34</v>
      </c>
      <c r="D144" t="s" s="10">
        <v>112</v>
      </c>
      <c r="E144" t="s" s="10">
        <v>36</v>
      </c>
      <c r="F144" t="s" s="10">
        <v>1364</v>
      </c>
      <c r="G144" t="s" s="10">
        <v>1327</v>
      </c>
      <c r="H144" s="16">
        <f>HYPERLINK("http://www.harbourenergy.com", "www.harbourenergy.com")</f>
      </c>
      <c r="I144" t="s" s="10">
        <v>1365</v>
      </c>
      <c r="J144" t="s" s="24">
        <v>34</v>
      </c>
      <c r="K144" s="24">
        <v>1</v>
      </c>
      <c r="L144" t="s" s="24">
        <v>34</v>
      </c>
      <c r="M144" t="s" s="12">
        <v>116</v>
      </c>
      <c r="N144" t="s" s="10">
        <v>1366</v>
      </c>
      <c r="O144" t="s" s="10">
        <v>117</v>
      </c>
      <c r="P144" t="s" s="10">
        <v>118</v>
      </c>
      <c r="Q144" t="s" s="10">
        <v>34</v>
      </c>
      <c r="R144" t="s" s="10">
        <v>119</v>
      </c>
      <c r="S144" t="s" s="10">
        <v>120</v>
      </c>
      <c r="T144" t="s" s="12">
        <v>121</v>
      </c>
      <c r="U144" t="s" s="10">
        <v>122</v>
      </c>
      <c r="V144" t="s" s="12">
        <v>123</v>
      </c>
      <c r="W144" t="s" s="10">
        <v>1367</v>
      </c>
      <c r="X144" s="16">
        <f>HYPERLINK("https://my.pitchbook.com?p=389263-96P", "View People Online")</f>
      </c>
    </row>
    <row r="145">
      <c r="A145" t="s" s="11">
        <v>1368</v>
      </c>
      <c r="B145" t="s" s="11">
        <v>1369</v>
      </c>
      <c r="C145" t="s" s="11">
        <v>34</v>
      </c>
      <c r="D145" t="s" s="11">
        <v>267</v>
      </c>
      <c r="E145" t="s" s="11">
        <v>36</v>
      </c>
      <c r="F145" t="s" s="11">
        <v>1370</v>
      </c>
      <c r="G145" t="s" s="11">
        <v>1327</v>
      </c>
      <c r="H145" s="17">
        <f>HYPERLINK("http://www.navigatorgas.com", "www.navigatorgas.com")</f>
      </c>
      <c r="I145" t="s" s="11">
        <v>108</v>
      </c>
      <c r="J145" t="s" s="25">
        <v>34</v>
      </c>
      <c r="K145" t="s" s="25">
        <v>34</v>
      </c>
      <c r="L145" t="s" s="25">
        <v>34</v>
      </c>
      <c r="M145" t="s" s="13">
        <v>34</v>
      </c>
      <c r="N145" t="s" s="11">
        <v>34</v>
      </c>
      <c r="O145" t="s" s="11">
        <v>34</v>
      </c>
      <c r="P145" t="s" s="11">
        <v>34</v>
      </c>
      <c r="Q145" t="s" s="11">
        <v>34</v>
      </c>
      <c r="R145" t="s" s="11">
        <v>34</v>
      </c>
      <c r="S145" t="s" s="11">
        <v>34</v>
      </c>
      <c r="T145" t="s" s="13">
        <v>34</v>
      </c>
      <c r="U145" t="s" s="11">
        <v>34</v>
      </c>
      <c r="V145" t="s" s="13">
        <v>34</v>
      </c>
      <c r="W145" t="s" s="11">
        <v>1371</v>
      </c>
      <c r="X145" s="17">
        <f>HYPERLINK("https://my.pitchbook.com?p=56818-90P", "View People Online")</f>
      </c>
    </row>
    <row r="146">
      <c r="A146" t="s" s="10">
        <v>1372</v>
      </c>
      <c r="B146" t="s" s="10">
        <v>1373</v>
      </c>
      <c r="C146" t="s" s="10">
        <v>34</v>
      </c>
      <c r="D146" t="s" s="10">
        <v>1374</v>
      </c>
      <c r="E146" t="s" s="10">
        <v>36</v>
      </c>
      <c r="F146" t="s" s="10">
        <v>1375</v>
      </c>
      <c r="G146" t="s" s="10">
        <v>1327</v>
      </c>
      <c r="H146" s="16">
        <f>HYPERLINK("http://www.audioeye.com", "www.audioeye.com")</f>
      </c>
      <c r="I146" t="s" s="10">
        <v>1021</v>
      </c>
      <c r="J146" s="24">
        <v>1</v>
      </c>
      <c r="K146" s="24">
        <v>4</v>
      </c>
      <c r="L146" s="24">
        <v>2</v>
      </c>
      <c r="M146" t="s" s="12">
        <v>1377</v>
      </c>
      <c r="N146" t="s" s="10">
        <v>1378</v>
      </c>
      <c r="O146" t="s" s="10">
        <v>1379</v>
      </c>
      <c r="P146" t="s" s="10">
        <v>1380</v>
      </c>
      <c r="Q146" t="s" s="10">
        <v>1381</v>
      </c>
      <c r="R146" t="s" s="10">
        <v>1382</v>
      </c>
      <c r="S146" t="s" s="10">
        <v>1383</v>
      </c>
      <c r="T146" t="s" s="12">
        <v>1384</v>
      </c>
      <c r="U146" t="s" s="10">
        <v>161</v>
      </c>
      <c r="V146" t="s" s="12">
        <v>1385</v>
      </c>
      <c r="W146" t="s" s="10">
        <v>1386</v>
      </c>
      <c r="X146" s="16">
        <f>HYPERLINK("https://my.pitchbook.com?p=120423-97P", "View People Online")</f>
      </c>
    </row>
    <row r="147">
      <c r="A147" t="s" s="11">
        <v>1387</v>
      </c>
      <c r="B147" t="s" s="11">
        <v>1388</v>
      </c>
      <c r="C147" t="s" s="11">
        <v>34</v>
      </c>
      <c r="D147" t="s" s="11">
        <v>1389</v>
      </c>
      <c r="E147" t="s" s="11">
        <v>36</v>
      </c>
      <c r="F147" t="s" s="11">
        <v>1144</v>
      </c>
      <c r="G147" t="s" s="11">
        <v>1327</v>
      </c>
      <c r="H147" s="17">
        <f>HYPERLINK("http://www.harbourenergy.com", "www.harbourenergy.com")</f>
      </c>
      <c r="I147" t="s" s="11">
        <v>263</v>
      </c>
      <c r="J147" t="s" s="25">
        <v>34</v>
      </c>
      <c r="K147" t="s" s="25">
        <v>34</v>
      </c>
      <c r="L147" t="s" s="25">
        <v>34</v>
      </c>
      <c r="M147" t="s" s="13">
        <v>34</v>
      </c>
      <c r="N147" t="s" s="11">
        <v>34</v>
      </c>
      <c r="O147" t="s" s="11">
        <v>34</v>
      </c>
      <c r="P147" t="s" s="11">
        <v>34</v>
      </c>
      <c r="Q147" t="s" s="11">
        <v>34</v>
      </c>
      <c r="R147" t="s" s="11">
        <v>34</v>
      </c>
      <c r="S147" t="s" s="11">
        <v>34</v>
      </c>
      <c r="T147" t="s" s="13">
        <v>34</v>
      </c>
      <c r="U147" t="s" s="11">
        <v>34</v>
      </c>
      <c r="V147" t="s" s="13">
        <v>34</v>
      </c>
      <c r="W147" t="s" s="11">
        <v>1390</v>
      </c>
      <c r="X147" s="17">
        <f>HYPERLINK("https://my.pitchbook.com?p=186928-93P", "View People Online")</f>
      </c>
    </row>
    <row r="148">
      <c r="A148" t="s" s="10">
        <v>1391</v>
      </c>
      <c r="B148" t="s" s="10">
        <v>1392</v>
      </c>
      <c r="C148" t="s" s="10">
        <v>34</v>
      </c>
      <c r="D148" t="s" s="10">
        <v>247</v>
      </c>
      <c r="E148" t="s" s="10">
        <v>36</v>
      </c>
      <c r="F148" t="s" s="10">
        <v>1393</v>
      </c>
      <c r="G148" t="s" s="10">
        <v>1327</v>
      </c>
      <c r="H148" s="16">
        <f>HYPERLINK("http://www.novatek.ru", "www.novatek.ru")</f>
      </c>
      <c r="I148" t="s" s="10">
        <v>1394</v>
      </c>
      <c r="J148" t="s" s="24">
        <v>34</v>
      </c>
      <c r="K148" t="s" s="24">
        <v>34</v>
      </c>
      <c r="L148" t="s" s="24">
        <v>34</v>
      </c>
      <c r="M148" t="s" s="12">
        <v>34</v>
      </c>
      <c r="N148" t="s" s="10">
        <v>34</v>
      </c>
      <c r="O148" t="s" s="10">
        <v>34</v>
      </c>
      <c r="P148" t="s" s="10">
        <v>34</v>
      </c>
      <c r="Q148" t="s" s="10">
        <v>34</v>
      </c>
      <c r="R148" t="s" s="10">
        <v>34</v>
      </c>
      <c r="S148" t="s" s="10">
        <v>34</v>
      </c>
      <c r="T148" t="s" s="12">
        <v>34</v>
      </c>
      <c r="U148" t="s" s="10">
        <v>34</v>
      </c>
      <c r="V148" t="s" s="12">
        <v>34</v>
      </c>
      <c r="W148" t="s" s="10">
        <v>1395</v>
      </c>
      <c r="X148" s="16">
        <f>HYPERLINK("https://my.pitchbook.com?p=182091-79P", "View People Online")</f>
      </c>
    </row>
    <row r="149">
      <c r="A149" t="s" s="11">
        <v>1396</v>
      </c>
      <c r="B149" t="s" s="11">
        <v>1397</v>
      </c>
      <c r="C149" t="s" s="11">
        <v>34</v>
      </c>
      <c r="D149" t="s" s="11">
        <v>1398</v>
      </c>
      <c r="E149" t="s" s="11">
        <v>36</v>
      </c>
      <c r="F149" t="s" s="11">
        <v>1399</v>
      </c>
      <c r="G149" t="s" s="11">
        <v>1327</v>
      </c>
      <c r="H149" s="17">
        <f>HYPERLINK("http://www.saratogainvestmentcorp.com", "www.saratogainvestmentcorp.com")</f>
      </c>
      <c r="I149" t="s" s="11">
        <v>1401</v>
      </c>
      <c r="J149" t="s" s="25">
        <v>34</v>
      </c>
      <c r="K149" t="s" s="25">
        <v>34</v>
      </c>
      <c r="L149" t="s" s="25">
        <v>34</v>
      </c>
      <c r="M149" t="s" s="13">
        <v>34</v>
      </c>
      <c r="N149" t="s" s="11">
        <v>34</v>
      </c>
      <c r="O149" t="s" s="11">
        <v>34</v>
      </c>
      <c r="P149" t="s" s="11">
        <v>34</v>
      </c>
      <c r="Q149" t="s" s="11">
        <v>34</v>
      </c>
      <c r="R149" t="s" s="11">
        <v>34</v>
      </c>
      <c r="S149" t="s" s="11">
        <v>34</v>
      </c>
      <c r="T149" t="s" s="13">
        <v>34</v>
      </c>
      <c r="U149" t="s" s="11">
        <v>34</v>
      </c>
      <c r="V149" t="s" s="13">
        <v>34</v>
      </c>
      <c r="W149" t="s" s="11">
        <v>1402</v>
      </c>
      <c r="X149" s="17">
        <f>HYPERLINK("https://my.pitchbook.com?p=30051-01P", "View People Online")</f>
      </c>
    </row>
    <row r="150">
      <c r="A150" t="s" s="10">
        <v>1403</v>
      </c>
      <c r="B150" t="s" s="10">
        <v>1404</v>
      </c>
      <c r="C150" t="s" s="10">
        <v>34</v>
      </c>
      <c r="D150" t="s" s="10">
        <v>1405</v>
      </c>
      <c r="E150" t="s" s="10">
        <v>36</v>
      </c>
      <c r="F150" t="s" s="10">
        <v>1406</v>
      </c>
      <c r="G150" t="s" s="10">
        <v>1327</v>
      </c>
      <c r="H150" s="16">
        <f>HYPERLINK("http://www.emergentmetals.com", "www.emergentmetals.com")</f>
      </c>
      <c r="I150" t="s" s="10">
        <v>1408</v>
      </c>
      <c r="J150" s="24">
        <v>2</v>
      </c>
      <c r="K150" s="24">
        <v>8</v>
      </c>
      <c r="L150" s="24">
        <v>5</v>
      </c>
      <c r="M150" t="s" s="12">
        <v>1409</v>
      </c>
      <c r="N150" t="s" s="10">
        <v>1410</v>
      </c>
      <c r="O150" t="s" s="10">
        <v>998</v>
      </c>
      <c r="P150" t="s" s="10">
        <v>1411</v>
      </c>
      <c r="Q150" t="s" s="10">
        <v>1412</v>
      </c>
      <c r="R150" t="s" s="10">
        <v>1001</v>
      </c>
      <c r="S150" t="s" s="10">
        <v>1002</v>
      </c>
      <c r="T150" t="s" s="12">
        <v>1413</v>
      </c>
      <c r="U150" t="s" s="10">
        <v>917</v>
      </c>
      <c r="V150" t="s" s="12">
        <v>34</v>
      </c>
      <c r="W150" t="s" s="10">
        <v>1414</v>
      </c>
      <c r="X150" s="16">
        <f>HYPERLINK("https://my.pitchbook.com?p=170134-03P", "View People Online")</f>
      </c>
    </row>
    <row r="151">
      <c r="A151" t="s" s="11">
        <v>1415</v>
      </c>
      <c r="B151" t="s" s="11">
        <v>1416</v>
      </c>
      <c r="C151" t="s" s="11">
        <v>34</v>
      </c>
      <c r="D151" t="s" s="11">
        <v>741</v>
      </c>
      <c r="E151" t="s" s="11">
        <v>36</v>
      </c>
      <c r="F151" t="s" s="11">
        <v>1417</v>
      </c>
      <c r="G151" t="s" s="11">
        <v>1327</v>
      </c>
      <c r="H151" s="17">
        <f>HYPERLINK("http://www.vulcanmaterials.com", "www.vulcanmaterials.com")</f>
      </c>
      <c r="I151" t="s" s="11">
        <v>1418</v>
      </c>
      <c r="J151" t="s" s="25">
        <v>34</v>
      </c>
      <c r="K151" s="25">
        <v>1</v>
      </c>
      <c r="L151" s="25">
        <v>1</v>
      </c>
      <c r="M151" t="s" s="13">
        <v>34</v>
      </c>
      <c r="N151" t="s" s="11">
        <v>34</v>
      </c>
      <c r="O151" t="s" s="11">
        <v>34</v>
      </c>
      <c r="P151" t="s" s="11">
        <v>34</v>
      </c>
      <c r="Q151" t="s" s="11">
        <v>34</v>
      </c>
      <c r="R151" t="s" s="11">
        <v>34</v>
      </c>
      <c r="S151" t="s" s="11">
        <v>34</v>
      </c>
      <c r="T151" t="s" s="13">
        <v>34</v>
      </c>
      <c r="U151" t="s" s="11">
        <v>34</v>
      </c>
      <c r="V151" t="s" s="13">
        <v>34</v>
      </c>
      <c r="W151" t="s" s="11">
        <v>1419</v>
      </c>
      <c r="X151" s="17">
        <f>HYPERLINK("https://my.pitchbook.com?p=96262-12P", "View People Online")</f>
      </c>
    </row>
    <row r="152">
      <c r="A152" t="s" s="10">
        <v>1420</v>
      </c>
      <c r="B152" t="s" s="10">
        <v>1421</v>
      </c>
      <c r="C152" t="s" s="10">
        <v>34</v>
      </c>
      <c r="D152" t="s" s="10">
        <v>187</v>
      </c>
      <c r="E152" t="s" s="10">
        <v>36</v>
      </c>
      <c r="F152" t="s" s="10">
        <v>1422</v>
      </c>
      <c r="G152" t="s" s="10">
        <v>1423</v>
      </c>
      <c r="H152" s="16">
        <f>HYPERLINK("http://www.diacorporate.com", "www.diacorporate.com")</f>
      </c>
      <c r="I152" t="s" s="10">
        <v>1103</v>
      </c>
      <c r="J152" t="s" s="24">
        <v>34</v>
      </c>
      <c r="K152" t="s" s="24">
        <v>34</v>
      </c>
      <c r="L152" t="s" s="24">
        <v>34</v>
      </c>
      <c r="M152" t="s" s="12">
        <v>34</v>
      </c>
      <c r="N152" t="s" s="10">
        <v>34</v>
      </c>
      <c r="O152" t="s" s="10">
        <v>34</v>
      </c>
      <c r="P152" t="s" s="10">
        <v>34</v>
      </c>
      <c r="Q152" t="s" s="10">
        <v>34</v>
      </c>
      <c r="R152" t="s" s="10">
        <v>34</v>
      </c>
      <c r="S152" t="s" s="10">
        <v>34</v>
      </c>
      <c r="T152" t="s" s="12">
        <v>34</v>
      </c>
      <c r="U152" t="s" s="10">
        <v>34</v>
      </c>
      <c r="V152" t="s" s="12">
        <v>34</v>
      </c>
      <c r="W152" t="s" s="10">
        <v>1424</v>
      </c>
      <c r="X152" s="16">
        <f>HYPERLINK("https://my.pitchbook.com?p=209433-34P", "View People Online")</f>
      </c>
    </row>
    <row r="153">
      <c r="A153" t="s" s="11">
        <v>1425</v>
      </c>
      <c r="B153" t="s" s="11">
        <v>1426</v>
      </c>
      <c r="C153" t="s" s="11">
        <v>34</v>
      </c>
      <c r="D153" t="s" s="11">
        <v>1427</v>
      </c>
      <c r="E153" t="s" s="11">
        <v>36</v>
      </c>
      <c r="F153" t="s" s="11">
        <v>1428</v>
      </c>
      <c r="G153" t="s" s="11">
        <v>1429</v>
      </c>
      <c r="H153" s="17">
        <f>HYPERLINK("http://www.underarmour.com", "www.underarmour.com")</f>
      </c>
      <c r="I153" t="s" s="11">
        <v>108</v>
      </c>
      <c r="J153" s="25">
        <v>2</v>
      </c>
      <c r="K153" s="25">
        <v>4</v>
      </c>
      <c r="L153" t="s" s="25">
        <v>34</v>
      </c>
      <c r="M153" t="s" s="13">
        <v>1431</v>
      </c>
      <c r="N153" t="s" s="11">
        <v>1432</v>
      </c>
      <c r="O153" t="s" s="11">
        <v>1433</v>
      </c>
      <c r="P153" t="s" s="11">
        <v>1434</v>
      </c>
      <c r="Q153" t="s" s="11">
        <v>1435</v>
      </c>
      <c r="R153" t="s" s="11">
        <v>1436</v>
      </c>
      <c r="S153" t="s" s="11">
        <v>1437</v>
      </c>
      <c r="T153" t="s" s="13">
        <v>1438</v>
      </c>
      <c r="U153" t="s" s="11">
        <v>161</v>
      </c>
      <c r="V153" t="s" s="13">
        <v>34</v>
      </c>
      <c r="W153" t="s" s="11">
        <v>1439</v>
      </c>
      <c r="X153" s="17">
        <f>HYPERLINK("https://my.pitchbook.com?p=91347-40P", "View People Online")</f>
      </c>
    </row>
    <row r="154">
      <c r="A154" t="s" s="10">
        <v>1440</v>
      </c>
      <c r="B154" t="s" s="10">
        <v>1441</v>
      </c>
      <c r="C154" t="s" s="10">
        <v>34</v>
      </c>
      <c r="D154" t="s" s="10">
        <v>1389</v>
      </c>
      <c r="E154" t="s" s="10">
        <v>36</v>
      </c>
      <c r="F154" t="s" s="10">
        <v>1442</v>
      </c>
      <c r="G154" t="s" s="10">
        <v>1429</v>
      </c>
      <c r="H154" s="16">
        <f>HYPERLINK("http://www.harbourenergy.com", "www.harbourenergy.com")</f>
      </c>
      <c r="I154" t="s" s="10">
        <v>1443</v>
      </c>
      <c r="J154" t="s" s="24">
        <v>34</v>
      </c>
      <c r="K154" s="24">
        <v>1</v>
      </c>
      <c r="L154" s="24">
        <v>1</v>
      </c>
      <c r="M154" t="s" s="12">
        <v>34</v>
      </c>
      <c r="N154" t="s" s="10">
        <v>34</v>
      </c>
      <c r="O154" t="s" s="10">
        <v>34</v>
      </c>
      <c r="P154" t="s" s="10">
        <v>34</v>
      </c>
      <c r="Q154" t="s" s="10">
        <v>34</v>
      </c>
      <c r="R154" t="s" s="10">
        <v>34</v>
      </c>
      <c r="S154" t="s" s="10">
        <v>34</v>
      </c>
      <c r="T154" t="s" s="12">
        <v>34</v>
      </c>
      <c r="U154" t="s" s="10">
        <v>34</v>
      </c>
      <c r="V154" t="s" s="12">
        <v>34</v>
      </c>
      <c r="W154" t="s" s="10">
        <v>1444</v>
      </c>
      <c r="X154" s="16">
        <f>HYPERLINK("https://my.pitchbook.com?p=180282-43P", "View People Online")</f>
      </c>
    </row>
    <row r="155">
      <c r="A155" t="s" s="11">
        <v>1445</v>
      </c>
      <c r="B155" t="s" s="11">
        <v>1446</v>
      </c>
      <c r="C155" t="s" s="11">
        <v>34</v>
      </c>
      <c r="D155" t="s" s="11">
        <v>1447</v>
      </c>
      <c r="E155" t="s" s="11">
        <v>36</v>
      </c>
      <c r="F155" t="s" s="11">
        <v>1448</v>
      </c>
      <c r="G155" t="s" s="11">
        <v>1449</v>
      </c>
      <c r="H155" s="17">
        <f>HYPERLINK("http://www.premierpower.com", "www.premierpower.com")</f>
      </c>
      <c r="I155" t="s" s="11">
        <v>1021</v>
      </c>
      <c r="J155" s="25">
        <v>1</v>
      </c>
      <c r="K155" s="25">
        <v>4</v>
      </c>
      <c r="L155" s="25">
        <v>2</v>
      </c>
      <c r="M155" t="s" s="13">
        <v>1451</v>
      </c>
      <c r="N155" t="s" s="11">
        <v>1452</v>
      </c>
      <c r="O155" t="s" s="11">
        <v>1453</v>
      </c>
      <c r="P155" t="s" s="11">
        <v>1454</v>
      </c>
      <c r="Q155" t="s" s="11">
        <v>1455</v>
      </c>
      <c r="R155" t="s" s="11">
        <v>1456</v>
      </c>
      <c r="S155" t="s" s="11">
        <v>159</v>
      </c>
      <c r="T155" t="s" s="13">
        <v>1457</v>
      </c>
      <c r="U155" t="s" s="11">
        <v>161</v>
      </c>
      <c r="V155" t="s" s="13">
        <v>34</v>
      </c>
      <c r="W155" t="s" s="11">
        <v>1458</v>
      </c>
      <c r="X155" s="17">
        <f>HYPERLINK("https://my.pitchbook.com?p=115876-63P", "View People Online")</f>
      </c>
    </row>
    <row r="156">
      <c r="A156" t="s" s="10">
        <v>1459</v>
      </c>
      <c r="B156" t="s" s="10">
        <v>1460</v>
      </c>
      <c r="C156" t="s" s="10">
        <v>34</v>
      </c>
      <c r="D156" t="s" s="10">
        <v>1461</v>
      </c>
      <c r="E156" t="s" s="10">
        <v>36</v>
      </c>
      <c r="F156" t="s" s="10">
        <v>1462</v>
      </c>
      <c r="G156" t="s" s="10">
        <v>1463</v>
      </c>
      <c r="H156" s="16">
        <f>HYPERLINK("http://www.tbo.com", "www.tbo.com")</f>
      </c>
      <c r="I156" t="s" s="10">
        <v>845</v>
      </c>
      <c r="J156" t="s" s="24">
        <v>34</v>
      </c>
      <c r="K156" t="s" s="24">
        <v>34</v>
      </c>
      <c r="L156" t="s" s="24">
        <v>34</v>
      </c>
      <c r="M156" t="s" s="12">
        <v>34</v>
      </c>
      <c r="N156" t="s" s="10">
        <v>1465</v>
      </c>
      <c r="O156" t="s" s="10">
        <v>34</v>
      </c>
      <c r="P156" t="s" s="10">
        <v>34</v>
      </c>
      <c r="Q156" t="s" s="10">
        <v>34</v>
      </c>
      <c r="R156" t="s" s="10">
        <v>34</v>
      </c>
      <c r="S156" t="s" s="10">
        <v>34</v>
      </c>
      <c r="T156" t="s" s="12">
        <v>34</v>
      </c>
      <c r="U156" t="s" s="10">
        <v>34</v>
      </c>
      <c r="V156" t="s" s="12">
        <v>34</v>
      </c>
      <c r="W156" t="s" s="10">
        <v>1466</v>
      </c>
      <c r="X156" s="16">
        <f>HYPERLINK("https://my.pitchbook.com?p=147650-14P", "View People Online")</f>
      </c>
    </row>
    <row r="157">
      <c r="A157" t="s" s="11">
        <v>1467</v>
      </c>
      <c r="B157" t="s" s="11">
        <v>1468</v>
      </c>
      <c r="C157" t="s" s="11">
        <v>34</v>
      </c>
      <c r="D157" t="s" s="11">
        <v>1469</v>
      </c>
      <c r="E157" t="s" s="11">
        <v>36</v>
      </c>
      <c r="F157" t="s" s="11">
        <v>1470</v>
      </c>
      <c r="G157" t="s" s="11">
        <v>1463</v>
      </c>
      <c r="H157" s="17">
        <f>HYPERLINK("http://www.tridentindia.com", "www.tridentindia.com")</f>
      </c>
      <c r="I157" t="s" s="11">
        <v>1472</v>
      </c>
      <c r="J157" s="25">
        <v>1</v>
      </c>
      <c r="K157" s="25">
        <v>1</v>
      </c>
      <c r="L157" t="s" s="25">
        <v>34</v>
      </c>
      <c r="M157" t="s" s="13">
        <v>34</v>
      </c>
      <c r="N157" t="s" s="11">
        <v>1473</v>
      </c>
      <c r="O157" t="s" s="11">
        <v>1474</v>
      </c>
      <c r="P157" t="s" s="11">
        <v>1469</v>
      </c>
      <c r="Q157" t="s" s="11">
        <v>1475</v>
      </c>
      <c r="R157" t="s" s="11">
        <v>1476</v>
      </c>
      <c r="S157" t="s" s="11">
        <v>1477</v>
      </c>
      <c r="T157" t="s" s="13">
        <v>1478</v>
      </c>
      <c r="U157" t="s" s="11">
        <v>1479</v>
      </c>
      <c r="V157" t="s" s="13">
        <v>1480</v>
      </c>
      <c r="W157" t="s" s="11">
        <v>1481</v>
      </c>
      <c r="X157" s="17">
        <f>HYPERLINK("https://my.pitchbook.com?p=328465-45P", "View People Online")</f>
      </c>
    </row>
    <row r="158">
      <c r="A158" t="s" s="10">
        <v>1482</v>
      </c>
      <c r="B158" t="s" s="10">
        <v>1483</v>
      </c>
      <c r="C158" t="s" s="10">
        <v>34</v>
      </c>
      <c r="D158" t="s" s="10">
        <v>267</v>
      </c>
      <c r="E158" t="s" s="10">
        <v>36</v>
      </c>
      <c r="F158" t="s" s="10">
        <v>1484</v>
      </c>
      <c r="G158" t="s" s="10">
        <v>1485</v>
      </c>
      <c r="H158" s="16">
        <f>HYPERLINK("http://www.navigatorgas.com", "www.navigatorgas.com")</f>
      </c>
      <c r="I158" t="s" s="10">
        <v>1486</v>
      </c>
      <c r="J158" t="s" s="24">
        <v>34</v>
      </c>
      <c r="K158" t="s" s="24">
        <v>34</v>
      </c>
      <c r="L158" t="s" s="24">
        <v>34</v>
      </c>
      <c r="M158" t="s" s="12">
        <v>34</v>
      </c>
      <c r="N158" t="s" s="10">
        <v>1487</v>
      </c>
      <c r="O158" t="s" s="10">
        <v>34</v>
      </c>
      <c r="P158" t="s" s="10">
        <v>34</v>
      </c>
      <c r="Q158" t="s" s="10">
        <v>34</v>
      </c>
      <c r="R158" t="s" s="10">
        <v>34</v>
      </c>
      <c r="S158" t="s" s="10">
        <v>34</v>
      </c>
      <c r="T158" t="s" s="12">
        <v>34</v>
      </c>
      <c r="U158" t="s" s="10">
        <v>34</v>
      </c>
      <c r="V158" t="s" s="12">
        <v>34</v>
      </c>
      <c r="W158" t="s" s="10">
        <v>1488</v>
      </c>
      <c r="X158" s="16">
        <f>HYPERLINK("https://my.pitchbook.com?p=217483-84P", "View People Online")</f>
      </c>
    </row>
    <row r="159">
      <c r="A159" t="s" s="11">
        <v>1489</v>
      </c>
      <c r="B159" t="s" s="11">
        <v>1490</v>
      </c>
      <c r="C159" t="s" s="11">
        <v>34</v>
      </c>
      <c r="D159" t="s" s="11">
        <v>517</v>
      </c>
      <c r="E159" t="s" s="11">
        <v>36</v>
      </c>
      <c r="F159" t="s" s="11">
        <v>1491</v>
      </c>
      <c r="G159" t="s" s="11">
        <v>1492</v>
      </c>
      <c r="H159" s="17">
        <f>HYPERLINK("http://www.vk.company", "www.vk.company")</f>
      </c>
      <c r="I159" t="s" s="11">
        <v>1493</v>
      </c>
      <c r="J159" t="s" s="25">
        <v>34</v>
      </c>
      <c r="K159" t="s" s="25">
        <v>34</v>
      </c>
      <c r="L159" t="s" s="25">
        <v>34</v>
      </c>
      <c r="M159" t="s" s="13">
        <v>34</v>
      </c>
      <c r="N159" t="s" s="11">
        <v>1494</v>
      </c>
      <c r="O159" t="s" s="11">
        <v>34</v>
      </c>
      <c r="P159" t="s" s="11">
        <v>34</v>
      </c>
      <c r="Q159" t="s" s="11">
        <v>34</v>
      </c>
      <c r="R159" t="s" s="11">
        <v>34</v>
      </c>
      <c r="S159" t="s" s="11">
        <v>34</v>
      </c>
      <c r="T159" t="s" s="13">
        <v>34</v>
      </c>
      <c r="U159" t="s" s="11">
        <v>34</v>
      </c>
      <c r="V159" t="s" s="13">
        <v>34</v>
      </c>
      <c r="W159" t="s" s="11">
        <v>1495</v>
      </c>
      <c r="X159" s="17">
        <f>HYPERLINK("https://my.pitchbook.com?p=39512-98P", "View People Online")</f>
      </c>
    </row>
    <row r="160">
      <c r="A160" t="s" s="10">
        <v>1496</v>
      </c>
      <c r="B160" t="s" s="10">
        <v>1497</v>
      </c>
      <c r="C160" t="s" s="10">
        <v>34</v>
      </c>
      <c r="D160" t="s" s="10">
        <v>517</v>
      </c>
      <c r="E160" t="s" s="10">
        <v>36</v>
      </c>
      <c r="F160" t="s" s="10">
        <v>1498</v>
      </c>
      <c r="G160" t="s" s="10">
        <v>1492</v>
      </c>
      <c r="H160" s="16">
        <f>HYPERLINK("http://www.vk.company", "www.vk.company")</f>
      </c>
      <c r="I160" t="s" s="10">
        <v>1499</v>
      </c>
      <c r="J160" t="s" s="24">
        <v>34</v>
      </c>
      <c r="K160" t="s" s="24">
        <v>34</v>
      </c>
      <c r="L160" t="s" s="24">
        <v>34</v>
      </c>
      <c r="M160" t="s" s="12">
        <v>34</v>
      </c>
      <c r="N160" t="s" s="10">
        <v>34</v>
      </c>
      <c r="O160" t="s" s="10">
        <v>34</v>
      </c>
      <c r="P160" t="s" s="10">
        <v>34</v>
      </c>
      <c r="Q160" t="s" s="10">
        <v>34</v>
      </c>
      <c r="R160" t="s" s="10">
        <v>34</v>
      </c>
      <c r="S160" t="s" s="10">
        <v>34</v>
      </c>
      <c r="T160" t="s" s="12">
        <v>34</v>
      </c>
      <c r="U160" t="s" s="10">
        <v>34</v>
      </c>
      <c r="V160" t="s" s="12">
        <v>34</v>
      </c>
      <c r="W160" t="s" s="10">
        <v>1500</v>
      </c>
      <c r="X160" s="16">
        <f>HYPERLINK("https://my.pitchbook.com?p=190276-21P", "View People Online")</f>
      </c>
    </row>
    <row r="161">
      <c r="A161" t="s" s="11">
        <v>1501</v>
      </c>
      <c r="B161" t="s" s="11">
        <v>1502</v>
      </c>
      <c r="C161" t="s" s="11">
        <v>34</v>
      </c>
      <c r="D161" t="s" s="11">
        <v>517</v>
      </c>
      <c r="E161" t="s" s="11">
        <v>36</v>
      </c>
      <c r="F161" t="s" s="11">
        <v>1503</v>
      </c>
      <c r="G161" t="s" s="11">
        <v>1492</v>
      </c>
      <c r="H161" s="17">
        <f>HYPERLINK("http://www.vk.company", "www.vk.company")</f>
      </c>
      <c r="I161" t="s" s="11">
        <v>34</v>
      </c>
      <c r="J161" t="s" s="25">
        <v>34</v>
      </c>
      <c r="K161" t="s" s="25">
        <v>34</v>
      </c>
      <c r="L161" t="s" s="25">
        <v>34</v>
      </c>
      <c r="M161" t="s" s="13">
        <v>34</v>
      </c>
      <c r="N161" t="s" s="11">
        <v>1504</v>
      </c>
      <c r="O161" t="s" s="11">
        <v>34</v>
      </c>
      <c r="P161" t="s" s="11">
        <v>34</v>
      </c>
      <c r="Q161" t="s" s="11">
        <v>34</v>
      </c>
      <c r="R161" t="s" s="11">
        <v>34</v>
      </c>
      <c r="S161" t="s" s="11">
        <v>34</v>
      </c>
      <c r="T161" t="s" s="13">
        <v>34</v>
      </c>
      <c r="U161" t="s" s="11">
        <v>34</v>
      </c>
      <c r="V161" t="s" s="13">
        <v>34</v>
      </c>
      <c r="W161" t="s" s="11">
        <v>1505</v>
      </c>
      <c r="X161" s="17">
        <f>HYPERLINK("https://my.pitchbook.com?p=132291-73P", "View People Online")</f>
      </c>
    </row>
    <row r="162">
      <c r="A162" t="s" s="10">
        <v>1506</v>
      </c>
      <c r="B162" t="s" s="10">
        <v>1507</v>
      </c>
      <c r="C162" t="s" s="10">
        <v>34</v>
      </c>
      <c r="D162" t="s" s="10">
        <v>943</v>
      </c>
      <c r="E162" t="s" s="10">
        <v>36</v>
      </c>
      <c r="F162" t="s" s="10">
        <v>1508</v>
      </c>
      <c r="G162" t="s" s="10">
        <v>1509</v>
      </c>
      <c r="H162" s="16">
        <f>HYPERLINK("http://www.vulcanmaterials.com", "www.vulcanmaterials.com")</f>
      </c>
      <c r="I162" t="s" s="10">
        <v>1510</v>
      </c>
      <c r="J162" t="s" s="24">
        <v>34</v>
      </c>
      <c r="K162" s="24">
        <v>3</v>
      </c>
      <c r="L162" s="24">
        <v>1</v>
      </c>
      <c r="M162" t="s" s="12">
        <v>1511</v>
      </c>
      <c r="N162" t="s" s="10">
        <v>1512</v>
      </c>
      <c r="O162" t="s" s="10">
        <v>949</v>
      </c>
      <c r="P162" t="s" s="10">
        <v>950</v>
      </c>
      <c r="Q162" t="s" s="10">
        <v>34</v>
      </c>
      <c r="R162" t="s" s="10">
        <v>951</v>
      </c>
      <c r="S162" t="s" s="10">
        <v>952</v>
      </c>
      <c r="T162" t="s" s="12">
        <v>953</v>
      </c>
      <c r="U162" t="s" s="10">
        <v>161</v>
      </c>
      <c r="V162" t="s" s="12">
        <v>34</v>
      </c>
      <c r="W162" t="s" s="10">
        <v>1513</v>
      </c>
      <c r="X162" s="16">
        <f>HYPERLINK("https://my.pitchbook.com?p=75905-11P", "View People Online")</f>
      </c>
    </row>
    <row r="163">
      <c r="A163" t="s" s="11">
        <v>1514</v>
      </c>
      <c r="B163" t="s" s="11">
        <v>1515</v>
      </c>
      <c r="C163" t="s" s="11">
        <v>34</v>
      </c>
      <c r="D163" t="s" s="11">
        <v>1516</v>
      </c>
      <c r="E163" t="s" s="11">
        <v>36</v>
      </c>
      <c r="F163" t="s" s="11">
        <v>1517</v>
      </c>
      <c r="G163" t="s" s="11">
        <v>1518</v>
      </c>
      <c r="H163" s="17">
        <f>HYPERLINK("http://www.tollbrothers.com", "www.tollbrothers.com")</f>
      </c>
      <c r="I163" t="s" s="11">
        <v>108</v>
      </c>
      <c r="J163" s="25">
        <v>1</v>
      </c>
      <c r="K163" s="25">
        <v>1</v>
      </c>
      <c r="L163" t="s" s="25">
        <v>34</v>
      </c>
      <c r="M163" t="s" s="13">
        <v>1520</v>
      </c>
      <c r="N163" t="s" s="11">
        <v>34</v>
      </c>
      <c r="O163" t="s" s="11">
        <v>1521</v>
      </c>
      <c r="P163" t="s" s="11">
        <v>1522</v>
      </c>
      <c r="Q163" t="s" s="11">
        <v>34</v>
      </c>
      <c r="R163" t="s" s="11">
        <v>1523</v>
      </c>
      <c r="S163" t="s" s="11">
        <v>1524</v>
      </c>
      <c r="T163" t="s" s="13">
        <v>1525</v>
      </c>
      <c r="U163" t="s" s="11">
        <v>161</v>
      </c>
      <c r="V163" t="s" s="13">
        <v>34</v>
      </c>
      <c r="W163" t="s" s="11">
        <v>1526</v>
      </c>
      <c r="X163" s="17">
        <f>HYPERLINK("https://my.pitchbook.com?p=79870-51P", "View People Online")</f>
      </c>
    </row>
    <row r="164">
      <c r="A164" t="s" s="10">
        <v>1527</v>
      </c>
      <c r="B164" t="s" s="10">
        <v>1528</v>
      </c>
      <c r="C164" t="s" s="10">
        <v>34</v>
      </c>
      <c r="D164" t="s" s="10">
        <v>1529</v>
      </c>
      <c r="E164" t="s" s="10">
        <v>36</v>
      </c>
      <c r="F164" t="s" s="10">
        <v>1530</v>
      </c>
      <c r="G164" t="s" s="10">
        <v>1531</v>
      </c>
      <c r="H164" s="16">
        <f>HYPERLINK("http://www.catrion.com", "www.catrion.com")</f>
      </c>
      <c r="I164" t="s" s="10">
        <v>108</v>
      </c>
      <c r="J164" s="24">
        <v>1</v>
      </c>
      <c r="K164" s="24">
        <v>1</v>
      </c>
      <c r="L164" t="s" s="24">
        <v>34</v>
      </c>
      <c r="M164" t="s" s="12">
        <v>1533</v>
      </c>
      <c r="N164" t="s" s="10">
        <v>34</v>
      </c>
      <c r="O164" t="s" s="10">
        <v>1534</v>
      </c>
      <c r="P164" t="s" s="10">
        <v>1535</v>
      </c>
      <c r="Q164" t="s" s="10">
        <v>1536</v>
      </c>
      <c r="R164" t="s" s="10">
        <v>1537</v>
      </c>
      <c r="S164" t="s" s="10">
        <v>34</v>
      </c>
      <c r="T164" t="s" s="12">
        <v>1538</v>
      </c>
      <c r="U164" t="s" s="10">
        <v>1539</v>
      </c>
      <c r="V164" t="s" s="12">
        <v>1540</v>
      </c>
      <c r="W164" t="s" s="10">
        <v>1541</v>
      </c>
      <c r="X164" s="16">
        <f>HYPERLINK("https://my.pitchbook.com?p=351745-30P", "View People Online")</f>
      </c>
    </row>
    <row r="165">
      <c r="A165" t="s" s="11">
        <v>1542</v>
      </c>
      <c r="B165" t="s" s="11">
        <v>1543</v>
      </c>
      <c r="C165" t="s" s="11">
        <v>34</v>
      </c>
      <c r="D165" t="s" s="11">
        <v>1544</v>
      </c>
      <c r="E165" t="s" s="11">
        <v>36</v>
      </c>
      <c r="F165" t="s" s="11">
        <v>1545</v>
      </c>
      <c r="G165" t="s" s="11">
        <v>1546</v>
      </c>
      <c r="H165" s="17">
        <f>HYPERLINK("http://www.logicom.net", "www.logicom.net")</f>
      </c>
      <c r="I165" t="s" s="11">
        <v>1548</v>
      </c>
      <c r="J165" t="s" s="25">
        <v>34</v>
      </c>
      <c r="K165" s="25">
        <v>1</v>
      </c>
      <c r="L165" t="s" s="25">
        <v>34</v>
      </c>
      <c r="M165" t="s" s="13">
        <v>1549</v>
      </c>
      <c r="N165" t="s" s="11">
        <v>1550</v>
      </c>
      <c r="O165" t="s" s="11">
        <v>1551</v>
      </c>
      <c r="P165" t="s" s="11">
        <v>1552</v>
      </c>
      <c r="Q165" t="s" s="11">
        <v>1553</v>
      </c>
      <c r="R165" t="s" s="11">
        <v>1554</v>
      </c>
      <c r="S165" t="s" s="11">
        <v>34</v>
      </c>
      <c r="T165" t="s" s="13">
        <v>1555</v>
      </c>
      <c r="U165" t="s" s="11">
        <v>1556</v>
      </c>
      <c r="V165" t="s" s="13">
        <v>34</v>
      </c>
      <c r="W165" t="s" s="11">
        <v>1557</v>
      </c>
      <c r="X165" s="17">
        <f>HYPERLINK("https://my.pitchbook.com?p=298056-16P", "View People Online")</f>
      </c>
    </row>
    <row r="166">
      <c r="A166" t="s" s="10">
        <v>1558</v>
      </c>
      <c r="B166" t="s" s="10">
        <v>1559</v>
      </c>
      <c r="C166" t="s" s="10">
        <v>34</v>
      </c>
      <c r="D166" t="s" s="10">
        <v>1560</v>
      </c>
      <c r="E166" t="s" s="10">
        <v>36</v>
      </c>
      <c r="F166" t="s" s="10">
        <v>1561</v>
      </c>
      <c r="G166" t="s" s="10">
        <v>1562</v>
      </c>
      <c r="H166" s="16">
        <f>HYPERLINK("http://www.paradetech.com", "www.paradetech.com")</f>
      </c>
      <c r="I166" t="s" s="10">
        <v>1564</v>
      </c>
      <c r="J166" t="s" s="24">
        <v>34</v>
      </c>
      <c r="K166" s="24">
        <v>1</v>
      </c>
      <c r="L166" t="s" s="24">
        <v>34</v>
      </c>
      <c r="M166" t="s" s="12">
        <v>1565</v>
      </c>
      <c r="N166" t="s" s="10">
        <v>1566</v>
      </c>
      <c r="O166" t="s" s="10">
        <v>1567</v>
      </c>
      <c r="P166" t="s" s="10">
        <v>1568</v>
      </c>
      <c r="Q166" t="s" s="10">
        <v>34</v>
      </c>
      <c r="R166" t="s" s="10">
        <v>1569</v>
      </c>
      <c r="S166" t="s" s="10">
        <v>159</v>
      </c>
      <c r="T166" t="s" s="12">
        <v>1570</v>
      </c>
      <c r="U166" t="s" s="10">
        <v>161</v>
      </c>
      <c r="V166" t="s" s="12">
        <v>1571</v>
      </c>
      <c r="W166" t="s" s="10">
        <v>1572</v>
      </c>
      <c r="X166" s="16">
        <f>HYPERLINK("https://my.pitchbook.com?p=65731-96P", "View People Online")</f>
      </c>
    </row>
    <row r="167">
      <c r="A167" t="s" s="11">
        <v>1573</v>
      </c>
      <c r="B167" t="s" s="11">
        <v>1574</v>
      </c>
      <c r="C167" t="s" s="11">
        <v>34</v>
      </c>
      <c r="D167" t="s" s="11">
        <v>781</v>
      </c>
      <c r="E167" t="s" s="11">
        <v>36</v>
      </c>
      <c r="F167" t="s" s="11">
        <v>1575</v>
      </c>
      <c r="G167" t="s" s="11">
        <v>1576</v>
      </c>
      <c r="H167" s="17">
        <f>HYPERLINK("http://v-er.eu", "v-er.eu")</f>
      </c>
      <c r="I167" t="s" s="11">
        <v>1499</v>
      </c>
      <c r="J167" t="s" s="25">
        <v>34</v>
      </c>
      <c r="K167" t="s" s="25">
        <v>34</v>
      </c>
      <c r="L167" t="s" s="25">
        <v>34</v>
      </c>
      <c r="M167" t="s" s="13">
        <v>34</v>
      </c>
      <c r="N167" t="s" s="11">
        <v>34</v>
      </c>
      <c r="O167" t="s" s="11">
        <v>34</v>
      </c>
      <c r="P167" t="s" s="11">
        <v>34</v>
      </c>
      <c r="Q167" t="s" s="11">
        <v>34</v>
      </c>
      <c r="R167" t="s" s="11">
        <v>34</v>
      </c>
      <c r="S167" t="s" s="11">
        <v>34</v>
      </c>
      <c r="T167" t="s" s="13">
        <v>34</v>
      </c>
      <c r="U167" t="s" s="11">
        <v>34</v>
      </c>
      <c r="V167" t="s" s="13">
        <v>34</v>
      </c>
      <c r="W167" t="s" s="11">
        <v>1577</v>
      </c>
      <c r="X167" s="17">
        <f>HYPERLINK("https://my.pitchbook.com?p=409851-73P", "View People Online")</f>
      </c>
    </row>
    <row r="168">
      <c r="A168" t="s" s="10">
        <v>1578</v>
      </c>
      <c r="B168" t="s" s="10">
        <v>1579</v>
      </c>
      <c r="C168" t="s" s="10">
        <v>34</v>
      </c>
      <c r="D168" t="s" s="10">
        <v>517</v>
      </c>
      <c r="E168" t="s" s="10">
        <v>36</v>
      </c>
      <c r="F168" t="s" s="10">
        <v>1580</v>
      </c>
      <c r="G168" t="s" s="10">
        <v>1581</v>
      </c>
      <c r="H168" s="16">
        <f>HYPERLINK("http://www.vk.company", "www.vk.company")</f>
      </c>
      <c r="I168" t="s" s="10">
        <v>307</v>
      </c>
      <c r="J168" s="24">
        <v>3</v>
      </c>
      <c r="K168" s="24">
        <v>29</v>
      </c>
      <c r="L168" s="24">
        <v>22</v>
      </c>
      <c r="M168" t="s" s="12">
        <v>34</v>
      </c>
      <c r="N168" t="s" s="10">
        <v>1582</v>
      </c>
      <c r="O168" t="s" s="10">
        <v>1583</v>
      </c>
      <c r="P168" t="s" s="10">
        <v>1584</v>
      </c>
      <c r="Q168" t="s" s="10">
        <v>1585</v>
      </c>
      <c r="R168" t="s" s="10">
        <v>1586</v>
      </c>
      <c r="S168" t="s" s="10">
        <v>159</v>
      </c>
      <c r="T168" t="s" s="12">
        <v>1587</v>
      </c>
      <c r="U168" t="s" s="10">
        <v>161</v>
      </c>
      <c r="V168" t="s" s="12">
        <v>34</v>
      </c>
      <c r="W168" t="s" s="10">
        <v>1588</v>
      </c>
      <c r="X168" s="16">
        <f>HYPERLINK("https://my.pitchbook.com?p=42251-50P", "View People Online")</f>
      </c>
    </row>
    <row r="169">
      <c r="A169" t="s" s="11">
        <v>1589</v>
      </c>
      <c r="B169" t="s" s="11">
        <v>1590</v>
      </c>
      <c r="C169" t="s" s="11">
        <v>34</v>
      </c>
      <c r="D169" t="s" s="11">
        <v>279</v>
      </c>
      <c r="E169" t="s" s="11">
        <v>36</v>
      </c>
      <c r="F169" t="s" s="11">
        <v>1591</v>
      </c>
      <c r="G169" t="s" s="11">
        <v>1581</v>
      </c>
      <c r="H169" s="17">
        <f>HYPERLINK("http://www.enplusgroup.com", "www.enplusgroup.com")</f>
      </c>
      <c r="I169" t="s" s="11">
        <v>1592</v>
      </c>
      <c r="J169" t="s" s="25">
        <v>34</v>
      </c>
      <c r="K169" s="25">
        <v>1</v>
      </c>
      <c r="L169" t="s" s="25">
        <v>34</v>
      </c>
      <c r="M169" t="s" s="13">
        <v>282</v>
      </c>
      <c r="N169" t="s" s="11">
        <v>1593</v>
      </c>
      <c r="O169" t="s" s="11">
        <v>200</v>
      </c>
      <c r="P169" t="s" s="11">
        <v>284</v>
      </c>
      <c r="Q169" t="s" s="11">
        <v>34</v>
      </c>
      <c r="R169" t="s" s="11">
        <v>202</v>
      </c>
      <c r="S169" t="s" s="11">
        <v>34</v>
      </c>
      <c r="T169" t="s" s="13">
        <v>285</v>
      </c>
      <c r="U169" t="s" s="11">
        <v>204</v>
      </c>
      <c r="V169" t="s" s="13">
        <v>286</v>
      </c>
      <c r="W169" t="s" s="11">
        <v>1594</v>
      </c>
      <c r="X169" s="17">
        <f>HYPERLINK("https://my.pitchbook.com?p=72049-87P", "View People Online")</f>
      </c>
    </row>
    <row r="170">
      <c r="A170" t="s" s="10">
        <v>1595</v>
      </c>
      <c r="B170" t="s" s="10">
        <v>1596</v>
      </c>
      <c r="C170" t="s" s="10">
        <v>34</v>
      </c>
      <c r="D170" t="s" s="10">
        <v>279</v>
      </c>
      <c r="E170" t="s" s="10">
        <v>36</v>
      </c>
      <c r="F170" t="s" s="10">
        <v>1597</v>
      </c>
      <c r="G170" t="s" s="10">
        <v>1598</v>
      </c>
      <c r="H170" s="16">
        <f>HYPERLINK("http://www.enplusgroup.com", "www.enplusgroup.com")</f>
      </c>
      <c r="I170" t="s" s="10">
        <v>108</v>
      </c>
      <c r="J170" s="24">
        <v>1</v>
      </c>
      <c r="K170" s="24">
        <v>1</v>
      </c>
      <c r="L170" t="s" s="24">
        <v>34</v>
      </c>
      <c r="M170" t="s" s="12">
        <v>282</v>
      </c>
      <c r="N170" t="s" s="10">
        <v>34</v>
      </c>
      <c r="O170" t="s" s="10">
        <v>200</v>
      </c>
      <c r="P170" t="s" s="10">
        <v>284</v>
      </c>
      <c r="Q170" t="s" s="10">
        <v>34</v>
      </c>
      <c r="R170" t="s" s="10">
        <v>202</v>
      </c>
      <c r="S170" t="s" s="10">
        <v>34</v>
      </c>
      <c r="T170" t="s" s="12">
        <v>285</v>
      </c>
      <c r="U170" t="s" s="10">
        <v>204</v>
      </c>
      <c r="V170" t="s" s="12">
        <v>286</v>
      </c>
      <c r="W170" t="s" s="10">
        <v>1599</v>
      </c>
      <c r="X170" s="16">
        <f>HYPERLINK("https://my.pitchbook.com?p=227805-67P", "View People Online")</f>
      </c>
    </row>
    <row r="171">
      <c r="A171" t="s" s="11">
        <v>1600</v>
      </c>
      <c r="B171" t="s" s="11">
        <v>1601</v>
      </c>
      <c r="C171" t="s" s="11">
        <v>34</v>
      </c>
      <c r="D171" t="s" s="11">
        <v>1602</v>
      </c>
      <c r="E171" t="s" s="11">
        <v>36</v>
      </c>
      <c r="F171" t="s" s="11">
        <v>1603</v>
      </c>
      <c r="G171" t="s" s="11">
        <v>1604</v>
      </c>
      <c r="H171" s="17">
        <f>HYPERLINK("http://www.amprius.com", "www.amprius.com")</f>
      </c>
      <c r="I171" t="s" s="11">
        <v>307</v>
      </c>
      <c r="J171" s="25">
        <v>10</v>
      </c>
      <c r="K171" s="25">
        <v>77</v>
      </c>
      <c r="L171" s="25">
        <v>54</v>
      </c>
      <c r="M171" t="s" s="13">
        <v>1606</v>
      </c>
      <c r="N171" t="s" s="11">
        <v>34</v>
      </c>
      <c r="O171" t="s" s="11">
        <v>1093</v>
      </c>
      <c r="P171" t="s" s="11">
        <v>1607</v>
      </c>
      <c r="Q171" t="s" s="11">
        <v>34</v>
      </c>
      <c r="R171" t="s" s="11">
        <v>1095</v>
      </c>
      <c r="S171" t="s" s="11">
        <v>159</v>
      </c>
      <c r="T171" t="s" s="13">
        <v>1608</v>
      </c>
      <c r="U171" t="s" s="11">
        <v>161</v>
      </c>
      <c r="V171" t="s" s="13">
        <v>34</v>
      </c>
      <c r="W171" t="s" s="11">
        <v>1609</v>
      </c>
      <c r="X171" s="17">
        <f>HYPERLINK("https://my.pitchbook.com?p=15657-76P", "View People Online")</f>
      </c>
    </row>
    <row r="172">
      <c r="A172" t="s" s="10">
        <v>1610</v>
      </c>
      <c r="B172" t="s" s="10">
        <v>1611</v>
      </c>
      <c r="C172" t="s" s="10">
        <v>34</v>
      </c>
      <c r="D172" t="s" s="10">
        <v>539</v>
      </c>
      <c r="E172" t="s" s="10">
        <v>36</v>
      </c>
      <c r="F172" t="s" s="10">
        <v>1612</v>
      </c>
      <c r="G172" t="s" s="10">
        <v>1613</v>
      </c>
      <c r="H172" s="16">
        <f>HYPERLINK("http://v-er.eu", "v-er.eu")</f>
      </c>
      <c r="I172" t="s" s="10">
        <v>1614</v>
      </c>
      <c r="J172" t="s" s="24">
        <v>34</v>
      </c>
      <c r="K172" s="24">
        <v>1</v>
      </c>
      <c r="L172" t="s" s="24">
        <v>34</v>
      </c>
      <c r="M172" t="s" s="12">
        <v>544</v>
      </c>
      <c r="N172" t="s" s="10">
        <v>1615</v>
      </c>
      <c r="O172" t="s" s="10">
        <v>51</v>
      </c>
      <c r="P172" t="s" s="10">
        <v>546</v>
      </c>
      <c r="Q172" t="s" s="10">
        <v>547</v>
      </c>
      <c r="R172" t="s" s="10">
        <v>54</v>
      </c>
      <c r="S172" t="s" s="10">
        <v>55</v>
      </c>
      <c r="T172" t="s" s="12">
        <v>56</v>
      </c>
      <c r="U172" t="s" s="10">
        <v>57</v>
      </c>
      <c r="V172" t="s" s="12">
        <v>34</v>
      </c>
      <c r="W172" t="s" s="10">
        <v>1616</v>
      </c>
      <c r="X172" s="16">
        <f>HYPERLINK("https://my.pitchbook.com?p=447816-43P", "View People Online")</f>
      </c>
    </row>
    <row r="173">
      <c r="A173" t="s" s="11">
        <v>1617</v>
      </c>
      <c r="B173" t="s" s="11">
        <v>1618</v>
      </c>
      <c r="C173" t="s" s="11">
        <v>34</v>
      </c>
      <c r="D173" t="s" s="11">
        <v>1619</v>
      </c>
      <c r="E173" t="s" s="11">
        <v>36</v>
      </c>
      <c r="F173" t="s" s="11">
        <v>1620</v>
      </c>
      <c r="G173" t="s" s="11">
        <v>886</v>
      </c>
      <c r="H173" s="17">
        <f>HYPERLINK("http://www.sprouts.com", "www.sprouts.com")</f>
      </c>
      <c r="I173" t="s" s="11">
        <v>108</v>
      </c>
      <c r="J173" s="25">
        <v>2</v>
      </c>
      <c r="K173" s="25">
        <v>3</v>
      </c>
      <c r="L173" t="s" s="25">
        <v>34</v>
      </c>
      <c r="M173" t="s" s="13">
        <v>34</v>
      </c>
      <c r="N173" t="s" s="11">
        <v>34</v>
      </c>
      <c r="O173" t="s" s="11">
        <v>1622</v>
      </c>
      <c r="P173" t="s" s="11">
        <v>1623</v>
      </c>
      <c r="Q173" t="s" s="11">
        <v>1624</v>
      </c>
      <c r="R173" t="s" s="11">
        <v>1625</v>
      </c>
      <c r="S173" t="s" s="11">
        <v>1383</v>
      </c>
      <c r="T173" t="s" s="13">
        <v>1626</v>
      </c>
      <c r="U173" t="s" s="11">
        <v>161</v>
      </c>
      <c r="V173" t="s" s="13">
        <v>34</v>
      </c>
      <c r="W173" t="s" s="11">
        <v>1627</v>
      </c>
      <c r="X173" s="17">
        <f>HYPERLINK("https://my.pitchbook.com?p=223579-36P", "View People Online")</f>
      </c>
    </row>
    <row r="174">
      <c r="A174" t="s" s="10">
        <v>1628</v>
      </c>
      <c r="B174" t="s" s="10">
        <v>1629</v>
      </c>
      <c r="C174" t="s" s="10">
        <v>34</v>
      </c>
      <c r="D174" t="s" s="10">
        <v>826</v>
      </c>
      <c r="E174" t="s" s="10">
        <v>36</v>
      </c>
      <c r="F174" t="s" s="10">
        <v>1630</v>
      </c>
      <c r="G174" t="s" s="10">
        <v>1631</v>
      </c>
      <c r="H174" s="16">
        <f>HYPERLINK("http://www.veon.com", "www.veon.com")</f>
      </c>
      <c r="I174" t="s" s="10">
        <v>108</v>
      </c>
      <c r="J174" s="24">
        <v>2</v>
      </c>
      <c r="K174" s="24">
        <v>2</v>
      </c>
      <c r="L174" t="s" s="24">
        <v>34</v>
      </c>
      <c r="M174" t="s" s="12">
        <v>830</v>
      </c>
      <c r="N174" t="s" s="10">
        <v>1632</v>
      </c>
      <c r="O174" t="s" s="10">
        <v>832</v>
      </c>
      <c r="P174" t="s" s="10">
        <v>833</v>
      </c>
      <c r="Q174" t="s" s="10">
        <v>834</v>
      </c>
      <c r="R174" t="s" s="10">
        <v>835</v>
      </c>
      <c r="S174" t="s" s="10">
        <v>34</v>
      </c>
      <c r="T174" t="s" s="12">
        <v>836</v>
      </c>
      <c r="U174" t="s" s="10">
        <v>837</v>
      </c>
      <c r="V174" t="s" s="12">
        <v>34</v>
      </c>
      <c r="W174" t="s" s="10">
        <v>1633</v>
      </c>
      <c r="X174" s="16">
        <f>HYPERLINK("https://my.pitchbook.com?p=411682-15P", "View People Online")</f>
      </c>
    </row>
    <row r="175">
      <c r="A175" t="s" s="11">
        <v>1634</v>
      </c>
      <c r="B175" t="s" s="11">
        <v>1635</v>
      </c>
      <c r="C175" t="s" s="11">
        <v>34</v>
      </c>
      <c r="D175" t="s" s="11">
        <v>741</v>
      </c>
      <c r="E175" t="s" s="11">
        <v>36</v>
      </c>
      <c r="F175" t="s" s="11">
        <v>1636</v>
      </c>
      <c r="G175" t="s" s="11">
        <v>1637</v>
      </c>
      <c r="H175" s="17">
        <f>HYPERLINK("http://www.vulcanmaterials.com", "www.vulcanmaterials.com")</f>
      </c>
      <c r="I175" t="s" s="11">
        <v>1638</v>
      </c>
      <c r="J175" t="s" s="25">
        <v>34</v>
      </c>
      <c r="K175" t="s" s="25">
        <v>34</v>
      </c>
      <c r="L175" t="s" s="25">
        <v>34</v>
      </c>
      <c r="M175" t="s" s="13">
        <v>1639</v>
      </c>
      <c r="N175" t="s" s="11">
        <v>34</v>
      </c>
      <c r="O175" t="s" s="11">
        <v>34</v>
      </c>
      <c r="P175" t="s" s="11">
        <v>34</v>
      </c>
      <c r="Q175" t="s" s="11">
        <v>34</v>
      </c>
      <c r="R175" t="s" s="11">
        <v>34</v>
      </c>
      <c r="S175" t="s" s="11">
        <v>34</v>
      </c>
      <c r="T175" t="s" s="13">
        <v>34</v>
      </c>
      <c r="U175" t="s" s="11">
        <v>34</v>
      </c>
      <c r="V175" t="s" s="13">
        <v>34</v>
      </c>
      <c r="W175" t="s" s="11">
        <v>1640</v>
      </c>
      <c r="X175" s="17">
        <f>HYPERLINK("https://my.pitchbook.com?p=224033-86P", "View People Online")</f>
      </c>
    </row>
    <row r="176">
      <c r="A176" t="s" s="10">
        <v>1641</v>
      </c>
      <c r="B176" t="s" s="10">
        <v>1642</v>
      </c>
      <c r="C176" t="s" s="10">
        <v>34</v>
      </c>
      <c r="D176" t="s" s="10">
        <v>1643</v>
      </c>
      <c r="E176" t="s" s="10">
        <v>36</v>
      </c>
      <c r="F176" t="s" s="10">
        <v>1644</v>
      </c>
      <c r="G176" t="s" s="10">
        <v>1645</v>
      </c>
      <c r="H176" s="16">
        <f>HYPERLINK("http://www.rushstreetinteractive.com", "www.rushstreetinteractive.com")</f>
      </c>
      <c r="I176" t="s" s="10">
        <v>1499</v>
      </c>
      <c r="J176" t="s" s="24">
        <v>34</v>
      </c>
      <c r="K176" s="24">
        <v>1</v>
      </c>
      <c r="L176" t="s" s="24">
        <v>34</v>
      </c>
      <c r="M176" t="s" s="12">
        <v>1647</v>
      </c>
      <c r="N176" t="s" s="10">
        <v>1648</v>
      </c>
      <c r="O176" t="s" s="10">
        <v>428</v>
      </c>
      <c r="P176" t="s" s="10">
        <v>1649</v>
      </c>
      <c r="Q176" t="s" s="10">
        <v>1650</v>
      </c>
      <c r="R176" t="s" s="10">
        <v>431</v>
      </c>
      <c r="S176" t="s" s="10">
        <v>432</v>
      </c>
      <c r="T176" t="s" s="12">
        <v>1651</v>
      </c>
      <c r="U176" t="s" s="10">
        <v>161</v>
      </c>
      <c r="V176" t="s" s="12">
        <v>34</v>
      </c>
      <c r="W176" t="s" s="10">
        <v>1652</v>
      </c>
      <c r="X176" s="16">
        <f>HYPERLINK("https://my.pitchbook.com?p=236458-45P", "View People Online")</f>
      </c>
    </row>
    <row r="177">
      <c r="A177" t="s" s="11">
        <v>1653</v>
      </c>
      <c r="B177" t="s" s="11">
        <v>1654</v>
      </c>
      <c r="C177" t="s" s="11">
        <v>34</v>
      </c>
      <c r="D177" t="s" s="11">
        <v>741</v>
      </c>
      <c r="E177" t="s" s="11">
        <v>36</v>
      </c>
      <c r="F177" t="s" s="11">
        <v>1655</v>
      </c>
      <c r="G177" t="s" s="11">
        <v>1656</v>
      </c>
      <c r="H177" s="17">
        <f>HYPERLINK("http://www.vulcanmaterials.com", "www.vulcanmaterials.com")</f>
      </c>
      <c r="I177" t="s" s="11">
        <v>1657</v>
      </c>
      <c r="J177" t="s" s="25">
        <v>34</v>
      </c>
      <c r="K177" t="s" s="25">
        <v>34</v>
      </c>
      <c r="L177" t="s" s="25">
        <v>34</v>
      </c>
      <c r="M177" t="s" s="13">
        <v>34</v>
      </c>
      <c r="N177" t="s" s="11">
        <v>34</v>
      </c>
      <c r="O177" t="s" s="11">
        <v>34</v>
      </c>
      <c r="P177" t="s" s="11">
        <v>34</v>
      </c>
      <c r="Q177" t="s" s="11">
        <v>34</v>
      </c>
      <c r="R177" t="s" s="11">
        <v>34</v>
      </c>
      <c r="S177" t="s" s="11">
        <v>34</v>
      </c>
      <c r="T177" t="s" s="13">
        <v>34</v>
      </c>
      <c r="U177" t="s" s="11">
        <v>34</v>
      </c>
      <c r="V177" t="s" s="13">
        <v>34</v>
      </c>
      <c r="W177" t="s" s="11">
        <v>1658</v>
      </c>
      <c r="X177" s="17">
        <f>HYPERLINK("https://my.pitchbook.com?p=14863-69P", "View People Online")</f>
      </c>
    </row>
    <row r="178">
      <c r="A178" t="s" s="10">
        <v>1659</v>
      </c>
      <c r="B178" t="s" s="10">
        <v>1660</v>
      </c>
      <c r="C178" t="s" s="10">
        <v>34</v>
      </c>
      <c r="D178" t="s" s="10">
        <v>273</v>
      </c>
      <c r="E178" t="s" s="10">
        <v>36</v>
      </c>
      <c r="F178" t="s" s="10">
        <v>1661</v>
      </c>
      <c r="G178" t="s" s="10">
        <v>1662</v>
      </c>
      <c r="H178" s="16">
        <f>HYPERLINK("http://www.enplusgroup.com", "www.enplusgroup.com")</f>
      </c>
      <c r="I178" t="s" s="10">
        <v>108</v>
      </c>
      <c r="J178" t="s" s="24">
        <v>34</v>
      </c>
      <c r="K178" t="s" s="24">
        <v>34</v>
      </c>
      <c r="L178" t="s" s="24">
        <v>34</v>
      </c>
      <c r="M178" t="s" s="12">
        <v>34</v>
      </c>
      <c r="N178" t="s" s="10">
        <v>34</v>
      </c>
      <c r="O178" t="s" s="10">
        <v>34</v>
      </c>
      <c r="P178" t="s" s="10">
        <v>34</v>
      </c>
      <c r="Q178" t="s" s="10">
        <v>34</v>
      </c>
      <c r="R178" t="s" s="10">
        <v>34</v>
      </c>
      <c r="S178" t="s" s="10">
        <v>34</v>
      </c>
      <c r="T178" t="s" s="12">
        <v>34</v>
      </c>
      <c r="U178" t="s" s="10">
        <v>34</v>
      </c>
      <c r="V178" t="s" s="12">
        <v>34</v>
      </c>
      <c r="W178" t="s" s="10">
        <v>1663</v>
      </c>
      <c r="X178" s="16">
        <f>HYPERLINK("https://my.pitchbook.com?p=72048-88P", "View People Online")</f>
      </c>
    </row>
    <row r="179">
      <c r="A179" t="s" s="11">
        <v>1664</v>
      </c>
      <c r="B179" t="s" s="11">
        <v>1665</v>
      </c>
      <c r="C179" t="s" s="11">
        <v>34</v>
      </c>
      <c r="D179" t="s" s="11">
        <v>273</v>
      </c>
      <c r="E179" t="s" s="11">
        <v>36</v>
      </c>
      <c r="F179" t="s" s="11">
        <v>1666</v>
      </c>
      <c r="G179" t="s" s="11">
        <v>1662</v>
      </c>
      <c r="H179" s="17">
        <f>HYPERLINK("http://www.enplusgroup.com", "www.enplusgroup.com")</f>
      </c>
      <c r="I179" t="s" s="11">
        <v>108</v>
      </c>
      <c r="J179" t="s" s="25">
        <v>34</v>
      </c>
      <c r="K179" t="s" s="25">
        <v>34</v>
      </c>
      <c r="L179" t="s" s="25">
        <v>34</v>
      </c>
      <c r="M179" t="s" s="13">
        <v>34</v>
      </c>
      <c r="N179" t="s" s="11">
        <v>34</v>
      </c>
      <c r="O179" t="s" s="11">
        <v>34</v>
      </c>
      <c r="P179" t="s" s="11">
        <v>34</v>
      </c>
      <c r="Q179" t="s" s="11">
        <v>34</v>
      </c>
      <c r="R179" t="s" s="11">
        <v>34</v>
      </c>
      <c r="S179" t="s" s="11">
        <v>34</v>
      </c>
      <c r="T179" t="s" s="13">
        <v>34</v>
      </c>
      <c r="U179" t="s" s="11">
        <v>34</v>
      </c>
      <c r="V179" t="s" s="13">
        <v>34</v>
      </c>
      <c r="W179" t="s" s="11">
        <v>1667</v>
      </c>
      <c r="X179" s="17">
        <f>HYPERLINK("https://my.pitchbook.com?p=227805-58P", "View People Online")</f>
      </c>
    </row>
    <row r="180">
      <c r="A180" t="s" s="10">
        <v>1668</v>
      </c>
      <c r="B180" t="s" s="10">
        <v>1669</v>
      </c>
      <c r="C180" t="s" s="10">
        <v>34</v>
      </c>
      <c r="D180" t="s" s="10">
        <v>1670</v>
      </c>
      <c r="E180" t="s" s="10">
        <v>36</v>
      </c>
      <c r="F180" t="s" s="10">
        <v>1671</v>
      </c>
      <c r="G180" t="s" s="10">
        <v>1672</v>
      </c>
      <c r="H180" s="16">
        <f>HYPERLINK("http://www.flexion.games", "www.flexion.games")</f>
      </c>
      <c r="I180" t="s" s="10">
        <v>1674</v>
      </c>
      <c r="J180" t="s" s="24">
        <v>34</v>
      </c>
      <c r="K180" s="24">
        <v>1</v>
      </c>
      <c r="L180" t="s" s="24">
        <v>34</v>
      </c>
      <c r="M180" t="s" s="12">
        <v>1675</v>
      </c>
      <c r="N180" t="s" s="10">
        <v>1676</v>
      </c>
      <c r="O180" t="s" s="10">
        <v>117</v>
      </c>
      <c r="P180" t="s" s="10">
        <v>1677</v>
      </c>
      <c r="Q180" t="s" s="10">
        <v>1678</v>
      </c>
      <c r="R180" t="s" s="10">
        <v>119</v>
      </c>
      <c r="S180" t="s" s="10">
        <v>120</v>
      </c>
      <c r="T180" t="s" s="12">
        <v>1679</v>
      </c>
      <c r="U180" t="s" s="10">
        <v>122</v>
      </c>
      <c r="V180" t="s" s="12">
        <v>34</v>
      </c>
      <c r="W180" t="s" s="10">
        <v>1680</v>
      </c>
      <c r="X180" s="16">
        <f>HYPERLINK("https://my.pitchbook.com?p=307090-81P", "View People Online")</f>
      </c>
    </row>
    <row r="181">
      <c r="A181" t="s" s="11">
        <v>1681</v>
      </c>
      <c r="B181" t="s" s="11">
        <v>1682</v>
      </c>
      <c r="C181" t="s" s="11">
        <v>34</v>
      </c>
      <c r="D181" t="s" s="11">
        <v>195</v>
      </c>
      <c r="E181" t="s" s="11">
        <v>36</v>
      </c>
      <c r="F181" t="s" s="11">
        <v>1683</v>
      </c>
      <c r="G181" t="s" s="11">
        <v>1672</v>
      </c>
      <c r="H181" s="17">
        <f>HYPERLINK("http://www.novatek.ru", "www.novatek.ru")</f>
      </c>
      <c r="I181" t="s" s="11">
        <v>1684</v>
      </c>
      <c r="J181" t="s" s="25">
        <v>34</v>
      </c>
      <c r="K181" s="25">
        <v>1</v>
      </c>
      <c r="L181" t="s" s="25">
        <v>34</v>
      </c>
      <c r="M181" t="s" s="13">
        <v>199</v>
      </c>
      <c r="N181" t="s" s="11">
        <v>34</v>
      </c>
      <c r="O181" t="s" s="11">
        <v>200</v>
      </c>
      <c r="P181" t="s" s="11">
        <v>201</v>
      </c>
      <c r="Q181" t="s" s="11">
        <v>34</v>
      </c>
      <c r="R181" t="s" s="11">
        <v>202</v>
      </c>
      <c r="S181" t="s" s="11">
        <v>34</v>
      </c>
      <c r="T181" t="s" s="13">
        <v>203</v>
      </c>
      <c r="U181" t="s" s="11">
        <v>204</v>
      </c>
      <c r="V181" t="s" s="13">
        <v>205</v>
      </c>
      <c r="W181" t="s" s="11">
        <v>1685</v>
      </c>
      <c r="X181" s="17">
        <f>HYPERLINK("https://my.pitchbook.com?p=398127-07P", "View People Online")</f>
      </c>
    </row>
    <row r="182">
      <c r="A182" t="s" s="10">
        <v>1686</v>
      </c>
      <c r="B182" t="s" s="10">
        <v>1687</v>
      </c>
      <c r="C182" t="s" s="10">
        <v>34</v>
      </c>
      <c r="D182" t="s" s="10">
        <v>273</v>
      </c>
      <c r="E182" t="s" s="10">
        <v>36</v>
      </c>
      <c r="F182" t="s" s="10">
        <v>1688</v>
      </c>
      <c r="G182" t="s" s="10">
        <v>1672</v>
      </c>
      <c r="H182" s="16">
        <f>HYPERLINK("http://www.enplusgroup.com", "www.enplusgroup.com")</f>
      </c>
      <c r="I182" t="s" s="10">
        <v>1689</v>
      </c>
      <c r="J182" t="s" s="24">
        <v>34</v>
      </c>
      <c r="K182" t="s" s="24">
        <v>34</v>
      </c>
      <c r="L182" t="s" s="24">
        <v>34</v>
      </c>
      <c r="M182" t="s" s="12">
        <v>34</v>
      </c>
      <c r="N182" t="s" s="10">
        <v>34</v>
      </c>
      <c r="O182" t="s" s="10">
        <v>34</v>
      </c>
      <c r="P182" t="s" s="10">
        <v>34</v>
      </c>
      <c r="Q182" t="s" s="10">
        <v>34</v>
      </c>
      <c r="R182" t="s" s="10">
        <v>34</v>
      </c>
      <c r="S182" t="s" s="10">
        <v>34</v>
      </c>
      <c r="T182" t="s" s="12">
        <v>34</v>
      </c>
      <c r="U182" t="s" s="10">
        <v>34</v>
      </c>
      <c r="V182" t="s" s="12">
        <v>34</v>
      </c>
      <c r="W182" t="s" s="10">
        <v>1690</v>
      </c>
      <c r="X182" s="16">
        <f>HYPERLINK("https://my.pitchbook.com?p=72050-14P", "View People Online")</f>
      </c>
    </row>
    <row r="183">
      <c r="A183" t="s" s="11">
        <v>1691</v>
      </c>
      <c r="B183" t="s" s="11">
        <v>1692</v>
      </c>
      <c r="C183" t="s" s="11">
        <v>34</v>
      </c>
      <c r="D183" t="s" s="11">
        <v>112</v>
      </c>
      <c r="E183" t="s" s="11">
        <v>36</v>
      </c>
      <c r="F183" t="s" s="11">
        <v>1693</v>
      </c>
      <c r="G183" t="s" s="11">
        <v>1694</v>
      </c>
      <c r="H183" s="17">
        <f>HYPERLINK("http://www.harbourenergy.com", "www.harbourenergy.com")</f>
      </c>
      <c r="I183" t="s" s="11">
        <v>1695</v>
      </c>
      <c r="J183" t="s" s="25">
        <v>34</v>
      </c>
      <c r="K183" s="25">
        <v>1</v>
      </c>
      <c r="L183" t="s" s="25">
        <v>34</v>
      </c>
      <c r="M183" t="s" s="13">
        <v>116</v>
      </c>
      <c r="N183" t="s" s="11">
        <v>1696</v>
      </c>
      <c r="O183" t="s" s="11">
        <v>117</v>
      </c>
      <c r="P183" t="s" s="11">
        <v>118</v>
      </c>
      <c r="Q183" t="s" s="11">
        <v>34</v>
      </c>
      <c r="R183" t="s" s="11">
        <v>119</v>
      </c>
      <c r="S183" t="s" s="11">
        <v>120</v>
      </c>
      <c r="T183" t="s" s="13">
        <v>121</v>
      </c>
      <c r="U183" t="s" s="11">
        <v>122</v>
      </c>
      <c r="V183" t="s" s="13">
        <v>123</v>
      </c>
      <c r="W183" t="s" s="11">
        <v>1697</v>
      </c>
      <c r="X183" s="17">
        <f>HYPERLINK("https://my.pitchbook.com?p=389262-97P", "View People Online")</f>
      </c>
    </row>
    <row r="184">
      <c r="A184" t="s" s="10">
        <v>1698</v>
      </c>
      <c r="B184" t="s" s="10">
        <v>1699</v>
      </c>
      <c r="C184" t="s" s="10">
        <v>34</v>
      </c>
      <c r="D184" t="s" s="10">
        <v>165</v>
      </c>
      <c r="E184" t="s" s="10">
        <v>36</v>
      </c>
      <c r="F184" t="s" s="10">
        <v>1700</v>
      </c>
      <c r="G184" t="s" s="10">
        <v>1701</v>
      </c>
      <c r="H184" s="16">
        <f>HYPERLINK("http://www.erg.eu", "www.erg.eu")</f>
      </c>
      <c r="I184" t="s" s="10">
        <v>1702</v>
      </c>
      <c r="J184" t="s" s="24">
        <v>34</v>
      </c>
      <c r="K184" s="24">
        <v>2</v>
      </c>
      <c r="L184" s="24">
        <v>1</v>
      </c>
      <c r="M184" t="s" s="12">
        <v>1703</v>
      </c>
      <c r="N184" t="s" s="10">
        <v>1704</v>
      </c>
      <c r="O184" t="s" s="10">
        <v>172</v>
      </c>
      <c r="P184" t="s" s="10">
        <v>173</v>
      </c>
      <c r="Q184" t="s" s="10">
        <v>34</v>
      </c>
      <c r="R184" t="s" s="10">
        <v>174</v>
      </c>
      <c r="S184" t="s" s="10">
        <v>34</v>
      </c>
      <c r="T184" t="s" s="12">
        <v>175</v>
      </c>
      <c r="U184" t="s" s="10">
        <v>176</v>
      </c>
      <c r="V184" t="s" s="12">
        <v>177</v>
      </c>
      <c r="W184" t="s" s="10">
        <v>1705</v>
      </c>
      <c r="X184" s="16">
        <f>HYPERLINK("https://my.pitchbook.com?p=227667-52P", "View People Online")</f>
      </c>
    </row>
    <row r="185">
      <c r="A185" t="s" s="11">
        <v>1706</v>
      </c>
      <c r="B185" t="s" s="11">
        <v>1707</v>
      </c>
      <c r="C185" t="s" s="11">
        <v>34</v>
      </c>
      <c r="D185" t="s" s="11">
        <v>181</v>
      </c>
      <c r="E185" t="s" s="11">
        <v>36</v>
      </c>
      <c r="F185" t="s" s="11">
        <v>1708</v>
      </c>
      <c r="G185" t="s" s="11">
        <v>1709</v>
      </c>
      <c r="H185" s="17">
        <f>HYPERLINK("http://www.erg.eu", "www.erg.eu")</f>
      </c>
      <c r="I185" t="s" s="11">
        <v>1710</v>
      </c>
      <c r="J185" t="s" s="25">
        <v>34</v>
      </c>
      <c r="K185" t="s" s="25">
        <v>34</v>
      </c>
      <c r="L185" t="s" s="25">
        <v>34</v>
      </c>
      <c r="M185" t="s" s="13">
        <v>34</v>
      </c>
      <c r="N185" t="s" s="11">
        <v>34</v>
      </c>
      <c r="O185" t="s" s="11">
        <v>34</v>
      </c>
      <c r="P185" t="s" s="11">
        <v>34</v>
      </c>
      <c r="Q185" t="s" s="11">
        <v>34</v>
      </c>
      <c r="R185" t="s" s="11">
        <v>34</v>
      </c>
      <c r="S185" t="s" s="11">
        <v>34</v>
      </c>
      <c r="T185" t="s" s="13">
        <v>34</v>
      </c>
      <c r="U185" t="s" s="11">
        <v>34</v>
      </c>
      <c r="V185" t="s" s="13">
        <v>34</v>
      </c>
      <c r="W185" t="s" s="11">
        <v>1711</v>
      </c>
      <c r="X185" s="17">
        <f>HYPERLINK("https://my.pitchbook.com?p=91525-42P", "View People Online")</f>
      </c>
    </row>
    <row r="186">
      <c r="A186" t="s" s="10">
        <v>1712</v>
      </c>
      <c r="B186" t="s" s="10">
        <v>1713</v>
      </c>
      <c r="C186" t="s" s="10">
        <v>34</v>
      </c>
      <c r="D186" t="s" s="10">
        <v>187</v>
      </c>
      <c r="E186" t="s" s="10">
        <v>36</v>
      </c>
      <c r="F186" t="s" s="10">
        <v>1714</v>
      </c>
      <c r="G186" t="s" s="10">
        <v>1715</v>
      </c>
      <c r="H186" s="16">
        <f>HYPERLINK("http://www.diacorporate.com", "www.diacorporate.com")</f>
      </c>
      <c r="I186" t="s" s="10">
        <v>1716</v>
      </c>
      <c r="J186" t="s" s="24">
        <v>34</v>
      </c>
      <c r="K186" t="s" s="24">
        <v>34</v>
      </c>
      <c r="L186" t="s" s="24">
        <v>34</v>
      </c>
      <c r="M186" t="s" s="12">
        <v>34</v>
      </c>
      <c r="N186" t="s" s="10">
        <v>34</v>
      </c>
      <c r="O186" t="s" s="10">
        <v>34</v>
      </c>
      <c r="P186" t="s" s="10">
        <v>34</v>
      </c>
      <c r="Q186" t="s" s="10">
        <v>34</v>
      </c>
      <c r="R186" t="s" s="10">
        <v>34</v>
      </c>
      <c r="S186" t="s" s="10">
        <v>34</v>
      </c>
      <c r="T186" t="s" s="12">
        <v>34</v>
      </c>
      <c r="U186" t="s" s="10">
        <v>34</v>
      </c>
      <c r="V186" t="s" s="12">
        <v>34</v>
      </c>
      <c r="W186" t="s" s="10">
        <v>1717</v>
      </c>
      <c r="X186" s="16">
        <f>HYPERLINK("https://my.pitchbook.com?p=200438-74P", "View People Online")</f>
      </c>
    </row>
    <row r="187">
      <c r="A187" t="s" s="11">
        <v>1718</v>
      </c>
      <c r="B187" t="s" s="11">
        <v>1719</v>
      </c>
      <c r="C187" t="s" s="11">
        <v>34</v>
      </c>
      <c r="D187" t="s" s="11">
        <v>1720</v>
      </c>
      <c r="E187" t="s" s="11">
        <v>36</v>
      </c>
      <c r="F187" t="s" s="11">
        <v>1721</v>
      </c>
      <c r="G187" t="s" s="11">
        <v>1715</v>
      </c>
      <c r="H187" s="17">
        <f>HYPERLINK("http://www.holaluz.com", "www.holaluz.com")</f>
      </c>
      <c r="I187" t="s" s="11">
        <v>108</v>
      </c>
      <c r="J187" t="s" s="25">
        <v>34</v>
      </c>
      <c r="K187" t="s" s="25">
        <v>34</v>
      </c>
      <c r="L187" t="s" s="25">
        <v>34</v>
      </c>
      <c r="M187" t="s" s="13">
        <v>34</v>
      </c>
      <c r="N187" t="s" s="11">
        <v>34</v>
      </c>
      <c r="O187" t="s" s="11">
        <v>34</v>
      </c>
      <c r="P187" t="s" s="11">
        <v>34</v>
      </c>
      <c r="Q187" t="s" s="11">
        <v>34</v>
      </c>
      <c r="R187" t="s" s="11">
        <v>34</v>
      </c>
      <c r="S187" t="s" s="11">
        <v>34</v>
      </c>
      <c r="T187" t="s" s="13">
        <v>34</v>
      </c>
      <c r="U187" t="s" s="11">
        <v>34</v>
      </c>
      <c r="V187" t="s" s="13">
        <v>34</v>
      </c>
      <c r="W187" t="s" s="11">
        <v>1723</v>
      </c>
      <c r="X187" s="17">
        <f>HYPERLINK("https://my.pitchbook.com?p=287269-39P", "View People Online")</f>
      </c>
    </row>
    <row r="188">
      <c r="A188" t="s" s="10">
        <v>1724</v>
      </c>
      <c r="B188" t="s" s="10">
        <v>1725</v>
      </c>
      <c r="C188" t="s" s="10">
        <v>34</v>
      </c>
      <c r="D188" t="s" s="10">
        <v>273</v>
      </c>
      <c r="E188" t="s" s="10">
        <v>36</v>
      </c>
      <c r="F188" t="s" s="10">
        <v>1726</v>
      </c>
      <c r="G188" t="s" s="10">
        <v>1727</v>
      </c>
      <c r="H188" s="16">
        <f>HYPERLINK("http://www.enplusgroup.com", "www.enplusgroup.com")</f>
      </c>
      <c r="I188" t="s" s="10">
        <v>1728</v>
      </c>
      <c r="J188" t="s" s="24">
        <v>34</v>
      </c>
      <c r="K188" t="s" s="24">
        <v>34</v>
      </c>
      <c r="L188" t="s" s="24">
        <v>34</v>
      </c>
      <c r="M188" t="s" s="12">
        <v>34</v>
      </c>
      <c r="N188" t="s" s="10">
        <v>34</v>
      </c>
      <c r="O188" t="s" s="10">
        <v>34</v>
      </c>
      <c r="P188" t="s" s="10">
        <v>34</v>
      </c>
      <c r="Q188" t="s" s="10">
        <v>34</v>
      </c>
      <c r="R188" t="s" s="10">
        <v>34</v>
      </c>
      <c r="S188" t="s" s="10">
        <v>34</v>
      </c>
      <c r="T188" t="s" s="12">
        <v>34</v>
      </c>
      <c r="U188" t="s" s="10">
        <v>34</v>
      </c>
      <c r="V188" t="s" s="12">
        <v>34</v>
      </c>
      <c r="W188" t="s" s="10">
        <v>1729</v>
      </c>
      <c r="X188" s="16">
        <f>HYPERLINK("https://my.pitchbook.com?p=72047-80P", "View People Online")</f>
      </c>
    </row>
    <row r="189">
      <c r="A189" t="s" s="11">
        <v>1730</v>
      </c>
      <c r="B189" t="s" s="11">
        <v>1731</v>
      </c>
      <c r="C189" t="s" s="11">
        <v>34</v>
      </c>
      <c r="D189" t="s" s="11">
        <v>273</v>
      </c>
      <c r="E189" t="s" s="11">
        <v>36</v>
      </c>
      <c r="F189" t="s" s="11">
        <v>1732</v>
      </c>
      <c r="G189" t="s" s="11">
        <v>1727</v>
      </c>
      <c r="H189" s="17">
        <f>HYPERLINK("http://www.enplusgroup.com", "www.enplusgroup.com")</f>
      </c>
      <c r="I189" t="s" s="11">
        <v>1733</v>
      </c>
      <c r="J189" t="s" s="25">
        <v>34</v>
      </c>
      <c r="K189" t="s" s="25">
        <v>34</v>
      </c>
      <c r="L189" t="s" s="25">
        <v>34</v>
      </c>
      <c r="M189" t="s" s="13">
        <v>34</v>
      </c>
      <c r="N189" t="s" s="11">
        <v>34</v>
      </c>
      <c r="O189" t="s" s="11">
        <v>34</v>
      </c>
      <c r="P189" t="s" s="11">
        <v>34</v>
      </c>
      <c r="Q189" t="s" s="11">
        <v>34</v>
      </c>
      <c r="R189" t="s" s="11">
        <v>34</v>
      </c>
      <c r="S189" t="s" s="11">
        <v>34</v>
      </c>
      <c r="T189" t="s" s="13">
        <v>34</v>
      </c>
      <c r="U189" t="s" s="11">
        <v>34</v>
      </c>
      <c r="V189" t="s" s="13">
        <v>34</v>
      </c>
      <c r="W189" t="s" s="11">
        <v>1734</v>
      </c>
      <c r="X189" s="17">
        <f>HYPERLINK("https://my.pitchbook.com?p=72048-52P", "View People Online")</f>
      </c>
    </row>
    <row r="190">
      <c r="A190" t="s" s="10">
        <v>1735</v>
      </c>
      <c r="B190" t="s" s="10">
        <v>1736</v>
      </c>
      <c r="C190" t="s" s="10">
        <v>34</v>
      </c>
      <c r="D190" t="s" s="10">
        <v>517</v>
      </c>
      <c r="E190" t="s" s="10">
        <v>36</v>
      </c>
      <c r="F190" t="s" s="10">
        <v>1737</v>
      </c>
      <c r="G190" t="s" s="10">
        <v>1738</v>
      </c>
      <c r="H190" s="16">
        <f>HYPERLINK("http://www.vk.company", "www.vk.company")</f>
      </c>
      <c r="I190" t="s" s="10">
        <v>1739</v>
      </c>
      <c r="J190" t="s" s="24">
        <v>34</v>
      </c>
      <c r="K190" t="s" s="24">
        <v>34</v>
      </c>
      <c r="L190" t="s" s="24">
        <v>34</v>
      </c>
      <c r="M190" t="s" s="12">
        <v>34</v>
      </c>
      <c r="N190" t="s" s="10">
        <v>34</v>
      </c>
      <c r="O190" t="s" s="10">
        <v>34</v>
      </c>
      <c r="P190" t="s" s="10">
        <v>34</v>
      </c>
      <c r="Q190" t="s" s="10">
        <v>34</v>
      </c>
      <c r="R190" t="s" s="10">
        <v>34</v>
      </c>
      <c r="S190" t="s" s="10">
        <v>34</v>
      </c>
      <c r="T190" t="s" s="12">
        <v>34</v>
      </c>
      <c r="U190" t="s" s="10">
        <v>34</v>
      </c>
      <c r="V190" t="s" s="12">
        <v>34</v>
      </c>
      <c r="W190" t="s" s="10">
        <v>1740</v>
      </c>
      <c r="X190" s="16">
        <f>HYPERLINK("https://my.pitchbook.com?p=33268-60P", "View People Online")</f>
      </c>
    </row>
    <row r="191">
      <c r="A191" t="s" s="11">
        <v>1741</v>
      </c>
      <c r="B191" t="s" s="11">
        <v>1742</v>
      </c>
      <c r="C191" t="s" s="11">
        <v>34</v>
      </c>
      <c r="D191" t="s" s="11">
        <v>1743</v>
      </c>
      <c r="E191" t="s" s="11">
        <v>36</v>
      </c>
      <c r="F191" t="s" s="11">
        <v>1744</v>
      </c>
      <c r="G191" t="s" s="11">
        <v>1745</v>
      </c>
      <c r="H191" s="17">
        <f>HYPERLINK("http://www.vulcanminerals.ca", "www.vulcanminerals.ca")</f>
      </c>
      <c r="I191" t="s" s="11">
        <v>108</v>
      </c>
      <c r="J191" s="25">
        <v>2</v>
      </c>
      <c r="K191" s="25">
        <v>2</v>
      </c>
      <c r="L191" t="s" s="25">
        <v>34</v>
      </c>
      <c r="M191" t="s" s="13">
        <v>1747</v>
      </c>
      <c r="N191" t="s" s="11">
        <v>1748</v>
      </c>
      <c r="O191" t="s" s="11">
        <v>1749</v>
      </c>
      <c r="P191" t="s" s="11">
        <v>1750</v>
      </c>
      <c r="Q191" t="s" s="11">
        <v>34</v>
      </c>
      <c r="R191" t="s" s="11">
        <v>1751</v>
      </c>
      <c r="S191" t="s" s="11">
        <v>1752</v>
      </c>
      <c r="T191" t="s" s="13">
        <v>1753</v>
      </c>
      <c r="U191" t="s" s="11">
        <v>917</v>
      </c>
      <c r="V191" t="s" s="13">
        <v>34</v>
      </c>
      <c r="W191" t="s" s="11">
        <v>1754</v>
      </c>
      <c r="X191" s="17">
        <f>HYPERLINK("https://my.pitchbook.com?p=217475-02P", "View People Online")</f>
      </c>
    </row>
    <row r="192">
      <c r="A192" t="s" s="10">
        <v>1755</v>
      </c>
      <c r="B192" t="s" s="10">
        <v>1756</v>
      </c>
      <c r="C192" t="s" s="10">
        <v>34</v>
      </c>
      <c r="D192" t="s" s="10">
        <v>1757</v>
      </c>
      <c r="E192" t="s" s="10">
        <v>36</v>
      </c>
      <c r="F192" t="s" s="10">
        <v>1758</v>
      </c>
      <c r="G192" t="s" s="10">
        <v>1759</v>
      </c>
      <c r="H192" s="16">
        <f>HYPERLINK("http://www.rosneft.com", "www.rosneft.com")</f>
      </c>
      <c r="I192" t="s" s="10">
        <v>1761</v>
      </c>
      <c r="J192" s="24">
        <v>1</v>
      </c>
      <c r="K192" s="24">
        <v>1</v>
      </c>
      <c r="L192" t="s" s="24">
        <v>34</v>
      </c>
      <c r="M192" t="s" s="12">
        <v>1762</v>
      </c>
      <c r="N192" t="s" s="10">
        <v>34</v>
      </c>
      <c r="O192" t="s" s="10">
        <v>200</v>
      </c>
      <c r="P192" t="s" s="10">
        <v>1763</v>
      </c>
      <c r="Q192" t="s" s="10">
        <v>1764</v>
      </c>
      <c r="R192" t="s" s="10">
        <v>202</v>
      </c>
      <c r="S192" t="s" s="10">
        <v>34</v>
      </c>
      <c r="T192" t="s" s="12">
        <v>1765</v>
      </c>
      <c r="U192" t="s" s="10">
        <v>204</v>
      </c>
      <c r="V192" t="s" s="12">
        <v>1766</v>
      </c>
      <c r="W192" t="s" s="10">
        <v>1767</v>
      </c>
      <c r="X192" s="16">
        <f>HYPERLINK("https://my.pitchbook.com?p=217487-08P", "View People Online")</f>
      </c>
    </row>
    <row r="193">
      <c r="A193" t="s" s="11">
        <v>1768</v>
      </c>
      <c r="B193" t="s" s="11">
        <v>1769</v>
      </c>
      <c r="C193" t="s" s="11">
        <v>34</v>
      </c>
      <c r="D193" t="s" s="11">
        <v>539</v>
      </c>
      <c r="E193" t="s" s="11">
        <v>36</v>
      </c>
      <c r="F193" t="s" s="11">
        <v>1770</v>
      </c>
      <c r="G193" t="s" s="11">
        <v>1771</v>
      </c>
      <c r="H193" s="17">
        <f>HYPERLINK("http://v-er.eu", "v-er.eu")</f>
      </c>
      <c r="I193" t="s" s="11">
        <v>230</v>
      </c>
      <c r="J193" s="25">
        <v>1</v>
      </c>
      <c r="K193" s="25">
        <v>1</v>
      </c>
      <c r="L193" t="s" s="25">
        <v>34</v>
      </c>
      <c r="M193" t="s" s="13">
        <v>544</v>
      </c>
      <c r="N193" t="s" s="11">
        <v>1772</v>
      </c>
      <c r="O193" t="s" s="11">
        <v>51</v>
      </c>
      <c r="P193" t="s" s="11">
        <v>546</v>
      </c>
      <c r="Q193" t="s" s="11">
        <v>547</v>
      </c>
      <c r="R193" t="s" s="11">
        <v>54</v>
      </c>
      <c r="S193" t="s" s="11">
        <v>55</v>
      </c>
      <c r="T193" t="s" s="13">
        <v>56</v>
      </c>
      <c r="U193" t="s" s="11">
        <v>57</v>
      </c>
      <c r="V193" t="s" s="13">
        <v>34</v>
      </c>
      <c r="W193" t="s" s="11">
        <v>1773</v>
      </c>
      <c r="X193" s="17">
        <f>HYPERLINK("https://my.pitchbook.com?p=325056-34P", "View People Online")</f>
      </c>
    </row>
    <row r="194">
      <c r="A194" t="s" s="10">
        <v>1774</v>
      </c>
      <c r="B194" t="s" s="10">
        <v>1775</v>
      </c>
      <c r="C194" t="s" s="10">
        <v>34</v>
      </c>
      <c r="D194" t="s" s="10">
        <v>1776</v>
      </c>
      <c r="E194" t="s" s="10">
        <v>36</v>
      </c>
      <c r="F194" t="s" s="10">
        <v>1777</v>
      </c>
      <c r="G194" t="s" s="10">
        <v>1778</v>
      </c>
      <c r="H194" s="16">
        <f>HYPERLINK("http://www.mvideoeldorado.ru", "www.mvideoeldorado.ru")</f>
      </c>
      <c r="I194" t="s" s="10">
        <v>1780</v>
      </c>
      <c r="J194" t="s" s="24">
        <v>34</v>
      </c>
      <c r="K194" s="24">
        <v>1</v>
      </c>
      <c r="L194" t="s" s="24">
        <v>34</v>
      </c>
      <c r="M194" t="s" s="12">
        <v>1781</v>
      </c>
      <c r="N194" t="s" s="10">
        <v>1782</v>
      </c>
      <c r="O194" t="s" s="10">
        <v>200</v>
      </c>
      <c r="P194" t="s" s="10">
        <v>1783</v>
      </c>
      <c r="Q194" t="s" s="10">
        <v>1784</v>
      </c>
      <c r="R194" t="s" s="10">
        <v>202</v>
      </c>
      <c r="S194" t="s" s="10">
        <v>34</v>
      </c>
      <c r="T194" t="s" s="12">
        <v>1785</v>
      </c>
      <c r="U194" t="s" s="10">
        <v>204</v>
      </c>
      <c r="V194" t="s" s="12">
        <v>34</v>
      </c>
      <c r="W194" t="s" s="10">
        <v>1786</v>
      </c>
      <c r="X194" s="16">
        <f>HYPERLINK("https://my.pitchbook.com?p=438156-64P", "View People Online")</f>
      </c>
    </row>
    <row r="195">
      <c r="A195" t="s" s="11">
        <v>1787</v>
      </c>
      <c r="B195" t="s" s="11">
        <v>1788</v>
      </c>
      <c r="C195" t="s" s="11">
        <v>34</v>
      </c>
      <c r="D195" t="s" s="11">
        <v>112</v>
      </c>
      <c r="E195" t="s" s="11">
        <v>36</v>
      </c>
      <c r="F195" t="s" s="11">
        <v>1789</v>
      </c>
      <c r="G195" t="s" s="11">
        <v>1790</v>
      </c>
      <c r="H195" s="17">
        <f>HYPERLINK("http://www.harbourenergy.com", "www.harbourenergy.com")</f>
      </c>
      <c r="I195" t="s" s="11">
        <v>1791</v>
      </c>
      <c r="J195" t="s" s="25">
        <v>34</v>
      </c>
      <c r="K195" s="25">
        <v>1</v>
      </c>
      <c r="L195" t="s" s="25">
        <v>34</v>
      </c>
      <c r="M195" t="s" s="13">
        <v>116</v>
      </c>
      <c r="N195" t="s" s="11">
        <v>1792</v>
      </c>
      <c r="O195" t="s" s="11">
        <v>117</v>
      </c>
      <c r="P195" t="s" s="11">
        <v>118</v>
      </c>
      <c r="Q195" t="s" s="11">
        <v>34</v>
      </c>
      <c r="R195" t="s" s="11">
        <v>119</v>
      </c>
      <c r="S195" t="s" s="11">
        <v>120</v>
      </c>
      <c r="T195" t="s" s="13">
        <v>121</v>
      </c>
      <c r="U195" t="s" s="11">
        <v>122</v>
      </c>
      <c r="V195" t="s" s="13">
        <v>123</v>
      </c>
      <c r="W195" t="s" s="11">
        <v>1793</v>
      </c>
      <c r="X195" s="17">
        <f>HYPERLINK("https://my.pitchbook.com?p=424701-46P", "View People Online")</f>
      </c>
    </row>
    <row r="196">
      <c r="A196" t="s" s="10">
        <v>1794</v>
      </c>
      <c r="B196" t="s" s="10">
        <v>1795</v>
      </c>
      <c r="C196" t="s" s="10">
        <v>34</v>
      </c>
      <c r="D196" t="s" s="10">
        <v>1796</v>
      </c>
      <c r="E196" t="s" s="10">
        <v>36</v>
      </c>
      <c r="F196" t="s" s="10">
        <v>1797</v>
      </c>
      <c r="G196" t="s" s="10">
        <v>1798</v>
      </c>
      <c r="H196" s="16">
        <f>HYPERLINK("http://www.banksc.com", "www.banksc.com")</f>
      </c>
      <c r="I196" t="s" s="10">
        <v>1249</v>
      </c>
      <c r="J196" s="24">
        <v>1</v>
      </c>
      <c r="K196" s="24">
        <v>1</v>
      </c>
      <c r="L196" t="s" s="24">
        <v>34</v>
      </c>
      <c r="M196" t="s" s="12">
        <v>1800</v>
      </c>
      <c r="N196" t="s" s="10">
        <v>34</v>
      </c>
      <c r="O196" t="s" s="10">
        <v>1801</v>
      </c>
      <c r="P196" t="s" s="10">
        <v>1802</v>
      </c>
      <c r="Q196" t="s" s="10">
        <v>34</v>
      </c>
      <c r="R196" t="s" s="10">
        <v>1803</v>
      </c>
      <c r="S196" t="s" s="10">
        <v>1280</v>
      </c>
      <c r="T196" t="s" s="12">
        <v>1804</v>
      </c>
      <c r="U196" t="s" s="10">
        <v>161</v>
      </c>
      <c r="V196" t="s" s="12">
        <v>1805</v>
      </c>
      <c r="W196" t="s" s="10">
        <v>1806</v>
      </c>
      <c r="X196" s="16">
        <f>HYPERLINK("https://my.pitchbook.com?p=217561-69P", "View People Online")</f>
      </c>
    </row>
    <row r="197">
      <c r="A197" t="s" s="11">
        <v>1807</v>
      </c>
      <c r="B197" t="s" s="11">
        <v>1808</v>
      </c>
      <c r="C197" t="s" s="11">
        <v>34</v>
      </c>
      <c r="D197" t="s" s="11">
        <v>539</v>
      </c>
      <c r="E197" t="s" s="11">
        <v>36</v>
      </c>
      <c r="F197" t="s" s="11">
        <v>1809</v>
      </c>
      <c r="G197" t="s" s="11">
        <v>1810</v>
      </c>
      <c r="H197" s="17">
        <f>HYPERLINK("http://v-er.eu", "v-er.eu")</f>
      </c>
      <c r="I197" t="s" s="11">
        <v>1811</v>
      </c>
      <c r="J197" s="25">
        <v>1</v>
      </c>
      <c r="K197" s="25">
        <v>5</v>
      </c>
      <c r="L197" s="25">
        <v>4</v>
      </c>
      <c r="M197" t="s" s="13">
        <v>544</v>
      </c>
      <c r="N197" t="s" s="11">
        <v>1812</v>
      </c>
      <c r="O197" t="s" s="11">
        <v>51</v>
      </c>
      <c r="P197" t="s" s="11">
        <v>546</v>
      </c>
      <c r="Q197" t="s" s="11">
        <v>547</v>
      </c>
      <c r="R197" t="s" s="11">
        <v>54</v>
      </c>
      <c r="S197" t="s" s="11">
        <v>55</v>
      </c>
      <c r="T197" t="s" s="13">
        <v>56</v>
      </c>
      <c r="U197" t="s" s="11">
        <v>57</v>
      </c>
      <c r="V197" t="s" s="13">
        <v>34</v>
      </c>
      <c r="W197" t="s" s="11">
        <v>1813</v>
      </c>
      <c r="X197" s="17">
        <f>HYPERLINK("https://my.pitchbook.com?p=226109-26P", "View People Online")</f>
      </c>
    </row>
    <row r="198">
      <c r="A198" t="s" s="10">
        <v>1814</v>
      </c>
      <c r="B198" t="s" s="10">
        <v>1815</v>
      </c>
      <c r="C198" t="s" s="10">
        <v>34</v>
      </c>
      <c r="D198" t="s" s="10">
        <v>1816</v>
      </c>
      <c r="E198" t="s" s="10">
        <v>36</v>
      </c>
      <c r="F198" t="s" s="10">
        <v>1817</v>
      </c>
      <c r="G198" t="s" s="10">
        <v>1818</v>
      </c>
      <c r="H198" s="16">
        <f>HYPERLINK("http://www.caixabank.com", "www.caixabank.com")</f>
      </c>
      <c r="I198" t="s" s="10">
        <v>1820</v>
      </c>
      <c r="J198" s="24">
        <v>1</v>
      </c>
      <c r="K198" s="24">
        <v>1</v>
      </c>
      <c r="L198" t="s" s="24">
        <v>34</v>
      </c>
      <c r="M198" t="s" s="12">
        <v>34</v>
      </c>
      <c r="N198" t="s" s="10">
        <v>34</v>
      </c>
      <c r="O198" t="s" s="10">
        <v>1821</v>
      </c>
      <c r="P198" t="s" s="10">
        <v>1822</v>
      </c>
      <c r="Q198" t="s" s="10">
        <v>34</v>
      </c>
      <c r="R198" t="s" s="10">
        <v>1823</v>
      </c>
      <c r="S198" t="s" s="10">
        <v>34</v>
      </c>
      <c r="T198" t="s" s="12">
        <v>1824</v>
      </c>
      <c r="U198" t="s" s="10">
        <v>653</v>
      </c>
      <c r="V198" t="s" s="12">
        <v>34</v>
      </c>
      <c r="W198" t="s" s="10">
        <v>1825</v>
      </c>
      <c r="X198" s="16">
        <f>HYPERLINK("https://my.pitchbook.com?p=421724-53P", "View People Online")</f>
      </c>
    </row>
    <row r="199">
      <c r="A199" t="s" s="11">
        <v>1826</v>
      </c>
      <c r="B199" t="s" s="11">
        <v>1827</v>
      </c>
      <c r="C199" t="s" s="11">
        <v>34</v>
      </c>
      <c r="D199" t="s" s="11">
        <v>1108</v>
      </c>
      <c r="E199" t="s" s="11">
        <v>36</v>
      </c>
      <c r="F199" t="s" s="11">
        <v>1828</v>
      </c>
      <c r="G199" t="s" s="11">
        <v>1829</v>
      </c>
      <c r="H199" s="17">
        <f>HYPERLINK("http://www.falcores.com", "www.falcores.com")</f>
      </c>
      <c r="I199" t="s" s="11">
        <v>764</v>
      </c>
      <c r="J199" t="s" s="25">
        <v>34</v>
      </c>
      <c r="K199" t="s" s="25">
        <v>34</v>
      </c>
      <c r="L199" t="s" s="25">
        <v>34</v>
      </c>
      <c r="M199" t="s" s="13">
        <v>34</v>
      </c>
      <c r="N199" t="s" s="11">
        <v>1830</v>
      </c>
      <c r="O199" t="s" s="11">
        <v>34</v>
      </c>
      <c r="P199" t="s" s="11">
        <v>34</v>
      </c>
      <c r="Q199" t="s" s="11">
        <v>34</v>
      </c>
      <c r="R199" t="s" s="11">
        <v>34</v>
      </c>
      <c r="S199" t="s" s="11">
        <v>34</v>
      </c>
      <c r="T199" t="s" s="13">
        <v>34</v>
      </c>
      <c r="U199" t="s" s="11">
        <v>34</v>
      </c>
      <c r="V199" t="s" s="13">
        <v>34</v>
      </c>
      <c r="W199" t="s" s="11">
        <v>1831</v>
      </c>
      <c r="X199" s="17">
        <f>HYPERLINK("https://my.pitchbook.com?p=291868-93P", "View People Online")</f>
      </c>
    </row>
    <row r="200">
      <c r="A200" t="s" s="10">
        <v>1832</v>
      </c>
      <c r="B200" t="s" s="10">
        <v>1833</v>
      </c>
      <c r="C200" t="s" s="10">
        <v>34</v>
      </c>
      <c r="D200" t="s" s="10">
        <v>1834</v>
      </c>
      <c r="E200" t="s" s="10">
        <v>36</v>
      </c>
      <c r="F200" t="s" s="10">
        <v>1835</v>
      </c>
      <c r="G200" t="s" s="10">
        <v>1836</v>
      </c>
      <c r="H200" s="16">
        <f>HYPERLINK("http://www.allogene.com", "www.allogene.com")</f>
      </c>
      <c r="I200" t="s" s="10">
        <v>108</v>
      </c>
      <c r="J200" s="24">
        <v>3</v>
      </c>
      <c r="K200" s="24">
        <v>7</v>
      </c>
      <c r="L200" s="24">
        <v>3</v>
      </c>
      <c r="M200" t="s" s="12">
        <v>1838</v>
      </c>
      <c r="N200" t="s" s="10">
        <v>34</v>
      </c>
      <c r="O200" t="s" s="10">
        <v>1839</v>
      </c>
      <c r="P200" t="s" s="10">
        <v>1840</v>
      </c>
      <c r="Q200" t="s" s="10">
        <v>34</v>
      </c>
      <c r="R200" t="s" s="10">
        <v>1841</v>
      </c>
      <c r="S200" t="s" s="10">
        <v>159</v>
      </c>
      <c r="T200" t="s" s="12">
        <v>1842</v>
      </c>
      <c r="U200" t="s" s="10">
        <v>161</v>
      </c>
      <c r="V200" t="s" s="12">
        <v>34</v>
      </c>
      <c r="W200" t="s" s="10">
        <v>1843</v>
      </c>
      <c r="X200" s="16">
        <f>HYPERLINK("https://my.pitchbook.com?p=49423-33P", "View People Online")</f>
      </c>
    </row>
    <row r="201">
      <c r="A201" t="s" s="11">
        <v>1844</v>
      </c>
      <c r="B201" t="s" s="11">
        <v>1845</v>
      </c>
      <c r="C201" t="s" s="11">
        <v>34</v>
      </c>
      <c r="D201" t="s" s="11">
        <v>1389</v>
      </c>
      <c r="E201" t="s" s="11">
        <v>36</v>
      </c>
      <c r="F201" t="s" s="11">
        <v>1846</v>
      </c>
      <c r="G201" t="s" s="11">
        <v>1847</v>
      </c>
      <c r="H201" s="17">
        <f>HYPERLINK("http://www.harbourenergy.com", "www.harbourenergy.com")</f>
      </c>
      <c r="I201" t="s" s="11">
        <v>108</v>
      </c>
      <c r="J201" s="25">
        <v>1</v>
      </c>
      <c r="K201" s="25">
        <v>1</v>
      </c>
      <c r="L201" t="s" s="25">
        <v>34</v>
      </c>
      <c r="M201" t="s" s="13">
        <v>1848</v>
      </c>
      <c r="N201" t="s" s="11">
        <v>34</v>
      </c>
      <c r="O201" t="s" s="11">
        <v>1849</v>
      </c>
      <c r="P201" t="s" s="11">
        <v>1850</v>
      </c>
      <c r="Q201" t="s" s="11">
        <v>1851</v>
      </c>
      <c r="R201" t="s" s="11">
        <v>1852</v>
      </c>
      <c r="S201" t="s" s="11">
        <v>1853</v>
      </c>
      <c r="T201" t="s" s="13">
        <v>34</v>
      </c>
      <c r="U201" t="s" s="11">
        <v>161</v>
      </c>
      <c r="V201" t="s" s="13">
        <v>34</v>
      </c>
      <c r="W201" t="s" s="11">
        <v>1854</v>
      </c>
      <c r="X201" s="17">
        <f>HYPERLINK("https://my.pitchbook.com?p=261798-04P", "View People Online")</f>
      </c>
    </row>
    <row r="202">
      <c r="A202" t="s" s="10">
        <v>1855</v>
      </c>
      <c r="B202" t="s" s="10">
        <v>1856</v>
      </c>
      <c r="C202" t="s" s="10">
        <v>34</v>
      </c>
      <c r="D202" t="s" s="10">
        <v>1857</v>
      </c>
      <c r="E202" t="s" s="10">
        <v>36</v>
      </c>
      <c r="F202" t="s" s="10">
        <v>1858</v>
      </c>
      <c r="G202" t="s" s="10">
        <v>1859</v>
      </c>
      <c r="H202" s="16">
        <f>HYPERLINK("http://www.oxy.com", "www.oxy.com")</f>
      </c>
      <c r="I202" t="s" s="10">
        <v>108</v>
      </c>
      <c r="J202" t="s" s="24">
        <v>34</v>
      </c>
      <c r="K202" t="s" s="24">
        <v>34</v>
      </c>
      <c r="L202" t="s" s="24">
        <v>34</v>
      </c>
      <c r="M202" t="s" s="12">
        <v>34</v>
      </c>
      <c r="N202" t="s" s="10">
        <v>34</v>
      </c>
      <c r="O202" t="s" s="10">
        <v>34</v>
      </c>
      <c r="P202" t="s" s="10">
        <v>34</v>
      </c>
      <c r="Q202" t="s" s="10">
        <v>34</v>
      </c>
      <c r="R202" t="s" s="10">
        <v>34</v>
      </c>
      <c r="S202" t="s" s="10">
        <v>34</v>
      </c>
      <c r="T202" t="s" s="12">
        <v>34</v>
      </c>
      <c r="U202" t="s" s="10">
        <v>34</v>
      </c>
      <c r="V202" t="s" s="12">
        <v>34</v>
      </c>
      <c r="W202" t="s" s="10">
        <v>1861</v>
      </c>
      <c r="X202" s="16">
        <f>HYPERLINK("https://my.pitchbook.com?p=255156-22P", "View People Online")</f>
      </c>
    </row>
    <row r="203">
      <c r="A203" t="s" s="11">
        <v>1862</v>
      </c>
      <c r="B203" t="s" s="11">
        <v>1863</v>
      </c>
      <c r="C203" t="s" s="11">
        <v>34</v>
      </c>
      <c r="D203" t="s" s="11">
        <v>1864</v>
      </c>
      <c r="E203" t="s" s="11">
        <v>36</v>
      </c>
      <c r="F203" t="s" s="11">
        <v>1865</v>
      </c>
      <c r="G203" t="s" s="11">
        <v>1866</v>
      </c>
      <c r="H203" s="17">
        <f>HYPERLINK("http://www.mondelezinternational.com", "www.mondelezinternational.com")</f>
      </c>
      <c r="I203" t="s" s="11">
        <v>1868</v>
      </c>
      <c r="J203" t="s" s="25">
        <v>34</v>
      </c>
      <c r="K203" t="s" s="25">
        <v>34</v>
      </c>
      <c r="L203" t="s" s="25">
        <v>34</v>
      </c>
      <c r="M203" t="s" s="13">
        <v>34</v>
      </c>
      <c r="N203" t="s" s="11">
        <v>34</v>
      </c>
      <c r="O203" t="s" s="11">
        <v>34</v>
      </c>
      <c r="P203" t="s" s="11">
        <v>34</v>
      </c>
      <c r="Q203" t="s" s="11">
        <v>34</v>
      </c>
      <c r="R203" t="s" s="11">
        <v>34</v>
      </c>
      <c r="S203" t="s" s="11">
        <v>34</v>
      </c>
      <c r="T203" t="s" s="13">
        <v>34</v>
      </c>
      <c r="U203" t="s" s="11">
        <v>34</v>
      </c>
      <c r="V203" t="s" s="13">
        <v>34</v>
      </c>
      <c r="W203" t="s" s="11">
        <v>1869</v>
      </c>
      <c r="X203" s="17">
        <f>HYPERLINK("https://my.pitchbook.com?p=144973-36P", "View People Online")</f>
      </c>
    </row>
    <row r="204">
      <c r="A204" t="s" s="10">
        <v>1870</v>
      </c>
      <c r="B204" t="s" s="10">
        <v>1871</v>
      </c>
      <c r="C204" t="s" s="10">
        <v>34</v>
      </c>
      <c r="D204" t="s" s="10">
        <v>1872</v>
      </c>
      <c r="E204" t="s" s="10">
        <v>36</v>
      </c>
      <c r="F204" t="s" s="10">
        <v>1858</v>
      </c>
      <c r="G204" t="s" s="10">
        <v>1866</v>
      </c>
      <c r="H204" s="16">
        <f>HYPERLINK("http://www.bausch.com", "www.bausch.com")</f>
      </c>
      <c r="I204" t="s" s="10">
        <v>108</v>
      </c>
      <c r="J204" t="s" s="24">
        <v>34</v>
      </c>
      <c r="K204" s="24">
        <v>1</v>
      </c>
      <c r="L204" s="24">
        <v>1</v>
      </c>
      <c r="M204" t="s" s="12">
        <v>34</v>
      </c>
      <c r="N204" t="s" s="10">
        <v>34</v>
      </c>
      <c r="O204" t="s" s="10">
        <v>34</v>
      </c>
      <c r="P204" t="s" s="10">
        <v>34</v>
      </c>
      <c r="Q204" t="s" s="10">
        <v>34</v>
      </c>
      <c r="R204" t="s" s="10">
        <v>34</v>
      </c>
      <c r="S204" t="s" s="10">
        <v>34</v>
      </c>
      <c r="T204" t="s" s="12">
        <v>34</v>
      </c>
      <c r="U204" t="s" s="10">
        <v>34</v>
      </c>
      <c r="V204" t="s" s="12">
        <v>34</v>
      </c>
      <c r="W204" t="s" s="10">
        <v>1874</v>
      </c>
      <c r="X204" s="16">
        <f>HYPERLINK("https://my.pitchbook.com?p=293876-11P", "View People Online")</f>
      </c>
    </row>
    <row r="205">
      <c r="A205" t="s" s="11">
        <v>1875</v>
      </c>
      <c r="B205" t="s" s="11">
        <v>1876</v>
      </c>
      <c r="C205" t="s" s="11">
        <v>34</v>
      </c>
      <c r="D205" t="s" s="11">
        <v>1877</v>
      </c>
      <c r="E205" t="s" s="11">
        <v>36</v>
      </c>
      <c r="F205" t="s" s="11">
        <v>1878</v>
      </c>
      <c r="G205" t="s" s="11">
        <v>1866</v>
      </c>
      <c r="H205" s="17">
        <f>HYPERLINK("http://www.t-mobile.com", "www.t-mobile.com")</f>
      </c>
      <c r="I205" t="s" s="11">
        <v>1880</v>
      </c>
      <c r="J205" t="s" s="25">
        <v>34</v>
      </c>
      <c r="K205" t="s" s="25">
        <v>34</v>
      </c>
      <c r="L205" t="s" s="25">
        <v>34</v>
      </c>
      <c r="M205" t="s" s="13">
        <v>34</v>
      </c>
      <c r="N205" t="s" s="11">
        <v>34</v>
      </c>
      <c r="O205" t="s" s="11">
        <v>34</v>
      </c>
      <c r="P205" t="s" s="11">
        <v>34</v>
      </c>
      <c r="Q205" t="s" s="11">
        <v>34</v>
      </c>
      <c r="R205" t="s" s="11">
        <v>34</v>
      </c>
      <c r="S205" t="s" s="11">
        <v>34</v>
      </c>
      <c r="T205" t="s" s="13">
        <v>34</v>
      </c>
      <c r="U205" t="s" s="11">
        <v>34</v>
      </c>
      <c r="V205" t="s" s="13">
        <v>34</v>
      </c>
      <c r="W205" t="s" s="11">
        <v>1881</v>
      </c>
      <c r="X205" s="17">
        <f>HYPERLINK("https://my.pitchbook.com?p=68609-80P", "View People Online")</f>
      </c>
    </row>
    <row r="206">
      <c r="A206" t="s" s="10">
        <v>1882</v>
      </c>
      <c r="B206" t="s" s="10">
        <v>1883</v>
      </c>
      <c r="C206" t="s" s="10">
        <v>34</v>
      </c>
      <c r="D206" t="s" s="10">
        <v>539</v>
      </c>
      <c r="E206" t="s" s="10">
        <v>36</v>
      </c>
      <c r="F206" t="s" s="10">
        <v>1884</v>
      </c>
      <c r="G206" t="s" s="10">
        <v>1885</v>
      </c>
      <c r="H206" s="16">
        <f>HYPERLINK("http://v-er.eu", "v-er.eu")</f>
      </c>
      <c r="I206" t="s" s="10">
        <v>1886</v>
      </c>
      <c r="J206" t="s" s="24">
        <v>34</v>
      </c>
      <c r="K206" s="24">
        <v>2</v>
      </c>
      <c r="L206" s="24">
        <v>1</v>
      </c>
      <c r="M206" t="s" s="12">
        <v>544</v>
      </c>
      <c r="N206" t="s" s="10">
        <v>1887</v>
      </c>
      <c r="O206" t="s" s="10">
        <v>51</v>
      </c>
      <c r="P206" t="s" s="10">
        <v>546</v>
      </c>
      <c r="Q206" t="s" s="10">
        <v>547</v>
      </c>
      <c r="R206" t="s" s="10">
        <v>54</v>
      </c>
      <c r="S206" t="s" s="10">
        <v>55</v>
      </c>
      <c r="T206" t="s" s="12">
        <v>56</v>
      </c>
      <c r="U206" t="s" s="10">
        <v>57</v>
      </c>
      <c r="V206" t="s" s="12">
        <v>34</v>
      </c>
      <c r="W206" t="s" s="10">
        <v>1888</v>
      </c>
      <c r="X206" s="16">
        <f>HYPERLINK("https://my.pitchbook.com?p=36828-10P", "View People Online")</f>
      </c>
    </row>
    <row r="207">
      <c r="A207" t="s" s="11">
        <v>1889</v>
      </c>
      <c r="B207" t="s" s="11">
        <v>1890</v>
      </c>
      <c r="C207" t="s" s="11">
        <v>34</v>
      </c>
      <c r="D207" t="s" s="11">
        <v>71</v>
      </c>
      <c r="E207" t="s" s="11">
        <v>36</v>
      </c>
      <c r="F207" t="s" s="11">
        <v>1891</v>
      </c>
      <c r="G207" t="s" s="11">
        <v>1885</v>
      </c>
      <c r="H207" s="17">
        <f>HYPERLINK("http://www.vulcan.co", "www.vulcan.co")</f>
      </c>
      <c r="I207" t="s" s="11">
        <v>1103</v>
      </c>
      <c r="J207" s="25">
        <v>1</v>
      </c>
      <c r="K207" s="25">
        <v>3</v>
      </c>
      <c r="L207" s="25">
        <v>1</v>
      </c>
      <c r="M207" t="s" s="13">
        <v>76</v>
      </c>
      <c r="N207" t="s" s="11">
        <v>1892</v>
      </c>
      <c r="O207" t="s" s="11">
        <v>78</v>
      </c>
      <c r="P207" t="s" s="11">
        <v>79</v>
      </c>
      <c r="Q207" t="s" s="11">
        <v>80</v>
      </c>
      <c r="R207" t="s" s="11">
        <v>81</v>
      </c>
      <c r="S207" t="s" s="11">
        <v>34</v>
      </c>
      <c r="T207" t="s" s="13">
        <v>82</v>
      </c>
      <c r="U207" t="s" s="11">
        <v>83</v>
      </c>
      <c r="V207" t="s" s="13">
        <v>84</v>
      </c>
      <c r="W207" t="s" s="11">
        <v>1893</v>
      </c>
      <c r="X207" s="17">
        <f>HYPERLINK("https://my.pitchbook.com?p=185892-04P", "View People Online")</f>
      </c>
    </row>
    <row r="208">
      <c r="A208" t="s" s="10">
        <v>1894</v>
      </c>
      <c r="B208" t="s" s="10">
        <v>1895</v>
      </c>
      <c r="C208" t="s" s="10">
        <v>34</v>
      </c>
      <c r="D208" t="s" s="10">
        <v>1896</v>
      </c>
      <c r="E208" t="s" s="10">
        <v>36</v>
      </c>
      <c r="F208" t="s" s="10">
        <v>1897</v>
      </c>
      <c r="G208" t="s" s="10">
        <v>1885</v>
      </c>
      <c r="H208" s="16">
        <f>HYPERLINK("http://www.golcondagold.com", "www.golcondagold.com")</f>
      </c>
      <c r="I208" t="s" s="10">
        <v>441</v>
      </c>
      <c r="J208" t="s" s="24">
        <v>34</v>
      </c>
      <c r="K208" t="s" s="24">
        <v>34</v>
      </c>
      <c r="L208" t="s" s="24">
        <v>34</v>
      </c>
      <c r="M208" t="s" s="12">
        <v>34</v>
      </c>
      <c r="N208" t="s" s="10">
        <v>34</v>
      </c>
      <c r="O208" t="s" s="10">
        <v>34</v>
      </c>
      <c r="P208" t="s" s="10">
        <v>34</v>
      </c>
      <c r="Q208" t="s" s="10">
        <v>34</v>
      </c>
      <c r="R208" t="s" s="10">
        <v>34</v>
      </c>
      <c r="S208" t="s" s="10">
        <v>34</v>
      </c>
      <c r="T208" t="s" s="12">
        <v>34</v>
      </c>
      <c r="U208" t="s" s="10">
        <v>34</v>
      </c>
      <c r="V208" t="s" s="12">
        <v>34</v>
      </c>
      <c r="W208" t="s" s="10">
        <v>1899</v>
      </c>
      <c r="X208" s="16">
        <f>HYPERLINK("https://my.pitchbook.com?p=167873-77P", "View People Online")</f>
      </c>
    </row>
    <row r="209">
      <c r="A209" t="s" s="11">
        <v>1900</v>
      </c>
      <c r="B209" t="s" s="11">
        <v>1901</v>
      </c>
      <c r="C209" t="s" s="11">
        <v>34</v>
      </c>
      <c r="D209" t="s" s="11">
        <v>1902</v>
      </c>
      <c r="E209" t="s" s="11">
        <v>36</v>
      </c>
      <c r="F209" t="s" s="11">
        <v>1903</v>
      </c>
      <c r="G209" t="s" s="11">
        <v>1904</v>
      </c>
      <c r="H209" s="17">
        <f>HYPERLINK("http://www.veon.com", "www.veon.com")</f>
      </c>
      <c r="I209" t="s" s="11">
        <v>307</v>
      </c>
      <c r="J209" s="25">
        <v>1</v>
      </c>
      <c r="K209" s="25">
        <v>1</v>
      </c>
      <c r="L209" t="s" s="25">
        <v>34</v>
      </c>
      <c r="M209" t="s" s="13">
        <v>1905</v>
      </c>
      <c r="N209" t="s" s="11">
        <v>1906</v>
      </c>
      <c r="O209" t="s" s="11">
        <v>1907</v>
      </c>
      <c r="P209" t="s" s="11">
        <v>1908</v>
      </c>
      <c r="Q209" t="s" s="11">
        <v>1909</v>
      </c>
      <c r="R209" t="s" s="11">
        <v>1910</v>
      </c>
      <c r="S209" t="s" s="11">
        <v>1911</v>
      </c>
      <c r="T209" t="s" s="13">
        <v>1912</v>
      </c>
      <c r="U209" t="s" s="11">
        <v>161</v>
      </c>
      <c r="V209" t="s" s="13">
        <v>34</v>
      </c>
      <c r="W209" t="s" s="11">
        <v>1913</v>
      </c>
      <c r="X209" s="17">
        <f>HYPERLINK("https://my.pitchbook.com?p=115845-58P", "View People Online")</f>
      </c>
    </row>
    <row r="210">
      <c r="A210" t="s" s="10">
        <v>1914</v>
      </c>
      <c r="B210" t="s" s="10">
        <v>1915</v>
      </c>
      <c r="C210" t="s" s="10">
        <v>34</v>
      </c>
      <c r="D210" t="s" s="10">
        <v>247</v>
      </c>
      <c r="E210" t="s" s="10">
        <v>36</v>
      </c>
      <c r="F210" t="s" s="10">
        <v>1916</v>
      </c>
      <c r="G210" t="s" s="10">
        <v>1904</v>
      </c>
      <c r="H210" s="16">
        <f>HYPERLINK("http://www.novatek.ru", "www.novatek.ru")</f>
      </c>
      <c r="I210" t="s" s="10">
        <v>108</v>
      </c>
      <c r="J210" s="24">
        <v>2</v>
      </c>
      <c r="K210" s="24">
        <v>3</v>
      </c>
      <c r="L210" t="s" s="24">
        <v>34</v>
      </c>
      <c r="M210" t="s" s="12">
        <v>1917</v>
      </c>
      <c r="N210" t="s" s="10">
        <v>1918</v>
      </c>
      <c r="O210" t="s" s="10">
        <v>200</v>
      </c>
      <c r="P210" t="s" s="10">
        <v>1919</v>
      </c>
      <c r="Q210" t="s" s="10">
        <v>34</v>
      </c>
      <c r="R210" t="s" s="10">
        <v>202</v>
      </c>
      <c r="S210" t="s" s="10">
        <v>34</v>
      </c>
      <c r="T210" t="s" s="12">
        <v>1920</v>
      </c>
      <c r="U210" t="s" s="10">
        <v>204</v>
      </c>
      <c r="V210" t="s" s="12">
        <v>1921</v>
      </c>
      <c r="W210" t="s" s="10">
        <v>1922</v>
      </c>
      <c r="X210" s="16">
        <f>HYPERLINK("https://my.pitchbook.com?p=116452-81P", "View People Online")</f>
      </c>
    </row>
    <row r="211">
      <c r="A211" t="s" s="11">
        <v>1923</v>
      </c>
      <c r="B211" t="s" s="11">
        <v>1924</v>
      </c>
      <c r="C211" t="s" s="11">
        <v>34</v>
      </c>
      <c r="D211" t="s" s="11">
        <v>943</v>
      </c>
      <c r="E211" t="s" s="11">
        <v>36</v>
      </c>
      <c r="F211" t="s" s="11">
        <v>1925</v>
      </c>
      <c r="G211" t="s" s="11">
        <v>1926</v>
      </c>
      <c r="H211" s="17">
        <f>HYPERLINK("http://www.vulcanmaterials.com", "www.vulcanmaterials.com")</f>
      </c>
      <c r="I211" t="s" s="11">
        <v>108</v>
      </c>
      <c r="J211" s="25">
        <v>1</v>
      </c>
      <c r="K211" s="25">
        <v>1</v>
      </c>
      <c r="L211" t="s" s="25">
        <v>34</v>
      </c>
      <c r="M211" t="s" s="13">
        <v>947</v>
      </c>
      <c r="N211" t="s" s="11">
        <v>1927</v>
      </c>
      <c r="O211" t="s" s="11">
        <v>949</v>
      </c>
      <c r="P211" t="s" s="11">
        <v>950</v>
      </c>
      <c r="Q211" t="s" s="11">
        <v>34</v>
      </c>
      <c r="R211" t="s" s="11">
        <v>951</v>
      </c>
      <c r="S211" t="s" s="11">
        <v>952</v>
      </c>
      <c r="T211" t="s" s="13">
        <v>953</v>
      </c>
      <c r="U211" t="s" s="11">
        <v>161</v>
      </c>
      <c r="V211" t="s" s="13">
        <v>34</v>
      </c>
      <c r="W211" t="s" s="11">
        <v>1928</v>
      </c>
      <c r="X211" s="17">
        <f>HYPERLINK("https://my.pitchbook.com?p=186501-70P", "View People Online")</f>
      </c>
    </row>
    <row r="212">
      <c r="A212" t="s" s="10">
        <v>1929</v>
      </c>
      <c r="B212" t="s" s="10">
        <v>1930</v>
      </c>
      <c r="C212" t="s" s="10">
        <v>34</v>
      </c>
      <c r="D212" t="s" s="10">
        <v>1931</v>
      </c>
      <c r="E212" t="s" s="10">
        <v>36</v>
      </c>
      <c r="F212" t="s" s="10">
        <v>1932</v>
      </c>
      <c r="G212" t="s" s="10">
        <v>1933</v>
      </c>
      <c r="H212" s="16">
        <f>HYPERLINK("http://www.sportechplc.com", "www.sportechplc.com")</f>
      </c>
      <c r="I212" t="s" s="10">
        <v>307</v>
      </c>
      <c r="J212" t="s" s="24">
        <v>34</v>
      </c>
      <c r="K212" t="s" s="24">
        <v>34</v>
      </c>
      <c r="L212" t="s" s="24">
        <v>34</v>
      </c>
      <c r="M212" t="s" s="12">
        <v>34</v>
      </c>
      <c r="N212" t="s" s="10">
        <v>34</v>
      </c>
      <c r="O212" t="s" s="10">
        <v>34</v>
      </c>
      <c r="P212" t="s" s="10">
        <v>34</v>
      </c>
      <c r="Q212" t="s" s="10">
        <v>34</v>
      </c>
      <c r="R212" t="s" s="10">
        <v>34</v>
      </c>
      <c r="S212" t="s" s="10">
        <v>34</v>
      </c>
      <c r="T212" t="s" s="12">
        <v>34</v>
      </c>
      <c r="U212" t="s" s="10">
        <v>34</v>
      </c>
      <c r="V212" t="s" s="12">
        <v>34</v>
      </c>
      <c r="W212" t="s" s="10">
        <v>1935</v>
      </c>
      <c r="X212" s="16">
        <f>HYPERLINK("https://my.pitchbook.com?p=84767-95P", "View People Online")</f>
      </c>
    </row>
    <row r="213">
      <c r="A213" t="s" s="11">
        <v>1936</v>
      </c>
      <c r="B213" t="s" s="11">
        <v>1937</v>
      </c>
      <c r="C213" t="s" s="11">
        <v>34</v>
      </c>
      <c r="D213" t="s" s="11">
        <v>112</v>
      </c>
      <c r="E213" t="s" s="11">
        <v>36</v>
      </c>
      <c r="F213" t="s" s="11">
        <v>1938</v>
      </c>
      <c r="G213" t="s" s="11">
        <v>1939</v>
      </c>
      <c r="H213" s="17">
        <f>HYPERLINK("http://www.harbourenergy.com", "www.harbourenergy.com")</f>
      </c>
      <c r="I213" t="s" s="11">
        <v>191</v>
      </c>
      <c r="J213" t="s" s="25">
        <v>34</v>
      </c>
      <c r="K213" s="25">
        <v>1</v>
      </c>
      <c r="L213" t="s" s="25">
        <v>34</v>
      </c>
      <c r="M213" t="s" s="13">
        <v>116</v>
      </c>
      <c r="N213" t="s" s="11">
        <v>1940</v>
      </c>
      <c r="O213" t="s" s="11">
        <v>117</v>
      </c>
      <c r="P213" t="s" s="11">
        <v>118</v>
      </c>
      <c r="Q213" t="s" s="11">
        <v>34</v>
      </c>
      <c r="R213" t="s" s="11">
        <v>119</v>
      </c>
      <c r="S213" t="s" s="11">
        <v>120</v>
      </c>
      <c r="T213" t="s" s="13">
        <v>121</v>
      </c>
      <c r="U213" t="s" s="11">
        <v>122</v>
      </c>
      <c r="V213" t="s" s="13">
        <v>123</v>
      </c>
      <c r="W213" t="s" s="11">
        <v>1941</v>
      </c>
      <c r="X213" s="17">
        <f>HYPERLINK("https://my.pitchbook.com?p=400672-00P", "View People Online")</f>
      </c>
    </row>
    <row r="214">
      <c r="A214" t="s" s="10">
        <v>1942</v>
      </c>
      <c r="B214" t="s" s="10">
        <v>1943</v>
      </c>
      <c r="C214" t="s" s="10">
        <v>34</v>
      </c>
      <c r="D214" t="s" s="10">
        <v>1743</v>
      </c>
      <c r="E214" t="s" s="10">
        <v>36</v>
      </c>
      <c r="F214" t="s" s="10">
        <v>1944</v>
      </c>
      <c r="G214" t="s" s="10">
        <v>1945</v>
      </c>
      <c r="H214" s="16">
        <f>HYPERLINK("http://www.vulcanminerals.ca", "www.vulcanminerals.ca")</f>
      </c>
      <c r="I214" t="s" s="10">
        <v>1946</v>
      </c>
      <c r="J214" t="s" s="24">
        <v>34</v>
      </c>
      <c r="K214" s="24">
        <v>1</v>
      </c>
      <c r="L214" t="s" s="24">
        <v>34</v>
      </c>
      <c r="M214" t="s" s="12">
        <v>1747</v>
      </c>
      <c r="N214" t="s" s="10">
        <v>1947</v>
      </c>
      <c r="O214" t="s" s="10">
        <v>1749</v>
      </c>
      <c r="P214" t="s" s="10">
        <v>1750</v>
      </c>
      <c r="Q214" t="s" s="10">
        <v>34</v>
      </c>
      <c r="R214" t="s" s="10">
        <v>1751</v>
      </c>
      <c r="S214" t="s" s="10">
        <v>1752</v>
      </c>
      <c r="T214" t="s" s="12">
        <v>1753</v>
      </c>
      <c r="U214" t="s" s="10">
        <v>917</v>
      </c>
      <c r="V214" t="s" s="12">
        <v>34</v>
      </c>
      <c r="W214" t="s" s="10">
        <v>1948</v>
      </c>
      <c r="X214" s="16">
        <f>HYPERLINK("https://my.pitchbook.com?p=278621-20P", "View People Online")</f>
      </c>
    </row>
    <row r="215">
      <c r="A215" t="s" s="11">
        <v>1949</v>
      </c>
      <c r="B215" t="s" s="11">
        <v>1950</v>
      </c>
      <c r="C215" t="s" s="11">
        <v>34</v>
      </c>
      <c r="D215" t="s" s="11">
        <v>1951</v>
      </c>
      <c r="E215" t="s" s="11">
        <v>36</v>
      </c>
      <c r="F215" t="s" s="11">
        <v>1210</v>
      </c>
      <c r="G215" t="s" s="11">
        <v>1952</v>
      </c>
      <c r="H215" s="17">
        <f>HYPERLINK("http://www.judo.bank", "www.judo.bank")</f>
      </c>
      <c r="I215" t="s" s="11">
        <v>620</v>
      </c>
      <c r="J215" t="s" s="25">
        <v>34</v>
      </c>
      <c r="K215" t="s" s="25">
        <v>34</v>
      </c>
      <c r="L215" t="s" s="25">
        <v>34</v>
      </c>
      <c r="M215" t="s" s="13">
        <v>34</v>
      </c>
      <c r="N215" t="s" s="11">
        <v>34</v>
      </c>
      <c r="O215" t="s" s="11">
        <v>34</v>
      </c>
      <c r="P215" t="s" s="11">
        <v>34</v>
      </c>
      <c r="Q215" t="s" s="11">
        <v>34</v>
      </c>
      <c r="R215" t="s" s="11">
        <v>34</v>
      </c>
      <c r="S215" t="s" s="11">
        <v>34</v>
      </c>
      <c r="T215" t="s" s="13">
        <v>34</v>
      </c>
      <c r="U215" t="s" s="11">
        <v>34</v>
      </c>
      <c r="V215" t="s" s="13">
        <v>34</v>
      </c>
      <c r="W215" t="s" s="11">
        <v>1954</v>
      </c>
      <c r="X215" s="17">
        <f>HYPERLINK("https://my.pitchbook.com?p=190840-06P", "View People Online")</f>
      </c>
    </row>
    <row r="216">
      <c r="A216" t="s" s="10">
        <v>1955</v>
      </c>
      <c r="B216" t="s" s="10">
        <v>1956</v>
      </c>
      <c r="C216" t="s" s="10">
        <v>34</v>
      </c>
      <c r="D216" t="s" s="10">
        <v>1796</v>
      </c>
      <c r="E216" t="s" s="10">
        <v>36</v>
      </c>
      <c r="F216" t="s" s="10">
        <v>1957</v>
      </c>
      <c r="G216" t="s" s="10">
        <v>1952</v>
      </c>
      <c r="H216" s="16">
        <f>HYPERLINK("http://www.banksc.com", "www.banksc.com")</f>
      </c>
      <c r="I216" t="s" s="10">
        <v>108</v>
      </c>
      <c r="J216" s="24">
        <v>1</v>
      </c>
      <c r="K216" s="24">
        <v>1</v>
      </c>
      <c r="L216" t="s" s="24">
        <v>34</v>
      </c>
      <c r="M216" t="s" s="12">
        <v>1800</v>
      </c>
      <c r="N216" t="s" s="10">
        <v>34</v>
      </c>
      <c r="O216" t="s" s="10">
        <v>1801</v>
      </c>
      <c r="P216" t="s" s="10">
        <v>1802</v>
      </c>
      <c r="Q216" t="s" s="10">
        <v>34</v>
      </c>
      <c r="R216" t="s" s="10">
        <v>1803</v>
      </c>
      <c r="S216" t="s" s="10">
        <v>1280</v>
      </c>
      <c r="T216" t="s" s="12">
        <v>1804</v>
      </c>
      <c r="U216" t="s" s="10">
        <v>161</v>
      </c>
      <c r="V216" t="s" s="12">
        <v>1805</v>
      </c>
      <c r="W216" t="s" s="10">
        <v>1958</v>
      </c>
      <c r="X216" s="16">
        <f>HYPERLINK("https://my.pitchbook.com?p=280895-95P", "View People Online")</f>
      </c>
    </row>
    <row r="217">
      <c r="A217" t="s" s="11">
        <v>1959</v>
      </c>
      <c r="B217" t="s" s="11">
        <v>1960</v>
      </c>
      <c r="C217" t="s" s="11">
        <v>34</v>
      </c>
      <c r="D217" t="s" s="11">
        <v>1961</v>
      </c>
      <c r="E217" t="s" s="11">
        <v>36</v>
      </c>
      <c r="F217" t="s" s="11">
        <v>1962</v>
      </c>
      <c r="G217" t="s" s="11">
        <v>1963</v>
      </c>
      <c r="H217" s="17">
        <f>HYPERLINK("http://www.mabuhayholdingscorp.com", "www.mabuhayholdingscorp.com")</f>
      </c>
      <c r="I217" t="s" s="11">
        <v>263</v>
      </c>
      <c r="J217" t="s" s="25">
        <v>34</v>
      </c>
      <c r="K217" s="25">
        <v>1</v>
      </c>
      <c r="L217" t="s" s="25">
        <v>34</v>
      </c>
      <c r="M217" t="s" s="13">
        <v>1965</v>
      </c>
      <c r="N217" t="s" s="11">
        <v>1966</v>
      </c>
      <c r="O217" t="s" s="11">
        <v>1967</v>
      </c>
      <c r="P217" t="s" s="11">
        <v>1968</v>
      </c>
      <c r="Q217" t="s" s="11">
        <v>1969</v>
      </c>
      <c r="R217" t="s" s="11">
        <v>1970</v>
      </c>
      <c r="S217" t="s" s="11">
        <v>34</v>
      </c>
      <c r="T217" t="s" s="13">
        <v>1971</v>
      </c>
      <c r="U217" t="s" s="11">
        <v>99</v>
      </c>
      <c r="V217" t="s" s="13">
        <v>1972</v>
      </c>
      <c r="W217" t="s" s="11">
        <v>1973</v>
      </c>
      <c r="X217" s="17">
        <f>HYPERLINK("https://my.pitchbook.com?p=101998-18P", "View People Online")</f>
      </c>
    </row>
    <row r="218">
      <c r="A218" t="s" s="10">
        <v>1974</v>
      </c>
      <c r="B218" t="s" s="10">
        <v>1975</v>
      </c>
      <c r="C218" t="s" s="10">
        <v>34</v>
      </c>
      <c r="D218" t="s" s="10">
        <v>1976</v>
      </c>
      <c r="E218" t="s" s="10">
        <v>36</v>
      </c>
      <c r="F218" t="s" s="10">
        <v>1977</v>
      </c>
      <c r="G218" t="s" s="10">
        <v>1978</v>
      </c>
      <c r="H218" t="s" s="10">
        <v>34</v>
      </c>
      <c r="I218" t="s" s="10">
        <v>1979</v>
      </c>
      <c r="J218" t="s" s="24">
        <v>34</v>
      </c>
      <c r="K218" s="24">
        <v>1</v>
      </c>
      <c r="L218" t="s" s="24">
        <v>34</v>
      </c>
      <c r="M218" t="s" s="12">
        <v>1980</v>
      </c>
      <c r="N218" t="s" s="10">
        <v>34</v>
      </c>
      <c r="O218" t="s" s="10">
        <v>1981</v>
      </c>
      <c r="P218" t="s" s="10">
        <v>1982</v>
      </c>
      <c r="Q218" t="s" s="10">
        <v>1983</v>
      </c>
      <c r="R218" t="s" s="10">
        <v>1984</v>
      </c>
      <c r="S218" t="s" s="10">
        <v>1911</v>
      </c>
      <c r="T218" t="s" s="12">
        <v>1985</v>
      </c>
      <c r="U218" t="s" s="10">
        <v>161</v>
      </c>
      <c r="V218" t="s" s="12">
        <v>34</v>
      </c>
      <c r="W218" t="s" s="10">
        <v>1986</v>
      </c>
      <c r="X218" s="16">
        <f>HYPERLINK("https://my.pitchbook.com?p=245469-97P", "View People Online")</f>
      </c>
    </row>
    <row r="219">
      <c r="A219" t="s" s="11">
        <v>1987</v>
      </c>
      <c r="B219" t="s" s="11">
        <v>1988</v>
      </c>
      <c r="C219" t="s" s="11">
        <v>34</v>
      </c>
      <c r="D219" t="s" s="11">
        <v>1989</v>
      </c>
      <c r="E219" t="s" s="11">
        <v>36</v>
      </c>
      <c r="F219" t="s" s="11">
        <v>1990</v>
      </c>
      <c r="G219" t="s" s="11">
        <v>1978</v>
      </c>
      <c r="H219" s="17">
        <f>HYPERLINK("http://www.eurosunmining.com", "www.eurosunmining.com")</f>
      </c>
      <c r="I219" t="s" s="11">
        <v>1249</v>
      </c>
      <c r="J219" s="25">
        <v>2</v>
      </c>
      <c r="K219" s="25">
        <v>3</v>
      </c>
      <c r="L219" t="s" s="25">
        <v>34</v>
      </c>
      <c r="M219" t="s" s="13">
        <v>1992</v>
      </c>
      <c r="N219" t="s" s="11">
        <v>1993</v>
      </c>
      <c r="O219" t="s" s="11">
        <v>1994</v>
      </c>
      <c r="P219" t="s" s="11">
        <v>1995</v>
      </c>
      <c r="Q219" t="s" s="11">
        <v>34</v>
      </c>
      <c r="R219" t="s" s="11">
        <v>1996</v>
      </c>
      <c r="S219" t="s" s="11">
        <v>1219</v>
      </c>
      <c r="T219" t="s" s="13">
        <v>1997</v>
      </c>
      <c r="U219" t="s" s="11">
        <v>917</v>
      </c>
      <c r="V219" t="s" s="13">
        <v>34</v>
      </c>
      <c r="W219" t="s" s="11">
        <v>1998</v>
      </c>
      <c r="X219" s="17">
        <f>HYPERLINK("https://my.pitchbook.com?p=326099-98P", "View People Online")</f>
      </c>
    </row>
    <row r="220">
      <c r="A220" t="s" s="10">
        <v>1999</v>
      </c>
      <c r="B220" t="s" s="10">
        <v>2000</v>
      </c>
      <c r="C220" t="s" s="10">
        <v>34</v>
      </c>
      <c r="D220" t="s" s="10">
        <v>2001</v>
      </c>
      <c r="E220" t="s" s="10">
        <v>36</v>
      </c>
      <c r="F220" t="s" s="10">
        <v>1327</v>
      </c>
      <c r="G220" t="s" s="10">
        <v>2002</v>
      </c>
      <c r="H220" s="16">
        <f>HYPERLINK("http://www.dollarama.com", "www.dollarama.com")</f>
      </c>
      <c r="I220" t="s" s="10">
        <v>108</v>
      </c>
      <c r="J220" s="24">
        <v>2</v>
      </c>
      <c r="K220" s="24">
        <v>2</v>
      </c>
      <c r="L220" t="s" s="24">
        <v>34</v>
      </c>
      <c r="M220" t="s" s="12">
        <v>2004</v>
      </c>
      <c r="N220" t="s" s="10">
        <v>2005</v>
      </c>
      <c r="O220" t="s" s="10">
        <v>2006</v>
      </c>
      <c r="P220" t="s" s="10">
        <v>2007</v>
      </c>
      <c r="Q220" t="s" s="10">
        <v>34</v>
      </c>
      <c r="R220" t="s" s="10">
        <v>2008</v>
      </c>
      <c r="S220" t="s" s="10">
        <v>2009</v>
      </c>
      <c r="T220" t="s" s="12">
        <v>2010</v>
      </c>
      <c r="U220" t="s" s="10">
        <v>917</v>
      </c>
      <c r="V220" t="s" s="12">
        <v>34</v>
      </c>
      <c r="W220" t="s" s="10">
        <v>2011</v>
      </c>
      <c r="X220" s="16">
        <f>HYPERLINK("https://my.pitchbook.com?p=62709-31P", "View People Online")</f>
      </c>
    </row>
    <row r="221">
      <c r="A221" t="s" s="11">
        <v>2012</v>
      </c>
      <c r="B221" t="s" s="11">
        <v>2013</v>
      </c>
      <c r="C221" t="s" s="11">
        <v>34</v>
      </c>
      <c r="D221" t="s" s="11">
        <v>2014</v>
      </c>
      <c r="E221" t="s" s="11">
        <v>36</v>
      </c>
      <c r="F221" t="s" s="11">
        <v>2015</v>
      </c>
      <c r="G221" t="s" s="11">
        <v>2002</v>
      </c>
      <c r="H221" s="17">
        <f>HYPERLINK("http://www.h2o-america.com", "www.h2o-america.com")</f>
      </c>
      <c r="I221" t="s" s="11">
        <v>108</v>
      </c>
      <c r="J221" s="25">
        <v>1</v>
      </c>
      <c r="K221" s="25">
        <v>1</v>
      </c>
      <c r="L221" t="s" s="25">
        <v>34</v>
      </c>
      <c r="M221" t="s" s="13">
        <v>2017</v>
      </c>
      <c r="N221" t="s" s="11">
        <v>2018</v>
      </c>
      <c r="O221" t="s" s="11">
        <v>734</v>
      </c>
      <c r="P221" t="s" s="11">
        <v>2019</v>
      </c>
      <c r="Q221" t="s" s="11">
        <v>34</v>
      </c>
      <c r="R221" t="s" s="11">
        <v>736</v>
      </c>
      <c r="S221" t="s" s="11">
        <v>159</v>
      </c>
      <c r="T221" t="s" s="13">
        <v>2020</v>
      </c>
      <c r="U221" t="s" s="11">
        <v>161</v>
      </c>
      <c r="V221" t="s" s="13">
        <v>34</v>
      </c>
      <c r="W221" t="s" s="11">
        <v>2021</v>
      </c>
      <c r="X221" s="17">
        <f>HYPERLINK("https://my.pitchbook.com?p=60450-58P", "View People Online")</f>
      </c>
    </row>
    <row r="222">
      <c r="A222" t="s" s="10">
        <v>2022</v>
      </c>
      <c r="B222" t="s" s="10">
        <v>2023</v>
      </c>
      <c r="C222" t="s" s="10">
        <v>34</v>
      </c>
      <c r="D222" t="s" s="10">
        <v>2024</v>
      </c>
      <c r="E222" t="s" s="10">
        <v>36</v>
      </c>
      <c r="F222" t="s" s="10">
        <v>2025</v>
      </c>
      <c r="G222" t="s" s="10">
        <v>2026</v>
      </c>
      <c r="H222" s="16">
        <f>HYPERLINK("http://www.erg.com.pl", "www.erg.com.pl")</f>
      </c>
      <c r="I222" t="s" s="10">
        <v>2028</v>
      </c>
      <c r="J222" t="s" s="24">
        <v>34</v>
      </c>
      <c r="K222" s="24">
        <v>1</v>
      </c>
      <c r="L222" t="s" s="24">
        <v>34</v>
      </c>
      <c r="M222" t="s" s="12">
        <v>2029</v>
      </c>
      <c r="N222" t="s" s="10">
        <v>2030</v>
      </c>
      <c r="O222" t="s" s="10">
        <v>2031</v>
      </c>
      <c r="P222" t="s" s="10">
        <v>2032</v>
      </c>
      <c r="Q222" t="s" s="10">
        <v>34</v>
      </c>
      <c r="R222" t="s" s="10">
        <v>2033</v>
      </c>
      <c r="S222" t="s" s="10">
        <v>34</v>
      </c>
      <c r="T222" t="s" s="12">
        <v>2034</v>
      </c>
      <c r="U222" t="s" s="10">
        <v>2035</v>
      </c>
      <c r="V222" t="s" s="12">
        <v>34</v>
      </c>
      <c r="W222" t="s" s="10">
        <v>2036</v>
      </c>
      <c r="X222" s="16">
        <f>HYPERLINK("https://my.pitchbook.com?p=298603-27P", "View People Online")</f>
      </c>
    </row>
    <row r="223">
      <c r="A223" t="s" s="11">
        <v>2037</v>
      </c>
      <c r="B223" t="s" s="11">
        <v>2038</v>
      </c>
      <c r="C223" t="s" s="11">
        <v>34</v>
      </c>
      <c r="D223" t="s" s="11">
        <v>642</v>
      </c>
      <c r="E223" t="s" s="11">
        <v>36</v>
      </c>
      <c r="F223" t="s" s="11">
        <v>2039</v>
      </c>
      <c r="G223" t="s" s="11">
        <v>2040</v>
      </c>
      <c r="H223" s="17">
        <f>HYPERLINK("http://www.diacorporate.com", "www.diacorporate.com")</f>
      </c>
      <c r="I223" t="s" s="11">
        <v>263</v>
      </c>
      <c r="J223" t="s" s="25">
        <v>34</v>
      </c>
      <c r="K223" s="25">
        <v>1</v>
      </c>
      <c r="L223" t="s" s="25">
        <v>34</v>
      </c>
      <c r="M223" t="s" s="13">
        <v>645</v>
      </c>
      <c r="N223" t="s" s="11">
        <v>34</v>
      </c>
      <c r="O223" t="s" s="11">
        <v>647</v>
      </c>
      <c r="P223" t="s" s="11">
        <v>648</v>
      </c>
      <c r="Q223" t="s" s="11">
        <v>649</v>
      </c>
      <c r="R223" t="s" s="11">
        <v>650</v>
      </c>
      <c r="S223" t="s" s="11">
        <v>651</v>
      </c>
      <c r="T223" t="s" s="13">
        <v>652</v>
      </c>
      <c r="U223" t="s" s="11">
        <v>653</v>
      </c>
      <c r="V223" t="s" s="13">
        <v>34</v>
      </c>
      <c r="W223" t="s" s="11">
        <v>2041</v>
      </c>
      <c r="X223" s="17">
        <f>HYPERLINK("https://my.pitchbook.com?p=373420-09P", "View People Online")</f>
      </c>
    </row>
    <row r="224">
      <c r="A224" t="s" s="10">
        <v>2042</v>
      </c>
      <c r="B224" t="s" s="10">
        <v>2043</v>
      </c>
      <c r="C224" t="s" s="10">
        <v>34</v>
      </c>
      <c r="D224" t="s" s="10">
        <v>112</v>
      </c>
      <c r="E224" t="s" s="10">
        <v>36</v>
      </c>
      <c r="F224" t="s" s="10">
        <v>2044</v>
      </c>
      <c r="G224" t="s" s="10">
        <v>2045</v>
      </c>
      <c r="H224" s="16">
        <f>HYPERLINK("http://www.harbourenergy.com", "www.harbourenergy.com")</f>
      </c>
      <c r="I224" t="s" s="10">
        <v>2046</v>
      </c>
      <c r="J224" t="s" s="24">
        <v>34</v>
      </c>
      <c r="K224" s="24">
        <v>1</v>
      </c>
      <c r="L224" t="s" s="24">
        <v>34</v>
      </c>
      <c r="M224" t="s" s="12">
        <v>116</v>
      </c>
      <c r="N224" t="s" s="10">
        <v>2047</v>
      </c>
      <c r="O224" t="s" s="10">
        <v>117</v>
      </c>
      <c r="P224" t="s" s="10">
        <v>118</v>
      </c>
      <c r="Q224" t="s" s="10">
        <v>34</v>
      </c>
      <c r="R224" t="s" s="10">
        <v>119</v>
      </c>
      <c r="S224" t="s" s="10">
        <v>120</v>
      </c>
      <c r="T224" t="s" s="12">
        <v>121</v>
      </c>
      <c r="U224" t="s" s="10">
        <v>122</v>
      </c>
      <c r="V224" t="s" s="12">
        <v>123</v>
      </c>
      <c r="W224" t="s" s="10">
        <v>2048</v>
      </c>
      <c r="X224" s="16">
        <f>HYPERLINK("https://my.pitchbook.com?p=357452-65P", "View People Online")</f>
      </c>
    </row>
    <row r="225">
      <c r="A225" t="s" s="11">
        <v>2049</v>
      </c>
      <c r="B225" t="s" s="11">
        <v>2050</v>
      </c>
      <c r="C225" t="s" s="11">
        <v>34</v>
      </c>
      <c r="D225" t="s" s="11">
        <v>2051</v>
      </c>
      <c r="E225" t="s" s="11">
        <v>36</v>
      </c>
      <c r="F225" t="s" s="11">
        <v>2052</v>
      </c>
      <c r="G225" t="s" s="11">
        <v>2045</v>
      </c>
      <c r="H225" s="17">
        <f>HYPERLINK("http://www.mondelezinternational.com", "www.mondelezinternational.com")</f>
      </c>
      <c r="I225" t="s" s="11">
        <v>2053</v>
      </c>
      <c r="J225" t="s" s="25">
        <v>34</v>
      </c>
      <c r="K225" s="25">
        <v>1</v>
      </c>
      <c r="L225" t="s" s="25">
        <v>34</v>
      </c>
      <c r="M225" t="s" s="13">
        <v>2054</v>
      </c>
      <c r="N225" t="s" s="11">
        <v>2055</v>
      </c>
      <c r="O225" t="s" s="11">
        <v>2056</v>
      </c>
      <c r="P225" t="s" s="11">
        <v>2057</v>
      </c>
      <c r="Q225" t="s" s="11">
        <v>34</v>
      </c>
      <c r="R225" t="s" s="11">
        <v>2058</v>
      </c>
      <c r="S225" t="s" s="11">
        <v>2059</v>
      </c>
      <c r="T225" t="s" s="13">
        <v>2060</v>
      </c>
      <c r="U225" t="s" s="11">
        <v>161</v>
      </c>
      <c r="V225" t="s" s="13">
        <v>34</v>
      </c>
      <c r="W225" t="s" s="11">
        <v>2061</v>
      </c>
      <c r="X225" s="17">
        <f>HYPERLINK("https://my.pitchbook.com?p=235298-71P", "View People Online")</f>
      </c>
    </row>
    <row r="226">
      <c r="A226" t="s" s="10">
        <v>2062</v>
      </c>
      <c r="B226" t="s" s="10">
        <v>2063</v>
      </c>
      <c r="C226" t="s" s="10">
        <v>34</v>
      </c>
      <c r="D226" t="s" s="10">
        <v>2064</v>
      </c>
      <c r="E226" t="s" s="10">
        <v>36</v>
      </c>
      <c r="F226" t="s" s="10">
        <v>2065</v>
      </c>
      <c r="G226" t="s" s="10">
        <v>2066</v>
      </c>
      <c r="H226" s="16">
        <f>HYPERLINK("http://www.tridentity.me", "www.tridentity.me")</f>
      </c>
      <c r="I226" t="s" s="10">
        <v>441</v>
      </c>
      <c r="J226" t="s" s="24">
        <v>34</v>
      </c>
      <c r="K226" s="24">
        <v>1</v>
      </c>
      <c r="L226" t="s" s="24">
        <v>34</v>
      </c>
      <c r="M226" t="s" s="12">
        <v>2068</v>
      </c>
      <c r="N226" t="s" s="10">
        <v>2069</v>
      </c>
      <c r="O226" t="s" s="10">
        <v>140</v>
      </c>
      <c r="P226" t="s" s="10">
        <v>2070</v>
      </c>
      <c r="Q226" t="s" s="10">
        <v>2071</v>
      </c>
      <c r="R226" t="s" s="10">
        <v>143</v>
      </c>
      <c r="S226" t="s" s="10">
        <v>34</v>
      </c>
      <c r="T226" t="s" s="12">
        <v>2072</v>
      </c>
      <c r="U226" t="s" s="10">
        <v>143</v>
      </c>
      <c r="V226" t="s" s="12">
        <v>34</v>
      </c>
      <c r="W226" t="s" s="10">
        <v>2073</v>
      </c>
      <c r="X226" s="16">
        <f>HYPERLINK("https://my.pitchbook.com?p=368684-47P", "View People Online")</f>
      </c>
    </row>
    <row r="227">
      <c r="A227" t="s" s="11">
        <v>2074</v>
      </c>
      <c r="B227" t="s" s="11">
        <v>2075</v>
      </c>
      <c r="C227" t="s" s="11">
        <v>34</v>
      </c>
      <c r="D227" t="s" s="11">
        <v>2076</v>
      </c>
      <c r="E227" t="s" s="11">
        <v>36</v>
      </c>
      <c r="F227" t="s" s="11">
        <v>2077</v>
      </c>
      <c r="G227" t="s" s="11">
        <v>2078</v>
      </c>
      <c r="H227" s="17">
        <f>HYPERLINK("http://www.verisilicon.com", "www.verisilicon.com")</f>
      </c>
      <c r="I227" t="s" s="11">
        <v>2080</v>
      </c>
      <c r="J227" t="s" s="25">
        <v>34</v>
      </c>
      <c r="K227" s="25">
        <v>1</v>
      </c>
      <c r="L227" t="s" s="25">
        <v>34</v>
      </c>
      <c r="M227" t="s" s="13">
        <v>2081</v>
      </c>
      <c r="N227" t="s" s="11">
        <v>2082</v>
      </c>
      <c r="O227" t="s" s="11">
        <v>2083</v>
      </c>
      <c r="P227" t="s" s="11">
        <v>2084</v>
      </c>
      <c r="Q227" t="s" s="11">
        <v>2085</v>
      </c>
      <c r="R227" t="s" s="11">
        <v>994</v>
      </c>
      <c r="S227" t="s" s="11">
        <v>34</v>
      </c>
      <c r="T227" t="s" s="13">
        <v>2086</v>
      </c>
      <c r="U227" t="s" s="11">
        <v>2087</v>
      </c>
      <c r="V227" t="s" s="13">
        <v>2088</v>
      </c>
      <c r="W227" t="s" s="11">
        <v>2089</v>
      </c>
      <c r="X227" s="17">
        <f>HYPERLINK("https://my.pitchbook.com?p=184078-09P", "View People Online")</f>
      </c>
    </row>
    <row r="228">
      <c r="A228" t="s" s="10">
        <v>2090</v>
      </c>
      <c r="B228" t="s" s="10">
        <v>2091</v>
      </c>
      <c r="C228" t="s" s="10">
        <v>34</v>
      </c>
      <c r="D228" t="s" s="10">
        <v>2092</v>
      </c>
      <c r="E228" t="s" s="10">
        <v>36</v>
      </c>
      <c r="F228" t="s" s="10">
        <v>2093</v>
      </c>
      <c r="G228" t="s" s="10">
        <v>2094</v>
      </c>
      <c r="H228" s="16">
        <f>HYPERLINK("http://www.tridentlifeline.com", "www.tridentlifeline.com")</f>
      </c>
      <c r="I228" t="s" s="10">
        <v>2096</v>
      </c>
      <c r="J228" s="24">
        <v>2</v>
      </c>
      <c r="K228" s="24">
        <v>2</v>
      </c>
      <c r="L228" t="s" s="24">
        <v>34</v>
      </c>
      <c r="M228" t="s" s="12">
        <v>2097</v>
      </c>
      <c r="N228" t="s" s="10">
        <v>2098</v>
      </c>
      <c r="O228" t="s" s="10">
        <v>2099</v>
      </c>
      <c r="P228" t="s" s="10">
        <v>2100</v>
      </c>
      <c r="Q228" t="s" s="10">
        <v>2101</v>
      </c>
      <c r="R228" t="s" s="10">
        <v>2102</v>
      </c>
      <c r="S228" t="s" s="10">
        <v>2103</v>
      </c>
      <c r="T228" t="s" s="12">
        <v>34</v>
      </c>
      <c r="U228" t="s" s="10">
        <v>1479</v>
      </c>
      <c r="V228" t="s" s="12">
        <v>2104</v>
      </c>
      <c r="W228" t="s" s="10">
        <v>2105</v>
      </c>
      <c r="X228" s="16">
        <f>HYPERLINK("https://my.pitchbook.com?p=318839-59P", "View People Online")</f>
      </c>
    </row>
    <row r="229">
      <c r="A229" t="s" s="11">
        <v>2106</v>
      </c>
      <c r="B229" t="s" s="11">
        <v>2107</v>
      </c>
      <c r="C229" t="s" s="11">
        <v>34</v>
      </c>
      <c r="D229" t="s" s="11">
        <v>2108</v>
      </c>
      <c r="E229" t="s" s="11">
        <v>36</v>
      </c>
      <c r="F229" t="s" s="11">
        <v>2109</v>
      </c>
      <c r="G229" t="s" s="11">
        <v>2110</v>
      </c>
      <c r="H229" s="17">
        <f>HYPERLINK("http://www.rockybrands.com", "www.rockybrands.com")</f>
      </c>
      <c r="I229" t="s" s="11">
        <v>108</v>
      </c>
      <c r="J229" t="s" s="25">
        <v>34</v>
      </c>
      <c r="K229" t="s" s="25">
        <v>34</v>
      </c>
      <c r="L229" t="s" s="25">
        <v>34</v>
      </c>
      <c r="M229" t="s" s="13">
        <v>34</v>
      </c>
      <c r="N229" t="s" s="11">
        <v>34</v>
      </c>
      <c r="O229" t="s" s="11">
        <v>34</v>
      </c>
      <c r="P229" t="s" s="11">
        <v>34</v>
      </c>
      <c r="Q229" t="s" s="11">
        <v>34</v>
      </c>
      <c r="R229" t="s" s="11">
        <v>34</v>
      </c>
      <c r="S229" t="s" s="11">
        <v>34</v>
      </c>
      <c r="T229" t="s" s="13">
        <v>34</v>
      </c>
      <c r="U229" t="s" s="11">
        <v>34</v>
      </c>
      <c r="V229" t="s" s="13">
        <v>34</v>
      </c>
      <c r="W229" t="s" s="11">
        <v>2112</v>
      </c>
      <c r="X229" s="17">
        <f>HYPERLINK("https://my.pitchbook.com?p=46603-36P", "View People Online")</f>
      </c>
    </row>
    <row r="230">
      <c r="A230" t="s" s="10">
        <v>2113</v>
      </c>
      <c r="B230" t="s" s="10">
        <v>2114</v>
      </c>
      <c r="C230" t="s" s="10">
        <v>34</v>
      </c>
      <c r="D230" t="s" s="10">
        <v>1469</v>
      </c>
      <c r="E230" t="s" s="10">
        <v>36</v>
      </c>
      <c r="F230" t="s" s="10">
        <v>2115</v>
      </c>
      <c r="G230" t="s" s="10">
        <v>2116</v>
      </c>
      <c r="H230" s="16">
        <f>HYPERLINK("http://www.tridentindia.com", "www.tridentindia.com")</f>
      </c>
      <c r="I230" t="s" s="10">
        <v>2117</v>
      </c>
      <c r="J230" t="s" s="24">
        <v>34</v>
      </c>
      <c r="K230" s="24">
        <v>1</v>
      </c>
      <c r="L230" t="s" s="24">
        <v>34</v>
      </c>
      <c r="M230" t="s" s="12">
        <v>34</v>
      </c>
      <c r="N230" t="s" s="10">
        <v>2118</v>
      </c>
      <c r="O230" t="s" s="10">
        <v>1474</v>
      </c>
      <c r="P230" t="s" s="10">
        <v>1469</v>
      </c>
      <c r="Q230" t="s" s="10">
        <v>1475</v>
      </c>
      <c r="R230" t="s" s="10">
        <v>1476</v>
      </c>
      <c r="S230" t="s" s="10">
        <v>1477</v>
      </c>
      <c r="T230" t="s" s="12">
        <v>1478</v>
      </c>
      <c r="U230" t="s" s="10">
        <v>1479</v>
      </c>
      <c r="V230" t="s" s="12">
        <v>1480</v>
      </c>
      <c r="W230" t="s" s="10">
        <v>2119</v>
      </c>
      <c r="X230" s="16">
        <f>HYPERLINK("https://my.pitchbook.com?p=390283-03P", "View People Online")</f>
      </c>
    </row>
    <row r="231">
      <c r="A231" t="s" s="11">
        <v>2120</v>
      </c>
      <c r="B231" t="s" s="11">
        <v>2121</v>
      </c>
      <c r="C231" t="s" s="11">
        <v>34</v>
      </c>
      <c r="D231" t="s" s="11">
        <v>2122</v>
      </c>
      <c r="E231" t="s" s="11">
        <v>36</v>
      </c>
      <c r="F231" t="s" s="11">
        <v>2123</v>
      </c>
      <c r="G231" t="s" s="11">
        <v>2124</v>
      </c>
      <c r="H231" s="17">
        <f>HYPERLINK("http://www.falcores.com", "www.falcores.com")</f>
      </c>
      <c r="I231" t="s" s="11">
        <v>2125</v>
      </c>
      <c r="J231" t="s" s="25">
        <v>34</v>
      </c>
      <c r="K231" s="25">
        <v>1</v>
      </c>
      <c r="L231" t="s" s="25">
        <v>34</v>
      </c>
      <c r="M231" t="s" s="13">
        <v>2126</v>
      </c>
      <c r="N231" t="s" s="11">
        <v>2127</v>
      </c>
      <c r="O231" t="s" s="11">
        <v>2006</v>
      </c>
      <c r="P231" t="s" s="11">
        <v>2128</v>
      </c>
      <c r="Q231" t="s" s="11">
        <v>1435</v>
      </c>
      <c r="R231" t="s" s="11">
        <v>2008</v>
      </c>
      <c r="S231" t="s" s="11">
        <v>2009</v>
      </c>
      <c r="T231" t="s" s="13">
        <v>2129</v>
      </c>
      <c r="U231" t="s" s="11">
        <v>917</v>
      </c>
      <c r="V231" t="s" s="13">
        <v>34</v>
      </c>
      <c r="W231" t="s" s="11">
        <v>2130</v>
      </c>
      <c r="X231" s="17">
        <f>HYPERLINK("https://my.pitchbook.com?p=144995-32P", "View People Online")</f>
      </c>
    </row>
    <row r="232">
      <c r="A232" t="s" s="10">
        <v>2131</v>
      </c>
      <c r="B232" t="s" s="10">
        <v>2132</v>
      </c>
      <c r="C232" t="s" s="10">
        <v>34</v>
      </c>
      <c r="D232" t="s" s="10">
        <v>2133</v>
      </c>
      <c r="E232" t="s" s="10">
        <v>36</v>
      </c>
      <c r="F232" t="s" s="10">
        <v>2134</v>
      </c>
      <c r="G232" t="s" s="10">
        <v>2135</v>
      </c>
      <c r="H232" s="16">
        <f>HYPERLINK("http://www.nipg.com", "www.nipg.com")</f>
      </c>
      <c r="I232" t="s" s="10">
        <v>2137</v>
      </c>
      <c r="J232" t="s" s="24">
        <v>34</v>
      </c>
      <c r="K232" s="24">
        <v>1</v>
      </c>
      <c r="L232" t="s" s="24">
        <v>34</v>
      </c>
      <c r="M232" t="s" s="12">
        <v>2138</v>
      </c>
      <c r="N232" t="s" s="10">
        <v>34</v>
      </c>
      <c r="O232" t="s" s="10">
        <v>2139</v>
      </c>
      <c r="P232" t="s" s="10">
        <v>2140</v>
      </c>
      <c r="Q232" t="s" s="10">
        <v>34</v>
      </c>
      <c r="R232" t="s" s="10">
        <v>2141</v>
      </c>
      <c r="S232" t="s" s="10">
        <v>34</v>
      </c>
      <c r="T232" t="s" s="12">
        <v>2142</v>
      </c>
      <c r="U232" t="s" s="10">
        <v>902</v>
      </c>
      <c r="V232" t="s" s="12">
        <v>34</v>
      </c>
      <c r="W232" t="s" s="10">
        <v>2143</v>
      </c>
      <c r="X232" s="16">
        <f>HYPERLINK("https://my.pitchbook.com?p=401189-32P", "View People Online")</f>
      </c>
    </row>
    <row r="233">
      <c r="A233" t="s" s="11">
        <v>2144</v>
      </c>
      <c r="B233" t="s" s="11">
        <v>2145</v>
      </c>
      <c r="C233" t="s" s="11">
        <v>34</v>
      </c>
      <c r="D233" t="s" s="11">
        <v>2146</v>
      </c>
      <c r="E233" t="s" s="11">
        <v>36</v>
      </c>
      <c r="F233" t="s" s="11">
        <v>2147</v>
      </c>
      <c r="G233" t="s" s="11">
        <v>2148</v>
      </c>
      <c r="H233" s="17">
        <f>HYPERLINK("http://www.asiabasemetals.com", "www.asiabasemetals.com")</f>
      </c>
      <c r="I233" t="s" s="11">
        <v>108</v>
      </c>
      <c r="J233" s="25">
        <v>1</v>
      </c>
      <c r="K233" s="25">
        <v>1</v>
      </c>
      <c r="L233" t="s" s="25">
        <v>34</v>
      </c>
      <c r="M233" t="s" s="13">
        <v>2150</v>
      </c>
      <c r="N233" t="s" s="11">
        <v>34</v>
      </c>
      <c r="O233" t="s" s="11">
        <v>998</v>
      </c>
      <c r="P233" t="s" s="11">
        <v>2151</v>
      </c>
      <c r="Q233" t="s" s="11">
        <v>34</v>
      </c>
      <c r="R233" t="s" s="11">
        <v>1001</v>
      </c>
      <c r="S233" t="s" s="11">
        <v>1002</v>
      </c>
      <c r="T233" t="s" s="13">
        <v>2152</v>
      </c>
      <c r="U233" t="s" s="11">
        <v>917</v>
      </c>
      <c r="V233" t="s" s="13">
        <v>34</v>
      </c>
      <c r="W233" t="s" s="11">
        <v>2153</v>
      </c>
      <c r="X233" s="17">
        <f>HYPERLINK("https://my.pitchbook.com?p=154583-92P", "View People Online")</f>
      </c>
    </row>
    <row r="234">
      <c r="A234" t="s" s="10">
        <v>2154</v>
      </c>
      <c r="B234" t="s" s="10">
        <v>2155</v>
      </c>
      <c r="C234" t="s" s="10">
        <v>34</v>
      </c>
      <c r="D234" t="s" s="10">
        <v>127</v>
      </c>
      <c r="E234" t="s" s="10">
        <v>36</v>
      </c>
      <c r="F234" t="s" s="10">
        <v>2156</v>
      </c>
      <c r="G234" t="s" s="10">
        <v>2157</v>
      </c>
      <c r="H234" s="16">
        <f>HYPERLINK("http://www.playtech.com", "www.playtech.com")</f>
      </c>
      <c r="I234" t="s" s="10">
        <v>2158</v>
      </c>
      <c r="J234" t="s" s="24">
        <v>34</v>
      </c>
      <c r="K234" t="s" s="24">
        <v>34</v>
      </c>
      <c r="L234" t="s" s="24">
        <v>34</v>
      </c>
      <c r="M234" t="s" s="12">
        <v>34</v>
      </c>
      <c r="N234" t="s" s="10">
        <v>34</v>
      </c>
      <c r="O234" t="s" s="10">
        <v>34</v>
      </c>
      <c r="P234" t="s" s="10">
        <v>34</v>
      </c>
      <c r="Q234" t="s" s="10">
        <v>34</v>
      </c>
      <c r="R234" t="s" s="10">
        <v>34</v>
      </c>
      <c r="S234" t="s" s="10">
        <v>34</v>
      </c>
      <c r="T234" t="s" s="12">
        <v>34</v>
      </c>
      <c r="U234" t="s" s="10">
        <v>34</v>
      </c>
      <c r="V234" t="s" s="12">
        <v>34</v>
      </c>
      <c r="W234" t="s" s="10">
        <v>2159</v>
      </c>
      <c r="X234" s="16">
        <f>HYPERLINK("https://my.pitchbook.com?p=127065-79P", "View People Online")</f>
      </c>
    </row>
    <row r="235">
      <c r="A235" t="s" s="11">
        <v>2160</v>
      </c>
      <c r="B235" t="s" s="11">
        <v>2161</v>
      </c>
      <c r="C235" t="s" s="11">
        <v>34</v>
      </c>
      <c r="D235" t="s" s="11">
        <v>2162</v>
      </c>
      <c r="E235" t="s" s="11">
        <v>36</v>
      </c>
      <c r="F235" t="s" s="11">
        <v>2163</v>
      </c>
      <c r="G235" t="s" s="11">
        <v>2164</v>
      </c>
      <c r="H235" s="17">
        <f>HYPERLINK("http://eastcoastvulcanmining.com/home", "eastcoastvulcanmining.com/home")</f>
      </c>
      <c r="I235" t="s" s="11">
        <v>2166</v>
      </c>
      <c r="J235" t="s" s="25">
        <v>34</v>
      </c>
      <c r="K235" s="25">
        <v>2</v>
      </c>
      <c r="L235" s="25">
        <v>1</v>
      </c>
      <c r="M235" t="s" s="13">
        <v>2167</v>
      </c>
      <c r="N235" t="s" s="11">
        <v>2168</v>
      </c>
      <c r="O235" t="s" s="11">
        <v>2169</v>
      </c>
      <c r="P235" t="s" s="11">
        <v>2170</v>
      </c>
      <c r="Q235" t="s" s="11">
        <v>2171</v>
      </c>
      <c r="R235" t="s" s="11">
        <v>2172</v>
      </c>
      <c r="S235" t="s" s="11">
        <v>34</v>
      </c>
      <c r="T235" t="s" s="13">
        <v>34</v>
      </c>
      <c r="U235" t="s" s="11">
        <v>99</v>
      </c>
      <c r="V235" t="s" s="13">
        <v>2173</v>
      </c>
      <c r="W235" t="s" s="11">
        <v>2174</v>
      </c>
      <c r="X235" s="17">
        <f>HYPERLINK("https://my.pitchbook.com?p=269096-05P", "View People Online")</f>
      </c>
    </row>
    <row r="236">
      <c r="A236" t="s" s="10">
        <v>2175</v>
      </c>
      <c r="B236" t="s" s="10">
        <v>2176</v>
      </c>
      <c r="C236" t="s" s="10">
        <v>34</v>
      </c>
      <c r="D236" t="s" s="10">
        <v>2177</v>
      </c>
      <c r="E236" t="s" s="10">
        <v>36</v>
      </c>
      <c r="F236" t="s" s="10">
        <v>2178</v>
      </c>
      <c r="G236" t="s" s="10">
        <v>2179</v>
      </c>
      <c r="H236" s="16">
        <f>HYPERLINK("http://www.paysafe.com", "www.paysafe.com")</f>
      </c>
      <c r="I236" t="s" s="10">
        <v>108</v>
      </c>
      <c r="J236" t="s" s="24">
        <v>34</v>
      </c>
      <c r="K236" t="s" s="24">
        <v>34</v>
      </c>
      <c r="L236" t="s" s="24">
        <v>34</v>
      </c>
      <c r="M236" t="s" s="12">
        <v>34</v>
      </c>
      <c r="N236" t="s" s="10">
        <v>34</v>
      </c>
      <c r="O236" t="s" s="10">
        <v>34</v>
      </c>
      <c r="P236" t="s" s="10">
        <v>34</v>
      </c>
      <c r="Q236" t="s" s="10">
        <v>34</v>
      </c>
      <c r="R236" t="s" s="10">
        <v>34</v>
      </c>
      <c r="S236" t="s" s="10">
        <v>34</v>
      </c>
      <c r="T236" t="s" s="12">
        <v>34</v>
      </c>
      <c r="U236" t="s" s="10">
        <v>34</v>
      </c>
      <c r="V236" t="s" s="12">
        <v>34</v>
      </c>
      <c r="W236" t="s" s="10">
        <v>2181</v>
      </c>
      <c r="X236" s="16">
        <f>HYPERLINK("https://my.pitchbook.com?p=284883-94P", "View People Online")</f>
      </c>
    </row>
    <row r="237">
      <c r="A237" t="s" s="11">
        <v>2182</v>
      </c>
      <c r="B237" t="s" s="11">
        <v>2183</v>
      </c>
      <c r="C237" t="s" s="11">
        <v>34</v>
      </c>
      <c r="D237" t="s" s="11">
        <v>2184</v>
      </c>
      <c r="E237" t="s" s="11">
        <v>36</v>
      </c>
      <c r="F237" t="s" s="11">
        <v>2185</v>
      </c>
      <c r="G237" t="s" s="11">
        <v>2186</v>
      </c>
      <c r="H237" s="17">
        <f>HYPERLINK("http://www.andradamining.com", "www.andradamining.com")</f>
      </c>
      <c r="I237" t="s" s="11">
        <v>230</v>
      </c>
      <c r="J237" s="25">
        <v>1</v>
      </c>
      <c r="K237" s="25">
        <v>1</v>
      </c>
      <c r="L237" t="s" s="25">
        <v>34</v>
      </c>
      <c r="M237" t="s" s="13">
        <v>2188</v>
      </c>
      <c r="N237" t="s" s="11">
        <v>2189</v>
      </c>
      <c r="O237" t="s" s="11">
        <v>2190</v>
      </c>
      <c r="P237" t="s" s="11">
        <v>2191</v>
      </c>
      <c r="Q237" t="s" s="11">
        <v>2192</v>
      </c>
      <c r="R237" t="s" s="11">
        <v>2193</v>
      </c>
      <c r="S237" t="s" s="11">
        <v>34</v>
      </c>
      <c r="T237" t="s" s="13">
        <v>34</v>
      </c>
      <c r="U237" t="s" s="11">
        <v>2194</v>
      </c>
      <c r="V237" t="s" s="13">
        <v>34</v>
      </c>
      <c r="W237" t="s" s="11">
        <v>2195</v>
      </c>
      <c r="X237" s="17">
        <f>HYPERLINK("https://my.pitchbook.com?p=309782-35P", "View People Online")</f>
      </c>
    </row>
    <row r="238">
      <c r="A238" t="s" s="10">
        <v>2196</v>
      </c>
      <c r="B238" t="s" s="10">
        <v>2197</v>
      </c>
      <c r="C238" t="s" s="10">
        <v>34</v>
      </c>
      <c r="D238" t="s" s="10">
        <v>2198</v>
      </c>
      <c r="E238" t="s" s="10">
        <v>36</v>
      </c>
      <c r="F238" t="s" s="10">
        <v>2199</v>
      </c>
      <c r="G238" t="s" s="10">
        <v>2200</v>
      </c>
      <c r="H238" s="16">
        <f>HYPERLINK("http://www.skf.com", "www.skf.com")</f>
      </c>
      <c r="I238" t="s" s="10">
        <v>108</v>
      </c>
      <c r="J238" s="24">
        <v>1</v>
      </c>
      <c r="K238" s="24">
        <v>1</v>
      </c>
      <c r="L238" t="s" s="24">
        <v>34</v>
      </c>
      <c r="M238" t="s" s="12">
        <v>2202</v>
      </c>
      <c r="N238" t="s" s="10">
        <v>34</v>
      </c>
      <c r="O238" t="s" s="10">
        <v>897</v>
      </c>
      <c r="P238" t="s" s="10">
        <v>2203</v>
      </c>
      <c r="Q238" t="s" s="10">
        <v>34</v>
      </c>
      <c r="R238" t="s" s="10">
        <v>900</v>
      </c>
      <c r="S238" t="s" s="10">
        <v>34</v>
      </c>
      <c r="T238" t="s" s="12">
        <v>2204</v>
      </c>
      <c r="U238" t="s" s="10">
        <v>902</v>
      </c>
      <c r="V238" t="s" s="12">
        <v>2205</v>
      </c>
      <c r="W238" t="s" s="10">
        <v>2206</v>
      </c>
      <c r="X238" s="16">
        <f>HYPERLINK("https://my.pitchbook.com?p=11501-29P", "View People Online")</f>
      </c>
    </row>
    <row r="239">
      <c r="A239" t="s" s="11">
        <v>2207</v>
      </c>
      <c r="B239" t="s" s="11">
        <v>2208</v>
      </c>
      <c r="C239" t="s" s="11">
        <v>34</v>
      </c>
      <c r="D239" t="s" s="11">
        <v>2209</v>
      </c>
      <c r="E239" t="s" s="11">
        <v>36</v>
      </c>
      <c r="F239" t="s" s="11">
        <v>1561</v>
      </c>
      <c r="G239" t="s" s="11">
        <v>2210</v>
      </c>
      <c r="H239" s="17">
        <f>HYPERLINK("http://www.coats.com", "www.coats.com")</f>
      </c>
      <c r="I239" t="s" s="11">
        <v>108</v>
      </c>
      <c r="J239" s="25">
        <v>1</v>
      </c>
      <c r="K239" s="25">
        <v>1</v>
      </c>
      <c r="L239" t="s" s="25">
        <v>34</v>
      </c>
      <c r="M239" t="s" s="13">
        <v>34</v>
      </c>
      <c r="N239" t="s" s="11">
        <v>2212</v>
      </c>
      <c r="O239" t="s" s="11">
        <v>117</v>
      </c>
      <c r="P239" t="s" s="11">
        <v>2213</v>
      </c>
      <c r="Q239" t="s" s="11">
        <v>2214</v>
      </c>
      <c r="R239" t="s" s="11">
        <v>119</v>
      </c>
      <c r="S239" t="s" s="11">
        <v>120</v>
      </c>
      <c r="T239" t="s" s="13">
        <v>2215</v>
      </c>
      <c r="U239" t="s" s="11">
        <v>122</v>
      </c>
      <c r="V239" t="s" s="13">
        <v>34</v>
      </c>
      <c r="W239" t="s" s="11">
        <v>2216</v>
      </c>
      <c r="X239" s="17">
        <f>HYPERLINK("https://my.pitchbook.com?p=125256-43P", "View People Online")</f>
      </c>
    </row>
    <row r="240">
      <c r="A240" t="s" s="10">
        <v>2217</v>
      </c>
      <c r="B240" t="s" s="10">
        <v>2218</v>
      </c>
      <c r="C240" t="s" s="10">
        <v>34</v>
      </c>
      <c r="D240" t="s" s="10">
        <v>2219</v>
      </c>
      <c r="E240" t="s" s="10">
        <v>36</v>
      </c>
      <c r="F240" t="s" s="10">
        <v>2220</v>
      </c>
      <c r="G240" t="s" s="10">
        <v>2221</v>
      </c>
      <c r="H240" s="16">
        <f>HYPERLINK("http://corporate.monro.com", "corporate.monro.com")</f>
      </c>
      <c r="I240" t="s" s="10">
        <v>108</v>
      </c>
      <c r="J240" s="24">
        <v>4</v>
      </c>
      <c r="K240" s="24">
        <v>5</v>
      </c>
      <c r="L240" t="s" s="24">
        <v>34</v>
      </c>
      <c r="M240" t="s" s="12">
        <v>2223</v>
      </c>
      <c r="N240" t="s" s="10">
        <v>2224</v>
      </c>
      <c r="O240" t="s" s="10">
        <v>2225</v>
      </c>
      <c r="P240" t="s" s="10">
        <v>2226</v>
      </c>
      <c r="Q240" t="s" s="10">
        <v>1909</v>
      </c>
      <c r="R240" t="s" s="10">
        <v>2227</v>
      </c>
      <c r="S240" t="s" s="10">
        <v>1127</v>
      </c>
      <c r="T240" t="s" s="12">
        <v>2228</v>
      </c>
      <c r="U240" t="s" s="10">
        <v>161</v>
      </c>
      <c r="V240" t="s" s="12">
        <v>34</v>
      </c>
      <c r="W240" t="s" s="10">
        <v>2229</v>
      </c>
      <c r="X240" s="16">
        <f>HYPERLINK("https://my.pitchbook.com?p=217582-66P", "View People Online")</f>
      </c>
    </row>
    <row r="241">
      <c r="A241" t="s" s="11">
        <v>2230</v>
      </c>
      <c r="B241" t="s" s="11">
        <v>2231</v>
      </c>
      <c r="C241" t="s" s="11">
        <v>34</v>
      </c>
      <c r="D241" t="s" s="11">
        <v>781</v>
      </c>
      <c r="E241" t="s" s="11">
        <v>36</v>
      </c>
      <c r="F241" t="s" s="11">
        <v>2232</v>
      </c>
      <c r="G241" t="s" s="11">
        <v>2233</v>
      </c>
      <c r="H241" s="17">
        <f>HYPERLINK("http://v-er.eu", "v-er.eu")</f>
      </c>
      <c r="I241" t="s" s="11">
        <v>2234</v>
      </c>
      <c r="J241" t="s" s="25">
        <v>34</v>
      </c>
      <c r="K241" t="s" s="25">
        <v>34</v>
      </c>
      <c r="L241" t="s" s="25">
        <v>34</v>
      </c>
      <c r="M241" t="s" s="13">
        <v>34</v>
      </c>
      <c r="N241" t="s" s="11">
        <v>2235</v>
      </c>
      <c r="O241" t="s" s="11">
        <v>34</v>
      </c>
      <c r="P241" t="s" s="11">
        <v>34</v>
      </c>
      <c r="Q241" t="s" s="11">
        <v>34</v>
      </c>
      <c r="R241" t="s" s="11">
        <v>34</v>
      </c>
      <c r="S241" t="s" s="11">
        <v>34</v>
      </c>
      <c r="T241" t="s" s="13">
        <v>34</v>
      </c>
      <c r="U241" t="s" s="11">
        <v>34</v>
      </c>
      <c r="V241" t="s" s="13">
        <v>34</v>
      </c>
      <c r="W241" t="s" s="11">
        <v>2236</v>
      </c>
      <c r="X241" s="17">
        <f>HYPERLINK("https://my.pitchbook.com?p=275371-84P", "View People Online")</f>
      </c>
    </row>
    <row r="242">
      <c r="A242" t="s" s="10">
        <v>2237</v>
      </c>
      <c r="B242" t="s" s="10">
        <v>2238</v>
      </c>
      <c r="C242" t="s" s="10">
        <v>34</v>
      </c>
      <c r="D242" t="s" s="10">
        <v>1796</v>
      </c>
      <c r="E242" t="s" s="10">
        <v>36</v>
      </c>
      <c r="F242" t="s" s="10">
        <v>2239</v>
      </c>
      <c r="G242" t="s" s="10">
        <v>2240</v>
      </c>
      <c r="H242" s="16">
        <f>HYPERLINK("http://www.banksc.com", "www.banksc.com")</f>
      </c>
      <c r="I242" t="s" s="10">
        <v>307</v>
      </c>
      <c r="J242" s="24">
        <v>1</v>
      </c>
      <c r="K242" s="24">
        <v>1</v>
      </c>
      <c r="L242" t="s" s="24">
        <v>34</v>
      </c>
      <c r="M242" t="s" s="12">
        <v>1800</v>
      </c>
      <c r="N242" t="s" s="10">
        <v>34</v>
      </c>
      <c r="O242" t="s" s="10">
        <v>1801</v>
      </c>
      <c r="P242" t="s" s="10">
        <v>1802</v>
      </c>
      <c r="Q242" t="s" s="10">
        <v>34</v>
      </c>
      <c r="R242" t="s" s="10">
        <v>1803</v>
      </c>
      <c r="S242" t="s" s="10">
        <v>1280</v>
      </c>
      <c r="T242" t="s" s="12">
        <v>1804</v>
      </c>
      <c r="U242" t="s" s="10">
        <v>161</v>
      </c>
      <c r="V242" t="s" s="12">
        <v>1805</v>
      </c>
      <c r="W242" t="s" s="10">
        <v>2241</v>
      </c>
      <c r="X242" s="16">
        <f>HYPERLINK("https://my.pitchbook.com?p=280897-48P", "View People Online")</f>
      </c>
    </row>
    <row r="243">
      <c r="A243" t="s" s="11">
        <v>2242</v>
      </c>
      <c r="B243" t="s" s="11">
        <v>2243</v>
      </c>
      <c r="C243" t="s" s="11">
        <v>34</v>
      </c>
      <c r="D243" t="s" s="11">
        <v>2244</v>
      </c>
      <c r="E243" t="s" s="11">
        <v>36</v>
      </c>
      <c r="F243" t="s" s="11">
        <v>2245</v>
      </c>
      <c r="G243" t="s" s="11">
        <v>2246</v>
      </c>
      <c r="H243" s="17">
        <f>HYPERLINK("http://www.landore.com", "www.landore.com")</f>
      </c>
      <c r="I243" t="s" s="11">
        <v>307</v>
      </c>
      <c r="J243" s="25">
        <v>1</v>
      </c>
      <c r="K243" s="25">
        <v>1</v>
      </c>
      <c r="L243" t="s" s="25">
        <v>34</v>
      </c>
      <c r="M243" t="s" s="13">
        <v>2248</v>
      </c>
      <c r="N243" t="s" s="11">
        <v>34</v>
      </c>
      <c r="O243" t="s" s="11">
        <v>2249</v>
      </c>
      <c r="P243" t="s" s="11">
        <v>2250</v>
      </c>
      <c r="Q243" t="s" s="11">
        <v>2251</v>
      </c>
      <c r="R243" t="s" s="11">
        <v>709</v>
      </c>
      <c r="S243" t="s" s="11">
        <v>709</v>
      </c>
      <c r="T243" t="s" s="13">
        <v>2252</v>
      </c>
      <c r="U243" t="s" s="11">
        <v>122</v>
      </c>
      <c r="V243" t="s" s="13">
        <v>34</v>
      </c>
      <c r="W243" t="s" s="11">
        <v>2253</v>
      </c>
      <c r="X243" s="17">
        <f>HYPERLINK("https://my.pitchbook.com?p=278684-65P", "View People Online")</f>
      </c>
    </row>
    <row r="244">
      <c r="A244" t="s" s="10">
        <v>2254</v>
      </c>
      <c r="B244" t="s" s="10">
        <v>2255</v>
      </c>
      <c r="C244" t="s" s="10">
        <v>34</v>
      </c>
      <c r="D244" t="s" s="10">
        <v>879</v>
      </c>
      <c r="E244" t="s" s="10">
        <v>36</v>
      </c>
      <c r="F244" t="s" s="10">
        <v>2256</v>
      </c>
      <c r="G244" t="s" s="10">
        <v>2257</v>
      </c>
      <c r="H244" s="16">
        <f>HYPERLINK("http://www.playtech.com", "www.playtech.com")</f>
      </c>
      <c r="I244" t="s" s="10">
        <v>108</v>
      </c>
      <c r="J244" s="24">
        <v>2</v>
      </c>
      <c r="K244" s="24">
        <v>5</v>
      </c>
      <c r="L244" s="24">
        <v>3</v>
      </c>
      <c r="M244" t="s" s="12">
        <v>2258</v>
      </c>
      <c r="N244" t="s" s="10">
        <v>34</v>
      </c>
      <c r="O244" t="s" s="10">
        <v>883</v>
      </c>
      <c r="P244" t="s" s="10">
        <v>884</v>
      </c>
      <c r="Q244" t="s" s="10">
        <v>885</v>
      </c>
      <c r="R244" t="s" s="10">
        <v>886</v>
      </c>
      <c r="S244" t="s" s="10">
        <v>120</v>
      </c>
      <c r="T244" t="s" s="12">
        <v>887</v>
      </c>
      <c r="U244" t="s" s="10">
        <v>122</v>
      </c>
      <c r="V244" t="s" s="12">
        <v>34</v>
      </c>
      <c r="W244" t="s" s="10">
        <v>2259</v>
      </c>
      <c r="X244" s="16">
        <f>HYPERLINK("https://my.pitchbook.com?p=92493-64P", "View People Online")</f>
      </c>
    </row>
    <row r="245">
      <c r="A245" t="s" s="11">
        <v>2260</v>
      </c>
      <c r="B245" t="s" s="11">
        <v>2261</v>
      </c>
      <c r="C245" t="s" s="11">
        <v>34</v>
      </c>
      <c r="D245" t="s" s="11">
        <v>2262</v>
      </c>
      <c r="E245" t="s" s="11">
        <v>36</v>
      </c>
      <c r="F245" t="s" s="11">
        <v>2263</v>
      </c>
      <c r="G245" t="s" s="11">
        <v>2264</v>
      </c>
      <c r="H245" s="17">
        <f>HYPERLINK("http://www.opc-energy.com", "www.opc-energy.com")</f>
      </c>
      <c r="I245" t="s" s="11">
        <v>34</v>
      </c>
      <c r="J245" t="s" s="25">
        <v>34</v>
      </c>
      <c r="K245" s="25">
        <v>10</v>
      </c>
      <c r="L245" s="25">
        <v>9</v>
      </c>
      <c r="M245" t="s" s="13">
        <v>34</v>
      </c>
      <c r="N245" t="s" s="11">
        <v>34</v>
      </c>
      <c r="O245" t="s" s="11">
        <v>117</v>
      </c>
      <c r="P245" t="s" s="11">
        <v>34</v>
      </c>
      <c r="Q245" t="s" s="11">
        <v>34</v>
      </c>
      <c r="R245" t="s" s="11">
        <v>119</v>
      </c>
      <c r="S245" t="s" s="11">
        <v>120</v>
      </c>
      <c r="T245" t="s" s="13">
        <v>34</v>
      </c>
      <c r="U245" t="s" s="11">
        <v>122</v>
      </c>
      <c r="V245" t="s" s="13">
        <v>34</v>
      </c>
      <c r="W245" t="s" s="11">
        <v>2266</v>
      </c>
      <c r="X245" s="17">
        <f>HYPERLINK("https://my.pitchbook.com?p=53479-36P", "View People Online")</f>
      </c>
    </row>
    <row r="246">
      <c r="A246" t="s" s="10">
        <v>2267</v>
      </c>
      <c r="B246" t="s" s="10">
        <v>2261</v>
      </c>
      <c r="C246" t="s" s="10">
        <v>34</v>
      </c>
      <c r="D246" t="s" s="10">
        <v>749</v>
      </c>
      <c r="E246" t="s" s="10">
        <v>36</v>
      </c>
      <c r="F246" t="s" s="10">
        <v>2263</v>
      </c>
      <c r="G246" t="s" s="10">
        <v>2264</v>
      </c>
      <c r="H246" s="16">
        <f>HYPERLINK("http://www.kenon-holdings.com", "www.kenon-holdings.com")</f>
      </c>
      <c r="I246" t="s" s="10">
        <v>2268</v>
      </c>
      <c r="J246" t="s" s="24">
        <v>34</v>
      </c>
      <c r="K246" s="24">
        <v>1</v>
      </c>
      <c r="L246" t="s" s="24">
        <v>34</v>
      </c>
      <c r="M246" t="s" s="12">
        <v>753</v>
      </c>
      <c r="N246" t="s" s="10">
        <v>2269</v>
      </c>
      <c r="O246" t="s" s="10">
        <v>140</v>
      </c>
      <c r="P246" t="s" s="10">
        <v>755</v>
      </c>
      <c r="Q246" t="s" s="10">
        <v>756</v>
      </c>
      <c r="R246" t="s" s="10">
        <v>143</v>
      </c>
      <c r="S246" t="s" s="10">
        <v>34</v>
      </c>
      <c r="T246" t="s" s="12">
        <v>757</v>
      </c>
      <c r="U246" t="s" s="10">
        <v>143</v>
      </c>
      <c r="V246" t="s" s="12">
        <v>758</v>
      </c>
      <c r="W246" t="s" s="10">
        <v>2270</v>
      </c>
      <c r="X246" s="16">
        <f>HYPERLINK("https://my.pitchbook.com?p=175207-15P", "View People Online")</f>
      </c>
    </row>
    <row r="247">
      <c r="A247" t="s" s="11">
        <v>2271</v>
      </c>
      <c r="B247" t="s" s="11">
        <v>2272</v>
      </c>
      <c r="C247" t="s" s="11">
        <v>34</v>
      </c>
      <c r="D247" t="s" s="11">
        <v>273</v>
      </c>
      <c r="E247" t="s" s="11">
        <v>36</v>
      </c>
      <c r="F247" t="s" s="11">
        <v>2273</v>
      </c>
      <c r="G247" t="s" s="11">
        <v>2274</v>
      </c>
      <c r="H247" s="17">
        <f>HYPERLINK("http://www.enplusgroup.com", "www.enplusgroup.com")</f>
      </c>
      <c r="I247" t="s" s="11">
        <v>2275</v>
      </c>
      <c r="J247" t="s" s="25">
        <v>34</v>
      </c>
      <c r="K247" t="s" s="25">
        <v>34</v>
      </c>
      <c r="L247" t="s" s="25">
        <v>34</v>
      </c>
      <c r="M247" t="s" s="13">
        <v>34</v>
      </c>
      <c r="N247" t="s" s="11">
        <v>34</v>
      </c>
      <c r="O247" t="s" s="11">
        <v>34</v>
      </c>
      <c r="P247" t="s" s="11">
        <v>34</v>
      </c>
      <c r="Q247" t="s" s="11">
        <v>34</v>
      </c>
      <c r="R247" t="s" s="11">
        <v>34</v>
      </c>
      <c r="S247" t="s" s="11">
        <v>34</v>
      </c>
      <c r="T247" t="s" s="13">
        <v>34</v>
      </c>
      <c r="U247" t="s" s="11">
        <v>34</v>
      </c>
      <c r="V247" t="s" s="13">
        <v>34</v>
      </c>
      <c r="W247" t="s" s="11">
        <v>2276</v>
      </c>
      <c r="X247" s="17">
        <f>HYPERLINK("https://my.pitchbook.com?p=72048-43P", "View People Online")</f>
      </c>
    </row>
    <row r="248">
      <c r="A248" t="s" s="10">
        <v>2277</v>
      </c>
      <c r="B248" t="s" s="10">
        <v>2278</v>
      </c>
      <c r="C248" t="s" s="10">
        <v>34</v>
      </c>
      <c r="D248" t="s" s="10">
        <v>2279</v>
      </c>
      <c r="E248" t="s" s="10">
        <v>36</v>
      </c>
      <c r="F248" t="s" s="10">
        <v>2280</v>
      </c>
      <c r="G248" t="s" s="10">
        <v>2281</v>
      </c>
      <c r="H248" s="16">
        <f>HYPERLINK("http://www.kmg.kz", "www.kmg.kz")</f>
      </c>
      <c r="I248" t="s" s="10">
        <v>108</v>
      </c>
      <c r="J248" t="s" s="24">
        <v>34</v>
      </c>
      <c r="K248" t="s" s="24">
        <v>34</v>
      </c>
      <c r="L248" t="s" s="24">
        <v>34</v>
      </c>
      <c r="M248" t="s" s="12">
        <v>34</v>
      </c>
      <c r="N248" t="s" s="10">
        <v>34</v>
      </c>
      <c r="O248" t="s" s="10">
        <v>34</v>
      </c>
      <c r="P248" t="s" s="10">
        <v>34</v>
      </c>
      <c r="Q248" t="s" s="10">
        <v>34</v>
      </c>
      <c r="R248" t="s" s="10">
        <v>34</v>
      </c>
      <c r="S248" t="s" s="10">
        <v>34</v>
      </c>
      <c r="T248" t="s" s="12">
        <v>34</v>
      </c>
      <c r="U248" t="s" s="10">
        <v>34</v>
      </c>
      <c r="V248" t="s" s="12">
        <v>34</v>
      </c>
      <c r="W248" t="s" s="10">
        <v>2283</v>
      </c>
      <c r="X248" s="16">
        <f>HYPERLINK("https://my.pitchbook.com?p=181508-32P", "View People Online")</f>
      </c>
    </row>
    <row r="249">
      <c r="A249" t="s" s="11">
        <v>2284</v>
      </c>
      <c r="B249" t="s" s="11">
        <v>2285</v>
      </c>
      <c r="C249" t="s" s="11">
        <v>34</v>
      </c>
      <c r="D249" t="s" s="11">
        <v>195</v>
      </c>
      <c r="E249" t="s" s="11">
        <v>36</v>
      </c>
      <c r="F249" t="s" s="11">
        <v>2286</v>
      </c>
      <c r="G249" t="s" s="11">
        <v>2287</v>
      </c>
      <c r="H249" s="17">
        <f>HYPERLINK("http://www.novatek.ru", "www.novatek.ru")</f>
      </c>
      <c r="I249" t="s" s="11">
        <v>2288</v>
      </c>
      <c r="J249" t="s" s="25">
        <v>34</v>
      </c>
      <c r="K249" s="25">
        <v>1</v>
      </c>
      <c r="L249" t="s" s="25">
        <v>34</v>
      </c>
      <c r="M249" t="s" s="13">
        <v>199</v>
      </c>
      <c r="N249" t="s" s="11">
        <v>2289</v>
      </c>
      <c r="O249" t="s" s="11">
        <v>200</v>
      </c>
      <c r="P249" t="s" s="11">
        <v>201</v>
      </c>
      <c r="Q249" t="s" s="11">
        <v>34</v>
      </c>
      <c r="R249" t="s" s="11">
        <v>202</v>
      </c>
      <c r="S249" t="s" s="11">
        <v>34</v>
      </c>
      <c r="T249" t="s" s="13">
        <v>203</v>
      </c>
      <c r="U249" t="s" s="11">
        <v>204</v>
      </c>
      <c r="V249" t="s" s="13">
        <v>205</v>
      </c>
      <c r="W249" t="s" s="11">
        <v>2290</v>
      </c>
      <c r="X249" s="17">
        <f>HYPERLINK("https://my.pitchbook.com?p=128280-25P", "View People Online")</f>
      </c>
    </row>
    <row r="250">
      <c r="A250" t="s" s="10">
        <v>2291</v>
      </c>
      <c r="B250" t="s" s="10">
        <v>2292</v>
      </c>
      <c r="C250" t="s" s="10">
        <v>34</v>
      </c>
      <c r="D250" t="s" s="10">
        <v>2293</v>
      </c>
      <c r="E250" t="s" s="10">
        <v>36</v>
      </c>
      <c r="F250" t="s" s="10">
        <v>2294</v>
      </c>
      <c r="G250" t="s" s="10">
        <v>2295</v>
      </c>
      <c r="H250" s="16">
        <f>HYPERLINK("http://www.zueblin.ch", "www.zueblin.ch")</f>
      </c>
      <c r="I250" t="s" s="10">
        <v>294</v>
      </c>
      <c r="J250" t="s" s="24">
        <v>34</v>
      </c>
      <c r="K250" t="s" s="24">
        <v>34</v>
      </c>
      <c r="L250" t="s" s="24">
        <v>34</v>
      </c>
      <c r="M250" t="s" s="12">
        <v>34</v>
      </c>
      <c r="N250" t="s" s="10">
        <v>34</v>
      </c>
      <c r="O250" t="s" s="10">
        <v>34</v>
      </c>
      <c r="P250" t="s" s="10">
        <v>34</v>
      </c>
      <c r="Q250" t="s" s="10">
        <v>34</v>
      </c>
      <c r="R250" t="s" s="10">
        <v>34</v>
      </c>
      <c r="S250" t="s" s="10">
        <v>34</v>
      </c>
      <c r="T250" t="s" s="12">
        <v>34</v>
      </c>
      <c r="U250" t="s" s="10">
        <v>34</v>
      </c>
      <c r="V250" t="s" s="12">
        <v>34</v>
      </c>
      <c r="W250" t="s" s="10">
        <v>2297</v>
      </c>
      <c r="X250" s="16">
        <f>HYPERLINK("https://my.pitchbook.com?p=83554-57P", "View People Online")</f>
      </c>
    </row>
    <row r="251">
      <c r="A251" t="s" s="11">
        <v>2298</v>
      </c>
      <c r="B251" t="s" s="11">
        <v>2299</v>
      </c>
      <c r="C251" t="s" s="11">
        <v>34</v>
      </c>
      <c r="D251" t="s" s="11">
        <v>195</v>
      </c>
      <c r="E251" t="s" s="11">
        <v>36</v>
      </c>
      <c r="F251" t="s" s="11">
        <v>2300</v>
      </c>
      <c r="G251" t="s" s="11">
        <v>2301</v>
      </c>
      <c r="H251" s="17">
        <f>HYPERLINK("http://www.novatek.ru", "www.novatek.ru")</f>
      </c>
      <c r="I251" t="s" s="11">
        <v>40</v>
      </c>
      <c r="J251" s="25">
        <v>1</v>
      </c>
      <c r="K251" s="25">
        <v>1</v>
      </c>
      <c r="L251" t="s" s="25">
        <v>34</v>
      </c>
      <c r="M251" t="s" s="13">
        <v>199</v>
      </c>
      <c r="N251" t="s" s="11">
        <v>34</v>
      </c>
      <c r="O251" t="s" s="11">
        <v>200</v>
      </c>
      <c r="P251" t="s" s="11">
        <v>201</v>
      </c>
      <c r="Q251" t="s" s="11">
        <v>34</v>
      </c>
      <c r="R251" t="s" s="11">
        <v>202</v>
      </c>
      <c r="S251" t="s" s="11">
        <v>34</v>
      </c>
      <c r="T251" t="s" s="13">
        <v>203</v>
      </c>
      <c r="U251" t="s" s="11">
        <v>204</v>
      </c>
      <c r="V251" t="s" s="13">
        <v>205</v>
      </c>
      <c r="W251" t="s" s="11">
        <v>2302</v>
      </c>
      <c r="X251" s="17">
        <f>HYPERLINK("https://my.pitchbook.com?p=300613-96P", "View People Online")</f>
      </c>
    </row>
    <row r="252">
      <c r="A252" t="s" s="10">
        <v>2303</v>
      </c>
      <c r="B252" t="s" s="10">
        <v>2304</v>
      </c>
      <c r="C252" t="s" s="10">
        <v>34</v>
      </c>
      <c r="D252" t="s" s="10">
        <v>525</v>
      </c>
      <c r="E252" t="s" s="10">
        <v>36</v>
      </c>
      <c r="F252" t="s" s="10">
        <v>2305</v>
      </c>
      <c r="G252" t="s" s="10">
        <v>2301</v>
      </c>
      <c r="H252" s="16">
        <f>HYPERLINK("http://www.oerlikon.com", "www.oerlikon.com")</f>
      </c>
      <c r="I252" t="s" s="10">
        <v>2306</v>
      </c>
      <c r="J252" s="24">
        <v>1</v>
      </c>
      <c r="K252" s="24">
        <v>1</v>
      </c>
      <c r="L252" t="s" s="24">
        <v>34</v>
      </c>
      <c r="M252" t="s" s="12">
        <v>529</v>
      </c>
      <c r="N252" t="s" s="10">
        <v>2307</v>
      </c>
      <c r="O252" t="s" s="10">
        <v>531</v>
      </c>
      <c r="P252" t="s" s="10">
        <v>532</v>
      </c>
      <c r="Q252" t="s" s="10">
        <v>34</v>
      </c>
      <c r="R252" t="s" s="10">
        <v>533</v>
      </c>
      <c r="S252" t="s" s="10">
        <v>34</v>
      </c>
      <c r="T252" t="s" s="12">
        <v>534</v>
      </c>
      <c r="U252" t="s" s="10">
        <v>535</v>
      </c>
      <c r="V252" t="s" s="12">
        <v>34</v>
      </c>
      <c r="W252" t="s" s="10">
        <v>2308</v>
      </c>
      <c r="X252" s="16">
        <f>HYPERLINK("https://my.pitchbook.com?p=88918-57P", "View People Online")</f>
      </c>
    </row>
    <row r="253">
      <c r="A253" t="s" s="11">
        <v>2309</v>
      </c>
      <c r="B253" t="s" s="11">
        <v>2310</v>
      </c>
      <c r="C253" t="s" s="11">
        <v>34</v>
      </c>
      <c r="D253" t="s" s="11">
        <v>2311</v>
      </c>
      <c r="E253" t="s" s="11">
        <v>36</v>
      </c>
      <c r="F253" t="s" s="11">
        <v>2312</v>
      </c>
      <c r="G253" t="s" s="11">
        <v>2313</v>
      </c>
      <c r="H253" s="17">
        <f>HYPERLINK("http://www.inx.co", "www.inx.co")</f>
      </c>
      <c r="I253" t="s" s="11">
        <v>628</v>
      </c>
      <c r="J253" t="s" s="25">
        <v>34</v>
      </c>
      <c r="K253" s="25">
        <v>2</v>
      </c>
      <c r="L253" s="25">
        <v>1</v>
      </c>
      <c r="M253" t="s" s="13">
        <v>2315</v>
      </c>
      <c r="N253" t="s" s="11">
        <v>34</v>
      </c>
      <c r="O253" t="s" s="11">
        <v>2316</v>
      </c>
      <c r="P253" t="s" s="11">
        <v>2317</v>
      </c>
      <c r="Q253" t="s" s="11">
        <v>34</v>
      </c>
      <c r="R253" t="s" s="11">
        <v>34</v>
      </c>
      <c r="S253" t="s" s="11">
        <v>34</v>
      </c>
      <c r="T253" t="s" s="13">
        <v>34</v>
      </c>
      <c r="U253" t="s" s="11">
        <v>2316</v>
      </c>
      <c r="V253" t="s" s="13">
        <v>34</v>
      </c>
      <c r="W253" t="s" s="11">
        <v>2318</v>
      </c>
      <c r="X253" s="17">
        <f>HYPERLINK("https://my.pitchbook.com?p=189940-51P", "View People Online")</f>
      </c>
    </row>
    <row r="254">
      <c r="A254" t="s" s="10">
        <v>2319</v>
      </c>
      <c r="B254" t="s" s="10">
        <v>2320</v>
      </c>
      <c r="C254" t="s" s="10">
        <v>34</v>
      </c>
      <c r="D254" t="s" s="10">
        <v>943</v>
      </c>
      <c r="E254" t="s" s="10">
        <v>36</v>
      </c>
      <c r="F254" t="s" s="10">
        <v>2321</v>
      </c>
      <c r="G254" t="s" s="10">
        <v>2322</v>
      </c>
      <c r="H254" s="16">
        <f>HYPERLINK("http://www.vulcanmaterials.com", "www.vulcanmaterials.com")</f>
      </c>
      <c r="I254" t="s" s="10">
        <v>1021</v>
      </c>
      <c r="J254" s="24">
        <v>1</v>
      </c>
      <c r="K254" s="24">
        <v>3</v>
      </c>
      <c r="L254" s="24">
        <v>2</v>
      </c>
      <c r="M254" t="s" s="12">
        <v>947</v>
      </c>
      <c r="N254" t="s" s="10">
        <v>2323</v>
      </c>
      <c r="O254" t="s" s="10">
        <v>949</v>
      </c>
      <c r="P254" t="s" s="10">
        <v>950</v>
      </c>
      <c r="Q254" t="s" s="10">
        <v>34</v>
      </c>
      <c r="R254" t="s" s="10">
        <v>951</v>
      </c>
      <c r="S254" t="s" s="10">
        <v>952</v>
      </c>
      <c r="T254" t="s" s="12">
        <v>953</v>
      </c>
      <c r="U254" t="s" s="10">
        <v>161</v>
      </c>
      <c r="V254" t="s" s="12">
        <v>2324</v>
      </c>
      <c r="W254" t="s" s="10">
        <v>2325</v>
      </c>
      <c r="X254" s="16">
        <f>HYPERLINK("https://my.pitchbook.com?p=262619-47P", "View People Online")</f>
      </c>
    </row>
    <row r="255">
      <c r="A255" t="s" s="11">
        <v>2326</v>
      </c>
      <c r="B255" t="s" s="11">
        <v>2327</v>
      </c>
      <c r="C255" t="s" s="11">
        <v>34</v>
      </c>
      <c r="D255" t="s" s="11">
        <v>943</v>
      </c>
      <c r="E255" t="s" s="11">
        <v>36</v>
      </c>
      <c r="F255" t="s" s="11">
        <v>2321</v>
      </c>
      <c r="G255" t="s" s="11">
        <v>2328</v>
      </c>
      <c r="H255" s="17">
        <f>HYPERLINK("http://www.vulcanmaterials.com", "www.vulcanmaterials.com")</f>
      </c>
      <c r="I255" t="s" s="11">
        <v>2329</v>
      </c>
      <c r="J255" s="25">
        <v>1</v>
      </c>
      <c r="K255" s="25">
        <v>2</v>
      </c>
      <c r="L255" s="25">
        <v>1</v>
      </c>
      <c r="M255" t="s" s="13">
        <v>947</v>
      </c>
      <c r="N255" t="s" s="11">
        <v>2330</v>
      </c>
      <c r="O255" t="s" s="11">
        <v>949</v>
      </c>
      <c r="P255" t="s" s="11">
        <v>950</v>
      </c>
      <c r="Q255" t="s" s="11">
        <v>34</v>
      </c>
      <c r="R255" t="s" s="11">
        <v>951</v>
      </c>
      <c r="S255" t="s" s="11">
        <v>952</v>
      </c>
      <c r="T255" t="s" s="13">
        <v>953</v>
      </c>
      <c r="U255" t="s" s="11">
        <v>161</v>
      </c>
      <c r="V255" t="s" s="13">
        <v>34</v>
      </c>
      <c r="W255" t="s" s="11">
        <v>2331</v>
      </c>
      <c r="X255" s="17">
        <f>HYPERLINK("https://my.pitchbook.com?p=424500-13P", "View People Online")</f>
      </c>
    </row>
    <row r="256">
      <c r="A256" t="s" s="10">
        <v>2332</v>
      </c>
      <c r="B256" t="s" s="10">
        <v>2333</v>
      </c>
      <c r="C256" t="s" s="10">
        <v>34</v>
      </c>
      <c r="D256" t="s" s="10">
        <v>2334</v>
      </c>
      <c r="E256" t="s" s="10">
        <v>36</v>
      </c>
      <c r="F256" t="s" s="10">
        <v>2335</v>
      </c>
      <c r="G256" t="s" s="10">
        <v>2336</v>
      </c>
      <c r="H256" s="16">
        <f>HYPERLINK("http://www.newfieldresources.com.au", "www.newfieldresources.com.au")</f>
      </c>
      <c r="I256" t="s" s="10">
        <v>2338</v>
      </c>
      <c r="J256" t="s" s="24">
        <v>34</v>
      </c>
      <c r="K256" s="24">
        <v>1</v>
      </c>
      <c r="L256" t="s" s="24">
        <v>34</v>
      </c>
      <c r="M256" t="s" s="12">
        <v>2339</v>
      </c>
      <c r="N256" t="s" s="10">
        <v>34</v>
      </c>
      <c r="O256" t="s" s="10">
        <v>2340</v>
      </c>
      <c r="P256" t="s" s="10">
        <v>2341</v>
      </c>
      <c r="Q256" t="s" s="10">
        <v>2342</v>
      </c>
      <c r="R256" t="s" s="10">
        <v>2343</v>
      </c>
      <c r="S256" t="s" s="10">
        <v>55</v>
      </c>
      <c r="T256" t="s" s="12">
        <v>2344</v>
      </c>
      <c r="U256" t="s" s="10">
        <v>57</v>
      </c>
      <c r="V256" t="s" s="12">
        <v>34</v>
      </c>
      <c r="W256" t="s" s="10">
        <v>2345</v>
      </c>
      <c r="X256" s="16">
        <f>HYPERLINK("https://my.pitchbook.com?p=372603-43P", "View People Online")</f>
      </c>
    </row>
    <row r="257">
      <c r="A257" t="s" s="11">
        <v>2346</v>
      </c>
      <c r="B257" t="s" s="11">
        <v>2347</v>
      </c>
      <c r="C257" t="s" s="11">
        <v>34</v>
      </c>
      <c r="D257" t="s" s="11">
        <v>1389</v>
      </c>
      <c r="E257" t="s" s="11">
        <v>36</v>
      </c>
      <c r="F257" t="s" s="11">
        <v>2348</v>
      </c>
      <c r="G257" t="s" s="11">
        <v>584</v>
      </c>
      <c r="H257" s="17">
        <f>HYPERLINK("http://www.harbourenergy.com", "www.harbourenergy.com")</f>
      </c>
      <c r="I257" t="s" s="11">
        <v>108</v>
      </c>
      <c r="J257" t="s" s="25">
        <v>34</v>
      </c>
      <c r="K257" t="s" s="25">
        <v>34</v>
      </c>
      <c r="L257" t="s" s="25">
        <v>34</v>
      </c>
      <c r="M257" t="s" s="13">
        <v>34</v>
      </c>
      <c r="N257" t="s" s="11">
        <v>34</v>
      </c>
      <c r="O257" t="s" s="11">
        <v>34</v>
      </c>
      <c r="P257" t="s" s="11">
        <v>34</v>
      </c>
      <c r="Q257" t="s" s="11">
        <v>34</v>
      </c>
      <c r="R257" t="s" s="11">
        <v>34</v>
      </c>
      <c r="S257" t="s" s="11">
        <v>34</v>
      </c>
      <c r="T257" t="s" s="13">
        <v>34</v>
      </c>
      <c r="U257" t="s" s="11">
        <v>34</v>
      </c>
      <c r="V257" t="s" s="13">
        <v>34</v>
      </c>
      <c r="W257" t="s" s="11">
        <v>2349</v>
      </c>
      <c r="X257" s="17">
        <f>HYPERLINK("https://my.pitchbook.com?p=153596-80P", "View People Online")</f>
      </c>
    </row>
    <row r="258">
      <c r="A258" t="s" s="10">
        <v>2350</v>
      </c>
      <c r="B258" t="s" s="10">
        <v>2351</v>
      </c>
      <c r="C258" t="s" s="10">
        <v>34</v>
      </c>
      <c r="D258" t="s" s="10">
        <v>2352</v>
      </c>
      <c r="E258" t="s" s="10">
        <v>36</v>
      </c>
      <c r="F258" t="s" s="10">
        <v>2353</v>
      </c>
      <c r="G258" t="s" s="10">
        <v>584</v>
      </c>
      <c r="H258" s="16">
        <f>HYPERLINK("http://www.reachplc.com", "www.reachplc.com")</f>
      </c>
      <c r="I258" t="s" s="10">
        <v>1249</v>
      </c>
      <c r="J258" s="24">
        <v>2</v>
      </c>
      <c r="K258" s="24">
        <v>4</v>
      </c>
      <c r="L258" s="24">
        <v>2</v>
      </c>
      <c r="M258" t="s" s="12">
        <v>2355</v>
      </c>
      <c r="N258" t="s" s="10">
        <v>2356</v>
      </c>
      <c r="O258" t="s" s="10">
        <v>2357</v>
      </c>
      <c r="P258" t="s" s="10">
        <v>2358</v>
      </c>
      <c r="Q258" t="s" s="10">
        <v>34</v>
      </c>
      <c r="R258" t="s" s="10">
        <v>951</v>
      </c>
      <c r="S258" t="s" s="10">
        <v>120</v>
      </c>
      <c r="T258" t="s" s="12">
        <v>2359</v>
      </c>
      <c r="U258" t="s" s="10">
        <v>122</v>
      </c>
      <c r="V258" t="s" s="12">
        <v>34</v>
      </c>
      <c r="W258" t="s" s="10">
        <v>2360</v>
      </c>
      <c r="X258" s="16">
        <f>HYPERLINK("https://my.pitchbook.com?p=87627-25P", "View People Online")</f>
      </c>
    </row>
    <row r="259">
      <c r="A259" t="s" s="11">
        <v>2361</v>
      </c>
      <c r="B259" t="s" s="11">
        <v>2362</v>
      </c>
      <c r="C259" t="s" s="11">
        <v>34</v>
      </c>
      <c r="D259" t="s" s="11">
        <v>2363</v>
      </c>
      <c r="E259" t="s" s="11">
        <v>36</v>
      </c>
      <c r="F259" t="s" s="11">
        <v>2364</v>
      </c>
      <c r="G259" t="s" s="11">
        <v>584</v>
      </c>
      <c r="H259" s="17">
        <f>HYPERLINK("http://www.globalnetlease.com", "www.globalnetlease.com")</f>
      </c>
      <c r="I259" t="s" s="11">
        <v>2366</v>
      </c>
      <c r="J259" s="25">
        <v>3</v>
      </c>
      <c r="K259" s="25">
        <v>3</v>
      </c>
      <c r="L259" t="s" s="25">
        <v>34</v>
      </c>
      <c r="M259" t="s" s="13">
        <v>2367</v>
      </c>
      <c r="N259" t="s" s="11">
        <v>34</v>
      </c>
      <c r="O259" t="s" s="11">
        <v>1125</v>
      </c>
      <c r="P259" t="s" s="11">
        <v>2368</v>
      </c>
      <c r="Q259" t="s" s="11">
        <v>2369</v>
      </c>
      <c r="R259" t="s" s="11">
        <v>1127</v>
      </c>
      <c r="S259" t="s" s="11">
        <v>1127</v>
      </c>
      <c r="T259" t="s" s="13">
        <v>2370</v>
      </c>
      <c r="U259" t="s" s="11">
        <v>161</v>
      </c>
      <c r="V259" t="s" s="13">
        <v>34</v>
      </c>
      <c r="W259" t="s" s="11">
        <v>2371</v>
      </c>
      <c r="X259" s="17">
        <f>HYPERLINK("https://my.pitchbook.com?p=57845-89P", "View People Online")</f>
      </c>
    </row>
    <row r="260">
      <c r="A260" t="s" s="10">
        <v>2372</v>
      </c>
      <c r="B260" t="s" s="10">
        <v>2373</v>
      </c>
      <c r="C260" t="s" s="10">
        <v>34</v>
      </c>
      <c r="D260" t="s" s="10">
        <v>741</v>
      </c>
      <c r="E260" t="s" s="10">
        <v>36</v>
      </c>
      <c r="F260" t="s" s="10">
        <v>2374</v>
      </c>
      <c r="G260" t="s" s="10">
        <v>584</v>
      </c>
      <c r="H260" s="16">
        <f>HYPERLINK("http://www.vulcanmaterials.com", "www.vulcanmaterials.com")</f>
      </c>
      <c r="I260" t="s" s="10">
        <v>2375</v>
      </c>
      <c r="J260" t="s" s="24">
        <v>34</v>
      </c>
      <c r="K260" t="s" s="24">
        <v>34</v>
      </c>
      <c r="L260" t="s" s="24">
        <v>34</v>
      </c>
      <c r="M260" t="s" s="12">
        <v>34</v>
      </c>
      <c r="N260" t="s" s="10">
        <v>34</v>
      </c>
      <c r="O260" t="s" s="10">
        <v>34</v>
      </c>
      <c r="P260" t="s" s="10">
        <v>34</v>
      </c>
      <c r="Q260" t="s" s="10">
        <v>34</v>
      </c>
      <c r="R260" t="s" s="10">
        <v>34</v>
      </c>
      <c r="S260" t="s" s="10">
        <v>34</v>
      </c>
      <c r="T260" t="s" s="12">
        <v>34</v>
      </c>
      <c r="U260" t="s" s="10">
        <v>34</v>
      </c>
      <c r="V260" t="s" s="12">
        <v>34</v>
      </c>
      <c r="W260" t="s" s="10">
        <v>2376</v>
      </c>
      <c r="X260" s="16">
        <f>HYPERLINK("https://my.pitchbook.com?p=193104-28P", "View People Online")</f>
      </c>
    </row>
    <row r="261">
      <c r="A261" t="s" s="11">
        <v>2377</v>
      </c>
      <c r="B261" t="s" s="11">
        <v>2378</v>
      </c>
      <c r="C261" t="s" s="11">
        <v>34</v>
      </c>
      <c r="D261" t="s" s="11">
        <v>71</v>
      </c>
      <c r="E261" t="s" s="11">
        <v>36</v>
      </c>
      <c r="F261" t="s" s="11">
        <v>2379</v>
      </c>
      <c r="G261" t="s" s="11">
        <v>584</v>
      </c>
      <c r="H261" s="17">
        <f>HYPERLINK("http://www.vulcan.co", "www.vulcan.co")</f>
      </c>
      <c r="I261" t="s" s="11">
        <v>1499</v>
      </c>
      <c r="J261" s="25">
        <v>2</v>
      </c>
      <c r="K261" s="25">
        <v>3</v>
      </c>
      <c r="L261" t="s" s="25">
        <v>34</v>
      </c>
      <c r="M261" t="s" s="13">
        <v>76</v>
      </c>
      <c r="N261" t="s" s="11">
        <v>2380</v>
      </c>
      <c r="O261" t="s" s="11">
        <v>78</v>
      </c>
      <c r="P261" t="s" s="11">
        <v>79</v>
      </c>
      <c r="Q261" t="s" s="11">
        <v>80</v>
      </c>
      <c r="R261" t="s" s="11">
        <v>81</v>
      </c>
      <c r="S261" t="s" s="11">
        <v>34</v>
      </c>
      <c r="T261" t="s" s="13">
        <v>82</v>
      </c>
      <c r="U261" t="s" s="11">
        <v>83</v>
      </c>
      <c r="V261" t="s" s="13">
        <v>84</v>
      </c>
      <c r="W261" t="s" s="11">
        <v>2381</v>
      </c>
      <c r="X261" s="17">
        <f>HYPERLINK("https://my.pitchbook.com?p=202479-85P", "View People Online")</f>
      </c>
    </row>
    <row r="262">
      <c r="A262" t="s" s="10">
        <v>2382</v>
      </c>
      <c r="B262" t="s" s="10">
        <v>2383</v>
      </c>
      <c r="C262" t="s" s="10">
        <v>34</v>
      </c>
      <c r="D262" t="s" s="10">
        <v>517</v>
      </c>
      <c r="E262" t="s" s="10">
        <v>36</v>
      </c>
      <c r="F262" t="s" s="10">
        <v>2384</v>
      </c>
      <c r="G262" t="s" s="10">
        <v>2385</v>
      </c>
      <c r="H262" s="16">
        <f>HYPERLINK("http://www.vk.company", "www.vk.company")</f>
      </c>
      <c r="I262" t="s" s="10">
        <v>40</v>
      </c>
      <c r="J262" t="s" s="24">
        <v>34</v>
      </c>
      <c r="K262" t="s" s="24">
        <v>34</v>
      </c>
      <c r="L262" t="s" s="24">
        <v>34</v>
      </c>
      <c r="M262" t="s" s="12">
        <v>34</v>
      </c>
      <c r="N262" t="s" s="10">
        <v>34</v>
      </c>
      <c r="O262" t="s" s="10">
        <v>34</v>
      </c>
      <c r="P262" t="s" s="10">
        <v>34</v>
      </c>
      <c r="Q262" t="s" s="10">
        <v>34</v>
      </c>
      <c r="R262" t="s" s="10">
        <v>34</v>
      </c>
      <c r="S262" t="s" s="10">
        <v>34</v>
      </c>
      <c r="T262" t="s" s="12">
        <v>34</v>
      </c>
      <c r="U262" t="s" s="10">
        <v>34</v>
      </c>
      <c r="V262" t="s" s="12">
        <v>34</v>
      </c>
      <c r="W262" t="s" s="10">
        <v>2386</v>
      </c>
      <c r="X262" s="16">
        <f>HYPERLINK("https://my.pitchbook.com?p=70218-01P", "View People Online")</f>
      </c>
    </row>
    <row r="263">
      <c r="A263" t="s" s="11">
        <v>2387</v>
      </c>
      <c r="B263" t="s" s="11">
        <v>2388</v>
      </c>
      <c r="C263" t="s" s="11">
        <v>34</v>
      </c>
      <c r="D263" t="s" s="11">
        <v>2389</v>
      </c>
      <c r="E263" t="s" s="11">
        <v>36</v>
      </c>
      <c r="F263" t="s" s="11">
        <v>2390</v>
      </c>
      <c r="G263" t="s" s="11">
        <v>2391</v>
      </c>
      <c r="H263" s="17">
        <f>HYPERLINK("http://www.bancroftfund.com", "www.bancroftfund.com")</f>
      </c>
      <c r="I263" t="s" s="11">
        <v>2393</v>
      </c>
      <c r="J263" t="s" s="25">
        <v>34</v>
      </c>
      <c r="K263" s="25">
        <v>1</v>
      </c>
      <c r="L263" t="s" s="25">
        <v>34</v>
      </c>
      <c r="M263" t="s" s="13">
        <v>2394</v>
      </c>
      <c r="N263" t="s" s="11">
        <v>34</v>
      </c>
      <c r="O263" t="s" s="11">
        <v>1125</v>
      </c>
      <c r="P263" t="s" s="11">
        <v>2395</v>
      </c>
      <c r="Q263" t="s" s="11">
        <v>2396</v>
      </c>
      <c r="R263" t="s" s="11">
        <v>1127</v>
      </c>
      <c r="S263" t="s" s="11">
        <v>1127</v>
      </c>
      <c r="T263" t="s" s="13">
        <v>2397</v>
      </c>
      <c r="U263" t="s" s="11">
        <v>161</v>
      </c>
      <c r="V263" t="s" s="13">
        <v>2398</v>
      </c>
      <c r="W263" t="s" s="11">
        <v>2399</v>
      </c>
      <c r="X263" s="17">
        <f>HYPERLINK("https://my.pitchbook.com?p=281941-66P", "View People Online")</f>
      </c>
    </row>
    <row r="264">
      <c r="A264" t="s" s="10">
        <v>2400</v>
      </c>
      <c r="B264" t="s" s="10">
        <v>2401</v>
      </c>
      <c r="C264" t="s" s="10">
        <v>34</v>
      </c>
      <c r="D264" t="s" s="10">
        <v>741</v>
      </c>
      <c r="E264" t="s" s="10">
        <v>36</v>
      </c>
      <c r="F264" t="s" s="10">
        <v>2402</v>
      </c>
      <c r="G264" t="s" s="10">
        <v>2403</v>
      </c>
      <c r="H264" s="16">
        <f>HYPERLINK("http://www.vulcanmaterials.com", "www.vulcanmaterials.com")</f>
      </c>
      <c r="I264" t="s" s="10">
        <v>322</v>
      </c>
      <c r="J264" t="s" s="24">
        <v>34</v>
      </c>
      <c r="K264" t="s" s="24">
        <v>34</v>
      </c>
      <c r="L264" t="s" s="24">
        <v>34</v>
      </c>
      <c r="M264" t="s" s="12">
        <v>34</v>
      </c>
      <c r="N264" t="s" s="10">
        <v>2404</v>
      </c>
      <c r="O264" t="s" s="10">
        <v>34</v>
      </c>
      <c r="P264" t="s" s="10">
        <v>34</v>
      </c>
      <c r="Q264" t="s" s="10">
        <v>34</v>
      </c>
      <c r="R264" t="s" s="10">
        <v>34</v>
      </c>
      <c r="S264" t="s" s="10">
        <v>34</v>
      </c>
      <c r="T264" t="s" s="12">
        <v>34</v>
      </c>
      <c r="U264" t="s" s="10">
        <v>34</v>
      </c>
      <c r="V264" t="s" s="12">
        <v>34</v>
      </c>
      <c r="W264" t="s" s="10">
        <v>2405</v>
      </c>
      <c r="X264" s="16">
        <f>HYPERLINK("https://my.pitchbook.com?p=179833-78P", "View People Online")</f>
      </c>
    </row>
    <row r="265">
      <c r="A265" t="s" s="11">
        <v>2406</v>
      </c>
      <c r="B265" t="s" s="11">
        <v>2407</v>
      </c>
      <c r="C265" t="s" s="11">
        <v>34</v>
      </c>
      <c r="D265" t="s" s="11">
        <v>1069</v>
      </c>
      <c r="E265" t="s" s="11">
        <v>36</v>
      </c>
      <c r="F265" t="s" s="11">
        <v>2408</v>
      </c>
      <c r="G265" t="s" s="11">
        <v>2403</v>
      </c>
      <c r="H265" s="17">
        <f>HYPERLINK("http://www.umc.com", "www.umc.com")</f>
      </c>
      <c r="I265" t="s" s="11">
        <v>108</v>
      </c>
      <c r="J265" s="25">
        <v>1</v>
      </c>
      <c r="K265" s="25">
        <v>2</v>
      </c>
      <c r="L265" s="25">
        <v>1</v>
      </c>
      <c r="M265" t="s" s="13">
        <v>2409</v>
      </c>
      <c r="N265" t="s" s="11">
        <v>2410</v>
      </c>
      <c r="O265" t="s" s="11">
        <v>1059</v>
      </c>
      <c r="P265" t="s" s="11">
        <v>1074</v>
      </c>
      <c r="Q265" t="s" s="11">
        <v>1061</v>
      </c>
      <c r="R265" t="s" s="11">
        <v>1062</v>
      </c>
      <c r="S265" t="s" s="11">
        <v>34</v>
      </c>
      <c r="T265" t="s" s="13">
        <v>1075</v>
      </c>
      <c r="U265" t="s" s="11">
        <v>1064</v>
      </c>
      <c r="V265" t="s" s="13">
        <v>1076</v>
      </c>
      <c r="W265" t="s" s="11">
        <v>2411</v>
      </c>
      <c r="X265" s="17">
        <f>HYPERLINK("https://my.pitchbook.com?p=139028-95P", "View People Online")</f>
      </c>
    </row>
    <row r="266">
      <c r="A266" t="s" s="10">
        <v>2412</v>
      </c>
      <c r="B266" t="s" s="10">
        <v>2413</v>
      </c>
      <c r="C266" t="s" s="10">
        <v>34</v>
      </c>
      <c r="D266" t="s" s="10">
        <v>187</v>
      </c>
      <c r="E266" t="s" s="10">
        <v>36</v>
      </c>
      <c r="F266" t="s" s="10">
        <v>2414</v>
      </c>
      <c r="G266" t="s" s="10">
        <v>2415</v>
      </c>
      <c r="H266" s="16">
        <f>HYPERLINK("http://www.diacorporate.com", "www.diacorporate.com")</f>
      </c>
      <c r="I266" t="s" s="10">
        <v>2416</v>
      </c>
      <c r="J266" t="s" s="24">
        <v>34</v>
      </c>
      <c r="K266" t="s" s="24">
        <v>34</v>
      </c>
      <c r="L266" t="s" s="24">
        <v>34</v>
      </c>
      <c r="M266" t="s" s="12">
        <v>34</v>
      </c>
      <c r="N266" t="s" s="10">
        <v>34</v>
      </c>
      <c r="O266" t="s" s="10">
        <v>34</v>
      </c>
      <c r="P266" t="s" s="10">
        <v>34</v>
      </c>
      <c r="Q266" t="s" s="10">
        <v>34</v>
      </c>
      <c r="R266" t="s" s="10">
        <v>34</v>
      </c>
      <c r="S266" t="s" s="10">
        <v>34</v>
      </c>
      <c r="T266" t="s" s="12">
        <v>34</v>
      </c>
      <c r="U266" t="s" s="10">
        <v>34</v>
      </c>
      <c r="V266" t="s" s="12">
        <v>34</v>
      </c>
      <c r="W266" t="s" s="10">
        <v>2417</v>
      </c>
      <c r="X266" s="16">
        <f>HYPERLINK("https://my.pitchbook.com?p=168521-14P", "View People Online")</f>
      </c>
    </row>
    <row r="267">
      <c r="A267" t="s" s="11">
        <v>2418</v>
      </c>
      <c r="B267" t="s" s="11">
        <v>2419</v>
      </c>
      <c r="C267" t="s" s="11">
        <v>34</v>
      </c>
      <c r="D267" t="s" s="11">
        <v>642</v>
      </c>
      <c r="E267" t="s" s="11">
        <v>36</v>
      </c>
      <c r="F267" t="s" s="11">
        <v>2420</v>
      </c>
      <c r="G267" t="s" s="11">
        <v>2415</v>
      </c>
      <c r="H267" s="17">
        <f>HYPERLINK("http://www.diacorporate.com", "www.diacorporate.com")</f>
      </c>
      <c r="I267" t="s" s="11">
        <v>2421</v>
      </c>
      <c r="J267" t="s" s="25">
        <v>34</v>
      </c>
      <c r="K267" s="25">
        <v>1</v>
      </c>
      <c r="L267" t="s" s="25">
        <v>34</v>
      </c>
      <c r="M267" t="s" s="13">
        <v>645</v>
      </c>
      <c r="N267" t="s" s="11">
        <v>34</v>
      </c>
      <c r="O267" t="s" s="11">
        <v>647</v>
      </c>
      <c r="P267" t="s" s="11">
        <v>648</v>
      </c>
      <c r="Q267" t="s" s="11">
        <v>649</v>
      </c>
      <c r="R267" t="s" s="11">
        <v>650</v>
      </c>
      <c r="S267" t="s" s="11">
        <v>651</v>
      </c>
      <c r="T267" t="s" s="13">
        <v>652</v>
      </c>
      <c r="U267" t="s" s="11">
        <v>653</v>
      </c>
      <c r="V267" t="s" s="13">
        <v>34</v>
      </c>
      <c r="W267" t="s" s="11">
        <v>2422</v>
      </c>
      <c r="X267" s="17">
        <f>HYPERLINK("https://my.pitchbook.com?p=237761-47P", "View People Online")</f>
      </c>
    </row>
    <row r="268">
      <c r="A268" t="s" s="10">
        <v>2423</v>
      </c>
      <c r="B268" t="s" s="10">
        <v>2424</v>
      </c>
      <c r="C268" t="s" s="10">
        <v>34</v>
      </c>
      <c r="D268" t="s" s="10">
        <v>2425</v>
      </c>
      <c r="E268" t="s" s="10">
        <v>36</v>
      </c>
      <c r="F268" t="s" s="10">
        <v>2426</v>
      </c>
      <c r="G268" t="s" s="10">
        <v>2427</v>
      </c>
      <c r="H268" s="16">
        <f>HYPERLINK("http://www.netgear.com", "www.netgear.com")</f>
      </c>
      <c r="I268" t="s" s="10">
        <v>108</v>
      </c>
      <c r="J268" t="s" s="24">
        <v>34</v>
      </c>
      <c r="K268" s="24">
        <v>1</v>
      </c>
      <c r="L268" s="24">
        <v>1</v>
      </c>
      <c r="M268" t="s" s="12">
        <v>2429</v>
      </c>
      <c r="N268" t="s" s="10">
        <v>2430</v>
      </c>
      <c r="O268" t="s" s="10">
        <v>34</v>
      </c>
      <c r="P268" t="s" s="10">
        <v>34</v>
      </c>
      <c r="Q268" t="s" s="10">
        <v>34</v>
      </c>
      <c r="R268" t="s" s="10">
        <v>34</v>
      </c>
      <c r="S268" t="s" s="10">
        <v>34</v>
      </c>
      <c r="T268" t="s" s="12">
        <v>34</v>
      </c>
      <c r="U268" t="s" s="10">
        <v>34</v>
      </c>
      <c r="V268" t="s" s="12">
        <v>34</v>
      </c>
      <c r="W268" t="s" s="10">
        <v>2431</v>
      </c>
      <c r="X268" s="16">
        <f>HYPERLINK("https://my.pitchbook.com?p=35220-43P", "View People Online")</f>
      </c>
    </row>
    <row r="269">
      <c r="A269" t="s" s="11">
        <v>2432</v>
      </c>
      <c r="B269" t="s" s="11">
        <v>2433</v>
      </c>
      <c r="C269" t="s" s="11">
        <v>34</v>
      </c>
      <c r="D269" t="s" s="11">
        <v>2434</v>
      </c>
      <c r="E269" t="s" s="11">
        <v>36</v>
      </c>
      <c r="F269" t="s" s="11">
        <v>2435</v>
      </c>
      <c r="G269" t="s" s="11">
        <v>2436</v>
      </c>
      <c r="H269" s="17">
        <f>HYPERLINK("http://www.esportsentertainmentgroup.com", "www.esportsentertainmentgroup.com")</f>
      </c>
      <c r="I269" t="s" s="11">
        <v>2438</v>
      </c>
      <c r="J269" t="s" s="25">
        <v>34</v>
      </c>
      <c r="K269" t="s" s="25">
        <v>34</v>
      </c>
      <c r="L269" t="s" s="25">
        <v>34</v>
      </c>
      <c r="M269" t="s" s="13">
        <v>34</v>
      </c>
      <c r="N269" t="s" s="11">
        <v>34</v>
      </c>
      <c r="O269" t="s" s="11">
        <v>34</v>
      </c>
      <c r="P269" t="s" s="11">
        <v>34</v>
      </c>
      <c r="Q269" t="s" s="11">
        <v>34</v>
      </c>
      <c r="R269" t="s" s="11">
        <v>34</v>
      </c>
      <c r="S269" t="s" s="11">
        <v>34</v>
      </c>
      <c r="T269" t="s" s="13">
        <v>34</v>
      </c>
      <c r="U269" t="s" s="11">
        <v>34</v>
      </c>
      <c r="V269" t="s" s="13">
        <v>34</v>
      </c>
      <c r="W269" t="s" s="11">
        <v>2439</v>
      </c>
      <c r="X269" s="17">
        <f>HYPERLINK("https://my.pitchbook.com?p=236801-17P", "View People Online")</f>
      </c>
    </row>
    <row r="270">
      <c r="A270" t="s" s="10">
        <v>2440</v>
      </c>
      <c r="B270" t="s" s="10">
        <v>2441</v>
      </c>
      <c r="C270" t="s" s="10">
        <v>34</v>
      </c>
      <c r="D270" t="s" s="10">
        <v>741</v>
      </c>
      <c r="E270" t="s" s="10">
        <v>36</v>
      </c>
      <c r="F270" t="s" s="10">
        <v>2442</v>
      </c>
      <c r="G270" t="s" s="10">
        <v>2436</v>
      </c>
      <c r="H270" s="16">
        <f>HYPERLINK("http://www.vulcanmaterials.com", "www.vulcanmaterials.com")</f>
      </c>
      <c r="I270" t="s" s="10">
        <v>2443</v>
      </c>
      <c r="J270" t="s" s="24">
        <v>34</v>
      </c>
      <c r="K270" t="s" s="24">
        <v>34</v>
      </c>
      <c r="L270" t="s" s="24">
        <v>34</v>
      </c>
      <c r="M270" t="s" s="12">
        <v>34</v>
      </c>
      <c r="N270" t="s" s="10">
        <v>34</v>
      </c>
      <c r="O270" t="s" s="10">
        <v>34</v>
      </c>
      <c r="P270" t="s" s="10">
        <v>34</v>
      </c>
      <c r="Q270" t="s" s="10">
        <v>34</v>
      </c>
      <c r="R270" t="s" s="10">
        <v>34</v>
      </c>
      <c r="S270" t="s" s="10">
        <v>34</v>
      </c>
      <c r="T270" t="s" s="12">
        <v>34</v>
      </c>
      <c r="U270" t="s" s="10">
        <v>34</v>
      </c>
      <c r="V270" t="s" s="12">
        <v>34</v>
      </c>
      <c r="W270" t="s" s="10">
        <v>2444</v>
      </c>
      <c r="X270" s="16">
        <f>HYPERLINK("https://my.pitchbook.com?p=143749-00P", "View People Online")</f>
      </c>
    </row>
    <row r="271">
      <c r="A271" t="s" s="11">
        <v>2445</v>
      </c>
      <c r="B271" t="s" s="11">
        <v>2446</v>
      </c>
      <c r="C271" t="s" s="11">
        <v>34</v>
      </c>
      <c r="D271" t="s" s="11">
        <v>741</v>
      </c>
      <c r="E271" t="s" s="11">
        <v>36</v>
      </c>
      <c r="F271" t="s" s="11">
        <v>2447</v>
      </c>
      <c r="G271" t="s" s="11">
        <v>2448</v>
      </c>
      <c r="H271" s="17">
        <f>HYPERLINK("http://www.vulcanmaterials.com", "www.vulcanmaterials.com")</f>
      </c>
      <c r="I271" t="s" s="11">
        <v>299</v>
      </c>
      <c r="J271" t="s" s="25">
        <v>34</v>
      </c>
      <c r="K271" t="s" s="25">
        <v>34</v>
      </c>
      <c r="L271" t="s" s="25">
        <v>34</v>
      </c>
      <c r="M271" t="s" s="13">
        <v>34</v>
      </c>
      <c r="N271" t="s" s="11">
        <v>34</v>
      </c>
      <c r="O271" t="s" s="11">
        <v>34</v>
      </c>
      <c r="P271" t="s" s="11">
        <v>34</v>
      </c>
      <c r="Q271" t="s" s="11">
        <v>34</v>
      </c>
      <c r="R271" t="s" s="11">
        <v>34</v>
      </c>
      <c r="S271" t="s" s="11">
        <v>34</v>
      </c>
      <c r="T271" t="s" s="13">
        <v>34</v>
      </c>
      <c r="U271" t="s" s="11">
        <v>34</v>
      </c>
      <c r="V271" t="s" s="13">
        <v>34</v>
      </c>
      <c r="W271" t="s" s="11">
        <v>2449</v>
      </c>
      <c r="X271" s="17">
        <f>HYPERLINK("https://my.pitchbook.com?p=256211-38P", "View People Online")</f>
      </c>
    </row>
    <row r="272">
      <c r="A272" t="s" s="10">
        <v>2450</v>
      </c>
      <c r="B272" t="s" s="10">
        <v>2451</v>
      </c>
      <c r="C272" t="s" s="10">
        <v>34</v>
      </c>
      <c r="D272" t="s" s="10">
        <v>2452</v>
      </c>
      <c r="E272" t="s" s="10">
        <v>36</v>
      </c>
      <c r="F272" t="s" s="10">
        <v>2453</v>
      </c>
      <c r="G272" t="s" s="10">
        <v>2454</v>
      </c>
      <c r="H272" s="16">
        <f>HYPERLINK("http://www.irobot.com", "www.irobot.com")</f>
      </c>
      <c r="I272" t="s" s="10">
        <v>2456</v>
      </c>
      <c r="J272" t="s" s="24">
        <v>34</v>
      </c>
      <c r="K272" s="24">
        <v>1</v>
      </c>
      <c r="L272" t="s" s="24">
        <v>34</v>
      </c>
      <c r="M272" t="s" s="12">
        <v>2457</v>
      </c>
      <c r="N272" t="s" s="10">
        <v>2458</v>
      </c>
      <c r="O272" t="s" s="10">
        <v>2459</v>
      </c>
      <c r="P272" t="s" s="10">
        <v>2460</v>
      </c>
      <c r="Q272" t="s" s="10">
        <v>34</v>
      </c>
      <c r="R272" t="s" s="10">
        <v>2461</v>
      </c>
      <c r="S272" t="s" s="10">
        <v>600</v>
      </c>
      <c r="T272" t="s" s="12">
        <v>2462</v>
      </c>
      <c r="U272" t="s" s="10">
        <v>161</v>
      </c>
      <c r="V272" t="s" s="12">
        <v>2463</v>
      </c>
      <c r="W272" t="s" s="10">
        <v>2464</v>
      </c>
      <c r="X272" s="16">
        <f>HYPERLINK("https://my.pitchbook.com?p=382571-38P", "View People Online")</f>
      </c>
    </row>
    <row r="273">
      <c r="A273" t="s" s="11">
        <v>2465</v>
      </c>
      <c r="B273" t="s" s="11">
        <v>2466</v>
      </c>
      <c r="C273" t="s" s="11">
        <v>34</v>
      </c>
      <c r="D273" t="s" s="11">
        <v>2467</v>
      </c>
      <c r="E273" t="s" s="11">
        <v>36</v>
      </c>
      <c r="F273" t="s" s="11">
        <v>2468</v>
      </c>
      <c r="G273" t="s" s="11">
        <v>2454</v>
      </c>
      <c r="H273" s="17">
        <f>HYPERLINK("http://www.westrockcoffee.com", "www.westrockcoffee.com")</f>
      </c>
      <c r="I273" t="s" s="11">
        <v>108</v>
      </c>
      <c r="J273" s="25">
        <v>2</v>
      </c>
      <c r="K273" s="25">
        <v>9</v>
      </c>
      <c r="L273" s="25">
        <v>6</v>
      </c>
      <c r="M273" t="s" s="13">
        <v>2470</v>
      </c>
      <c r="N273" t="s" s="11">
        <v>34</v>
      </c>
      <c r="O273" t="s" s="11">
        <v>2471</v>
      </c>
      <c r="P273" t="s" s="11">
        <v>2472</v>
      </c>
      <c r="Q273" t="s" s="11">
        <v>2213</v>
      </c>
      <c r="R273" t="s" s="11">
        <v>2473</v>
      </c>
      <c r="S273" t="s" s="11">
        <v>2474</v>
      </c>
      <c r="T273" t="s" s="13">
        <v>2475</v>
      </c>
      <c r="U273" t="s" s="11">
        <v>161</v>
      </c>
      <c r="V273" t="s" s="13">
        <v>34</v>
      </c>
      <c r="W273" t="s" s="11">
        <v>2476</v>
      </c>
      <c r="X273" s="17">
        <f>HYPERLINK("https://my.pitchbook.com?p=16201-36P", "View People Online")</f>
      </c>
    </row>
    <row r="274">
      <c r="A274" t="s" s="10">
        <v>2477</v>
      </c>
      <c r="B274" t="s" s="10">
        <v>2478</v>
      </c>
      <c r="C274" t="s" s="10">
        <v>34</v>
      </c>
      <c r="D274" t="s" s="10">
        <v>2479</v>
      </c>
      <c r="E274" t="s" s="10">
        <v>36</v>
      </c>
      <c r="F274" t="s" s="10">
        <v>2480</v>
      </c>
      <c r="G274" t="s" s="10">
        <v>2454</v>
      </c>
      <c r="H274" s="16">
        <f>HYPERLINK("http://www.mandg.com", "www.mandg.com")</f>
      </c>
      <c r="I274" t="s" s="10">
        <v>2482</v>
      </c>
      <c r="J274" t="s" s="24">
        <v>34</v>
      </c>
      <c r="K274" s="24">
        <v>1</v>
      </c>
      <c r="L274" t="s" s="24">
        <v>34</v>
      </c>
      <c r="M274" t="s" s="12">
        <v>2483</v>
      </c>
      <c r="N274" t="s" s="10">
        <v>2484</v>
      </c>
      <c r="O274" t="s" s="10">
        <v>117</v>
      </c>
      <c r="P274" t="s" s="10">
        <v>2485</v>
      </c>
      <c r="Q274" t="s" s="10">
        <v>34</v>
      </c>
      <c r="R274" t="s" s="10">
        <v>119</v>
      </c>
      <c r="S274" t="s" s="10">
        <v>120</v>
      </c>
      <c r="T274" t="s" s="12">
        <v>2486</v>
      </c>
      <c r="U274" t="s" s="10">
        <v>122</v>
      </c>
      <c r="V274" t="s" s="12">
        <v>34</v>
      </c>
      <c r="W274" t="s" s="10">
        <v>2487</v>
      </c>
      <c r="X274" s="16">
        <f>HYPERLINK("https://my.pitchbook.com?p=190348-66P", "View People Online")</f>
      </c>
    </row>
    <row r="275">
      <c r="A275" t="s" s="11">
        <v>2488</v>
      </c>
      <c r="B275" t="s" s="11">
        <v>2489</v>
      </c>
      <c r="C275" t="s" s="11">
        <v>34</v>
      </c>
      <c r="D275" t="s" s="11">
        <v>2490</v>
      </c>
      <c r="E275" t="s" s="11">
        <v>36</v>
      </c>
      <c r="F275" t="s" s="11">
        <v>2491</v>
      </c>
      <c r="G275" t="s" s="11">
        <v>2492</v>
      </c>
      <c r="H275" s="17">
        <f>HYPERLINK("http://www.tridenttexofab.com", "www.tridenttexofab.com")</f>
      </c>
      <c r="I275" t="s" s="11">
        <v>263</v>
      </c>
      <c r="J275" t="s" s="25">
        <v>34</v>
      </c>
      <c r="K275" s="25">
        <v>1</v>
      </c>
      <c r="L275" t="s" s="25">
        <v>34</v>
      </c>
      <c r="M275" t="s" s="13">
        <v>2104</v>
      </c>
      <c r="N275" t="s" s="11">
        <v>34</v>
      </c>
      <c r="O275" t="s" s="11">
        <v>2099</v>
      </c>
      <c r="P275" t="s" s="11">
        <v>2494</v>
      </c>
      <c r="Q275" t="s" s="11">
        <v>2495</v>
      </c>
      <c r="R275" t="s" s="11">
        <v>2102</v>
      </c>
      <c r="S275" t="s" s="11">
        <v>2103</v>
      </c>
      <c r="T275" t="s" s="13">
        <v>2496</v>
      </c>
      <c r="U275" t="s" s="11">
        <v>1479</v>
      </c>
      <c r="V275" t="s" s="13">
        <v>34</v>
      </c>
      <c r="W275" t="s" s="11">
        <v>2497</v>
      </c>
      <c r="X275" s="17">
        <f>HYPERLINK("https://my.pitchbook.com?p=320190-94P", "View People Online")</f>
      </c>
    </row>
    <row r="276">
      <c r="A276" t="s" s="10">
        <v>2498</v>
      </c>
      <c r="B276" t="s" s="10">
        <v>2499</v>
      </c>
      <c r="C276" t="s" s="10">
        <v>34</v>
      </c>
      <c r="D276" t="s" s="10">
        <v>2500</v>
      </c>
      <c r="E276" t="s" s="10">
        <v>36</v>
      </c>
      <c r="F276" t="s" s="10">
        <v>2501</v>
      </c>
      <c r="G276" t="s" s="10">
        <v>2502</v>
      </c>
      <c r="H276" s="16">
        <f>HYPERLINK("http://www.progress.com", "www.progress.com")</f>
      </c>
      <c r="I276" t="s" s="10">
        <v>1158</v>
      </c>
      <c r="J276" t="s" s="24">
        <v>34</v>
      </c>
      <c r="K276" t="s" s="24">
        <v>34</v>
      </c>
      <c r="L276" t="s" s="24">
        <v>34</v>
      </c>
      <c r="M276" t="s" s="12">
        <v>34</v>
      </c>
      <c r="N276" t="s" s="10">
        <v>2504</v>
      </c>
      <c r="O276" t="s" s="10">
        <v>34</v>
      </c>
      <c r="P276" t="s" s="10">
        <v>34</v>
      </c>
      <c r="Q276" t="s" s="10">
        <v>34</v>
      </c>
      <c r="R276" t="s" s="10">
        <v>34</v>
      </c>
      <c r="S276" t="s" s="10">
        <v>34</v>
      </c>
      <c r="T276" t="s" s="12">
        <v>34</v>
      </c>
      <c r="U276" t="s" s="10">
        <v>34</v>
      </c>
      <c r="V276" t="s" s="12">
        <v>34</v>
      </c>
      <c r="W276" t="s" s="10">
        <v>2505</v>
      </c>
      <c r="X276" s="16">
        <f>HYPERLINK("https://my.pitchbook.com?p=221315-50P", "View People Online")</f>
      </c>
    </row>
    <row r="277">
      <c r="A277" t="s" s="11">
        <v>2506</v>
      </c>
      <c r="B277" t="s" s="11">
        <v>2507</v>
      </c>
      <c r="C277" t="s" s="11">
        <v>34</v>
      </c>
      <c r="D277" t="s" s="11">
        <v>2508</v>
      </c>
      <c r="E277" t="s" s="11">
        <v>36</v>
      </c>
      <c r="F277" t="s" s="11">
        <v>2509</v>
      </c>
      <c r="G277" t="s" s="11">
        <v>2510</v>
      </c>
      <c r="H277" s="17">
        <f>HYPERLINK("http://www.xcraft.io", "www.xcraft.io")</f>
      </c>
      <c r="I277" t="s" s="11">
        <v>2512</v>
      </c>
      <c r="J277" s="25">
        <v>1</v>
      </c>
      <c r="K277" s="25">
        <v>1</v>
      </c>
      <c r="L277" t="s" s="25">
        <v>34</v>
      </c>
      <c r="M277" t="s" s="13">
        <v>2513</v>
      </c>
      <c r="N277" t="s" s="11">
        <v>2514</v>
      </c>
      <c r="O277" t="s" s="11">
        <v>2515</v>
      </c>
      <c r="P277" t="s" s="11">
        <v>2516</v>
      </c>
      <c r="Q277" t="s" s="11">
        <v>2517</v>
      </c>
      <c r="R277" t="s" s="11">
        <v>2518</v>
      </c>
      <c r="S277" t="s" s="11">
        <v>2519</v>
      </c>
      <c r="T277" t="s" s="13">
        <v>2520</v>
      </c>
      <c r="U277" t="s" s="11">
        <v>161</v>
      </c>
      <c r="V277" t="s" s="13">
        <v>34</v>
      </c>
      <c r="W277" t="s" s="11">
        <v>2521</v>
      </c>
      <c r="X277" s="17">
        <f>HYPERLINK("https://my.pitchbook.com?p=122898-79P", "View People Online")</f>
      </c>
    </row>
    <row r="278">
      <c r="A278" t="s" s="10">
        <v>2522</v>
      </c>
      <c r="B278" t="s" s="10">
        <v>2523</v>
      </c>
      <c r="C278" t="s" s="10">
        <v>34</v>
      </c>
      <c r="D278" t="s" s="10">
        <v>943</v>
      </c>
      <c r="E278" t="s" s="10">
        <v>36</v>
      </c>
      <c r="F278" t="s" s="10">
        <v>2524</v>
      </c>
      <c r="G278" t="s" s="10">
        <v>2510</v>
      </c>
      <c r="H278" s="16">
        <f>HYPERLINK("http://www.vulcanmaterials.com", "www.vulcanmaterials.com")</f>
      </c>
      <c r="I278" t="s" s="10">
        <v>322</v>
      </c>
      <c r="J278" t="s" s="24">
        <v>34</v>
      </c>
      <c r="K278" s="24">
        <v>1</v>
      </c>
      <c r="L278" t="s" s="24">
        <v>34</v>
      </c>
      <c r="M278" t="s" s="12">
        <v>947</v>
      </c>
      <c r="N278" t="s" s="10">
        <v>2525</v>
      </c>
      <c r="O278" t="s" s="10">
        <v>949</v>
      </c>
      <c r="P278" t="s" s="10">
        <v>950</v>
      </c>
      <c r="Q278" t="s" s="10">
        <v>34</v>
      </c>
      <c r="R278" t="s" s="10">
        <v>951</v>
      </c>
      <c r="S278" t="s" s="10">
        <v>952</v>
      </c>
      <c r="T278" t="s" s="12">
        <v>953</v>
      </c>
      <c r="U278" t="s" s="10">
        <v>161</v>
      </c>
      <c r="V278" t="s" s="12">
        <v>34</v>
      </c>
      <c r="W278" t="s" s="10">
        <v>2526</v>
      </c>
      <c r="X278" s="16">
        <f>HYPERLINK("https://my.pitchbook.com?p=93064-42P", "View People Online")</f>
      </c>
    </row>
    <row r="279">
      <c r="A279" t="s" s="11">
        <v>2527</v>
      </c>
      <c r="B279" t="s" s="11">
        <v>2528</v>
      </c>
      <c r="C279" t="s" s="11">
        <v>34</v>
      </c>
      <c r="D279" t="s" s="11">
        <v>1560</v>
      </c>
      <c r="E279" t="s" s="11">
        <v>36</v>
      </c>
      <c r="F279" t="s" s="11">
        <v>2529</v>
      </c>
      <c r="G279" t="s" s="11">
        <v>2530</v>
      </c>
      <c r="H279" s="17">
        <f>HYPERLINK("http://www.paradetech.com", "www.paradetech.com")</f>
      </c>
      <c r="I279" t="s" s="11">
        <v>2531</v>
      </c>
      <c r="J279" s="25">
        <v>1</v>
      </c>
      <c r="K279" s="25">
        <v>2</v>
      </c>
      <c r="L279" s="25">
        <v>1</v>
      </c>
      <c r="M279" t="s" s="13">
        <v>2532</v>
      </c>
      <c r="N279" t="s" s="11">
        <v>2533</v>
      </c>
      <c r="O279" t="s" s="11">
        <v>1567</v>
      </c>
      <c r="P279" t="s" s="11">
        <v>1568</v>
      </c>
      <c r="Q279" t="s" s="11">
        <v>34</v>
      </c>
      <c r="R279" t="s" s="11">
        <v>1569</v>
      </c>
      <c r="S279" t="s" s="11">
        <v>159</v>
      </c>
      <c r="T279" t="s" s="13">
        <v>1570</v>
      </c>
      <c r="U279" t="s" s="11">
        <v>161</v>
      </c>
      <c r="V279" t="s" s="13">
        <v>1571</v>
      </c>
      <c r="W279" t="s" s="11">
        <v>2534</v>
      </c>
      <c r="X279" s="17">
        <f>HYPERLINK("https://my.pitchbook.com?p=35182-72P", "View People Online")</f>
      </c>
    </row>
    <row r="280">
      <c r="A280" t="s" s="10">
        <v>2535</v>
      </c>
      <c r="B280" t="s" s="10">
        <v>2536</v>
      </c>
      <c r="C280" t="s" s="10">
        <v>34</v>
      </c>
      <c r="D280" t="s" s="10">
        <v>2537</v>
      </c>
      <c r="E280" t="s" s="10">
        <v>36</v>
      </c>
      <c r="F280" t="s" s="10">
        <v>2538</v>
      </c>
      <c r="G280" t="s" s="10">
        <v>2539</v>
      </c>
      <c r="H280" s="16">
        <f>HYPERLINK("http://www.stacoplc.com", "www.stacoplc.com")</f>
      </c>
      <c r="I280" t="s" s="10">
        <v>263</v>
      </c>
      <c r="J280" t="s" s="24">
        <v>34</v>
      </c>
      <c r="K280" s="24">
        <v>1</v>
      </c>
      <c r="L280" t="s" s="24">
        <v>34</v>
      </c>
      <c r="M280" t="s" s="12">
        <v>2541</v>
      </c>
      <c r="N280" t="s" s="10">
        <v>34</v>
      </c>
      <c r="O280" t="s" s="10">
        <v>2542</v>
      </c>
      <c r="P280" t="s" s="10">
        <v>2543</v>
      </c>
      <c r="Q280" t="s" s="10">
        <v>2544</v>
      </c>
      <c r="R280" t="s" s="10">
        <v>2545</v>
      </c>
      <c r="S280" t="s" s="10">
        <v>34</v>
      </c>
      <c r="T280" t="s" s="12">
        <v>34</v>
      </c>
      <c r="U280" t="s" s="10">
        <v>2546</v>
      </c>
      <c r="V280" t="s" s="12">
        <v>34</v>
      </c>
      <c r="W280" t="s" s="10">
        <v>2547</v>
      </c>
      <c r="X280" s="16">
        <f>HYPERLINK("https://my.pitchbook.com?p=240466-33P", "View People Online")</f>
      </c>
    </row>
    <row r="281">
      <c r="A281" t="s" s="11">
        <v>2548</v>
      </c>
      <c r="B281" t="s" s="11">
        <v>2549</v>
      </c>
      <c r="C281" t="s" s="11">
        <v>34</v>
      </c>
      <c r="D281" t="s" s="11">
        <v>2550</v>
      </c>
      <c r="E281" t="s" s="11">
        <v>36</v>
      </c>
      <c r="F281" t="s" s="11">
        <v>2551</v>
      </c>
      <c r="G281" t="s" s="11">
        <v>2552</v>
      </c>
      <c r="H281" s="17">
        <f>HYPERLINK("http://www.cqgt.cn", "www.cqgt.cn")</f>
      </c>
      <c r="I281" t="s" s="11">
        <v>108</v>
      </c>
      <c r="J281" t="s" s="25">
        <v>34</v>
      </c>
      <c r="K281" t="s" s="25">
        <v>34</v>
      </c>
      <c r="L281" t="s" s="25">
        <v>34</v>
      </c>
      <c r="M281" t="s" s="13">
        <v>34</v>
      </c>
      <c r="N281" t="s" s="11">
        <v>34</v>
      </c>
      <c r="O281" t="s" s="11">
        <v>34</v>
      </c>
      <c r="P281" t="s" s="11">
        <v>34</v>
      </c>
      <c r="Q281" t="s" s="11">
        <v>34</v>
      </c>
      <c r="R281" t="s" s="11">
        <v>34</v>
      </c>
      <c r="S281" t="s" s="11">
        <v>34</v>
      </c>
      <c r="T281" t="s" s="13">
        <v>34</v>
      </c>
      <c r="U281" t="s" s="11">
        <v>34</v>
      </c>
      <c r="V281" t="s" s="13">
        <v>34</v>
      </c>
      <c r="W281" t="s" s="11">
        <v>2554</v>
      </c>
      <c r="X281" s="17">
        <f>HYPERLINK("https://my.pitchbook.com?p=31442-95P", "View People Online")</f>
      </c>
    </row>
    <row r="282">
      <c r="A282" t="s" s="10">
        <v>2555</v>
      </c>
      <c r="B282" t="s" s="10">
        <v>2556</v>
      </c>
      <c r="C282" t="s" s="10">
        <v>34</v>
      </c>
      <c r="D282" t="s" s="10">
        <v>1560</v>
      </c>
      <c r="E282" t="s" s="10">
        <v>36</v>
      </c>
      <c r="F282" t="s" s="10">
        <v>2557</v>
      </c>
      <c r="G282" t="s" s="10">
        <v>2558</v>
      </c>
      <c r="H282" s="16">
        <f>HYPERLINK("http://www.paradetech.com", "www.paradetech.com")</f>
      </c>
      <c r="I282" t="s" s="10">
        <v>2559</v>
      </c>
      <c r="J282" t="s" s="24">
        <v>34</v>
      </c>
      <c r="K282" s="24">
        <v>1</v>
      </c>
      <c r="L282" t="s" s="24">
        <v>34</v>
      </c>
      <c r="M282" t="s" s="12">
        <v>2560</v>
      </c>
      <c r="N282" t="s" s="10">
        <v>2561</v>
      </c>
      <c r="O282" t="s" s="10">
        <v>1567</v>
      </c>
      <c r="P282" t="s" s="10">
        <v>1568</v>
      </c>
      <c r="Q282" t="s" s="10">
        <v>34</v>
      </c>
      <c r="R282" t="s" s="10">
        <v>1569</v>
      </c>
      <c r="S282" t="s" s="10">
        <v>159</v>
      </c>
      <c r="T282" t="s" s="12">
        <v>1570</v>
      </c>
      <c r="U282" t="s" s="10">
        <v>161</v>
      </c>
      <c r="V282" t="s" s="12">
        <v>1571</v>
      </c>
      <c r="W282" t="s" s="10">
        <v>2562</v>
      </c>
      <c r="X282" s="16">
        <f>HYPERLINK("https://my.pitchbook.com?p=35182-81P", "View People Online")</f>
      </c>
    </row>
    <row r="283">
      <c r="A283" t="s" s="11">
        <v>2563</v>
      </c>
      <c r="B283" t="s" s="11">
        <v>2564</v>
      </c>
      <c r="C283" t="s" s="11">
        <v>34</v>
      </c>
      <c r="D283" t="s" s="11">
        <v>2565</v>
      </c>
      <c r="E283" t="s" s="11">
        <v>36</v>
      </c>
      <c r="F283" t="s" s="11">
        <v>2566</v>
      </c>
      <c r="G283" t="s" s="11">
        <v>2567</v>
      </c>
      <c r="H283" s="17">
        <f>HYPERLINK("http://www.lictcorp.com", "www.lictcorp.com")</f>
      </c>
      <c r="I283" t="s" s="11">
        <v>845</v>
      </c>
      <c r="J283" t="s" s="25">
        <v>34</v>
      </c>
      <c r="K283" s="25">
        <v>3</v>
      </c>
      <c r="L283" s="25">
        <v>1</v>
      </c>
      <c r="M283" t="s" s="13">
        <v>2569</v>
      </c>
      <c r="N283" t="s" s="11">
        <v>2570</v>
      </c>
      <c r="O283" t="s" s="11">
        <v>2571</v>
      </c>
      <c r="P283" t="s" s="11">
        <v>2572</v>
      </c>
      <c r="Q283" t="s" s="11">
        <v>34</v>
      </c>
      <c r="R283" t="s" s="11">
        <v>2396</v>
      </c>
      <c r="S283" t="s" s="11">
        <v>1127</v>
      </c>
      <c r="T283" t="s" s="13">
        <v>2573</v>
      </c>
      <c r="U283" t="s" s="11">
        <v>161</v>
      </c>
      <c r="V283" t="s" s="13">
        <v>2574</v>
      </c>
      <c r="W283" t="s" s="11">
        <v>2575</v>
      </c>
      <c r="X283" s="17">
        <f>HYPERLINK("https://my.pitchbook.com?p=32668-12P", "View People Online")</f>
      </c>
    </row>
    <row r="284">
      <c r="A284" t="s" s="10">
        <v>2576</v>
      </c>
      <c r="B284" t="s" s="10">
        <v>2577</v>
      </c>
      <c r="C284" t="s" s="10">
        <v>34</v>
      </c>
      <c r="D284" t="s" s="10">
        <v>2578</v>
      </c>
      <c r="E284" t="s" s="10">
        <v>36</v>
      </c>
      <c r="F284" t="s" s="10">
        <v>2579</v>
      </c>
      <c r="G284" t="s" s="10">
        <v>2580</v>
      </c>
      <c r="H284" s="16">
        <f>HYPERLINK("http://www.energyrecovery.com", "www.energyrecovery.com")</f>
      </c>
      <c r="I284" t="s" s="10">
        <v>1249</v>
      </c>
      <c r="J284" t="s" s="24">
        <v>34</v>
      </c>
      <c r="K284" t="s" s="24">
        <v>34</v>
      </c>
      <c r="L284" t="s" s="24">
        <v>34</v>
      </c>
      <c r="M284" t="s" s="12">
        <v>2582</v>
      </c>
      <c r="N284" t="s" s="10">
        <v>2583</v>
      </c>
      <c r="O284" t="s" s="10">
        <v>34</v>
      </c>
      <c r="P284" t="s" s="10">
        <v>34</v>
      </c>
      <c r="Q284" t="s" s="10">
        <v>34</v>
      </c>
      <c r="R284" t="s" s="10">
        <v>34</v>
      </c>
      <c r="S284" t="s" s="10">
        <v>34</v>
      </c>
      <c r="T284" t="s" s="12">
        <v>34</v>
      </c>
      <c r="U284" t="s" s="10">
        <v>34</v>
      </c>
      <c r="V284" t="s" s="12">
        <v>34</v>
      </c>
      <c r="W284" t="s" s="10">
        <v>2584</v>
      </c>
      <c r="X284" s="16">
        <f>HYPERLINK("https://my.pitchbook.com?p=50204-53P", "View People Online")</f>
      </c>
    </row>
    <row r="285">
      <c r="A285" t="s" s="11">
        <v>2585</v>
      </c>
      <c r="B285" t="s" s="11">
        <v>2586</v>
      </c>
      <c r="C285" t="s" s="11">
        <v>34</v>
      </c>
      <c r="D285" t="s" s="11">
        <v>2587</v>
      </c>
      <c r="E285" t="s" s="11">
        <v>36</v>
      </c>
      <c r="F285" t="s" s="11">
        <v>2588</v>
      </c>
      <c r="G285" t="s" s="11">
        <v>2589</v>
      </c>
      <c r="H285" s="17">
        <f>HYPERLINK("http://www.frpdev.com", "www.frpdev.com")</f>
      </c>
      <c r="I285" t="s" s="11">
        <v>910</v>
      </c>
      <c r="J285" s="25">
        <v>1</v>
      </c>
      <c r="K285" s="25">
        <v>2</v>
      </c>
      <c r="L285" t="s" s="25">
        <v>34</v>
      </c>
      <c r="M285" t="s" s="13">
        <v>2591</v>
      </c>
      <c r="N285" t="s" s="11">
        <v>34</v>
      </c>
      <c r="O285" t="s" s="11">
        <v>2592</v>
      </c>
      <c r="P285" t="s" s="11">
        <v>2593</v>
      </c>
      <c r="Q285" t="s" s="11">
        <v>2594</v>
      </c>
      <c r="R285" t="s" s="11">
        <v>2595</v>
      </c>
      <c r="S285" t="s" s="11">
        <v>1911</v>
      </c>
      <c r="T285" t="s" s="13">
        <v>2596</v>
      </c>
      <c r="U285" t="s" s="11">
        <v>161</v>
      </c>
      <c r="V285" t="s" s="13">
        <v>2597</v>
      </c>
      <c r="W285" t="s" s="11">
        <v>2598</v>
      </c>
      <c r="X285" s="17">
        <f>HYPERLINK("https://my.pitchbook.com?p=45690-94P", "View People Online")</f>
      </c>
    </row>
    <row r="286">
      <c r="A286" t="s" s="10">
        <v>2599</v>
      </c>
      <c r="B286" t="s" s="10">
        <v>2600</v>
      </c>
      <c r="C286" t="s" s="10">
        <v>34</v>
      </c>
      <c r="D286" t="s" s="10">
        <v>2601</v>
      </c>
      <c r="E286" t="s" s="10">
        <v>36</v>
      </c>
      <c r="F286" t="s" s="10">
        <v>798</v>
      </c>
      <c r="G286" t="s" s="10">
        <v>2589</v>
      </c>
      <c r="H286" s="16">
        <f>HYPERLINK("http://www.porch.com", "www.porch.com")</f>
      </c>
      <c r="I286" t="s" s="10">
        <v>2603</v>
      </c>
      <c r="J286" t="s" s="24">
        <v>34</v>
      </c>
      <c r="K286" s="24">
        <v>1</v>
      </c>
      <c r="L286" t="s" s="24">
        <v>34</v>
      </c>
      <c r="M286" t="s" s="12">
        <v>2604</v>
      </c>
      <c r="N286" t="s" s="10">
        <v>2605</v>
      </c>
      <c r="O286" t="s" s="10">
        <v>2606</v>
      </c>
      <c r="P286" t="s" s="10">
        <v>2607</v>
      </c>
      <c r="Q286" t="s" s="10">
        <v>2608</v>
      </c>
      <c r="R286" t="s" s="10">
        <v>2609</v>
      </c>
      <c r="S286" t="s" s="10">
        <v>1852</v>
      </c>
      <c r="T286" t="s" s="12">
        <v>2610</v>
      </c>
      <c r="U286" t="s" s="10">
        <v>161</v>
      </c>
      <c r="V286" t="s" s="12">
        <v>34</v>
      </c>
      <c r="W286" t="s" s="10">
        <v>2611</v>
      </c>
      <c r="X286" s="16">
        <f>HYPERLINK("https://my.pitchbook.com?p=73237-69P", "View People Online")</f>
      </c>
    </row>
    <row r="287">
      <c r="A287" t="s" s="11">
        <v>2612</v>
      </c>
      <c r="B287" t="s" s="11">
        <v>2613</v>
      </c>
      <c r="C287" t="s" s="11">
        <v>34</v>
      </c>
      <c r="D287" t="s" s="11">
        <v>127</v>
      </c>
      <c r="E287" t="s" s="11">
        <v>36</v>
      </c>
      <c r="F287" t="s" s="11">
        <v>128</v>
      </c>
      <c r="G287" t="s" s="11">
        <v>2589</v>
      </c>
      <c r="H287" s="17">
        <f>HYPERLINK("http://www.playtech.com", "www.playtech.com")</f>
      </c>
      <c r="I287" t="s" s="11">
        <v>2614</v>
      </c>
      <c r="J287" t="s" s="25">
        <v>34</v>
      </c>
      <c r="K287" t="s" s="25">
        <v>34</v>
      </c>
      <c r="L287" t="s" s="25">
        <v>34</v>
      </c>
      <c r="M287" t="s" s="13">
        <v>34</v>
      </c>
      <c r="N287" t="s" s="11">
        <v>34</v>
      </c>
      <c r="O287" t="s" s="11">
        <v>34</v>
      </c>
      <c r="P287" t="s" s="11">
        <v>34</v>
      </c>
      <c r="Q287" t="s" s="11">
        <v>34</v>
      </c>
      <c r="R287" t="s" s="11">
        <v>34</v>
      </c>
      <c r="S287" t="s" s="11">
        <v>34</v>
      </c>
      <c r="T287" t="s" s="13">
        <v>34</v>
      </c>
      <c r="U287" t="s" s="11">
        <v>34</v>
      </c>
      <c r="V287" t="s" s="13">
        <v>34</v>
      </c>
      <c r="W287" t="s" s="11">
        <v>2615</v>
      </c>
      <c r="X287" s="17">
        <f>HYPERLINK("https://my.pitchbook.com?p=133558-12P", "View People Online")</f>
      </c>
    </row>
    <row r="288">
      <c r="A288" t="s" s="10">
        <v>2616</v>
      </c>
      <c r="B288" t="s" s="10">
        <v>2617</v>
      </c>
      <c r="C288" t="s" s="10">
        <v>34</v>
      </c>
      <c r="D288" t="s" s="10">
        <v>127</v>
      </c>
      <c r="E288" t="s" s="10">
        <v>36</v>
      </c>
      <c r="F288" t="s" s="10">
        <v>2618</v>
      </c>
      <c r="G288" t="s" s="10">
        <v>2589</v>
      </c>
      <c r="H288" s="16">
        <f>HYPERLINK("http://www.playtech.com", "www.playtech.com")</f>
      </c>
      <c r="I288" t="s" s="10">
        <v>108</v>
      </c>
      <c r="J288" t="s" s="24">
        <v>34</v>
      </c>
      <c r="K288" s="24">
        <v>1</v>
      </c>
      <c r="L288" s="24">
        <v>1</v>
      </c>
      <c r="M288" t="s" s="12">
        <v>34</v>
      </c>
      <c r="N288" t="s" s="10">
        <v>2619</v>
      </c>
      <c r="O288" t="s" s="10">
        <v>34</v>
      </c>
      <c r="P288" t="s" s="10">
        <v>34</v>
      </c>
      <c r="Q288" t="s" s="10">
        <v>34</v>
      </c>
      <c r="R288" t="s" s="10">
        <v>34</v>
      </c>
      <c r="S288" t="s" s="10">
        <v>34</v>
      </c>
      <c r="T288" t="s" s="12">
        <v>34</v>
      </c>
      <c r="U288" t="s" s="10">
        <v>34</v>
      </c>
      <c r="V288" t="s" s="12">
        <v>34</v>
      </c>
      <c r="W288" t="s" s="10">
        <v>2620</v>
      </c>
      <c r="X288" s="16">
        <f>HYPERLINK("https://my.pitchbook.com?p=32108-86P", "View People Online")</f>
      </c>
    </row>
    <row r="289">
      <c r="A289" t="s" s="11">
        <v>2621</v>
      </c>
      <c r="B289" t="s" s="11">
        <v>2622</v>
      </c>
      <c r="C289" t="s" s="11">
        <v>34</v>
      </c>
      <c r="D289" t="s" s="11">
        <v>2623</v>
      </c>
      <c r="E289" t="s" s="11">
        <v>36</v>
      </c>
      <c r="F289" t="s" s="11">
        <v>2624</v>
      </c>
      <c r="G289" t="s" s="11">
        <v>2589</v>
      </c>
      <c r="H289" s="17">
        <f>HYPERLINK("http://www.vulcanplc.com", "www.vulcanplc.com")</f>
      </c>
      <c r="I289" t="s" s="11">
        <v>108</v>
      </c>
      <c r="J289" s="25">
        <v>1</v>
      </c>
      <c r="K289" s="25">
        <v>3</v>
      </c>
      <c r="L289" s="25">
        <v>2</v>
      </c>
      <c r="M289" t="s" s="13">
        <v>34</v>
      </c>
      <c r="N289" t="s" s="11">
        <v>34</v>
      </c>
      <c r="O289" t="s" s="11">
        <v>117</v>
      </c>
      <c r="P289" t="s" s="11">
        <v>2626</v>
      </c>
      <c r="Q289" t="s" s="11">
        <v>2627</v>
      </c>
      <c r="R289" t="s" s="11">
        <v>119</v>
      </c>
      <c r="S289" t="s" s="11">
        <v>120</v>
      </c>
      <c r="T289" t="s" s="13">
        <v>2628</v>
      </c>
      <c r="U289" t="s" s="11">
        <v>122</v>
      </c>
      <c r="V289" t="s" s="13">
        <v>34</v>
      </c>
      <c r="W289" t="s" s="11">
        <v>2629</v>
      </c>
      <c r="X289" s="17">
        <f>HYPERLINK("https://my.pitchbook.com?p=246838-42P", "View People Online")</f>
      </c>
    </row>
    <row r="290">
      <c r="A290" t="s" s="10">
        <v>2630</v>
      </c>
      <c r="B290" t="s" s="10">
        <v>2631</v>
      </c>
      <c r="C290" t="s" s="10">
        <v>34</v>
      </c>
      <c r="D290" t="s" s="10">
        <v>2632</v>
      </c>
      <c r="E290" t="s" s="10">
        <v>36</v>
      </c>
      <c r="F290" t="s" s="10">
        <v>2633</v>
      </c>
      <c r="G290" t="s" s="10">
        <v>2589</v>
      </c>
      <c r="H290" s="16">
        <f>HYPERLINK("http://www.cmc.com", "www.cmc.com")</f>
      </c>
      <c r="I290" t="s" s="10">
        <v>108</v>
      </c>
      <c r="J290" s="24">
        <v>1</v>
      </c>
      <c r="K290" s="24">
        <v>1</v>
      </c>
      <c r="L290" t="s" s="24">
        <v>34</v>
      </c>
      <c r="M290" t="s" s="12">
        <v>2635</v>
      </c>
      <c r="N290" t="s" s="10">
        <v>34</v>
      </c>
      <c r="O290" t="s" s="10">
        <v>2636</v>
      </c>
      <c r="P290" t="s" s="10">
        <v>2637</v>
      </c>
      <c r="Q290" t="s" s="10">
        <v>2638</v>
      </c>
      <c r="R290" t="s" s="10">
        <v>2639</v>
      </c>
      <c r="S290" t="s" s="10">
        <v>329</v>
      </c>
      <c r="T290" t="s" s="12">
        <v>2640</v>
      </c>
      <c r="U290" t="s" s="10">
        <v>161</v>
      </c>
      <c r="V290" t="s" s="12">
        <v>2641</v>
      </c>
      <c r="W290" t="s" s="10">
        <v>2642</v>
      </c>
      <c r="X290" s="16">
        <f>HYPERLINK("https://my.pitchbook.com?p=79682-23P", "View People Online")</f>
      </c>
    </row>
    <row r="291">
      <c r="A291" t="s" s="11">
        <v>2643</v>
      </c>
      <c r="B291" t="s" s="11">
        <v>2644</v>
      </c>
      <c r="C291" t="s" s="11">
        <v>34</v>
      </c>
      <c r="D291" t="s" s="11">
        <v>2645</v>
      </c>
      <c r="E291" t="s" s="11">
        <v>36</v>
      </c>
      <c r="F291" t="s" s="11">
        <v>2646</v>
      </c>
      <c r="G291" t="s" s="11">
        <v>2647</v>
      </c>
      <c r="H291" s="17">
        <f>HYPERLINK("http://www.xerox.com", "www.xerox.com")</f>
      </c>
      <c r="I291" t="s" s="11">
        <v>108</v>
      </c>
      <c r="J291" s="25">
        <v>5</v>
      </c>
      <c r="K291" s="25">
        <v>6</v>
      </c>
      <c r="L291" s="25">
        <v>1</v>
      </c>
      <c r="M291" t="s" s="13">
        <v>2649</v>
      </c>
      <c r="N291" t="s" s="11">
        <v>34</v>
      </c>
      <c r="O291" t="s" s="11">
        <v>2650</v>
      </c>
      <c r="P291" t="s" s="11">
        <v>2651</v>
      </c>
      <c r="Q291" t="s" s="11">
        <v>34</v>
      </c>
      <c r="R291" t="s" s="11">
        <v>2652</v>
      </c>
      <c r="S291" t="s" s="11">
        <v>2653</v>
      </c>
      <c r="T291" t="s" s="13">
        <v>2654</v>
      </c>
      <c r="U291" t="s" s="11">
        <v>161</v>
      </c>
      <c r="V291" t="s" s="13">
        <v>34</v>
      </c>
      <c r="W291" t="s" s="11">
        <v>2655</v>
      </c>
      <c r="X291" s="17">
        <f>HYPERLINK("https://my.pitchbook.com?p=143954-56P", "View People Online")</f>
      </c>
    </row>
    <row r="292">
      <c r="A292" t="s" s="10">
        <v>2656</v>
      </c>
      <c r="B292" t="s" s="10">
        <v>2657</v>
      </c>
      <c r="C292" t="s" s="10">
        <v>34</v>
      </c>
      <c r="D292" t="s" s="10">
        <v>879</v>
      </c>
      <c r="E292" t="s" s="10">
        <v>36</v>
      </c>
      <c r="F292" t="s" s="10">
        <v>2658</v>
      </c>
      <c r="G292" t="s" s="10">
        <v>2647</v>
      </c>
      <c r="H292" s="16">
        <f>HYPERLINK("http://www.playtech.com", "www.playtech.com")</f>
      </c>
      <c r="I292" t="s" s="10">
        <v>2659</v>
      </c>
      <c r="J292" t="s" s="24">
        <v>34</v>
      </c>
      <c r="K292" s="24">
        <v>1</v>
      </c>
      <c r="L292" t="s" s="24">
        <v>34</v>
      </c>
      <c r="M292" t="s" s="12">
        <v>1082</v>
      </c>
      <c r="N292" t="s" s="10">
        <v>2660</v>
      </c>
      <c r="O292" t="s" s="10">
        <v>883</v>
      </c>
      <c r="P292" t="s" s="10">
        <v>884</v>
      </c>
      <c r="Q292" t="s" s="10">
        <v>885</v>
      </c>
      <c r="R292" t="s" s="10">
        <v>886</v>
      </c>
      <c r="S292" t="s" s="10">
        <v>120</v>
      </c>
      <c r="T292" t="s" s="12">
        <v>887</v>
      </c>
      <c r="U292" t="s" s="10">
        <v>122</v>
      </c>
      <c r="V292" t="s" s="12">
        <v>34</v>
      </c>
      <c r="W292" t="s" s="10">
        <v>2661</v>
      </c>
      <c r="X292" s="16">
        <f>HYPERLINK("https://my.pitchbook.com?p=143793-10P", "View People Online")</f>
      </c>
    </row>
    <row r="293">
      <c r="A293" t="s" s="11">
        <v>2662</v>
      </c>
      <c r="B293" t="s" s="11">
        <v>2663</v>
      </c>
      <c r="C293" t="s" s="11">
        <v>34</v>
      </c>
      <c r="D293" t="s" s="11">
        <v>2664</v>
      </c>
      <c r="E293" t="s" s="11">
        <v>36</v>
      </c>
      <c r="F293" t="s" s="11">
        <v>2665</v>
      </c>
      <c r="G293" t="s" s="11">
        <v>2647</v>
      </c>
      <c r="H293" s="17">
        <f>HYPERLINK("http://www.sandridgeenergy.com", "www.sandridgeenergy.com")</f>
      </c>
      <c r="I293" t="s" s="11">
        <v>2667</v>
      </c>
      <c r="J293" t="s" s="25">
        <v>34</v>
      </c>
      <c r="K293" s="25">
        <v>1</v>
      </c>
      <c r="L293" t="s" s="25">
        <v>34</v>
      </c>
      <c r="M293" t="s" s="13">
        <v>2668</v>
      </c>
      <c r="N293" t="s" s="11">
        <v>2669</v>
      </c>
      <c r="O293" t="s" s="11">
        <v>2670</v>
      </c>
      <c r="P293" t="s" s="11">
        <v>2671</v>
      </c>
      <c r="Q293" t="s" s="11">
        <v>2672</v>
      </c>
      <c r="R293" t="s" s="11">
        <v>2673</v>
      </c>
      <c r="S293" t="s" s="11">
        <v>2674</v>
      </c>
      <c r="T293" t="s" s="13">
        <v>2675</v>
      </c>
      <c r="U293" t="s" s="11">
        <v>161</v>
      </c>
      <c r="V293" t="s" s="13">
        <v>34</v>
      </c>
      <c r="W293" t="s" s="11">
        <v>2676</v>
      </c>
      <c r="X293" s="17">
        <f>HYPERLINK("https://my.pitchbook.com?p=255862-36P", "View People Online")</f>
      </c>
    </row>
    <row r="294">
      <c r="A294" t="s" s="10">
        <v>2677</v>
      </c>
      <c r="B294" t="s" s="10">
        <v>2678</v>
      </c>
      <c r="C294" t="s" s="10">
        <v>34</v>
      </c>
      <c r="D294" t="s" s="10">
        <v>2679</v>
      </c>
      <c r="E294" t="s" s="10">
        <v>36</v>
      </c>
      <c r="F294" t="s" s="10">
        <v>2680</v>
      </c>
      <c r="G294" t="s" s="10">
        <v>2647</v>
      </c>
      <c r="H294" s="16">
        <f>HYPERLINK("http://www.cegplc.com", "www.cegplc.com")</f>
      </c>
      <c r="I294" t="s" s="10">
        <v>2682</v>
      </c>
      <c r="J294" t="s" s="24">
        <v>34</v>
      </c>
      <c r="K294" s="24">
        <v>1</v>
      </c>
      <c r="L294" t="s" s="24">
        <v>34</v>
      </c>
      <c r="M294" t="s" s="12">
        <v>2683</v>
      </c>
      <c r="N294" t="s" s="10">
        <v>2684</v>
      </c>
      <c r="O294" t="s" s="10">
        <v>2685</v>
      </c>
      <c r="P294" t="s" s="10">
        <v>2686</v>
      </c>
      <c r="Q294" t="s" s="10">
        <v>2687</v>
      </c>
      <c r="R294" t="s" s="10">
        <v>2688</v>
      </c>
      <c r="S294" t="s" s="10">
        <v>2689</v>
      </c>
      <c r="T294" t="s" s="12">
        <v>2690</v>
      </c>
      <c r="U294" t="s" s="10">
        <v>122</v>
      </c>
      <c r="V294" t="s" s="12">
        <v>2691</v>
      </c>
      <c r="W294" t="s" s="10">
        <v>2692</v>
      </c>
      <c r="X294" s="16">
        <f>HYPERLINK("https://my.pitchbook.com?p=446717-35P", "View People Online")</f>
      </c>
    </row>
    <row r="295">
      <c r="A295" t="s" s="11">
        <v>2693</v>
      </c>
      <c r="B295" t="s" s="11">
        <v>2694</v>
      </c>
      <c r="C295" t="s" s="11">
        <v>34</v>
      </c>
      <c r="D295" t="s" s="11">
        <v>1007</v>
      </c>
      <c r="E295" t="s" s="11">
        <v>36</v>
      </c>
      <c r="F295" t="s" s="11">
        <v>2695</v>
      </c>
      <c r="G295" t="s" s="11">
        <v>2647</v>
      </c>
      <c r="H295" s="17">
        <f>HYPERLINK("http://www.tridentresourcescorp.com", "www.tridentresourcescorp.com")</f>
      </c>
      <c r="I295" t="s" s="11">
        <v>2696</v>
      </c>
      <c r="J295" t="s" s="25">
        <v>34</v>
      </c>
      <c r="K295" s="25">
        <v>2</v>
      </c>
      <c r="L295" s="25">
        <v>1</v>
      </c>
      <c r="M295" t="s" s="13">
        <v>1011</v>
      </c>
      <c r="N295" t="s" s="11">
        <v>34</v>
      </c>
      <c r="O295" t="s" s="11">
        <v>998</v>
      </c>
      <c r="P295" t="s" s="11">
        <v>1012</v>
      </c>
      <c r="Q295" t="s" s="11">
        <v>1013</v>
      </c>
      <c r="R295" t="s" s="11">
        <v>1001</v>
      </c>
      <c r="S295" t="s" s="11">
        <v>1002</v>
      </c>
      <c r="T295" t="s" s="13">
        <v>1014</v>
      </c>
      <c r="U295" t="s" s="11">
        <v>917</v>
      </c>
      <c r="V295" t="s" s="13">
        <v>34</v>
      </c>
      <c r="W295" t="s" s="11">
        <v>2697</v>
      </c>
      <c r="X295" s="17">
        <f>HYPERLINK("https://my.pitchbook.com?p=439422-04P", "View People Online")</f>
      </c>
    </row>
    <row r="296">
      <c r="A296" t="s" s="10">
        <v>2698</v>
      </c>
      <c r="B296" t="s" s="10">
        <v>2699</v>
      </c>
      <c r="C296" t="s" s="10">
        <v>34</v>
      </c>
      <c r="D296" t="s" s="10">
        <v>2700</v>
      </c>
      <c r="E296" t="s" s="10">
        <v>36</v>
      </c>
      <c r="F296" t="s" s="10">
        <v>2701</v>
      </c>
      <c r="G296" t="s" s="10">
        <v>2702</v>
      </c>
      <c r="H296" t="s" s="10">
        <v>34</v>
      </c>
      <c r="I296" t="s" s="10">
        <v>263</v>
      </c>
      <c r="J296" t="s" s="24">
        <v>34</v>
      </c>
      <c r="K296" t="s" s="24">
        <v>34</v>
      </c>
      <c r="L296" t="s" s="24">
        <v>34</v>
      </c>
      <c r="M296" t="s" s="12">
        <v>34</v>
      </c>
      <c r="N296" t="s" s="10">
        <v>34</v>
      </c>
      <c r="O296" t="s" s="10">
        <v>34</v>
      </c>
      <c r="P296" t="s" s="10">
        <v>34</v>
      </c>
      <c r="Q296" t="s" s="10">
        <v>34</v>
      </c>
      <c r="R296" t="s" s="10">
        <v>34</v>
      </c>
      <c r="S296" t="s" s="10">
        <v>34</v>
      </c>
      <c r="T296" t="s" s="12">
        <v>34</v>
      </c>
      <c r="U296" t="s" s="10">
        <v>34</v>
      </c>
      <c r="V296" t="s" s="12">
        <v>34</v>
      </c>
      <c r="W296" t="s" s="10">
        <v>2703</v>
      </c>
      <c r="X296" s="16">
        <f>HYPERLINK("https://my.pitchbook.com?p=37121-14P", "View People Online")</f>
      </c>
    </row>
    <row r="297">
      <c r="A297" t="s" s="11">
        <v>2704</v>
      </c>
      <c r="B297" t="s" s="11">
        <v>2705</v>
      </c>
      <c r="C297" t="s" s="11">
        <v>34</v>
      </c>
      <c r="D297" t="s" s="11">
        <v>2706</v>
      </c>
      <c r="E297" t="s" s="11">
        <v>36</v>
      </c>
      <c r="F297" t="s" s="11">
        <v>2707</v>
      </c>
      <c r="G297" t="s" s="11">
        <v>2708</v>
      </c>
      <c r="H297" s="17">
        <f>HYPERLINK("http://www.vulcanplc.com", "www.vulcanplc.com")</f>
      </c>
      <c r="I297" t="s" s="11">
        <v>2709</v>
      </c>
      <c r="J297" t="s" s="25">
        <v>34</v>
      </c>
      <c r="K297" t="s" s="25">
        <v>34</v>
      </c>
      <c r="L297" t="s" s="25">
        <v>34</v>
      </c>
      <c r="M297" t="s" s="13">
        <v>34</v>
      </c>
      <c r="N297" t="s" s="11">
        <v>34</v>
      </c>
      <c r="O297" t="s" s="11">
        <v>34</v>
      </c>
      <c r="P297" t="s" s="11">
        <v>34</v>
      </c>
      <c r="Q297" t="s" s="11">
        <v>34</v>
      </c>
      <c r="R297" t="s" s="11">
        <v>34</v>
      </c>
      <c r="S297" t="s" s="11">
        <v>34</v>
      </c>
      <c r="T297" t="s" s="13">
        <v>34</v>
      </c>
      <c r="U297" t="s" s="11">
        <v>34</v>
      </c>
      <c r="V297" t="s" s="13">
        <v>34</v>
      </c>
      <c r="W297" t="s" s="11">
        <v>2710</v>
      </c>
      <c r="X297" s="17">
        <f>HYPERLINK("https://my.pitchbook.com?p=228854-98P", "View People Online")</f>
      </c>
    </row>
    <row r="298">
      <c r="A298" t="s" s="10">
        <v>2711</v>
      </c>
      <c r="B298" t="s" s="10">
        <v>2712</v>
      </c>
      <c r="C298" t="s" s="10">
        <v>34</v>
      </c>
      <c r="D298" t="s" s="10">
        <v>2713</v>
      </c>
      <c r="E298" t="s" s="10">
        <v>36</v>
      </c>
      <c r="F298" t="s" s="10">
        <v>2714</v>
      </c>
      <c r="G298" t="s" s="10">
        <v>2708</v>
      </c>
      <c r="H298" s="16">
        <f>HYPERLINK("http://www.amexglobalbusinesstravel.com", "www.amexglobalbusinesstravel.com")</f>
      </c>
      <c r="I298" t="s" s="10">
        <v>2716</v>
      </c>
      <c r="J298" t="s" s="24">
        <v>34</v>
      </c>
      <c r="K298" s="24">
        <v>1</v>
      </c>
      <c r="L298" t="s" s="24">
        <v>34</v>
      </c>
      <c r="M298" t="s" s="12">
        <v>34</v>
      </c>
      <c r="N298" t="s" s="10">
        <v>2717</v>
      </c>
      <c r="O298" t="s" s="10">
        <v>117</v>
      </c>
      <c r="P298" t="s" s="10">
        <v>2718</v>
      </c>
      <c r="Q298" t="s" s="10">
        <v>2719</v>
      </c>
      <c r="R298" t="s" s="10">
        <v>119</v>
      </c>
      <c r="S298" t="s" s="10">
        <v>120</v>
      </c>
      <c r="T298" t="s" s="12">
        <v>2720</v>
      </c>
      <c r="U298" t="s" s="10">
        <v>122</v>
      </c>
      <c r="V298" t="s" s="12">
        <v>34</v>
      </c>
      <c r="W298" t="s" s="10">
        <v>2721</v>
      </c>
      <c r="X298" s="16">
        <f>HYPERLINK("https://my.pitchbook.com?p=63400-33P", "View People Online")</f>
      </c>
    </row>
    <row r="299">
      <c r="A299" t="s" s="11">
        <v>2722</v>
      </c>
      <c r="B299" t="s" s="11">
        <v>2723</v>
      </c>
      <c r="C299" t="s" s="11">
        <v>34</v>
      </c>
      <c r="D299" t="s" s="11">
        <v>539</v>
      </c>
      <c r="E299" t="s" s="11">
        <v>36</v>
      </c>
      <c r="F299" t="s" s="11">
        <v>2724</v>
      </c>
      <c r="G299" t="s" s="11">
        <v>2725</v>
      </c>
      <c r="H299" s="17">
        <f>HYPERLINK("http://v-er.eu", "v-er.eu")</f>
      </c>
      <c r="I299" t="s" s="11">
        <v>1499</v>
      </c>
      <c r="J299" t="s" s="25">
        <v>34</v>
      </c>
      <c r="K299" s="25">
        <v>1</v>
      </c>
      <c r="L299" t="s" s="25">
        <v>34</v>
      </c>
      <c r="M299" t="s" s="13">
        <v>544</v>
      </c>
      <c r="N299" t="s" s="11">
        <v>2726</v>
      </c>
      <c r="O299" t="s" s="11">
        <v>51</v>
      </c>
      <c r="P299" t="s" s="11">
        <v>546</v>
      </c>
      <c r="Q299" t="s" s="11">
        <v>547</v>
      </c>
      <c r="R299" t="s" s="11">
        <v>54</v>
      </c>
      <c r="S299" t="s" s="11">
        <v>55</v>
      </c>
      <c r="T299" t="s" s="13">
        <v>56</v>
      </c>
      <c r="U299" t="s" s="11">
        <v>57</v>
      </c>
      <c r="V299" t="s" s="13">
        <v>34</v>
      </c>
      <c r="W299" t="s" s="11">
        <v>2727</v>
      </c>
      <c r="X299" s="17">
        <f>HYPERLINK("https://my.pitchbook.com?p=465161-32P", "View People Online")</f>
      </c>
    </row>
    <row r="300">
      <c r="A300" t="s" s="10">
        <v>2728</v>
      </c>
      <c r="B300" t="s" s="10">
        <v>2729</v>
      </c>
      <c r="C300" t="s" s="10">
        <v>34</v>
      </c>
      <c r="D300" t="s" s="10">
        <v>71</v>
      </c>
      <c r="E300" t="s" s="10">
        <v>36</v>
      </c>
      <c r="F300" t="s" s="10">
        <v>2730</v>
      </c>
      <c r="G300" t="s" s="10">
        <v>2731</v>
      </c>
      <c r="H300" s="16">
        <f>HYPERLINK("http://www.vulcan.co", "www.vulcan.co")</f>
      </c>
      <c r="I300" t="s" s="10">
        <v>263</v>
      </c>
      <c r="J300" t="s" s="24">
        <v>34</v>
      </c>
      <c r="K300" s="24">
        <v>1</v>
      </c>
      <c r="L300" t="s" s="24">
        <v>34</v>
      </c>
      <c r="M300" t="s" s="12">
        <v>76</v>
      </c>
      <c r="N300" t="s" s="10">
        <v>2732</v>
      </c>
      <c r="O300" t="s" s="10">
        <v>78</v>
      </c>
      <c r="P300" t="s" s="10">
        <v>79</v>
      </c>
      <c r="Q300" t="s" s="10">
        <v>80</v>
      </c>
      <c r="R300" t="s" s="10">
        <v>81</v>
      </c>
      <c r="S300" t="s" s="10">
        <v>34</v>
      </c>
      <c r="T300" t="s" s="12">
        <v>82</v>
      </c>
      <c r="U300" t="s" s="10">
        <v>83</v>
      </c>
      <c r="V300" t="s" s="12">
        <v>84</v>
      </c>
      <c r="W300" t="s" s="10">
        <v>2733</v>
      </c>
      <c r="X300" s="16">
        <f>HYPERLINK("https://my.pitchbook.com?p=339394-69P", "View People Online")</f>
      </c>
    </row>
    <row r="301">
      <c r="A301" t="s" s="11">
        <v>2734</v>
      </c>
      <c r="B301" t="s" s="11">
        <v>2735</v>
      </c>
      <c r="C301" t="s" s="11">
        <v>34</v>
      </c>
      <c r="D301" t="s" s="11">
        <v>2736</v>
      </c>
      <c r="E301" t="s" s="11">
        <v>36</v>
      </c>
      <c r="F301" t="s" s="11">
        <v>2737</v>
      </c>
      <c r="G301" t="s" s="11">
        <v>2738</v>
      </c>
      <c r="H301" s="17">
        <f>HYPERLINK("http://www.beazley.com", "www.beazley.com")</f>
      </c>
      <c r="I301" t="s" s="11">
        <v>2740</v>
      </c>
      <c r="J301" t="s" s="25">
        <v>34</v>
      </c>
      <c r="K301" s="25">
        <v>1</v>
      </c>
      <c r="L301" t="s" s="25">
        <v>34</v>
      </c>
      <c r="M301" t="s" s="13">
        <v>2741</v>
      </c>
      <c r="N301" t="s" s="11">
        <v>2742</v>
      </c>
      <c r="O301" t="s" s="11">
        <v>117</v>
      </c>
      <c r="P301" t="s" s="11">
        <v>2743</v>
      </c>
      <c r="Q301" t="s" s="11">
        <v>34</v>
      </c>
      <c r="R301" t="s" s="11">
        <v>119</v>
      </c>
      <c r="S301" t="s" s="11">
        <v>120</v>
      </c>
      <c r="T301" t="s" s="13">
        <v>2744</v>
      </c>
      <c r="U301" t="s" s="11">
        <v>122</v>
      </c>
      <c r="V301" t="s" s="13">
        <v>2745</v>
      </c>
      <c r="W301" t="s" s="11">
        <v>2746</v>
      </c>
      <c r="X301" s="17">
        <f>HYPERLINK("https://my.pitchbook.com?p=451616-77P", "View People Online")</f>
      </c>
    </row>
    <row r="302">
      <c r="A302" t="s" s="10">
        <v>2747</v>
      </c>
      <c r="B302" t="s" s="10">
        <v>2748</v>
      </c>
      <c r="C302" t="s" s="10">
        <v>34</v>
      </c>
      <c r="D302" t="s" s="10">
        <v>187</v>
      </c>
      <c r="E302" t="s" s="10">
        <v>36</v>
      </c>
      <c r="F302" t="s" s="10">
        <v>2749</v>
      </c>
      <c r="G302" t="s" s="10">
        <v>2750</v>
      </c>
      <c r="H302" s="16">
        <f>HYPERLINK("http://www.diacorporate.com", "www.diacorporate.com")</f>
      </c>
      <c r="I302" t="s" s="10">
        <v>294</v>
      </c>
      <c r="J302" t="s" s="24">
        <v>34</v>
      </c>
      <c r="K302" t="s" s="24">
        <v>34</v>
      </c>
      <c r="L302" t="s" s="24">
        <v>34</v>
      </c>
      <c r="M302" t="s" s="12">
        <v>34</v>
      </c>
      <c r="N302" t="s" s="10">
        <v>2751</v>
      </c>
      <c r="O302" t="s" s="10">
        <v>34</v>
      </c>
      <c r="P302" t="s" s="10">
        <v>34</v>
      </c>
      <c r="Q302" t="s" s="10">
        <v>34</v>
      </c>
      <c r="R302" t="s" s="10">
        <v>34</v>
      </c>
      <c r="S302" t="s" s="10">
        <v>34</v>
      </c>
      <c r="T302" t="s" s="12">
        <v>34</v>
      </c>
      <c r="U302" t="s" s="10">
        <v>34</v>
      </c>
      <c r="V302" t="s" s="12">
        <v>34</v>
      </c>
      <c r="W302" t="s" s="10">
        <v>2752</v>
      </c>
      <c r="X302" s="16">
        <f>HYPERLINK("https://my.pitchbook.com?p=165895-30P", "View People Online")</f>
      </c>
    </row>
    <row r="303">
      <c r="A303" t="s" s="11">
        <v>2753</v>
      </c>
      <c r="B303" t="s" s="11">
        <v>2754</v>
      </c>
      <c r="C303" t="s" s="11">
        <v>34</v>
      </c>
      <c r="D303" t="s" s="11">
        <v>2755</v>
      </c>
      <c r="E303" t="s" s="11">
        <v>36</v>
      </c>
      <c r="F303" t="s" s="11">
        <v>2756</v>
      </c>
      <c r="G303" t="s" s="11">
        <v>2757</v>
      </c>
      <c r="H303" s="17">
        <f>HYPERLINK("http://www.fcx.com", "www.fcx.com")</f>
      </c>
      <c r="I303" t="s" s="11">
        <v>1249</v>
      </c>
      <c r="J303" s="25">
        <v>3</v>
      </c>
      <c r="K303" s="25">
        <v>3</v>
      </c>
      <c r="L303" t="s" s="25">
        <v>34</v>
      </c>
      <c r="M303" t="s" s="13">
        <v>2759</v>
      </c>
      <c r="N303" t="s" s="11">
        <v>2760</v>
      </c>
      <c r="O303" t="s" s="11">
        <v>1622</v>
      </c>
      <c r="P303" t="s" s="11">
        <v>2761</v>
      </c>
      <c r="Q303" t="s" s="11">
        <v>34</v>
      </c>
      <c r="R303" t="s" s="11">
        <v>1625</v>
      </c>
      <c r="S303" t="s" s="11">
        <v>1383</v>
      </c>
      <c r="T303" t="s" s="13">
        <v>2762</v>
      </c>
      <c r="U303" t="s" s="11">
        <v>161</v>
      </c>
      <c r="V303" t="s" s="13">
        <v>34</v>
      </c>
      <c r="W303" t="s" s="11">
        <v>2763</v>
      </c>
      <c r="X303" s="17">
        <f>HYPERLINK("https://my.pitchbook.com?p=15183-82P", "View People Online")</f>
      </c>
    </row>
    <row r="304">
      <c r="A304" t="s" s="10">
        <v>2764</v>
      </c>
      <c r="B304" t="s" s="10">
        <v>2765</v>
      </c>
      <c r="C304" t="s" s="10">
        <v>34</v>
      </c>
      <c r="D304" t="s" s="10">
        <v>2766</v>
      </c>
      <c r="E304" t="s" s="10">
        <v>36</v>
      </c>
      <c r="F304" t="s" s="10">
        <v>2767</v>
      </c>
      <c r="G304" t="s" s="10">
        <v>2768</v>
      </c>
      <c r="H304" s="16">
        <f>HYPERLINK("http://www.xerox.com", "www.xerox.com")</f>
      </c>
      <c r="I304" t="s" s="10">
        <v>2769</v>
      </c>
      <c r="J304" t="s" s="24">
        <v>34</v>
      </c>
      <c r="K304" t="s" s="24">
        <v>34</v>
      </c>
      <c r="L304" t="s" s="24">
        <v>34</v>
      </c>
      <c r="M304" t="s" s="12">
        <v>34</v>
      </c>
      <c r="N304" t="s" s="10">
        <v>2770</v>
      </c>
      <c r="O304" t="s" s="10">
        <v>34</v>
      </c>
      <c r="P304" t="s" s="10">
        <v>34</v>
      </c>
      <c r="Q304" t="s" s="10">
        <v>34</v>
      </c>
      <c r="R304" t="s" s="10">
        <v>34</v>
      </c>
      <c r="S304" t="s" s="10">
        <v>34</v>
      </c>
      <c r="T304" t="s" s="12">
        <v>34</v>
      </c>
      <c r="U304" t="s" s="10">
        <v>34</v>
      </c>
      <c r="V304" t="s" s="12">
        <v>34</v>
      </c>
      <c r="W304" t="s" s="10">
        <v>2771</v>
      </c>
      <c r="X304" s="16">
        <f>HYPERLINK("https://my.pitchbook.com?p=60930-37P", "View People Online")</f>
      </c>
    </row>
    <row r="305">
      <c r="A305" t="s" s="11">
        <v>2772</v>
      </c>
      <c r="B305" t="s" s="11">
        <v>2773</v>
      </c>
      <c r="C305" t="s" s="11">
        <v>34</v>
      </c>
      <c r="D305" t="s" s="11">
        <v>2774</v>
      </c>
      <c r="E305" t="s" s="11">
        <v>36</v>
      </c>
      <c r="F305" t="s" s="11">
        <v>2775</v>
      </c>
      <c r="G305" t="s" s="11">
        <v>2776</v>
      </c>
      <c r="H305" s="17">
        <f>HYPERLINK("http://www.kinross.com", "www.kinross.com")</f>
      </c>
      <c r="I305" t="s" s="11">
        <v>307</v>
      </c>
      <c r="J305" s="25">
        <v>1</v>
      </c>
      <c r="K305" s="25">
        <v>1</v>
      </c>
      <c r="L305" t="s" s="25">
        <v>34</v>
      </c>
      <c r="M305" t="s" s="13">
        <v>2778</v>
      </c>
      <c r="N305" t="s" s="11">
        <v>34</v>
      </c>
      <c r="O305" t="s" s="11">
        <v>1215</v>
      </c>
      <c r="P305" t="s" s="11">
        <v>2779</v>
      </c>
      <c r="Q305" t="s" s="11">
        <v>2780</v>
      </c>
      <c r="R305" t="s" s="11">
        <v>1218</v>
      </c>
      <c r="S305" t="s" s="11">
        <v>1219</v>
      </c>
      <c r="T305" t="s" s="13">
        <v>2781</v>
      </c>
      <c r="U305" t="s" s="11">
        <v>917</v>
      </c>
      <c r="V305" t="s" s="13">
        <v>2782</v>
      </c>
      <c r="W305" t="s" s="11">
        <v>2783</v>
      </c>
      <c r="X305" s="17">
        <f>HYPERLINK("https://my.pitchbook.com?p=76281-31P", "View People Online")</f>
      </c>
    </row>
    <row r="306">
      <c r="A306" t="s" s="10">
        <v>2784</v>
      </c>
      <c r="B306" t="s" s="10">
        <v>2785</v>
      </c>
      <c r="C306" t="s" s="10">
        <v>34</v>
      </c>
      <c r="D306" t="s" s="10">
        <v>2786</v>
      </c>
      <c r="E306" t="s" s="10">
        <v>36</v>
      </c>
      <c r="F306" t="s" s="10">
        <v>2787</v>
      </c>
      <c r="G306" t="s" s="10">
        <v>2788</v>
      </c>
      <c r="H306" s="16">
        <f>HYPERLINK("http://www.uniti.com", "www.uniti.com")</f>
      </c>
      <c r="I306" t="s" s="10">
        <v>1249</v>
      </c>
      <c r="J306" s="24">
        <v>2</v>
      </c>
      <c r="K306" s="24">
        <v>11</v>
      </c>
      <c r="L306" s="24">
        <v>8</v>
      </c>
      <c r="M306" t="s" s="12">
        <v>2790</v>
      </c>
      <c r="N306" t="s" s="10">
        <v>2791</v>
      </c>
      <c r="O306" t="s" s="10">
        <v>2471</v>
      </c>
      <c r="P306" t="s" s="10">
        <v>2792</v>
      </c>
      <c r="Q306" t="s" s="10">
        <v>34</v>
      </c>
      <c r="R306" t="s" s="10">
        <v>2473</v>
      </c>
      <c r="S306" t="s" s="10">
        <v>2474</v>
      </c>
      <c r="T306" t="s" s="12">
        <v>2793</v>
      </c>
      <c r="U306" t="s" s="10">
        <v>161</v>
      </c>
      <c r="V306" t="s" s="12">
        <v>34</v>
      </c>
      <c r="W306" t="s" s="10">
        <v>2794</v>
      </c>
      <c r="X306" s="16">
        <f>HYPERLINK("https://my.pitchbook.com?p=97088-59P", "View People Online")</f>
      </c>
    </row>
    <row r="307">
      <c r="A307" t="s" s="11">
        <v>2795</v>
      </c>
      <c r="B307" t="s" s="11">
        <v>2796</v>
      </c>
      <c r="C307" t="s" s="11">
        <v>34</v>
      </c>
      <c r="D307" t="s" s="11">
        <v>2797</v>
      </c>
      <c r="E307" t="s" s="11">
        <v>36</v>
      </c>
      <c r="F307" t="s" s="11">
        <v>2798</v>
      </c>
      <c r="G307" t="s" s="11">
        <v>2799</v>
      </c>
      <c r="H307" s="17">
        <f>HYPERLINK("http://www.dxpe.com", "www.dxpe.com")</f>
      </c>
      <c r="I307" t="s" s="11">
        <v>2801</v>
      </c>
      <c r="J307" t="s" s="25">
        <v>34</v>
      </c>
      <c r="K307" s="25">
        <v>3</v>
      </c>
      <c r="L307" s="25">
        <v>2</v>
      </c>
      <c r="M307" t="s" s="13">
        <v>2802</v>
      </c>
      <c r="N307" t="s" s="11">
        <v>2803</v>
      </c>
      <c r="O307" t="s" s="11">
        <v>325</v>
      </c>
      <c r="P307" t="s" s="11">
        <v>2804</v>
      </c>
      <c r="Q307" t="s" s="11">
        <v>34</v>
      </c>
      <c r="R307" t="s" s="11">
        <v>328</v>
      </c>
      <c r="S307" t="s" s="11">
        <v>329</v>
      </c>
      <c r="T307" t="s" s="13">
        <v>2805</v>
      </c>
      <c r="U307" t="s" s="11">
        <v>161</v>
      </c>
      <c r="V307" t="s" s="13">
        <v>2806</v>
      </c>
      <c r="W307" t="s" s="11">
        <v>2807</v>
      </c>
      <c r="X307" s="17">
        <f>HYPERLINK("https://my.pitchbook.com?p=32415-13P", "View People Online")</f>
      </c>
    </row>
    <row r="308">
      <c r="A308" t="s" s="10">
        <v>2808</v>
      </c>
      <c r="B308" t="s" s="10">
        <v>2809</v>
      </c>
      <c r="C308" t="s" s="10">
        <v>34</v>
      </c>
      <c r="D308" t="s" s="10">
        <v>517</v>
      </c>
      <c r="E308" t="s" s="10">
        <v>36</v>
      </c>
      <c r="F308" t="s" s="10">
        <v>2810</v>
      </c>
      <c r="G308" t="s" s="10">
        <v>2811</v>
      </c>
      <c r="H308" s="16">
        <f>HYPERLINK("http://www.vk.company", "www.vk.company")</f>
      </c>
      <c r="I308" t="s" s="10">
        <v>2812</v>
      </c>
      <c r="J308" t="s" s="24">
        <v>34</v>
      </c>
      <c r="K308" t="s" s="24">
        <v>34</v>
      </c>
      <c r="L308" t="s" s="24">
        <v>34</v>
      </c>
      <c r="M308" t="s" s="12">
        <v>34</v>
      </c>
      <c r="N308" t="s" s="10">
        <v>34</v>
      </c>
      <c r="O308" t="s" s="10">
        <v>34</v>
      </c>
      <c r="P308" t="s" s="10">
        <v>34</v>
      </c>
      <c r="Q308" t="s" s="10">
        <v>34</v>
      </c>
      <c r="R308" t="s" s="10">
        <v>34</v>
      </c>
      <c r="S308" t="s" s="10">
        <v>34</v>
      </c>
      <c r="T308" t="s" s="12">
        <v>34</v>
      </c>
      <c r="U308" t="s" s="10">
        <v>34</v>
      </c>
      <c r="V308" t="s" s="12">
        <v>34</v>
      </c>
      <c r="W308" t="s" s="10">
        <v>2813</v>
      </c>
      <c r="X308" s="16">
        <f>HYPERLINK("https://my.pitchbook.com?p=120057-04P", "View People Online")</f>
      </c>
    </row>
    <row r="309">
      <c r="A309" t="s" s="11">
        <v>2814</v>
      </c>
      <c r="B309" t="s" s="11">
        <v>2815</v>
      </c>
      <c r="C309" t="s" s="11">
        <v>34</v>
      </c>
      <c r="D309" t="s" s="11">
        <v>517</v>
      </c>
      <c r="E309" t="s" s="11">
        <v>36</v>
      </c>
      <c r="F309" t="s" s="11">
        <v>2816</v>
      </c>
      <c r="G309" t="s" s="11">
        <v>2811</v>
      </c>
      <c r="H309" s="17">
        <f>HYPERLINK("http://www.vk.company", "www.vk.company")</f>
      </c>
      <c r="I309" t="s" s="11">
        <v>2817</v>
      </c>
      <c r="J309" t="s" s="25">
        <v>34</v>
      </c>
      <c r="K309" t="s" s="25">
        <v>34</v>
      </c>
      <c r="L309" t="s" s="25">
        <v>34</v>
      </c>
      <c r="M309" t="s" s="13">
        <v>34</v>
      </c>
      <c r="N309" t="s" s="11">
        <v>2818</v>
      </c>
      <c r="O309" t="s" s="11">
        <v>34</v>
      </c>
      <c r="P309" t="s" s="11">
        <v>34</v>
      </c>
      <c r="Q309" t="s" s="11">
        <v>34</v>
      </c>
      <c r="R309" t="s" s="11">
        <v>34</v>
      </c>
      <c r="S309" t="s" s="11">
        <v>34</v>
      </c>
      <c r="T309" t="s" s="13">
        <v>34</v>
      </c>
      <c r="U309" t="s" s="11">
        <v>34</v>
      </c>
      <c r="V309" t="s" s="13">
        <v>34</v>
      </c>
      <c r="W309" t="s" s="11">
        <v>2819</v>
      </c>
      <c r="X309" s="17">
        <f>HYPERLINK("https://my.pitchbook.com?p=176593-78P", "View People Online")</f>
      </c>
    </row>
    <row r="310">
      <c r="A310" t="s" s="10">
        <v>2820</v>
      </c>
      <c r="B310" t="s" s="10">
        <v>2821</v>
      </c>
      <c r="C310" t="s" s="10">
        <v>34</v>
      </c>
      <c r="D310" t="s" s="10">
        <v>273</v>
      </c>
      <c r="E310" t="s" s="10">
        <v>36</v>
      </c>
      <c r="F310" t="s" s="10">
        <v>2822</v>
      </c>
      <c r="G310" t="s" s="10">
        <v>2811</v>
      </c>
      <c r="H310" s="16">
        <f>HYPERLINK("http://www.enplusgroup.com", "www.enplusgroup.com")</f>
      </c>
      <c r="I310" t="s" s="10">
        <v>2823</v>
      </c>
      <c r="J310" t="s" s="24">
        <v>34</v>
      </c>
      <c r="K310" t="s" s="24">
        <v>34</v>
      </c>
      <c r="L310" t="s" s="24">
        <v>34</v>
      </c>
      <c r="M310" t="s" s="12">
        <v>34</v>
      </c>
      <c r="N310" t="s" s="10">
        <v>34</v>
      </c>
      <c r="O310" t="s" s="10">
        <v>34</v>
      </c>
      <c r="P310" t="s" s="10">
        <v>34</v>
      </c>
      <c r="Q310" t="s" s="10">
        <v>34</v>
      </c>
      <c r="R310" t="s" s="10">
        <v>34</v>
      </c>
      <c r="S310" t="s" s="10">
        <v>34</v>
      </c>
      <c r="T310" t="s" s="12">
        <v>34</v>
      </c>
      <c r="U310" t="s" s="10">
        <v>34</v>
      </c>
      <c r="V310" t="s" s="12">
        <v>34</v>
      </c>
      <c r="W310" t="s" s="10">
        <v>2824</v>
      </c>
      <c r="X310" s="16">
        <f>HYPERLINK("https://my.pitchbook.com?p=72051-40P", "View People Online")</f>
      </c>
    </row>
    <row r="311">
      <c r="A311" t="s" s="11">
        <v>2825</v>
      </c>
      <c r="B311" t="s" s="11">
        <v>2826</v>
      </c>
      <c r="C311" t="s" s="11">
        <v>34</v>
      </c>
      <c r="D311" t="s" s="11">
        <v>247</v>
      </c>
      <c r="E311" t="s" s="11">
        <v>36</v>
      </c>
      <c r="F311" t="s" s="11">
        <v>2827</v>
      </c>
      <c r="G311" t="s" s="11">
        <v>2811</v>
      </c>
      <c r="H311" s="17">
        <f>HYPERLINK("http://www.novatek.ru", "www.novatek.ru")</f>
      </c>
      <c r="I311" t="s" s="11">
        <v>2828</v>
      </c>
      <c r="J311" t="s" s="25">
        <v>34</v>
      </c>
      <c r="K311" t="s" s="25">
        <v>34</v>
      </c>
      <c r="L311" t="s" s="25">
        <v>34</v>
      </c>
      <c r="M311" t="s" s="13">
        <v>34</v>
      </c>
      <c r="N311" t="s" s="11">
        <v>34</v>
      </c>
      <c r="O311" t="s" s="11">
        <v>34</v>
      </c>
      <c r="P311" t="s" s="11">
        <v>34</v>
      </c>
      <c r="Q311" t="s" s="11">
        <v>34</v>
      </c>
      <c r="R311" t="s" s="11">
        <v>34</v>
      </c>
      <c r="S311" t="s" s="11">
        <v>34</v>
      </c>
      <c r="T311" t="s" s="13">
        <v>34</v>
      </c>
      <c r="U311" t="s" s="11">
        <v>34</v>
      </c>
      <c r="V311" t="s" s="13">
        <v>34</v>
      </c>
      <c r="W311" t="s" s="11">
        <v>2829</v>
      </c>
      <c r="X311" s="17">
        <f>HYPERLINK("https://my.pitchbook.com?p=116447-86P", "View People Online")</f>
      </c>
    </row>
    <row r="312">
      <c r="A312" t="s" s="10">
        <v>2830</v>
      </c>
      <c r="B312" t="s" s="10">
        <v>2831</v>
      </c>
      <c r="C312" t="s" s="10">
        <v>34</v>
      </c>
      <c r="D312" t="s" s="10">
        <v>2832</v>
      </c>
      <c r="E312" t="s" s="10">
        <v>36</v>
      </c>
      <c r="F312" t="s" s="10">
        <v>2833</v>
      </c>
      <c r="G312" t="s" s="10">
        <v>2834</v>
      </c>
      <c r="H312" s="16">
        <f>HYPERLINK("http://www.3ren.com.my", "www.3ren.com.my")</f>
      </c>
      <c r="I312" t="s" s="10">
        <v>2836</v>
      </c>
      <c r="J312" t="s" s="24">
        <v>34</v>
      </c>
      <c r="K312" s="24">
        <v>1</v>
      </c>
      <c r="L312" t="s" s="24">
        <v>34</v>
      </c>
      <c r="M312" t="s" s="12">
        <v>2837</v>
      </c>
      <c r="N312" t="s" s="10">
        <v>2838</v>
      </c>
      <c r="O312" t="s" s="10">
        <v>2839</v>
      </c>
      <c r="P312" t="s" s="10">
        <v>2840</v>
      </c>
      <c r="Q312" t="s" s="10">
        <v>2841</v>
      </c>
      <c r="R312" t="s" s="10">
        <v>2842</v>
      </c>
      <c r="S312" t="s" s="10">
        <v>2843</v>
      </c>
      <c r="T312" t="s" s="12">
        <v>2844</v>
      </c>
      <c r="U312" t="s" s="10">
        <v>2845</v>
      </c>
      <c r="V312" t="s" s="12">
        <v>34</v>
      </c>
      <c r="W312" t="s" s="10">
        <v>2846</v>
      </c>
      <c r="X312" s="16">
        <f>HYPERLINK("https://my.pitchbook.com?p=392026-33P", "View People Online")</f>
      </c>
    </row>
    <row r="313">
      <c r="A313" t="s" s="11">
        <v>2847</v>
      </c>
      <c r="B313" t="s" s="11">
        <v>2848</v>
      </c>
      <c r="C313" t="s" s="11">
        <v>34</v>
      </c>
      <c r="D313" t="s" s="11">
        <v>2849</v>
      </c>
      <c r="E313" t="s" s="11">
        <v>36</v>
      </c>
      <c r="F313" t="s" s="11">
        <v>2850</v>
      </c>
      <c r="G313" t="s" s="11">
        <v>2851</v>
      </c>
      <c r="H313" s="17">
        <f>HYPERLINK("http://www.realbotix.ai", "www.realbotix.ai")</f>
      </c>
      <c r="I313" t="s" s="11">
        <v>263</v>
      </c>
      <c r="J313" t="s" s="25">
        <v>34</v>
      </c>
      <c r="K313" t="s" s="25">
        <v>34</v>
      </c>
      <c r="L313" t="s" s="25">
        <v>34</v>
      </c>
      <c r="M313" t="s" s="13">
        <v>34</v>
      </c>
      <c r="N313" t="s" s="11">
        <v>34</v>
      </c>
      <c r="O313" t="s" s="11">
        <v>34</v>
      </c>
      <c r="P313" t="s" s="11">
        <v>34</v>
      </c>
      <c r="Q313" t="s" s="11">
        <v>34</v>
      </c>
      <c r="R313" t="s" s="11">
        <v>34</v>
      </c>
      <c r="S313" t="s" s="11">
        <v>34</v>
      </c>
      <c r="T313" t="s" s="13">
        <v>34</v>
      </c>
      <c r="U313" t="s" s="11">
        <v>34</v>
      </c>
      <c r="V313" t="s" s="13">
        <v>34</v>
      </c>
      <c r="W313" t="s" s="11">
        <v>2853</v>
      </c>
      <c r="X313" s="17">
        <f>HYPERLINK("https://my.pitchbook.com?p=251622-46P", "View People Online")</f>
      </c>
    </row>
    <row r="314">
      <c r="A314" t="s" s="10">
        <v>2854</v>
      </c>
      <c r="B314" t="s" s="10">
        <v>2848</v>
      </c>
      <c r="C314" t="s" s="10">
        <v>34</v>
      </c>
      <c r="D314" t="s" s="10">
        <v>2855</v>
      </c>
      <c r="E314" t="s" s="10">
        <v>36</v>
      </c>
      <c r="F314" t="s" s="10">
        <v>2850</v>
      </c>
      <c r="G314" t="s" s="10">
        <v>2851</v>
      </c>
      <c r="H314" s="16">
        <f>HYPERLINK("http://www.brandpilot.ai", "www.brandpilot.ai")</f>
      </c>
      <c r="I314" t="s" s="10">
        <v>1090</v>
      </c>
      <c r="J314" t="s" s="24">
        <v>34</v>
      </c>
      <c r="K314" s="24">
        <v>1</v>
      </c>
      <c r="L314" t="s" s="24">
        <v>34</v>
      </c>
      <c r="M314" t="s" s="12">
        <v>2857</v>
      </c>
      <c r="N314" t="s" s="10">
        <v>2858</v>
      </c>
      <c r="O314" t="s" s="10">
        <v>1215</v>
      </c>
      <c r="P314" t="s" s="10">
        <v>2859</v>
      </c>
      <c r="Q314" t="s" s="10">
        <v>2860</v>
      </c>
      <c r="R314" t="s" s="10">
        <v>1218</v>
      </c>
      <c r="S314" t="s" s="10">
        <v>1219</v>
      </c>
      <c r="T314" t="s" s="12">
        <v>2861</v>
      </c>
      <c r="U314" t="s" s="10">
        <v>917</v>
      </c>
      <c r="V314" t="s" s="12">
        <v>34</v>
      </c>
      <c r="W314" t="s" s="10">
        <v>2862</v>
      </c>
      <c r="X314" s="16">
        <f>HYPERLINK("https://my.pitchbook.com?p=425981-89P", "View People Online")</f>
      </c>
    </row>
    <row r="315">
      <c r="A315" t="s" s="11">
        <v>2863</v>
      </c>
      <c r="B315" t="s" s="11">
        <v>2864</v>
      </c>
      <c r="C315" t="s" s="11">
        <v>34</v>
      </c>
      <c r="D315" t="s" s="11">
        <v>2865</v>
      </c>
      <c r="E315" t="s" s="11">
        <v>36</v>
      </c>
      <c r="F315" t="s" s="11">
        <v>1210</v>
      </c>
      <c r="G315" t="s" s="11">
        <v>2851</v>
      </c>
      <c r="H315" s="17">
        <f>HYPERLINK("http://www.tantalexlithium.com", "www.tantalexlithium.com")</f>
      </c>
      <c r="I315" t="s" s="11">
        <v>263</v>
      </c>
      <c r="J315" t="s" s="25">
        <v>34</v>
      </c>
      <c r="K315" s="25">
        <v>1</v>
      </c>
      <c r="L315" t="s" s="25">
        <v>34</v>
      </c>
      <c r="M315" t="s" s="13">
        <v>2867</v>
      </c>
      <c r="N315" t="s" s="11">
        <v>2868</v>
      </c>
      <c r="O315" t="s" s="11">
        <v>1215</v>
      </c>
      <c r="P315" t="s" s="11">
        <v>2869</v>
      </c>
      <c r="Q315" t="s" s="11">
        <v>2870</v>
      </c>
      <c r="R315" t="s" s="11">
        <v>1218</v>
      </c>
      <c r="S315" t="s" s="11">
        <v>1219</v>
      </c>
      <c r="T315" t="s" s="13">
        <v>2871</v>
      </c>
      <c r="U315" t="s" s="11">
        <v>917</v>
      </c>
      <c r="V315" t="s" s="13">
        <v>34</v>
      </c>
      <c r="W315" t="s" s="11">
        <v>2872</v>
      </c>
      <c r="X315" s="17">
        <f>HYPERLINK("https://my.pitchbook.com?p=176776-75P", "View People Online")</f>
      </c>
    </row>
    <row r="316">
      <c r="A316" t="s" s="10">
        <v>2873</v>
      </c>
      <c r="B316" t="s" s="10">
        <v>2864</v>
      </c>
      <c r="C316" t="s" s="10">
        <v>34</v>
      </c>
      <c r="D316" t="s" s="10">
        <v>2874</v>
      </c>
      <c r="E316" t="s" s="10">
        <v>36</v>
      </c>
      <c r="F316" t="s" s="10">
        <v>1210</v>
      </c>
      <c r="G316" t="s" s="10">
        <v>2851</v>
      </c>
      <c r="H316" s="16">
        <f>HYPERLINK("http://www.overactivemedia.com", "www.overactivemedia.com")</f>
      </c>
      <c r="I316" t="s" s="10">
        <v>263</v>
      </c>
      <c r="J316" t="s" s="24">
        <v>34</v>
      </c>
      <c r="K316" t="s" s="24">
        <v>34</v>
      </c>
      <c r="L316" t="s" s="24">
        <v>34</v>
      </c>
      <c r="M316" t="s" s="12">
        <v>34</v>
      </c>
      <c r="N316" t="s" s="10">
        <v>34</v>
      </c>
      <c r="O316" t="s" s="10">
        <v>34</v>
      </c>
      <c r="P316" t="s" s="10">
        <v>34</v>
      </c>
      <c r="Q316" t="s" s="10">
        <v>34</v>
      </c>
      <c r="R316" t="s" s="10">
        <v>34</v>
      </c>
      <c r="S316" t="s" s="10">
        <v>34</v>
      </c>
      <c r="T316" t="s" s="12">
        <v>34</v>
      </c>
      <c r="U316" t="s" s="10">
        <v>34</v>
      </c>
      <c r="V316" t="s" s="12">
        <v>34</v>
      </c>
      <c r="W316" t="s" s="10">
        <v>2876</v>
      </c>
      <c r="X316" s="16">
        <f>HYPERLINK("https://my.pitchbook.com?p=185286-61P", "View People Online")</f>
      </c>
    </row>
    <row r="317">
      <c r="A317" t="s" s="11">
        <v>2877</v>
      </c>
      <c r="B317" t="s" s="11">
        <v>2864</v>
      </c>
      <c r="C317" t="s" s="11">
        <v>34</v>
      </c>
      <c r="D317" t="s" s="11">
        <v>2878</v>
      </c>
      <c r="E317" t="s" s="11">
        <v>36</v>
      </c>
      <c r="F317" t="s" s="11">
        <v>1210</v>
      </c>
      <c r="G317" t="s" s="11">
        <v>2851</v>
      </c>
      <c r="H317" s="17">
        <f>HYPERLINK("http://www.spetz.app", "www.spetz.app")</f>
      </c>
      <c r="I317" t="s" s="11">
        <v>263</v>
      </c>
      <c r="J317" t="s" s="25">
        <v>34</v>
      </c>
      <c r="K317" t="s" s="25">
        <v>34</v>
      </c>
      <c r="L317" t="s" s="25">
        <v>34</v>
      </c>
      <c r="M317" t="s" s="13">
        <v>34</v>
      </c>
      <c r="N317" t="s" s="11">
        <v>34</v>
      </c>
      <c r="O317" t="s" s="11">
        <v>34</v>
      </c>
      <c r="P317" t="s" s="11">
        <v>34</v>
      </c>
      <c r="Q317" t="s" s="11">
        <v>34</v>
      </c>
      <c r="R317" t="s" s="11">
        <v>34</v>
      </c>
      <c r="S317" t="s" s="11">
        <v>34</v>
      </c>
      <c r="T317" t="s" s="13">
        <v>34</v>
      </c>
      <c r="U317" t="s" s="11">
        <v>34</v>
      </c>
      <c r="V317" t="s" s="13">
        <v>34</v>
      </c>
      <c r="W317" t="s" s="11">
        <v>2880</v>
      </c>
      <c r="X317" s="17">
        <f>HYPERLINK("https://my.pitchbook.com?p=240411-79P", "View People Online")</f>
      </c>
    </row>
    <row r="318">
      <c r="A318" t="s" s="10">
        <v>2881</v>
      </c>
      <c r="B318" t="s" s="10">
        <v>2864</v>
      </c>
      <c r="C318" t="s" s="10">
        <v>34</v>
      </c>
      <c r="D318" t="s" s="10">
        <v>2882</v>
      </c>
      <c r="E318" t="s" s="10">
        <v>36</v>
      </c>
      <c r="F318" t="s" s="10">
        <v>1210</v>
      </c>
      <c r="G318" t="s" s="10">
        <v>2851</v>
      </c>
      <c r="H318" s="16">
        <f>HYPERLINK("http://www.nuinsco.ca", "www.nuinsco.ca")</f>
      </c>
      <c r="I318" t="s" s="10">
        <v>263</v>
      </c>
      <c r="J318" t="s" s="24">
        <v>34</v>
      </c>
      <c r="K318" s="24">
        <v>1</v>
      </c>
      <c r="L318" t="s" s="24">
        <v>34</v>
      </c>
      <c r="M318" t="s" s="12">
        <v>34</v>
      </c>
      <c r="N318" t="s" s="10">
        <v>34</v>
      </c>
      <c r="O318" t="s" s="10">
        <v>2884</v>
      </c>
      <c r="P318" t="s" s="10">
        <v>2885</v>
      </c>
      <c r="Q318" t="s" s="10">
        <v>2886</v>
      </c>
      <c r="R318" t="s" s="10">
        <v>2887</v>
      </c>
      <c r="S318" t="s" s="10">
        <v>1219</v>
      </c>
      <c r="T318" t="s" s="12">
        <v>2888</v>
      </c>
      <c r="U318" t="s" s="10">
        <v>917</v>
      </c>
      <c r="V318" t="s" s="12">
        <v>34</v>
      </c>
      <c r="W318" t="s" s="10">
        <v>2889</v>
      </c>
      <c r="X318" s="16">
        <f>HYPERLINK("https://my.pitchbook.com?p=243148-87P", "View People Online")</f>
      </c>
    </row>
    <row r="319">
      <c r="A319" t="s" s="11">
        <v>2890</v>
      </c>
      <c r="B319" t="s" s="11">
        <v>2864</v>
      </c>
      <c r="C319" t="s" s="11">
        <v>34</v>
      </c>
      <c r="D319" t="s" s="11">
        <v>2891</v>
      </c>
      <c r="E319" t="s" s="11">
        <v>36</v>
      </c>
      <c r="F319" t="s" s="11">
        <v>1210</v>
      </c>
      <c r="G319" t="s" s="11">
        <v>2851</v>
      </c>
      <c r="H319" s="17">
        <f>HYPERLINK("http://www.charbone.com", "www.charbone.com")</f>
      </c>
      <c r="I319" t="s" s="11">
        <v>263</v>
      </c>
      <c r="J319" t="s" s="25">
        <v>34</v>
      </c>
      <c r="K319" t="s" s="25">
        <v>34</v>
      </c>
      <c r="L319" t="s" s="25">
        <v>34</v>
      </c>
      <c r="M319" t="s" s="13">
        <v>34</v>
      </c>
      <c r="N319" t="s" s="11">
        <v>34</v>
      </c>
      <c r="O319" t="s" s="11">
        <v>34</v>
      </c>
      <c r="P319" t="s" s="11">
        <v>34</v>
      </c>
      <c r="Q319" t="s" s="11">
        <v>34</v>
      </c>
      <c r="R319" t="s" s="11">
        <v>34</v>
      </c>
      <c r="S319" t="s" s="11">
        <v>34</v>
      </c>
      <c r="T319" t="s" s="13">
        <v>34</v>
      </c>
      <c r="U319" t="s" s="11">
        <v>34</v>
      </c>
      <c r="V319" t="s" s="13">
        <v>34</v>
      </c>
      <c r="W319" t="s" s="11">
        <v>2893</v>
      </c>
      <c r="X319" s="17">
        <f>HYPERLINK("https://my.pitchbook.com?p=256011-13P", "View People Online")</f>
      </c>
    </row>
    <row r="320">
      <c r="A320" t="s" s="10">
        <v>2894</v>
      </c>
      <c r="B320" t="s" s="10">
        <v>2864</v>
      </c>
      <c r="C320" t="s" s="10">
        <v>34</v>
      </c>
      <c r="D320" t="s" s="10">
        <v>2895</v>
      </c>
      <c r="E320" t="s" s="10">
        <v>36</v>
      </c>
      <c r="F320" t="s" s="10">
        <v>1210</v>
      </c>
      <c r="G320" t="s" s="10">
        <v>2851</v>
      </c>
      <c r="H320" s="16">
        <f>HYPERLINK("http://www.lodestarmetals.ca", "www.lodestarmetals.ca")</f>
      </c>
      <c r="I320" t="s" s="10">
        <v>441</v>
      </c>
      <c r="J320" t="s" s="24">
        <v>34</v>
      </c>
      <c r="K320" s="24">
        <v>1</v>
      </c>
      <c r="L320" t="s" s="24">
        <v>34</v>
      </c>
      <c r="M320" t="s" s="12">
        <v>34</v>
      </c>
      <c r="N320" t="s" s="10">
        <v>34</v>
      </c>
      <c r="O320" t="s" s="10">
        <v>998</v>
      </c>
      <c r="P320" t="s" s="10">
        <v>2897</v>
      </c>
      <c r="Q320" t="s" s="10">
        <v>2898</v>
      </c>
      <c r="R320" t="s" s="10">
        <v>1001</v>
      </c>
      <c r="S320" t="s" s="10">
        <v>1002</v>
      </c>
      <c r="T320" t="s" s="12">
        <v>2899</v>
      </c>
      <c r="U320" t="s" s="10">
        <v>917</v>
      </c>
      <c r="V320" t="s" s="12">
        <v>34</v>
      </c>
      <c r="W320" t="s" s="10">
        <v>2900</v>
      </c>
      <c r="X320" s="16">
        <f>HYPERLINK("https://my.pitchbook.com?p=309391-03P", "View People Online")</f>
      </c>
    </row>
    <row r="321">
      <c r="A321" t="s" s="11">
        <v>2901</v>
      </c>
      <c r="B321" t="s" s="11">
        <v>2864</v>
      </c>
      <c r="C321" t="s" s="11">
        <v>34</v>
      </c>
      <c r="D321" t="s" s="11">
        <v>2902</v>
      </c>
      <c r="E321" t="s" s="11">
        <v>36</v>
      </c>
      <c r="F321" t="s" s="11">
        <v>1210</v>
      </c>
      <c r="G321" t="s" s="11">
        <v>2851</v>
      </c>
      <c r="H321" s="17">
        <f>HYPERLINK("http://www.nuclearvisionltd.com", "www.nuclearvisionltd.com")</f>
      </c>
      <c r="I321" t="s" s="11">
        <v>2904</v>
      </c>
      <c r="J321" t="s" s="25">
        <v>34</v>
      </c>
      <c r="K321" s="25">
        <v>1</v>
      </c>
      <c r="L321" t="s" s="25">
        <v>34</v>
      </c>
      <c r="M321" t="s" s="13">
        <v>2905</v>
      </c>
      <c r="N321" t="s" s="11">
        <v>34</v>
      </c>
      <c r="O321" t="s" s="11">
        <v>998</v>
      </c>
      <c r="P321" t="s" s="11">
        <v>2906</v>
      </c>
      <c r="Q321" t="s" s="11">
        <v>1310</v>
      </c>
      <c r="R321" t="s" s="11">
        <v>1001</v>
      </c>
      <c r="S321" t="s" s="11">
        <v>1002</v>
      </c>
      <c r="T321" t="s" s="13">
        <v>2907</v>
      </c>
      <c r="U321" t="s" s="11">
        <v>917</v>
      </c>
      <c r="V321" t="s" s="13">
        <v>34</v>
      </c>
      <c r="W321" t="s" s="11">
        <v>2908</v>
      </c>
      <c r="X321" s="17">
        <f>HYPERLINK("https://my.pitchbook.com?p=322380-46P", "View People Online")</f>
      </c>
    </row>
    <row r="322">
      <c r="A322" t="s" s="10">
        <v>2909</v>
      </c>
      <c r="B322" t="s" s="10">
        <v>2864</v>
      </c>
      <c r="C322" t="s" s="10">
        <v>34</v>
      </c>
      <c r="D322" t="s" s="10">
        <v>2910</v>
      </c>
      <c r="E322" t="s" s="10">
        <v>36</v>
      </c>
      <c r="F322" t="s" s="10">
        <v>1210</v>
      </c>
      <c r="G322" t="s" s="10">
        <v>2851</v>
      </c>
      <c r="H322" s="16">
        <f>HYPERLINK("http://www.globaltacticalmetals.com", "www.globaltacticalmetals.com")</f>
      </c>
      <c r="I322" t="s" s="10">
        <v>263</v>
      </c>
      <c r="J322" t="s" s="24">
        <v>34</v>
      </c>
      <c r="K322" s="24">
        <v>1</v>
      </c>
      <c r="L322" t="s" s="24">
        <v>34</v>
      </c>
      <c r="M322" t="s" s="12">
        <v>2912</v>
      </c>
      <c r="N322" t="s" s="10">
        <v>34</v>
      </c>
      <c r="O322" t="s" s="10">
        <v>998</v>
      </c>
      <c r="P322" t="s" s="10">
        <v>2913</v>
      </c>
      <c r="Q322" t="s" s="10">
        <v>2914</v>
      </c>
      <c r="R322" t="s" s="10">
        <v>1001</v>
      </c>
      <c r="S322" t="s" s="10">
        <v>1002</v>
      </c>
      <c r="T322" t="s" s="12">
        <v>2915</v>
      </c>
      <c r="U322" t="s" s="10">
        <v>917</v>
      </c>
      <c r="V322" t="s" s="12">
        <v>34</v>
      </c>
      <c r="W322" t="s" s="10">
        <v>2916</v>
      </c>
      <c r="X322" s="16">
        <f>HYPERLINK("https://my.pitchbook.com?p=345508-39P", "View People Online")</f>
      </c>
    </row>
    <row r="323">
      <c r="A323" t="s" s="11">
        <v>2917</v>
      </c>
      <c r="B323" t="s" s="11">
        <v>2864</v>
      </c>
      <c r="C323" t="s" s="11">
        <v>34</v>
      </c>
      <c r="D323" t="s" s="11">
        <v>2918</v>
      </c>
      <c r="E323" t="s" s="11">
        <v>36</v>
      </c>
      <c r="F323" t="s" s="11">
        <v>1210</v>
      </c>
      <c r="G323" t="s" s="11">
        <v>2851</v>
      </c>
      <c r="H323" s="17">
        <f>HYPERLINK("http://www.pharmadrug.ca", "www.pharmadrug.ca")</f>
      </c>
      <c r="I323" t="s" s="11">
        <v>263</v>
      </c>
      <c r="J323" t="s" s="25">
        <v>34</v>
      </c>
      <c r="K323" s="25">
        <v>1</v>
      </c>
      <c r="L323" t="s" s="25">
        <v>34</v>
      </c>
      <c r="M323" t="s" s="13">
        <v>2920</v>
      </c>
      <c r="N323" t="s" s="11">
        <v>34</v>
      </c>
      <c r="O323" t="s" s="11">
        <v>1215</v>
      </c>
      <c r="P323" t="s" s="11">
        <v>2921</v>
      </c>
      <c r="Q323" t="s" s="11">
        <v>2922</v>
      </c>
      <c r="R323" t="s" s="11">
        <v>1218</v>
      </c>
      <c r="S323" t="s" s="11">
        <v>1219</v>
      </c>
      <c r="T323" t="s" s="13">
        <v>2923</v>
      </c>
      <c r="U323" t="s" s="11">
        <v>917</v>
      </c>
      <c r="V323" t="s" s="13">
        <v>34</v>
      </c>
      <c r="W323" t="s" s="11">
        <v>2924</v>
      </c>
      <c r="X323" s="17">
        <f>HYPERLINK("https://my.pitchbook.com?p=371506-51P", "View People Online")</f>
      </c>
    </row>
    <row r="324">
      <c r="A324" t="s" s="10">
        <v>2925</v>
      </c>
      <c r="B324" t="s" s="10">
        <v>2864</v>
      </c>
      <c r="C324" t="s" s="10">
        <v>34</v>
      </c>
      <c r="D324" t="s" s="10">
        <v>2926</v>
      </c>
      <c r="E324" t="s" s="10">
        <v>36</v>
      </c>
      <c r="F324" t="s" s="10">
        <v>1210</v>
      </c>
      <c r="G324" t="s" s="10">
        <v>2851</v>
      </c>
      <c r="H324" s="16">
        <f>HYPERLINK("http://www.greenway.ca", "www.greenway.ca")</f>
      </c>
      <c r="I324" t="s" s="10">
        <v>263</v>
      </c>
      <c r="J324" t="s" s="24">
        <v>34</v>
      </c>
      <c r="K324" s="24">
        <v>1</v>
      </c>
      <c r="L324" t="s" s="24">
        <v>34</v>
      </c>
      <c r="M324" t="s" s="12">
        <v>2928</v>
      </c>
      <c r="N324" t="s" s="10">
        <v>2929</v>
      </c>
      <c r="O324" t="s" s="10">
        <v>2930</v>
      </c>
      <c r="P324" t="s" s="10">
        <v>2931</v>
      </c>
      <c r="Q324" t="s" s="10">
        <v>34</v>
      </c>
      <c r="R324" t="s" s="10">
        <v>2932</v>
      </c>
      <c r="S324" t="s" s="10">
        <v>1219</v>
      </c>
      <c r="T324" t="s" s="12">
        <v>2933</v>
      </c>
      <c r="U324" t="s" s="10">
        <v>917</v>
      </c>
      <c r="V324" t="s" s="12">
        <v>34</v>
      </c>
      <c r="W324" t="s" s="10">
        <v>2934</v>
      </c>
      <c r="X324" s="16">
        <f>HYPERLINK("https://my.pitchbook.com?p=386456-50P", "View People Online")</f>
      </c>
    </row>
    <row r="325">
      <c r="A325" t="s" s="11">
        <v>2935</v>
      </c>
      <c r="B325" t="s" s="11">
        <v>2864</v>
      </c>
      <c r="C325" t="s" s="11">
        <v>34</v>
      </c>
      <c r="D325" t="s" s="11">
        <v>2936</v>
      </c>
      <c r="E325" t="s" s="11">
        <v>36</v>
      </c>
      <c r="F325" t="s" s="11">
        <v>1210</v>
      </c>
      <c r="G325" t="s" s="11">
        <v>2851</v>
      </c>
      <c r="H325" s="17">
        <f>HYPERLINK("http://www.envirogoldglobal.com", "www.envirogoldglobal.com")</f>
      </c>
      <c r="I325" t="s" s="11">
        <v>263</v>
      </c>
      <c r="J325" t="s" s="25">
        <v>34</v>
      </c>
      <c r="K325" s="25">
        <v>1</v>
      </c>
      <c r="L325" t="s" s="25">
        <v>34</v>
      </c>
      <c r="M325" t="s" s="13">
        <v>2905</v>
      </c>
      <c r="N325" t="s" s="11">
        <v>2938</v>
      </c>
      <c r="O325" t="s" s="11">
        <v>998</v>
      </c>
      <c r="P325" t="s" s="11">
        <v>2939</v>
      </c>
      <c r="Q325" t="s" s="11">
        <v>2940</v>
      </c>
      <c r="R325" t="s" s="11">
        <v>1001</v>
      </c>
      <c r="S325" t="s" s="11">
        <v>1002</v>
      </c>
      <c r="T325" t="s" s="13">
        <v>2941</v>
      </c>
      <c r="U325" t="s" s="11">
        <v>917</v>
      </c>
      <c r="V325" t="s" s="13">
        <v>34</v>
      </c>
      <c r="W325" t="s" s="11">
        <v>2942</v>
      </c>
      <c r="X325" s="17">
        <f>HYPERLINK("https://my.pitchbook.com?p=386938-45P", "View People Online")</f>
      </c>
    </row>
    <row r="326">
      <c r="A326" t="s" s="10">
        <v>2943</v>
      </c>
      <c r="B326" t="s" s="10">
        <v>2864</v>
      </c>
      <c r="C326" t="s" s="10">
        <v>34</v>
      </c>
      <c r="D326" t="s" s="10">
        <v>2944</v>
      </c>
      <c r="E326" t="s" s="10">
        <v>36</v>
      </c>
      <c r="F326" t="s" s="10">
        <v>1210</v>
      </c>
      <c r="G326" t="s" s="10">
        <v>2851</v>
      </c>
      <c r="H326" s="16">
        <f>HYPERLINK("http://www.freebatterymetal.com", "www.freebatterymetal.com")</f>
      </c>
      <c r="I326" t="s" s="10">
        <v>263</v>
      </c>
      <c r="J326" t="s" s="24">
        <v>34</v>
      </c>
      <c r="K326" s="24">
        <v>1</v>
      </c>
      <c r="L326" t="s" s="24">
        <v>34</v>
      </c>
      <c r="M326" t="s" s="12">
        <v>34</v>
      </c>
      <c r="N326" t="s" s="10">
        <v>34</v>
      </c>
      <c r="O326" t="s" s="10">
        <v>998</v>
      </c>
      <c r="P326" t="s" s="10">
        <v>2913</v>
      </c>
      <c r="Q326" t="s" s="10">
        <v>2914</v>
      </c>
      <c r="R326" t="s" s="10">
        <v>1001</v>
      </c>
      <c r="S326" t="s" s="10">
        <v>1002</v>
      </c>
      <c r="T326" t="s" s="12">
        <v>2915</v>
      </c>
      <c r="U326" t="s" s="10">
        <v>917</v>
      </c>
      <c r="V326" t="s" s="12">
        <v>34</v>
      </c>
      <c r="W326" t="s" s="10">
        <v>2946</v>
      </c>
      <c r="X326" s="16">
        <f>HYPERLINK("https://my.pitchbook.com?p=411956-56P", "View People Online")</f>
      </c>
    </row>
    <row r="327">
      <c r="A327" t="s" s="11">
        <v>2947</v>
      </c>
      <c r="B327" t="s" s="11">
        <v>2864</v>
      </c>
      <c r="C327" t="s" s="11">
        <v>34</v>
      </c>
      <c r="D327" t="s" s="11">
        <v>2948</v>
      </c>
      <c r="E327" t="s" s="11">
        <v>36</v>
      </c>
      <c r="F327" t="s" s="11">
        <v>1210</v>
      </c>
      <c r="G327" t="s" s="11">
        <v>2851</v>
      </c>
      <c r="H327" s="17">
        <f>HYPERLINK("http://www.protium.ca", "www.protium.ca")</f>
      </c>
      <c r="I327" t="s" s="11">
        <v>263</v>
      </c>
      <c r="J327" t="s" s="25">
        <v>34</v>
      </c>
      <c r="K327" s="25">
        <v>1</v>
      </c>
      <c r="L327" t="s" s="25">
        <v>34</v>
      </c>
      <c r="M327" t="s" s="13">
        <v>2950</v>
      </c>
      <c r="N327" t="s" s="11">
        <v>34</v>
      </c>
      <c r="O327" t="s" s="11">
        <v>998</v>
      </c>
      <c r="P327" t="s" s="11">
        <v>2951</v>
      </c>
      <c r="Q327" t="s" s="11">
        <v>2952</v>
      </c>
      <c r="R327" t="s" s="11">
        <v>1001</v>
      </c>
      <c r="S327" t="s" s="11">
        <v>1002</v>
      </c>
      <c r="T327" t="s" s="13">
        <v>2953</v>
      </c>
      <c r="U327" t="s" s="11">
        <v>917</v>
      </c>
      <c r="V327" t="s" s="13">
        <v>34</v>
      </c>
      <c r="W327" t="s" s="11">
        <v>2954</v>
      </c>
      <c r="X327" s="17">
        <f>HYPERLINK("https://my.pitchbook.com?p=412893-19P", "View People Online")</f>
      </c>
    </row>
    <row r="328">
      <c r="A328" t="s" s="10">
        <v>2955</v>
      </c>
      <c r="B328" t="s" s="10">
        <v>2864</v>
      </c>
      <c r="C328" t="s" s="10">
        <v>34</v>
      </c>
      <c r="D328" t="s" s="10">
        <v>2956</v>
      </c>
      <c r="E328" t="s" s="10">
        <v>36</v>
      </c>
      <c r="F328" t="s" s="10">
        <v>1210</v>
      </c>
      <c r="G328" t="s" s="10">
        <v>2851</v>
      </c>
      <c r="H328" s="16">
        <f>HYPERLINK("http://www.zebnickel.com", "www.zebnickel.com")</f>
      </c>
      <c r="I328" t="s" s="10">
        <v>263</v>
      </c>
      <c r="J328" t="s" s="24">
        <v>34</v>
      </c>
      <c r="K328" s="24">
        <v>1</v>
      </c>
      <c r="L328" t="s" s="24">
        <v>34</v>
      </c>
      <c r="M328" t="s" s="12">
        <v>34</v>
      </c>
      <c r="N328" t="s" s="10">
        <v>34</v>
      </c>
      <c r="O328" t="s" s="10">
        <v>2958</v>
      </c>
      <c r="P328" t="s" s="10">
        <v>34</v>
      </c>
      <c r="Q328" t="s" s="10">
        <v>34</v>
      </c>
      <c r="R328" t="s" s="10">
        <v>2959</v>
      </c>
      <c r="S328" t="s" s="10">
        <v>2960</v>
      </c>
      <c r="T328" t="s" s="12">
        <v>34</v>
      </c>
      <c r="U328" t="s" s="10">
        <v>2194</v>
      </c>
      <c r="V328" t="s" s="12">
        <v>34</v>
      </c>
      <c r="W328" t="s" s="10">
        <v>2961</v>
      </c>
      <c r="X328" s="16">
        <f>HYPERLINK("https://my.pitchbook.com?p=422378-65P", "View People Online")</f>
      </c>
    </row>
    <row r="329">
      <c r="A329" t="s" s="11">
        <v>2962</v>
      </c>
      <c r="B329" t="s" s="11">
        <v>2864</v>
      </c>
      <c r="C329" t="s" s="11">
        <v>34</v>
      </c>
      <c r="D329" t="s" s="11">
        <v>2963</v>
      </c>
      <c r="E329" t="s" s="11">
        <v>36</v>
      </c>
      <c r="F329" t="s" s="11">
        <v>1210</v>
      </c>
      <c r="G329" t="s" s="11">
        <v>2851</v>
      </c>
      <c r="H329" s="17">
        <f>HYPERLINK("http://www.metaliteresources.com", "www.metaliteresources.com")</f>
      </c>
      <c r="I329" t="s" s="11">
        <v>263</v>
      </c>
      <c r="J329" t="s" s="25">
        <v>34</v>
      </c>
      <c r="K329" s="25">
        <v>1</v>
      </c>
      <c r="L329" t="s" s="25">
        <v>34</v>
      </c>
      <c r="M329" t="s" s="13">
        <v>2965</v>
      </c>
      <c r="N329" t="s" s="11">
        <v>34</v>
      </c>
      <c r="O329" t="s" s="11">
        <v>1215</v>
      </c>
      <c r="P329" t="s" s="11">
        <v>2966</v>
      </c>
      <c r="Q329" t="s" s="11">
        <v>34</v>
      </c>
      <c r="R329" t="s" s="11">
        <v>1218</v>
      </c>
      <c r="S329" t="s" s="11">
        <v>1219</v>
      </c>
      <c r="T329" t="s" s="13">
        <v>2967</v>
      </c>
      <c r="U329" t="s" s="11">
        <v>917</v>
      </c>
      <c r="V329" t="s" s="13">
        <v>34</v>
      </c>
      <c r="W329" t="s" s="11">
        <v>2968</v>
      </c>
      <c r="X329" s="17">
        <f>HYPERLINK("https://my.pitchbook.com?p=451296-91P", "View People Online")</f>
      </c>
    </row>
    <row r="330">
      <c r="A330" t="s" s="10">
        <v>2969</v>
      </c>
      <c r="B330" t="s" s="10">
        <v>2970</v>
      </c>
      <c r="C330" t="s" s="10">
        <v>34</v>
      </c>
      <c r="D330" t="s" s="10">
        <v>2971</v>
      </c>
      <c r="E330" t="s" s="10">
        <v>36</v>
      </c>
      <c r="F330" t="s" s="10">
        <v>2972</v>
      </c>
      <c r="G330" t="s" s="10">
        <v>2973</v>
      </c>
      <c r="H330" s="16">
        <f>HYPERLINK("http://www.clearbridgehealth.com", "www.clearbridgehealth.com")</f>
      </c>
      <c r="I330" t="s" s="10">
        <v>2975</v>
      </c>
      <c r="J330" t="s" s="24">
        <v>34</v>
      </c>
      <c r="K330" t="s" s="24">
        <v>34</v>
      </c>
      <c r="L330" t="s" s="24">
        <v>34</v>
      </c>
      <c r="M330" t="s" s="12">
        <v>34</v>
      </c>
      <c r="N330" t="s" s="10">
        <v>34</v>
      </c>
      <c r="O330" t="s" s="10">
        <v>34</v>
      </c>
      <c r="P330" t="s" s="10">
        <v>34</v>
      </c>
      <c r="Q330" t="s" s="10">
        <v>34</v>
      </c>
      <c r="R330" t="s" s="10">
        <v>34</v>
      </c>
      <c r="S330" t="s" s="10">
        <v>34</v>
      </c>
      <c r="T330" t="s" s="12">
        <v>34</v>
      </c>
      <c r="U330" t="s" s="10">
        <v>34</v>
      </c>
      <c r="V330" t="s" s="12">
        <v>34</v>
      </c>
      <c r="W330" t="s" s="10">
        <v>2976</v>
      </c>
      <c r="X330" s="16">
        <f>HYPERLINK("https://my.pitchbook.com?p=111448-72P", "View People Online")</f>
      </c>
    </row>
    <row r="331">
      <c r="A331" t="s" s="11">
        <v>2977</v>
      </c>
      <c r="B331" t="s" s="11">
        <v>2978</v>
      </c>
      <c r="C331" t="s" s="11">
        <v>34</v>
      </c>
      <c r="D331" t="s" s="11">
        <v>2979</v>
      </c>
      <c r="E331" t="s" s="11">
        <v>36</v>
      </c>
      <c r="F331" t="s" s="11">
        <v>2980</v>
      </c>
      <c r="G331" t="s" s="11">
        <v>2981</v>
      </c>
      <c r="H331" s="17">
        <f>HYPERLINK("http://www.goodyear.com", "www.goodyear.com")</f>
      </c>
      <c r="I331" t="s" s="11">
        <v>2983</v>
      </c>
      <c r="J331" t="s" s="25">
        <v>34</v>
      </c>
      <c r="K331" s="25">
        <v>1</v>
      </c>
      <c r="L331" t="s" s="25">
        <v>34</v>
      </c>
      <c r="M331" t="s" s="13">
        <v>2984</v>
      </c>
      <c r="N331" t="s" s="11">
        <v>2985</v>
      </c>
      <c r="O331" t="s" s="11">
        <v>2986</v>
      </c>
      <c r="P331" t="s" s="11">
        <v>2987</v>
      </c>
      <c r="Q331" t="s" s="11">
        <v>34</v>
      </c>
      <c r="R331" t="s" s="11">
        <v>2988</v>
      </c>
      <c r="S331" t="s" s="11">
        <v>2989</v>
      </c>
      <c r="T331" t="s" s="13">
        <v>2990</v>
      </c>
      <c r="U331" t="s" s="11">
        <v>161</v>
      </c>
      <c r="V331" t="s" s="13">
        <v>2991</v>
      </c>
      <c r="W331" t="s" s="11">
        <v>2992</v>
      </c>
      <c r="X331" s="17">
        <f>HYPERLINK("https://my.pitchbook.com?p=226364-32P", "View People Online")</f>
      </c>
    </row>
    <row r="332">
      <c r="A332" t="s" s="10">
        <v>2993</v>
      </c>
      <c r="B332" t="s" s="10">
        <v>2994</v>
      </c>
      <c r="C332" t="s" s="10">
        <v>34</v>
      </c>
      <c r="D332" t="s" s="10">
        <v>2995</v>
      </c>
      <c r="E332" t="s" s="10">
        <v>36</v>
      </c>
      <c r="F332" t="s" s="10">
        <v>2996</v>
      </c>
      <c r="G332" t="s" s="10">
        <v>2997</v>
      </c>
      <c r="H332" s="16">
        <f>HYPERLINK("http://www.ips-securex.com", "www.ips-securex.com")</f>
      </c>
      <c r="I332" t="s" s="10">
        <v>2999</v>
      </c>
      <c r="J332" t="s" s="24">
        <v>34</v>
      </c>
      <c r="K332" s="24">
        <v>1</v>
      </c>
      <c r="L332" t="s" s="24">
        <v>34</v>
      </c>
      <c r="M332" t="s" s="12">
        <v>3000</v>
      </c>
      <c r="N332" t="s" s="10">
        <v>34</v>
      </c>
      <c r="O332" t="s" s="10">
        <v>140</v>
      </c>
      <c r="P332" t="s" s="10">
        <v>3001</v>
      </c>
      <c r="Q332" t="s" s="10">
        <v>3002</v>
      </c>
      <c r="R332" t="s" s="10">
        <v>143</v>
      </c>
      <c r="S332" t="s" s="10">
        <v>34</v>
      </c>
      <c r="T332" t="s" s="12">
        <v>3003</v>
      </c>
      <c r="U332" t="s" s="10">
        <v>143</v>
      </c>
      <c r="V332" t="s" s="12">
        <v>3004</v>
      </c>
      <c r="W332" t="s" s="10">
        <v>3005</v>
      </c>
      <c r="X332" s="16">
        <f>HYPERLINK("https://my.pitchbook.com?p=438799-24P", "View People Online")</f>
      </c>
    </row>
    <row r="333">
      <c r="A333" t="s" s="11">
        <v>3006</v>
      </c>
      <c r="B333" t="s" s="11">
        <v>3007</v>
      </c>
      <c r="C333" t="s" s="11">
        <v>34</v>
      </c>
      <c r="D333" t="s" s="11">
        <v>3008</v>
      </c>
      <c r="E333" t="s" s="11">
        <v>36</v>
      </c>
      <c r="F333" t="s" s="11">
        <v>3009</v>
      </c>
      <c r="G333" t="s" s="11">
        <v>2997</v>
      </c>
      <c r="H333" s="17">
        <f>HYPERLINK("http://www.crowncastle.com", "www.crowncastle.com")</f>
      </c>
      <c r="I333" t="s" s="11">
        <v>108</v>
      </c>
      <c r="J333" t="s" s="25">
        <v>34</v>
      </c>
      <c r="K333" t="s" s="25">
        <v>34</v>
      </c>
      <c r="L333" t="s" s="25">
        <v>34</v>
      </c>
      <c r="M333" t="s" s="13">
        <v>34</v>
      </c>
      <c r="N333" t="s" s="11">
        <v>34</v>
      </c>
      <c r="O333" t="s" s="11">
        <v>34</v>
      </c>
      <c r="P333" t="s" s="11">
        <v>34</v>
      </c>
      <c r="Q333" t="s" s="11">
        <v>34</v>
      </c>
      <c r="R333" t="s" s="11">
        <v>34</v>
      </c>
      <c r="S333" t="s" s="11">
        <v>34</v>
      </c>
      <c r="T333" t="s" s="13">
        <v>34</v>
      </c>
      <c r="U333" t="s" s="11">
        <v>34</v>
      </c>
      <c r="V333" t="s" s="13">
        <v>34</v>
      </c>
      <c r="W333" t="s" s="11">
        <v>3011</v>
      </c>
      <c r="X333" s="17">
        <f>HYPERLINK("https://my.pitchbook.com?p=255337-48P", "View People Online")</f>
      </c>
    </row>
    <row r="334">
      <c r="A334" t="s" s="10">
        <v>3012</v>
      </c>
      <c r="B334" t="s" s="10">
        <v>3013</v>
      </c>
      <c r="C334" t="s" s="10">
        <v>34</v>
      </c>
      <c r="D334" t="s" s="10">
        <v>3014</v>
      </c>
      <c r="E334" t="s" s="10">
        <v>36</v>
      </c>
      <c r="F334" t="s" s="10">
        <v>3015</v>
      </c>
      <c r="G334" t="s" s="10">
        <v>3016</v>
      </c>
      <c r="H334" s="16">
        <f>HYPERLINK("http://www.montage-tech.com", "www.montage-tech.com")</f>
      </c>
      <c r="I334" t="s" s="10">
        <v>3017</v>
      </c>
      <c r="J334" t="s" s="24">
        <v>34</v>
      </c>
      <c r="K334" s="24">
        <v>1</v>
      </c>
      <c r="L334" t="s" s="24">
        <v>34</v>
      </c>
      <c r="M334" t="s" s="12">
        <v>3018</v>
      </c>
      <c r="N334" t="s" s="10">
        <v>3019</v>
      </c>
      <c r="O334" t="s" s="10">
        <v>3020</v>
      </c>
      <c r="P334" t="s" s="10">
        <v>3021</v>
      </c>
      <c r="Q334" t="s" s="10">
        <v>3022</v>
      </c>
      <c r="R334" t="s" s="10">
        <v>3023</v>
      </c>
      <c r="S334" t="s" s="10">
        <v>34</v>
      </c>
      <c r="T334" t="s" s="12">
        <v>3024</v>
      </c>
      <c r="U334" t="s" s="10">
        <v>2087</v>
      </c>
      <c r="V334" t="s" s="12">
        <v>3025</v>
      </c>
      <c r="W334" t="s" s="10">
        <v>3026</v>
      </c>
      <c r="X334" s="16">
        <f>HYPERLINK("https://my.pitchbook.com?p=55116-37P", "View People Online")</f>
      </c>
    </row>
    <row r="335">
      <c r="A335" t="s" s="11">
        <v>3027</v>
      </c>
      <c r="B335" t="s" s="11">
        <v>3028</v>
      </c>
      <c r="C335" t="s" s="11">
        <v>34</v>
      </c>
      <c r="D335" t="s" s="11">
        <v>3029</v>
      </c>
      <c r="E335" t="s" s="11">
        <v>36</v>
      </c>
      <c r="F335" t="s" s="11">
        <v>3030</v>
      </c>
      <c r="G335" t="s" s="11">
        <v>3031</v>
      </c>
      <c r="H335" s="17">
        <f>HYPERLINK("http://www.wmg.com", "www.wmg.com")</f>
      </c>
      <c r="I335" t="s" s="11">
        <v>3033</v>
      </c>
      <c r="J335" s="25">
        <v>1</v>
      </c>
      <c r="K335" s="25">
        <v>1</v>
      </c>
      <c r="L335" t="s" s="25">
        <v>34</v>
      </c>
      <c r="M335" t="s" s="13">
        <v>3034</v>
      </c>
      <c r="N335" t="s" s="11">
        <v>3035</v>
      </c>
      <c r="O335" t="s" s="11">
        <v>1125</v>
      </c>
      <c r="P335" t="s" s="11">
        <v>3036</v>
      </c>
      <c r="Q335" t="s" s="11">
        <v>34</v>
      </c>
      <c r="R335" t="s" s="11">
        <v>1127</v>
      </c>
      <c r="S335" t="s" s="11">
        <v>1127</v>
      </c>
      <c r="T335" t="s" s="13">
        <v>2370</v>
      </c>
      <c r="U335" t="s" s="11">
        <v>161</v>
      </c>
      <c r="V335" t="s" s="13">
        <v>34</v>
      </c>
      <c r="W335" t="s" s="11">
        <v>3037</v>
      </c>
      <c r="X335" s="17">
        <f>HYPERLINK("https://my.pitchbook.com?p=269530-21P", "View People Online")</f>
      </c>
    </row>
    <row r="336">
      <c r="A336" t="s" s="10">
        <v>3038</v>
      </c>
      <c r="B336" t="s" s="10">
        <v>3039</v>
      </c>
      <c r="C336" t="s" s="10">
        <v>34</v>
      </c>
      <c r="D336" t="s" s="10">
        <v>3040</v>
      </c>
      <c r="E336" t="s" s="10">
        <v>36</v>
      </c>
      <c r="F336" t="s" s="10">
        <v>3041</v>
      </c>
      <c r="G336" t="s" s="10">
        <v>3042</v>
      </c>
      <c r="H336" s="16">
        <f>HYPERLINK("http://www.peptonicmedical.se", "www.peptonicmedical.se")</f>
      </c>
      <c r="I336" t="s" s="10">
        <v>108</v>
      </c>
      <c r="J336" s="24">
        <v>1</v>
      </c>
      <c r="K336" s="24">
        <v>1</v>
      </c>
      <c r="L336" t="s" s="24">
        <v>34</v>
      </c>
      <c r="M336" t="s" s="12">
        <v>3044</v>
      </c>
      <c r="N336" t="s" s="10">
        <v>34</v>
      </c>
      <c r="O336" t="s" s="10">
        <v>3045</v>
      </c>
      <c r="P336" t="s" s="10">
        <v>3046</v>
      </c>
      <c r="Q336" t="s" s="10">
        <v>34</v>
      </c>
      <c r="R336" t="s" s="10">
        <v>3047</v>
      </c>
      <c r="S336" t="s" s="10">
        <v>34</v>
      </c>
      <c r="T336" t="s" s="12">
        <v>3048</v>
      </c>
      <c r="U336" t="s" s="10">
        <v>902</v>
      </c>
      <c r="V336" t="s" s="12">
        <v>3049</v>
      </c>
      <c r="W336" t="s" s="10">
        <v>3050</v>
      </c>
      <c r="X336" s="16">
        <f>HYPERLINK("https://my.pitchbook.com?p=166733-74P", "View People Online")</f>
      </c>
    </row>
    <row r="337">
      <c r="A337" t="s" s="11">
        <v>3051</v>
      </c>
      <c r="B337" t="s" s="11">
        <v>3052</v>
      </c>
      <c r="C337" t="s" s="11">
        <v>34</v>
      </c>
      <c r="D337" t="s" s="11">
        <v>3053</v>
      </c>
      <c r="E337" t="s" s="11">
        <v>36</v>
      </c>
      <c r="F337" t="s" s="11">
        <v>3054</v>
      </c>
      <c r="G337" t="s" s="11">
        <v>3055</v>
      </c>
      <c r="H337" s="17">
        <f>HYPERLINK("http://www.hiltongrandvacations.com", "www.hiltongrandvacations.com")</f>
      </c>
      <c r="I337" t="s" s="11">
        <v>307</v>
      </c>
      <c r="J337" s="25">
        <v>6</v>
      </c>
      <c r="K337" s="25">
        <v>15</v>
      </c>
      <c r="L337" s="25">
        <v>3</v>
      </c>
      <c r="M337" t="s" s="13">
        <v>3057</v>
      </c>
      <c r="N337" t="s" s="11">
        <v>3058</v>
      </c>
      <c r="O337" t="s" s="11">
        <v>3059</v>
      </c>
      <c r="P337" t="s" s="11">
        <v>3060</v>
      </c>
      <c r="Q337" t="s" s="11">
        <v>1278</v>
      </c>
      <c r="R337" t="s" s="11">
        <v>3061</v>
      </c>
      <c r="S337" t="s" s="11">
        <v>1911</v>
      </c>
      <c r="T337" t="s" s="13">
        <v>3062</v>
      </c>
      <c r="U337" t="s" s="11">
        <v>161</v>
      </c>
      <c r="V337" t="s" s="13">
        <v>34</v>
      </c>
      <c r="W337" t="s" s="11">
        <v>3063</v>
      </c>
      <c r="X337" s="17">
        <f>HYPERLINK("https://my.pitchbook.com?p=15191-83P", "View People Online")</f>
      </c>
    </row>
    <row r="338">
      <c r="A338" t="s" s="10">
        <v>3064</v>
      </c>
      <c r="B338" t="s" s="10">
        <v>3065</v>
      </c>
      <c r="C338" t="s" s="10">
        <v>34</v>
      </c>
      <c r="D338" t="s" s="10">
        <v>195</v>
      </c>
      <c r="E338" t="s" s="10">
        <v>36</v>
      </c>
      <c r="F338" t="s" s="10">
        <v>3066</v>
      </c>
      <c r="G338" t="s" s="10">
        <v>3067</v>
      </c>
      <c r="H338" s="16">
        <f>HYPERLINK("http://www.novatek.ru", "www.novatek.ru")</f>
      </c>
      <c r="I338" t="s" s="10">
        <v>3068</v>
      </c>
      <c r="J338" s="24">
        <v>2</v>
      </c>
      <c r="K338" s="24">
        <v>16</v>
      </c>
      <c r="L338" s="24">
        <v>13</v>
      </c>
      <c r="M338" t="s" s="12">
        <v>199</v>
      </c>
      <c r="N338" t="s" s="10">
        <v>3069</v>
      </c>
      <c r="O338" t="s" s="10">
        <v>200</v>
      </c>
      <c r="P338" t="s" s="10">
        <v>201</v>
      </c>
      <c r="Q338" t="s" s="10">
        <v>34</v>
      </c>
      <c r="R338" t="s" s="10">
        <v>202</v>
      </c>
      <c r="S338" t="s" s="10">
        <v>34</v>
      </c>
      <c r="T338" t="s" s="12">
        <v>203</v>
      </c>
      <c r="U338" t="s" s="10">
        <v>204</v>
      </c>
      <c r="V338" t="s" s="12">
        <v>205</v>
      </c>
      <c r="W338" t="s" s="10">
        <v>3070</v>
      </c>
      <c r="X338" s="16">
        <f>HYPERLINK("https://my.pitchbook.com?p=71117-56P", "View People Online")</f>
      </c>
    </row>
    <row r="339">
      <c r="A339" t="s" s="11">
        <v>3071</v>
      </c>
      <c r="B339" t="s" s="11">
        <v>3072</v>
      </c>
      <c r="C339" t="s" s="11">
        <v>34</v>
      </c>
      <c r="D339" t="s" s="11">
        <v>112</v>
      </c>
      <c r="E339" t="s" s="11">
        <v>36</v>
      </c>
      <c r="F339" t="s" s="11">
        <v>3073</v>
      </c>
      <c r="G339" t="s" s="11">
        <v>3074</v>
      </c>
      <c r="H339" s="17">
        <f>HYPERLINK("http://www.harbourenergy.com", "www.harbourenergy.com")</f>
      </c>
      <c r="I339" t="s" s="11">
        <v>1249</v>
      </c>
      <c r="J339" s="25">
        <v>2</v>
      </c>
      <c r="K339" s="25">
        <v>15</v>
      </c>
      <c r="L339" s="25">
        <v>9</v>
      </c>
      <c r="M339" t="s" s="13">
        <v>116</v>
      </c>
      <c r="N339" t="s" s="11">
        <v>3075</v>
      </c>
      <c r="O339" t="s" s="11">
        <v>117</v>
      </c>
      <c r="P339" t="s" s="11">
        <v>118</v>
      </c>
      <c r="Q339" t="s" s="11">
        <v>34</v>
      </c>
      <c r="R339" t="s" s="11">
        <v>119</v>
      </c>
      <c r="S339" t="s" s="11">
        <v>120</v>
      </c>
      <c r="T339" t="s" s="13">
        <v>121</v>
      </c>
      <c r="U339" t="s" s="11">
        <v>122</v>
      </c>
      <c r="V339" t="s" s="13">
        <v>123</v>
      </c>
      <c r="W339" t="s" s="11">
        <v>3076</v>
      </c>
      <c r="X339" s="17">
        <f>HYPERLINK("https://my.pitchbook.com?p=72588-70P", "View People Online")</f>
      </c>
    </row>
    <row r="340">
      <c r="A340" t="s" s="10">
        <v>3077</v>
      </c>
      <c r="B340" t="s" s="10">
        <v>3078</v>
      </c>
      <c r="C340" t="s" s="10">
        <v>34</v>
      </c>
      <c r="D340" t="s" s="10">
        <v>879</v>
      </c>
      <c r="E340" t="s" s="10">
        <v>36</v>
      </c>
      <c r="F340" t="s" s="10">
        <v>3079</v>
      </c>
      <c r="G340" t="s" s="10">
        <v>3074</v>
      </c>
      <c r="H340" s="16">
        <f>HYPERLINK("http://www.playtech.com", "www.playtech.com")</f>
      </c>
      <c r="I340" t="s" s="10">
        <v>108</v>
      </c>
      <c r="J340" s="24">
        <v>1</v>
      </c>
      <c r="K340" s="24">
        <v>1</v>
      </c>
      <c r="L340" t="s" s="24">
        <v>34</v>
      </c>
      <c r="M340" t="s" s="12">
        <v>34</v>
      </c>
      <c r="N340" t="s" s="10">
        <v>34</v>
      </c>
      <c r="O340" t="s" s="10">
        <v>883</v>
      </c>
      <c r="P340" t="s" s="10">
        <v>884</v>
      </c>
      <c r="Q340" t="s" s="10">
        <v>885</v>
      </c>
      <c r="R340" t="s" s="10">
        <v>886</v>
      </c>
      <c r="S340" t="s" s="10">
        <v>120</v>
      </c>
      <c r="T340" t="s" s="12">
        <v>887</v>
      </c>
      <c r="U340" t="s" s="10">
        <v>122</v>
      </c>
      <c r="V340" t="s" s="12">
        <v>34</v>
      </c>
      <c r="W340" t="s" s="10">
        <v>3080</v>
      </c>
      <c r="X340" s="16">
        <f>HYPERLINK("https://my.pitchbook.com?p=277198-30P", "View People Online")</f>
      </c>
    </row>
    <row r="341">
      <c r="A341" t="s" s="11">
        <v>3081</v>
      </c>
      <c r="B341" t="s" s="11">
        <v>3082</v>
      </c>
      <c r="C341" t="s" s="11">
        <v>34</v>
      </c>
      <c r="D341" t="s" s="11">
        <v>517</v>
      </c>
      <c r="E341" t="s" s="11">
        <v>36</v>
      </c>
      <c r="F341" t="s" s="11">
        <v>3083</v>
      </c>
      <c r="G341" t="s" s="11">
        <v>3084</v>
      </c>
      <c r="H341" s="17">
        <f>HYPERLINK("http://www.vk.company", "www.vk.company")</f>
      </c>
      <c r="I341" t="s" s="11">
        <v>3085</v>
      </c>
      <c r="J341" t="s" s="25">
        <v>34</v>
      </c>
      <c r="K341" t="s" s="25">
        <v>34</v>
      </c>
      <c r="L341" t="s" s="25">
        <v>34</v>
      </c>
      <c r="M341" t="s" s="13">
        <v>34</v>
      </c>
      <c r="N341" t="s" s="11">
        <v>34</v>
      </c>
      <c r="O341" t="s" s="11">
        <v>34</v>
      </c>
      <c r="P341" t="s" s="11">
        <v>34</v>
      </c>
      <c r="Q341" t="s" s="11">
        <v>34</v>
      </c>
      <c r="R341" t="s" s="11">
        <v>34</v>
      </c>
      <c r="S341" t="s" s="11">
        <v>34</v>
      </c>
      <c r="T341" t="s" s="13">
        <v>34</v>
      </c>
      <c r="U341" t="s" s="11">
        <v>34</v>
      </c>
      <c r="V341" t="s" s="13">
        <v>34</v>
      </c>
      <c r="W341" t="s" s="11">
        <v>3086</v>
      </c>
      <c r="X341" s="17">
        <f>HYPERLINK("https://my.pitchbook.com?p=90713-35P", "View People Online")</f>
      </c>
    </row>
    <row r="342">
      <c r="A342" t="s" s="10">
        <v>3087</v>
      </c>
      <c r="B342" t="s" s="10">
        <v>3088</v>
      </c>
      <c r="C342" t="s" s="10">
        <v>34</v>
      </c>
      <c r="D342" t="s" s="10">
        <v>2645</v>
      </c>
      <c r="E342" t="s" s="10">
        <v>36</v>
      </c>
      <c r="F342" t="s" s="10">
        <v>3089</v>
      </c>
      <c r="G342" t="s" s="10">
        <v>3090</v>
      </c>
      <c r="H342" s="16">
        <f>HYPERLINK("http://www.xerox.com", "www.xerox.com")</f>
      </c>
      <c r="I342" t="s" s="10">
        <v>3091</v>
      </c>
      <c r="J342" t="s" s="24">
        <v>34</v>
      </c>
      <c r="K342" s="24">
        <v>2</v>
      </c>
      <c r="L342" t="s" s="24">
        <v>34</v>
      </c>
      <c r="M342" t="s" s="12">
        <v>2649</v>
      </c>
      <c r="N342" t="s" s="10">
        <v>3092</v>
      </c>
      <c r="O342" t="s" s="10">
        <v>2650</v>
      </c>
      <c r="P342" t="s" s="10">
        <v>2651</v>
      </c>
      <c r="Q342" t="s" s="10">
        <v>34</v>
      </c>
      <c r="R342" t="s" s="10">
        <v>2652</v>
      </c>
      <c r="S342" t="s" s="10">
        <v>2653</v>
      </c>
      <c r="T342" t="s" s="12">
        <v>2654</v>
      </c>
      <c r="U342" t="s" s="10">
        <v>161</v>
      </c>
      <c r="V342" t="s" s="12">
        <v>34</v>
      </c>
      <c r="W342" t="s" s="10">
        <v>3093</v>
      </c>
      <c r="X342" s="16">
        <f>HYPERLINK("https://my.pitchbook.com?p=196037-38P", "View People Online")</f>
      </c>
    </row>
    <row r="343">
      <c r="A343" t="s" s="11">
        <v>3094</v>
      </c>
      <c r="B343" t="s" s="11">
        <v>3095</v>
      </c>
      <c r="C343" t="s" s="11">
        <v>34</v>
      </c>
      <c r="D343" t="s" s="11">
        <v>165</v>
      </c>
      <c r="E343" t="s" s="11">
        <v>36</v>
      </c>
      <c r="F343" t="s" s="11">
        <v>3096</v>
      </c>
      <c r="G343" t="s" s="11">
        <v>3097</v>
      </c>
      <c r="H343" s="17">
        <f>HYPERLINK("http://www.erg.eu", "www.erg.eu")</f>
      </c>
      <c r="I343" t="s" s="11">
        <v>108</v>
      </c>
      <c r="J343" s="25">
        <v>1</v>
      </c>
      <c r="K343" s="25">
        <v>14</v>
      </c>
      <c r="L343" s="25">
        <v>13</v>
      </c>
      <c r="M343" t="s" s="13">
        <v>170</v>
      </c>
      <c r="N343" t="s" s="11">
        <v>34</v>
      </c>
      <c r="O343" t="s" s="11">
        <v>172</v>
      </c>
      <c r="P343" t="s" s="11">
        <v>173</v>
      </c>
      <c r="Q343" t="s" s="11">
        <v>34</v>
      </c>
      <c r="R343" t="s" s="11">
        <v>174</v>
      </c>
      <c r="S343" t="s" s="11">
        <v>34</v>
      </c>
      <c r="T343" t="s" s="13">
        <v>175</v>
      </c>
      <c r="U343" t="s" s="11">
        <v>176</v>
      </c>
      <c r="V343" t="s" s="13">
        <v>177</v>
      </c>
      <c r="W343" t="s" s="11">
        <v>3098</v>
      </c>
      <c r="X343" s="17">
        <f>HYPERLINK("https://my.pitchbook.com?p=91520-83P", "View People Online")</f>
      </c>
    </row>
    <row r="344">
      <c r="A344" t="s" s="10">
        <v>3099</v>
      </c>
      <c r="B344" t="s" s="10">
        <v>3100</v>
      </c>
      <c r="C344" t="s" s="10">
        <v>34</v>
      </c>
      <c r="D344" t="s" s="10">
        <v>181</v>
      </c>
      <c r="E344" t="s" s="10">
        <v>36</v>
      </c>
      <c r="F344" t="s" s="10">
        <v>3101</v>
      </c>
      <c r="G344" t="s" s="10">
        <v>3102</v>
      </c>
      <c r="H344" s="16">
        <f>HYPERLINK("http://www.erg.eu", "www.erg.eu")</f>
      </c>
      <c r="I344" t="s" s="10">
        <v>3103</v>
      </c>
      <c r="J344" t="s" s="24">
        <v>34</v>
      </c>
      <c r="K344" t="s" s="24">
        <v>34</v>
      </c>
      <c r="L344" t="s" s="24">
        <v>34</v>
      </c>
      <c r="M344" t="s" s="12">
        <v>34</v>
      </c>
      <c r="N344" t="s" s="10">
        <v>34</v>
      </c>
      <c r="O344" t="s" s="10">
        <v>34</v>
      </c>
      <c r="P344" t="s" s="10">
        <v>34</v>
      </c>
      <c r="Q344" t="s" s="10">
        <v>34</v>
      </c>
      <c r="R344" t="s" s="10">
        <v>34</v>
      </c>
      <c r="S344" t="s" s="10">
        <v>34</v>
      </c>
      <c r="T344" t="s" s="12">
        <v>34</v>
      </c>
      <c r="U344" t="s" s="10">
        <v>34</v>
      </c>
      <c r="V344" t="s" s="12">
        <v>34</v>
      </c>
      <c r="W344" t="s" s="10">
        <v>3104</v>
      </c>
      <c r="X344" s="16">
        <f>HYPERLINK("https://my.pitchbook.com?p=131001-22P", "View People Online")</f>
      </c>
    </row>
    <row r="345">
      <c r="A345" t="s" s="11">
        <v>3105</v>
      </c>
      <c r="B345" t="s" s="11">
        <v>3106</v>
      </c>
      <c r="C345" t="s" s="11">
        <v>34</v>
      </c>
      <c r="D345" t="s" s="11">
        <v>187</v>
      </c>
      <c r="E345" t="s" s="11">
        <v>36</v>
      </c>
      <c r="F345" t="s" s="11">
        <v>3107</v>
      </c>
      <c r="G345" t="s" s="11">
        <v>3108</v>
      </c>
      <c r="H345" s="17">
        <f>HYPERLINK("http://www.diacorporate.com", "www.diacorporate.com")</f>
      </c>
      <c r="I345" t="s" s="11">
        <v>3109</v>
      </c>
      <c r="J345" t="s" s="25">
        <v>34</v>
      </c>
      <c r="K345" t="s" s="25">
        <v>34</v>
      </c>
      <c r="L345" t="s" s="25">
        <v>34</v>
      </c>
      <c r="M345" t="s" s="13">
        <v>34</v>
      </c>
      <c r="N345" t="s" s="11">
        <v>34</v>
      </c>
      <c r="O345" t="s" s="11">
        <v>34</v>
      </c>
      <c r="P345" t="s" s="11">
        <v>34</v>
      </c>
      <c r="Q345" t="s" s="11">
        <v>34</v>
      </c>
      <c r="R345" t="s" s="11">
        <v>34</v>
      </c>
      <c r="S345" t="s" s="11">
        <v>34</v>
      </c>
      <c r="T345" t="s" s="13">
        <v>34</v>
      </c>
      <c r="U345" t="s" s="11">
        <v>34</v>
      </c>
      <c r="V345" t="s" s="13">
        <v>34</v>
      </c>
      <c r="W345" t="s" s="11">
        <v>3110</v>
      </c>
      <c r="X345" s="17">
        <f>HYPERLINK("https://my.pitchbook.com?p=278791-21P", "View People Online")</f>
      </c>
    </row>
    <row r="346">
      <c r="A346" t="s" s="10">
        <v>3111</v>
      </c>
      <c r="B346" t="s" s="10">
        <v>3112</v>
      </c>
      <c r="C346" t="s" s="10">
        <v>34</v>
      </c>
      <c r="D346" t="s" s="10">
        <v>3113</v>
      </c>
      <c r="E346" t="s" s="10">
        <v>36</v>
      </c>
      <c r="F346" t="s" s="10">
        <v>3114</v>
      </c>
      <c r="G346" t="s" s="10">
        <v>3115</v>
      </c>
      <c r="H346" s="16">
        <f>HYPERLINK("http://www.bankofcyprus.com", "www.bankofcyprus.com")</f>
      </c>
      <c r="I346" t="s" s="10">
        <v>34</v>
      </c>
      <c r="J346" t="s" s="24">
        <v>34</v>
      </c>
      <c r="K346" t="s" s="24">
        <v>34</v>
      </c>
      <c r="L346" t="s" s="24">
        <v>34</v>
      </c>
      <c r="M346" t="s" s="12">
        <v>34</v>
      </c>
      <c r="N346" t="s" s="10">
        <v>34</v>
      </c>
      <c r="O346" t="s" s="10">
        <v>34</v>
      </c>
      <c r="P346" t="s" s="10">
        <v>34</v>
      </c>
      <c r="Q346" t="s" s="10">
        <v>34</v>
      </c>
      <c r="R346" t="s" s="10">
        <v>34</v>
      </c>
      <c r="S346" t="s" s="10">
        <v>34</v>
      </c>
      <c r="T346" t="s" s="12">
        <v>34</v>
      </c>
      <c r="U346" t="s" s="10">
        <v>34</v>
      </c>
      <c r="V346" t="s" s="12">
        <v>34</v>
      </c>
      <c r="W346" t="s" s="10">
        <v>3117</v>
      </c>
      <c r="X346" s="16">
        <f>HYPERLINK("https://my.pitchbook.com?p=218064-79P", "View People Online")</f>
      </c>
    </row>
    <row r="347">
      <c r="A347" t="s" s="11">
        <v>3118</v>
      </c>
      <c r="B347" t="s" s="11">
        <v>3119</v>
      </c>
      <c r="C347" t="s" s="11">
        <v>34</v>
      </c>
      <c r="D347" t="s" s="11">
        <v>3120</v>
      </c>
      <c r="E347" t="s" s="11">
        <v>36</v>
      </c>
      <c r="F347" t="s" s="11">
        <v>3121</v>
      </c>
      <c r="G347" t="s" s="11">
        <v>3122</v>
      </c>
      <c r="H347" s="17">
        <f>HYPERLINK("http://www.astramwp.com", "www.astramwp.com")</f>
      </c>
      <c r="I347" t="s" s="11">
        <v>3124</v>
      </c>
      <c r="J347" t="s" s="25">
        <v>34</v>
      </c>
      <c r="K347" s="25">
        <v>1</v>
      </c>
      <c r="L347" t="s" s="25">
        <v>34</v>
      </c>
      <c r="M347" t="s" s="13">
        <v>3125</v>
      </c>
      <c r="N347" t="s" s="11">
        <v>34</v>
      </c>
      <c r="O347" t="s" s="11">
        <v>3126</v>
      </c>
      <c r="P347" t="s" s="11">
        <v>3127</v>
      </c>
      <c r="Q347" t="s" s="11">
        <v>3128</v>
      </c>
      <c r="R347" t="s" s="11">
        <v>3129</v>
      </c>
      <c r="S347" t="s" s="11">
        <v>3130</v>
      </c>
      <c r="T347" t="s" s="13">
        <v>3131</v>
      </c>
      <c r="U347" t="s" s="11">
        <v>1479</v>
      </c>
      <c r="V347" t="s" s="13">
        <v>3132</v>
      </c>
      <c r="W347" t="s" s="11">
        <v>3133</v>
      </c>
      <c r="X347" s="17">
        <f>HYPERLINK("https://my.pitchbook.com?p=219047-14P", "View People Online")</f>
      </c>
    </row>
    <row r="348">
      <c r="A348" t="s" s="10">
        <v>3134</v>
      </c>
      <c r="B348" t="s" s="10">
        <v>3135</v>
      </c>
      <c r="C348" t="s" s="10">
        <v>34</v>
      </c>
      <c r="D348" t="s" s="10">
        <v>3136</v>
      </c>
      <c r="E348" t="s" s="10">
        <v>36</v>
      </c>
      <c r="F348" t="s" s="10">
        <v>3137</v>
      </c>
      <c r="G348" t="s" s="10">
        <v>3138</v>
      </c>
      <c r="H348" s="16">
        <f>HYPERLINK("http://www.tridentindia.com", "www.tridentindia.com")</f>
      </c>
      <c r="I348" t="s" s="10">
        <v>263</v>
      </c>
      <c r="J348" t="s" s="24">
        <v>34</v>
      </c>
      <c r="K348" t="s" s="24">
        <v>34</v>
      </c>
      <c r="L348" t="s" s="24">
        <v>34</v>
      </c>
      <c r="M348" t="s" s="12">
        <v>34</v>
      </c>
      <c r="N348" t="s" s="10">
        <v>3139</v>
      </c>
      <c r="O348" t="s" s="10">
        <v>34</v>
      </c>
      <c r="P348" t="s" s="10">
        <v>34</v>
      </c>
      <c r="Q348" t="s" s="10">
        <v>34</v>
      </c>
      <c r="R348" t="s" s="10">
        <v>34</v>
      </c>
      <c r="S348" t="s" s="10">
        <v>34</v>
      </c>
      <c r="T348" t="s" s="12">
        <v>34</v>
      </c>
      <c r="U348" t="s" s="10">
        <v>34</v>
      </c>
      <c r="V348" t="s" s="12">
        <v>34</v>
      </c>
      <c r="W348" t="s" s="10">
        <v>3140</v>
      </c>
      <c r="X348" s="16">
        <f>HYPERLINK("https://my.pitchbook.com?p=71551-90P", "View People Online")</f>
      </c>
    </row>
    <row r="349">
      <c r="A349" t="s" s="11">
        <v>3141</v>
      </c>
      <c r="B349" t="s" s="11">
        <v>3142</v>
      </c>
      <c r="C349" t="s" s="11">
        <v>34</v>
      </c>
      <c r="D349" t="s" s="11">
        <v>2490</v>
      </c>
      <c r="E349" t="s" s="11">
        <v>36</v>
      </c>
      <c r="F349" t="s" s="11">
        <v>3143</v>
      </c>
      <c r="G349" t="s" s="11">
        <v>3138</v>
      </c>
      <c r="H349" s="17">
        <f>HYPERLINK("http://www.tridenttexofab.com", "www.tridenttexofab.com")</f>
      </c>
      <c r="I349" t="s" s="11">
        <v>3144</v>
      </c>
      <c r="J349" s="25">
        <v>1</v>
      </c>
      <c r="K349" s="25">
        <v>1</v>
      </c>
      <c r="L349" t="s" s="25">
        <v>34</v>
      </c>
      <c r="M349" t="s" s="13">
        <v>2104</v>
      </c>
      <c r="N349" t="s" s="11">
        <v>3145</v>
      </c>
      <c r="O349" t="s" s="11">
        <v>2099</v>
      </c>
      <c r="P349" t="s" s="11">
        <v>2494</v>
      </c>
      <c r="Q349" t="s" s="11">
        <v>2495</v>
      </c>
      <c r="R349" t="s" s="11">
        <v>2102</v>
      </c>
      <c r="S349" t="s" s="11">
        <v>2103</v>
      </c>
      <c r="T349" t="s" s="13">
        <v>2496</v>
      </c>
      <c r="U349" t="s" s="11">
        <v>1479</v>
      </c>
      <c r="V349" t="s" s="13">
        <v>34</v>
      </c>
      <c r="W349" t="s" s="11">
        <v>3146</v>
      </c>
      <c r="X349" s="17">
        <f>HYPERLINK("https://my.pitchbook.com?p=396602-74P", "View People Online")</f>
      </c>
    </row>
    <row r="350">
      <c r="A350" t="s" s="10">
        <v>3147</v>
      </c>
      <c r="B350" t="s" s="10">
        <v>3148</v>
      </c>
      <c r="C350" t="s" s="10">
        <v>34</v>
      </c>
      <c r="D350" t="s" s="10">
        <v>3136</v>
      </c>
      <c r="E350" t="s" s="10">
        <v>36</v>
      </c>
      <c r="F350" t="s" s="10">
        <v>3149</v>
      </c>
      <c r="G350" t="s" s="10">
        <v>3150</v>
      </c>
      <c r="H350" s="16">
        <f>HYPERLINK("http://www.tridentindia.com", "www.tridentindia.com")</f>
      </c>
      <c r="I350" t="s" s="10">
        <v>2117</v>
      </c>
      <c r="J350" t="s" s="24">
        <v>34</v>
      </c>
      <c r="K350" t="s" s="24">
        <v>34</v>
      </c>
      <c r="L350" t="s" s="24">
        <v>34</v>
      </c>
      <c r="M350" t="s" s="12">
        <v>34</v>
      </c>
      <c r="N350" t="s" s="10">
        <v>3151</v>
      </c>
      <c r="O350" t="s" s="10">
        <v>34</v>
      </c>
      <c r="P350" t="s" s="10">
        <v>34</v>
      </c>
      <c r="Q350" t="s" s="10">
        <v>34</v>
      </c>
      <c r="R350" t="s" s="10">
        <v>34</v>
      </c>
      <c r="S350" t="s" s="10">
        <v>34</v>
      </c>
      <c r="T350" t="s" s="12">
        <v>34</v>
      </c>
      <c r="U350" t="s" s="10">
        <v>34</v>
      </c>
      <c r="V350" t="s" s="12">
        <v>34</v>
      </c>
      <c r="W350" t="s" s="10">
        <v>3152</v>
      </c>
      <c r="X350" s="16">
        <f>HYPERLINK("https://my.pitchbook.com?p=379729-45P", "View People Online")</f>
      </c>
    </row>
    <row r="351">
      <c r="A351" t="s" s="11">
        <v>3153</v>
      </c>
      <c r="B351" t="s" s="11">
        <v>3154</v>
      </c>
      <c r="C351" t="s" s="11">
        <v>34</v>
      </c>
      <c r="D351" t="s" s="11">
        <v>3155</v>
      </c>
      <c r="E351" t="s" s="11">
        <v>36</v>
      </c>
      <c r="F351" t="s" s="11">
        <v>3156</v>
      </c>
      <c r="G351" t="s" s="11">
        <v>3157</v>
      </c>
      <c r="H351" s="17">
        <f>HYPERLINK("http://www.hiscox.com", "www.hiscox.com")</f>
      </c>
      <c r="I351" t="s" s="11">
        <v>3159</v>
      </c>
      <c r="J351" t="s" s="25">
        <v>34</v>
      </c>
      <c r="K351" s="25">
        <v>2</v>
      </c>
      <c r="L351" t="s" s="25">
        <v>34</v>
      </c>
      <c r="M351" t="s" s="13">
        <v>3160</v>
      </c>
      <c r="N351" t="s" s="11">
        <v>3161</v>
      </c>
      <c r="O351" t="s" s="11">
        <v>3162</v>
      </c>
      <c r="P351" t="s" s="11">
        <v>3163</v>
      </c>
      <c r="Q351" t="s" s="11">
        <v>3164</v>
      </c>
      <c r="R351" t="s" s="11">
        <v>3165</v>
      </c>
      <c r="S351" t="s" s="11">
        <v>34</v>
      </c>
      <c r="T351" t="s" s="13">
        <v>3166</v>
      </c>
      <c r="U351" t="s" s="11">
        <v>3167</v>
      </c>
      <c r="V351" t="s" s="13">
        <v>3168</v>
      </c>
      <c r="W351" t="s" s="11">
        <v>3169</v>
      </c>
      <c r="X351" s="17">
        <f>HYPERLINK("https://my.pitchbook.com?p=91673-65P", "View People Online")</f>
      </c>
    </row>
    <row r="352">
      <c r="A352" t="s" s="10">
        <v>3170</v>
      </c>
      <c r="B352" t="s" s="10">
        <v>3171</v>
      </c>
      <c r="C352" t="s" s="10">
        <v>34</v>
      </c>
      <c r="D352" t="s" s="10">
        <v>879</v>
      </c>
      <c r="E352" t="s" s="10">
        <v>36</v>
      </c>
      <c r="F352" t="s" s="10">
        <v>3172</v>
      </c>
      <c r="G352" t="s" s="10">
        <v>3173</v>
      </c>
      <c r="H352" s="16">
        <f>HYPERLINK("http://www.playtech.com", "www.playtech.com")</f>
      </c>
      <c r="I352" t="s" s="10">
        <v>1103</v>
      </c>
      <c r="J352" t="s" s="24">
        <v>34</v>
      </c>
      <c r="K352" s="24">
        <v>1</v>
      </c>
      <c r="L352" t="s" s="24">
        <v>34</v>
      </c>
      <c r="M352" t="s" s="12">
        <v>34</v>
      </c>
      <c r="N352" t="s" s="10">
        <v>3174</v>
      </c>
      <c r="O352" t="s" s="10">
        <v>883</v>
      </c>
      <c r="P352" t="s" s="10">
        <v>884</v>
      </c>
      <c r="Q352" t="s" s="10">
        <v>885</v>
      </c>
      <c r="R352" t="s" s="10">
        <v>886</v>
      </c>
      <c r="S352" t="s" s="10">
        <v>120</v>
      </c>
      <c r="T352" t="s" s="12">
        <v>887</v>
      </c>
      <c r="U352" t="s" s="10">
        <v>122</v>
      </c>
      <c r="V352" t="s" s="12">
        <v>34</v>
      </c>
      <c r="W352" t="s" s="10">
        <v>3175</v>
      </c>
      <c r="X352" s="16">
        <f>HYPERLINK("https://my.pitchbook.com?p=114034-96P", "View People Online")</f>
      </c>
    </row>
    <row r="353">
      <c r="A353" t="s" s="11">
        <v>3176</v>
      </c>
      <c r="B353" t="s" s="11">
        <v>3177</v>
      </c>
      <c r="C353" t="s" s="11">
        <v>34</v>
      </c>
      <c r="D353" t="s" s="11">
        <v>3178</v>
      </c>
      <c r="E353" t="s" s="11">
        <v>36</v>
      </c>
      <c r="F353" t="s" s="11">
        <v>3179</v>
      </c>
      <c r="G353" t="s" s="11">
        <v>3180</v>
      </c>
      <c r="H353" s="17">
        <f>HYPERLINK("http://www.deepwater.com", "www.deepwater.com")</f>
      </c>
      <c r="I353" t="s" s="11">
        <v>108</v>
      </c>
      <c r="J353" s="25">
        <v>4</v>
      </c>
      <c r="K353" s="25">
        <v>4</v>
      </c>
      <c r="L353" t="s" s="25">
        <v>34</v>
      </c>
      <c r="M353" t="s" s="13">
        <v>3182</v>
      </c>
      <c r="N353" t="s" s="11">
        <v>3183</v>
      </c>
      <c r="O353" t="s" s="11">
        <v>3184</v>
      </c>
      <c r="P353" t="s" s="11">
        <v>3185</v>
      </c>
      <c r="Q353" t="s" s="11">
        <v>34</v>
      </c>
      <c r="R353" t="s" s="11">
        <v>3186</v>
      </c>
      <c r="S353" t="s" s="11">
        <v>34</v>
      </c>
      <c r="T353" t="s" s="13">
        <v>3187</v>
      </c>
      <c r="U353" t="s" s="11">
        <v>535</v>
      </c>
      <c r="V353" t="s" s="13">
        <v>34</v>
      </c>
      <c r="W353" t="s" s="11">
        <v>3188</v>
      </c>
      <c r="X353" s="17">
        <f>HYPERLINK("https://my.pitchbook.com?p=147360-16P", "View People Online")</f>
      </c>
    </row>
    <row r="354">
      <c r="A354" t="s" s="10">
        <v>3189</v>
      </c>
      <c r="B354" t="s" s="10">
        <v>3190</v>
      </c>
      <c r="C354" t="s" s="10">
        <v>34</v>
      </c>
      <c r="D354" t="s" s="10">
        <v>273</v>
      </c>
      <c r="E354" t="s" s="10">
        <v>36</v>
      </c>
      <c r="F354" t="s" s="10">
        <v>3191</v>
      </c>
      <c r="G354" t="s" s="10">
        <v>3192</v>
      </c>
      <c r="H354" s="16">
        <f>HYPERLINK("http://www.enplusgroup.com", "www.enplusgroup.com")</f>
      </c>
      <c r="I354" t="s" s="10">
        <v>3193</v>
      </c>
      <c r="J354" t="s" s="24">
        <v>34</v>
      </c>
      <c r="K354" t="s" s="24">
        <v>34</v>
      </c>
      <c r="L354" t="s" s="24">
        <v>34</v>
      </c>
      <c r="M354" t="s" s="12">
        <v>34</v>
      </c>
      <c r="N354" t="s" s="10">
        <v>34</v>
      </c>
      <c r="O354" t="s" s="10">
        <v>34</v>
      </c>
      <c r="P354" t="s" s="10">
        <v>34</v>
      </c>
      <c r="Q354" t="s" s="10">
        <v>34</v>
      </c>
      <c r="R354" t="s" s="10">
        <v>34</v>
      </c>
      <c r="S354" t="s" s="10">
        <v>34</v>
      </c>
      <c r="T354" t="s" s="12">
        <v>34</v>
      </c>
      <c r="U354" t="s" s="10">
        <v>34</v>
      </c>
      <c r="V354" t="s" s="12">
        <v>34</v>
      </c>
      <c r="W354" t="s" s="10">
        <v>3194</v>
      </c>
      <c r="X354" s="16">
        <f>HYPERLINK("https://my.pitchbook.com?p=72052-30P", "View People Online")</f>
      </c>
    </row>
    <row r="355">
      <c r="A355" t="s" s="11">
        <v>3195</v>
      </c>
      <c r="B355" t="s" s="11">
        <v>3196</v>
      </c>
      <c r="C355" t="s" s="11">
        <v>34</v>
      </c>
      <c r="D355" t="s" s="11">
        <v>247</v>
      </c>
      <c r="E355" t="s" s="11">
        <v>36</v>
      </c>
      <c r="F355" t="s" s="11">
        <v>3197</v>
      </c>
      <c r="G355" t="s" s="11">
        <v>3198</v>
      </c>
      <c r="H355" s="17">
        <f>HYPERLINK("http://www.novatek.ru", "www.novatek.ru")</f>
      </c>
      <c r="I355" t="s" s="11">
        <v>3199</v>
      </c>
      <c r="J355" t="s" s="25">
        <v>34</v>
      </c>
      <c r="K355" s="25">
        <v>4</v>
      </c>
      <c r="L355" s="25">
        <v>4</v>
      </c>
      <c r="M355" t="s" s="13">
        <v>34</v>
      </c>
      <c r="N355" t="s" s="11">
        <v>34</v>
      </c>
      <c r="O355" t="s" s="11">
        <v>34</v>
      </c>
      <c r="P355" t="s" s="11">
        <v>34</v>
      </c>
      <c r="Q355" t="s" s="11">
        <v>34</v>
      </c>
      <c r="R355" t="s" s="11">
        <v>34</v>
      </c>
      <c r="S355" t="s" s="11">
        <v>34</v>
      </c>
      <c r="T355" t="s" s="13">
        <v>34</v>
      </c>
      <c r="U355" t="s" s="11">
        <v>34</v>
      </c>
      <c r="V355" t="s" s="13">
        <v>34</v>
      </c>
      <c r="W355" t="s" s="11">
        <v>3200</v>
      </c>
      <c r="X355" s="17">
        <f>HYPERLINK("https://my.pitchbook.com?p=68254-12P", "View People Online")</f>
      </c>
    </row>
    <row r="356">
      <c r="A356" t="s" s="10">
        <v>3201</v>
      </c>
      <c r="B356" t="s" s="10">
        <v>3202</v>
      </c>
      <c r="C356" t="s" s="10">
        <v>34</v>
      </c>
      <c r="D356" t="s" s="10">
        <v>3203</v>
      </c>
      <c r="E356" t="s" s="10">
        <v>36</v>
      </c>
      <c r="F356" t="s" s="10">
        <v>3204</v>
      </c>
      <c r="G356" t="s" s="10">
        <v>3198</v>
      </c>
      <c r="H356" s="16">
        <f>HYPERLINK("http://www.inva.com", "www.inva.com")</f>
      </c>
      <c r="I356" t="s" s="10">
        <v>307</v>
      </c>
      <c r="J356" s="24">
        <v>1</v>
      </c>
      <c r="K356" s="24">
        <v>1</v>
      </c>
      <c r="L356" t="s" s="24">
        <v>34</v>
      </c>
      <c r="M356" t="s" s="12">
        <v>3206</v>
      </c>
      <c r="N356" t="s" s="10">
        <v>34</v>
      </c>
      <c r="O356" t="s" s="10">
        <v>3207</v>
      </c>
      <c r="P356" t="s" s="10">
        <v>3208</v>
      </c>
      <c r="Q356" t="s" s="10">
        <v>1278</v>
      </c>
      <c r="R356" t="s" s="10">
        <v>3209</v>
      </c>
      <c r="S356" t="s" s="10">
        <v>159</v>
      </c>
      <c r="T356" t="s" s="12">
        <v>3210</v>
      </c>
      <c r="U356" t="s" s="10">
        <v>161</v>
      </c>
      <c r="V356" t="s" s="12">
        <v>34</v>
      </c>
      <c r="W356" t="s" s="10">
        <v>3211</v>
      </c>
      <c r="X356" s="16">
        <f>HYPERLINK("https://my.pitchbook.com?p=228319-57P", "View People Online")</f>
      </c>
    </row>
    <row r="357">
      <c r="A357" t="s" s="11">
        <v>3212</v>
      </c>
      <c r="B357" t="s" s="11">
        <v>3213</v>
      </c>
      <c r="C357" t="s" s="11">
        <v>34</v>
      </c>
      <c r="D357" t="s" s="11">
        <v>3214</v>
      </c>
      <c r="E357" t="s" s="11">
        <v>36</v>
      </c>
      <c r="F357" t="s" s="11">
        <v>3215</v>
      </c>
      <c r="G357" t="s" s="11">
        <v>3198</v>
      </c>
      <c r="H357" s="17">
        <f>HYPERLINK("http://www.hyzonfuelcell.com", "www.hyzonfuelcell.com")</f>
      </c>
      <c r="I357" t="s" s="11">
        <v>3217</v>
      </c>
      <c r="J357" s="25">
        <v>1</v>
      </c>
      <c r="K357" s="25">
        <v>4</v>
      </c>
      <c r="L357" s="25">
        <v>1</v>
      </c>
      <c r="M357" t="s" s="13">
        <v>3218</v>
      </c>
      <c r="N357" t="s" s="11">
        <v>3219</v>
      </c>
      <c r="O357" t="s" s="11">
        <v>3220</v>
      </c>
      <c r="P357" t="s" s="11">
        <v>3221</v>
      </c>
      <c r="Q357" t="s" s="11">
        <v>3222</v>
      </c>
      <c r="R357" t="s" s="11">
        <v>3223</v>
      </c>
      <c r="S357" t="s" s="11">
        <v>3224</v>
      </c>
      <c r="T357" t="s" s="13">
        <v>3225</v>
      </c>
      <c r="U357" t="s" s="11">
        <v>161</v>
      </c>
      <c r="V357" t="s" s="13">
        <v>34</v>
      </c>
      <c r="W357" t="s" s="11">
        <v>3226</v>
      </c>
      <c r="X357" s="17">
        <f>HYPERLINK("https://my.pitchbook.com?p=242978-32P", "View People Online")</f>
      </c>
    </row>
    <row r="358">
      <c r="A358" t="s" s="10">
        <v>3227</v>
      </c>
      <c r="B358" t="s" s="10">
        <v>3228</v>
      </c>
      <c r="C358" t="s" s="10">
        <v>34</v>
      </c>
      <c r="D358" t="s" s="10">
        <v>1976</v>
      </c>
      <c r="E358" t="s" s="10">
        <v>36</v>
      </c>
      <c r="F358" t="s" s="10">
        <v>3229</v>
      </c>
      <c r="G358" t="s" s="10">
        <v>3198</v>
      </c>
      <c r="H358" t="s" s="10">
        <v>34</v>
      </c>
      <c r="I358" t="s" s="10">
        <v>307</v>
      </c>
      <c r="J358" s="24">
        <v>1</v>
      </c>
      <c r="K358" s="24">
        <v>2</v>
      </c>
      <c r="L358" s="24">
        <v>1</v>
      </c>
      <c r="M358" t="s" s="12">
        <v>1980</v>
      </c>
      <c r="N358" t="s" s="10">
        <v>34</v>
      </c>
      <c r="O358" t="s" s="10">
        <v>1981</v>
      </c>
      <c r="P358" t="s" s="10">
        <v>1982</v>
      </c>
      <c r="Q358" t="s" s="10">
        <v>1983</v>
      </c>
      <c r="R358" t="s" s="10">
        <v>1984</v>
      </c>
      <c r="S358" t="s" s="10">
        <v>1911</v>
      </c>
      <c r="T358" t="s" s="12">
        <v>1985</v>
      </c>
      <c r="U358" t="s" s="10">
        <v>161</v>
      </c>
      <c r="V358" t="s" s="12">
        <v>34</v>
      </c>
      <c r="W358" t="s" s="10">
        <v>3230</v>
      </c>
      <c r="X358" s="16">
        <f>HYPERLINK("https://my.pitchbook.com?p=175138-30P", "View People Online")</f>
      </c>
    </row>
    <row r="359">
      <c r="A359" t="s" s="11">
        <v>3231</v>
      </c>
      <c r="B359" t="s" s="11">
        <v>3232</v>
      </c>
      <c r="C359" t="s" s="11">
        <v>34</v>
      </c>
      <c r="D359" t="s" s="11">
        <v>195</v>
      </c>
      <c r="E359" t="s" s="11">
        <v>36</v>
      </c>
      <c r="F359" t="s" s="11">
        <v>3233</v>
      </c>
      <c r="G359" t="s" s="11">
        <v>3198</v>
      </c>
      <c r="H359" s="17">
        <f>HYPERLINK("http://www.novatek.ru", "www.novatek.ru")</f>
      </c>
      <c r="I359" t="s" s="11">
        <v>3234</v>
      </c>
      <c r="J359" t="s" s="25">
        <v>34</v>
      </c>
      <c r="K359" s="25">
        <v>1</v>
      </c>
      <c r="L359" t="s" s="25">
        <v>34</v>
      </c>
      <c r="M359" t="s" s="13">
        <v>199</v>
      </c>
      <c r="N359" t="s" s="11">
        <v>34</v>
      </c>
      <c r="O359" t="s" s="11">
        <v>200</v>
      </c>
      <c r="P359" t="s" s="11">
        <v>201</v>
      </c>
      <c r="Q359" t="s" s="11">
        <v>34</v>
      </c>
      <c r="R359" t="s" s="11">
        <v>202</v>
      </c>
      <c r="S359" t="s" s="11">
        <v>34</v>
      </c>
      <c r="T359" t="s" s="13">
        <v>203</v>
      </c>
      <c r="U359" t="s" s="11">
        <v>204</v>
      </c>
      <c r="V359" t="s" s="13">
        <v>205</v>
      </c>
      <c r="W359" t="s" s="11">
        <v>3235</v>
      </c>
      <c r="X359" s="17">
        <f>HYPERLINK("https://my.pitchbook.com?p=214390-18P", "View People Online")</f>
      </c>
    </row>
    <row r="360">
      <c r="A360" t="s" s="10">
        <v>3236</v>
      </c>
      <c r="B360" t="s" s="10">
        <v>3237</v>
      </c>
      <c r="C360" t="s" s="10">
        <v>34</v>
      </c>
      <c r="D360" t="s" s="10">
        <v>3238</v>
      </c>
      <c r="E360" t="s" s="10">
        <v>36</v>
      </c>
      <c r="F360" t="s" s="10">
        <v>3239</v>
      </c>
      <c r="G360" t="s" s="10">
        <v>3198</v>
      </c>
      <c r="H360" s="16">
        <f>HYPERLINK("http://www.dukecapital.com", "www.dukecapital.com")</f>
      </c>
      <c r="I360" t="s" s="10">
        <v>108</v>
      </c>
      <c r="J360" t="s" s="24">
        <v>34</v>
      </c>
      <c r="K360" t="s" s="24">
        <v>34</v>
      </c>
      <c r="L360" t="s" s="24">
        <v>34</v>
      </c>
      <c r="M360" t="s" s="12">
        <v>34</v>
      </c>
      <c r="N360" t="s" s="10">
        <v>3241</v>
      </c>
      <c r="O360" t="s" s="10">
        <v>34</v>
      </c>
      <c r="P360" t="s" s="10">
        <v>34</v>
      </c>
      <c r="Q360" t="s" s="10">
        <v>34</v>
      </c>
      <c r="R360" t="s" s="10">
        <v>34</v>
      </c>
      <c r="S360" t="s" s="10">
        <v>34</v>
      </c>
      <c r="T360" t="s" s="12">
        <v>34</v>
      </c>
      <c r="U360" t="s" s="10">
        <v>34</v>
      </c>
      <c r="V360" t="s" s="12">
        <v>34</v>
      </c>
      <c r="W360" t="s" s="10">
        <v>3242</v>
      </c>
      <c r="X360" s="16">
        <f>HYPERLINK("https://my.pitchbook.com?p=172634-05P", "View People Online")</f>
      </c>
    </row>
    <row r="361">
      <c r="A361" t="s" s="11">
        <v>3243</v>
      </c>
      <c r="B361" t="s" s="11">
        <v>3244</v>
      </c>
      <c r="C361" t="s" s="11">
        <v>34</v>
      </c>
      <c r="D361" t="s" s="11">
        <v>3245</v>
      </c>
      <c r="E361" t="s" s="11">
        <v>36</v>
      </c>
      <c r="F361" t="s" s="11">
        <v>3246</v>
      </c>
      <c r="G361" t="s" s="11">
        <v>3198</v>
      </c>
      <c r="H361" s="17">
        <f>HYPERLINK("http://www.blinkcharging.com", "www.blinkcharging.com")</f>
      </c>
      <c r="I361" t="s" s="11">
        <v>845</v>
      </c>
      <c r="J361" t="s" s="25">
        <v>34</v>
      </c>
      <c r="K361" t="s" s="25">
        <v>34</v>
      </c>
      <c r="L361" t="s" s="25">
        <v>34</v>
      </c>
      <c r="M361" t="s" s="13">
        <v>34</v>
      </c>
      <c r="N361" t="s" s="11">
        <v>3248</v>
      </c>
      <c r="O361" t="s" s="11">
        <v>34</v>
      </c>
      <c r="P361" t="s" s="11">
        <v>34</v>
      </c>
      <c r="Q361" t="s" s="11">
        <v>34</v>
      </c>
      <c r="R361" t="s" s="11">
        <v>34</v>
      </c>
      <c r="S361" t="s" s="11">
        <v>34</v>
      </c>
      <c r="T361" t="s" s="13">
        <v>34</v>
      </c>
      <c r="U361" t="s" s="11">
        <v>34</v>
      </c>
      <c r="V361" t="s" s="13">
        <v>34</v>
      </c>
      <c r="W361" t="s" s="11">
        <v>3249</v>
      </c>
      <c r="X361" s="17">
        <f>HYPERLINK("https://my.pitchbook.com?p=47250-64P", "View People Online")</f>
      </c>
    </row>
    <row r="362">
      <c r="A362" t="s" s="10">
        <v>3250</v>
      </c>
      <c r="B362" t="s" s="10">
        <v>3251</v>
      </c>
      <c r="C362" t="s" s="10">
        <v>34</v>
      </c>
      <c r="D362" t="s" s="10">
        <v>741</v>
      </c>
      <c r="E362" t="s" s="10">
        <v>36</v>
      </c>
      <c r="F362" t="s" s="10">
        <v>446</v>
      </c>
      <c r="G362" t="s" s="10">
        <v>3198</v>
      </c>
      <c r="H362" s="16">
        <f>HYPERLINK("http://www.vulcanmaterials.com", "www.vulcanmaterials.com")</f>
      </c>
      <c r="I362" t="s" s="10">
        <v>3252</v>
      </c>
      <c r="J362" t="s" s="24">
        <v>34</v>
      </c>
      <c r="K362" t="s" s="24">
        <v>34</v>
      </c>
      <c r="L362" t="s" s="24">
        <v>34</v>
      </c>
      <c r="M362" t="s" s="12">
        <v>34</v>
      </c>
      <c r="N362" t="s" s="10">
        <v>34</v>
      </c>
      <c r="O362" t="s" s="10">
        <v>34</v>
      </c>
      <c r="P362" t="s" s="10">
        <v>34</v>
      </c>
      <c r="Q362" t="s" s="10">
        <v>34</v>
      </c>
      <c r="R362" t="s" s="10">
        <v>34</v>
      </c>
      <c r="S362" t="s" s="10">
        <v>34</v>
      </c>
      <c r="T362" t="s" s="12">
        <v>34</v>
      </c>
      <c r="U362" t="s" s="10">
        <v>34</v>
      </c>
      <c r="V362" t="s" s="12">
        <v>34</v>
      </c>
      <c r="W362" t="s" s="10">
        <v>3253</v>
      </c>
      <c r="X362" s="16">
        <f>HYPERLINK("https://my.pitchbook.com?p=93066-22P", "View People Online")</f>
      </c>
    </row>
    <row r="363">
      <c r="A363" t="s" s="11">
        <v>3254</v>
      </c>
      <c r="B363" t="s" s="11">
        <v>3255</v>
      </c>
      <c r="C363" t="s" s="11">
        <v>34</v>
      </c>
      <c r="D363" t="s" s="11">
        <v>3256</v>
      </c>
      <c r="E363" t="s" s="11">
        <v>36</v>
      </c>
      <c r="F363" t="s" s="11">
        <v>3257</v>
      </c>
      <c r="G363" t="s" s="11">
        <v>3198</v>
      </c>
      <c r="H363" s="17">
        <f>HYPERLINK("http://www.trinseo.com", "www.trinseo.com")</f>
      </c>
      <c r="I363" t="s" s="11">
        <v>108</v>
      </c>
      <c r="J363" t="s" s="25">
        <v>34</v>
      </c>
      <c r="K363" t="s" s="25">
        <v>34</v>
      </c>
      <c r="L363" t="s" s="25">
        <v>34</v>
      </c>
      <c r="M363" t="s" s="13">
        <v>34</v>
      </c>
      <c r="N363" t="s" s="11">
        <v>34</v>
      </c>
      <c r="O363" t="s" s="11">
        <v>34</v>
      </c>
      <c r="P363" t="s" s="11">
        <v>34</v>
      </c>
      <c r="Q363" t="s" s="11">
        <v>34</v>
      </c>
      <c r="R363" t="s" s="11">
        <v>34</v>
      </c>
      <c r="S363" t="s" s="11">
        <v>34</v>
      </c>
      <c r="T363" t="s" s="13">
        <v>34</v>
      </c>
      <c r="U363" t="s" s="11">
        <v>34</v>
      </c>
      <c r="V363" t="s" s="13">
        <v>34</v>
      </c>
      <c r="W363" t="s" s="11">
        <v>3259</v>
      </c>
      <c r="X363" s="17">
        <f>HYPERLINK("https://my.pitchbook.com?p=43060-51P", "View People Online")</f>
      </c>
    </row>
    <row r="364">
      <c r="A364" t="s" s="10">
        <v>3260</v>
      </c>
      <c r="B364" t="s" s="10">
        <v>3261</v>
      </c>
      <c r="C364" t="s" s="10">
        <v>34</v>
      </c>
      <c r="D364" t="s" s="10">
        <v>943</v>
      </c>
      <c r="E364" t="s" s="10">
        <v>36</v>
      </c>
      <c r="F364" t="s" s="10">
        <v>3262</v>
      </c>
      <c r="G364" t="s" s="10">
        <v>3198</v>
      </c>
      <c r="H364" s="16">
        <f>HYPERLINK("http://www.vulcanmaterials.com", "www.vulcanmaterials.com")</f>
      </c>
      <c r="I364" t="s" s="10">
        <v>3263</v>
      </c>
      <c r="J364" t="s" s="24">
        <v>34</v>
      </c>
      <c r="K364" s="24">
        <v>1</v>
      </c>
      <c r="L364" t="s" s="24">
        <v>34</v>
      </c>
      <c r="M364" t="s" s="12">
        <v>947</v>
      </c>
      <c r="N364" t="s" s="10">
        <v>3264</v>
      </c>
      <c r="O364" t="s" s="10">
        <v>949</v>
      </c>
      <c r="P364" t="s" s="10">
        <v>950</v>
      </c>
      <c r="Q364" t="s" s="10">
        <v>34</v>
      </c>
      <c r="R364" t="s" s="10">
        <v>951</v>
      </c>
      <c r="S364" t="s" s="10">
        <v>952</v>
      </c>
      <c r="T364" t="s" s="12">
        <v>953</v>
      </c>
      <c r="U364" t="s" s="10">
        <v>161</v>
      </c>
      <c r="V364" t="s" s="12">
        <v>34</v>
      </c>
      <c r="W364" t="s" s="10">
        <v>3265</v>
      </c>
      <c r="X364" s="16">
        <f>HYPERLINK("https://my.pitchbook.com?p=224032-60P", "View People Online")</f>
      </c>
    </row>
    <row r="365">
      <c r="A365" t="s" s="11">
        <v>3266</v>
      </c>
      <c r="B365" t="s" s="11">
        <v>3267</v>
      </c>
      <c r="C365" t="s" s="11">
        <v>34</v>
      </c>
      <c r="D365" t="s" s="11">
        <v>781</v>
      </c>
      <c r="E365" t="s" s="11">
        <v>36</v>
      </c>
      <c r="F365" t="s" s="11">
        <v>3268</v>
      </c>
      <c r="G365" t="s" s="11">
        <v>3269</v>
      </c>
      <c r="H365" s="17">
        <f>HYPERLINK("http://v-er.eu", "v-er.eu")</f>
      </c>
      <c r="I365" t="s" s="11">
        <v>3270</v>
      </c>
      <c r="J365" t="s" s="25">
        <v>34</v>
      </c>
      <c r="K365" t="s" s="25">
        <v>34</v>
      </c>
      <c r="L365" t="s" s="25">
        <v>34</v>
      </c>
      <c r="M365" t="s" s="13">
        <v>34</v>
      </c>
      <c r="N365" t="s" s="11">
        <v>34</v>
      </c>
      <c r="O365" t="s" s="11">
        <v>34</v>
      </c>
      <c r="P365" t="s" s="11">
        <v>34</v>
      </c>
      <c r="Q365" t="s" s="11">
        <v>34</v>
      </c>
      <c r="R365" t="s" s="11">
        <v>34</v>
      </c>
      <c r="S365" t="s" s="11">
        <v>34</v>
      </c>
      <c r="T365" t="s" s="13">
        <v>34</v>
      </c>
      <c r="U365" t="s" s="11">
        <v>34</v>
      </c>
      <c r="V365" t="s" s="13">
        <v>34</v>
      </c>
      <c r="W365" t="s" s="11">
        <v>3271</v>
      </c>
      <c r="X365" s="17">
        <f>HYPERLINK("https://my.pitchbook.com?p=286005-52P", "View People Online")</f>
      </c>
    </row>
    <row r="366">
      <c r="A366" t="s" s="10">
        <v>3272</v>
      </c>
      <c r="B366" t="s" s="10">
        <v>3273</v>
      </c>
      <c r="C366" t="s" s="10">
        <v>34</v>
      </c>
      <c r="D366" t="s" s="10">
        <v>3274</v>
      </c>
      <c r="E366" t="s" s="10">
        <v>36</v>
      </c>
      <c r="F366" t="s" s="10">
        <v>3275</v>
      </c>
      <c r="G366" t="s" s="10">
        <v>3276</v>
      </c>
      <c r="H366" s="16">
        <f>HYPERLINK("http://www.tecnoglass.com", "www.tecnoglass.com")</f>
      </c>
      <c r="I366" t="s" s="10">
        <v>108</v>
      </c>
      <c r="J366" t="s" s="24">
        <v>34</v>
      </c>
      <c r="K366" t="s" s="24">
        <v>34</v>
      </c>
      <c r="L366" t="s" s="24">
        <v>34</v>
      </c>
      <c r="M366" t="s" s="12">
        <v>3278</v>
      </c>
      <c r="N366" t="s" s="10">
        <v>34</v>
      </c>
      <c r="O366" t="s" s="10">
        <v>3279</v>
      </c>
      <c r="P366" t="s" s="10">
        <v>3280</v>
      </c>
      <c r="Q366" t="s" s="10">
        <v>3281</v>
      </c>
      <c r="R366" t="s" s="10">
        <v>3282</v>
      </c>
      <c r="S366" t="s" s="10">
        <v>34</v>
      </c>
      <c r="T366" t="s" s="12">
        <v>34</v>
      </c>
      <c r="U366" t="s" s="10">
        <v>3283</v>
      </c>
      <c r="V366" t="s" s="12">
        <v>34</v>
      </c>
      <c r="W366" t="s" s="10">
        <v>3284</v>
      </c>
      <c r="X366" s="16">
        <f>HYPERLINK("https://my.pitchbook.com?p=32410-81P", "View People Online")</f>
      </c>
    </row>
    <row r="367">
      <c r="A367" t="s" s="11">
        <v>3285</v>
      </c>
      <c r="B367" t="s" s="11">
        <v>3286</v>
      </c>
      <c r="C367" t="s" s="11">
        <v>34</v>
      </c>
      <c r="D367" t="s" s="11">
        <v>3287</v>
      </c>
      <c r="E367" t="s" s="11">
        <v>36</v>
      </c>
      <c r="F367" t="s" s="11">
        <v>3288</v>
      </c>
      <c r="G367" t="s" s="11">
        <v>637</v>
      </c>
      <c r="H367" s="17">
        <f>HYPERLINK("http://www.navigatorgas.com", "www.navigatorgas.com")</f>
      </c>
      <c r="I367" t="s" s="11">
        <v>294</v>
      </c>
      <c r="J367" t="s" s="25">
        <v>34</v>
      </c>
      <c r="K367" s="25">
        <v>1</v>
      </c>
      <c r="L367" t="s" s="25">
        <v>34</v>
      </c>
      <c r="M367" t="s" s="13">
        <v>3289</v>
      </c>
      <c r="N367" t="s" s="11">
        <v>3290</v>
      </c>
      <c r="O367" t="s" s="11">
        <v>117</v>
      </c>
      <c r="P367" t="s" s="11">
        <v>3291</v>
      </c>
      <c r="Q367" t="s" s="11">
        <v>3292</v>
      </c>
      <c r="R367" t="s" s="11">
        <v>119</v>
      </c>
      <c r="S367" t="s" s="11">
        <v>120</v>
      </c>
      <c r="T367" t="s" s="13">
        <v>3293</v>
      </c>
      <c r="U367" t="s" s="11">
        <v>122</v>
      </c>
      <c r="V367" t="s" s="13">
        <v>3294</v>
      </c>
      <c r="W367" t="s" s="11">
        <v>3295</v>
      </c>
      <c r="X367" s="17">
        <f>HYPERLINK("https://my.pitchbook.com?p=288491-50P", "View People Online")</f>
      </c>
    </row>
    <row r="368">
      <c r="A368" t="s" s="10">
        <v>3296</v>
      </c>
      <c r="B368" t="s" s="10">
        <v>3297</v>
      </c>
      <c r="C368" t="s" s="10">
        <v>34</v>
      </c>
      <c r="D368" t="s" s="10">
        <v>3298</v>
      </c>
      <c r="E368" t="s" s="10">
        <v>36</v>
      </c>
      <c r="F368" t="s" s="10">
        <v>3299</v>
      </c>
      <c r="G368" t="s" s="10">
        <v>637</v>
      </c>
      <c r="H368" s="16">
        <f>HYPERLINK("http://www.serica-energy.com", "www.serica-energy.com")</f>
      </c>
      <c r="I368" t="s" s="10">
        <v>230</v>
      </c>
      <c r="J368" s="24">
        <v>1</v>
      </c>
      <c r="K368" s="24">
        <v>2</v>
      </c>
      <c r="L368" s="24">
        <v>1</v>
      </c>
      <c r="M368" t="s" s="12">
        <v>3301</v>
      </c>
      <c r="N368" t="s" s="10">
        <v>34</v>
      </c>
      <c r="O368" t="s" s="10">
        <v>117</v>
      </c>
      <c r="P368" t="s" s="10">
        <v>3302</v>
      </c>
      <c r="Q368" t="s" s="10">
        <v>2213</v>
      </c>
      <c r="R368" t="s" s="10">
        <v>119</v>
      </c>
      <c r="S368" t="s" s="10">
        <v>120</v>
      </c>
      <c r="T368" t="s" s="12">
        <v>3303</v>
      </c>
      <c r="U368" t="s" s="10">
        <v>122</v>
      </c>
      <c r="V368" t="s" s="12">
        <v>34</v>
      </c>
      <c r="W368" t="s" s="10">
        <v>3304</v>
      </c>
      <c r="X368" s="16">
        <f>HYPERLINK("https://my.pitchbook.com?p=375124-60P", "View People Online")</f>
      </c>
    </row>
    <row r="369">
      <c r="A369" t="s" s="11">
        <v>3305</v>
      </c>
      <c r="B369" t="s" s="11">
        <v>3306</v>
      </c>
      <c r="C369" t="s" s="11">
        <v>34</v>
      </c>
      <c r="D369" t="s" s="11">
        <v>3307</v>
      </c>
      <c r="E369" t="s" s="11">
        <v>36</v>
      </c>
      <c r="F369" t="s" s="11">
        <v>3308</v>
      </c>
      <c r="G369" t="s" s="11">
        <v>637</v>
      </c>
      <c r="H369" s="17">
        <f>HYPERLINK("http://www.gscplc.com", "www.gscplc.com")</f>
      </c>
      <c r="I369" t="s" s="11">
        <v>230</v>
      </c>
      <c r="J369" s="25">
        <v>1</v>
      </c>
      <c r="K369" s="25">
        <v>1</v>
      </c>
      <c r="L369" t="s" s="25">
        <v>34</v>
      </c>
      <c r="M369" t="s" s="13">
        <v>3310</v>
      </c>
      <c r="N369" t="s" s="11">
        <v>34</v>
      </c>
      <c r="O369" t="s" s="11">
        <v>117</v>
      </c>
      <c r="P369" t="s" s="11">
        <v>3311</v>
      </c>
      <c r="Q369" t="s" s="11">
        <v>3312</v>
      </c>
      <c r="R369" t="s" s="11">
        <v>119</v>
      </c>
      <c r="S369" t="s" s="11">
        <v>120</v>
      </c>
      <c r="T369" t="s" s="13">
        <v>3313</v>
      </c>
      <c r="U369" t="s" s="11">
        <v>122</v>
      </c>
      <c r="V369" t="s" s="13">
        <v>34</v>
      </c>
      <c r="W369" t="s" s="11">
        <v>3314</v>
      </c>
      <c r="X369" s="17">
        <f>HYPERLINK("https://my.pitchbook.com?p=208505-98P", "View People Online")</f>
      </c>
    </row>
    <row r="370">
      <c r="A370" t="s" s="10">
        <v>3315</v>
      </c>
      <c r="B370" t="s" s="10">
        <v>3316</v>
      </c>
      <c r="C370" t="s" s="10">
        <v>34</v>
      </c>
      <c r="D370" t="s" s="10">
        <v>3317</v>
      </c>
      <c r="E370" t="s" s="10">
        <v>36</v>
      </c>
      <c r="F370" t="s" s="10">
        <v>3318</v>
      </c>
      <c r="G370" t="s" s="10">
        <v>637</v>
      </c>
      <c r="H370" s="16">
        <f>HYPERLINK("http://www.inspirato.com", "www.inspirato.com")</f>
      </c>
      <c r="I370" t="s" s="10">
        <v>3320</v>
      </c>
      <c r="J370" t="s" s="24">
        <v>34</v>
      </c>
      <c r="K370" t="s" s="24">
        <v>34</v>
      </c>
      <c r="L370" t="s" s="24">
        <v>34</v>
      </c>
      <c r="M370" t="s" s="12">
        <v>34</v>
      </c>
      <c r="N370" t="s" s="10">
        <v>34</v>
      </c>
      <c r="O370" t="s" s="10">
        <v>34</v>
      </c>
      <c r="P370" t="s" s="10">
        <v>34</v>
      </c>
      <c r="Q370" t="s" s="10">
        <v>34</v>
      </c>
      <c r="R370" t="s" s="10">
        <v>34</v>
      </c>
      <c r="S370" t="s" s="10">
        <v>34</v>
      </c>
      <c r="T370" t="s" s="12">
        <v>34</v>
      </c>
      <c r="U370" t="s" s="10">
        <v>34</v>
      </c>
      <c r="V370" t="s" s="12">
        <v>34</v>
      </c>
      <c r="W370" t="s" s="10">
        <v>3321</v>
      </c>
      <c r="X370" s="16">
        <f>HYPERLINK("https://my.pitchbook.com?p=37028-44P", "View People Online")</f>
      </c>
    </row>
    <row r="371">
      <c r="A371" t="s" s="11">
        <v>3322</v>
      </c>
      <c r="B371" t="s" s="11">
        <v>3323</v>
      </c>
      <c r="C371" t="s" s="11">
        <v>34</v>
      </c>
      <c r="D371" t="s" s="11">
        <v>2051</v>
      </c>
      <c r="E371" t="s" s="11">
        <v>36</v>
      </c>
      <c r="F371" t="s" s="11">
        <v>3324</v>
      </c>
      <c r="G371" t="s" s="11">
        <v>637</v>
      </c>
      <c r="H371" s="17">
        <f>HYPERLINK("http://www.mondelezinternational.com", "www.mondelezinternational.com")</f>
      </c>
      <c r="I371" t="s" s="11">
        <v>3325</v>
      </c>
      <c r="J371" t="s" s="25">
        <v>34</v>
      </c>
      <c r="K371" s="25">
        <v>1</v>
      </c>
      <c r="L371" t="s" s="25">
        <v>34</v>
      </c>
      <c r="M371" t="s" s="13">
        <v>2054</v>
      </c>
      <c r="N371" t="s" s="11">
        <v>3326</v>
      </c>
      <c r="O371" t="s" s="11">
        <v>2056</v>
      </c>
      <c r="P371" t="s" s="11">
        <v>2057</v>
      </c>
      <c r="Q371" t="s" s="11">
        <v>34</v>
      </c>
      <c r="R371" t="s" s="11">
        <v>2058</v>
      </c>
      <c r="S371" t="s" s="11">
        <v>2059</v>
      </c>
      <c r="T371" t="s" s="13">
        <v>2060</v>
      </c>
      <c r="U371" t="s" s="11">
        <v>161</v>
      </c>
      <c r="V371" t="s" s="13">
        <v>34</v>
      </c>
      <c r="W371" t="s" s="11">
        <v>3327</v>
      </c>
      <c r="X371" s="17">
        <f>HYPERLINK("https://my.pitchbook.com?p=220295-80P", "View People Online")</f>
      </c>
    </row>
    <row r="372">
      <c r="A372" t="s" s="10">
        <v>3328</v>
      </c>
      <c r="B372" t="s" s="10">
        <v>3329</v>
      </c>
      <c r="C372" t="s" s="10">
        <v>34</v>
      </c>
      <c r="D372" t="s" s="10">
        <v>642</v>
      </c>
      <c r="E372" t="s" s="10">
        <v>36</v>
      </c>
      <c r="F372" t="s" s="10">
        <v>3330</v>
      </c>
      <c r="G372" t="s" s="10">
        <v>3331</v>
      </c>
      <c r="H372" s="16">
        <f>HYPERLINK("http://www.diacorporate.com", "www.diacorporate.com")</f>
      </c>
      <c r="I372" t="s" s="10">
        <v>3332</v>
      </c>
      <c r="J372" t="s" s="24">
        <v>34</v>
      </c>
      <c r="K372" s="24">
        <v>1</v>
      </c>
      <c r="L372" t="s" s="24">
        <v>34</v>
      </c>
      <c r="M372" t="s" s="12">
        <v>645</v>
      </c>
      <c r="N372" t="s" s="10">
        <v>34</v>
      </c>
      <c r="O372" t="s" s="10">
        <v>647</v>
      </c>
      <c r="P372" t="s" s="10">
        <v>648</v>
      </c>
      <c r="Q372" t="s" s="10">
        <v>649</v>
      </c>
      <c r="R372" t="s" s="10">
        <v>650</v>
      </c>
      <c r="S372" t="s" s="10">
        <v>651</v>
      </c>
      <c r="T372" t="s" s="12">
        <v>652</v>
      </c>
      <c r="U372" t="s" s="10">
        <v>653</v>
      </c>
      <c r="V372" t="s" s="12">
        <v>34</v>
      </c>
      <c r="W372" t="s" s="10">
        <v>3333</v>
      </c>
      <c r="X372" s="16">
        <f>HYPERLINK("https://my.pitchbook.com?p=314508-97P", "View People Online")</f>
      </c>
    </row>
    <row r="373">
      <c r="A373" t="s" s="11">
        <v>3334</v>
      </c>
      <c r="B373" t="s" s="11">
        <v>3335</v>
      </c>
      <c r="C373" t="s" s="11">
        <v>34</v>
      </c>
      <c r="D373" t="s" s="11">
        <v>943</v>
      </c>
      <c r="E373" t="s" s="11">
        <v>36</v>
      </c>
      <c r="F373" t="s" s="11">
        <v>2343</v>
      </c>
      <c r="G373" t="s" s="11">
        <v>3336</v>
      </c>
      <c r="H373" s="17">
        <f>HYPERLINK("http://www.vulcanmaterials.com", "www.vulcanmaterials.com")</f>
      </c>
      <c r="I373" t="s" s="11">
        <v>3337</v>
      </c>
      <c r="J373" t="s" s="25">
        <v>34</v>
      </c>
      <c r="K373" s="25">
        <v>1</v>
      </c>
      <c r="L373" t="s" s="25">
        <v>34</v>
      </c>
      <c r="M373" t="s" s="13">
        <v>947</v>
      </c>
      <c r="N373" t="s" s="11">
        <v>3338</v>
      </c>
      <c r="O373" t="s" s="11">
        <v>949</v>
      </c>
      <c r="P373" t="s" s="11">
        <v>950</v>
      </c>
      <c r="Q373" t="s" s="11">
        <v>34</v>
      </c>
      <c r="R373" t="s" s="11">
        <v>951</v>
      </c>
      <c r="S373" t="s" s="11">
        <v>952</v>
      </c>
      <c r="T373" t="s" s="13">
        <v>953</v>
      </c>
      <c r="U373" t="s" s="11">
        <v>161</v>
      </c>
      <c r="V373" t="s" s="13">
        <v>34</v>
      </c>
      <c r="W373" t="s" s="11">
        <v>3339</v>
      </c>
      <c r="X373" s="17">
        <f>HYPERLINK("https://my.pitchbook.com?p=260582-95P", "View People Online")</f>
      </c>
    </row>
    <row r="374">
      <c r="A374" t="s" s="10">
        <v>3340</v>
      </c>
      <c r="B374" t="s" s="10">
        <v>3341</v>
      </c>
      <c r="C374" t="s" s="10">
        <v>34</v>
      </c>
      <c r="D374" t="s" s="10">
        <v>3342</v>
      </c>
      <c r="E374" t="s" s="10">
        <v>36</v>
      </c>
      <c r="F374" t="s" s="10">
        <v>3343</v>
      </c>
      <c r="G374" t="s" s="10">
        <v>3336</v>
      </c>
      <c r="H374" s="16">
        <f>HYPERLINK("http://www.qxo.com", "www.qxo.com")</f>
      </c>
      <c r="I374" t="s" s="10">
        <v>108</v>
      </c>
      <c r="J374" s="24">
        <v>2</v>
      </c>
      <c r="K374" s="24">
        <v>2</v>
      </c>
      <c r="L374" t="s" s="24">
        <v>34</v>
      </c>
      <c r="M374" t="s" s="12">
        <v>34</v>
      </c>
      <c r="N374" t="s" s="10">
        <v>34</v>
      </c>
      <c r="O374" t="s" s="10">
        <v>3345</v>
      </c>
      <c r="P374" t="s" s="10">
        <v>3346</v>
      </c>
      <c r="Q374" t="s" s="10">
        <v>34</v>
      </c>
      <c r="R374" t="s" s="10">
        <v>3347</v>
      </c>
      <c r="S374" t="s" s="10">
        <v>2653</v>
      </c>
      <c r="T374" t="s" s="12">
        <v>3348</v>
      </c>
      <c r="U374" t="s" s="10">
        <v>161</v>
      </c>
      <c r="V374" t="s" s="12">
        <v>34</v>
      </c>
      <c r="W374" t="s" s="10">
        <v>3349</v>
      </c>
      <c r="X374" s="16">
        <f>HYPERLINK("https://my.pitchbook.com?p=272087-92P", "View People Online")</f>
      </c>
    </row>
    <row r="375">
      <c r="A375" t="s" s="11">
        <v>3350</v>
      </c>
      <c r="B375" t="s" s="11">
        <v>3351</v>
      </c>
      <c r="C375" t="s" s="11">
        <v>34</v>
      </c>
      <c r="D375" t="s" s="11">
        <v>165</v>
      </c>
      <c r="E375" t="s" s="11">
        <v>36</v>
      </c>
      <c r="F375" t="s" s="11">
        <v>3352</v>
      </c>
      <c r="G375" t="s" s="11">
        <v>3353</v>
      </c>
      <c r="H375" s="17">
        <f>HYPERLINK("http://www.erg.eu", "www.erg.eu")</f>
      </c>
      <c r="I375" t="s" s="11">
        <v>3354</v>
      </c>
      <c r="J375" t="s" s="25">
        <v>34</v>
      </c>
      <c r="K375" s="25">
        <v>1</v>
      </c>
      <c r="L375" t="s" s="25">
        <v>34</v>
      </c>
      <c r="M375" t="s" s="13">
        <v>170</v>
      </c>
      <c r="N375" t="s" s="11">
        <v>3355</v>
      </c>
      <c r="O375" t="s" s="11">
        <v>172</v>
      </c>
      <c r="P375" t="s" s="11">
        <v>173</v>
      </c>
      <c r="Q375" t="s" s="11">
        <v>34</v>
      </c>
      <c r="R375" t="s" s="11">
        <v>174</v>
      </c>
      <c r="S375" t="s" s="11">
        <v>34</v>
      </c>
      <c r="T375" t="s" s="13">
        <v>175</v>
      </c>
      <c r="U375" t="s" s="11">
        <v>176</v>
      </c>
      <c r="V375" t="s" s="13">
        <v>177</v>
      </c>
      <c r="W375" t="s" s="11">
        <v>3356</v>
      </c>
      <c r="X375" s="17">
        <f>HYPERLINK("https://my.pitchbook.com?p=404149-51P", "View People Online")</f>
      </c>
    </row>
    <row r="376">
      <c r="A376" t="s" s="10">
        <v>3357</v>
      </c>
      <c r="B376" t="s" s="10">
        <v>3358</v>
      </c>
      <c r="C376" t="s" s="10">
        <v>34</v>
      </c>
      <c r="D376" t="s" s="10">
        <v>3359</v>
      </c>
      <c r="E376" t="s" s="10">
        <v>36</v>
      </c>
      <c r="F376" t="s" s="10">
        <v>3360</v>
      </c>
      <c r="G376" t="s" s="10">
        <v>3361</v>
      </c>
      <c r="H376" s="16">
        <f>HYPERLINK("http://www.eni.com", "www.eni.com")</f>
      </c>
      <c r="I376" t="s" s="10">
        <v>108</v>
      </c>
      <c r="J376" s="24">
        <v>1</v>
      </c>
      <c r="K376" s="24">
        <v>1</v>
      </c>
      <c r="L376" t="s" s="24">
        <v>34</v>
      </c>
      <c r="M376" t="s" s="12">
        <v>3363</v>
      </c>
      <c r="N376" t="s" s="10">
        <v>34</v>
      </c>
      <c r="O376" t="s" s="10">
        <v>3364</v>
      </c>
      <c r="P376" t="s" s="10">
        <v>3365</v>
      </c>
      <c r="Q376" t="s" s="10">
        <v>34</v>
      </c>
      <c r="R376" t="s" s="10">
        <v>3366</v>
      </c>
      <c r="S376" t="s" s="10">
        <v>34</v>
      </c>
      <c r="T376" t="s" s="12">
        <v>3367</v>
      </c>
      <c r="U376" t="s" s="10">
        <v>176</v>
      </c>
      <c r="V376" t="s" s="12">
        <v>3368</v>
      </c>
      <c r="W376" t="s" s="10">
        <v>3369</v>
      </c>
      <c r="X376" s="16">
        <f>HYPERLINK("https://my.pitchbook.com?p=282323-89P", "View People Online")</f>
      </c>
    </row>
    <row r="377">
      <c r="A377" t="s" s="11">
        <v>3370</v>
      </c>
      <c r="B377" t="s" s="11">
        <v>3371</v>
      </c>
      <c r="C377" t="s" s="11">
        <v>34</v>
      </c>
      <c r="D377" t="s" s="11">
        <v>3372</v>
      </c>
      <c r="E377" t="s" s="11">
        <v>36</v>
      </c>
      <c r="F377" t="s" s="11">
        <v>3373</v>
      </c>
      <c r="G377" t="s" s="11">
        <v>3361</v>
      </c>
      <c r="H377" s="17">
        <f>HYPERLINK("http://www.snam.it", "www.snam.it")</f>
      </c>
      <c r="I377" t="s" s="11">
        <v>845</v>
      </c>
      <c r="J377" t="s" s="25">
        <v>34</v>
      </c>
      <c r="K377" s="25">
        <v>1</v>
      </c>
      <c r="L377" t="s" s="25">
        <v>34</v>
      </c>
      <c r="M377" t="s" s="13">
        <v>3375</v>
      </c>
      <c r="N377" t="s" s="11">
        <v>3376</v>
      </c>
      <c r="O377" t="s" s="11">
        <v>221</v>
      </c>
      <c r="P377" t="s" s="11">
        <v>3377</v>
      </c>
      <c r="Q377" t="s" s="11">
        <v>3378</v>
      </c>
      <c r="R377" t="s" s="11">
        <v>223</v>
      </c>
      <c r="S377" t="s" s="11">
        <v>34</v>
      </c>
      <c r="T377" t="s" s="13">
        <v>3379</v>
      </c>
      <c r="U377" t="s" s="11">
        <v>176</v>
      </c>
      <c r="V377" t="s" s="13">
        <v>3380</v>
      </c>
      <c r="W377" t="s" s="11">
        <v>3381</v>
      </c>
      <c r="X377" s="17">
        <f>HYPERLINK("https://my.pitchbook.com?p=137420-83P", "View People Online")</f>
      </c>
    </row>
    <row r="378">
      <c r="A378" t="s" s="10">
        <v>3382</v>
      </c>
      <c r="B378" t="s" s="10">
        <v>3383</v>
      </c>
      <c r="C378" t="s" s="10">
        <v>34</v>
      </c>
      <c r="D378" t="s" s="10">
        <v>741</v>
      </c>
      <c r="E378" t="s" s="10">
        <v>36</v>
      </c>
      <c r="F378" t="s" s="10">
        <v>3384</v>
      </c>
      <c r="G378" t="s" s="10">
        <v>3385</v>
      </c>
      <c r="H378" s="16">
        <f>HYPERLINK("http://www.vulcanmaterials.com", "www.vulcanmaterials.com")</f>
      </c>
      <c r="I378" t="s" s="10">
        <v>3386</v>
      </c>
      <c r="J378" t="s" s="24">
        <v>34</v>
      </c>
      <c r="K378" t="s" s="24">
        <v>34</v>
      </c>
      <c r="L378" t="s" s="24">
        <v>34</v>
      </c>
      <c r="M378" t="s" s="12">
        <v>3387</v>
      </c>
      <c r="N378" t="s" s="10">
        <v>34</v>
      </c>
      <c r="O378" t="s" s="10">
        <v>34</v>
      </c>
      <c r="P378" t="s" s="10">
        <v>34</v>
      </c>
      <c r="Q378" t="s" s="10">
        <v>34</v>
      </c>
      <c r="R378" t="s" s="10">
        <v>34</v>
      </c>
      <c r="S378" t="s" s="10">
        <v>34</v>
      </c>
      <c r="T378" t="s" s="12">
        <v>34</v>
      </c>
      <c r="U378" t="s" s="10">
        <v>34</v>
      </c>
      <c r="V378" t="s" s="12">
        <v>34</v>
      </c>
      <c r="W378" t="s" s="10">
        <v>3388</v>
      </c>
      <c r="X378" s="16">
        <f>HYPERLINK("https://my.pitchbook.com?p=118027-36P", "View People Online")</f>
      </c>
    </row>
    <row r="379">
      <c r="A379" t="s" s="11">
        <v>3389</v>
      </c>
      <c r="B379" t="s" s="11">
        <v>3390</v>
      </c>
      <c r="C379" t="s" s="11">
        <v>34</v>
      </c>
      <c r="D379" t="s" s="11">
        <v>165</v>
      </c>
      <c r="E379" t="s" s="11">
        <v>36</v>
      </c>
      <c r="F379" t="s" s="11">
        <v>3391</v>
      </c>
      <c r="G379" t="s" s="11">
        <v>3392</v>
      </c>
      <c r="H379" s="17">
        <f>HYPERLINK("http://www.erg.eu", "www.erg.eu")</f>
      </c>
      <c r="I379" t="s" s="11">
        <v>254</v>
      </c>
      <c r="J379" t="s" s="25">
        <v>34</v>
      </c>
      <c r="K379" s="25">
        <v>1</v>
      </c>
      <c r="L379" t="s" s="25">
        <v>34</v>
      </c>
      <c r="M379" t="s" s="13">
        <v>3393</v>
      </c>
      <c r="N379" t="s" s="11">
        <v>3394</v>
      </c>
      <c r="O379" t="s" s="11">
        <v>172</v>
      </c>
      <c r="P379" t="s" s="11">
        <v>173</v>
      </c>
      <c r="Q379" t="s" s="11">
        <v>34</v>
      </c>
      <c r="R379" t="s" s="11">
        <v>174</v>
      </c>
      <c r="S379" t="s" s="11">
        <v>34</v>
      </c>
      <c r="T379" t="s" s="13">
        <v>175</v>
      </c>
      <c r="U379" t="s" s="11">
        <v>176</v>
      </c>
      <c r="V379" t="s" s="13">
        <v>177</v>
      </c>
      <c r="W379" t="s" s="11">
        <v>3395</v>
      </c>
      <c r="X379" s="17">
        <f>HYPERLINK("https://my.pitchbook.com?p=227668-60P", "View People Online")</f>
      </c>
    </row>
    <row r="380">
      <c r="A380" t="s" s="10">
        <v>3396</v>
      </c>
      <c r="B380" t="s" s="10">
        <v>3397</v>
      </c>
      <c r="C380" t="s" s="10">
        <v>34</v>
      </c>
      <c r="D380" t="s" s="10">
        <v>181</v>
      </c>
      <c r="E380" t="s" s="10">
        <v>36</v>
      </c>
      <c r="F380" t="s" s="10">
        <v>3398</v>
      </c>
      <c r="G380" t="s" s="10">
        <v>3392</v>
      </c>
      <c r="H380" s="16">
        <f>HYPERLINK("http://www.erg.eu", "www.erg.eu")</f>
      </c>
      <c r="I380" t="s" s="10">
        <v>3399</v>
      </c>
      <c r="J380" t="s" s="24">
        <v>34</v>
      </c>
      <c r="K380" t="s" s="24">
        <v>34</v>
      </c>
      <c r="L380" t="s" s="24">
        <v>34</v>
      </c>
      <c r="M380" t="s" s="12">
        <v>34</v>
      </c>
      <c r="N380" t="s" s="10">
        <v>34</v>
      </c>
      <c r="O380" t="s" s="10">
        <v>34</v>
      </c>
      <c r="P380" t="s" s="10">
        <v>34</v>
      </c>
      <c r="Q380" t="s" s="10">
        <v>34</v>
      </c>
      <c r="R380" t="s" s="10">
        <v>34</v>
      </c>
      <c r="S380" t="s" s="10">
        <v>34</v>
      </c>
      <c r="T380" t="s" s="12">
        <v>34</v>
      </c>
      <c r="U380" t="s" s="10">
        <v>34</v>
      </c>
      <c r="V380" t="s" s="12">
        <v>34</v>
      </c>
      <c r="W380" t="s" s="10">
        <v>3400</v>
      </c>
      <c r="X380" s="16">
        <f>HYPERLINK("https://my.pitchbook.com?p=91526-32P", "View People Online")</f>
      </c>
    </row>
    <row r="381">
      <c r="A381" t="s" s="11">
        <v>3401</v>
      </c>
      <c r="B381" t="s" s="11">
        <v>3402</v>
      </c>
      <c r="C381" t="s" s="11">
        <v>34</v>
      </c>
      <c r="D381" t="s" s="11">
        <v>112</v>
      </c>
      <c r="E381" t="s" s="11">
        <v>36</v>
      </c>
      <c r="F381" t="s" s="11">
        <v>3403</v>
      </c>
      <c r="G381" t="s" s="11">
        <v>3404</v>
      </c>
      <c r="H381" s="17">
        <f>HYPERLINK("http://www.harbourenergy.com", "www.harbourenergy.com")</f>
      </c>
      <c r="I381" t="s" s="11">
        <v>3405</v>
      </c>
      <c r="J381" t="s" s="25">
        <v>34</v>
      </c>
      <c r="K381" s="25">
        <v>1</v>
      </c>
      <c r="L381" t="s" s="25">
        <v>34</v>
      </c>
      <c r="M381" t="s" s="13">
        <v>116</v>
      </c>
      <c r="N381" t="s" s="11">
        <v>3406</v>
      </c>
      <c r="O381" t="s" s="11">
        <v>117</v>
      </c>
      <c r="P381" t="s" s="11">
        <v>118</v>
      </c>
      <c r="Q381" t="s" s="11">
        <v>34</v>
      </c>
      <c r="R381" t="s" s="11">
        <v>119</v>
      </c>
      <c r="S381" t="s" s="11">
        <v>120</v>
      </c>
      <c r="T381" t="s" s="13">
        <v>121</v>
      </c>
      <c r="U381" t="s" s="11">
        <v>122</v>
      </c>
      <c r="V381" t="s" s="13">
        <v>123</v>
      </c>
      <c r="W381" t="s" s="11">
        <v>3407</v>
      </c>
      <c r="X381" s="17">
        <f>HYPERLINK("https://my.pitchbook.com?p=447665-95P", "View People Online")</f>
      </c>
    </row>
    <row r="382">
      <c r="A382" t="s" s="10">
        <v>3408</v>
      </c>
      <c r="B382" t="s" s="10">
        <v>3409</v>
      </c>
      <c r="C382" t="s" s="10">
        <v>34</v>
      </c>
      <c r="D382" t="s" s="10">
        <v>3410</v>
      </c>
      <c r="E382" t="s" s="10">
        <v>36</v>
      </c>
      <c r="F382" t="s" s="10">
        <v>3411</v>
      </c>
      <c r="G382" t="s" s="10">
        <v>3412</v>
      </c>
      <c r="H382" s="16">
        <f>HYPERLINK("http://www.falconoilandgas.com", "www.falconoilandgas.com")</f>
      </c>
      <c r="I382" t="s" s="10">
        <v>108</v>
      </c>
      <c r="J382" t="s" s="24">
        <v>34</v>
      </c>
      <c r="K382" t="s" s="24">
        <v>34</v>
      </c>
      <c r="L382" t="s" s="24">
        <v>34</v>
      </c>
      <c r="M382" t="s" s="12">
        <v>34</v>
      </c>
      <c r="N382" t="s" s="10">
        <v>34</v>
      </c>
      <c r="O382" t="s" s="10">
        <v>34</v>
      </c>
      <c r="P382" t="s" s="10">
        <v>34</v>
      </c>
      <c r="Q382" t="s" s="10">
        <v>34</v>
      </c>
      <c r="R382" t="s" s="10">
        <v>34</v>
      </c>
      <c r="S382" t="s" s="10">
        <v>34</v>
      </c>
      <c r="T382" t="s" s="12">
        <v>34</v>
      </c>
      <c r="U382" t="s" s="10">
        <v>34</v>
      </c>
      <c r="V382" t="s" s="12">
        <v>34</v>
      </c>
      <c r="W382" t="s" s="10">
        <v>3414</v>
      </c>
      <c r="X382" s="16">
        <f>HYPERLINK("https://my.pitchbook.com?p=217457-29P", "View People Online")</f>
      </c>
    </row>
    <row r="383">
      <c r="A383" t="s" s="11">
        <v>3415</v>
      </c>
      <c r="B383" t="s" s="11">
        <v>3416</v>
      </c>
      <c r="C383" t="s" s="11">
        <v>34</v>
      </c>
      <c r="D383" t="s" s="11">
        <v>3417</v>
      </c>
      <c r="E383" t="s" s="11">
        <v>36</v>
      </c>
      <c r="F383" t="s" s="11">
        <v>3418</v>
      </c>
      <c r="G383" t="s" s="11">
        <v>3412</v>
      </c>
      <c r="H383" s="17">
        <f>HYPERLINK("http://www.nornickel.com", "www.nornickel.com")</f>
      </c>
      <c r="I383" t="s" s="11">
        <v>108</v>
      </c>
      <c r="J383" s="25">
        <v>1</v>
      </c>
      <c r="K383" s="25">
        <v>1</v>
      </c>
      <c r="L383" t="s" s="25">
        <v>34</v>
      </c>
      <c r="M383" t="s" s="13">
        <v>3420</v>
      </c>
      <c r="N383" t="s" s="11">
        <v>34</v>
      </c>
      <c r="O383" t="s" s="11">
        <v>200</v>
      </c>
      <c r="P383" t="s" s="11">
        <v>3421</v>
      </c>
      <c r="Q383" t="s" s="11">
        <v>34</v>
      </c>
      <c r="R383" t="s" s="11">
        <v>202</v>
      </c>
      <c r="S383" t="s" s="11">
        <v>34</v>
      </c>
      <c r="T383" t="s" s="13">
        <v>3422</v>
      </c>
      <c r="U383" t="s" s="11">
        <v>204</v>
      </c>
      <c r="V383" t="s" s="13">
        <v>34</v>
      </c>
      <c r="W383" t="s" s="11">
        <v>3423</v>
      </c>
      <c r="X383" s="17">
        <f>HYPERLINK("https://my.pitchbook.com?p=72047-35P", "View People Online")</f>
      </c>
    </row>
    <row r="384">
      <c r="A384" t="s" s="10">
        <v>3424</v>
      </c>
      <c r="B384" t="s" s="10">
        <v>3425</v>
      </c>
      <c r="C384" t="s" s="10">
        <v>34</v>
      </c>
      <c r="D384" t="s" s="10">
        <v>2092</v>
      </c>
      <c r="E384" t="s" s="10">
        <v>36</v>
      </c>
      <c r="F384" t="s" s="10">
        <v>3426</v>
      </c>
      <c r="G384" t="s" s="10">
        <v>3427</v>
      </c>
      <c r="H384" s="16">
        <f>HYPERLINK("http://www.tridentlifeline.com", "www.tridentlifeline.com")</f>
      </c>
      <c r="I384" t="s" s="10">
        <v>3428</v>
      </c>
      <c r="J384" t="s" s="24">
        <v>34</v>
      </c>
      <c r="K384" s="24">
        <v>1</v>
      </c>
      <c r="L384" t="s" s="24">
        <v>34</v>
      </c>
      <c r="M384" t="s" s="12">
        <v>2097</v>
      </c>
      <c r="N384" t="s" s="10">
        <v>34</v>
      </c>
      <c r="O384" t="s" s="10">
        <v>2099</v>
      </c>
      <c r="P384" t="s" s="10">
        <v>2100</v>
      </c>
      <c r="Q384" t="s" s="10">
        <v>2101</v>
      </c>
      <c r="R384" t="s" s="10">
        <v>2102</v>
      </c>
      <c r="S384" t="s" s="10">
        <v>2103</v>
      </c>
      <c r="T384" t="s" s="12">
        <v>34</v>
      </c>
      <c r="U384" t="s" s="10">
        <v>1479</v>
      </c>
      <c r="V384" t="s" s="12">
        <v>2104</v>
      </c>
      <c r="W384" t="s" s="10">
        <v>3429</v>
      </c>
      <c r="X384" s="16">
        <f>HYPERLINK("https://my.pitchbook.com?p=318839-32P", "View People Online")</f>
      </c>
    </row>
    <row r="385">
      <c r="A385" t="s" s="11">
        <v>3430</v>
      </c>
      <c r="B385" t="s" s="11">
        <v>3431</v>
      </c>
      <c r="C385" t="s" s="11">
        <v>34</v>
      </c>
      <c r="D385" t="s" s="11">
        <v>3432</v>
      </c>
      <c r="E385" t="s" s="11">
        <v>36</v>
      </c>
      <c r="F385" t="s" s="11">
        <v>3433</v>
      </c>
      <c r="G385" t="s" s="11">
        <v>3434</v>
      </c>
      <c r="H385" s="17">
        <f>HYPERLINK("http://www.albemarle.com", "www.albemarle.com")</f>
      </c>
      <c r="I385" t="s" s="11">
        <v>3436</v>
      </c>
      <c r="J385" s="25">
        <v>1</v>
      </c>
      <c r="K385" s="25">
        <v>2</v>
      </c>
      <c r="L385" t="s" s="25">
        <v>34</v>
      </c>
      <c r="M385" t="s" s="13">
        <v>3437</v>
      </c>
      <c r="N385" t="s" s="11">
        <v>3438</v>
      </c>
      <c r="O385" t="s" s="11">
        <v>3439</v>
      </c>
      <c r="P385" t="s" s="11">
        <v>3440</v>
      </c>
      <c r="Q385" t="s" s="11">
        <v>1351</v>
      </c>
      <c r="R385" t="s" s="11">
        <v>3441</v>
      </c>
      <c r="S385" t="s" s="11">
        <v>3442</v>
      </c>
      <c r="T385" t="s" s="13">
        <v>3443</v>
      </c>
      <c r="U385" t="s" s="11">
        <v>161</v>
      </c>
      <c r="V385" t="s" s="13">
        <v>3444</v>
      </c>
      <c r="W385" t="s" s="11">
        <v>3445</v>
      </c>
      <c r="X385" s="17">
        <f>HYPERLINK("https://my.pitchbook.com?p=139210-12P", "View People Online")</f>
      </c>
    </row>
    <row r="386">
      <c r="A386" t="s" s="10">
        <v>3446</v>
      </c>
      <c r="B386" t="s" s="10">
        <v>3447</v>
      </c>
      <c r="C386" t="s" s="10">
        <v>34</v>
      </c>
      <c r="D386" t="s" s="10">
        <v>3448</v>
      </c>
      <c r="E386" t="s" s="10">
        <v>36</v>
      </c>
      <c r="F386" t="s" s="10">
        <v>3449</v>
      </c>
      <c r="G386" t="s" s="10">
        <v>3450</v>
      </c>
      <c r="H386" s="16">
        <f>HYPERLINK("http://www.everestglobal.com", "www.everestglobal.com")</f>
      </c>
      <c r="I386" t="s" s="10">
        <v>108</v>
      </c>
      <c r="J386" s="24">
        <v>2</v>
      </c>
      <c r="K386" s="24">
        <v>11</v>
      </c>
      <c r="L386" s="24">
        <v>7</v>
      </c>
      <c r="M386" t="s" s="12">
        <v>3452</v>
      </c>
      <c r="N386" t="s" s="10">
        <v>34</v>
      </c>
      <c r="O386" t="s" s="10">
        <v>3453</v>
      </c>
      <c r="P386" t="s" s="10">
        <v>3454</v>
      </c>
      <c r="Q386" t="s" s="10">
        <v>3455</v>
      </c>
      <c r="R386" t="s" s="10">
        <v>3456</v>
      </c>
      <c r="S386" t="s" s="10">
        <v>34</v>
      </c>
      <c r="T386" t="s" s="12">
        <v>3457</v>
      </c>
      <c r="U386" t="s" s="10">
        <v>3167</v>
      </c>
      <c r="V386" t="s" s="12">
        <v>3458</v>
      </c>
      <c r="W386" t="s" s="10">
        <v>3459</v>
      </c>
      <c r="X386" s="16">
        <f>HYPERLINK("https://my.pitchbook.com?p=13592-71P", "View People Online")</f>
      </c>
    </row>
    <row r="387">
      <c r="A387" t="s" s="11">
        <v>3460</v>
      </c>
      <c r="B387" t="s" s="11">
        <v>3461</v>
      </c>
      <c r="C387" t="s" s="11">
        <v>34</v>
      </c>
      <c r="D387" t="s" s="11">
        <v>3462</v>
      </c>
      <c r="E387" t="s" s="11">
        <v>36</v>
      </c>
      <c r="F387" t="s" s="11">
        <v>704</v>
      </c>
      <c r="G387" t="s" s="11">
        <v>3463</v>
      </c>
      <c r="H387" s="17">
        <f>HYPERLINK("http://www.huddled.com", "www.huddled.com")</f>
      </c>
      <c r="I387" t="s" s="11">
        <v>1249</v>
      </c>
      <c r="J387" s="25">
        <v>1</v>
      </c>
      <c r="K387" s="25">
        <v>1</v>
      </c>
      <c r="L387" t="s" s="25">
        <v>34</v>
      </c>
      <c r="M387" t="s" s="13">
        <v>34</v>
      </c>
      <c r="N387" t="s" s="11">
        <v>34</v>
      </c>
      <c r="O387" t="s" s="11">
        <v>3465</v>
      </c>
      <c r="P387" t="s" s="11">
        <v>3466</v>
      </c>
      <c r="Q387" t="s" s="11">
        <v>3467</v>
      </c>
      <c r="R387" t="s" s="11">
        <v>3468</v>
      </c>
      <c r="S387" t="s" s="11">
        <v>120</v>
      </c>
      <c r="T387" t="s" s="13">
        <v>3469</v>
      </c>
      <c r="U387" t="s" s="11">
        <v>122</v>
      </c>
      <c r="V387" t="s" s="13">
        <v>34</v>
      </c>
      <c r="W387" t="s" s="11">
        <v>3470</v>
      </c>
      <c r="X387" s="17">
        <f>HYPERLINK("https://my.pitchbook.com?p=458266-51P", "View People Online")</f>
      </c>
    </row>
    <row r="388">
      <c r="A388" t="s" s="10">
        <v>3471</v>
      </c>
      <c r="B388" t="s" s="10">
        <v>3472</v>
      </c>
      <c r="C388" t="s" s="10">
        <v>34</v>
      </c>
      <c r="D388" t="s" s="10">
        <v>3473</v>
      </c>
      <c r="E388" t="s" s="10">
        <v>36</v>
      </c>
      <c r="F388" t="s" s="10">
        <v>3474</v>
      </c>
      <c r="G388" t="s" s="10">
        <v>3463</v>
      </c>
      <c r="H388" s="16">
        <f>HYPERLINK("http://www.enquest.com", "www.enquest.com")</f>
      </c>
      <c r="I388" t="s" s="10">
        <v>108</v>
      </c>
      <c r="J388" s="24">
        <v>1</v>
      </c>
      <c r="K388" s="24">
        <v>1</v>
      </c>
      <c r="L388" t="s" s="24">
        <v>34</v>
      </c>
      <c r="M388" t="s" s="12">
        <v>3476</v>
      </c>
      <c r="N388" t="s" s="10">
        <v>34</v>
      </c>
      <c r="O388" t="s" s="10">
        <v>3477</v>
      </c>
      <c r="P388" t="s" s="10">
        <v>3478</v>
      </c>
      <c r="Q388" t="s" s="10">
        <v>3479</v>
      </c>
      <c r="R388" t="s" s="10">
        <v>3480</v>
      </c>
      <c r="S388" t="s" s="10">
        <v>3481</v>
      </c>
      <c r="T388" t="s" s="12">
        <v>3482</v>
      </c>
      <c r="U388" t="s" s="10">
        <v>122</v>
      </c>
      <c r="V388" t="s" s="12">
        <v>34</v>
      </c>
      <c r="W388" t="s" s="10">
        <v>3483</v>
      </c>
      <c r="X388" s="16">
        <f>HYPERLINK("https://my.pitchbook.com?p=29557-27P", "View People Online")</f>
      </c>
    </row>
    <row r="389">
      <c r="A389" t="s" s="11">
        <v>3484</v>
      </c>
      <c r="B389" t="s" s="11">
        <v>3485</v>
      </c>
      <c r="C389" t="s" s="11">
        <v>34</v>
      </c>
      <c r="D389" t="s" s="11">
        <v>3486</v>
      </c>
      <c r="E389" t="s" s="11">
        <v>36</v>
      </c>
      <c r="F389" t="s" s="11">
        <v>3487</v>
      </c>
      <c r="G389" t="s" s="11">
        <v>3463</v>
      </c>
      <c r="H389" s="17">
        <f>HYPERLINK("http://www.nbc.ca", "www.nbc.ca")</f>
      </c>
      <c r="I389" t="s" s="11">
        <v>1158</v>
      </c>
      <c r="J389" t="s" s="25">
        <v>34</v>
      </c>
      <c r="K389" s="25">
        <v>2</v>
      </c>
      <c r="L389" s="25">
        <v>1</v>
      </c>
      <c r="M389" t="s" s="13">
        <v>3489</v>
      </c>
      <c r="N389" t="s" s="11">
        <v>3490</v>
      </c>
      <c r="O389" t="s" s="11">
        <v>2006</v>
      </c>
      <c r="P389" t="s" s="11">
        <v>3491</v>
      </c>
      <c r="Q389" t="s" s="11">
        <v>34</v>
      </c>
      <c r="R389" t="s" s="11">
        <v>2008</v>
      </c>
      <c r="S389" t="s" s="11">
        <v>2009</v>
      </c>
      <c r="T389" t="s" s="13">
        <v>3492</v>
      </c>
      <c r="U389" t="s" s="11">
        <v>917</v>
      </c>
      <c r="V389" t="s" s="13">
        <v>34</v>
      </c>
      <c r="W389" t="s" s="11">
        <v>3493</v>
      </c>
      <c r="X389" s="17">
        <f>HYPERLINK("https://my.pitchbook.com?p=358188-94P", "View People Online")</f>
      </c>
    </row>
    <row r="390">
      <c r="A390" t="s" s="10">
        <v>3494</v>
      </c>
      <c r="B390" t="s" s="10">
        <v>3495</v>
      </c>
      <c r="C390" t="s" s="10">
        <v>34</v>
      </c>
      <c r="D390" t="s" s="10">
        <v>3496</v>
      </c>
      <c r="E390" t="s" s="10">
        <v>36</v>
      </c>
      <c r="F390" t="s" s="10">
        <v>3497</v>
      </c>
      <c r="G390" t="s" s="10">
        <v>3463</v>
      </c>
      <c r="H390" s="16">
        <f>HYPERLINK("http://www.polaris.com", "www.polaris.com")</f>
      </c>
      <c r="I390" t="s" s="10">
        <v>3499</v>
      </c>
      <c r="J390" s="24">
        <v>1</v>
      </c>
      <c r="K390" s="24">
        <v>2</v>
      </c>
      <c r="L390" t="s" s="24">
        <v>34</v>
      </c>
      <c r="M390" t="s" s="12">
        <v>3500</v>
      </c>
      <c r="N390" t="s" s="10">
        <v>3501</v>
      </c>
      <c r="O390" t="s" s="10">
        <v>3502</v>
      </c>
      <c r="P390" t="s" s="10">
        <v>3503</v>
      </c>
      <c r="Q390" t="s" s="10">
        <v>34</v>
      </c>
      <c r="R390" t="s" s="10">
        <v>3504</v>
      </c>
      <c r="S390" t="s" s="10">
        <v>676</v>
      </c>
      <c r="T390" t="s" s="12">
        <v>3505</v>
      </c>
      <c r="U390" t="s" s="10">
        <v>161</v>
      </c>
      <c r="V390" t="s" s="12">
        <v>3506</v>
      </c>
      <c r="W390" t="s" s="10">
        <v>3507</v>
      </c>
      <c r="X390" s="16">
        <f>HYPERLINK("https://my.pitchbook.com?p=40693-42P", "View People Online")</f>
      </c>
    </row>
    <row r="391">
      <c r="A391" t="s" s="11">
        <v>3508</v>
      </c>
      <c r="B391" t="s" s="11">
        <v>3509</v>
      </c>
      <c r="C391" t="s" s="11">
        <v>34</v>
      </c>
      <c r="D391" t="s" s="11">
        <v>3510</v>
      </c>
      <c r="E391" t="s" s="11">
        <v>36</v>
      </c>
      <c r="F391" t="s" s="11">
        <v>3511</v>
      </c>
      <c r="G391" t="s" s="11">
        <v>3463</v>
      </c>
      <c r="H391" s="17">
        <f>HYPERLINK("http://www.farsons.com", "www.farsons.com")</f>
      </c>
      <c r="I391" t="s" s="11">
        <v>3513</v>
      </c>
      <c r="J391" t="s" s="25">
        <v>34</v>
      </c>
      <c r="K391" s="25">
        <v>1</v>
      </c>
      <c r="L391" t="s" s="25">
        <v>34</v>
      </c>
      <c r="M391" t="s" s="13">
        <v>3514</v>
      </c>
      <c r="N391" t="s" s="11">
        <v>3515</v>
      </c>
      <c r="O391" t="s" s="11">
        <v>360</v>
      </c>
      <c r="P391" t="s" s="11">
        <v>3516</v>
      </c>
      <c r="Q391" t="s" s="11">
        <v>3517</v>
      </c>
      <c r="R391" t="s" s="11">
        <v>363</v>
      </c>
      <c r="S391" t="s" s="11">
        <v>34</v>
      </c>
      <c r="T391" t="s" s="13">
        <v>3518</v>
      </c>
      <c r="U391" t="s" s="11">
        <v>365</v>
      </c>
      <c r="V391" t="s" s="13">
        <v>34</v>
      </c>
      <c r="W391" t="s" s="11">
        <v>3519</v>
      </c>
      <c r="X391" s="17">
        <f>HYPERLINK("https://my.pitchbook.com?p=304758-10P", "View People Online")</f>
      </c>
    </row>
    <row r="392">
      <c r="A392" t="s" s="10">
        <v>3520</v>
      </c>
      <c r="B392" t="s" s="10">
        <v>3521</v>
      </c>
      <c r="C392" t="s" s="10">
        <v>34</v>
      </c>
      <c r="D392" t="s" s="10">
        <v>1976</v>
      </c>
      <c r="E392" t="s" s="10">
        <v>36</v>
      </c>
      <c r="F392" t="s" s="10">
        <v>3522</v>
      </c>
      <c r="G392" t="s" s="10">
        <v>3463</v>
      </c>
      <c r="H392" t="s" s="10">
        <v>34</v>
      </c>
      <c r="I392" t="s" s="10">
        <v>3523</v>
      </c>
      <c r="J392" t="s" s="24">
        <v>34</v>
      </c>
      <c r="K392" s="24">
        <v>1</v>
      </c>
      <c r="L392" t="s" s="24">
        <v>34</v>
      </c>
      <c r="M392" t="s" s="12">
        <v>1980</v>
      </c>
      <c r="N392" t="s" s="10">
        <v>34</v>
      </c>
      <c r="O392" t="s" s="10">
        <v>1981</v>
      </c>
      <c r="P392" t="s" s="10">
        <v>1982</v>
      </c>
      <c r="Q392" t="s" s="10">
        <v>1983</v>
      </c>
      <c r="R392" t="s" s="10">
        <v>1984</v>
      </c>
      <c r="S392" t="s" s="10">
        <v>1911</v>
      </c>
      <c r="T392" t="s" s="12">
        <v>1985</v>
      </c>
      <c r="U392" t="s" s="10">
        <v>161</v>
      </c>
      <c r="V392" t="s" s="12">
        <v>34</v>
      </c>
      <c r="W392" t="s" s="10">
        <v>3524</v>
      </c>
      <c r="X392" s="16">
        <f>HYPERLINK("https://my.pitchbook.com?p=314205-85P", "View People Online")</f>
      </c>
    </row>
    <row r="393">
      <c r="A393" t="s" s="11">
        <v>3525</v>
      </c>
      <c r="B393" t="s" s="11">
        <v>3526</v>
      </c>
      <c r="C393" t="s" s="11">
        <v>34</v>
      </c>
      <c r="D393" t="s" s="11">
        <v>3527</v>
      </c>
      <c r="E393" t="s" s="11">
        <v>36</v>
      </c>
      <c r="F393" t="s" s="11">
        <v>3528</v>
      </c>
      <c r="G393" t="s" s="11">
        <v>3463</v>
      </c>
      <c r="H393" s="17">
        <f>HYPERLINK("http://www.electrabmc.com", "www.electrabmc.com")</f>
      </c>
      <c r="I393" t="s" s="11">
        <v>764</v>
      </c>
      <c r="J393" t="s" s="25">
        <v>34</v>
      </c>
      <c r="K393" s="25">
        <v>1</v>
      </c>
      <c r="L393" t="s" s="25">
        <v>34</v>
      </c>
      <c r="M393" t="s" s="13">
        <v>34</v>
      </c>
      <c r="N393" t="s" s="11">
        <v>3530</v>
      </c>
      <c r="O393" t="s" s="11">
        <v>1215</v>
      </c>
      <c r="P393" t="s" s="11">
        <v>3531</v>
      </c>
      <c r="Q393" t="s" s="11">
        <v>3532</v>
      </c>
      <c r="R393" t="s" s="11">
        <v>1218</v>
      </c>
      <c r="S393" t="s" s="11">
        <v>1219</v>
      </c>
      <c r="T393" t="s" s="13">
        <v>3533</v>
      </c>
      <c r="U393" t="s" s="11">
        <v>917</v>
      </c>
      <c r="V393" t="s" s="13">
        <v>34</v>
      </c>
      <c r="W393" t="s" s="11">
        <v>3534</v>
      </c>
      <c r="X393" s="17">
        <f>HYPERLINK("https://my.pitchbook.com?p=281048-50P", "View People Online")</f>
      </c>
    </row>
    <row r="394">
      <c r="A394" t="s" s="10">
        <v>3535</v>
      </c>
      <c r="B394" t="s" s="10">
        <v>3536</v>
      </c>
      <c r="C394" t="s" s="10">
        <v>34</v>
      </c>
      <c r="D394" t="s" s="10">
        <v>841</v>
      </c>
      <c r="E394" t="s" s="10">
        <v>36</v>
      </c>
      <c r="F394" t="s" s="10">
        <v>3537</v>
      </c>
      <c r="G394" t="s" s="10">
        <v>3463</v>
      </c>
      <c r="H394" s="16">
        <f>HYPERLINK("http://www.vulcantwo.com", "www.vulcantwo.com")</f>
      </c>
      <c r="I394" t="s" s="10">
        <v>1249</v>
      </c>
      <c r="J394" s="24">
        <v>1</v>
      </c>
      <c r="K394" s="24">
        <v>1</v>
      </c>
      <c r="L394" t="s" s="24">
        <v>34</v>
      </c>
      <c r="M394" t="s" s="12">
        <v>34</v>
      </c>
      <c r="N394" t="s" s="10">
        <v>34</v>
      </c>
      <c r="O394" t="s" s="10">
        <v>117</v>
      </c>
      <c r="P394" t="s" s="10">
        <v>846</v>
      </c>
      <c r="Q394" t="s" s="10">
        <v>847</v>
      </c>
      <c r="R394" t="s" s="10">
        <v>119</v>
      </c>
      <c r="S394" t="s" s="10">
        <v>120</v>
      </c>
      <c r="T394" t="s" s="12">
        <v>848</v>
      </c>
      <c r="U394" t="s" s="10">
        <v>122</v>
      </c>
      <c r="V394" t="s" s="12">
        <v>34</v>
      </c>
      <c r="W394" t="s" s="10">
        <v>3538</v>
      </c>
      <c r="X394" s="16">
        <f>HYPERLINK("https://my.pitchbook.com?p=461217-70P", "View People Online")</f>
      </c>
    </row>
    <row r="395">
      <c r="A395" t="s" s="11">
        <v>3539</v>
      </c>
      <c r="B395" t="s" s="11">
        <v>3540</v>
      </c>
      <c r="C395" t="s" s="11">
        <v>34</v>
      </c>
      <c r="D395" t="s" s="11">
        <v>741</v>
      </c>
      <c r="E395" t="s" s="11">
        <v>36</v>
      </c>
      <c r="F395" t="s" s="11">
        <v>1133</v>
      </c>
      <c r="G395" t="s" s="11">
        <v>3463</v>
      </c>
      <c r="H395" s="17">
        <f>HYPERLINK("http://www.vulcanmaterials.com", "www.vulcanmaterials.com")</f>
      </c>
      <c r="I395" t="s" s="11">
        <v>3541</v>
      </c>
      <c r="J395" t="s" s="25">
        <v>34</v>
      </c>
      <c r="K395" t="s" s="25">
        <v>34</v>
      </c>
      <c r="L395" t="s" s="25">
        <v>34</v>
      </c>
      <c r="M395" t="s" s="13">
        <v>34</v>
      </c>
      <c r="N395" t="s" s="11">
        <v>34</v>
      </c>
      <c r="O395" t="s" s="11">
        <v>34</v>
      </c>
      <c r="P395" t="s" s="11">
        <v>34</v>
      </c>
      <c r="Q395" t="s" s="11">
        <v>34</v>
      </c>
      <c r="R395" t="s" s="11">
        <v>34</v>
      </c>
      <c r="S395" t="s" s="11">
        <v>34</v>
      </c>
      <c r="T395" t="s" s="13">
        <v>34</v>
      </c>
      <c r="U395" t="s" s="11">
        <v>34</v>
      </c>
      <c r="V395" t="s" s="13">
        <v>34</v>
      </c>
      <c r="W395" t="s" s="11">
        <v>3542</v>
      </c>
      <c r="X395" s="17">
        <f>HYPERLINK("https://my.pitchbook.com?p=93063-61P", "View People Online")</f>
      </c>
    </row>
    <row r="396">
      <c r="A396" t="s" s="10">
        <v>3543</v>
      </c>
      <c r="B396" t="s" s="10">
        <v>3544</v>
      </c>
      <c r="C396" t="s" s="10">
        <v>34</v>
      </c>
      <c r="D396" t="s" s="10">
        <v>3545</v>
      </c>
      <c r="E396" t="s" s="10">
        <v>36</v>
      </c>
      <c r="F396" t="s" s="10">
        <v>3546</v>
      </c>
      <c r="G396" t="s" s="10">
        <v>3463</v>
      </c>
      <c r="H396" s="16">
        <f>HYPERLINK("http://www.igo.com.au", "www.igo.com.au")</f>
      </c>
      <c r="I396" t="s" s="10">
        <v>307</v>
      </c>
      <c r="J396" s="24">
        <v>1</v>
      </c>
      <c r="K396" s="24">
        <v>1</v>
      </c>
      <c r="L396" t="s" s="24">
        <v>34</v>
      </c>
      <c r="M396" t="s" s="12">
        <v>3548</v>
      </c>
      <c r="N396" t="s" s="10">
        <v>34</v>
      </c>
      <c r="O396" t="s" s="10">
        <v>3549</v>
      </c>
      <c r="P396" t="s" s="10">
        <v>3550</v>
      </c>
      <c r="Q396" t="s" s="10">
        <v>3551</v>
      </c>
      <c r="R396" t="s" s="10">
        <v>3552</v>
      </c>
      <c r="S396" t="s" s="10">
        <v>55</v>
      </c>
      <c r="T396" t="s" s="12">
        <v>3553</v>
      </c>
      <c r="U396" t="s" s="10">
        <v>57</v>
      </c>
      <c r="V396" t="s" s="12">
        <v>3554</v>
      </c>
      <c r="W396" t="s" s="10">
        <v>3555</v>
      </c>
      <c r="X396" s="16">
        <f>HYPERLINK("https://my.pitchbook.com?p=159170-86P", "View People Online")</f>
      </c>
    </row>
    <row r="397">
      <c r="A397" t="s" s="11">
        <v>3556</v>
      </c>
      <c r="B397" t="s" s="11">
        <v>3557</v>
      </c>
      <c r="C397" t="s" s="11">
        <v>34</v>
      </c>
      <c r="D397" t="s" s="11">
        <v>112</v>
      </c>
      <c r="E397" t="s" s="11">
        <v>36</v>
      </c>
      <c r="F397" t="s" s="11">
        <v>3558</v>
      </c>
      <c r="G397" t="s" s="11">
        <v>3463</v>
      </c>
      <c r="H397" s="17">
        <f>HYPERLINK("http://www.harbourenergy.com", "www.harbourenergy.com")</f>
      </c>
      <c r="I397" t="s" s="11">
        <v>3559</v>
      </c>
      <c r="J397" t="s" s="25">
        <v>34</v>
      </c>
      <c r="K397" s="25">
        <v>1</v>
      </c>
      <c r="L397" t="s" s="25">
        <v>34</v>
      </c>
      <c r="M397" t="s" s="13">
        <v>116</v>
      </c>
      <c r="N397" t="s" s="11">
        <v>3560</v>
      </c>
      <c r="O397" t="s" s="11">
        <v>117</v>
      </c>
      <c r="P397" t="s" s="11">
        <v>118</v>
      </c>
      <c r="Q397" t="s" s="11">
        <v>34</v>
      </c>
      <c r="R397" t="s" s="11">
        <v>119</v>
      </c>
      <c r="S397" t="s" s="11">
        <v>120</v>
      </c>
      <c r="T397" t="s" s="13">
        <v>121</v>
      </c>
      <c r="U397" t="s" s="11">
        <v>122</v>
      </c>
      <c r="V397" t="s" s="13">
        <v>123</v>
      </c>
      <c r="W397" t="s" s="11">
        <v>3561</v>
      </c>
      <c r="X397" s="17">
        <f>HYPERLINK("https://my.pitchbook.com?p=389260-54P", "View People Online")</f>
      </c>
    </row>
    <row r="398">
      <c r="A398" t="s" s="10">
        <v>3562</v>
      </c>
      <c r="B398" t="s" s="10">
        <v>3563</v>
      </c>
      <c r="C398" t="s" s="10">
        <v>34</v>
      </c>
      <c r="D398" t="s" s="10">
        <v>3564</v>
      </c>
      <c r="E398" t="s" s="10">
        <v>36</v>
      </c>
      <c r="F398" t="s" s="10">
        <v>3565</v>
      </c>
      <c r="G398" t="s" s="10">
        <v>3463</v>
      </c>
      <c r="H398" s="16">
        <f>HYPERLINK("http://www.ingevity.com", "www.ingevity.com")</f>
      </c>
      <c r="I398" t="s" s="10">
        <v>3566</v>
      </c>
      <c r="J398" t="s" s="24">
        <v>34</v>
      </c>
      <c r="K398" s="24">
        <v>5</v>
      </c>
      <c r="L398" s="24">
        <v>5</v>
      </c>
      <c r="M398" t="s" s="12">
        <v>34</v>
      </c>
      <c r="N398" t="s" s="10">
        <v>3567</v>
      </c>
      <c r="O398" t="s" s="10">
        <v>34</v>
      </c>
      <c r="P398" t="s" s="10">
        <v>34</v>
      </c>
      <c r="Q398" t="s" s="10">
        <v>34</v>
      </c>
      <c r="R398" t="s" s="10">
        <v>34</v>
      </c>
      <c r="S398" t="s" s="10">
        <v>34</v>
      </c>
      <c r="T398" t="s" s="12">
        <v>34</v>
      </c>
      <c r="U398" t="s" s="10">
        <v>34</v>
      </c>
      <c r="V398" t="s" s="12">
        <v>34</v>
      </c>
      <c r="W398" t="s" s="10">
        <v>3568</v>
      </c>
      <c r="X398" s="16">
        <f>HYPERLINK("https://my.pitchbook.com?p=94171-51P", "View People Online")</f>
      </c>
    </row>
    <row r="399">
      <c r="A399" t="s" s="11">
        <v>3569</v>
      </c>
      <c r="B399" t="s" s="11">
        <v>3570</v>
      </c>
      <c r="C399" t="s" s="11">
        <v>34</v>
      </c>
      <c r="D399" t="s" s="11">
        <v>165</v>
      </c>
      <c r="E399" t="s" s="11">
        <v>36</v>
      </c>
      <c r="F399" t="s" s="11">
        <v>3571</v>
      </c>
      <c r="G399" t="s" s="11">
        <v>3572</v>
      </c>
      <c r="H399" s="17">
        <f>HYPERLINK("http://www.erg.eu", "www.erg.eu")</f>
      </c>
      <c r="I399" t="s" s="11">
        <v>263</v>
      </c>
      <c r="J399" t="s" s="25">
        <v>34</v>
      </c>
      <c r="K399" s="25">
        <v>1</v>
      </c>
      <c r="L399" t="s" s="25">
        <v>34</v>
      </c>
      <c r="M399" t="s" s="13">
        <v>170</v>
      </c>
      <c r="N399" t="s" s="11">
        <v>3573</v>
      </c>
      <c r="O399" t="s" s="11">
        <v>172</v>
      </c>
      <c r="P399" t="s" s="11">
        <v>173</v>
      </c>
      <c r="Q399" t="s" s="11">
        <v>34</v>
      </c>
      <c r="R399" t="s" s="11">
        <v>174</v>
      </c>
      <c r="S399" t="s" s="11">
        <v>34</v>
      </c>
      <c r="T399" t="s" s="13">
        <v>175</v>
      </c>
      <c r="U399" t="s" s="11">
        <v>176</v>
      </c>
      <c r="V399" t="s" s="13">
        <v>177</v>
      </c>
      <c r="W399" t="s" s="11">
        <v>3574</v>
      </c>
      <c r="X399" s="17">
        <f>HYPERLINK("https://my.pitchbook.com?p=345853-09P", "View People Online")</f>
      </c>
    </row>
    <row r="400">
      <c r="A400" t="s" s="10">
        <v>3575</v>
      </c>
      <c r="B400" t="s" s="10">
        <v>3576</v>
      </c>
      <c r="C400" t="s" s="10">
        <v>34</v>
      </c>
      <c r="D400" t="s" s="10">
        <v>3577</v>
      </c>
      <c r="E400" t="s" s="10">
        <v>36</v>
      </c>
      <c r="F400" t="s" s="10">
        <v>3578</v>
      </c>
      <c r="G400" t="s" s="10">
        <v>3579</v>
      </c>
      <c r="H400" s="16">
        <f>HYPERLINK("http://www.xperi.com", "www.xperi.com")</f>
      </c>
      <c r="I400" t="s" s="10">
        <v>3581</v>
      </c>
      <c r="J400" t="s" s="24">
        <v>34</v>
      </c>
      <c r="K400" t="s" s="24">
        <v>34</v>
      </c>
      <c r="L400" t="s" s="24">
        <v>34</v>
      </c>
      <c r="M400" t="s" s="12">
        <v>34</v>
      </c>
      <c r="N400" t="s" s="10">
        <v>34</v>
      </c>
      <c r="O400" t="s" s="10">
        <v>34</v>
      </c>
      <c r="P400" t="s" s="10">
        <v>34</v>
      </c>
      <c r="Q400" t="s" s="10">
        <v>34</v>
      </c>
      <c r="R400" t="s" s="10">
        <v>34</v>
      </c>
      <c r="S400" t="s" s="10">
        <v>34</v>
      </c>
      <c r="T400" t="s" s="12">
        <v>34</v>
      </c>
      <c r="U400" t="s" s="10">
        <v>34</v>
      </c>
      <c r="V400" t="s" s="12">
        <v>34</v>
      </c>
      <c r="W400" t="s" s="10">
        <v>3582</v>
      </c>
      <c r="X400" s="16">
        <f>HYPERLINK("https://my.pitchbook.com?p=61290-73P", "View People Online")</f>
      </c>
    </row>
    <row r="401">
      <c r="A401" t="s" s="11">
        <v>3583</v>
      </c>
      <c r="B401" t="s" s="11">
        <v>3584</v>
      </c>
      <c r="C401" t="s" s="11">
        <v>34</v>
      </c>
      <c r="D401" t="s" s="11">
        <v>1902</v>
      </c>
      <c r="E401" t="s" s="11">
        <v>36</v>
      </c>
      <c r="F401" t="s" s="11">
        <v>3585</v>
      </c>
      <c r="G401" t="s" s="11">
        <v>3586</v>
      </c>
      <c r="H401" s="17">
        <f>HYPERLINK("http://www.veon.com", "www.veon.com")</f>
      </c>
      <c r="I401" t="s" s="11">
        <v>108</v>
      </c>
      <c r="J401" t="s" s="25">
        <v>34</v>
      </c>
      <c r="K401" t="s" s="25">
        <v>34</v>
      </c>
      <c r="L401" t="s" s="25">
        <v>34</v>
      </c>
      <c r="M401" t="s" s="13">
        <v>34</v>
      </c>
      <c r="N401" t="s" s="11">
        <v>34</v>
      </c>
      <c r="O401" t="s" s="11">
        <v>34</v>
      </c>
      <c r="P401" t="s" s="11">
        <v>34</v>
      </c>
      <c r="Q401" t="s" s="11">
        <v>34</v>
      </c>
      <c r="R401" t="s" s="11">
        <v>34</v>
      </c>
      <c r="S401" t="s" s="11">
        <v>34</v>
      </c>
      <c r="T401" t="s" s="13">
        <v>34</v>
      </c>
      <c r="U401" t="s" s="11">
        <v>34</v>
      </c>
      <c r="V401" t="s" s="13">
        <v>34</v>
      </c>
      <c r="W401" t="s" s="11">
        <v>3587</v>
      </c>
      <c r="X401" s="17">
        <f>HYPERLINK("https://my.pitchbook.com?p=115839-91P", "View People Online")</f>
      </c>
    </row>
    <row r="402">
      <c r="A402" t="s" s="10">
        <v>3588</v>
      </c>
      <c r="B402" t="s" s="10">
        <v>3589</v>
      </c>
      <c r="C402" t="s" s="10">
        <v>34</v>
      </c>
      <c r="D402" t="s" s="10">
        <v>3590</v>
      </c>
      <c r="E402" t="s" s="10">
        <v>36</v>
      </c>
      <c r="F402" t="s" s="10">
        <v>3591</v>
      </c>
      <c r="G402" t="s" s="10">
        <v>3586</v>
      </c>
      <c r="H402" s="16">
        <f>HYPERLINK("http://www.sulzer.com", "www.sulzer.com")</f>
      </c>
      <c r="I402" t="s" s="10">
        <v>108</v>
      </c>
      <c r="J402" t="s" s="24">
        <v>34</v>
      </c>
      <c r="K402" t="s" s="24">
        <v>34</v>
      </c>
      <c r="L402" t="s" s="24">
        <v>34</v>
      </c>
      <c r="M402" t="s" s="12">
        <v>34</v>
      </c>
      <c r="N402" t="s" s="10">
        <v>34</v>
      </c>
      <c r="O402" t="s" s="10">
        <v>34</v>
      </c>
      <c r="P402" t="s" s="10">
        <v>34</v>
      </c>
      <c r="Q402" t="s" s="10">
        <v>34</v>
      </c>
      <c r="R402" t="s" s="10">
        <v>34</v>
      </c>
      <c r="S402" t="s" s="10">
        <v>34</v>
      </c>
      <c r="T402" t="s" s="12">
        <v>34</v>
      </c>
      <c r="U402" t="s" s="10">
        <v>34</v>
      </c>
      <c r="V402" t="s" s="12">
        <v>34</v>
      </c>
      <c r="W402" t="s" s="10">
        <v>3593</v>
      </c>
      <c r="X402" s="16">
        <f>HYPERLINK("https://my.pitchbook.com?p=65548-63P", "View People Online")</f>
      </c>
    </row>
    <row r="403">
      <c r="A403" t="s" s="11">
        <v>3594</v>
      </c>
      <c r="B403" t="s" s="11">
        <v>3595</v>
      </c>
      <c r="C403" t="s" s="11">
        <v>34</v>
      </c>
      <c r="D403" t="s" s="11">
        <v>3596</v>
      </c>
      <c r="E403" t="s" s="11">
        <v>36</v>
      </c>
      <c r="F403" t="s" s="11">
        <v>3597</v>
      </c>
      <c r="G403" t="s" s="11">
        <v>3598</v>
      </c>
      <c r="H403" s="17">
        <f>HYPERLINK("http://www.dutchbros.com", "www.dutchbros.com")</f>
      </c>
      <c r="I403" t="s" s="11">
        <v>3600</v>
      </c>
      <c r="J403" t="s" s="25">
        <v>34</v>
      </c>
      <c r="K403" s="25">
        <v>1</v>
      </c>
      <c r="L403" t="s" s="25">
        <v>34</v>
      </c>
      <c r="M403" t="s" s="13">
        <v>3601</v>
      </c>
      <c r="N403" t="s" s="11">
        <v>3602</v>
      </c>
      <c r="O403" t="s" s="11">
        <v>3603</v>
      </c>
      <c r="P403" t="s" s="11">
        <v>3604</v>
      </c>
      <c r="Q403" t="s" s="11">
        <v>3605</v>
      </c>
      <c r="R403" t="s" s="11">
        <v>3606</v>
      </c>
      <c r="S403" t="s" s="11">
        <v>3607</v>
      </c>
      <c r="T403" t="s" s="13">
        <v>3608</v>
      </c>
      <c r="U403" t="s" s="11">
        <v>161</v>
      </c>
      <c r="V403" t="s" s="13">
        <v>34</v>
      </c>
      <c r="W403" t="s" s="11">
        <v>3609</v>
      </c>
      <c r="X403" s="17">
        <f>HYPERLINK("https://my.pitchbook.com?p=420861-25P", "View People Online")</f>
      </c>
    </row>
    <row r="404">
      <c r="A404" t="s" s="10">
        <v>3610</v>
      </c>
      <c r="B404" t="s" s="10">
        <v>3611</v>
      </c>
      <c r="C404" t="s" s="10">
        <v>34</v>
      </c>
      <c r="D404" t="s" s="10">
        <v>3612</v>
      </c>
      <c r="E404" t="s" s="10">
        <v>36</v>
      </c>
      <c r="F404" t="s" s="10">
        <v>1210</v>
      </c>
      <c r="G404" t="s" s="10">
        <v>3613</v>
      </c>
      <c r="H404" s="16">
        <f>HYPERLINK("http://www.tyro.com", "www.tyro.com")</f>
      </c>
      <c r="I404" t="s" s="10">
        <v>3615</v>
      </c>
      <c r="J404" t="s" s="24">
        <v>34</v>
      </c>
      <c r="K404" s="24">
        <v>1</v>
      </c>
      <c r="L404" t="s" s="24">
        <v>34</v>
      </c>
      <c r="M404" t="s" s="12">
        <v>3616</v>
      </c>
      <c r="N404" t="s" s="10">
        <v>3617</v>
      </c>
      <c r="O404" t="s" s="10">
        <v>3618</v>
      </c>
      <c r="P404" t="s" s="10">
        <v>3619</v>
      </c>
      <c r="Q404" t="s" s="10">
        <v>3620</v>
      </c>
      <c r="R404" t="s" s="10">
        <v>3621</v>
      </c>
      <c r="S404" t="s" s="10">
        <v>3622</v>
      </c>
      <c r="T404" t="s" s="12">
        <v>3623</v>
      </c>
      <c r="U404" t="s" s="10">
        <v>57</v>
      </c>
      <c r="V404" t="s" s="12">
        <v>34</v>
      </c>
      <c r="W404" t="s" s="10">
        <v>3624</v>
      </c>
      <c r="X404" s="16">
        <f>HYPERLINK("https://my.pitchbook.com?p=346383-82P", "View People Online")</f>
      </c>
    </row>
    <row r="405">
      <c r="A405" t="s" s="11">
        <v>3625</v>
      </c>
      <c r="B405" t="s" s="11">
        <v>3626</v>
      </c>
      <c r="C405" t="s" s="11">
        <v>34</v>
      </c>
      <c r="D405" t="s" s="11">
        <v>879</v>
      </c>
      <c r="E405" t="s" s="11">
        <v>36</v>
      </c>
      <c r="F405" t="s" s="11">
        <v>3627</v>
      </c>
      <c r="G405" t="s" s="11">
        <v>3628</v>
      </c>
      <c r="H405" s="17">
        <f>HYPERLINK("http://www.playtech.com", "www.playtech.com")</f>
      </c>
      <c r="I405" t="s" s="11">
        <v>1249</v>
      </c>
      <c r="J405" s="25">
        <v>1</v>
      </c>
      <c r="K405" s="25">
        <v>17</v>
      </c>
      <c r="L405" s="25">
        <v>15</v>
      </c>
      <c r="M405" t="s" s="13">
        <v>34</v>
      </c>
      <c r="N405" t="s" s="11">
        <v>3629</v>
      </c>
      <c r="O405" t="s" s="11">
        <v>883</v>
      </c>
      <c r="P405" t="s" s="11">
        <v>884</v>
      </c>
      <c r="Q405" t="s" s="11">
        <v>885</v>
      </c>
      <c r="R405" t="s" s="11">
        <v>886</v>
      </c>
      <c r="S405" t="s" s="11">
        <v>120</v>
      </c>
      <c r="T405" t="s" s="13">
        <v>887</v>
      </c>
      <c r="U405" t="s" s="11">
        <v>122</v>
      </c>
      <c r="V405" t="s" s="13">
        <v>34</v>
      </c>
      <c r="W405" t="s" s="11">
        <v>3630</v>
      </c>
      <c r="X405" s="17">
        <f>HYPERLINK("https://my.pitchbook.com?p=57926-62P", "View People Online")</f>
      </c>
    </row>
    <row r="406">
      <c r="A406" t="s" s="10">
        <v>3631</v>
      </c>
      <c r="B406" t="s" s="10">
        <v>3632</v>
      </c>
      <c r="C406" t="s" s="10">
        <v>34</v>
      </c>
      <c r="D406" t="s" s="10">
        <v>3633</v>
      </c>
      <c r="E406" t="s" s="10">
        <v>36</v>
      </c>
      <c r="F406" t="s" s="10">
        <v>3634</v>
      </c>
      <c r="G406" t="s" s="10">
        <v>3635</v>
      </c>
      <c r="H406" t="s" s="10">
        <v>34</v>
      </c>
      <c r="I406" t="s" s="10">
        <v>1486</v>
      </c>
      <c r="J406" t="s" s="24">
        <v>34</v>
      </c>
      <c r="K406" s="24">
        <v>1</v>
      </c>
      <c r="L406" t="s" s="24">
        <v>34</v>
      </c>
      <c r="M406" t="s" s="12">
        <v>34</v>
      </c>
      <c r="N406" t="s" s="10">
        <v>34</v>
      </c>
      <c r="O406" t="s" s="10">
        <v>3636</v>
      </c>
      <c r="P406" t="s" s="10">
        <v>34</v>
      </c>
      <c r="Q406" t="s" s="10">
        <v>34</v>
      </c>
      <c r="R406" t="s" s="10">
        <v>3637</v>
      </c>
      <c r="S406" t="s" s="10">
        <v>34</v>
      </c>
      <c r="T406" t="s" s="12">
        <v>34</v>
      </c>
      <c r="U406" t="s" s="10">
        <v>3637</v>
      </c>
      <c r="V406" t="s" s="12">
        <v>34</v>
      </c>
      <c r="W406" t="s" s="10">
        <v>3638</v>
      </c>
      <c r="X406" s="16">
        <f>HYPERLINK("https://my.pitchbook.com?p=364822-75P", "View People Online")</f>
      </c>
    </row>
    <row r="407">
      <c r="A407" t="s" s="11">
        <v>3639</v>
      </c>
      <c r="B407" t="s" s="11">
        <v>3640</v>
      </c>
      <c r="C407" t="s" s="11">
        <v>34</v>
      </c>
      <c r="D407" t="s" s="11">
        <v>127</v>
      </c>
      <c r="E407" t="s" s="11">
        <v>36</v>
      </c>
      <c r="F407" t="s" s="11">
        <v>3641</v>
      </c>
      <c r="G407" t="s" s="11">
        <v>3642</v>
      </c>
      <c r="H407" s="17">
        <f>HYPERLINK("http://www.playtech.com", "www.playtech.com")</f>
      </c>
      <c r="I407" t="s" s="11">
        <v>3643</v>
      </c>
      <c r="J407" t="s" s="25">
        <v>34</v>
      </c>
      <c r="K407" t="s" s="25">
        <v>34</v>
      </c>
      <c r="L407" t="s" s="25">
        <v>34</v>
      </c>
      <c r="M407" t="s" s="13">
        <v>34</v>
      </c>
      <c r="N407" t="s" s="11">
        <v>3644</v>
      </c>
      <c r="O407" t="s" s="11">
        <v>34</v>
      </c>
      <c r="P407" t="s" s="11">
        <v>34</v>
      </c>
      <c r="Q407" t="s" s="11">
        <v>34</v>
      </c>
      <c r="R407" t="s" s="11">
        <v>34</v>
      </c>
      <c r="S407" t="s" s="11">
        <v>34</v>
      </c>
      <c r="T407" t="s" s="13">
        <v>34</v>
      </c>
      <c r="U407" t="s" s="11">
        <v>34</v>
      </c>
      <c r="V407" t="s" s="13">
        <v>34</v>
      </c>
      <c r="W407" t="s" s="11">
        <v>3645</v>
      </c>
      <c r="X407" s="17">
        <f>HYPERLINK("https://my.pitchbook.com?p=127066-96P", "View People Online")</f>
      </c>
    </row>
    <row r="408">
      <c r="A408" t="s" s="10">
        <v>3646</v>
      </c>
      <c r="B408" t="s" s="10">
        <v>3647</v>
      </c>
      <c r="C408" t="s" s="10">
        <v>34</v>
      </c>
      <c r="D408" t="s" s="10">
        <v>3648</v>
      </c>
      <c r="E408" t="s" s="10">
        <v>36</v>
      </c>
      <c r="F408" t="s" s="10">
        <v>3649</v>
      </c>
      <c r="G408" t="s" s="10">
        <v>3650</v>
      </c>
      <c r="H408" s="16">
        <f>HYPERLINK("http://www.rossacquisition2.com", "www.rossacquisition2.com")</f>
      </c>
      <c r="I408" t="s" s="10">
        <v>3652</v>
      </c>
      <c r="J408" s="24">
        <v>1</v>
      </c>
      <c r="K408" s="24">
        <v>6</v>
      </c>
      <c r="L408" s="24">
        <v>3</v>
      </c>
      <c r="M408" t="s" s="12">
        <v>34</v>
      </c>
      <c r="N408" t="s" s="10">
        <v>34</v>
      </c>
      <c r="O408" t="s" s="10">
        <v>3653</v>
      </c>
      <c r="P408" t="s" s="10">
        <v>3654</v>
      </c>
      <c r="Q408" t="s" s="10">
        <v>34</v>
      </c>
      <c r="R408" t="s" s="10">
        <v>3655</v>
      </c>
      <c r="S408" t="s" s="10">
        <v>1911</v>
      </c>
      <c r="T408" t="s" s="12">
        <v>3656</v>
      </c>
      <c r="U408" t="s" s="10">
        <v>161</v>
      </c>
      <c r="V408" t="s" s="12">
        <v>34</v>
      </c>
      <c r="W408" t="s" s="10">
        <v>3657</v>
      </c>
      <c r="X408" s="16">
        <f>HYPERLINK("https://my.pitchbook.com?p=119012-86P", "View People Online")</f>
      </c>
    </row>
    <row r="409">
      <c r="A409" t="s" s="11">
        <v>3658</v>
      </c>
      <c r="B409" t="s" s="11">
        <v>3659</v>
      </c>
      <c r="C409" t="s" s="11">
        <v>34</v>
      </c>
      <c r="D409" t="s" s="11">
        <v>2664</v>
      </c>
      <c r="E409" t="s" s="11">
        <v>36</v>
      </c>
      <c r="F409" t="s" s="11">
        <v>3660</v>
      </c>
      <c r="G409" t="s" s="11">
        <v>3661</v>
      </c>
      <c r="H409" s="17">
        <f>HYPERLINK("http://www.sandridgeenergy.com", "www.sandridgeenergy.com")</f>
      </c>
      <c r="I409" t="s" s="11">
        <v>108</v>
      </c>
      <c r="J409" s="25">
        <v>2</v>
      </c>
      <c r="K409" s="25">
        <v>2</v>
      </c>
      <c r="L409" t="s" s="25">
        <v>34</v>
      </c>
      <c r="M409" t="s" s="13">
        <v>2668</v>
      </c>
      <c r="N409" t="s" s="11">
        <v>34</v>
      </c>
      <c r="O409" t="s" s="11">
        <v>2670</v>
      </c>
      <c r="P409" t="s" s="11">
        <v>2671</v>
      </c>
      <c r="Q409" t="s" s="11">
        <v>2672</v>
      </c>
      <c r="R409" t="s" s="11">
        <v>2673</v>
      </c>
      <c r="S409" t="s" s="11">
        <v>2674</v>
      </c>
      <c r="T409" t="s" s="13">
        <v>2675</v>
      </c>
      <c r="U409" t="s" s="11">
        <v>161</v>
      </c>
      <c r="V409" t="s" s="13">
        <v>34</v>
      </c>
      <c r="W409" t="s" s="11">
        <v>3662</v>
      </c>
      <c r="X409" s="17">
        <f>HYPERLINK("https://my.pitchbook.com?p=279967-06P", "View People Online")</f>
      </c>
    </row>
    <row r="410">
      <c r="A410" t="s" s="10">
        <v>3663</v>
      </c>
      <c r="B410" t="s" s="10">
        <v>3664</v>
      </c>
      <c r="C410" t="s" s="10">
        <v>34</v>
      </c>
      <c r="D410" t="s" s="10">
        <v>3136</v>
      </c>
      <c r="E410" t="s" s="10">
        <v>36</v>
      </c>
      <c r="F410" t="s" s="10">
        <v>3665</v>
      </c>
      <c r="G410" t="s" s="10">
        <v>3666</v>
      </c>
      <c r="H410" s="16">
        <f>HYPERLINK("http://www.tridentindia.com", "www.tridentindia.com")</f>
      </c>
      <c r="I410" t="s" s="10">
        <v>1499</v>
      </c>
      <c r="J410" t="s" s="24">
        <v>34</v>
      </c>
      <c r="K410" t="s" s="24">
        <v>34</v>
      </c>
      <c r="L410" t="s" s="24">
        <v>34</v>
      </c>
      <c r="M410" t="s" s="12">
        <v>34</v>
      </c>
      <c r="N410" t="s" s="10">
        <v>34</v>
      </c>
      <c r="O410" t="s" s="10">
        <v>34</v>
      </c>
      <c r="P410" t="s" s="10">
        <v>34</v>
      </c>
      <c r="Q410" t="s" s="10">
        <v>34</v>
      </c>
      <c r="R410" t="s" s="10">
        <v>34</v>
      </c>
      <c r="S410" t="s" s="10">
        <v>34</v>
      </c>
      <c r="T410" t="s" s="12">
        <v>34</v>
      </c>
      <c r="U410" t="s" s="10">
        <v>34</v>
      </c>
      <c r="V410" t="s" s="12">
        <v>34</v>
      </c>
      <c r="W410" t="s" s="10">
        <v>3667</v>
      </c>
      <c r="X410" s="16">
        <f>HYPERLINK("https://my.pitchbook.com?p=358488-82P", "View People Online")</f>
      </c>
    </row>
    <row r="411">
      <c r="A411" t="s" s="11">
        <v>3668</v>
      </c>
      <c r="B411" t="s" s="11">
        <v>3669</v>
      </c>
      <c r="C411" t="s" s="11">
        <v>34</v>
      </c>
      <c r="D411" t="s" s="11">
        <v>3670</v>
      </c>
      <c r="E411" t="s" s="11">
        <v>36</v>
      </c>
      <c r="F411" t="s" s="11">
        <v>3671</v>
      </c>
      <c r="G411" t="s" s="11">
        <v>3672</v>
      </c>
      <c r="H411" s="17">
        <f>HYPERLINK("http://www.magicuttools.com", "www.magicuttools.com")</f>
      </c>
      <c r="I411" t="s" s="11">
        <v>3674</v>
      </c>
      <c r="J411" s="25">
        <v>1</v>
      </c>
      <c r="K411" s="25">
        <v>1</v>
      </c>
      <c r="L411" t="s" s="25">
        <v>34</v>
      </c>
      <c r="M411" t="s" s="13">
        <v>3675</v>
      </c>
      <c r="N411" t="s" s="11">
        <v>3676</v>
      </c>
      <c r="O411" t="s" s="11">
        <v>3677</v>
      </c>
      <c r="P411" t="s" s="11">
        <v>3678</v>
      </c>
      <c r="Q411" t="s" s="11">
        <v>3679</v>
      </c>
      <c r="R411" t="s" s="11">
        <v>3680</v>
      </c>
      <c r="S411" t="s" s="11">
        <v>3681</v>
      </c>
      <c r="T411" t="s" s="13">
        <v>34</v>
      </c>
      <c r="U411" t="s" s="11">
        <v>1479</v>
      </c>
      <c r="V411" t="s" s="13">
        <v>3682</v>
      </c>
      <c r="W411" t="s" s="11">
        <v>3683</v>
      </c>
      <c r="X411" s="17">
        <f>HYPERLINK("https://my.pitchbook.com?p=388026-10P", "View People Online")</f>
      </c>
    </row>
    <row r="412">
      <c r="A412" t="s" s="10">
        <v>3684</v>
      </c>
      <c r="B412" t="s" s="10">
        <v>3685</v>
      </c>
      <c r="C412" t="s" s="10">
        <v>34</v>
      </c>
      <c r="D412" t="s" s="10">
        <v>3686</v>
      </c>
      <c r="E412" t="s" s="10">
        <v>36</v>
      </c>
      <c r="F412" t="s" s="10">
        <v>3687</v>
      </c>
      <c r="G412" t="s" s="10">
        <v>3688</v>
      </c>
      <c r="H412" s="16">
        <f>HYPERLINK("http://www.parkin.ae", "www.parkin.ae")</f>
      </c>
      <c r="I412" t="s" s="10">
        <v>108</v>
      </c>
      <c r="J412" s="24">
        <v>1</v>
      </c>
      <c r="K412" s="24">
        <v>1</v>
      </c>
      <c r="L412" t="s" s="24">
        <v>34</v>
      </c>
      <c r="M412" t="s" s="12">
        <v>34</v>
      </c>
      <c r="N412" t="s" s="10">
        <v>34</v>
      </c>
      <c r="O412" t="s" s="10">
        <v>832</v>
      </c>
      <c r="P412" t="s" s="10">
        <v>34</v>
      </c>
      <c r="Q412" t="s" s="10">
        <v>34</v>
      </c>
      <c r="R412" t="s" s="10">
        <v>835</v>
      </c>
      <c r="S412" t="s" s="10">
        <v>34</v>
      </c>
      <c r="T412" t="s" s="12">
        <v>34</v>
      </c>
      <c r="U412" t="s" s="10">
        <v>837</v>
      </c>
      <c r="V412" t="s" s="12">
        <v>34</v>
      </c>
      <c r="W412" t="s" s="10">
        <v>3690</v>
      </c>
      <c r="X412" s="16">
        <f>HYPERLINK("https://my.pitchbook.com?p=458124-76P", "View People Online")</f>
      </c>
    </row>
    <row r="413">
      <c r="A413" t="s" s="11">
        <v>3691</v>
      </c>
      <c r="B413" t="s" s="11">
        <v>3692</v>
      </c>
      <c r="C413" t="s" s="11">
        <v>34</v>
      </c>
      <c r="D413" t="s" s="11">
        <v>112</v>
      </c>
      <c r="E413" t="s" s="11">
        <v>36</v>
      </c>
      <c r="F413" t="s" s="11">
        <v>3693</v>
      </c>
      <c r="G413" t="s" s="11">
        <v>3694</v>
      </c>
      <c r="H413" s="17">
        <f>HYPERLINK("http://www.harbourenergy.com", "www.harbourenergy.com")</f>
      </c>
      <c r="I413" t="s" s="11">
        <v>3695</v>
      </c>
      <c r="J413" t="s" s="25">
        <v>34</v>
      </c>
      <c r="K413" s="25">
        <v>1</v>
      </c>
      <c r="L413" t="s" s="25">
        <v>34</v>
      </c>
      <c r="M413" t="s" s="13">
        <v>116</v>
      </c>
      <c r="N413" t="s" s="11">
        <v>3696</v>
      </c>
      <c r="O413" t="s" s="11">
        <v>117</v>
      </c>
      <c r="P413" t="s" s="11">
        <v>118</v>
      </c>
      <c r="Q413" t="s" s="11">
        <v>34</v>
      </c>
      <c r="R413" t="s" s="11">
        <v>119</v>
      </c>
      <c r="S413" t="s" s="11">
        <v>120</v>
      </c>
      <c r="T413" t="s" s="13">
        <v>121</v>
      </c>
      <c r="U413" t="s" s="11">
        <v>122</v>
      </c>
      <c r="V413" t="s" s="13">
        <v>123</v>
      </c>
      <c r="W413" t="s" s="11">
        <v>3697</v>
      </c>
      <c r="X413" s="17">
        <f>HYPERLINK("https://my.pitchbook.com?p=208680-40P", "View People Online")</f>
      </c>
    </row>
    <row r="414">
      <c r="A414" t="s" s="10">
        <v>3698</v>
      </c>
      <c r="B414" t="s" s="10">
        <v>3699</v>
      </c>
      <c r="C414" t="s" s="10">
        <v>34</v>
      </c>
      <c r="D414" t="s" s="10">
        <v>3136</v>
      </c>
      <c r="E414" t="s" s="10">
        <v>36</v>
      </c>
      <c r="F414" t="s" s="10">
        <v>3700</v>
      </c>
      <c r="G414" t="s" s="10">
        <v>3701</v>
      </c>
      <c r="H414" s="16">
        <f>HYPERLINK("http://www.tridentindia.com", "www.tridentindia.com")</f>
      </c>
      <c r="I414" t="s" s="10">
        <v>3702</v>
      </c>
      <c r="J414" t="s" s="24">
        <v>34</v>
      </c>
      <c r="K414" t="s" s="24">
        <v>34</v>
      </c>
      <c r="L414" t="s" s="24">
        <v>34</v>
      </c>
      <c r="M414" t="s" s="12">
        <v>34</v>
      </c>
      <c r="N414" t="s" s="10">
        <v>34</v>
      </c>
      <c r="O414" t="s" s="10">
        <v>34</v>
      </c>
      <c r="P414" t="s" s="10">
        <v>34</v>
      </c>
      <c r="Q414" t="s" s="10">
        <v>34</v>
      </c>
      <c r="R414" t="s" s="10">
        <v>34</v>
      </c>
      <c r="S414" t="s" s="10">
        <v>34</v>
      </c>
      <c r="T414" t="s" s="12">
        <v>34</v>
      </c>
      <c r="U414" t="s" s="10">
        <v>34</v>
      </c>
      <c r="V414" t="s" s="12">
        <v>34</v>
      </c>
      <c r="W414" t="s" s="10">
        <v>3703</v>
      </c>
      <c r="X414" s="16">
        <f>HYPERLINK("https://my.pitchbook.com?p=312375-88P", "View People Online")</f>
      </c>
    </row>
    <row r="415">
      <c r="A415" t="s" s="11">
        <v>3704</v>
      </c>
      <c r="B415" t="s" s="11">
        <v>3705</v>
      </c>
      <c r="C415" t="s" s="11">
        <v>34</v>
      </c>
      <c r="D415" t="s" s="11">
        <v>2623</v>
      </c>
      <c r="E415" t="s" s="11">
        <v>36</v>
      </c>
      <c r="F415" t="s" s="11">
        <v>3706</v>
      </c>
      <c r="G415" t="s" s="11">
        <v>3707</v>
      </c>
      <c r="H415" s="17">
        <f>HYPERLINK("http://www.vulcanplc.com", "www.vulcanplc.com")</f>
      </c>
      <c r="I415" t="s" s="11">
        <v>3708</v>
      </c>
      <c r="J415" t="s" s="25">
        <v>34</v>
      </c>
      <c r="K415" s="25">
        <v>1</v>
      </c>
      <c r="L415" t="s" s="25">
        <v>34</v>
      </c>
      <c r="M415" t="s" s="13">
        <v>34</v>
      </c>
      <c r="N415" t="s" s="11">
        <v>3709</v>
      </c>
      <c r="O415" t="s" s="11">
        <v>117</v>
      </c>
      <c r="P415" t="s" s="11">
        <v>2626</v>
      </c>
      <c r="Q415" t="s" s="11">
        <v>2627</v>
      </c>
      <c r="R415" t="s" s="11">
        <v>119</v>
      </c>
      <c r="S415" t="s" s="11">
        <v>120</v>
      </c>
      <c r="T415" t="s" s="13">
        <v>2628</v>
      </c>
      <c r="U415" t="s" s="11">
        <v>122</v>
      </c>
      <c r="V415" t="s" s="13">
        <v>34</v>
      </c>
      <c r="W415" t="s" s="11">
        <v>3710</v>
      </c>
      <c r="X415" s="17">
        <f>HYPERLINK("https://my.pitchbook.com?p=287213-50P", "View People Online")</f>
      </c>
    </row>
    <row r="416">
      <c r="A416" t="s" s="10">
        <v>3711</v>
      </c>
      <c r="B416" t="s" s="10">
        <v>3712</v>
      </c>
      <c r="C416" t="s" s="10">
        <v>34</v>
      </c>
      <c r="D416" t="s" s="10">
        <v>127</v>
      </c>
      <c r="E416" t="s" s="10">
        <v>36</v>
      </c>
      <c r="F416" t="s" s="10">
        <v>3713</v>
      </c>
      <c r="G416" t="s" s="10">
        <v>3707</v>
      </c>
      <c r="H416" s="16">
        <f>HYPERLINK("http://www.playtech.com", "www.playtech.com")</f>
      </c>
      <c r="I416" t="s" s="10">
        <v>3714</v>
      </c>
      <c r="J416" t="s" s="24">
        <v>34</v>
      </c>
      <c r="K416" t="s" s="24">
        <v>34</v>
      </c>
      <c r="L416" t="s" s="24">
        <v>34</v>
      </c>
      <c r="M416" t="s" s="12">
        <v>34</v>
      </c>
      <c r="N416" t="s" s="10">
        <v>34</v>
      </c>
      <c r="O416" t="s" s="10">
        <v>34</v>
      </c>
      <c r="P416" t="s" s="10">
        <v>34</v>
      </c>
      <c r="Q416" t="s" s="10">
        <v>34</v>
      </c>
      <c r="R416" t="s" s="10">
        <v>34</v>
      </c>
      <c r="S416" t="s" s="10">
        <v>34</v>
      </c>
      <c r="T416" t="s" s="12">
        <v>34</v>
      </c>
      <c r="U416" t="s" s="10">
        <v>34</v>
      </c>
      <c r="V416" t="s" s="12">
        <v>34</v>
      </c>
      <c r="W416" t="s" s="10">
        <v>3715</v>
      </c>
      <c r="X416" s="16">
        <f>HYPERLINK("https://my.pitchbook.com?p=204384-07P", "View People Online")</f>
      </c>
    </row>
    <row r="417">
      <c r="A417" t="s" s="11">
        <v>3716</v>
      </c>
      <c r="B417" t="s" s="11">
        <v>3717</v>
      </c>
      <c r="C417" t="s" s="11">
        <v>34</v>
      </c>
      <c r="D417" t="s" s="11">
        <v>3718</v>
      </c>
      <c r="E417" t="s" s="11">
        <v>36</v>
      </c>
      <c r="F417" t="s" s="11">
        <v>584</v>
      </c>
      <c r="G417" t="s" s="11">
        <v>2364</v>
      </c>
      <c r="H417" s="17">
        <f>HYPERLINK("http://www.take2games.com", "www.take2games.com")</f>
      </c>
      <c r="I417" t="s" s="11">
        <v>1057</v>
      </c>
      <c r="J417" t="s" s="25">
        <v>34</v>
      </c>
      <c r="K417" t="s" s="25">
        <v>34</v>
      </c>
      <c r="L417" t="s" s="25">
        <v>34</v>
      </c>
      <c r="M417" t="s" s="13">
        <v>34</v>
      </c>
      <c r="N417" t="s" s="11">
        <v>34</v>
      </c>
      <c r="O417" t="s" s="11">
        <v>34</v>
      </c>
      <c r="P417" t="s" s="11">
        <v>34</v>
      </c>
      <c r="Q417" t="s" s="11">
        <v>34</v>
      </c>
      <c r="R417" t="s" s="11">
        <v>34</v>
      </c>
      <c r="S417" t="s" s="11">
        <v>34</v>
      </c>
      <c r="T417" t="s" s="13">
        <v>34</v>
      </c>
      <c r="U417" t="s" s="11">
        <v>34</v>
      </c>
      <c r="V417" t="s" s="13">
        <v>34</v>
      </c>
      <c r="W417" t="s" s="11">
        <v>3720</v>
      </c>
      <c r="X417" s="17">
        <f>HYPERLINK("https://my.pitchbook.com?p=57377-53P", "View People Online")</f>
      </c>
    </row>
    <row r="418">
      <c r="A418" t="s" s="10">
        <v>3721</v>
      </c>
      <c r="B418" t="s" s="10">
        <v>3722</v>
      </c>
      <c r="C418" t="s" s="10">
        <v>34</v>
      </c>
      <c r="D418" t="s" s="10">
        <v>3723</v>
      </c>
      <c r="E418" t="s" s="10">
        <v>36</v>
      </c>
      <c r="F418" t="s" s="10">
        <v>3724</v>
      </c>
      <c r="G418" t="s" s="10">
        <v>3725</v>
      </c>
      <c r="H418" s="16">
        <f>HYPERLINK("http://www.teknosa.com", "www.teknosa.com")</f>
      </c>
      <c r="I418" t="s" s="10">
        <v>108</v>
      </c>
      <c r="J418" s="24">
        <v>1</v>
      </c>
      <c r="K418" s="24">
        <v>1</v>
      </c>
      <c r="L418" t="s" s="24">
        <v>34</v>
      </c>
      <c r="M418" t="s" s="12">
        <v>34</v>
      </c>
      <c r="N418" t="s" s="10">
        <v>34</v>
      </c>
      <c r="O418" t="s" s="10">
        <v>3727</v>
      </c>
      <c r="P418" t="s" s="10">
        <v>3728</v>
      </c>
      <c r="Q418" t="s" s="10">
        <v>3729</v>
      </c>
      <c r="R418" t="s" s="10">
        <v>3730</v>
      </c>
      <c r="S418" t="s" s="10">
        <v>34</v>
      </c>
      <c r="T418" t="s" s="12">
        <v>3731</v>
      </c>
      <c r="U418" t="s" s="10">
        <v>3732</v>
      </c>
      <c r="V418" t="s" s="12">
        <v>34</v>
      </c>
      <c r="W418" t="s" s="10">
        <v>3733</v>
      </c>
      <c r="X418" s="16">
        <f>HYPERLINK("https://my.pitchbook.com?p=336765-07P", "View People Online")</f>
      </c>
    </row>
    <row r="419">
      <c r="A419" t="s" s="11">
        <v>3734</v>
      </c>
      <c r="B419" t="s" s="11">
        <v>3735</v>
      </c>
      <c r="C419" t="s" s="11">
        <v>34</v>
      </c>
      <c r="D419" t="s" s="11">
        <v>267</v>
      </c>
      <c r="E419" t="s" s="11">
        <v>36</v>
      </c>
      <c r="F419" t="s" s="11">
        <v>3736</v>
      </c>
      <c r="G419" t="s" s="11">
        <v>3737</v>
      </c>
      <c r="H419" s="17">
        <f>HYPERLINK("http://www.navigatorgas.com", "www.navigatorgas.com")</f>
      </c>
      <c r="I419" t="s" s="11">
        <v>263</v>
      </c>
      <c r="J419" t="s" s="25">
        <v>34</v>
      </c>
      <c r="K419" t="s" s="25">
        <v>34</v>
      </c>
      <c r="L419" t="s" s="25">
        <v>34</v>
      </c>
      <c r="M419" t="s" s="13">
        <v>34</v>
      </c>
      <c r="N419" t="s" s="11">
        <v>34</v>
      </c>
      <c r="O419" t="s" s="11">
        <v>34</v>
      </c>
      <c r="P419" t="s" s="11">
        <v>34</v>
      </c>
      <c r="Q419" t="s" s="11">
        <v>34</v>
      </c>
      <c r="R419" t="s" s="11">
        <v>34</v>
      </c>
      <c r="S419" t="s" s="11">
        <v>34</v>
      </c>
      <c r="T419" t="s" s="13">
        <v>34</v>
      </c>
      <c r="U419" t="s" s="11">
        <v>34</v>
      </c>
      <c r="V419" t="s" s="13">
        <v>34</v>
      </c>
      <c r="W419" t="s" s="11">
        <v>3738</v>
      </c>
      <c r="X419" s="17">
        <f>HYPERLINK("https://my.pitchbook.com?p=55073-26P", "View People Online")</f>
      </c>
    </row>
    <row r="420">
      <c r="A420" t="s" s="10">
        <v>3739</v>
      </c>
      <c r="B420" t="s" s="10">
        <v>3740</v>
      </c>
      <c r="C420" t="s" s="10">
        <v>34</v>
      </c>
      <c r="D420" t="s" s="10">
        <v>3741</v>
      </c>
      <c r="E420" t="s" s="10">
        <v>36</v>
      </c>
      <c r="F420" t="s" s="10">
        <v>3742</v>
      </c>
      <c r="G420" t="s" s="10">
        <v>3743</v>
      </c>
      <c r="H420" s="16">
        <f>HYPERLINK("http://www.golcondagold.com", "www.golcondagold.com")</f>
      </c>
      <c r="I420" t="s" s="10">
        <v>1249</v>
      </c>
      <c r="J420" s="24">
        <v>1</v>
      </c>
      <c r="K420" s="24">
        <v>6</v>
      </c>
      <c r="L420" s="24">
        <v>5</v>
      </c>
      <c r="M420" t="s" s="12">
        <v>3744</v>
      </c>
      <c r="N420" t="s" s="10">
        <v>3745</v>
      </c>
      <c r="O420" t="s" s="10">
        <v>1215</v>
      </c>
      <c r="P420" t="s" s="10">
        <v>3746</v>
      </c>
      <c r="Q420" t="s" s="10">
        <v>1233</v>
      </c>
      <c r="R420" t="s" s="10">
        <v>1218</v>
      </c>
      <c r="S420" t="s" s="10">
        <v>1219</v>
      </c>
      <c r="T420" t="s" s="12">
        <v>3747</v>
      </c>
      <c r="U420" t="s" s="10">
        <v>917</v>
      </c>
      <c r="V420" t="s" s="12">
        <v>3748</v>
      </c>
      <c r="W420" t="s" s="10">
        <v>3749</v>
      </c>
      <c r="X420" s="16">
        <f>HYPERLINK("https://my.pitchbook.com?p=99660-79P", "View People Online")</f>
      </c>
    </row>
    <row r="421">
      <c r="A421" t="s" s="11">
        <v>3750</v>
      </c>
      <c r="B421" t="s" s="11">
        <v>3751</v>
      </c>
      <c r="C421" t="s" s="11">
        <v>34</v>
      </c>
      <c r="D421" t="s" s="11">
        <v>3752</v>
      </c>
      <c r="E421" t="s" s="11">
        <v>36</v>
      </c>
      <c r="F421" t="s" s="11">
        <v>3753</v>
      </c>
      <c r="G421" t="s" s="11">
        <v>3743</v>
      </c>
      <c r="H421" s="17">
        <f>HYPERLINK("http://www.coveo.com", "www.coveo.com")</f>
      </c>
      <c r="I421" t="s" s="11">
        <v>1486</v>
      </c>
      <c r="J421" t="s" s="25">
        <v>34</v>
      </c>
      <c r="K421" s="25">
        <v>1</v>
      </c>
      <c r="L421" t="s" s="25">
        <v>34</v>
      </c>
      <c r="M421" t="s" s="13">
        <v>3755</v>
      </c>
      <c r="N421" t="s" s="11">
        <v>3756</v>
      </c>
      <c r="O421" t="s" s="11">
        <v>428</v>
      </c>
      <c r="P421" t="s" s="11">
        <v>34</v>
      </c>
      <c r="Q421" t="s" s="11">
        <v>34</v>
      </c>
      <c r="R421" t="s" s="11">
        <v>431</v>
      </c>
      <c r="S421" t="s" s="11">
        <v>432</v>
      </c>
      <c r="T421" t="s" s="13">
        <v>34</v>
      </c>
      <c r="U421" t="s" s="11">
        <v>161</v>
      </c>
      <c r="V421" t="s" s="13">
        <v>34</v>
      </c>
      <c r="W421" t="s" s="11">
        <v>3757</v>
      </c>
      <c r="X421" s="17">
        <f>HYPERLINK("https://my.pitchbook.com?p=69123-88P", "View People Online")</f>
      </c>
    </row>
    <row r="422">
      <c r="A422" t="s" s="10">
        <v>3758</v>
      </c>
      <c r="B422" t="s" s="10">
        <v>3759</v>
      </c>
      <c r="C422" t="s" s="10">
        <v>34</v>
      </c>
      <c r="D422" t="s" s="10">
        <v>1857</v>
      </c>
      <c r="E422" t="s" s="10">
        <v>36</v>
      </c>
      <c r="F422" t="s" s="10">
        <v>3760</v>
      </c>
      <c r="G422" t="s" s="10">
        <v>3743</v>
      </c>
      <c r="H422" s="16">
        <f>HYPERLINK("http://www.oxy.com", "www.oxy.com")</f>
      </c>
      <c r="I422" t="s" s="10">
        <v>108</v>
      </c>
      <c r="J422" t="s" s="24">
        <v>34</v>
      </c>
      <c r="K422" s="24">
        <v>1</v>
      </c>
      <c r="L422" t="s" s="24">
        <v>34</v>
      </c>
      <c r="M422" t="s" s="12">
        <v>3761</v>
      </c>
      <c r="N422" t="s" s="10">
        <v>34</v>
      </c>
      <c r="O422" t="s" s="10">
        <v>3345</v>
      </c>
      <c r="P422" t="s" s="10">
        <v>34</v>
      </c>
      <c r="Q422" t="s" s="10">
        <v>34</v>
      </c>
      <c r="R422" t="s" s="10">
        <v>3347</v>
      </c>
      <c r="S422" t="s" s="10">
        <v>2653</v>
      </c>
      <c r="T422" t="s" s="12">
        <v>34</v>
      </c>
      <c r="U422" t="s" s="10">
        <v>161</v>
      </c>
      <c r="V422" t="s" s="12">
        <v>34</v>
      </c>
      <c r="W422" t="s" s="10">
        <v>3762</v>
      </c>
      <c r="X422" s="16">
        <f>HYPERLINK("https://my.pitchbook.com?p=217722-34P", "View People Online")</f>
      </c>
    </row>
    <row r="423">
      <c r="A423" t="s" s="11">
        <v>3763</v>
      </c>
      <c r="B423" t="s" s="11">
        <v>3764</v>
      </c>
      <c r="C423" t="s" s="11">
        <v>34</v>
      </c>
      <c r="D423" t="s" s="11">
        <v>3765</v>
      </c>
      <c r="E423" t="s" s="11">
        <v>36</v>
      </c>
      <c r="F423" t="s" s="11">
        <v>3766</v>
      </c>
      <c r="G423" t="s" s="11">
        <v>3743</v>
      </c>
      <c r="H423" s="17">
        <f>HYPERLINK("http://www.scientificindustries.com", "www.scientificindustries.com")</f>
      </c>
      <c r="I423" t="s" s="11">
        <v>263</v>
      </c>
      <c r="J423" t="s" s="25">
        <v>34</v>
      </c>
      <c r="K423" s="25">
        <v>1</v>
      </c>
      <c r="L423" t="s" s="25">
        <v>34</v>
      </c>
      <c r="M423" t="s" s="13">
        <v>3768</v>
      </c>
      <c r="N423" t="s" s="11">
        <v>3769</v>
      </c>
      <c r="O423" t="s" s="11">
        <v>3770</v>
      </c>
      <c r="P423" t="s" s="11">
        <v>3771</v>
      </c>
      <c r="Q423" t="s" s="11">
        <v>3772</v>
      </c>
      <c r="R423" t="s" s="11">
        <v>3773</v>
      </c>
      <c r="S423" t="s" s="11">
        <v>1127</v>
      </c>
      <c r="T423" t="s" s="13">
        <v>3774</v>
      </c>
      <c r="U423" t="s" s="11">
        <v>161</v>
      </c>
      <c r="V423" t="s" s="13">
        <v>3775</v>
      </c>
      <c r="W423" t="s" s="11">
        <v>3776</v>
      </c>
      <c r="X423" s="17">
        <f>HYPERLINK("https://my.pitchbook.com?p=444835-18P", "View People Online")</f>
      </c>
    </row>
    <row r="424">
      <c r="A424" t="s" s="10">
        <v>3777</v>
      </c>
      <c r="B424" t="s" s="10">
        <v>3778</v>
      </c>
      <c r="C424" t="s" s="10">
        <v>34</v>
      </c>
      <c r="D424" t="s" s="10">
        <v>3779</v>
      </c>
      <c r="E424" t="s" s="10">
        <v>36</v>
      </c>
      <c r="F424" t="s" s="10">
        <v>3780</v>
      </c>
      <c r="G424" t="s" s="10">
        <v>3743</v>
      </c>
      <c r="H424" s="16">
        <f>HYPERLINK("http://www.viantinc.com", "www.viantinc.com")</f>
      </c>
      <c r="I424" t="s" s="10">
        <v>3263</v>
      </c>
      <c r="J424" t="s" s="24">
        <v>34</v>
      </c>
      <c r="K424" s="24">
        <v>1</v>
      </c>
      <c r="L424" t="s" s="24">
        <v>34</v>
      </c>
      <c r="M424" t="s" s="12">
        <v>3782</v>
      </c>
      <c r="N424" t="s" s="10">
        <v>3783</v>
      </c>
      <c r="O424" t="s" s="10">
        <v>3784</v>
      </c>
      <c r="P424" t="s" s="10">
        <v>3785</v>
      </c>
      <c r="Q424" t="s" s="10">
        <v>1455</v>
      </c>
      <c r="R424" t="s" s="10">
        <v>3786</v>
      </c>
      <c r="S424" t="s" s="10">
        <v>159</v>
      </c>
      <c r="T424" t="s" s="12">
        <v>3787</v>
      </c>
      <c r="U424" t="s" s="10">
        <v>161</v>
      </c>
      <c r="V424" t="s" s="12">
        <v>3788</v>
      </c>
      <c r="W424" t="s" s="10">
        <v>3789</v>
      </c>
      <c r="X424" s="16">
        <f>HYPERLINK("https://my.pitchbook.com?p=450692-74P", "View People Online")</f>
      </c>
    </row>
    <row r="425">
      <c r="A425" t="s" s="11">
        <v>3790</v>
      </c>
      <c r="B425" t="s" s="11">
        <v>3791</v>
      </c>
      <c r="C425" t="s" s="11">
        <v>34</v>
      </c>
      <c r="D425" t="s" s="11">
        <v>3792</v>
      </c>
      <c r="E425" t="s" s="11">
        <v>36</v>
      </c>
      <c r="F425" t="s" s="11">
        <v>3793</v>
      </c>
      <c r="G425" t="s" s="11">
        <v>3794</v>
      </c>
      <c r="H425" s="17">
        <f>HYPERLINK("http://www.ericsson.com", "www.ericsson.com")</f>
      </c>
      <c r="I425" t="s" s="11">
        <v>3796</v>
      </c>
      <c r="J425" t="s" s="25">
        <v>34</v>
      </c>
      <c r="K425" s="25">
        <v>1</v>
      </c>
      <c r="L425" t="s" s="25">
        <v>34</v>
      </c>
      <c r="M425" t="s" s="13">
        <v>3797</v>
      </c>
      <c r="N425" t="s" s="11">
        <v>3798</v>
      </c>
      <c r="O425" t="s" s="11">
        <v>2139</v>
      </c>
      <c r="P425" t="s" s="11">
        <v>3799</v>
      </c>
      <c r="Q425" t="s" s="11">
        <v>3047</v>
      </c>
      <c r="R425" t="s" s="11">
        <v>2141</v>
      </c>
      <c r="S425" t="s" s="11">
        <v>34</v>
      </c>
      <c r="T425" t="s" s="13">
        <v>3800</v>
      </c>
      <c r="U425" t="s" s="11">
        <v>902</v>
      </c>
      <c r="V425" t="s" s="13">
        <v>34</v>
      </c>
      <c r="W425" t="s" s="11">
        <v>3801</v>
      </c>
      <c r="X425" s="17">
        <f>HYPERLINK("https://my.pitchbook.com?p=71159-41P", "View People Online")</f>
      </c>
    </row>
    <row r="426">
      <c r="A426" t="s" s="10">
        <v>3802</v>
      </c>
      <c r="B426" t="s" s="10">
        <v>3803</v>
      </c>
      <c r="C426" t="s" s="10">
        <v>34</v>
      </c>
      <c r="D426" t="s" s="10">
        <v>112</v>
      </c>
      <c r="E426" t="s" s="10">
        <v>36</v>
      </c>
      <c r="F426" t="s" s="10">
        <v>3804</v>
      </c>
      <c r="G426" t="s" s="10">
        <v>3805</v>
      </c>
      <c r="H426" s="16">
        <f>HYPERLINK("http://www.harbourenergy.com", "www.harbourenergy.com")</f>
      </c>
      <c r="I426" t="s" s="10">
        <v>845</v>
      </c>
      <c r="J426" t="s" s="24">
        <v>34</v>
      </c>
      <c r="K426" s="24">
        <v>1</v>
      </c>
      <c r="L426" t="s" s="24">
        <v>34</v>
      </c>
      <c r="M426" t="s" s="12">
        <v>116</v>
      </c>
      <c r="N426" t="s" s="10">
        <v>3806</v>
      </c>
      <c r="O426" t="s" s="10">
        <v>117</v>
      </c>
      <c r="P426" t="s" s="10">
        <v>118</v>
      </c>
      <c r="Q426" t="s" s="10">
        <v>34</v>
      </c>
      <c r="R426" t="s" s="10">
        <v>119</v>
      </c>
      <c r="S426" t="s" s="10">
        <v>120</v>
      </c>
      <c r="T426" t="s" s="12">
        <v>121</v>
      </c>
      <c r="U426" t="s" s="10">
        <v>122</v>
      </c>
      <c r="V426" t="s" s="12">
        <v>123</v>
      </c>
      <c r="W426" t="s" s="10">
        <v>3807</v>
      </c>
      <c r="X426" s="16">
        <f>HYPERLINK("https://my.pitchbook.com?p=438394-24P", "View People Online")</f>
      </c>
    </row>
    <row r="427">
      <c r="A427" t="s" s="11">
        <v>3808</v>
      </c>
      <c r="B427" t="s" s="11">
        <v>3809</v>
      </c>
      <c r="C427" t="s" s="11">
        <v>34</v>
      </c>
      <c r="D427" t="s" s="11">
        <v>3810</v>
      </c>
      <c r="E427" t="s" s="11">
        <v>36</v>
      </c>
      <c r="F427" t="s" s="11">
        <v>1462</v>
      </c>
      <c r="G427" t="s" s="11">
        <v>3811</v>
      </c>
      <c r="H427" s="17">
        <f>HYPERLINK("http://www.serco.com", "www.serco.com")</f>
      </c>
      <c r="I427" t="s" s="11">
        <v>3813</v>
      </c>
      <c r="J427" t="s" s="25">
        <v>34</v>
      </c>
      <c r="K427" t="s" s="25">
        <v>34</v>
      </c>
      <c r="L427" t="s" s="25">
        <v>34</v>
      </c>
      <c r="M427" t="s" s="13">
        <v>34</v>
      </c>
      <c r="N427" t="s" s="11">
        <v>34</v>
      </c>
      <c r="O427" t="s" s="11">
        <v>34</v>
      </c>
      <c r="P427" t="s" s="11">
        <v>34</v>
      </c>
      <c r="Q427" t="s" s="11">
        <v>34</v>
      </c>
      <c r="R427" t="s" s="11">
        <v>34</v>
      </c>
      <c r="S427" t="s" s="11">
        <v>34</v>
      </c>
      <c r="T427" t="s" s="13">
        <v>34</v>
      </c>
      <c r="U427" t="s" s="11">
        <v>34</v>
      </c>
      <c r="V427" t="s" s="13">
        <v>34</v>
      </c>
      <c r="W427" t="s" s="11">
        <v>3814</v>
      </c>
      <c r="X427" s="17">
        <f>HYPERLINK("https://my.pitchbook.com?p=90658-36P", "View People Online")</f>
      </c>
    </row>
    <row r="428">
      <c r="A428" t="s" s="10">
        <v>3815</v>
      </c>
      <c r="B428" t="s" s="10">
        <v>3816</v>
      </c>
      <c r="C428" t="s" s="10">
        <v>34</v>
      </c>
      <c r="D428" t="s" s="10">
        <v>127</v>
      </c>
      <c r="E428" t="s" s="10">
        <v>36</v>
      </c>
      <c r="F428" t="s" s="10">
        <v>3817</v>
      </c>
      <c r="G428" t="s" s="10">
        <v>3818</v>
      </c>
      <c r="H428" s="16">
        <f>HYPERLINK("http://www.playtech.com", "www.playtech.com")</f>
      </c>
      <c r="I428" t="s" s="10">
        <v>3819</v>
      </c>
      <c r="J428" t="s" s="24">
        <v>34</v>
      </c>
      <c r="K428" t="s" s="24">
        <v>34</v>
      </c>
      <c r="L428" t="s" s="24">
        <v>34</v>
      </c>
      <c r="M428" t="s" s="12">
        <v>34</v>
      </c>
      <c r="N428" t="s" s="10">
        <v>34</v>
      </c>
      <c r="O428" t="s" s="10">
        <v>34</v>
      </c>
      <c r="P428" t="s" s="10">
        <v>34</v>
      </c>
      <c r="Q428" t="s" s="10">
        <v>34</v>
      </c>
      <c r="R428" t="s" s="10">
        <v>34</v>
      </c>
      <c r="S428" t="s" s="10">
        <v>34</v>
      </c>
      <c r="T428" t="s" s="12">
        <v>34</v>
      </c>
      <c r="U428" t="s" s="10">
        <v>34</v>
      </c>
      <c r="V428" t="s" s="12">
        <v>34</v>
      </c>
      <c r="W428" t="s" s="10">
        <v>3820</v>
      </c>
      <c r="X428" s="16">
        <f>HYPERLINK("https://my.pitchbook.com?p=145890-10P", "View People Online")</f>
      </c>
    </row>
    <row r="429">
      <c r="A429" t="s" s="11">
        <v>3821</v>
      </c>
      <c r="B429" t="s" s="11">
        <v>3822</v>
      </c>
      <c r="C429" t="s" s="11">
        <v>34</v>
      </c>
      <c r="D429" t="s" s="11">
        <v>741</v>
      </c>
      <c r="E429" t="s" s="11">
        <v>36</v>
      </c>
      <c r="F429" t="s" s="11">
        <v>3823</v>
      </c>
      <c r="G429" t="s" s="11">
        <v>3824</v>
      </c>
      <c r="H429" s="17">
        <f>HYPERLINK("http://www.vulcanmaterials.com", "www.vulcanmaterials.com")</f>
      </c>
      <c r="I429" t="s" s="11">
        <v>3825</v>
      </c>
      <c r="J429" t="s" s="25">
        <v>34</v>
      </c>
      <c r="K429" t="s" s="25">
        <v>34</v>
      </c>
      <c r="L429" t="s" s="25">
        <v>34</v>
      </c>
      <c r="M429" t="s" s="13">
        <v>34</v>
      </c>
      <c r="N429" t="s" s="11">
        <v>34</v>
      </c>
      <c r="O429" t="s" s="11">
        <v>34</v>
      </c>
      <c r="P429" t="s" s="11">
        <v>34</v>
      </c>
      <c r="Q429" t="s" s="11">
        <v>34</v>
      </c>
      <c r="R429" t="s" s="11">
        <v>34</v>
      </c>
      <c r="S429" t="s" s="11">
        <v>34</v>
      </c>
      <c r="T429" t="s" s="13">
        <v>34</v>
      </c>
      <c r="U429" t="s" s="11">
        <v>34</v>
      </c>
      <c r="V429" t="s" s="13">
        <v>34</v>
      </c>
      <c r="W429" t="s" s="11">
        <v>3826</v>
      </c>
      <c r="X429" s="17">
        <f>HYPERLINK("https://my.pitchbook.com?p=153894-52P", "View People Online")</f>
      </c>
    </row>
    <row r="430">
      <c r="A430" t="s" s="10">
        <v>3827</v>
      </c>
      <c r="B430" t="s" s="10">
        <v>3828</v>
      </c>
      <c r="C430" t="s" s="10">
        <v>34</v>
      </c>
      <c r="D430" t="s" s="10">
        <v>741</v>
      </c>
      <c r="E430" t="s" s="10">
        <v>36</v>
      </c>
      <c r="F430" t="s" s="10">
        <v>3829</v>
      </c>
      <c r="G430" t="s" s="10">
        <v>3830</v>
      </c>
      <c r="H430" s="16">
        <f>HYPERLINK("http://www.vulcanmaterials.com", "www.vulcanmaterials.com")</f>
      </c>
      <c r="I430" t="s" s="10">
        <v>3831</v>
      </c>
      <c r="J430" t="s" s="24">
        <v>34</v>
      </c>
      <c r="K430" t="s" s="24">
        <v>34</v>
      </c>
      <c r="L430" t="s" s="24">
        <v>34</v>
      </c>
      <c r="M430" t="s" s="12">
        <v>34</v>
      </c>
      <c r="N430" t="s" s="10">
        <v>34</v>
      </c>
      <c r="O430" t="s" s="10">
        <v>34</v>
      </c>
      <c r="P430" t="s" s="10">
        <v>34</v>
      </c>
      <c r="Q430" t="s" s="10">
        <v>34</v>
      </c>
      <c r="R430" t="s" s="10">
        <v>34</v>
      </c>
      <c r="S430" t="s" s="10">
        <v>34</v>
      </c>
      <c r="T430" t="s" s="12">
        <v>34</v>
      </c>
      <c r="U430" t="s" s="10">
        <v>34</v>
      </c>
      <c r="V430" t="s" s="12">
        <v>34</v>
      </c>
      <c r="W430" t="s" s="10">
        <v>3832</v>
      </c>
      <c r="X430" s="16">
        <f>HYPERLINK("https://my.pitchbook.com?p=41154-04P", "View People Online")</f>
      </c>
    </row>
    <row r="431">
      <c r="A431" t="s" s="11">
        <v>3833</v>
      </c>
      <c r="B431" t="s" s="11">
        <v>3834</v>
      </c>
      <c r="C431" t="s" s="11">
        <v>34</v>
      </c>
      <c r="D431" t="s" s="11">
        <v>279</v>
      </c>
      <c r="E431" t="s" s="11">
        <v>36</v>
      </c>
      <c r="F431" t="s" s="11">
        <v>3835</v>
      </c>
      <c r="G431" t="s" s="11">
        <v>3836</v>
      </c>
      <c r="H431" s="17">
        <f>HYPERLINK("http://www.enplusgroup.com", "www.enplusgroup.com")</f>
      </c>
      <c r="I431" t="s" s="11">
        <v>3837</v>
      </c>
      <c r="J431" s="25">
        <v>1</v>
      </c>
      <c r="K431" s="25">
        <v>9</v>
      </c>
      <c r="L431" s="25">
        <v>6</v>
      </c>
      <c r="M431" t="s" s="13">
        <v>282</v>
      </c>
      <c r="N431" t="s" s="11">
        <v>3838</v>
      </c>
      <c r="O431" t="s" s="11">
        <v>200</v>
      </c>
      <c r="P431" t="s" s="11">
        <v>284</v>
      </c>
      <c r="Q431" t="s" s="11">
        <v>34</v>
      </c>
      <c r="R431" t="s" s="11">
        <v>202</v>
      </c>
      <c r="S431" t="s" s="11">
        <v>34</v>
      </c>
      <c r="T431" t="s" s="13">
        <v>285</v>
      </c>
      <c r="U431" t="s" s="11">
        <v>204</v>
      </c>
      <c r="V431" t="s" s="13">
        <v>286</v>
      </c>
      <c r="W431" t="s" s="11">
        <v>3839</v>
      </c>
      <c r="X431" s="17">
        <f>HYPERLINK("https://my.pitchbook.com?p=93998-53P", "View People Online")</f>
      </c>
    </row>
    <row r="432">
      <c r="A432" t="s" s="10">
        <v>3840</v>
      </c>
      <c r="B432" t="s" s="10">
        <v>3841</v>
      </c>
      <c r="C432" t="s" s="10">
        <v>34</v>
      </c>
      <c r="D432" t="s" s="10">
        <v>3842</v>
      </c>
      <c r="E432" t="s" s="10">
        <v>36</v>
      </c>
      <c r="F432" t="s" s="10">
        <v>3843</v>
      </c>
      <c r="G432" t="s" s="10">
        <v>3844</v>
      </c>
      <c r="H432" s="16">
        <f>HYPERLINK("http://www.codereonline.com", "www.codereonline.com")</f>
      </c>
      <c r="I432" t="s" s="10">
        <v>441</v>
      </c>
      <c r="J432" t="s" s="24">
        <v>34</v>
      </c>
      <c r="K432" s="24">
        <v>1</v>
      </c>
      <c r="L432" t="s" s="24">
        <v>34</v>
      </c>
      <c r="M432" t="s" s="12">
        <v>3846</v>
      </c>
      <c r="N432" t="s" s="10">
        <v>34</v>
      </c>
      <c r="O432" t="s" s="10">
        <v>647</v>
      </c>
      <c r="P432" t="s" s="10">
        <v>3847</v>
      </c>
      <c r="Q432" t="s" s="10">
        <v>34</v>
      </c>
      <c r="R432" t="s" s="10">
        <v>650</v>
      </c>
      <c r="S432" t="s" s="10">
        <v>34</v>
      </c>
      <c r="T432" t="s" s="12">
        <v>3848</v>
      </c>
      <c r="U432" t="s" s="10">
        <v>653</v>
      </c>
      <c r="V432" t="s" s="12">
        <v>34</v>
      </c>
      <c r="W432" t="s" s="10">
        <v>3849</v>
      </c>
      <c r="X432" s="16">
        <f>HYPERLINK("https://my.pitchbook.com?p=15681-07P", "View People Online")</f>
      </c>
    </row>
    <row r="433">
      <c r="A433" t="s" s="11">
        <v>3850</v>
      </c>
      <c r="B433" t="s" s="11">
        <v>3851</v>
      </c>
      <c r="C433" t="s" s="11">
        <v>34</v>
      </c>
      <c r="D433" t="s" s="11">
        <v>3852</v>
      </c>
      <c r="E433" t="s" s="11">
        <v>36</v>
      </c>
      <c r="F433" t="s" s="11">
        <v>3853</v>
      </c>
      <c r="G433" t="s" s="11">
        <v>3854</v>
      </c>
      <c r="H433" s="17">
        <f>HYPERLINK("http://www.gam.com", "www.gam.com")</f>
      </c>
      <c r="I433" t="s" s="11">
        <v>3856</v>
      </c>
      <c r="J433" t="s" s="25">
        <v>34</v>
      </c>
      <c r="K433" t="s" s="25">
        <v>34</v>
      </c>
      <c r="L433" t="s" s="25">
        <v>34</v>
      </c>
      <c r="M433" t="s" s="13">
        <v>34</v>
      </c>
      <c r="N433" t="s" s="11">
        <v>34</v>
      </c>
      <c r="O433" t="s" s="11">
        <v>34</v>
      </c>
      <c r="P433" t="s" s="11">
        <v>34</v>
      </c>
      <c r="Q433" t="s" s="11">
        <v>34</v>
      </c>
      <c r="R433" t="s" s="11">
        <v>34</v>
      </c>
      <c r="S433" t="s" s="11">
        <v>34</v>
      </c>
      <c r="T433" t="s" s="13">
        <v>34</v>
      </c>
      <c r="U433" t="s" s="11">
        <v>34</v>
      </c>
      <c r="V433" t="s" s="13">
        <v>34</v>
      </c>
      <c r="W433" t="s" s="11">
        <v>3857</v>
      </c>
      <c r="X433" s="17">
        <f>HYPERLINK("https://my.pitchbook.com?p=174359-44P", "View People Online")</f>
      </c>
    </row>
    <row r="434">
      <c r="A434" t="s" s="10">
        <v>3858</v>
      </c>
      <c r="B434" t="s" s="10">
        <v>3859</v>
      </c>
      <c r="C434" t="s" s="10">
        <v>34</v>
      </c>
      <c r="D434" t="s" s="10">
        <v>3860</v>
      </c>
      <c r="E434" t="s" s="10">
        <v>36</v>
      </c>
      <c r="F434" t="s" s="10">
        <v>750</v>
      </c>
      <c r="G434" t="s" s="10">
        <v>3861</v>
      </c>
      <c r="H434" s="16">
        <f>HYPERLINK("http://www.paramount.com", "www.paramount.com")</f>
      </c>
      <c r="I434" t="s" s="10">
        <v>3863</v>
      </c>
      <c r="J434" t="s" s="24">
        <v>34</v>
      </c>
      <c r="K434" s="24">
        <v>2</v>
      </c>
      <c r="L434" t="s" s="24">
        <v>34</v>
      </c>
      <c r="M434" t="s" s="12">
        <v>34</v>
      </c>
      <c r="N434" t="s" s="10">
        <v>3864</v>
      </c>
      <c r="O434" t="s" s="10">
        <v>1125</v>
      </c>
      <c r="P434" t="s" s="10">
        <v>3865</v>
      </c>
      <c r="Q434" t="s" s="10">
        <v>34</v>
      </c>
      <c r="R434" t="s" s="10">
        <v>1127</v>
      </c>
      <c r="S434" t="s" s="10">
        <v>1127</v>
      </c>
      <c r="T434" t="s" s="12">
        <v>3866</v>
      </c>
      <c r="U434" t="s" s="10">
        <v>161</v>
      </c>
      <c r="V434" t="s" s="12">
        <v>34</v>
      </c>
      <c r="W434" t="s" s="10">
        <v>3867</v>
      </c>
      <c r="X434" s="16">
        <f>HYPERLINK("https://my.pitchbook.com?p=92158-03P", "View People Online")</f>
      </c>
    </row>
    <row r="435">
      <c r="A435" t="s" s="11">
        <v>3868</v>
      </c>
      <c r="B435" t="s" s="11">
        <v>3869</v>
      </c>
      <c r="C435" t="s" s="11">
        <v>34</v>
      </c>
      <c r="D435" t="s" s="11">
        <v>3870</v>
      </c>
      <c r="E435" t="s" s="11">
        <v>36</v>
      </c>
      <c r="F435" t="s" s="11">
        <v>750</v>
      </c>
      <c r="G435" t="s" s="11">
        <v>3871</v>
      </c>
      <c r="H435" s="17">
        <f>HYPERLINK("http://world.expeditions.com", "world.expeditions.com")</f>
      </c>
      <c r="I435" t="s" s="11">
        <v>108</v>
      </c>
      <c r="J435" s="25">
        <v>1</v>
      </c>
      <c r="K435" s="25">
        <v>1</v>
      </c>
      <c r="L435" t="s" s="25">
        <v>34</v>
      </c>
      <c r="M435" t="s" s="13">
        <v>3873</v>
      </c>
      <c r="N435" t="s" s="11">
        <v>34</v>
      </c>
      <c r="O435" t="s" s="11">
        <v>1125</v>
      </c>
      <c r="P435" t="s" s="11">
        <v>3874</v>
      </c>
      <c r="Q435" t="s" s="11">
        <v>3875</v>
      </c>
      <c r="R435" t="s" s="11">
        <v>1127</v>
      </c>
      <c r="S435" t="s" s="11">
        <v>1127</v>
      </c>
      <c r="T435" t="s" s="13">
        <v>3876</v>
      </c>
      <c r="U435" t="s" s="11">
        <v>161</v>
      </c>
      <c r="V435" t="s" s="13">
        <v>34</v>
      </c>
      <c r="W435" t="s" s="11">
        <v>3877</v>
      </c>
      <c r="X435" s="17">
        <f>HYPERLINK("https://my.pitchbook.com?p=436294-09P", "View People Online")</f>
      </c>
    </row>
    <row r="436">
      <c r="A436" t="s" s="10">
        <v>3878</v>
      </c>
      <c r="B436" t="s" s="10">
        <v>3879</v>
      </c>
      <c r="C436" t="s" s="10">
        <v>34</v>
      </c>
      <c r="D436" t="s" s="10">
        <v>165</v>
      </c>
      <c r="E436" t="s" s="10">
        <v>36</v>
      </c>
      <c r="F436" t="s" s="10">
        <v>3880</v>
      </c>
      <c r="G436" t="s" s="10">
        <v>3881</v>
      </c>
      <c r="H436" s="16">
        <f>HYPERLINK("http://www.erg.eu", "www.erg.eu")</f>
      </c>
      <c r="I436" t="s" s="10">
        <v>3882</v>
      </c>
      <c r="J436" t="s" s="24">
        <v>34</v>
      </c>
      <c r="K436" s="24">
        <v>1</v>
      </c>
      <c r="L436" t="s" s="24">
        <v>34</v>
      </c>
      <c r="M436" t="s" s="12">
        <v>170</v>
      </c>
      <c r="N436" t="s" s="10">
        <v>3883</v>
      </c>
      <c r="O436" t="s" s="10">
        <v>172</v>
      </c>
      <c r="P436" t="s" s="10">
        <v>173</v>
      </c>
      <c r="Q436" t="s" s="10">
        <v>34</v>
      </c>
      <c r="R436" t="s" s="10">
        <v>174</v>
      </c>
      <c r="S436" t="s" s="10">
        <v>34</v>
      </c>
      <c r="T436" t="s" s="12">
        <v>175</v>
      </c>
      <c r="U436" t="s" s="10">
        <v>176</v>
      </c>
      <c r="V436" t="s" s="12">
        <v>177</v>
      </c>
      <c r="W436" t="s" s="10">
        <v>3884</v>
      </c>
      <c r="X436" s="16">
        <f>HYPERLINK("https://my.pitchbook.com?p=145890-82P", "View People Online")</f>
      </c>
    </row>
    <row r="437">
      <c r="A437" t="s" s="11">
        <v>3885</v>
      </c>
      <c r="B437" t="s" s="11">
        <v>3886</v>
      </c>
      <c r="C437" t="s" s="11">
        <v>34</v>
      </c>
      <c r="D437" t="s" s="11">
        <v>165</v>
      </c>
      <c r="E437" t="s" s="11">
        <v>36</v>
      </c>
      <c r="F437" t="s" s="11">
        <v>3887</v>
      </c>
      <c r="G437" t="s" s="11">
        <v>3881</v>
      </c>
      <c r="H437" s="17">
        <f>HYPERLINK("http://www.erg.eu", "www.erg.eu")</f>
      </c>
      <c r="I437" t="s" s="11">
        <v>1249</v>
      </c>
      <c r="J437" s="25">
        <v>1</v>
      </c>
      <c r="K437" s="25">
        <v>12</v>
      </c>
      <c r="L437" s="25">
        <v>11</v>
      </c>
      <c r="M437" t="s" s="13">
        <v>170</v>
      </c>
      <c r="N437" t="s" s="11">
        <v>3888</v>
      </c>
      <c r="O437" t="s" s="11">
        <v>172</v>
      </c>
      <c r="P437" t="s" s="11">
        <v>173</v>
      </c>
      <c r="Q437" t="s" s="11">
        <v>34</v>
      </c>
      <c r="R437" t="s" s="11">
        <v>174</v>
      </c>
      <c r="S437" t="s" s="11">
        <v>34</v>
      </c>
      <c r="T437" t="s" s="13">
        <v>175</v>
      </c>
      <c r="U437" t="s" s="11">
        <v>176</v>
      </c>
      <c r="V437" t="s" s="13">
        <v>177</v>
      </c>
      <c r="W437" t="s" s="11">
        <v>3889</v>
      </c>
      <c r="X437" s="17">
        <f>HYPERLINK("https://my.pitchbook.com?p=130910-95P", "View People Online")</f>
      </c>
    </row>
    <row r="438">
      <c r="A438" t="s" s="10">
        <v>3890</v>
      </c>
      <c r="B438" t="s" s="10">
        <v>3891</v>
      </c>
      <c r="C438" t="s" s="10">
        <v>34</v>
      </c>
      <c r="D438" t="s" s="10">
        <v>3892</v>
      </c>
      <c r="E438" t="s" s="10">
        <v>36</v>
      </c>
      <c r="F438" t="s" s="10">
        <v>3893</v>
      </c>
      <c r="G438" t="s" s="10">
        <v>3894</v>
      </c>
      <c r="H438" s="16">
        <f>HYPERLINK("http://www.cnh.com", "www.cnh.com")</f>
      </c>
      <c r="I438" t="s" s="10">
        <v>3896</v>
      </c>
      <c r="J438" t="s" s="24">
        <v>34</v>
      </c>
      <c r="K438" t="s" s="24">
        <v>34</v>
      </c>
      <c r="L438" t="s" s="24">
        <v>34</v>
      </c>
      <c r="M438" t="s" s="12">
        <v>34</v>
      </c>
      <c r="N438" t="s" s="10">
        <v>3897</v>
      </c>
      <c r="O438" t="s" s="10">
        <v>34</v>
      </c>
      <c r="P438" t="s" s="10">
        <v>34</v>
      </c>
      <c r="Q438" t="s" s="10">
        <v>34</v>
      </c>
      <c r="R438" t="s" s="10">
        <v>34</v>
      </c>
      <c r="S438" t="s" s="10">
        <v>34</v>
      </c>
      <c r="T438" t="s" s="12">
        <v>34</v>
      </c>
      <c r="U438" t="s" s="10">
        <v>34</v>
      </c>
      <c r="V438" t="s" s="12">
        <v>34</v>
      </c>
      <c r="W438" t="s" s="10">
        <v>3898</v>
      </c>
      <c r="X438" s="16">
        <f>HYPERLINK("https://my.pitchbook.com?p=118769-86P", "View People Online")</f>
      </c>
    </row>
    <row r="439">
      <c r="A439" t="s" s="11">
        <v>3899</v>
      </c>
      <c r="B439" t="s" s="11">
        <v>3900</v>
      </c>
      <c r="C439" t="s" s="11">
        <v>34</v>
      </c>
      <c r="D439" t="s" s="11">
        <v>1469</v>
      </c>
      <c r="E439" t="s" s="11">
        <v>36</v>
      </c>
      <c r="F439" t="s" s="11">
        <v>3901</v>
      </c>
      <c r="G439" t="s" s="11">
        <v>3902</v>
      </c>
      <c r="H439" s="17">
        <f>HYPERLINK("http://www.tridentindia.com", "www.tridentindia.com")</f>
      </c>
      <c r="I439" t="s" s="11">
        <v>3903</v>
      </c>
      <c r="J439" t="s" s="25">
        <v>34</v>
      </c>
      <c r="K439" s="25">
        <v>1</v>
      </c>
      <c r="L439" t="s" s="25">
        <v>34</v>
      </c>
      <c r="M439" t="s" s="13">
        <v>34</v>
      </c>
      <c r="N439" t="s" s="11">
        <v>3904</v>
      </c>
      <c r="O439" t="s" s="11">
        <v>1474</v>
      </c>
      <c r="P439" t="s" s="11">
        <v>1469</v>
      </c>
      <c r="Q439" t="s" s="11">
        <v>1475</v>
      </c>
      <c r="R439" t="s" s="11">
        <v>1476</v>
      </c>
      <c r="S439" t="s" s="11">
        <v>1477</v>
      </c>
      <c r="T439" t="s" s="13">
        <v>1478</v>
      </c>
      <c r="U439" t="s" s="11">
        <v>1479</v>
      </c>
      <c r="V439" t="s" s="13">
        <v>1480</v>
      </c>
      <c r="W439" t="s" s="11">
        <v>3905</v>
      </c>
      <c r="X439" s="17">
        <f>HYPERLINK("https://my.pitchbook.com?p=379729-63P", "View People Online")</f>
      </c>
    </row>
    <row r="440">
      <c r="A440" t="s" s="10">
        <v>3906</v>
      </c>
      <c r="B440" t="s" s="10">
        <v>3907</v>
      </c>
      <c r="C440" t="s" s="10">
        <v>34</v>
      </c>
      <c r="D440" t="s" s="10">
        <v>1743</v>
      </c>
      <c r="E440" t="s" s="10">
        <v>36</v>
      </c>
      <c r="F440" t="s" s="10">
        <v>3908</v>
      </c>
      <c r="G440" t="s" s="10">
        <v>3909</v>
      </c>
      <c r="H440" s="16">
        <f>HYPERLINK("http://www.vulcanminerals.ca", "www.vulcanminerals.ca")</f>
      </c>
      <c r="I440" t="s" s="10">
        <v>3910</v>
      </c>
      <c r="J440" s="24">
        <v>2</v>
      </c>
      <c r="K440" s="24">
        <v>6</v>
      </c>
      <c r="L440" s="24">
        <v>4</v>
      </c>
      <c r="M440" t="s" s="12">
        <v>1747</v>
      </c>
      <c r="N440" t="s" s="10">
        <v>3911</v>
      </c>
      <c r="O440" t="s" s="10">
        <v>1749</v>
      </c>
      <c r="P440" t="s" s="10">
        <v>1750</v>
      </c>
      <c r="Q440" t="s" s="10">
        <v>34</v>
      </c>
      <c r="R440" t="s" s="10">
        <v>1751</v>
      </c>
      <c r="S440" t="s" s="10">
        <v>1752</v>
      </c>
      <c r="T440" t="s" s="12">
        <v>1753</v>
      </c>
      <c r="U440" t="s" s="10">
        <v>917</v>
      </c>
      <c r="V440" t="s" s="12">
        <v>34</v>
      </c>
      <c r="W440" t="s" s="10">
        <v>3912</v>
      </c>
      <c r="X440" s="16">
        <f>HYPERLINK("https://my.pitchbook.com?p=141213-43P", "View People Online")</f>
      </c>
    </row>
    <row r="441">
      <c r="A441" t="s" s="11">
        <v>3913</v>
      </c>
      <c r="B441" t="s" s="11">
        <v>3914</v>
      </c>
      <c r="C441" t="s" s="11">
        <v>34</v>
      </c>
      <c r="D441" t="s" s="11">
        <v>3915</v>
      </c>
      <c r="E441" t="s" s="11">
        <v>36</v>
      </c>
      <c r="F441" t="s" s="11">
        <v>1326</v>
      </c>
      <c r="G441" t="s" s="11">
        <v>3916</v>
      </c>
      <c r="H441" s="17">
        <f>HYPERLINK("http://www.admiralgroup.co.uk", "www.admiralgroup.co.uk")</f>
      </c>
      <c r="I441" t="s" s="11">
        <v>1733</v>
      </c>
      <c r="J441" t="s" s="25">
        <v>34</v>
      </c>
      <c r="K441" s="25">
        <v>1</v>
      </c>
      <c r="L441" s="25">
        <v>1</v>
      </c>
      <c r="M441" t="s" s="13">
        <v>34</v>
      </c>
      <c r="N441" t="s" s="11">
        <v>34</v>
      </c>
      <c r="O441" t="s" s="11">
        <v>34</v>
      </c>
      <c r="P441" t="s" s="11">
        <v>34</v>
      </c>
      <c r="Q441" t="s" s="11">
        <v>34</v>
      </c>
      <c r="R441" t="s" s="11">
        <v>34</v>
      </c>
      <c r="S441" t="s" s="11">
        <v>34</v>
      </c>
      <c r="T441" t="s" s="13">
        <v>34</v>
      </c>
      <c r="U441" t="s" s="11">
        <v>34</v>
      </c>
      <c r="V441" t="s" s="13">
        <v>34</v>
      </c>
      <c r="W441" t="s" s="11">
        <v>3918</v>
      </c>
      <c r="X441" s="17">
        <f>HYPERLINK("https://my.pitchbook.com?p=114375-07P", "View People Online")</f>
      </c>
    </row>
    <row r="442">
      <c r="A442" t="s" s="10">
        <v>3919</v>
      </c>
      <c r="B442" t="s" s="10">
        <v>3914</v>
      </c>
      <c r="C442" t="s" s="10">
        <v>34</v>
      </c>
      <c r="D442" t="s" s="10">
        <v>3920</v>
      </c>
      <c r="E442" t="s" s="10">
        <v>36</v>
      </c>
      <c r="F442" t="s" s="10">
        <v>1326</v>
      </c>
      <c r="G442" t="s" s="10">
        <v>3916</v>
      </c>
      <c r="H442" s="16">
        <f>HYPERLINK("http://corporate.charter.com", "corporate.charter.com")</f>
      </c>
      <c r="I442" t="s" s="10">
        <v>910</v>
      </c>
      <c r="J442" t="s" s="24">
        <v>34</v>
      </c>
      <c r="K442" t="s" s="24">
        <v>34</v>
      </c>
      <c r="L442" t="s" s="24">
        <v>34</v>
      </c>
      <c r="M442" t="s" s="12">
        <v>34</v>
      </c>
      <c r="N442" t="s" s="10">
        <v>34</v>
      </c>
      <c r="O442" t="s" s="10">
        <v>34</v>
      </c>
      <c r="P442" t="s" s="10">
        <v>34</v>
      </c>
      <c r="Q442" t="s" s="10">
        <v>34</v>
      </c>
      <c r="R442" t="s" s="10">
        <v>34</v>
      </c>
      <c r="S442" t="s" s="10">
        <v>34</v>
      </c>
      <c r="T442" t="s" s="12">
        <v>34</v>
      </c>
      <c r="U442" t="s" s="10">
        <v>34</v>
      </c>
      <c r="V442" t="s" s="12">
        <v>34</v>
      </c>
      <c r="W442" t="s" s="10">
        <v>3922</v>
      </c>
      <c r="X442" s="16">
        <f>HYPERLINK("https://my.pitchbook.com?p=130702-24P", "View People Online")</f>
      </c>
    </row>
    <row r="443">
      <c r="A443" t="s" s="11">
        <v>3923</v>
      </c>
      <c r="B443" t="s" s="11">
        <v>3914</v>
      </c>
      <c r="C443" t="s" s="11">
        <v>34</v>
      </c>
      <c r="D443" t="s" s="11">
        <v>3924</v>
      </c>
      <c r="E443" t="s" s="11">
        <v>36</v>
      </c>
      <c r="F443" t="s" s="11">
        <v>1326</v>
      </c>
      <c r="G443" t="s" s="11">
        <v>3916</v>
      </c>
      <c r="H443" s="17">
        <f>HYPERLINK("http://www.edufocal.com", "www.edufocal.com")</f>
      </c>
      <c r="I443" t="s" s="11">
        <v>3926</v>
      </c>
      <c r="J443" t="s" s="25">
        <v>34</v>
      </c>
      <c r="K443" s="25">
        <v>1</v>
      </c>
      <c r="L443" t="s" s="25">
        <v>34</v>
      </c>
      <c r="M443" t="s" s="13">
        <v>3927</v>
      </c>
      <c r="N443" t="s" s="11">
        <v>3928</v>
      </c>
      <c r="O443" t="s" s="11">
        <v>3929</v>
      </c>
      <c r="P443" t="s" s="11">
        <v>3930</v>
      </c>
      <c r="Q443" t="s" s="11">
        <v>3931</v>
      </c>
      <c r="R443" t="s" s="11">
        <v>3932</v>
      </c>
      <c r="S443" t="s" s="11">
        <v>34</v>
      </c>
      <c r="T443" t="s" s="13">
        <v>34</v>
      </c>
      <c r="U443" t="s" s="11">
        <v>3933</v>
      </c>
      <c r="V443" t="s" s="13">
        <v>34</v>
      </c>
      <c r="W443" t="s" s="11">
        <v>3934</v>
      </c>
      <c r="X443" s="17">
        <f>HYPERLINK("https://my.pitchbook.com?p=329614-12P", "View People Online")</f>
      </c>
    </row>
    <row r="444">
      <c r="A444" t="s" s="10">
        <v>3935</v>
      </c>
      <c r="B444" t="s" s="10">
        <v>3914</v>
      </c>
      <c r="C444" t="s" s="10">
        <v>34</v>
      </c>
      <c r="D444" t="s" s="10">
        <v>3936</v>
      </c>
      <c r="E444" t="s" s="10">
        <v>36</v>
      </c>
      <c r="F444" t="s" s="10">
        <v>1326</v>
      </c>
      <c r="G444" t="s" s="10">
        <v>3916</v>
      </c>
      <c r="H444" s="16">
        <f>HYPERLINK("http://www.airship.ai", "www.airship.ai")</f>
      </c>
      <c r="I444" t="s" s="10">
        <v>299</v>
      </c>
      <c r="J444" t="s" s="24">
        <v>34</v>
      </c>
      <c r="K444" s="24">
        <v>1</v>
      </c>
      <c r="L444" t="s" s="24">
        <v>34</v>
      </c>
      <c r="M444" t="s" s="12">
        <v>3938</v>
      </c>
      <c r="N444" t="s" s="10">
        <v>3939</v>
      </c>
      <c r="O444" t="s" s="10">
        <v>3940</v>
      </c>
      <c r="P444" t="s" s="10">
        <v>3941</v>
      </c>
      <c r="Q444" t="s" s="10">
        <v>34</v>
      </c>
      <c r="R444" t="s" s="10">
        <v>3942</v>
      </c>
      <c r="S444" t="s" s="10">
        <v>1852</v>
      </c>
      <c r="T444" t="s" s="12">
        <v>3943</v>
      </c>
      <c r="U444" t="s" s="10">
        <v>161</v>
      </c>
      <c r="V444" t="s" s="12">
        <v>3944</v>
      </c>
      <c r="W444" t="s" s="10">
        <v>3945</v>
      </c>
      <c r="X444" s="16">
        <f>HYPERLINK("https://my.pitchbook.com?p=339088-51P", "View People Online")</f>
      </c>
    </row>
    <row r="445">
      <c r="A445" t="s" s="11">
        <v>3946</v>
      </c>
      <c r="B445" t="s" s="11">
        <v>3914</v>
      </c>
      <c r="C445" t="s" s="11">
        <v>34</v>
      </c>
      <c r="D445" t="s" s="11">
        <v>3947</v>
      </c>
      <c r="E445" t="s" s="11">
        <v>36</v>
      </c>
      <c r="F445" t="s" s="11">
        <v>1326</v>
      </c>
      <c r="G445" t="s" s="11">
        <v>3916</v>
      </c>
      <c r="H445" s="17">
        <f>HYPERLINK("http://www.celadonpharma.com", "www.celadonpharma.com")</f>
      </c>
      <c r="I445" t="s" s="11">
        <v>3949</v>
      </c>
      <c r="J445" t="s" s="25">
        <v>34</v>
      </c>
      <c r="K445" s="25">
        <v>1</v>
      </c>
      <c r="L445" t="s" s="25">
        <v>34</v>
      </c>
      <c r="M445" t="s" s="13">
        <v>3950</v>
      </c>
      <c r="N445" t="s" s="11">
        <v>3951</v>
      </c>
      <c r="O445" t="s" s="11">
        <v>117</v>
      </c>
      <c r="P445" t="s" s="11">
        <v>3952</v>
      </c>
      <c r="Q445" t="s" s="11">
        <v>34</v>
      </c>
      <c r="R445" t="s" s="11">
        <v>119</v>
      </c>
      <c r="S445" t="s" s="11">
        <v>120</v>
      </c>
      <c r="T445" t="s" s="13">
        <v>3953</v>
      </c>
      <c r="U445" t="s" s="11">
        <v>122</v>
      </c>
      <c r="V445" t="s" s="13">
        <v>34</v>
      </c>
      <c r="W445" t="s" s="11">
        <v>3954</v>
      </c>
      <c r="X445" s="17">
        <f>HYPERLINK("https://my.pitchbook.com?p=410124-88P", "View People Online")</f>
      </c>
    </row>
    <row r="446">
      <c r="A446" t="s" s="10">
        <v>3955</v>
      </c>
      <c r="B446" t="s" s="10">
        <v>3956</v>
      </c>
      <c r="C446" t="s" s="10">
        <v>34</v>
      </c>
      <c r="D446" t="s" s="10">
        <v>3957</v>
      </c>
      <c r="E446" t="s" s="10">
        <v>36</v>
      </c>
      <c r="F446" t="s" s="10">
        <v>1210</v>
      </c>
      <c r="G446" t="s" s="10">
        <v>3916</v>
      </c>
      <c r="H446" s="16">
        <f>HYPERLINK("http://www.elastic.co", "www.elastic.co")</f>
      </c>
      <c r="I446" t="s" s="10">
        <v>3959</v>
      </c>
      <c r="J446" t="s" s="24">
        <v>34</v>
      </c>
      <c r="K446" t="s" s="24">
        <v>34</v>
      </c>
      <c r="L446" t="s" s="24">
        <v>34</v>
      </c>
      <c r="M446" t="s" s="12">
        <v>34</v>
      </c>
      <c r="N446" t="s" s="10">
        <v>34</v>
      </c>
      <c r="O446" t="s" s="10">
        <v>34</v>
      </c>
      <c r="P446" t="s" s="10">
        <v>34</v>
      </c>
      <c r="Q446" t="s" s="10">
        <v>34</v>
      </c>
      <c r="R446" t="s" s="10">
        <v>34</v>
      </c>
      <c r="S446" t="s" s="10">
        <v>34</v>
      </c>
      <c r="T446" t="s" s="12">
        <v>34</v>
      </c>
      <c r="U446" t="s" s="10">
        <v>34</v>
      </c>
      <c r="V446" t="s" s="12">
        <v>34</v>
      </c>
      <c r="W446" t="s" s="10">
        <v>3960</v>
      </c>
      <c r="X446" s="16">
        <f>HYPERLINK("https://my.pitchbook.com?p=84629-44P", "View People Online")</f>
      </c>
    </row>
    <row r="447">
      <c r="A447" t="s" s="11">
        <v>3961</v>
      </c>
      <c r="B447" t="s" s="11">
        <v>3962</v>
      </c>
      <c r="C447" t="s" s="11">
        <v>34</v>
      </c>
      <c r="D447" t="s" s="11">
        <v>3963</v>
      </c>
      <c r="E447" t="s" s="11">
        <v>36</v>
      </c>
      <c r="F447" t="s" s="11">
        <v>1186</v>
      </c>
      <c r="G447" t="s" s="11">
        <v>3916</v>
      </c>
      <c r="H447" s="17">
        <f>HYPERLINK("http://www.vanquis.com", "www.vanquis.com")</f>
      </c>
      <c r="I447" t="s" s="11">
        <v>108</v>
      </c>
      <c r="J447" s="25">
        <v>5</v>
      </c>
      <c r="K447" s="25">
        <v>5</v>
      </c>
      <c r="L447" t="s" s="25">
        <v>34</v>
      </c>
      <c r="M447" t="s" s="13">
        <v>3965</v>
      </c>
      <c r="N447" t="s" s="11">
        <v>3966</v>
      </c>
      <c r="O447" t="s" s="11">
        <v>117</v>
      </c>
      <c r="P447" t="s" s="11">
        <v>3967</v>
      </c>
      <c r="Q447" t="s" s="11">
        <v>34</v>
      </c>
      <c r="R447" t="s" s="11">
        <v>119</v>
      </c>
      <c r="S447" t="s" s="11">
        <v>120</v>
      </c>
      <c r="T447" t="s" s="13">
        <v>3968</v>
      </c>
      <c r="U447" t="s" s="11">
        <v>122</v>
      </c>
      <c r="V447" t="s" s="13">
        <v>34</v>
      </c>
      <c r="W447" t="s" s="11">
        <v>3969</v>
      </c>
      <c r="X447" s="17">
        <f>HYPERLINK("https://my.pitchbook.com?p=55041-22P", "View People Online")</f>
      </c>
    </row>
    <row r="448">
      <c r="A448" t="s" s="10">
        <v>3970</v>
      </c>
      <c r="B448" t="s" s="10">
        <v>3971</v>
      </c>
      <c r="C448" t="s" s="10">
        <v>34</v>
      </c>
      <c r="D448" t="s" s="10">
        <v>3972</v>
      </c>
      <c r="E448" t="s" s="10">
        <v>36</v>
      </c>
      <c r="F448" t="s" s="10">
        <v>3973</v>
      </c>
      <c r="G448" t="s" s="10">
        <v>3916</v>
      </c>
      <c r="H448" s="16">
        <f>HYPERLINK("http://somnigroup.com", "somnigroup.com")</f>
      </c>
      <c r="I448" t="s" s="10">
        <v>108</v>
      </c>
      <c r="J448" t="s" s="24">
        <v>34</v>
      </c>
      <c r="K448" t="s" s="24">
        <v>34</v>
      </c>
      <c r="L448" t="s" s="24">
        <v>34</v>
      </c>
      <c r="M448" t="s" s="12">
        <v>34</v>
      </c>
      <c r="N448" t="s" s="10">
        <v>34</v>
      </c>
      <c r="O448" t="s" s="10">
        <v>34</v>
      </c>
      <c r="P448" t="s" s="10">
        <v>34</v>
      </c>
      <c r="Q448" t="s" s="10">
        <v>34</v>
      </c>
      <c r="R448" t="s" s="10">
        <v>34</v>
      </c>
      <c r="S448" t="s" s="10">
        <v>34</v>
      </c>
      <c r="T448" t="s" s="12">
        <v>34</v>
      </c>
      <c r="U448" t="s" s="10">
        <v>34</v>
      </c>
      <c r="V448" t="s" s="12">
        <v>34</v>
      </c>
      <c r="W448" t="s" s="10">
        <v>3975</v>
      </c>
      <c r="X448" s="16">
        <f>HYPERLINK("https://my.pitchbook.com?p=56972-80P", "View People Online")</f>
      </c>
    </row>
    <row r="449">
      <c r="A449" t="s" s="11">
        <v>3976</v>
      </c>
      <c r="B449" t="s" s="11">
        <v>3977</v>
      </c>
      <c r="C449" t="s" s="11">
        <v>34</v>
      </c>
      <c r="D449" t="s" s="11">
        <v>3978</v>
      </c>
      <c r="E449" t="s" s="11">
        <v>36</v>
      </c>
      <c r="F449" t="s" s="11">
        <v>3979</v>
      </c>
      <c r="G449" t="s" s="11">
        <v>3980</v>
      </c>
      <c r="H449" s="17">
        <f>HYPERLINK("http://www.tcmgroup.dk", "www.tcmgroup.dk")</f>
      </c>
      <c r="I449" t="s" s="11">
        <v>108</v>
      </c>
      <c r="J449" s="25">
        <v>1</v>
      </c>
      <c r="K449" s="25">
        <v>1</v>
      </c>
      <c r="L449" t="s" s="25">
        <v>34</v>
      </c>
      <c r="M449" t="s" s="13">
        <v>3982</v>
      </c>
      <c r="N449" t="s" s="11">
        <v>34</v>
      </c>
      <c r="O449" t="s" s="11">
        <v>3983</v>
      </c>
      <c r="P449" t="s" s="11">
        <v>3984</v>
      </c>
      <c r="Q449" t="s" s="11">
        <v>34</v>
      </c>
      <c r="R449" t="s" s="11">
        <v>3985</v>
      </c>
      <c r="S449" t="s" s="11">
        <v>34</v>
      </c>
      <c r="T449" t="s" s="13">
        <v>3986</v>
      </c>
      <c r="U449" t="s" s="11">
        <v>3987</v>
      </c>
      <c r="V449" t="s" s="13">
        <v>34</v>
      </c>
      <c r="W449" t="s" s="11">
        <v>3988</v>
      </c>
      <c r="X449" s="17">
        <f>HYPERLINK("https://my.pitchbook.com?p=387427-69P", "View People Online")</f>
      </c>
    </row>
    <row r="450">
      <c r="A450" t="s" s="10">
        <v>3989</v>
      </c>
      <c r="B450" t="s" s="10">
        <v>3990</v>
      </c>
      <c r="C450" t="s" s="10">
        <v>34</v>
      </c>
      <c r="D450" t="s" s="10">
        <v>3991</v>
      </c>
      <c r="E450" t="s" s="10">
        <v>36</v>
      </c>
      <c r="F450" t="s" s="10">
        <v>3992</v>
      </c>
      <c r="G450" t="s" s="10">
        <v>3993</v>
      </c>
      <c r="H450" s="16">
        <f>HYPERLINK("http://www.ambertech.com.au", "www.ambertech.com.au")</f>
      </c>
      <c r="I450" t="s" s="10">
        <v>1733</v>
      </c>
      <c r="J450" t="s" s="24">
        <v>34</v>
      </c>
      <c r="K450" s="24">
        <v>4</v>
      </c>
      <c r="L450" s="24">
        <v>3</v>
      </c>
      <c r="M450" t="s" s="12">
        <v>3995</v>
      </c>
      <c r="N450" t="s" s="10">
        <v>3996</v>
      </c>
      <c r="O450" t="s" s="10">
        <v>3997</v>
      </c>
      <c r="P450" t="s" s="10">
        <v>3998</v>
      </c>
      <c r="Q450" t="s" s="10">
        <v>3999</v>
      </c>
      <c r="R450" t="s" s="10">
        <v>4000</v>
      </c>
      <c r="S450" t="s" s="10">
        <v>3622</v>
      </c>
      <c r="T450" t="s" s="12">
        <v>4001</v>
      </c>
      <c r="U450" t="s" s="10">
        <v>57</v>
      </c>
      <c r="V450" t="s" s="12">
        <v>4002</v>
      </c>
      <c r="W450" t="s" s="10">
        <v>4003</v>
      </c>
      <c r="X450" s="16">
        <f>HYPERLINK("https://my.pitchbook.com?p=286525-09P", "View People Online")</f>
      </c>
    </row>
    <row r="451">
      <c r="A451" t="s" s="11">
        <v>4004</v>
      </c>
      <c r="B451" t="s" s="11">
        <v>4005</v>
      </c>
      <c r="C451" t="s" s="11">
        <v>34</v>
      </c>
      <c r="D451" t="s" s="11">
        <v>4006</v>
      </c>
      <c r="E451" t="s" s="11">
        <v>36</v>
      </c>
      <c r="F451" t="s" s="11">
        <v>4007</v>
      </c>
      <c r="G451" t="s" s="11">
        <v>3993</v>
      </c>
      <c r="H451" s="17">
        <f>HYPERLINK("http://www.solar.eu", "www.solar.eu")</f>
      </c>
      <c r="I451" t="s" s="11">
        <v>108</v>
      </c>
      <c r="J451" s="25">
        <v>1</v>
      </c>
      <c r="K451" s="25">
        <v>2</v>
      </c>
      <c r="L451" t="s" s="25">
        <v>34</v>
      </c>
      <c r="M451" t="s" s="13">
        <v>4009</v>
      </c>
      <c r="N451" t="s" s="11">
        <v>4010</v>
      </c>
      <c r="O451" t="s" s="11">
        <v>4011</v>
      </c>
      <c r="P451" t="s" s="11">
        <v>4012</v>
      </c>
      <c r="Q451" t="s" s="11">
        <v>34</v>
      </c>
      <c r="R451" t="s" s="11">
        <v>4013</v>
      </c>
      <c r="S451" t="s" s="11">
        <v>34</v>
      </c>
      <c r="T451" t="s" s="13">
        <v>4014</v>
      </c>
      <c r="U451" t="s" s="11">
        <v>3987</v>
      </c>
      <c r="V451" t="s" s="13">
        <v>34</v>
      </c>
      <c r="W451" t="s" s="11">
        <v>4015</v>
      </c>
      <c r="X451" s="17">
        <f>HYPERLINK("https://my.pitchbook.com?p=36407-35P", "View People Online")</f>
      </c>
    </row>
    <row r="452">
      <c r="A452" t="s" s="10">
        <v>4016</v>
      </c>
      <c r="B452" t="s" s="10">
        <v>4017</v>
      </c>
      <c r="C452" t="s" s="10">
        <v>34</v>
      </c>
      <c r="D452" t="s" s="10">
        <v>4018</v>
      </c>
      <c r="E452" t="s" s="10">
        <v>36</v>
      </c>
      <c r="F452" t="s" s="10">
        <v>4019</v>
      </c>
      <c r="G452" t="s" s="10">
        <v>3993</v>
      </c>
      <c r="H452" s="16">
        <f>HYPERLINK("http://www.telefonica.com", "www.telefonica.com")</f>
      </c>
      <c r="I452" t="s" s="10">
        <v>108</v>
      </c>
      <c r="J452" s="24">
        <v>4</v>
      </c>
      <c r="K452" s="24">
        <v>4</v>
      </c>
      <c r="L452" t="s" s="24">
        <v>34</v>
      </c>
      <c r="M452" t="s" s="12">
        <v>34</v>
      </c>
      <c r="N452" t="s" s="10">
        <v>34</v>
      </c>
      <c r="O452" t="s" s="10">
        <v>117</v>
      </c>
      <c r="P452" t="s" s="10">
        <v>4021</v>
      </c>
      <c r="Q452" t="s" s="10">
        <v>4022</v>
      </c>
      <c r="R452" t="s" s="10">
        <v>119</v>
      </c>
      <c r="S452" t="s" s="10">
        <v>120</v>
      </c>
      <c r="T452" t="s" s="12">
        <v>4023</v>
      </c>
      <c r="U452" t="s" s="10">
        <v>122</v>
      </c>
      <c r="V452" t="s" s="12">
        <v>34</v>
      </c>
      <c r="W452" t="s" s="10">
        <v>4024</v>
      </c>
      <c r="X452" s="16">
        <f>HYPERLINK("https://my.pitchbook.com?p=36552-34P", "View People Online")</f>
      </c>
    </row>
    <row r="453">
      <c r="A453" t="s" s="11">
        <v>4025</v>
      </c>
      <c r="B453" t="s" s="11">
        <v>4026</v>
      </c>
      <c r="C453" t="s" s="11">
        <v>34</v>
      </c>
      <c r="D453" t="s" s="11">
        <v>1976</v>
      </c>
      <c r="E453" t="s" s="11">
        <v>36</v>
      </c>
      <c r="F453" t="s" s="11">
        <v>4027</v>
      </c>
      <c r="G453" t="s" s="11">
        <v>3993</v>
      </c>
      <c r="H453" t="s" s="11">
        <v>34</v>
      </c>
      <c r="I453" t="s" s="11">
        <v>4028</v>
      </c>
      <c r="J453" t="s" s="25">
        <v>34</v>
      </c>
      <c r="K453" s="25">
        <v>1</v>
      </c>
      <c r="L453" t="s" s="25">
        <v>34</v>
      </c>
      <c r="M453" t="s" s="13">
        <v>1980</v>
      </c>
      <c r="N453" t="s" s="11">
        <v>34</v>
      </c>
      <c r="O453" t="s" s="11">
        <v>1981</v>
      </c>
      <c r="P453" t="s" s="11">
        <v>1982</v>
      </c>
      <c r="Q453" t="s" s="11">
        <v>1983</v>
      </c>
      <c r="R453" t="s" s="11">
        <v>1984</v>
      </c>
      <c r="S453" t="s" s="11">
        <v>1911</v>
      </c>
      <c r="T453" t="s" s="13">
        <v>1985</v>
      </c>
      <c r="U453" t="s" s="11">
        <v>161</v>
      </c>
      <c r="V453" t="s" s="13">
        <v>34</v>
      </c>
      <c r="W453" t="s" s="11">
        <v>4029</v>
      </c>
      <c r="X453" s="17">
        <f>HYPERLINK("https://my.pitchbook.com?p=217849-51P", "View People Online")</f>
      </c>
    </row>
    <row r="454">
      <c r="A454" t="s" s="10">
        <v>4030</v>
      </c>
      <c r="B454" t="s" s="10">
        <v>4031</v>
      </c>
      <c r="C454" t="s" s="10">
        <v>34</v>
      </c>
      <c r="D454" t="s" s="10">
        <v>71</v>
      </c>
      <c r="E454" t="s" s="10">
        <v>36</v>
      </c>
      <c r="F454" t="s" s="10">
        <v>2379</v>
      </c>
      <c r="G454" t="s" s="10">
        <v>3993</v>
      </c>
      <c r="H454" s="16">
        <f>HYPERLINK("http://www.vulcan.co", "www.vulcan.co")</f>
      </c>
      <c r="I454" t="s" s="10">
        <v>910</v>
      </c>
      <c r="J454" s="24">
        <v>1</v>
      </c>
      <c r="K454" s="24">
        <v>1</v>
      </c>
      <c r="L454" t="s" s="24">
        <v>34</v>
      </c>
      <c r="M454" t="s" s="12">
        <v>76</v>
      </c>
      <c r="N454" t="s" s="10">
        <v>34</v>
      </c>
      <c r="O454" t="s" s="10">
        <v>78</v>
      </c>
      <c r="P454" t="s" s="10">
        <v>79</v>
      </c>
      <c r="Q454" t="s" s="10">
        <v>80</v>
      </c>
      <c r="R454" t="s" s="10">
        <v>81</v>
      </c>
      <c r="S454" t="s" s="10">
        <v>34</v>
      </c>
      <c r="T454" t="s" s="12">
        <v>82</v>
      </c>
      <c r="U454" t="s" s="10">
        <v>83</v>
      </c>
      <c r="V454" t="s" s="12">
        <v>84</v>
      </c>
      <c r="W454" t="s" s="10">
        <v>4032</v>
      </c>
      <c r="X454" s="16">
        <f>HYPERLINK("https://my.pitchbook.com?p=202482-64P", "View People Online")</f>
      </c>
    </row>
    <row r="455">
      <c r="A455" t="s" s="11">
        <v>4033</v>
      </c>
      <c r="B455" t="s" s="11">
        <v>4034</v>
      </c>
      <c r="C455" t="s" s="11">
        <v>34</v>
      </c>
      <c r="D455" t="s" s="11">
        <v>2706</v>
      </c>
      <c r="E455" t="s" s="11">
        <v>36</v>
      </c>
      <c r="F455" t="s" s="11">
        <v>592</v>
      </c>
      <c r="G455" t="s" s="11">
        <v>3993</v>
      </c>
      <c r="H455" s="17">
        <f>HYPERLINK("http://www.vulcanplc.com", "www.vulcanplc.com")</f>
      </c>
      <c r="I455" t="s" s="11">
        <v>4035</v>
      </c>
      <c r="J455" t="s" s="25">
        <v>34</v>
      </c>
      <c r="K455" t="s" s="25">
        <v>34</v>
      </c>
      <c r="L455" t="s" s="25">
        <v>34</v>
      </c>
      <c r="M455" t="s" s="13">
        <v>34</v>
      </c>
      <c r="N455" t="s" s="11">
        <v>34</v>
      </c>
      <c r="O455" t="s" s="11">
        <v>34</v>
      </c>
      <c r="P455" t="s" s="11">
        <v>34</v>
      </c>
      <c r="Q455" t="s" s="11">
        <v>34</v>
      </c>
      <c r="R455" t="s" s="11">
        <v>34</v>
      </c>
      <c r="S455" t="s" s="11">
        <v>34</v>
      </c>
      <c r="T455" t="s" s="13">
        <v>34</v>
      </c>
      <c r="U455" t="s" s="11">
        <v>34</v>
      </c>
      <c r="V455" t="s" s="13">
        <v>34</v>
      </c>
      <c r="W455" t="s" s="11">
        <v>4036</v>
      </c>
      <c r="X455" s="17">
        <f>HYPERLINK("https://my.pitchbook.com?p=228853-27P", "View People Online")</f>
      </c>
    </row>
    <row r="456">
      <c r="A456" t="s" s="10">
        <v>4037</v>
      </c>
      <c r="B456" t="s" s="10">
        <v>4038</v>
      </c>
      <c r="C456" t="s" s="10">
        <v>34</v>
      </c>
      <c r="D456" t="s" s="10">
        <v>1389</v>
      </c>
      <c r="E456" t="s" s="10">
        <v>36</v>
      </c>
      <c r="F456" t="s" s="10">
        <v>4039</v>
      </c>
      <c r="G456" t="s" s="10">
        <v>4040</v>
      </c>
      <c r="H456" s="16">
        <f>HYPERLINK("http://www.harbourenergy.com", "www.harbourenergy.com")</f>
      </c>
      <c r="I456" t="s" s="10">
        <v>4041</v>
      </c>
      <c r="J456" t="s" s="24">
        <v>34</v>
      </c>
      <c r="K456" s="24">
        <v>4</v>
      </c>
      <c r="L456" s="24">
        <v>4</v>
      </c>
      <c r="M456" t="s" s="12">
        <v>34</v>
      </c>
      <c r="N456" t="s" s="10">
        <v>4042</v>
      </c>
      <c r="O456" t="s" s="10">
        <v>34</v>
      </c>
      <c r="P456" t="s" s="10">
        <v>34</v>
      </c>
      <c r="Q456" t="s" s="10">
        <v>34</v>
      </c>
      <c r="R456" t="s" s="10">
        <v>34</v>
      </c>
      <c r="S456" t="s" s="10">
        <v>34</v>
      </c>
      <c r="T456" t="s" s="12">
        <v>34</v>
      </c>
      <c r="U456" t="s" s="10">
        <v>34</v>
      </c>
      <c r="V456" t="s" s="12">
        <v>34</v>
      </c>
      <c r="W456" t="s" s="10">
        <v>4043</v>
      </c>
      <c r="X456" s="16">
        <f>HYPERLINK("https://my.pitchbook.com?p=50485-69P", "View People Online")</f>
      </c>
    </row>
    <row r="457">
      <c r="A457" t="s" s="11">
        <v>4044</v>
      </c>
      <c r="B457" t="s" s="11">
        <v>4045</v>
      </c>
      <c r="C457" t="s" s="11">
        <v>34</v>
      </c>
      <c r="D457" t="s" s="11">
        <v>4046</v>
      </c>
      <c r="E457" t="s" s="11">
        <v>36</v>
      </c>
      <c r="F457" t="s" s="11">
        <v>4047</v>
      </c>
      <c r="G457" t="s" s="11">
        <v>4048</v>
      </c>
      <c r="H457" s="17">
        <f>HYPERLINK("http://www.l3harris.com", "www.l3harris.com")</f>
      </c>
      <c r="I457" t="s" s="11">
        <v>108</v>
      </c>
      <c r="J457" t="s" s="25">
        <v>34</v>
      </c>
      <c r="K457" s="25">
        <v>2</v>
      </c>
      <c r="L457" s="25">
        <v>2</v>
      </c>
      <c r="M457" t="s" s="13">
        <v>34</v>
      </c>
      <c r="N457" t="s" s="11">
        <v>34</v>
      </c>
      <c r="O457" t="s" s="11">
        <v>34</v>
      </c>
      <c r="P457" t="s" s="11">
        <v>34</v>
      </c>
      <c r="Q457" t="s" s="11">
        <v>34</v>
      </c>
      <c r="R457" t="s" s="11">
        <v>34</v>
      </c>
      <c r="S457" t="s" s="11">
        <v>34</v>
      </c>
      <c r="T457" t="s" s="13">
        <v>34</v>
      </c>
      <c r="U457" t="s" s="11">
        <v>34</v>
      </c>
      <c r="V457" t="s" s="13">
        <v>34</v>
      </c>
      <c r="W457" t="s" s="11">
        <v>4050</v>
      </c>
      <c r="X457" s="17">
        <f>HYPERLINK("https://my.pitchbook.com?p=181060-48P", "View People Online")</f>
      </c>
    </row>
    <row r="458">
      <c r="A458" t="s" s="10">
        <v>4051</v>
      </c>
      <c r="B458" t="s" s="10">
        <v>4052</v>
      </c>
      <c r="C458" t="s" s="10">
        <v>34</v>
      </c>
      <c r="D458" t="s" s="10">
        <v>4053</v>
      </c>
      <c r="E458" t="s" s="10">
        <v>36</v>
      </c>
      <c r="F458" t="s" s="10">
        <v>4054</v>
      </c>
      <c r="G458" t="s" s="10">
        <v>4048</v>
      </c>
      <c r="H458" s="16">
        <f>HYPERLINK("http://www.westgold.com.au", "www.westgold.com.au")</f>
      </c>
      <c r="I458" t="s" s="10">
        <v>4056</v>
      </c>
      <c r="J458" t="s" s="24">
        <v>34</v>
      </c>
      <c r="K458" s="24">
        <v>1</v>
      </c>
      <c r="L458" s="24">
        <v>1</v>
      </c>
      <c r="M458" t="s" s="12">
        <v>34</v>
      </c>
      <c r="N458" t="s" s="10">
        <v>4057</v>
      </c>
      <c r="O458" t="s" s="10">
        <v>34</v>
      </c>
      <c r="P458" t="s" s="10">
        <v>34</v>
      </c>
      <c r="Q458" t="s" s="10">
        <v>34</v>
      </c>
      <c r="R458" t="s" s="10">
        <v>34</v>
      </c>
      <c r="S458" t="s" s="10">
        <v>34</v>
      </c>
      <c r="T458" t="s" s="12">
        <v>34</v>
      </c>
      <c r="U458" t="s" s="10">
        <v>34</v>
      </c>
      <c r="V458" t="s" s="12">
        <v>34</v>
      </c>
      <c r="W458" t="s" s="10">
        <v>4058</v>
      </c>
      <c r="X458" s="16">
        <f>HYPERLINK("https://my.pitchbook.com?p=353835-28P", "View People Online")</f>
      </c>
    </row>
    <row r="459">
      <c r="A459" t="s" s="11">
        <v>4059</v>
      </c>
      <c r="B459" t="s" s="11">
        <v>4060</v>
      </c>
      <c r="C459" t="s" s="11">
        <v>34</v>
      </c>
      <c r="D459" t="s" s="11">
        <v>642</v>
      </c>
      <c r="E459" t="s" s="11">
        <v>36</v>
      </c>
      <c r="F459" t="s" s="11">
        <v>4061</v>
      </c>
      <c r="G459" t="s" s="11">
        <v>4062</v>
      </c>
      <c r="H459" s="17">
        <f>HYPERLINK("http://www.diacorporate.com", "www.diacorporate.com")</f>
      </c>
      <c r="I459" t="s" s="11">
        <v>4063</v>
      </c>
      <c r="J459" t="s" s="25">
        <v>34</v>
      </c>
      <c r="K459" s="25">
        <v>1</v>
      </c>
      <c r="L459" t="s" s="25">
        <v>34</v>
      </c>
      <c r="M459" t="s" s="13">
        <v>4064</v>
      </c>
      <c r="N459" t="s" s="11">
        <v>4065</v>
      </c>
      <c r="O459" t="s" s="11">
        <v>647</v>
      </c>
      <c r="P459" t="s" s="11">
        <v>648</v>
      </c>
      <c r="Q459" t="s" s="11">
        <v>649</v>
      </c>
      <c r="R459" t="s" s="11">
        <v>650</v>
      </c>
      <c r="S459" t="s" s="11">
        <v>651</v>
      </c>
      <c r="T459" t="s" s="13">
        <v>652</v>
      </c>
      <c r="U459" t="s" s="11">
        <v>653</v>
      </c>
      <c r="V459" t="s" s="13">
        <v>34</v>
      </c>
      <c r="W459" t="s" s="11">
        <v>4066</v>
      </c>
      <c r="X459" s="17">
        <f>HYPERLINK("https://my.pitchbook.com?p=297617-32P", "View People Online")</f>
      </c>
    </row>
    <row r="460">
      <c r="A460" t="s" s="10">
        <v>4067</v>
      </c>
      <c r="B460" t="s" s="10">
        <v>4068</v>
      </c>
      <c r="C460" t="s" s="10">
        <v>34</v>
      </c>
      <c r="D460" t="s" s="10">
        <v>4069</v>
      </c>
      <c r="E460" t="s" s="10">
        <v>36</v>
      </c>
      <c r="F460" t="s" s="10">
        <v>4070</v>
      </c>
      <c r="G460" t="s" s="10">
        <v>4071</v>
      </c>
      <c r="H460" s="16">
        <f>HYPERLINK("http://www.thea2milkcompany.com", "www.thea2milkcompany.com")</f>
      </c>
      <c r="I460" t="s" s="10">
        <v>307</v>
      </c>
      <c r="J460" s="24">
        <v>3</v>
      </c>
      <c r="K460" s="24">
        <v>3</v>
      </c>
      <c r="L460" t="s" s="24">
        <v>34</v>
      </c>
      <c r="M460" t="s" s="12">
        <v>4073</v>
      </c>
      <c r="N460" t="s" s="10">
        <v>34</v>
      </c>
      <c r="O460" t="s" s="10">
        <v>78</v>
      </c>
      <c r="P460" t="s" s="10">
        <v>4074</v>
      </c>
      <c r="Q460" t="s" s="10">
        <v>4075</v>
      </c>
      <c r="R460" t="s" s="10">
        <v>81</v>
      </c>
      <c r="S460" t="s" s="10">
        <v>34</v>
      </c>
      <c r="T460" t="s" s="12">
        <v>4076</v>
      </c>
      <c r="U460" t="s" s="10">
        <v>83</v>
      </c>
      <c r="V460" t="s" s="12">
        <v>4077</v>
      </c>
      <c r="W460" t="s" s="10">
        <v>4078</v>
      </c>
      <c r="X460" s="16">
        <f>HYPERLINK("https://my.pitchbook.com?p=282161-89P", "View People Online")</f>
      </c>
    </row>
    <row r="461">
      <c r="A461" t="s" s="11">
        <v>4079</v>
      </c>
      <c r="B461" t="s" s="11">
        <v>4080</v>
      </c>
      <c r="C461" t="s" s="11">
        <v>34</v>
      </c>
      <c r="D461" t="s" s="11">
        <v>2064</v>
      </c>
      <c r="E461" t="s" s="11">
        <v>36</v>
      </c>
      <c r="F461" t="s" s="11">
        <v>4081</v>
      </c>
      <c r="G461" t="s" s="11">
        <v>4082</v>
      </c>
      <c r="H461" s="17">
        <f>HYPERLINK("http://www.tridentity.me", "www.tridentity.me")</f>
      </c>
      <c r="I461" t="s" s="11">
        <v>4083</v>
      </c>
      <c r="J461" s="25">
        <v>1</v>
      </c>
      <c r="K461" s="25">
        <v>1</v>
      </c>
      <c r="L461" t="s" s="25">
        <v>34</v>
      </c>
      <c r="M461" t="s" s="13">
        <v>2068</v>
      </c>
      <c r="N461" t="s" s="11">
        <v>34</v>
      </c>
      <c r="O461" t="s" s="11">
        <v>140</v>
      </c>
      <c r="P461" t="s" s="11">
        <v>2070</v>
      </c>
      <c r="Q461" t="s" s="11">
        <v>2071</v>
      </c>
      <c r="R461" t="s" s="11">
        <v>143</v>
      </c>
      <c r="S461" t="s" s="11">
        <v>34</v>
      </c>
      <c r="T461" t="s" s="13">
        <v>2072</v>
      </c>
      <c r="U461" t="s" s="11">
        <v>143</v>
      </c>
      <c r="V461" t="s" s="13">
        <v>34</v>
      </c>
      <c r="W461" t="s" s="11">
        <v>4084</v>
      </c>
      <c r="X461" s="17">
        <f>HYPERLINK("https://my.pitchbook.com?p=368684-74P", "View People Online")</f>
      </c>
    </row>
    <row r="462">
      <c r="A462" t="s" s="10">
        <v>4085</v>
      </c>
      <c r="B462" t="s" s="10">
        <v>4086</v>
      </c>
      <c r="C462" t="s" s="10">
        <v>34</v>
      </c>
      <c r="D462" t="s" s="10">
        <v>4087</v>
      </c>
      <c r="E462" t="s" s="10">
        <v>36</v>
      </c>
      <c r="F462" t="s" s="10">
        <v>4088</v>
      </c>
      <c r="G462" t="s" s="10">
        <v>4089</v>
      </c>
      <c r="H462" s="16">
        <f>HYPERLINK("http://www.bhil.in", "www.bhil.in")</f>
      </c>
      <c r="I462" t="s" s="10">
        <v>108</v>
      </c>
      <c r="J462" s="24">
        <v>1</v>
      </c>
      <c r="K462" s="24">
        <v>1</v>
      </c>
      <c r="L462" t="s" s="24">
        <v>34</v>
      </c>
      <c r="M462" t="s" s="12">
        <v>34</v>
      </c>
      <c r="N462" t="s" s="10">
        <v>34</v>
      </c>
      <c r="O462" t="s" s="10">
        <v>4091</v>
      </c>
      <c r="P462" t="s" s="10">
        <v>4092</v>
      </c>
      <c r="Q462" t="s" s="10">
        <v>4093</v>
      </c>
      <c r="R462" t="s" s="10">
        <v>4094</v>
      </c>
      <c r="S462" t="s" s="10">
        <v>3681</v>
      </c>
      <c r="T462" t="s" s="12">
        <v>4095</v>
      </c>
      <c r="U462" t="s" s="10">
        <v>1479</v>
      </c>
      <c r="V462" t="s" s="12">
        <v>34</v>
      </c>
      <c r="W462" t="s" s="10">
        <v>4096</v>
      </c>
      <c r="X462" s="16">
        <f>HYPERLINK("https://my.pitchbook.com?p=291062-71P", "View People Online")</f>
      </c>
    </row>
    <row r="463">
      <c r="A463" t="s" s="11">
        <v>4097</v>
      </c>
      <c r="B463" t="s" s="11">
        <v>4098</v>
      </c>
      <c r="C463" t="s" s="11">
        <v>34</v>
      </c>
      <c r="D463" t="s" s="11">
        <v>4099</v>
      </c>
      <c r="E463" t="s" s="11">
        <v>36</v>
      </c>
      <c r="F463" t="s" s="11">
        <v>4100</v>
      </c>
      <c r="G463" t="s" s="11">
        <v>4101</v>
      </c>
      <c r="H463" s="17">
        <f>HYPERLINK("http://www.terex.com", "www.terex.com")</f>
      </c>
      <c r="I463" t="s" s="11">
        <v>4103</v>
      </c>
      <c r="J463" t="s" s="25">
        <v>34</v>
      </c>
      <c r="K463" s="25">
        <v>1</v>
      </c>
      <c r="L463" t="s" s="25">
        <v>34</v>
      </c>
      <c r="M463" t="s" s="13">
        <v>4104</v>
      </c>
      <c r="N463" t="s" s="11">
        <v>4105</v>
      </c>
      <c r="O463" t="s" s="11">
        <v>2650</v>
      </c>
      <c r="P463" t="s" s="11">
        <v>4106</v>
      </c>
      <c r="Q463" t="s" s="11">
        <v>2213</v>
      </c>
      <c r="R463" t="s" s="11">
        <v>2652</v>
      </c>
      <c r="S463" t="s" s="11">
        <v>2653</v>
      </c>
      <c r="T463" t="s" s="13">
        <v>4107</v>
      </c>
      <c r="U463" t="s" s="11">
        <v>161</v>
      </c>
      <c r="V463" t="s" s="13">
        <v>34</v>
      </c>
      <c r="W463" t="s" s="11">
        <v>4108</v>
      </c>
      <c r="X463" s="17">
        <f>HYPERLINK("https://my.pitchbook.com?p=311257-99P", "View People Online")</f>
      </c>
    </row>
    <row r="464">
      <c r="A464" t="s" s="10">
        <v>4109</v>
      </c>
      <c r="B464" t="s" s="10">
        <v>4110</v>
      </c>
      <c r="C464" t="s" s="10">
        <v>34</v>
      </c>
      <c r="D464" t="s" s="10">
        <v>4111</v>
      </c>
      <c r="E464" t="s" s="10">
        <v>36</v>
      </c>
      <c r="F464" t="s" s="10">
        <v>4112</v>
      </c>
      <c r="G464" t="s" s="10">
        <v>4113</v>
      </c>
      <c r="H464" s="16">
        <f>HYPERLINK("http://www.starbulk.com", "www.starbulk.com")</f>
      </c>
      <c r="I464" t="s" s="10">
        <v>108</v>
      </c>
      <c r="J464" s="24">
        <v>1</v>
      </c>
      <c r="K464" s="24">
        <v>1</v>
      </c>
      <c r="L464" t="s" s="24">
        <v>34</v>
      </c>
      <c r="M464" t="s" s="12">
        <v>4115</v>
      </c>
      <c r="N464" t="s" s="10">
        <v>34</v>
      </c>
      <c r="O464" t="s" s="10">
        <v>4116</v>
      </c>
      <c r="P464" t="s" s="10">
        <v>4117</v>
      </c>
      <c r="Q464" t="s" s="10">
        <v>4118</v>
      </c>
      <c r="R464" t="s" s="10">
        <v>4119</v>
      </c>
      <c r="S464" t="s" s="10">
        <v>34</v>
      </c>
      <c r="T464" t="s" s="12">
        <v>4120</v>
      </c>
      <c r="U464" t="s" s="10">
        <v>4121</v>
      </c>
      <c r="V464" t="s" s="12">
        <v>34</v>
      </c>
      <c r="W464" t="s" s="10">
        <v>4122</v>
      </c>
      <c r="X464" s="16">
        <f>HYPERLINK("https://my.pitchbook.com?p=217528-12P", "View People Online")</f>
      </c>
    </row>
    <row r="465">
      <c r="A465" t="s" s="11">
        <v>4123</v>
      </c>
      <c r="B465" t="s" s="11">
        <v>4124</v>
      </c>
      <c r="C465" t="s" s="11">
        <v>34</v>
      </c>
      <c r="D465" t="s" s="11">
        <v>4125</v>
      </c>
      <c r="E465" t="s" s="11">
        <v>36</v>
      </c>
      <c r="F465" t="s" s="11">
        <v>3893</v>
      </c>
      <c r="G465" t="s" s="11">
        <v>4126</v>
      </c>
      <c r="H465" s="17">
        <f>HYPERLINK("http://www.umangdairies.com", "www.umangdairies.com")</f>
      </c>
      <c r="I465" t="s" s="11">
        <v>263</v>
      </c>
      <c r="J465" t="s" s="25">
        <v>34</v>
      </c>
      <c r="K465" t="s" s="25">
        <v>34</v>
      </c>
      <c r="L465" t="s" s="25">
        <v>34</v>
      </c>
      <c r="M465" t="s" s="13">
        <v>34</v>
      </c>
      <c r="N465" t="s" s="11">
        <v>34</v>
      </c>
      <c r="O465" t="s" s="11">
        <v>34</v>
      </c>
      <c r="P465" t="s" s="11">
        <v>34</v>
      </c>
      <c r="Q465" t="s" s="11">
        <v>34</v>
      </c>
      <c r="R465" t="s" s="11">
        <v>34</v>
      </c>
      <c r="S465" t="s" s="11">
        <v>34</v>
      </c>
      <c r="T465" t="s" s="13">
        <v>34</v>
      </c>
      <c r="U465" t="s" s="11">
        <v>34</v>
      </c>
      <c r="V465" t="s" s="13">
        <v>34</v>
      </c>
      <c r="W465" t="s" s="11">
        <v>4128</v>
      </c>
      <c r="X465" s="17">
        <f>HYPERLINK("https://my.pitchbook.com?p=359111-17P", "View People Online")</f>
      </c>
    </row>
    <row r="466">
      <c r="A466" t="s" s="10">
        <v>4129</v>
      </c>
      <c r="B466" t="s" s="10">
        <v>4130</v>
      </c>
      <c r="C466" t="s" s="10">
        <v>34</v>
      </c>
      <c r="D466" t="s" s="10">
        <v>879</v>
      </c>
      <c r="E466" t="s" s="10">
        <v>36</v>
      </c>
      <c r="F466" t="s" s="10">
        <v>4131</v>
      </c>
      <c r="G466" t="s" s="10">
        <v>4132</v>
      </c>
      <c r="H466" s="16">
        <f>HYPERLINK("http://www.playtech.com", "www.playtech.com")</f>
      </c>
      <c r="I466" t="s" s="10">
        <v>3949</v>
      </c>
      <c r="J466" t="s" s="24">
        <v>34</v>
      </c>
      <c r="K466" s="24">
        <v>4</v>
      </c>
      <c r="L466" s="24">
        <v>2</v>
      </c>
      <c r="M466" t="s" s="12">
        <v>34</v>
      </c>
      <c r="N466" t="s" s="10">
        <v>4133</v>
      </c>
      <c r="O466" t="s" s="10">
        <v>883</v>
      </c>
      <c r="P466" t="s" s="10">
        <v>884</v>
      </c>
      <c r="Q466" t="s" s="10">
        <v>885</v>
      </c>
      <c r="R466" t="s" s="10">
        <v>886</v>
      </c>
      <c r="S466" t="s" s="10">
        <v>120</v>
      </c>
      <c r="T466" t="s" s="12">
        <v>887</v>
      </c>
      <c r="U466" t="s" s="10">
        <v>122</v>
      </c>
      <c r="V466" t="s" s="12">
        <v>34</v>
      </c>
      <c r="W466" t="s" s="10">
        <v>4134</v>
      </c>
      <c r="X466" s="16">
        <f>HYPERLINK("https://my.pitchbook.com?p=208481-05P", "View People Online")</f>
      </c>
    </row>
    <row r="467">
      <c r="A467" t="s" s="11">
        <v>4135</v>
      </c>
      <c r="B467" t="s" s="11">
        <v>4136</v>
      </c>
      <c r="C467" t="s" s="11">
        <v>34</v>
      </c>
      <c r="D467" t="s" s="11">
        <v>4137</v>
      </c>
      <c r="E467" t="s" s="11">
        <v>36</v>
      </c>
      <c r="F467" t="s" s="11">
        <v>4138</v>
      </c>
      <c r="G467" t="s" s="11">
        <v>4139</v>
      </c>
      <c r="H467" s="17">
        <f>HYPERLINK("http://www.samhi.co.in", "www.samhi.co.in")</f>
      </c>
      <c r="I467" t="s" s="11">
        <v>263</v>
      </c>
      <c r="J467" t="s" s="25">
        <v>34</v>
      </c>
      <c r="K467" s="25">
        <v>1</v>
      </c>
      <c r="L467" t="s" s="25">
        <v>34</v>
      </c>
      <c r="M467" t="s" s="13">
        <v>4141</v>
      </c>
      <c r="N467" t="s" s="11">
        <v>4142</v>
      </c>
      <c r="O467" t="s" s="11">
        <v>4143</v>
      </c>
      <c r="P467" t="s" s="11">
        <v>4144</v>
      </c>
      <c r="Q467" t="s" s="11">
        <v>4145</v>
      </c>
      <c r="R467" t="s" s="11">
        <v>4146</v>
      </c>
      <c r="S467" t="s" s="11">
        <v>4147</v>
      </c>
      <c r="T467" t="s" s="13">
        <v>4148</v>
      </c>
      <c r="U467" t="s" s="11">
        <v>1479</v>
      </c>
      <c r="V467" t="s" s="13">
        <v>34</v>
      </c>
      <c r="W467" t="s" s="11">
        <v>4149</v>
      </c>
      <c r="X467" s="17">
        <f>HYPERLINK("https://my.pitchbook.com?p=67755-88P", "View People Online")</f>
      </c>
    </row>
    <row r="468">
      <c r="A468" t="s" s="10">
        <v>4150</v>
      </c>
      <c r="B468" t="s" s="10">
        <v>4151</v>
      </c>
      <c r="C468" t="s" s="10">
        <v>34</v>
      </c>
      <c r="D468" t="s" s="10">
        <v>4152</v>
      </c>
      <c r="E468" t="s" s="10">
        <v>36</v>
      </c>
      <c r="F468" t="s" s="10">
        <v>3149</v>
      </c>
      <c r="G468" t="s" s="10">
        <v>4153</v>
      </c>
      <c r="H468" s="16">
        <f>HYPERLINK("http://www.supriyalifescience.com", "www.supriyalifescience.com")</f>
      </c>
      <c r="I468" t="s" s="10">
        <v>294</v>
      </c>
      <c r="J468" t="s" s="24">
        <v>34</v>
      </c>
      <c r="K468" s="24">
        <v>1</v>
      </c>
      <c r="L468" t="s" s="24">
        <v>34</v>
      </c>
      <c r="M468" t="s" s="12">
        <v>4155</v>
      </c>
      <c r="N468" t="s" s="10">
        <v>34</v>
      </c>
      <c r="O468" t="s" s="10">
        <v>4156</v>
      </c>
      <c r="P468" t="s" s="10">
        <v>4157</v>
      </c>
      <c r="Q468" t="s" s="10">
        <v>4158</v>
      </c>
      <c r="R468" t="s" s="10">
        <v>4159</v>
      </c>
      <c r="S468" t="s" s="10">
        <v>3681</v>
      </c>
      <c r="T468" t="s" s="12">
        <v>4160</v>
      </c>
      <c r="U468" t="s" s="10">
        <v>1479</v>
      </c>
      <c r="V468" t="s" s="12">
        <v>34</v>
      </c>
      <c r="W468" t="s" s="10">
        <v>4161</v>
      </c>
      <c r="X468" s="16">
        <f>HYPERLINK("https://my.pitchbook.com?p=318735-91P", "View People Online")</f>
      </c>
    </row>
    <row r="469">
      <c r="A469" t="s" s="11">
        <v>4162</v>
      </c>
      <c r="B469" t="s" s="11">
        <v>4163</v>
      </c>
      <c r="C469" t="s" s="11">
        <v>34</v>
      </c>
      <c r="D469" t="s" s="11">
        <v>3670</v>
      </c>
      <c r="E469" t="s" s="11">
        <v>36</v>
      </c>
      <c r="F469" t="s" s="11">
        <v>4164</v>
      </c>
      <c r="G469" t="s" s="11">
        <v>4165</v>
      </c>
      <c r="H469" s="17">
        <f>HYPERLINK("http://www.magicuttools.com", "www.magicuttools.com")</f>
      </c>
      <c r="I469" t="s" s="11">
        <v>263</v>
      </c>
      <c r="J469" t="s" s="25">
        <v>34</v>
      </c>
      <c r="K469" s="25">
        <v>1</v>
      </c>
      <c r="L469" t="s" s="25">
        <v>34</v>
      </c>
      <c r="M469" t="s" s="13">
        <v>3675</v>
      </c>
      <c r="N469" t="s" s="11">
        <v>4166</v>
      </c>
      <c r="O469" t="s" s="11">
        <v>3677</v>
      </c>
      <c r="P469" t="s" s="11">
        <v>3678</v>
      </c>
      <c r="Q469" t="s" s="11">
        <v>3679</v>
      </c>
      <c r="R469" t="s" s="11">
        <v>3680</v>
      </c>
      <c r="S469" t="s" s="11">
        <v>3681</v>
      </c>
      <c r="T469" t="s" s="13">
        <v>34</v>
      </c>
      <c r="U469" t="s" s="11">
        <v>1479</v>
      </c>
      <c r="V469" t="s" s="13">
        <v>3682</v>
      </c>
      <c r="W469" t="s" s="11">
        <v>4167</v>
      </c>
      <c r="X469" s="17">
        <f>HYPERLINK("https://my.pitchbook.com?p=385886-17P", "View People Online")</f>
      </c>
    </row>
    <row r="470">
      <c r="A470" t="s" s="10">
        <v>4168</v>
      </c>
      <c r="B470" t="s" s="10">
        <v>4169</v>
      </c>
      <c r="C470" t="s" s="10">
        <v>34</v>
      </c>
      <c r="D470" t="s" s="10">
        <v>4170</v>
      </c>
      <c r="E470" t="s" s="10">
        <v>36</v>
      </c>
      <c r="F470" t="s" s="10">
        <v>4171</v>
      </c>
      <c r="G470" t="s" s="10">
        <v>4172</v>
      </c>
      <c r="H470" s="16">
        <f>HYPERLINK("http://www.indiamart.com", "www.indiamart.com")</f>
      </c>
      <c r="I470" t="s" s="10">
        <v>108</v>
      </c>
      <c r="J470" s="24">
        <v>5</v>
      </c>
      <c r="K470" s="24">
        <v>121</v>
      </c>
      <c r="L470" s="24">
        <v>108</v>
      </c>
      <c r="M470" t="s" s="12">
        <v>4174</v>
      </c>
      <c r="N470" t="s" s="10">
        <v>4175</v>
      </c>
      <c r="O470" t="s" s="10">
        <v>4176</v>
      </c>
      <c r="P470" t="s" s="10">
        <v>4177</v>
      </c>
      <c r="Q470" t="s" s="10">
        <v>4178</v>
      </c>
      <c r="R470" t="s" s="10">
        <v>4179</v>
      </c>
      <c r="S470" t="s" s="10">
        <v>4180</v>
      </c>
      <c r="T470" t="s" s="12">
        <v>4181</v>
      </c>
      <c r="U470" t="s" s="10">
        <v>1479</v>
      </c>
      <c r="V470" t="s" s="12">
        <v>34</v>
      </c>
      <c r="W470" t="s" s="10">
        <v>4182</v>
      </c>
      <c r="X470" s="16">
        <f>HYPERLINK("https://my.pitchbook.com?p=30361-33P", "View People Online")</f>
      </c>
    </row>
    <row r="471">
      <c r="A471" t="s" s="11">
        <v>4183</v>
      </c>
      <c r="B471" t="s" s="11">
        <v>4184</v>
      </c>
      <c r="C471" t="s" s="11">
        <v>34</v>
      </c>
      <c r="D471" t="s" s="11">
        <v>4185</v>
      </c>
      <c r="E471" t="s" s="11">
        <v>36</v>
      </c>
      <c r="F471" t="s" s="11">
        <v>4186</v>
      </c>
      <c r="G471" t="s" s="11">
        <v>4187</v>
      </c>
      <c r="H471" s="17">
        <f>HYPERLINK("http://www.bectorfoods.com", "www.bectorfoods.com")</f>
      </c>
      <c r="I471" t="s" s="11">
        <v>108</v>
      </c>
      <c r="J471" s="25">
        <v>2</v>
      </c>
      <c r="K471" s="25">
        <v>2</v>
      </c>
      <c r="L471" t="s" s="25">
        <v>34</v>
      </c>
      <c r="M471" t="s" s="13">
        <v>4189</v>
      </c>
      <c r="N471" t="s" s="11">
        <v>34</v>
      </c>
      <c r="O471" t="s" s="11">
        <v>4143</v>
      </c>
      <c r="P471" t="s" s="11">
        <v>4190</v>
      </c>
      <c r="Q471" t="s" s="11">
        <v>4191</v>
      </c>
      <c r="R471" t="s" s="11">
        <v>4146</v>
      </c>
      <c r="S471" t="s" s="11">
        <v>4147</v>
      </c>
      <c r="T471" t="s" s="13">
        <v>4192</v>
      </c>
      <c r="U471" t="s" s="11">
        <v>1479</v>
      </c>
      <c r="V471" t="s" s="13">
        <v>34</v>
      </c>
      <c r="W471" t="s" s="11">
        <v>4193</v>
      </c>
      <c r="X471" s="17">
        <f>HYPERLINK("https://my.pitchbook.com?p=282299-86P", "View People Online")</f>
      </c>
    </row>
    <row r="472">
      <c r="A472" t="s" s="10">
        <v>4194</v>
      </c>
      <c r="B472" t="s" s="10">
        <v>4195</v>
      </c>
      <c r="C472" t="s" s="10">
        <v>34</v>
      </c>
      <c r="D472" t="s" s="10">
        <v>1469</v>
      </c>
      <c r="E472" t="s" s="10">
        <v>36</v>
      </c>
      <c r="F472" t="s" s="10">
        <v>3137</v>
      </c>
      <c r="G472" t="s" s="10">
        <v>4196</v>
      </c>
      <c r="H472" s="16">
        <f>HYPERLINK("http://www.tridentindia.com", "www.tridentindia.com")</f>
      </c>
      <c r="I472" t="s" s="10">
        <v>4197</v>
      </c>
      <c r="J472" t="s" s="24">
        <v>34</v>
      </c>
      <c r="K472" s="24">
        <v>1</v>
      </c>
      <c r="L472" t="s" s="24">
        <v>34</v>
      </c>
      <c r="M472" t="s" s="12">
        <v>34</v>
      </c>
      <c r="N472" t="s" s="10">
        <v>4198</v>
      </c>
      <c r="O472" t="s" s="10">
        <v>1474</v>
      </c>
      <c r="P472" t="s" s="10">
        <v>1469</v>
      </c>
      <c r="Q472" t="s" s="10">
        <v>1475</v>
      </c>
      <c r="R472" t="s" s="10">
        <v>1476</v>
      </c>
      <c r="S472" t="s" s="10">
        <v>1477</v>
      </c>
      <c r="T472" t="s" s="12">
        <v>1478</v>
      </c>
      <c r="U472" t="s" s="10">
        <v>1479</v>
      </c>
      <c r="V472" t="s" s="12">
        <v>1480</v>
      </c>
      <c r="W472" t="s" s="10">
        <v>4199</v>
      </c>
      <c r="X472" s="16">
        <f>HYPERLINK("https://my.pitchbook.com?p=369096-76P", "View People Online")</f>
      </c>
    </row>
    <row r="473">
      <c r="A473" t="s" s="11">
        <v>4200</v>
      </c>
      <c r="B473" t="s" s="11">
        <v>4201</v>
      </c>
      <c r="C473" t="s" s="11">
        <v>34</v>
      </c>
      <c r="D473" t="s" s="11">
        <v>4202</v>
      </c>
      <c r="E473" t="s" s="11">
        <v>36</v>
      </c>
      <c r="F473" t="s" s="11">
        <v>4203</v>
      </c>
      <c r="G473" t="s" s="11">
        <v>4204</v>
      </c>
      <c r="H473" s="17">
        <f>HYPERLINK("http://www.capricornenergy.com", "www.capricornenergy.com")</f>
      </c>
      <c r="I473" t="s" s="11">
        <v>1249</v>
      </c>
      <c r="J473" s="25">
        <v>1</v>
      </c>
      <c r="K473" s="25">
        <v>1</v>
      </c>
      <c r="L473" t="s" s="25">
        <v>34</v>
      </c>
      <c r="M473" t="s" s="13">
        <v>4206</v>
      </c>
      <c r="N473" t="s" s="11">
        <v>34</v>
      </c>
      <c r="O473" t="s" s="11">
        <v>4207</v>
      </c>
      <c r="P473" t="s" s="11">
        <v>4208</v>
      </c>
      <c r="Q473" t="s" s="11">
        <v>34</v>
      </c>
      <c r="R473" t="s" s="11">
        <v>4209</v>
      </c>
      <c r="S473" t="s" s="11">
        <v>3481</v>
      </c>
      <c r="T473" t="s" s="13">
        <v>4210</v>
      </c>
      <c r="U473" t="s" s="11">
        <v>122</v>
      </c>
      <c r="V473" t="s" s="13">
        <v>4211</v>
      </c>
      <c r="W473" t="s" s="11">
        <v>4212</v>
      </c>
      <c r="X473" s="17">
        <f>HYPERLINK("https://my.pitchbook.com?p=69319-09P", "View People Online")</f>
      </c>
    </row>
    <row r="474">
      <c r="A474" t="s" s="10">
        <v>4213</v>
      </c>
      <c r="B474" t="s" s="10">
        <v>4214</v>
      </c>
      <c r="C474" t="s" s="10">
        <v>34</v>
      </c>
      <c r="D474" t="s" s="10">
        <v>4215</v>
      </c>
      <c r="E474" t="s" s="10">
        <v>36</v>
      </c>
      <c r="F474" t="s" s="10">
        <v>4216</v>
      </c>
      <c r="G474" t="s" s="10">
        <v>4204</v>
      </c>
      <c r="H474" s="16">
        <f>HYPERLINK("http://www.mpmaterials.com", "www.mpmaterials.com")</f>
      </c>
      <c r="I474" t="s" s="10">
        <v>108</v>
      </c>
      <c r="J474" s="24">
        <v>1</v>
      </c>
      <c r="K474" s="24">
        <v>1</v>
      </c>
      <c r="L474" t="s" s="24">
        <v>34</v>
      </c>
      <c r="M474" t="s" s="12">
        <v>4218</v>
      </c>
      <c r="N474" t="s" s="10">
        <v>4219</v>
      </c>
      <c r="O474" t="s" s="10">
        <v>4220</v>
      </c>
      <c r="P474" t="s" s="10">
        <v>4221</v>
      </c>
      <c r="Q474" t="s" s="10">
        <v>4222</v>
      </c>
      <c r="R474" t="s" s="10">
        <v>4223</v>
      </c>
      <c r="S474" t="s" s="10">
        <v>4224</v>
      </c>
      <c r="T474" t="s" s="12">
        <v>4225</v>
      </c>
      <c r="U474" t="s" s="10">
        <v>161</v>
      </c>
      <c r="V474" t="s" s="12">
        <v>34</v>
      </c>
      <c r="W474" t="s" s="10">
        <v>4226</v>
      </c>
      <c r="X474" s="16">
        <f>HYPERLINK("https://my.pitchbook.com?p=246621-07P", "View People Online")</f>
      </c>
    </row>
    <row r="475">
      <c r="A475" t="s" s="11">
        <v>4227</v>
      </c>
      <c r="B475" t="s" s="11">
        <v>4228</v>
      </c>
      <c r="C475" t="s" s="11">
        <v>34</v>
      </c>
      <c r="D475" t="s" s="11">
        <v>4229</v>
      </c>
      <c r="E475" t="s" s="11">
        <v>36</v>
      </c>
      <c r="F475" t="s" s="11">
        <v>4230</v>
      </c>
      <c r="G475" t="s" s="11">
        <v>4231</v>
      </c>
      <c r="H475" s="17">
        <f>HYPERLINK("http://www.amnhealthcare.com", "www.amnhealthcare.com")</f>
      </c>
      <c r="I475" t="s" s="11">
        <v>4233</v>
      </c>
      <c r="J475" t="s" s="25">
        <v>34</v>
      </c>
      <c r="K475" s="25">
        <v>1</v>
      </c>
      <c r="L475" t="s" s="25">
        <v>34</v>
      </c>
      <c r="M475" t="s" s="13">
        <v>4234</v>
      </c>
      <c r="N475" t="s" s="11">
        <v>4235</v>
      </c>
      <c r="O475" t="s" s="11">
        <v>4236</v>
      </c>
      <c r="P475" t="s" s="11">
        <v>4237</v>
      </c>
      <c r="Q475" t="s" s="11">
        <v>2672</v>
      </c>
      <c r="R475" t="s" s="11">
        <v>4238</v>
      </c>
      <c r="S475" t="s" s="11">
        <v>329</v>
      </c>
      <c r="T475" t="s" s="13">
        <v>4239</v>
      </c>
      <c r="U475" t="s" s="11">
        <v>161</v>
      </c>
      <c r="V475" t="s" s="13">
        <v>34</v>
      </c>
      <c r="W475" t="s" s="11">
        <v>4240</v>
      </c>
      <c r="X475" s="17">
        <f>HYPERLINK("https://my.pitchbook.com?p=69723-37P", "View People Online")</f>
      </c>
    </row>
    <row r="476">
      <c r="A476" t="s" s="10">
        <v>4241</v>
      </c>
      <c r="B476" t="s" s="10">
        <v>4242</v>
      </c>
      <c r="C476" t="s" s="10">
        <v>34</v>
      </c>
      <c r="D476" t="s" s="10">
        <v>943</v>
      </c>
      <c r="E476" t="s" s="10">
        <v>36</v>
      </c>
      <c r="F476" t="s" s="10">
        <v>4243</v>
      </c>
      <c r="G476" t="s" s="10">
        <v>4244</v>
      </c>
      <c r="H476" s="16">
        <f>HYPERLINK("http://www.vulcanmaterials.com", "www.vulcanmaterials.com")</f>
      </c>
      <c r="I476" t="s" s="10">
        <v>4245</v>
      </c>
      <c r="J476" t="s" s="24">
        <v>34</v>
      </c>
      <c r="K476" s="24">
        <v>1</v>
      </c>
      <c r="L476" t="s" s="24">
        <v>34</v>
      </c>
      <c r="M476" t="s" s="12">
        <v>4246</v>
      </c>
      <c r="N476" t="s" s="10">
        <v>4247</v>
      </c>
      <c r="O476" t="s" s="10">
        <v>949</v>
      </c>
      <c r="P476" t="s" s="10">
        <v>950</v>
      </c>
      <c r="Q476" t="s" s="10">
        <v>34</v>
      </c>
      <c r="R476" t="s" s="10">
        <v>951</v>
      </c>
      <c r="S476" t="s" s="10">
        <v>952</v>
      </c>
      <c r="T476" t="s" s="12">
        <v>953</v>
      </c>
      <c r="U476" t="s" s="10">
        <v>161</v>
      </c>
      <c r="V476" t="s" s="12">
        <v>34</v>
      </c>
      <c r="W476" t="s" s="10">
        <v>4248</v>
      </c>
      <c r="X476" s="16">
        <f>HYPERLINK("https://my.pitchbook.com?p=260583-40P", "View People Online")</f>
      </c>
    </row>
    <row r="477">
      <c r="A477" t="s" s="11">
        <v>4249</v>
      </c>
      <c r="B477" t="s" s="11">
        <v>4250</v>
      </c>
      <c r="C477" t="s" s="11">
        <v>34</v>
      </c>
      <c r="D477" t="s" s="11">
        <v>187</v>
      </c>
      <c r="E477" t="s" s="11">
        <v>36</v>
      </c>
      <c r="F477" t="s" s="11">
        <v>4251</v>
      </c>
      <c r="G477" t="s" s="11">
        <v>4252</v>
      </c>
      <c r="H477" s="17">
        <f>HYPERLINK("http://www.diacorporate.com", "www.diacorporate.com")</f>
      </c>
      <c r="I477" t="s" s="11">
        <v>4253</v>
      </c>
      <c r="J477" t="s" s="25">
        <v>34</v>
      </c>
      <c r="K477" t="s" s="25">
        <v>34</v>
      </c>
      <c r="L477" t="s" s="25">
        <v>34</v>
      </c>
      <c r="M477" t="s" s="13">
        <v>34</v>
      </c>
      <c r="N477" t="s" s="11">
        <v>34</v>
      </c>
      <c r="O477" t="s" s="11">
        <v>34</v>
      </c>
      <c r="P477" t="s" s="11">
        <v>34</v>
      </c>
      <c r="Q477" t="s" s="11">
        <v>34</v>
      </c>
      <c r="R477" t="s" s="11">
        <v>34</v>
      </c>
      <c r="S477" t="s" s="11">
        <v>34</v>
      </c>
      <c r="T477" t="s" s="13">
        <v>34</v>
      </c>
      <c r="U477" t="s" s="11">
        <v>34</v>
      </c>
      <c r="V477" t="s" s="13">
        <v>34</v>
      </c>
      <c r="W477" t="s" s="11">
        <v>4254</v>
      </c>
      <c r="X477" s="17">
        <f>HYPERLINK("https://my.pitchbook.com?p=143937-82P", "View People Online")</f>
      </c>
    </row>
    <row r="478">
      <c r="A478" t="s" s="10">
        <v>4255</v>
      </c>
      <c r="B478" t="s" s="10">
        <v>4256</v>
      </c>
      <c r="C478" t="s" s="10">
        <v>34</v>
      </c>
      <c r="D478" t="s" s="10">
        <v>3670</v>
      </c>
      <c r="E478" t="s" s="10">
        <v>36</v>
      </c>
      <c r="F478" t="s" s="10">
        <v>3671</v>
      </c>
      <c r="G478" t="s" s="10">
        <v>4257</v>
      </c>
      <c r="H478" s="16">
        <f>HYPERLINK("http://www.magicuttools.com", "www.magicuttools.com")</f>
      </c>
      <c r="I478" t="s" s="10">
        <v>4258</v>
      </c>
      <c r="J478" t="s" s="24">
        <v>34</v>
      </c>
      <c r="K478" s="24">
        <v>1</v>
      </c>
      <c r="L478" t="s" s="24">
        <v>34</v>
      </c>
      <c r="M478" t="s" s="12">
        <v>3675</v>
      </c>
      <c r="N478" t="s" s="10">
        <v>4259</v>
      </c>
      <c r="O478" t="s" s="10">
        <v>3677</v>
      </c>
      <c r="P478" t="s" s="10">
        <v>3678</v>
      </c>
      <c r="Q478" t="s" s="10">
        <v>3679</v>
      </c>
      <c r="R478" t="s" s="10">
        <v>3680</v>
      </c>
      <c r="S478" t="s" s="10">
        <v>3681</v>
      </c>
      <c r="T478" t="s" s="12">
        <v>34</v>
      </c>
      <c r="U478" t="s" s="10">
        <v>1479</v>
      </c>
      <c r="V478" t="s" s="12">
        <v>3682</v>
      </c>
      <c r="W478" t="s" s="10">
        <v>4260</v>
      </c>
      <c r="X478" s="16">
        <f>HYPERLINK("https://my.pitchbook.com?p=385885-18P", "View People Online")</f>
      </c>
    </row>
    <row r="479">
      <c r="A479" t="s" s="11">
        <v>4261</v>
      </c>
      <c r="B479" t="s" s="11">
        <v>4262</v>
      </c>
      <c r="C479" t="s" s="11">
        <v>34</v>
      </c>
      <c r="D479" t="s" s="11">
        <v>4263</v>
      </c>
      <c r="E479" t="s" s="11">
        <v>36</v>
      </c>
      <c r="F479" t="s" s="11">
        <v>4264</v>
      </c>
      <c r="G479" t="s" s="11">
        <v>4265</v>
      </c>
      <c r="H479" s="17">
        <f>HYPERLINK("http://www.nytco.com", "www.nytco.com")</f>
      </c>
      <c r="I479" t="s" s="11">
        <v>4267</v>
      </c>
      <c r="J479" t="s" s="25">
        <v>34</v>
      </c>
      <c r="K479" s="25">
        <v>1</v>
      </c>
      <c r="L479" t="s" s="25">
        <v>34</v>
      </c>
      <c r="M479" t="s" s="13">
        <v>4268</v>
      </c>
      <c r="N479" t="s" s="11">
        <v>4269</v>
      </c>
      <c r="O479" t="s" s="11">
        <v>1125</v>
      </c>
      <c r="P479" t="s" s="11">
        <v>4270</v>
      </c>
      <c r="Q479" t="s" s="11">
        <v>34</v>
      </c>
      <c r="R479" t="s" s="11">
        <v>1127</v>
      </c>
      <c r="S479" t="s" s="11">
        <v>1127</v>
      </c>
      <c r="T479" t="s" s="13">
        <v>4271</v>
      </c>
      <c r="U479" t="s" s="11">
        <v>161</v>
      </c>
      <c r="V479" t="s" s="13">
        <v>34</v>
      </c>
      <c r="W479" t="s" s="11">
        <v>4272</v>
      </c>
      <c r="X479" s="17">
        <f>HYPERLINK("https://my.pitchbook.com?p=261127-54P", "View People Online")</f>
      </c>
    </row>
    <row r="480">
      <c r="A480" t="s" s="10">
        <v>4273</v>
      </c>
      <c r="B480" t="s" s="10">
        <v>4274</v>
      </c>
      <c r="C480" t="s" s="10">
        <v>4275</v>
      </c>
      <c r="D480" t="s" s="10">
        <v>165</v>
      </c>
      <c r="E480" t="s" s="10">
        <v>36</v>
      </c>
      <c r="F480" t="s" s="10">
        <v>4276</v>
      </c>
      <c r="G480" t="s" s="10">
        <v>4277</v>
      </c>
      <c r="H480" s="16">
        <f>HYPERLINK("http://www.erg.eu", "www.erg.eu")</f>
      </c>
      <c r="I480" t="s" s="10">
        <v>108</v>
      </c>
      <c r="J480" s="24">
        <v>1</v>
      </c>
      <c r="K480" s="24">
        <v>2</v>
      </c>
      <c r="L480" t="s" s="24">
        <v>34</v>
      </c>
      <c r="M480" t="s" s="12">
        <v>170</v>
      </c>
      <c r="N480" t="s" s="10">
        <v>4278</v>
      </c>
      <c r="O480" t="s" s="10">
        <v>172</v>
      </c>
      <c r="P480" t="s" s="10">
        <v>173</v>
      </c>
      <c r="Q480" t="s" s="10">
        <v>34</v>
      </c>
      <c r="R480" t="s" s="10">
        <v>174</v>
      </c>
      <c r="S480" t="s" s="10">
        <v>34</v>
      </c>
      <c r="T480" t="s" s="12">
        <v>175</v>
      </c>
      <c r="U480" t="s" s="10">
        <v>176</v>
      </c>
      <c r="V480" t="s" s="12">
        <v>177</v>
      </c>
      <c r="W480" t="s" s="10">
        <v>4279</v>
      </c>
      <c r="X480" s="16">
        <f>HYPERLINK("https://my.pitchbook.com?p=368679-43P", "View People Online")</f>
      </c>
    </row>
    <row r="481">
      <c r="A481" t="s" s="11">
        <v>4280</v>
      </c>
      <c r="B481" t="s" s="11">
        <v>4281</v>
      </c>
      <c r="C481" t="s" s="11">
        <v>34</v>
      </c>
      <c r="D481" t="s" s="11">
        <v>165</v>
      </c>
      <c r="E481" t="s" s="11">
        <v>36</v>
      </c>
      <c r="F481" t="s" s="11">
        <v>4282</v>
      </c>
      <c r="G481" t="s" s="11">
        <v>4277</v>
      </c>
      <c r="H481" s="17">
        <f>HYPERLINK("http://www.erg.eu", "www.erg.eu")</f>
      </c>
      <c r="I481" t="s" s="11">
        <v>845</v>
      </c>
      <c r="J481" t="s" s="25">
        <v>34</v>
      </c>
      <c r="K481" s="25">
        <v>1</v>
      </c>
      <c r="L481" t="s" s="25">
        <v>34</v>
      </c>
      <c r="M481" t="s" s="13">
        <v>170</v>
      </c>
      <c r="N481" t="s" s="11">
        <v>4283</v>
      </c>
      <c r="O481" t="s" s="11">
        <v>172</v>
      </c>
      <c r="P481" t="s" s="11">
        <v>173</v>
      </c>
      <c r="Q481" t="s" s="11">
        <v>34</v>
      </c>
      <c r="R481" t="s" s="11">
        <v>174</v>
      </c>
      <c r="S481" t="s" s="11">
        <v>34</v>
      </c>
      <c r="T481" t="s" s="13">
        <v>175</v>
      </c>
      <c r="U481" t="s" s="11">
        <v>176</v>
      </c>
      <c r="V481" t="s" s="13">
        <v>177</v>
      </c>
      <c r="W481" t="s" s="11">
        <v>4284</v>
      </c>
      <c r="X481" s="17">
        <f>HYPERLINK("https://my.pitchbook.com?p=247363-84P", "View People Online")</f>
      </c>
    </row>
    <row r="482">
      <c r="A482" t="s" s="10">
        <v>4285</v>
      </c>
      <c r="B482" t="s" s="10">
        <v>4286</v>
      </c>
      <c r="C482" t="s" s="10">
        <v>34</v>
      </c>
      <c r="D482" t="s" s="10">
        <v>71</v>
      </c>
      <c r="E482" t="s" s="10">
        <v>36</v>
      </c>
      <c r="F482" t="s" s="10">
        <v>1358</v>
      </c>
      <c r="G482" t="s" s="10">
        <v>4287</v>
      </c>
      <c r="H482" s="16">
        <f>HYPERLINK("http://www.vulcan.co", "www.vulcan.co")</f>
      </c>
      <c r="I482" t="s" s="10">
        <v>1249</v>
      </c>
      <c r="J482" s="24">
        <v>2</v>
      </c>
      <c r="K482" s="24">
        <v>3</v>
      </c>
      <c r="L482" s="24">
        <v>1</v>
      </c>
      <c r="M482" t="s" s="12">
        <v>76</v>
      </c>
      <c r="N482" t="s" s="10">
        <v>4288</v>
      </c>
      <c r="O482" t="s" s="10">
        <v>78</v>
      </c>
      <c r="P482" t="s" s="10">
        <v>79</v>
      </c>
      <c r="Q482" t="s" s="10">
        <v>80</v>
      </c>
      <c r="R482" t="s" s="10">
        <v>81</v>
      </c>
      <c r="S482" t="s" s="10">
        <v>34</v>
      </c>
      <c r="T482" t="s" s="12">
        <v>82</v>
      </c>
      <c r="U482" t="s" s="10">
        <v>83</v>
      </c>
      <c r="V482" t="s" s="12">
        <v>84</v>
      </c>
      <c r="W482" t="s" s="10">
        <v>4289</v>
      </c>
      <c r="X482" s="16">
        <f>HYPERLINK("https://my.pitchbook.com?p=202483-09P", "View People Online")</f>
      </c>
    </row>
    <row r="483">
      <c r="A483" t="s" s="11">
        <v>4290</v>
      </c>
      <c r="B483" t="s" s="11">
        <v>4291</v>
      </c>
      <c r="C483" t="s" s="11">
        <v>34</v>
      </c>
      <c r="D483" t="s" s="11">
        <v>642</v>
      </c>
      <c r="E483" t="s" s="11">
        <v>36</v>
      </c>
      <c r="F483" t="s" s="11">
        <v>4292</v>
      </c>
      <c r="G483" t="s" s="11">
        <v>4293</v>
      </c>
      <c r="H483" s="17">
        <f>HYPERLINK("http://www.diacorporate.com", "www.diacorporate.com")</f>
      </c>
      <c r="I483" t="s" s="11">
        <v>4294</v>
      </c>
      <c r="J483" t="s" s="25">
        <v>34</v>
      </c>
      <c r="K483" s="25">
        <v>1</v>
      </c>
      <c r="L483" t="s" s="25">
        <v>34</v>
      </c>
      <c r="M483" t="s" s="13">
        <v>645</v>
      </c>
      <c r="N483" t="s" s="11">
        <v>34</v>
      </c>
      <c r="O483" t="s" s="11">
        <v>647</v>
      </c>
      <c r="P483" t="s" s="11">
        <v>648</v>
      </c>
      <c r="Q483" t="s" s="11">
        <v>649</v>
      </c>
      <c r="R483" t="s" s="11">
        <v>650</v>
      </c>
      <c r="S483" t="s" s="11">
        <v>651</v>
      </c>
      <c r="T483" t="s" s="13">
        <v>652</v>
      </c>
      <c r="U483" t="s" s="11">
        <v>653</v>
      </c>
      <c r="V483" t="s" s="13">
        <v>34</v>
      </c>
      <c r="W483" t="s" s="11">
        <v>4295</v>
      </c>
      <c r="X483" s="17">
        <f>HYPERLINK("https://my.pitchbook.com?p=237760-66P", "View People Online")</f>
      </c>
    </row>
    <row r="484">
      <c r="A484" t="s" s="10">
        <v>4296</v>
      </c>
      <c r="B484" t="s" s="10">
        <v>4297</v>
      </c>
      <c r="C484" t="s" s="10">
        <v>34</v>
      </c>
      <c r="D484" t="s" s="10">
        <v>187</v>
      </c>
      <c r="E484" t="s" s="10">
        <v>36</v>
      </c>
      <c r="F484" t="s" s="10">
        <v>4298</v>
      </c>
      <c r="G484" t="s" s="10">
        <v>4293</v>
      </c>
      <c r="H484" s="16">
        <f>HYPERLINK("http://www.diacorporate.com", "www.diacorporate.com")</f>
      </c>
      <c r="I484" t="s" s="10">
        <v>4299</v>
      </c>
      <c r="J484" t="s" s="24">
        <v>34</v>
      </c>
      <c r="K484" t="s" s="24">
        <v>34</v>
      </c>
      <c r="L484" t="s" s="24">
        <v>34</v>
      </c>
      <c r="M484" t="s" s="12">
        <v>34</v>
      </c>
      <c r="N484" t="s" s="10">
        <v>34</v>
      </c>
      <c r="O484" t="s" s="10">
        <v>34</v>
      </c>
      <c r="P484" t="s" s="10">
        <v>34</v>
      </c>
      <c r="Q484" t="s" s="10">
        <v>34</v>
      </c>
      <c r="R484" t="s" s="10">
        <v>34</v>
      </c>
      <c r="S484" t="s" s="10">
        <v>34</v>
      </c>
      <c r="T484" t="s" s="12">
        <v>34</v>
      </c>
      <c r="U484" t="s" s="10">
        <v>34</v>
      </c>
      <c r="V484" t="s" s="12">
        <v>34</v>
      </c>
      <c r="W484" t="s" s="10">
        <v>4300</v>
      </c>
      <c r="X484" s="16">
        <f>HYPERLINK("https://my.pitchbook.com?p=129535-03P", "View People Online")</f>
      </c>
    </row>
    <row r="485">
      <c r="A485" t="s" s="11">
        <v>4301</v>
      </c>
      <c r="B485" t="s" s="11">
        <v>4302</v>
      </c>
      <c r="C485" t="s" s="11">
        <v>34</v>
      </c>
      <c r="D485" t="s" s="11">
        <v>741</v>
      </c>
      <c r="E485" t="s" s="11">
        <v>36</v>
      </c>
      <c r="F485" t="s" s="11">
        <v>4303</v>
      </c>
      <c r="G485" t="s" s="11">
        <v>4304</v>
      </c>
      <c r="H485" s="17">
        <f>HYPERLINK("http://www.vulcanmaterials.com", "www.vulcanmaterials.com")</f>
      </c>
      <c r="I485" t="s" s="11">
        <v>4305</v>
      </c>
      <c r="J485" t="s" s="25">
        <v>34</v>
      </c>
      <c r="K485" t="s" s="25">
        <v>34</v>
      </c>
      <c r="L485" t="s" s="25">
        <v>34</v>
      </c>
      <c r="M485" t="s" s="13">
        <v>34</v>
      </c>
      <c r="N485" t="s" s="11">
        <v>34</v>
      </c>
      <c r="O485" t="s" s="11">
        <v>34</v>
      </c>
      <c r="P485" t="s" s="11">
        <v>34</v>
      </c>
      <c r="Q485" t="s" s="11">
        <v>34</v>
      </c>
      <c r="R485" t="s" s="11">
        <v>34</v>
      </c>
      <c r="S485" t="s" s="11">
        <v>34</v>
      </c>
      <c r="T485" t="s" s="13">
        <v>34</v>
      </c>
      <c r="U485" t="s" s="11">
        <v>34</v>
      </c>
      <c r="V485" t="s" s="13">
        <v>34</v>
      </c>
      <c r="W485" t="s" s="11">
        <v>4306</v>
      </c>
      <c r="X485" s="17">
        <f>HYPERLINK("https://my.pitchbook.com?p=14863-33P", "View People Online")</f>
      </c>
    </row>
    <row r="486">
      <c r="A486" t="s" s="10">
        <v>4307</v>
      </c>
      <c r="B486" t="s" s="10">
        <v>4308</v>
      </c>
      <c r="C486" t="s" s="10">
        <v>34</v>
      </c>
      <c r="D486" t="s" s="10">
        <v>4309</v>
      </c>
      <c r="E486" t="s" s="10">
        <v>36</v>
      </c>
      <c r="F486" t="s" s="10">
        <v>4310</v>
      </c>
      <c r="G486" t="s" s="10">
        <v>4304</v>
      </c>
      <c r="H486" t="s" s="10">
        <v>34</v>
      </c>
      <c r="I486" t="s" s="10">
        <v>294</v>
      </c>
      <c r="J486" s="24">
        <v>1</v>
      </c>
      <c r="K486" s="24">
        <v>6</v>
      </c>
      <c r="L486" s="24">
        <v>3</v>
      </c>
      <c r="M486" t="s" s="12">
        <v>34</v>
      </c>
      <c r="N486" t="s" s="10">
        <v>34</v>
      </c>
      <c r="O486" t="s" s="10">
        <v>4220</v>
      </c>
      <c r="P486" t="s" s="10">
        <v>4311</v>
      </c>
      <c r="Q486" t="s" s="10">
        <v>34</v>
      </c>
      <c r="R486" t="s" s="10">
        <v>4223</v>
      </c>
      <c r="S486" t="s" s="10">
        <v>4224</v>
      </c>
      <c r="T486" t="s" s="12">
        <v>4312</v>
      </c>
      <c r="U486" t="s" s="10">
        <v>161</v>
      </c>
      <c r="V486" t="s" s="12">
        <v>34</v>
      </c>
      <c r="W486" t="s" s="10">
        <v>4313</v>
      </c>
      <c r="X486" s="16">
        <f>HYPERLINK("https://my.pitchbook.com?p=86122-45P", "View People Online")</f>
      </c>
    </row>
    <row r="487">
      <c r="A487" t="s" s="11">
        <v>4314</v>
      </c>
      <c r="B487" t="s" s="11">
        <v>4308</v>
      </c>
      <c r="C487" t="s" s="11">
        <v>34</v>
      </c>
      <c r="D487" t="s" s="11">
        <v>4315</v>
      </c>
      <c r="E487" t="s" s="11">
        <v>36</v>
      </c>
      <c r="F487" t="s" s="11">
        <v>4310</v>
      </c>
      <c r="G487" t="s" s="11">
        <v>4304</v>
      </c>
      <c r="H487" t="s" s="11">
        <v>34</v>
      </c>
      <c r="I487" t="s" s="11">
        <v>4316</v>
      </c>
      <c r="J487" t="s" s="25">
        <v>34</v>
      </c>
      <c r="K487" s="25">
        <v>1</v>
      </c>
      <c r="L487" t="s" s="25">
        <v>34</v>
      </c>
      <c r="M487" t="s" s="13">
        <v>4317</v>
      </c>
      <c r="N487" t="s" s="11">
        <v>34</v>
      </c>
      <c r="O487" t="s" s="11">
        <v>4220</v>
      </c>
      <c r="P487" t="s" s="11">
        <v>4311</v>
      </c>
      <c r="Q487" t="s" s="11">
        <v>34</v>
      </c>
      <c r="R487" t="s" s="11">
        <v>4223</v>
      </c>
      <c r="S487" t="s" s="11">
        <v>4224</v>
      </c>
      <c r="T487" t="s" s="13">
        <v>4312</v>
      </c>
      <c r="U487" t="s" s="11">
        <v>161</v>
      </c>
      <c r="V487" t="s" s="13">
        <v>34</v>
      </c>
      <c r="W487" t="s" s="11">
        <v>4318</v>
      </c>
      <c r="X487" s="17">
        <f>HYPERLINK("https://my.pitchbook.com?p=446231-35P", "View People Online")</f>
      </c>
    </row>
    <row r="488">
      <c r="A488" t="s" s="10">
        <v>4319</v>
      </c>
      <c r="B488" t="s" s="10">
        <v>4320</v>
      </c>
      <c r="C488" t="s" s="10">
        <v>34</v>
      </c>
      <c r="D488" t="s" s="10">
        <v>4321</v>
      </c>
      <c r="E488" t="s" s="10">
        <v>36</v>
      </c>
      <c r="F488" t="s" s="10">
        <v>4322</v>
      </c>
      <c r="G488" t="s" s="10">
        <v>4304</v>
      </c>
      <c r="H488" s="16">
        <f>HYPERLINK("http://www.sana.com", "www.sana.com")</f>
      </c>
      <c r="I488" t="s" s="10">
        <v>4324</v>
      </c>
      <c r="J488" s="24">
        <v>2</v>
      </c>
      <c r="K488" s="24">
        <v>2</v>
      </c>
      <c r="L488" t="s" s="24">
        <v>34</v>
      </c>
      <c r="M488" t="s" s="12">
        <v>4325</v>
      </c>
      <c r="N488" t="s" s="10">
        <v>4326</v>
      </c>
      <c r="O488" t="s" s="10">
        <v>2606</v>
      </c>
      <c r="P488" t="s" s="10">
        <v>4327</v>
      </c>
      <c r="Q488" t="s" s="10">
        <v>1278</v>
      </c>
      <c r="R488" t="s" s="10">
        <v>2609</v>
      </c>
      <c r="S488" t="s" s="10">
        <v>1852</v>
      </c>
      <c r="T488" t="s" s="12">
        <v>4328</v>
      </c>
      <c r="U488" t="s" s="10">
        <v>161</v>
      </c>
      <c r="V488" t="s" s="12">
        <v>34</v>
      </c>
      <c r="W488" t="s" s="10">
        <v>4329</v>
      </c>
      <c r="X488" s="16">
        <f>HYPERLINK("https://my.pitchbook.com?p=44870-05P", "View People Online")</f>
      </c>
    </row>
    <row r="489">
      <c r="A489" t="s" s="11">
        <v>4330</v>
      </c>
      <c r="B489" t="s" s="11">
        <v>4331</v>
      </c>
      <c r="C489" t="s" s="11">
        <v>34</v>
      </c>
      <c r="D489" t="s" s="11">
        <v>4332</v>
      </c>
      <c r="E489" t="s" s="11">
        <v>36</v>
      </c>
      <c r="F489" t="s" s="11">
        <v>4333</v>
      </c>
      <c r="G489" t="s" s="11">
        <v>4304</v>
      </c>
      <c r="H489" s="17">
        <f>HYPERLINK("http://www.maaden.com", "www.maaden.com")</f>
      </c>
      <c r="I489" t="s" s="11">
        <v>4335</v>
      </c>
      <c r="J489" s="25">
        <v>3</v>
      </c>
      <c r="K489" s="25">
        <v>3</v>
      </c>
      <c r="L489" t="s" s="25">
        <v>34</v>
      </c>
      <c r="M489" t="s" s="13">
        <v>4336</v>
      </c>
      <c r="N489" t="s" s="11">
        <v>34</v>
      </c>
      <c r="O489" t="s" s="11">
        <v>4337</v>
      </c>
      <c r="P489" t="s" s="11">
        <v>4338</v>
      </c>
      <c r="Q489" t="s" s="11">
        <v>34</v>
      </c>
      <c r="R489" t="s" s="11">
        <v>4339</v>
      </c>
      <c r="S489" t="s" s="11">
        <v>34</v>
      </c>
      <c r="T489" t="s" s="13">
        <v>4340</v>
      </c>
      <c r="U489" t="s" s="11">
        <v>1539</v>
      </c>
      <c r="V489" t="s" s="13">
        <v>34</v>
      </c>
      <c r="W489" t="s" s="11">
        <v>4341</v>
      </c>
      <c r="X489" s="17">
        <f>HYPERLINK("https://my.pitchbook.com?p=225503-83P", "View People Online")</f>
      </c>
    </row>
    <row r="490">
      <c r="A490" t="s" s="10">
        <v>4342</v>
      </c>
      <c r="B490" t="s" s="10">
        <v>4343</v>
      </c>
      <c r="C490" t="s" s="10">
        <v>34</v>
      </c>
      <c r="D490" t="s" s="10">
        <v>4344</v>
      </c>
      <c r="E490" t="s" s="10">
        <v>36</v>
      </c>
      <c r="F490" t="s" s="10">
        <v>4333</v>
      </c>
      <c r="G490" t="s" s="10">
        <v>4304</v>
      </c>
      <c r="H490" s="16">
        <f>HYPERLINK("http://www.newgold.com", "www.newgold.com")</f>
      </c>
      <c r="I490" t="s" s="10">
        <v>307</v>
      </c>
      <c r="J490" s="24">
        <v>1</v>
      </c>
      <c r="K490" s="24">
        <v>1</v>
      </c>
      <c r="L490" t="s" s="24">
        <v>34</v>
      </c>
      <c r="M490" t="s" s="12">
        <v>4346</v>
      </c>
      <c r="N490" t="s" s="10">
        <v>4347</v>
      </c>
      <c r="O490" t="s" s="10">
        <v>1215</v>
      </c>
      <c r="P490" t="s" s="10">
        <v>4348</v>
      </c>
      <c r="Q490" t="s" s="10">
        <v>4349</v>
      </c>
      <c r="R490" t="s" s="10">
        <v>1218</v>
      </c>
      <c r="S490" t="s" s="10">
        <v>1219</v>
      </c>
      <c r="T490" t="s" s="12">
        <v>4350</v>
      </c>
      <c r="U490" t="s" s="10">
        <v>917</v>
      </c>
      <c r="V490" t="s" s="12">
        <v>4351</v>
      </c>
      <c r="W490" t="s" s="10">
        <v>4352</v>
      </c>
      <c r="X490" s="16">
        <f>HYPERLINK("https://my.pitchbook.com?p=54290-89P", "View People Online")</f>
      </c>
    </row>
    <row r="491">
      <c r="A491" t="s" s="11">
        <v>4353</v>
      </c>
      <c r="B491" t="s" s="11">
        <v>4354</v>
      </c>
      <c r="C491" t="s" s="11">
        <v>34</v>
      </c>
      <c r="D491" t="s" s="11">
        <v>4355</v>
      </c>
      <c r="E491" t="s" s="11">
        <v>36</v>
      </c>
      <c r="F491" t="s" s="11">
        <v>4356</v>
      </c>
      <c r="G491" t="s" s="11">
        <v>4304</v>
      </c>
      <c r="H491" s="17">
        <f>HYPERLINK("http://www.invescomortgagecapital.com", "www.invescomortgagecapital.com")</f>
      </c>
      <c r="I491" t="s" s="11">
        <v>263</v>
      </c>
      <c r="J491" t="s" s="25">
        <v>34</v>
      </c>
      <c r="K491" t="s" s="25">
        <v>34</v>
      </c>
      <c r="L491" t="s" s="25">
        <v>34</v>
      </c>
      <c r="M491" t="s" s="13">
        <v>34</v>
      </c>
      <c r="N491" t="s" s="11">
        <v>34</v>
      </c>
      <c r="O491" t="s" s="11">
        <v>34</v>
      </c>
      <c r="P491" t="s" s="11">
        <v>34</v>
      </c>
      <c r="Q491" t="s" s="11">
        <v>34</v>
      </c>
      <c r="R491" t="s" s="11">
        <v>34</v>
      </c>
      <c r="S491" t="s" s="11">
        <v>34</v>
      </c>
      <c r="T491" t="s" s="13">
        <v>34</v>
      </c>
      <c r="U491" t="s" s="11">
        <v>34</v>
      </c>
      <c r="V491" t="s" s="13">
        <v>34</v>
      </c>
      <c r="W491" t="s" s="11">
        <v>4358</v>
      </c>
      <c r="X491" s="17">
        <f>HYPERLINK("https://my.pitchbook.com?p=68077-36P", "View People Online")</f>
      </c>
    </row>
    <row r="492">
      <c r="A492" t="s" s="10">
        <v>4359</v>
      </c>
      <c r="B492" t="s" s="10">
        <v>4360</v>
      </c>
      <c r="C492" t="s" s="10">
        <v>34</v>
      </c>
      <c r="D492" t="s" s="10">
        <v>4361</v>
      </c>
      <c r="E492" t="s" s="10">
        <v>36</v>
      </c>
      <c r="F492" t="s" s="10">
        <v>1944</v>
      </c>
      <c r="G492" t="s" s="10">
        <v>4304</v>
      </c>
      <c r="H492" s="16">
        <f>HYPERLINK("http://www.lmfunding.com", "www.lmfunding.com")</f>
      </c>
      <c r="I492" t="s" s="10">
        <v>263</v>
      </c>
      <c r="J492" s="24">
        <v>1</v>
      </c>
      <c r="K492" s="24">
        <v>5</v>
      </c>
      <c r="L492" s="24">
        <v>1</v>
      </c>
      <c r="M492" t="s" s="12">
        <v>4363</v>
      </c>
      <c r="N492" t="s" s="10">
        <v>4364</v>
      </c>
      <c r="O492" t="s" s="10">
        <v>4365</v>
      </c>
      <c r="P492" t="s" s="10">
        <v>4366</v>
      </c>
      <c r="Q492" t="s" s="10">
        <v>1455</v>
      </c>
      <c r="R492" t="s" s="10">
        <v>4367</v>
      </c>
      <c r="S492" t="s" s="10">
        <v>1911</v>
      </c>
      <c r="T492" t="s" s="12">
        <v>4368</v>
      </c>
      <c r="U492" t="s" s="10">
        <v>161</v>
      </c>
      <c r="V492" t="s" s="12">
        <v>34</v>
      </c>
      <c r="W492" t="s" s="10">
        <v>4369</v>
      </c>
      <c r="X492" s="16">
        <f>HYPERLINK("https://my.pitchbook.com?p=246101-23P", "View People Online")</f>
      </c>
    </row>
    <row r="493">
      <c r="A493" t="s" s="11">
        <v>4370</v>
      </c>
      <c r="B493" t="s" s="11">
        <v>4371</v>
      </c>
      <c r="C493" t="s" s="11">
        <v>34</v>
      </c>
      <c r="D493" t="s" s="11">
        <v>4372</v>
      </c>
      <c r="E493" t="s" s="11">
        <v>36</v>
      </c>
      <c r="F493" t="s" s="11">
        <v>4373</v>
      </c>
      <c r="G493" t="s" s="11">
        <v>4304</v>
      </c>
      <c r="H493" s="17">
        <f>HYPERLINK("http://www.pdsbiotech.com", "www.pdsbiotech.com")</f>
      </c>
      <c r="I493" t="s" s="11">
        <v>108</v>
      </c>
      <c r="J493" t="s" s="25">
        <v>34</v>
      </c>
      <c r="K493" t="s" s="25">
        <v>34</v>
      </c>
      <c r="L493" t="s" s="25">
        <v>34</v>
      </c>
      <c r="M493" t="s" s="13">
        <v>34</v>
      </c>
      <c r="N493" t="s" s="11">
        <v>34</v>
      </c>
      <c r="O493" t="s" s="11">
        <v>34</v>
      </c>
      <c r="P493" t="s" s="11">
        <v>34</v>
      </c>
      <c r="Q493" t="s" s="11">
        <v>34</v>
      </c>
      <c r="R493" t="s" s="11">
        <v>34</v>
      </c>
      <c r="S493" t="s" s="11">
        <v>34</v>
      </c>
      <c r="T493" t="s" s="13">
        <v>34</v>
      </c>
      <c r="U493" t="s" s="11">
        <v>34</v>
      </c>
      <c r="V493" t="s" s="13">
        <v>34</v>
      </c>
      <c r="W493" t="s" s="11">
        <v>4375</v>
      </c>
      <c r="X493" s="17">
        <f>HYPERLINK("https://my.pitchbook.com?p=130799-98P", "View People Online")</f>
      </c>
    </row>
    <row r="494">
      <c r="A494" t="s" s="10">
        <v>4376</v>
      </c>
      <c r="B494" t="s" s="10">
        <v>4377</v>
      </c>
      <c r="C494" t="s" s="10">
        <v>34</v>
      </c>
      <c r="D494" t="s" s="10">
        <v>4378</v>
      </c>
      <c r="E494" t="s" s="10">
        <v>36</v>
      </c>
      <c r="F494" t="s" s="10">
        <v>4379</v>
      </c>
      <c r="G494" t="s" s="10">
        <v>4380</v>
      </c>
      <c r="H494" s="16">
        <f>HYPERLINK("http://www.aavas.in", "www.aavas.in")</f>
      </c>
      <c r="I494" t="s" s="10">
        <v>4382</v>
      </c>
      <c r="J494" t="s" s="24">
        <v>34</v>
      </c>
      <c r="K494" s="24">
        <v>1</v>
      </c>
      <c r="L494" t="s" s="24">
        <v>34</v>
      </c>
      <c r="M494" t="s" s="12">
        <v>34</v>
      </c>
      <c r="N494" t="s" s="10">
        <v>4383</v>
      </c>
      <c r="O494" t="s" s="10">
        <v>4384</v>
      </c>
      <c r="P494" t="s" s="10">
        <v>4385</v>
      </c>
      <c r="Q494" t="s" s="10">
        <v>4386</v>
      </c>
      <c r="R494" t="s" s="10">
        <v>4387</v>
      </c>
      <c r="S494" t="s" s="10">
        <v>4388</v>
      </c>
      <c r="T494" t="s" s="12">
        <v>4389</v>
      </c>
      <c r="U494" t="s" s="10">
        <v>1479</v>
      </c>
      <c r="V494" t="s" s="12">
        <v>34</v>
      </c>
      <c r="W494" t="s" s="10">
        <v>4390</v>
      </c>
      <c r="X494" s="16">
        <f>HYPERLINK("https://my.pitchbook.com?p=406833-40P", "View People Online")</f>
      </c>
    </row>
    <row r="495">
      <c r="A495" t="s" s="11">
        <v>4391</v>
      </c>
      <c r="B495" t="s" s="11">
        <v>4392</v>
      </c>
      <c r="C495" t="s" s="11">
        <v>34</v>
      </c>
      <c r="D495" t="s" s="11">
        <v>4393</v>
      </c>
      <c r="E495" t="s" s="11">
        <v>36</v>
      </c>
      <c r="F495" t="s" s="11">
        <v>4394</v>
      </c>
      <c r="G495" t="s" s="11">
        <v>4395</v>
      </c>
      <c r="H495" s="17">
        <f>HYPERLINK("http://www.legacyhousing.com", "www.legacyhousing.com")</f>
      </c>
      <c r="I495" t="s" s="11">
        <v>895</v>
      </c>
      <c r="J495" t="s" s="25">
        <v>34</v>
      </c>
      <c r="K495" t="s" s="25">
        <v>34</v>
      </c>
      <c r="L495" t="s" s="25">
        <v>34</v>
      </c>
      <c r="M495" t="s" s="13">
        <v>4397</v>
      </c>
      <c r="N495" t="s" s="11">
        <v>4398</v>
      </c>
      <c r="O495" t="s" s="11">
        <v>34</v>
      </c>
      <c r="P495" t="s" s="11">
        <v>34</v>
      </c>
      <c r="Q495" t="s" s="11">
        <v>34</v>
      </c>
      <c r="R495" t="s" s="11">
        <v>34</v>
      </c>
      <c r="S495" t="s" s="11">
        <v>34</v>
      </c>
      <c r="T495" t="s" s="13">
        <v>34</v>
      </c>
      <c r="U495" t="s" s="11">
        <v>34</v>
      </c>
      <c r="V495" t="s" s="13">
        <v>34</v>
      </c>
      <c r="W495" t="s" s="11">
        <v>4399</v>
      </c>
      <c r="X495" s="17">
        <f>HYPERLINK("https://my.pitchbook.com?p=84485-44P", "View People Online")</f>
      </c>
    </row>
    <row r="496">
      <c r="A496" t="s" s="10">
        <v>4400</v>
      </c>
      <c r="B496" t="s" s="10">
        <v>4401</v>
      </c>
      <c r="C496" t="s" s="10">
        <v>34</v>
      </c>
      <c r="D496" t="s" s="10">
        <v>181</v>
      </c>
      <c r="E496" t="s" s="10">
        <v>36</v>
      </c>
      <c r="F496" t="s" s="10">
        <v>4402</v>
      </c>
      <c r="G496" t="s" s="10">
        <v>4395</v>
      </c>
      <c r="H496" s="16">
        <f>HYPERLINK("http://www.erg.eu", "www.erg.eu")</f>
      </c>
      <c r="I496" t="s" s="10">
        <v>4403</v>
      </c>
      <c r="J496" t="s" s="24">
        <v>34</v>
      </c>
      <c r="K496" t="s" s="24">
        <v>34</v>
      </c>
      <c r="L496" t="s" s="24">
        <v>34</v>
      </c>
      <c r="M496" t="s" s="12">
        <v>34</v>
      </c>
      <c r="N496" t="s" s="10">
        <v>34</v>
      </c>
      <c r="O496" t="s" s="10">
        <v>34</v>
      </c>
      <c r="P496" t="s" s="10">
        <v>34</v>
      </c>
      <c r="Q496" t="s" s="10">
        <v>34</v>
      </c>
      <c r="R496" t="s" s="10">
        <v>34</v>
      </c>
      <c r="S496" t="s" s="10">
        <v>34</v>
      </c>
      <c r="T496" t="s" s="12">
        <v>34</v>
      </c>
      <c r="U496" t="s" s="10">
        <v>34</v>
      </c>
      <c r="V496" t="s" s="12">
        <v>34</v>
      </c>
      <c r="W496" t="s" s="10">
        <v>4404</v>
      </c>
      <c r="X496" s="16">
        <f>HYPERLINK("https://my.pitchbook.com?p=145892-08P", "View People Online")</f>
      </c>
    </row>
    <row r="497">
      <c r="A497" t="s" s="11">
        <v>4405</v>
      </c>
      <c r="B497" t="s" s="11">
        <v>4406</v>
      </c>
      <c r="C497" t="s" s="11">
        <v>34</v>
      </c>
      <c r="D497" t="s" s="11">
        <v>1292</v>
      </c>
      <c r="E497" t="s" s="11">
        <v>36</v>
      </c>
      <c r="F497" t="s" s="11">
        <v>4407</v>
      </c>
      <c r="G497" t="s" s="11">
        <v>4395</v>
      </c>
      <c r="H497" s="17">
        <f>HYPERLINK("http://www.toubaniresources.com", "www.toubaniresources.com")</f>
      </c>
      <c r="I497" t="s" s="11">
        <v>263</v>
      </c>
      <c r="J497" t="s" s="25">
        <v>34</v>
      </c>
      <c r="K497" s="25">
        <v>2</v>
      </c>
      <c r="L497" t="s" s="25">
        <v>34</v>
      </c>
      <c r="M497" t="s" s="13">
        <v>34</v>
      </c>
      <c r="N497" t="s" s="11">
        <v>4408</v>
      </c>
      <c r="O497" t="s" s="11">
        <v>1297</v>
      </c>
      <c r="P497" t="s" s="11">
        <v>1298</v>
      </c>
      <c r="Q497" t="s" s="11">
        <v>34</v>
      </c>
      <c r="R497" t="s" s="11">
        <v>1299</v>
      </c>
      <c r="S497" t="s" s="11">
        <v>55</v>
      </c>
      <c r="T497" t="s" s="13">
        <v>1300</v>
      </c>
      <c r="U497" t="s" s="11">
        <v>57</v>
      </c>
      <c r="V497" t="s" s="13">
        <v>34</v>
      </c>
      <c r="W497" t="s" s="11">
        <v>4409</v>
      </c>
      <c r="X497" s="17">
        <f>HYPERLINK("https://my.pitchbook.com?p=226925-29P", "View People Online")</f>
      </c>
    </row>
    <row r="498">
      <c r="A498" t="s" s="10">
        <v>4410</v>
      </c>
      <c r="B498" t="s" s="10">
        <v>4411</v>
      </c>
      <c r="C498" t="s" s="10">
        <v>34</v>
      </c>
      <c r="D498" t="s" s="10">
        <v>4412</v>
      </c>
      <c r="E498" t="s" s="10">
        <v>36</v>
      </c>
      <c r="F498" t="s" s="10">
        <v>4413</v>
      </c>
      <c r="G498" t="s" s="10">
        <v>4395</v>
      </c>
      <c r="H498" s="16">
        <f>HYPERLINK("http://www.western-uranium.com", "www.western-uranium.com")</f>
      </c>
      <c r="I498" t="s" s="10">
        <v>263</v>
      </c>
      <c r="J498" t="s" s="24">
        <v>34</v>
      </c>
      <c r="K498" s="24">
        <v>1</v>
      </c>
      <c r="L498" t="s" s="24">
        <v>34</v>
      </c>
      <c r="M498" t="s" s="12">
        <v>4415</v>
      </c>
      <c r="N498" t="s" s="10">
        <v>4416</v>
      </c>
      <c r="O498" t="s" s="10">
        <v>1215</v>
      </c>
      <c r="P498" t="s" s="10">
        <v>4417</v>
      </c>
      <c r="Q498" t="s" s="10">
        <v>4418</v>
      </c>
      <c r="R498" t="s" s="10">
        <v>1218</v>
      </c>
      <c r="S498" t="s" s="10">
        <v>1219</v>
      </c>
      <c r="T498" t="s" s="12">
        <v>4419</v>
      </c>
      <c r="U498" t="s" s="10">
        <v>917</v>
      </c>
      <c r="V498" t="s" s="12">
        <v>34</v>
      </c>
      <c r="W498" t="s" s="10">
        <v>4420</v>
      </c>
      <c r="X498" s="16">
        <f>HYPERLINK("https://my.pitchbook.com?p=177073-66P", "View People Online")</f>
      </c>
    </row>
    <row r="499">
      <c r="A499" t="s" s="11">
        <v>4421</v>
      </c>
      <c r="B499" t="s" s="11">
        <v>4422</v>
      </c>
      <c r="C499" t="s" s="11">
        <v>34</v>
      </c>
      <c r="D499" t="s" s="11">
        <v>4423</v>
      </c>
      <c r="E499" t="s" s="11">
        <v>36</v>
      </c>
      <c r="F499" t="s" s="11">
        <v>4424</v>
      </c>
      <c r="G499" t="s" s="11">
        <v>4395</v>
      </c>
      <c r="H499" s="17">
        <f>HYPERLINK("http://www.naturessunshine.com", "www.naturessunshine.com")</f>
      </c>
      <c r="I499" t="s" s="11">
        <v>108</v>
      </c>
      <c r="J499" t="s" s="25">
        <v>34</v>
      </c>
      <c r="K499" t="s" s="25">
        <v>34</v>
      </c>
      <c r="L499" t="s" s="25">
        <v>34</v>
      </c>
      <c r="M499" t="s" s="13">
        <v>34</v>
      </c>
      <c r="N499" t="s" s="11">
        <v>34</v>
      </c>
      <c r="O499" t="s" s="11">
        <v>34</v>
      </c>
      <c r="P499" t="s" s="11">
        <v>34</v>
      </c>
      <c r="Q499" t="s" s="11">
        <v>34</v>
      </c>
      <c r="R499" t="s" s="11">
        <v>34</v>
      </c>
      <c r="S499" t="s" s="11">
        <v>34</v>
      </c>
      <c r="T499" t="s" s="13">
        <v>34</v>
      </c>
      <c r="U499" t="s" s="11">
        <v>34</v>
      </c>
      <c r="V499" t="s" s="13">
        <v>34</v>
      </c>
      <c r="W499" t="s" s="11">
        <v>4426</v>
      </c>
      <c r="X499" s="17">
        <f>HYPERLINK("https://my.pitchbook.com?p=265170-25P", "View People Online")</f>
      </c>
    </row>
    <row r="500">
      <c r="A500" t="s" s="10">
        <v>4427</v>
      </c>
      <c r="B500" t="s" s="10">
        <v>4428</v>
      </c>
      <c r="C500" t="s" s="10">
        <v>34</v>
      </c>
      <c r="D500" t="s" s="10">
        <v>4429</v>
      </c>
      <c r="E500" t="s" s="10">
        <v>36</v>
      </c>
      <c r="F500" t="s" s="10">
        <v>4430</v>
      </c>
      <c r="G500" t="s" s="10">
        <v>4395</v>
      </c>
      <c r="H500" s="16">
        <f>HYPERLINK("http://www.cordobaminerals.com", "www.cordobaminerals.com")</f>
      </c>
      <c r="I500" t="s" s="10">
        <v>1057</v>
      </c>
      <c r="J500" t="s" s="24">
        <v>34</v>
      </c>
      <c r="K500" t="s" s="24">
        <v>34</v>
      </c>
      <c r="L500" t="s" s="24">
        <v>34</v>
      </c>
      <c r="M500" t="s" s="12">
        <v>34</v>
      </c>
      <c r="N500" t="s" s="10">
        <v>34</v>
      </c>
      <c r="O500" t="s" s="10">
        <v>34</v>
      </c>
      <c r="P500" t="s" s="10">
        <v>34</v>
      </c>
      <c r="Q500" t="s" s="10">
        <v>34</v>
      </c>
      <c r="R500" t="s" s="10">
        <v>34</v>
      </c>
      <c r="S500" t="s" s="10">
        <v>34</v>
      </c>
      <c r="T500" t="s" s="12">
        <v>34</v>
      </c>
      <c r="U500" t="s" s="10">
        <v>34</v>
      </c>
      <c r="V500" t="s" s="12">
        <v>34</v>
      </c>
      <c r="W500" t="s" s="10">
        <v>4432</v>
      </c>
      <c r="X500" s="16">
        <f>HYPERLINK("https://my.pitchbook.com?p=92794-60P", "View People Online")</f>
      </c>
    </row>
    <row r="501">
      <c r="A501" t="s" s="11">
        <v>4433</v>
      </c>
      <c r="B501" t="s" s="11">
        <v>4434</v>
      </c>
      <c r="C501" t="s" s="11">
        <v>34</v>
      </c>
      <c r="D501" t="s" s="11">
        <v>4435</v>
      </c>
      <c r="E501" t="s" s="11">
        <v>36</v>
      </c>
      <c r="F501" t="s" s="11">
        <v>4436</v>
      </c>
      <c r="G501" t="s" s="11">
        <v>4395</v>
      </c>
      <c r="H501" s="17">
        <f>HYPERLINK("http://www.thermalenergy.com", "www.thermalenergy.com")</f>
      </c>
      <c r="I501" t="s" s="11">
        <v>4056</v>
      </c>
      <c r="J501" t="s" s="25">
        <v>34</v>
      </c>
      <c r="K501" s="25">
        <v>1</v>
      </c>
      <c r="L501" t="s" s="25">
        <v>34</v>
      </c>
      <c r="M501" t="s" s="13">
        <v>4438</v>
      </c>
      <c r="N501" t="s" s="11">
        <v>4439</v>
      </c>
      <c r="O501" t="s" s="11">
        <v>2884</v>
      </c>
      <c r="P501" t="s" s="11">
        <v>4440</v>
      </c>
      <c r="Q501" t="s" s="11">
        <v>4441</v>
      </c>
      <c r="R501" t="s" s="11">
        <v>2887</v>
      </c>
      <c r="S501" t="s" s="11">
        <v>1219</v>
      </c>
      <c r="T501" t="s" s="13">
        <v>4442</v>
      </c>
      <c r="U501" t="s" s="11">
        <v>917</v>
      </c>
      <c r="V501" t="s" s="13">
        <v>4443</v>
      </c>
      <c r="W501" t="s" s="11">
        <v>4444</v>
      </c>
      <c r="X501" s="17">
        <f>HYPERLINK("https://my.pitchbook.com?p=277676-38P", "View People Online")</f>
      </c>
    </row>
    <row r="502">
      <c r="A502" t="s" s="10">
        <v>4445</v>
      </c>
      <c r="B502" t="s" s="10">
        <v>4446</v>
      </c>
      <c r="C502" t="s" s="10">
        <v>34</v>
      </c>
      <c r="D502" t="s" s="10">
        <v>741</v>
      </c>
      <c r="E502" t="s" s="10">
        <v>36</v>
      </c>
      <c r="F502" t="s" s="10">
        <v>4447</v>
      </c>
      <c r="G502" t="s" s="10">
        <v>4395</v>
      </c>
      <c r="H502" s="16">
        <f>HYPERLINK("http://www.vulcanmaterials.com", "www.vulcanmaterials.com")</f>
      </c>
      <c r="I502" t="s" s="10">
        <v>4448</v>
      </c>
      <c r="J502" t="s" s="24">
        <v>34</v>
      </c>
      <c r="K502" t="s" s="24">
        <v>34</v>
      </c>
      <c r="L502" t="s" s="24">
        <v>34</v>
      </c>
      <c r="M502" t="s" s="12">
        <v>34</v>
      </c>
      <c r="N502" t="s" s="10">
        <v>34</v>
      </c>
      <c r="O502" t="s" s="10">
        <v>34</v>
      </c>
      <c r="P502" t="s" s="10">
        <v>34</v>
      </c>
      <c r="Q502" t="s" s="10">
        <v>34</v>
      </c>
      <c r="R502" t="s" s="10">
        <v>34</v>
      </c>
      <c r="S502" t="s" s="10">
        <v>34</v>
      </c>
      <c r="T502" t="s" s="12">
        <v>34</v>
      </c>
      <c r="U502" t="s" s="10">
        <v>34</v>
      </c>
      <c r="V502" t="s" s="12">
        <v>34</v>
      </c>
      <c r="W502" t="s" s="10">
        <v>4449</v>
      </c>
      <c r="X502" s="16">
        <f>HYPERLINK("https://my.pitchbook.com?p=14863-87P", "View People Online")</f>
      </c>
    </row>
    <row r="503">
      <c r="A503" t="s" s="11">
        <v>4450</v>
      </c>
      <c r="B503" t="s" s="11">
        <v>4451</v>
      </c>
      <c r="C503" t="s" s="11">
        <v>34</v>
      </c>
      <c r="D503" t="s" s="11">
        <v>1469</v>
      </c>
      <c r="E503" t="s" s="11">
        <v>36</v>
      </c>
      <c r="F503" t="s" s="11">
        <v>4452</v>
      </c>
      <c r="G503" t="s" s="11">
        <v>4453</v>
      </c>
      <c r="H503" s="17">
        <f>HYPERLINK("http://www.tridentindia.com", "www.tridentindia.com")</f>
      </c>
      <c r="I503" t="s" s="11">
        <v>4454</v>
      </c>
      <c r="J503" t="s" s="25">
        <v>34</v>
      </c>
      <c r="K503" s="25">
        <v>1</v>
      </c>
      <c r="L503" t="s" s="25">
        <v>34</v>
      </c>
      <c r="M503" t="s" s="13">
        <v>34</v>
      </c>
      <c r="N503" t="s" s="11">
        <v>4455</v>
      </c>
      <c r="O503" t="s" s="11">
        <v>1474</v>
      </c>
      <c r="P503" t="s" s="11">
        <v>1469</v>
      </c>
      <c r="Q503" t="s" s="11">
        <v>1475</v>
      </c>
      <c r="R503" t="s" s="11">
        <v>1476</v>
      </c>
      <c r="S503" t="s" s="11">
        <v>1477</v>
      </c>
      <c r="T503" t="s" s="13">
        <v>1478</v>
      </c>
      <c r="U503" t="s" s="11">
        <v>1479</v>
      </c>
      <c r="V503" t="s" s="13">
        <v>1480</v>
      </c>
      <c r="W503" t="s" s="11">
        <v>4456</v>
      </c>
      <c r="X503" s="17">
        <f>HYPERLINK("https://my.pitchbook.com?p=369097-57P", "View People Online")</f>
      </c>
    </row>
    <row r="504">
      <c r="A504" t="s" s="10">
        <v>4457</v>
      </c>
      <c r="B504" t="s" s="10">
        <v>4458</v>
      </c>
      <c r="C504" t="s" s="10">
        <v>34</v>
      </c>
      <c r="D504" t="s" s="10">
        <v>943</v>
      </c>
      <c r="E504" t="s" s="10">
        <v>36</v>
      </c>
      <c r="F504" t="s" s="10">
        <v>4459</v>
      </c>
      <c r="G504" t="s" s="10">
        <v>4460</v>
      </c>
      <c r="H504" s="16">
        <f>HYPERLINK("http://www.vulcanmaterials.com", "www.vulcanmaterials.com")</f>
      </c>
      <c r="I504" t="s" s="10">
        <v>4056</v>
      </c>
      <c r="J504" t="s" s="24">
        <v>34</v>
      </c>
      <c r="K504" s="24">
        <v>3</v>
      </c>
      <c r="L504" s="24">
        <v>2</v>
      </c>
      <c r="M504" t="s" s="12">
        <v>947</v>
      </c>
      <c r="N504" t="s" s="10">
        <v>4461</v>
      </c>
      <c r="O504" t="s" s="10">
        <v>949</v>
      </c>
      <c r="P504" t="s" s="10">
        <v>950</v>
      </c>
      <c r="Q504" t="s" s="10">
        <v>34</v>
      </c>
      <c r="R504" t="s" s="10">
        <v>951</v>
      </c>
      <c r="S504" t="s" s="10">
        <v>952</v>
      </c>
      <c r="T504" t="s" s="12">
        <v>953</v>
      </c>
      <c r="U504" t="s" s="10">
        <v>161</v>
      </c>
      <c r="V504" t="s" s="12">
        <v>34</v>
      </c>
      <c r="W504" t="s" s="10">
        <v>4462</v>
      </c>
      <c r="X504" s="16">
        <f>HYPERLINK("https://my.pitchbook.com?p=123772-60P", "View People Online")</f>
      </c>
    </row>
    <row r="505">
      <c r="A505" t="s" s="11">
        <v>4463</v>
      </c>
      <c r="B505" t="s" s="11">
        <v>4464</v>
      </c>
      <c r="C505" t="s" s="11">
        <v>34</v>
      </c>
      <c r="D505" t="s" s="11">
        <v>4465</v>
      </c>
      <c r="E505" t="s" s="11">
        <v>36</v>
      </c>
      <c r="F505" t="s" s="11">
        <v>4466</v>
      </c>
      <c r="G505" t="s" s="11">
        <v>4467</v>
      </c>
      <c r="H505" s="17">
        <f>HYPERLINK("http://www.quantum.com", "www.quantum.com")</f>
      </c>
      <c r="I505" t="s" s="11">
        <v>4469</v>
      </c>
      <c r="J505" t="s" s="25">
        <v>34</v>
      </c>
      <c r="K505" t="s" s="25">
        <v>34</v>
      </c>
      <c r="L505" t="s" s="25">
        <v>34</v>
      </c>
      <c r="M505" t="s" s="13">
        <v>34</v>
      </c>
      <c r="N505" t="s" s="11">
        <v>34</v>
      </c>
      <c r="O505" t="s" s="11">
        <v>34</v>
      </c>
      <c r="P505" t="s" s="11">
        <v>34</v>
      </c>
      <c r="Q505" t="s" s="11">
        <v>34</v>
      </c>
      <c r="R505" t="s" s="11">
        <v>34</v>
      </c>
      <c r="S505" t="s" s="11">
        <v>34</v>
      </c>
      <c r="T505" t="s" s="13">
        <v>34</v>
      </c>
      <c r="U505" t="s" s="11">
        <v>34</v>
      </c>
      <c r="V505" t="s" s="13">
        <v>34</v>
      </c>
      <c r="W505" t="s" s="11">
        <v>4470</v>
      </c>
      <c r="X505" s="17">
        <f>HYPERLINK("https://my.pitchbook.com?p=326910-88P", "View People Online")</f>
      </c>
    </row>
    <row r="506">
      <c r="A506" t="s" s="10">
        <v>4471</v>
      </c>
      <c r="B506" t="s" s="10">
        <v>4472</v>
      </c>
      <c r="C506" t="s" s="10">
        <v>34</v>
      </c>
      <c r="D506" t="s" s="10">
        <v>4473</v>
      </c>
      <c r="E506" t="s" s="10">
        <v>36</v>
      </c>
      <c r="F506" t="s" s="10">
        <v>4474</v>
      </c>
      <c r="G506" t="s" s="10">
        <v>4467</v>
      </c>
      <c r="H506" s="16">
        <f>HYPERLINK("http://www.apollosilver.com", "www.apollosilver.com")</f>
      </c>
      <c r="I506" t="s" s="10">
        <v>3523</v>
      </c>
      <c r="J506" s="24">
        <v>2</v>
      </c>
      <c r="K506" s="24">
        <v>4</v>
      </c>
      <c r="L506" s="24">
        <v>1</v>
      </c>
      <c r="M506" t="s" s="12">
        <v>4476</v>
      </c>
      <c r="N506" t="s" s="10">
        <v>4477</v>
      </c>
      <c r="O506" t="s" s="10">
        <v>998</v>
      </c>
      <c r="P506" t="s" s="10">
        <v>4478</v>
      </c>
      <c r="Q506" t="s" s="10">
        <v>34</v>
      </c>
      <c r="R506" t="s" s="10">
        <v>1001</v>
      </c>
      <c r="S506" t="s" s="10">
        <v>1002</v>
      </c>
      <c r="T506" t="s" s="12">
        <v>4479</v>
      </c>
      <c r="U506" t="s" s="10">
        <v>917</v>
      </c>
      <c r="V506" t="s" s="12">
        <v>34</v>
      </c>
      <c r="W506" t="s" s="10">
        <v>4480</v>
      </c>
      <c r="X506" s="16">
        <f>HYPERLINK("https://my.pitchbook.com?p=76010-59P", "View People Online")</f>
      </c>
    </row>
    <row r="507">
      <c r="A507" t="s" s="11">
        <v>4481</v>
      </c>
      <c r="B507" t="s" s="11">
        <v>4482</v>
      </c>
      <c r="C507" t="s" s="11">
        <v>34</v>
      </c>
      <c r="D507" t="s" s="11">
        <v>127</v>
      </c>
      <c r="E507" t="s" s="11">
        <v>36</v>
      </c>
      <c r="F507" t="s" s="11">
        <v>4483</v>
      </c>
      <c r="G507" t="s" s="11">
        <v>4484</v>
      </c>
      <c r="H507" s="17">
        <f>HYPERLINK("http://www.playtech.com", "www.playtech.com")</f>
      </c>
      <c r="I507" t="s" s="11">
        <v>4253</v>
      </c>
      <c r="J507" t="s" s="25">
        <v>34</v>
      </c>
      <c r="K507" t="s" s="25">
        <v>34</v>
      </c>
      <c r="L507" t="s" s="25">
        <v>34</v>
      </c>
      <c r="M507" t="s" s="13">
        <v>34</v>
      </c>
      <c r="N507" t="s" s="11">
        <v>34</v>
      </c>
      <c r="O507" t="s" s="11">
        <v>34</v>
      </c>
      <c r="P507" t="s" s="11">
        <v>34</v>
      </c>
      <c r="Q507" t="s" s="11">
        <v>34</v>
      </c>
      <c r="R507" t="s" s="11">
        <v>34</v>
      </c>
      <c r="S507" t="s" s="11">
        <v>34</v>
      </c>
      <c r="T507" t="s" s="13">
        <v>34</v>
      </c>
      <c r="U507" t="s" s="11">
        <v>34</v>
      </c>
      <c r="V507" t="s" s="13">
        <v>34</v>
      </c>
      <c r="W507" t="s" s="11">
        <v>4485</v>
      </c>
      <c r="X507" s="17">
        <f>HYPERLINK("https://my.pitchbook.com?p=145888-48P", "View People Online")</f>
      </c>
    </row>
    <row r="508">
      <c r="A508" t="s" s="10">
        <v>4486</v>
      </c>
      <c r="B508" t="s" s="10">
        <v>4487</v>
      </c>
      <c r="C508" t="s" s="10">
        <v>34</v>
      </c>
      <c r="D508" t="s" s="10">
        <v>4488</v>
      </c>
      <c r="E508" t="s" s="10">
        <v>36</v>
      </c>
      <c r="F508" t="s" s="10">
        <v>4489</v>
      </c>
      <c r="G508" t="s" s="10">
        <v>4490</v>
      </c>
      <c r="H508" s="16">
        <f>HYPERLINK("http://www.westwitsmining.com", "www.westwitsmining.com")</f>
      </c>
      <c r="I508" t="s" s="10">
        <v>1139</v>
      </c>
      <c r="J508" t="s" s="24">
        <v>34</v>
      </c>
      <c r="K508" s="24">
        <v>1</v>
      </c>
      <c r="L508" t="s" s="24">
        <v>34</v>
      </c>
      <c r="M508" t="s" s="12">
        <v>4492</v>
      </c>
      <c r="N508" t="s" s="10">
        <v>4493</v>
      </c>
      <c r="O508" t="s" s="10">
        <v>4494</v>
      </c>
      <c r="P508" t="s" s="10">
        <v>4495</v>
      </c>
      <c r="Q508" t="s" s="10">
        <v>34</v>
      </c>
      <c r="R508" t="s" s="10">
        <v>4496</v>
      </c>
      <c r="S508" t="s" s="10">
        <v>4497</v>
      </c>
      <c r="T508" t="s" s="12">
        <v>4498</v>
      </c>
      <c r="U508" t="s" s="10">
        <v>57</v>
      </c>
      <c r="V508" t="s" s="12">
        <v>4499</v>
      </c>
      <c r="W508" t="s" s="10">
        <v>4500</v>
      </c>
      <c r="X508" s="16">
        <f>HYPERLINK("https://my.pitchbook.com?p=359453-80P", "View People Online")</f>
      </c>
    </row>
    <row r="509">
      <c r="A509" t="s" s="11">
        <v>4501</v>
      </c>
      <c r="B509" t="s" s="11">
        <v>4502</v>
      </c>
      <c r="C509" t="s" s="11">
        <v>34</v>
      </c>
      <c r="D509" t="s" s="11">
        <v>4503</v>
      </c>
      <c r="E509" t="s" s="11">
        <v>36</v>
      </c>
      <c r="F509" t="s" s="11">
        <v>4504</v>
      </c>
      <c r="G509" t="s" s="11">
        <v>4505</v>
      </c>
      <c r="H509" s="17">
        <f>HYPERLINK("http://www.biitt.cn", "www.biitt.cn")</f>
      </c>
      <c r="I509" t="s" s="11">
        <v>4507</v>
      </c>
      <c r="J509" t="s" s="25">
        <v>34</v>
      </c>
      <c r="K509" s="25">
        <v>1</v>
      </c>
      <c r="L509" t="s" s="25">
        <v>34</v>
      </c>
      <c r="M509" t="s" s="13">
        <v>4508</v>
      </c>
      <c r="N509" t="s" s="11">
        <v>4509</v>
      </c>
      <c r="O509" t="s" s="11">
        <v>3636</v>
      </c>
      <c r="P509" t="s" s="11">
        <v>4510</v>
      </c>
      <c r="Q509" t="s" s="11">
        <v>4511</v>
      </c>
      <c r="R509" t="s" s="11">
        <v>3637</v>
      </c>
      <c r="S509" t="s" s="11">
        <v>34</v>
      </c>
      <c r="T509" t="s" s="13">
        <v>34</v>
      </c>
      <c r="U509" t="s" s="11">
        <v>3637</v>
      </c>
      <c r="V509" t="s" s="13">
        <v>34</v>
      </c>
      <c r="W509" t="s" s="11">
        <v>4512</v>
      </c>
      <c r="X509" s="17">
        <f>HYPERLINK("https://my.pitchbook.com?p=124388-29P", "View People Online")</f>
      </c>
    </row>
    <row r="510">
      <c r="A510" t="s" s="10">
        <v>4513</v>
      </c>
      <c r="B510" t="s" s="10">
        <v>4514</v>
      </c>
      <c r="C510" t="s" s="10">
        <v>34</v>
      </c>
      <c r="D510" t="s" s="10">
        <v>4515</v>
      </c>
      <c r="E510" t="s" s="10">
        <v>36</v>
      </c>
      <c r="F510" t="s" s="10">
        <v>4516</v>
      </c>
      <c r="G510" t="s" s="10">
        <v>1944</v>
      </c>
      <c r="H510" s="16">
        <f>HYPERLINK("http://www.rwc.com", "www.rwc.com")</f>
      </c>
      <c r="I510" t="s" s="10">
        <v>108</v>
      </c>
      <c r="J510" s="24">
        <v>1</v>
      </c>
      <c r="K510" s="24">
        <v>1</v>
      </c>
      <c r="L510" t="s" s="24">
        <v>34</v>
      </c>
      <c r="M510" t="s" s="12">
        <v>34</v>
      </c>
      <c r="N510" t="s" s="10">
        <v>34</v>
      </c>
      <c r="O510" t="s" s="10">
        <v>1308</v>
      </c>
      <c r="P510" t="s" s="10">
        <v>4518</v>
      </c>
      <c r="Q510" t="s" s="10">
        <v>34</v>
      </c>
      <c r="R510" t="s" s="10">
        <v>1311</v>
      </c>
      <c r="S510" t="s" s="10">
        <v>1312</v>
      </c>
      <c r="T510" t="s" s="12">
        <v>4519</v>
      </c>
      <c r="U510" t="s" s="10">
        <v>161</v>
      </c>
      <c r="V510" t="s" s="12">
        <v>34</v>
      </c>
      <c r="W510" t="s" s="10">
        <v>4520</v>
      </c>
      <c r="X510" s="16">
        <f>HYPERLINK("https://my.pitchbook.com?p=80123-68P", "View People Online")</f>
      </c>
    </row>
    <row r="511">
      <c r="A511" t="s" s="11">
        <v>4521</v>
      </c>
      <c r="B511" t="s" s="11">
        <v>4522</v>
      </c>
      <c r="C511" t="s" s="11">
        <v>34</v>
      </c>
      <c r="D511" t="s" s="11">
        <v>879</v>
      </c>
      <c r="E511" t="s" s="11">
        <v>36</v>
      </c>
      <c r="F511" t="s" s="11">
        <v>4523</v>
      </c>
      <c r="G511" t="s" s="11">
        <v>4524</v>
      </c>
      <c r="H511" s="17">
        <f>HYPERLINK("http://www.playtech.com", "www.playtech.com")</f>
      </c>
      <c r="I511" t="s" s="11">
        <v>4525</v>
      </c>
      <c r="J511" t="s" s="25">
        <v>34</v>
      </c>
      <c r="K511" s="25">
        <v>1</v>
      </c>
      <c r="L511" t="s" s="25">
        <v>34</v>
      </c>
      <c r="M511" t="s" s="13">
        <v>34</v>
      </c>
      <c r="N511" t="s" s="11">
        <v>4526</v>
      </c>
      <c r="O511" t="s" s="11">
        <v>883</v>
      </c>
      <c r="P511" t="s" s="11">
        <v>884</v>
      </c>
      <c r="Q511" t="s" s="11">
        <v>885</v>
      </c>
      <c r="R511" t="s" s="11">
        <v>886</v>
      </c>
      <c r="S511" t="s" s="11">
        <v>120</v>
      </c>
      <c r="T511" t="s" s="13">
        <v>887</v>
      </c>
      <c r="U511" t="s" s="11">
        <v>122</v>
      </c>
      <c r="V511" t="s" s="13">
        <v>34</v>
      </c>
      <c r="W511" t="s" s="11">
        <v>4527</v>
      </c>
      <c r="X511" s="17">
        <f>HYPERLINK("https://my.pitchbook.com?p=92271-70P", "View People Online")</f>
      </c>
    </row>
    <row r="512">
      <c r="A512" t="s" s="10">
        <v>4528</v>
      </c>
      <c r="B512" t="s" s="10">
        <v>4529</v>
      </c>
      <c r="C512" t="s" s="10">
        <v>34</v>
      </c>
      <c r="D512" t="s" s="10">
        <v>187</v>
      </c>
      <c r="E512" t="s" s="10">
        <v>36</v>
      </c>
      <c r="F512" t="s" s="10">
        <v>4530</v>
      </c>
      <c r="G512" t="s" s="10">
        <v>4531</v>
      </c>
      <c r="H512" s="16">
        <f>HYPERLINK("http://www.diacorporate.com", "www.diacorporate.com")</f>
      </c>
      <c r="I512" t="s" s="10">
        <v>4532</v>
      </c>
      <c r="J512" t="s" s="24">
        <v>34</v>
      </c>
      <c r="K512" t="s" s="24">
        <v>34</v>
      </c>
      <c r="L512" t="s" s="24">
        <v>34</v>
      </c>
      <c r="M512" t="s" s="12">
        <v>34</v>
      </c>
      <c r="N512" t="s" s="10">
        <v>34</v>
      </c>
      <c r="O512" t="s" s="10">
        <v>34</v>
      </c>
      <c r="P512" t="s" s="10">
        <v>34</v>
      </c>
      <c r="Q512" t="s" s="10">
        <v>34</v>
      </c>
      <c r="R512" t="s" s="10">
        <v>34</v>
      </c>
      <c r="S512" t="s" s="10">
        <v>34</v>
      </c>
      <c r="T512" t="s" s="12">
        <v>34</v>
      </c>
      <c r="U512" t="s" s="10">
        <v>34</v>
      </c>
      <c r="V512" t="s" s="12">
        <v>34</v>
      </c>
      <c r="W512" t="s" s="10">
        <v>4533</v>
      </c>
      <c r="X512" s="16">
        <f>HYPERLINK("https://my.pitchbook.com?p=344988-10P", "View People Online")</f>
      </c>
    </row>
    <row r="513">
      <c r="A513" t="s" s="11">
        <v>4534</v>
      </c>
      <c r="B513" t="s" s="11">
        <v>4535</v>
      </c>
      <c r="C513" t="s" s="11">
        <v>34</v>
      </c>
      <c r="D513" t="s" s="11">
        <v>1469</v>
      </c>
      <c r="E513" t="s" s="11">
        <v>36</v>
      </c>
      <c r="F513" t="s" s="11">
        <v>4536</v>
      </c>
      <c r="G513" t="s" s="11">
        <v>4537</v>
      </c>
      <c r="H513" s="17">
        <f>HYPERLINK("http://www.tridentindia.com", "www.tridentindia.com")</f>
      </c>
      <c r="I513" t="s" s="11">
        <v>3332</v>
      </c>
      <c r="J513" t="s" s="25">
        <v>34</v>
      </c>
      <c r="K513" s="25">
        <v>2</v>
      </c>
      <c r="L513" t="s" s="25">
        <v>34</v>
      </c>
      <c r="M513" t="s" s="13">
        <v>34</v>
      </c>
      <c r="N513" t="s" s="11">
        <v>34</v>
      </c>
      <c r="O513" t="s" s="11">
        <v>1474</v>
      </c>
      <c r="P513" t="s" s="11">
        <v>1469</v>
      </c>
      <c r="Q513" t="s" s="11">
        <v>1475</v>
      </c>
      <c r="R513" t="s" s="11">
        <v>1476</v>
      </c>
      <c r="S513" t="s" s="11">
        <v>1477</v>
      </c>
      <c r="T513" t="s" s="13">
        <v>1478</v>
      </c>
      <c r="U513" t="s" s="11">
        <v>1479</v>
      </c>
      <c r="V513" t="s" s="13">
        <v>1480</v>
      </c>
      <c r="W513" t="s" s="11">
        <v>4538</v>
      </c>
      <c r="X513" s="17">
        <f>HYPERLINK("https://my.pitchbook.com?p=368060-95P", "View People Online")</f>
      </c>
    </row>
    <row r="514">
      <c r="A514" t="s" s="10">
        <v>4539</v>
      </c>
      <c r="B514" t="s" s="10">
        <v>4540</v>
      </c>
      <c r="C514" t="s" s="10">
        <v>34</v>
      </c>
      <c r="D514" t="s" s="10">
        <v>4541</v>
      </c>
      <c r="E514" t="s" s="10">
        <v>36</v>
      </c>
      <c r="F514" t="s" s="10">
        <v>4542</v>
      </c>
      <c r="G514" t="s" s="10">
        <v>4543</v>
      </c>
      <c r="H514" s="16">
        <f>HYPERLINK("http://www.autostoresystem.com", "www.autostoresystem.com")</f>
      </c>
      <c r="I514" t="s" s="10">
        <v>4545</v>
      </c>
      <c r="J514" s="24">
        <v>2</v>
      </c>
      <c r="K514" s="24">
        <v>4</v>
      </c>
      <c r="L514" s="24">
        <v>1</v>
      </c>
      <c r="M514" t="s" s="12">
        <v>4546</v>
      </c>
      <c r="N514" t="s" s="10">
        <v>4547</v>
      </c>
      <c r="O514" t="s" s="10">
        <v>3184</v>
      </c>
      <c r="P514" t="s" s="10">
        <v>3185</v>
      </c>
      <c r="Q514" t="s" s="10">
        <v>34</v>
      </c>
      <c r="R514" t="s" s="10">
        <v>3186</v>
      </c>
      <c r="S514" t="s" s="10">
        <v>34</v>
      </c>
      <c r="T514" t="s" s="12">
        <v>3187</v>
      </c>
      <c r="U514" t="s" s="10">
        <v>535</v>
      </c>
      <c r="V514" t="s" s="12">
        <v>34</v>
      </c>
      <c r="W514" t="s" s="10">
        <v>4548</v>
      </c>
      <c r="X514" s="16">
        <f>HYPERLINK("https://my.pitchbook.com?p=58428-82P", "View People Online")</f>
      </c>
    </row>
    <row r="515">
      <c r="A515" t="s" s="11">
        <v>4549</v>
      </c>
      <c r="B515" t="s" s="11">
        <v>4550</v>
      </c>
      <c r="C515" t="s" s="11">
        <v>34</v>
      </c>
      <c r="D515" t="s" s="11">
        <v>879</v>
      </c>
      <c r="E515" t="s" s="11">
        <v>36</v>
      </c>
      <c r="F515" t="s" s="11">
        <v>4551</v>
      </c>
      <c r="G515" t="s" s="11">
        <v>4552</v>
      </c>
      <c r="H515" s="17">
        <f>HYPERLINK("http://www.playtech.com", "www.playtech.com")</f>
      </c>
      <c r="I515" t="s" s="11">
        <v>1695</v>
      </c>
      <c r="J515" t="s" s="25">
        <v>34</v>
      </c>
      <c r="K515" s="25">
        <v>1</v>
      </c>
      <c r="L515" t="s" s="25">
        <v>34</v>
      </c>
      <c r="M515" t="s" s="13">
        <v>34</v>
      </c>
      <c r="N515" t="s" s="11">
        <v>4553</v>
      </c>
      <c r="O515" t="s" s="11">
        <v>883</v>
      </c>
      <c r="P515" t="s" s="11">
        <v>884</v>
      </c>
      <c r="Q515" t="s" s="11">
        <v>885</v>
      </c>
      <c r="R515" t="s" s="11">
        <v>886</v>
      </c>
      <c r="S515" t="s" s="11">
        <v>120</v>
      </c>
      <c r="T515" t="s" s="13">
        <v>887</v>
      </c>
      <c r="U515" t="s" s="11">
        <v>122</v>
      </c>
      <c r="V515" t="s" s="13">
        <v>34</v>
      </c>
      <c r="W515" t="s" s="11">
        <v>4554</v>
      </c>
      <c r="X515" s="17">
        <f>HYPERLINK("https://my.pitchbook.com?p=399649-60P", "View People Online")</f>
      </c>
    </row>
    <row r="516">
      <c r="A516" t="s" s="10">
        <v>4555</v>
      </c>
      <c r="B516" t="s" s="10">
        <v>4556</v>
      </c>
      <c r="C516" t="s" s="10">
        <v>34</v>
      </c>
      <c r="D516" t="s" s="10">
        <v>4557</v>
      </c>
      <c r="E516" t="s" s="10">
        <v>36</v>
      </c>
      <c r="F516" t="s" s="10">
        <v>4558</v>
      </c>
      <c r="G516" t="s" s="10">
        <v>4559</v>
      </c>
      <c r="H516" s="16">
        <f>HYPERLINK("http://www.vk.company", "www.vk.company")</f>
      </c>
      <c r="I516" t="s" s="10">
        <v>108</v>
      </c>
      <c r="J516" s="24">
        <v>2</v>
      </c>
      <c r="K516" s="24">
        <v>2</v>
      </c>
      <c r="L516" t="s" s="24">
        <v>34</v>
      </c>
      <c r="M516" t="s" s="12">
        <v>34</v>
      </c>
      <c r="N516" t="s" s="10">
        <v>4560</v>
      </c>
      <c r="O516" t="s" s="10">
        <v>200</v>
      </c>
      <c r="P516" t="s" s="10">
        <v>4561</v>
      </c>
      <c r="Q516" t="s" s="10">
        <v>4562</v>
      </c>
      <c r="R516" t="s" s="10">
        <v>202</v>
      </c>
      <c r="S516" t="s" s="10">
        <v>34</v>
      </c>
      <c r="T516" t="s" s="12">
        <v>4563</v>
      </c>
      <c r="U516" t="s" s="10">
        <v>204</v>
      </c>
      <c r="V516" t="s" s="12">
        <v>34</v>
      </c>
      <c r="W516" t="s" s="10">
        <v>4564</v>
      </c>
      <c r="X516" s="16">
        <f>HYPERLINK("https://my.pitchbook.com?p=70218-55P", "View People Online")</f>
      </c>
    </row>
    <row r="517">
      <c r="A517" t="s" s="11">
        <v>4565</v>
      </c>
      <c r="B517" t="s" s="11">
        <v>4566</v>
      </c>
      <c r="C517" t="s" s="11">
        <v>34</v>
      </c>
      <c r="D517" t="s" s="11">
        <v>4567</v>
      </c>
      <c r="E517" t="s" s="11">
        <v>36</v>
      </c>
      <c r="F517" t="s" s="11">
        <v>4568</v>
      </c>
      <c r="G517" t="s" s="11">
        <v>4569</v>
      </c>
      <c r="H517" s="17">
        <f>HYPERLINK("http://www.amrest.eu", "www.amrest.eu")</f>
      </c>
      <c r="I517" t="s" s="11">
        <v>2117</v>
      </c>
      <c r="J517" t="s" s="25">
        <v>34</v>
      </c>
      <c r="K517" t="s" s="25">
        <v>34</v>
      </c>
      <c r="L517" t="s" s="25">
        <v>34</v>
      </c>
      <c r="M517" t="s" s="13">
        <v>34</v>
      </c>
      <c r="N517" t="s" s="11">
        <v>34</v>
      </c>
      <c r="O517" t="s" s="11">
        <v>34</v>
      </c>
      <c r="P517" t="s" s="11">
        <v>34</v>
      </c>
      <c r="Q517" t="s" s="11">
        <v>34</v>
      </c>
      <c r="R517" t="s" s="11">
        <v>34</v>
      </c>
      <c r="S517" t="s" s="11">
        <v>34</v>
      </c>
      <c r="T517" t="s" s="13">
        <v>34</v>
      </c>
      <c r="U517" t="s" s="11">
        <v>34</v>
      </c>
      <c r="V517" t="s" s="13">
        <v>34</v>
      </c>
      <c r="W517" t="s" s="11">
        <v>4571</v>
      </c>
      <c r="X517" s="17">
        <f>HYPERLINK("https://my.pitchbook.com?p=260316-37P", "View People Online")</f>
      </c>
    </row>
    <row r="518">
      <c r="A518" t="s" s="10">
        <v>4572</v>
      </c>
      <c r="B518" t="s" s="10">
        <v>4573</v>
      </c>
      <c r="C518" t="s" s="10">
        <v>34</v>
      </c>
      <c r="D518" t="s" s="10">
        <v>4574</v>
      </c>
      <c r="E518" t="s" s="10">
        <v>36</v>
      </c>
      <c r="F518" t="s" s="10">
        <v>3824</v>
      </c>
      <c r="G518" t="s" s="10">
        <v>4575</v>
      </c>
      <c r="H518" s="16">
        <f>HYPERLINK("http://www.simpple.ai", "www.simpple.ai")</f>
      </c>
      <c r="I518" t="s" s="10">
        <v>4577</v>
      </c>
      <c r="J518" t="s" s="24">
        <v>34</v>
      </c>
      <c r="K518" s="24">
        <v>2</v>
      </c>
      <c r="L518" s="24">
        <v>1</v>
      </c>
      <c r="M518" t="s" s="12">
        <v>4578</v>
      </c>
      <c r="N518" t="s" s="10">
        <v>4579</v>
      </c>
      <c r="O518" t="s" s="10">
        <v>140</v>
      </c>
      <c r="P518" t="s" s="10">
        <v>4580</v>
      </c>
      <c r="Q518" t="s" s="10">
        <v>4581</v>
      </c>
      <c r="R518" t="s" s="10">
        <v>143</v>
      </c>
      <c r="S518" t="s" s="10">
        <v>34</v>
      </c>
      <c r="T518" t="s" s="12">
        <v>4582</v>
      </c>
      <c r="U518" t="s" s="10">
        <v>143</v>
      </c>
      <c r="V518" t="s" s="12">
        <v>34</v>
      </c>
      <c r="W518" t="s" s="10">
        <v>4583</v>
      </c>
      <c r="X518" s="16">
        <f>HYPERLINK("https://my.pitchbook.com?p=382894-57P", "View People Online")</f>
      </c>
    </row>
    <row r="519">
      <c r="A519" t="s" s="11">
        <v>4584</v>
      </c>
      <c r="B519" t="s" s="11">
        <v>4585</v>
      </c>
      <c r="C519" t="s" s="11">
        <v>34</v>
      </c>
      <c r="D519" t="s" s="11">
        <v>4586</v>
      </c>
      <c r="E519" t="s" s="11">
        <v>36</v>
      </c>
      <c r="F519" t="s" s="11">
        <v>4587</v>
      </c>
      <c r="G519" t="s" s="11">
        <v>4588</v>
      </c>
      <c r="H519" s="17">
        <f>HYPERLINK("http://www.dlpresourcesinc.com", "www.dlpresourcesinc.com")</f>
      </c>
      <c r="I519" t="s" s="11">
        <v>263</v>
      </c>
      <c r="J519" t="s" s="25">
        <v>34</v>
      </c>
      <c r="K519" s="25">
        <v>5</v>
      </c>
      <c r="L519" t="s" s="25">
        <v>34</v>
      </c>
      <c r="M519" t="s" s="13">
        <v>4590</v>
      </c>
      <c r="N519" t="s" s="11">
        <v>34</v>
      </c>
      <c r="O519" t="s" s="11">
        <v>4591</v>
      </c>
      <c r="P519" t="s" s="11">
        <v>4592</v>
      </c>
      <c r="Q519" t="s" s="11">
        <v>4593</v>
      </c>
      <c r="R519" t="s" s="11">
        <v>4594</v>
      </c>
      <c r="S519" t="s" s="11">
        <v>1002</v>
      </c>
      <c r="T519" t="s" s="13">
        <v>4595</v>
      </c>
      <c r="U519" t="s" s="11">
        <v>917</v>
      </c>
      <c r="V519" t="s" s="13">
        <v>34</v>
      </c>
      <c r="W519" t="s" s="11">
        <v>4596</v>
      </c>
      <c r="X519" s="17">
        <f>HYPERLINK("https://my.pitchbook.com?p=162088-39P", "View People Online")</f>
      </c>
    </row>
    <row r="520">
      <c r="A520" t="s" s="10">
        <v>4597</v>
      </c>
      <c r="B520" t="s" s="10">
        <v>4585</v>
      </c>
      <c r="C520" t="s" s="10">
        <v>34</v>
      </c>
      <c r="D520" t="s" s="10">
        <v>4598</v>
      </c>
      <c r="E520" t="s" s="10">
        <v>36</v>
      </c>
      <c r="F520" t="s" s="10">
        <v>4587</v>
      </c>
      <c r="G520" t="s" s="10">
        <v>4588</v>
      </c>
      <c r="H520" s="16">
        <f>HYPERLINK("http://www.imetalresources.ca", "www.imetalresources.ca")</f>
      </c>
      <c r="I520" t="s" s="10">
        <v>108</v>
      </c>
      <c r="J520" s="24">
        <v>1</v>
      </c>
      <c r="K520" s="24">
        <v>1</v>
      </c>
      <c r="L520" t="s" s="24">
        <v>34</v>
      </c>
      <c r="M520" t="s" s="12">
        <v>4600</v>
      </c>
      <c r="N520" t="s" s="10">
        <v>34</v>
      </c>
      <c r="O520" t="s" s="10">
        <v>998</v>
      </c>
      <c r="P520" t="s" s="10">
        <v>4601</v>
      </c>
      <c r="Q520" t="s" s="10">
        <v>4602</v>
      </c>
      <c r="R520" t="s" s="10">
        <v>1001</v>
      </c>
      <c r="S520" t="s" s="10">
        <v>1002</v>
      </c>
      <c r="T520" t="s" s="12">
        <v>4603</v>
      </c>
      <c r="U520" t="s" s="10">
        <v>917</v>
      </c>
      <c r="V520" t="s" s="12">
        <v>34</v>
      </c>
      <c r="W520" t="s" s="10">
        <v>4604</v>
      </c>
      <c r="X520" s="16">
        <f>HYPERLINK("https://my.pitchbook.com?p=175935-52P", "View People Online")</f>
      </c>
    </row>
    <row r="521">
      <c r="A521" t="s" s="11">
        <v>4605</v>
      </c>
      <c r="B521" t="s" s="11">
        <v>4585</v>
      </c>
      <c r="C521" t="s" s="11">
        <v>34</v>
      </c>
      <c r="D521" t="s" s="11">
        <v>4606</v>
      </c>
      <c r="E521" t="s" s="11">
        <v>36</v>
      </c>
      <c r="F521" t="s" s="11">
        <v>4587</v>
      </c>
      <c r="G521" t="s" s="11">
        <v>4588</v>
      </c>
      <c r="H521" s="17">
        <f>HYPERLINK("http://www.barugold.com", "www.barugold.com")</f>
      </c>
      <c r="I521" t="s" s="11">
        <v>263</v>
      </c>
      <c r="J521" t="s" s="25">
        <v>34</v>
      </c>
      <c r="K521" t="s" s="25">
        <v>34</v>
      </c>
      <c r="L521" t="s" s="25">
        <v>34</v>
      </c>
      <c r="M521" t="s" s="13">
        <v>34</v>
      </c>
      <c r="N521" t="s" s="11">
        <v>34</v>
      </c>
      <c r="O521" t="s" s="11">
        <v>34</v>
      </c>
      <c r="P521" t="s" s="11">
        <v>34</v>
      </c>
      <c r="Q521" t="s" s="11">
        <v>34</v>
      </c>
      <c r="R521" t="s" s="11">
        <v>34</v>
      </c>
      <c r="S521" t="s" s="11">
        <v>34</v>
      </c>
      <c r="T521" t="s" s="13">
        <v>34</v>
      </c>
      <c r="U521" t="s" s="11">
        <v>34</v>
      </c>
      <c r="V521" t="s" s="13">
        <v>34</v>
      </c>
      <c r="W521" t="s" s="11">
        <v>4608</v>
      </c>
      <c r="X521" s="17">
        <f>HYPERLINK("https://my.pitchbook.com?p=179139-97P", "View People Online")</f>
      </c>
    </row>
    <row r="522">
      <c r="A522" t="s" s="10">
        <v>4609</v>
      </c>
      <c r="B522" t="s" s="10">
        <v>4585</v>
      </c>
      <c r="C522" t="s" s="10">
        <v>34</v>
      </c>
      <c r="D522" t="s" s="10">
        <v>4610</v>
      </c>
      <c r="E522" t="s" s="10">
        <v>36</v>
      </c>
      <c r="F522" t="s" s="10">
        <v>4587</v>
      </c>
      <c r="G522" t="s" s="10">
        <v>4588</v>
      </c>
      <c r="H522" s="16">
        <f>HYPERLINK("http://www.alzex.ca", "www.alzex.ca")</f>
      </c>
      <c r="I522" t="s" s="10">
        <v>34</v>
      </c>
      <c r="J522" t="s" s="24">
        <v>34</v>
      </c>
      <c r="K522" t="s" s="24">
        <v>34</v>
      </c>
      <c r="L522" t="s" s="24">
        <v>34</v>
      </c>
      <c r="M522" t="s" s="12">
        <v>34</v>
      </c>
      <c r="N522" t="s" s="10">
        <v>34</v>
      </c>
      <c r="O522" t="s" s="10">
        <v>34</v>
      </c>
      <c r="P522" t="s" s="10">
        <v>34</v>
      </c>
      <c r="Q522" t="s" s="10">
        <v>34</v>
      </c>
      <c r="R522" t="s" s="10">
        <v>34</v>
      </c>
      <c r="S522" t="s" s="10">
        <v>34</v>
      </c>
      <c r="T522" t="s" s="12">
        <v>34</v>
      </c>
      <c r="U522" t="s" s="10">
        <v>34</v>
      </c>
      <c r="V522" t="s" s="12">
        <v>34</v>
      </c>
      <c r="W522" t="s" s="10">
        <v>4612</v>
      </c>
      <c r="X522" s="16">
        <f>HYPERLINK("https://my.pitchbook.com?p=219678-76P", "View People Online")</f>
      </c>
    </row>
    <row r="523">
      <c r="A523" t="s" s="11">
        <v>4613</v>
      </c>
      <c r="B523" t="s" s="11">
        <v>4585</v>
      </c>
      <c r="C523" t="s" s="11">
        <v>34</v>
      </c>
      <c r="D523" t="s" s="11">
        <v>4614</v>
      </c>
      <c r="E523" t="s" s="11">
        <v>36</v>
      </c>
      <c r="F523" t="s" s="11">
        <v>4587</v>
      </c>
      <c r="G523" t="s" s="11">
        <v>4588</v>
      </c>
      <c r="H523" s="17">
        <f>HYPERLINK("http://www.desertmountainenergy.com", "www.desertmountainenergy.com")</f>
      </c>
      <c r="I523" t="s" s="11">
        <v>4616</v>
      </c>
      <c r="J523" t="s" s="25">
        <v>34</v>
      </c>
      <c r="K523" t="s" s="25">
        <v>34</v>
      </c>
      <c r="L523" t="s" s="25">
        <v>34</v>
      </c>
      <c r="M523" t="s" s="13">
        <v>34</v>
      </c>
      <c r="N523" t="s" s="11">
        <v>34</v>
      </c>
      <c r="O523" t="s" s="11">
        <v>34</v>
      </c>
      <c r="P523" t="s" s="11">
        <v>34</v>
      </c>
      <c r="Q523" t="s" s="11">
        <v>34</v>
      </c>
      <c r="R523" t="s" s="11">
        <v>34</v>
      </c>
      <c r="S523" t="s" s="11">
        <v>34</v>
      </c>
      <c r="T523" t="s" s="13">
        <v>34</v>
      </c>
      <c r="U523" t="s" s="11">
        <v>34</v>
      </c>
      <c r="V523" t="s" s="13">
        <v>34</v>
      </c>
      <c r="W523" t="s" s="11">
        <v>4617</v>
      </c>
      <c r="X523" s="17">
        <f>HYPERLINK("https://my.pitchbook.com?p=233319-97P", "View People Online")</f>
      </c>
    </row>
    <row r="524">
      <c r="A524" t="s" s="10">
        <v>4618</v>
      </c>
      <c r="B524" t="s" s="10">
        <v>4585</v>
      </c>
      <c r="C524" t="s" s="10">
        <v>34</v>
      </c>
      <c r="D524" t="s" s="10">
        <v>4619</v>
      </c>
      <c r="E524" t="s" s="10">
        <v>36</v>
      </c>
      <c r="F524" t="s" s="10">
        <v>4587</v>
      </c>
      <c r="G524" t="s" s="10">
        <v>4588</v>
      </c>
      <c r="H524" s="16">
        <f>HYPERLINK("http://www.uranoenergy.com", "www.uranoenergy.com")</f>
      </c>
      <c r="I524" t="s" s="10">
        <v>263</v>
      </c>
      <c r="J524" t="s" s="24">
        <v>34</v>
      </c>
      <c r="K524" s="24">
        <v>1</v>
      </c>
      <c r="L524" t="s" s="24">
        <v>34</v>
      </c>
      <c r="M524" t="s" s="12">
        <v>4621</v>
      </c>
      <c r="N524" t="s" s="10">
        <v>34</v>
      </c>
      <c r="O524" t="s" s="10">
        <v>998</v>
      </c>
      <c r="P524" t="s" s="10">
        <v>4622</v>
      </c>
      <c r="Q524" t="s" s="10">
        <v>4623</v>
      </c>
      <c r="R524" t="s" s="10">
        <v>1001</v>
      </c>
      <c r="S524" t="s" s="10">
        <v>1002</v>
      </c>
      <c r="T524" t="s" s="12">
        <v>4624</v>
      </c>
      <c r="U524" t="s" s="10">
        <v>917</v>
      </c>
      <c r="V524" t="s" s="12">
        <v>34</v>
      </c>
      <c r="W524" t="s" s="10">
        <v>4625</v>
      </c>
      <c r="X524" s="16">
        <f>HYPERLINK("https://my.pitchbook.com?p=234335-98P", "View People Online")</f>
      </c>
    </row>
    <row r="525">
      <c r="A525" t="s" s="11">
        <v>4626</v>
      </c>
      <c r="B525" t="s" s="11">
        <v>4585</v>
      </c>
      <c r="C525" t="s" s="11">
        <v>34</v>
      </c>
      <c r="D525" t="s" s="11">
        <v>4627</v>
      </c>
      <c r="E525" t="s" s="11">
        <v>36</v>
      </c>
      <c r="F525" t="s" s="11">
        <v>4587</v>
      </c>
      <c r="G525" t="s" s="11">
        <v>4588</v>
      </c>
      <c r="H525" s="17">
        <f>HYPERLINK("http://www.encoreuranium.com", "www.encoreuranium.com")</f>
      </c>
      <c r="I525" t="s" s="11">
        <v>263</v>
      </c>
      <c r="J525" t="s" s="25">
        <v>34</v>
      </c>
      <c r="K525" t="s" s="25">
        <v>34</v>
      </c>
      <c r="L525" t="s" s="25">
        <v>34</v>
      </c>
      <c r="M525" t="s" s="13">
        <v>34</v>
      </c>
      <c r="N525" t="s" s="11">
        <v>34</v>
      </c>
      <c r="O525" t="s" s="11">
        <v>34</v>
      </c>
      <c r="P525" t="s" s="11">
        <v>34</v>
      </c>
      <c r="Q525" t="s" s="11">
        <v>34</v>
      </c>
      <c r="R525" t="s" s="11">
        <v>34</v>
      </c>
      <c r="S525" t="s" s="11">
        <v>34</v>
      </c>
      <c r="T525" t="s" s="13">
        <v>34</v>
      </c>
      <c r="U525" t="s" s="11">
        <v>34</v>
      </c>
      <c r="V525" t="s" s="13">
        <v>34</v>
      </c>
      <c r="W525" t="s" s="11">
        <v>4629</v>
      </c>
      <c r="X525" s="17">
        <f>HYPERLINK("https://my.pitchbook.com?p=241225-39P", "View People Online")</f>
      </c>
    </row>
    <row r="526">
      <c r="A526" t="s" s="10">
        <v>4630</v>
      </c>
      <c r="B526" t="s" s="10">
        <v>4585</v>
      </c>
      <c r="C526" t="s" s="10">
        <v>34</v>
      </c>
      <c r="D526" t="s" s="10">
        <v>4631</v>
      </c>
      <c r="E526" t="s" s="10">
        <v>36</v>
      </c>
      <c r="F526" t="s" s="10">
        <v>4587</v>
      </c>
      <c r="G526" t="s" s="10">
        <v>4588</v>
      </c>
      <c r="H526" s="16">
        <f>HYPERLINK("http://www.freeportresources.com", "www.freeportresources.com")</f>
      </c>
      <c r="I526" t="s" s="10">
        <v>230</v>
      </c>
      <c r="J526" s="24">
        <v>1</v>
      </c>
      <c r="K526" s="24">
        <v>1</v>
      </c>
      <c r="L526" t="s" s="24">
        <v>34</v>
      </c>
      <c r="M526" t="s" s="12">
        <v>4633</v>
      </c>
      <c r="N526" t="s" s="10">
        <v>34</v>
      </c>
      <c r="O526" t="s" s="10">
        <v>998</v>
      </c>
      <c r="P526" t="s" s="10">
        <v>4634</v>
      </c>
      <c r="Q526" t="s" s="10">
        <v>4635</v>
      </c>
      <c r="R526" t="s" s="10">
        <v>1001</v>
      </c>
      <c r="S526" t="s" s="10">
        <v>1002</v>
      </c>
      <c r="T526" t="s" s="12">
        <v>4636</v>
      </c>
      <c r="U526" t="s" s="10">
        <v>917</v>
      </c>
      <c r="V526" t="s" s="12">
        <v>34</v>
      </c>
      <c r="W526" t="s" s="10">
        <v>4637</v>
      </c>
      <c r="X526" s="16">
        <f>HYPERLINK("https://my.pitchbook.com?p=303741-55P", "View People Online")</f>
      </c>
    </row>
    <row r="527">
      <c r="A527" t="s" s="11">
        <v>4638</v>
      </c>
      <c r="B527" t="s" s="11">
        <v>4585</v>
      </c>
      <c r="C527" t="s" s="11">
        <v>34</v>
      </c>
      <c r="D527" t="s" s="11">
        <v>4639</v>
      </c>
      <c r="E527" t="s" s="11">
        <v>36</v>
      </c>
      <c r="F527" t="s" s="11">
        <v>4587</v>
      </c>
      <c r="G527" t="s" s="11">
        <v>4588</v>
      </c>
      <c r="H527" s="17">
        <f>HYPERLINK("http://www.questcorpmining.ca", "www.questcorpmining.ca")</f>
      </c>
      <c r="I527" t="s" s="11">
        <v>4641</v>
      </c>
      <c r="J527" s="25">
        <v>1</v>
      </c>
      <c r="K527" s="25">
        <v>1</v>
      </c>
      <c r="L527" t="s" s="25">
        <v>34</v>
      </c>
      <c r="M527" t="s" s="13">
        <v>4600</v>
      </c>
      <c r="N527" t="s" s="11">
        <v>4642</v>
      </c>
      <c r="O527" t="s" s="11">
        <v>998</v>
      </c>
      <c r="P527" t="s" s="11">
        <v>4634</v>
      </c>
      <c r="Q527" t="s" s="11">
        <v>4635</v>
      </c>
      <c r="R527" t="s" s="11">
        <v>1001</v>
      </c>
      <c r="S527" t="s" s="11">
        <v>1002</v>
      </c>
      <c r="T527" t="s" s="13">
        <v>4636</v>
      </c>
      <c r="U527" t="s" s="11">
        <v>917</v>
      </c>
      <c r="V527" t="s" s="13">
        <v>34</v>
      </c>
      <c r="W527" t="s" s="11">
        <v>4643</v>
      </c>
      <c r="X527" s="17">
        <f>HYPERLINK("https://my.pitchbook.com?p=344730-79P", "View People Online")</f>
      </c>
    </row>
    <row r="528">
      <c r="A528" t="s" s="10">
        <v>4644</v>
      </c>
      <c r="B528" t="s" s="10">
        <v>4585</v>
      </c>
      <c r="C528" t="s" s="10">
        <v>34</v>
      </c>
      <c r="D528" t="s" s="10">
        <v>4645</v>
      </c>
      <c r="E528" t="s" s="10">
        <v>36</v>
      </c>
      <c r="F528" t="s" s="10">
        <v>4587</v>
      </c>
      <c r="G528" t="s" s="10">
        <v>4588</v>
      </c>
      <c r="H528" s="16">
        <f>HYPERLINK("http://www.pattersonmetals.com", "www.pattersonmetals.com")</f>
      </c>
      <c r="I528" t="s" s="10">
        <v>4647</v>
      </c>
      <c r="J528" t="s" s="24">
        <v>34</v>
      </c>
      <c r="K528" s="24">
        <v>1</v>
      </c>
      <c r="L528" t="s" s="24">
        <v>34</v>
      </c>
      <c r="M528" t="s" s="12">
        <v>4648</v>
      </c>
      <c r="N528" t="s" s="10">
        <v>34</v>
      </c>
      <c r="O528" t="s" s="10">
        <v>998</v>
      </c>
      <c r="P528" t="s" s="10">
        <v>4649</v>
      </c>
      <c r="Q528" t="s" s="10">
        <v>4650</v>
      </c>
      <c r="R528" t="s" s="10">
        <v>1001</v>
      </c>
      <c r="S528" t="s" s="10">
        <v>1002</v>
      </c>
      <c r="T528" t="s" s="12">
        <v>4651</v>
      </c>
      <c r="U528" t="s" s="10">
        <v>917</v>
      </c>
      <c r="V528" t="s" s="12">
        <v>34</v>
      </c>
      <c r="W528" t="s" s="10">
        <v>4652</v>
      </c>
      <c r="X528" s="16">
        <f>HYPERLINK("https://my.pitchbook.com?p=355124-53P", "View People Online")</f>
      </c>
    </row>
    <row r="529">
      <c r="A529" t="s" s="11">
        <v>4653</v>
      </c>
      <c r="B529" t="s" s="11">
        <v>4654</v>
      </c>
      <c r="C529" t="s" s="11">
        <v>34</v>
      </c>
      <c r="D529" t="s" s="11">
        <v>4655</v>
      </c>
      <c r="E529" t="s" s="11">
        <v>36</v>
      </c>
      <c r="F529" t="s" s="11">
        <v>4656</v>
      </c>
      <c r="G529" t="s" s="11">
        <v>4588</v>
      </c>
      <c r="H529" s="17">
        <f>HYPERLINK("http://www.orasure.com", "www.orasure.com")</f>
      </c>
      <c r="I529" t="s" s="11">
        <v>322</v>
      </c>
      <c r="J529" t="s" s="25">
        <v>34</v>
      </c>
      <c r="K529" s="25">
        <v>2</v>
      </c>
      <c r="L529" t="s" s="25">
        <v>34</v>
      </c>
      <c r="M529" t="s" s="13">
        <v>4658</v>
      </c>
      <c r="N529" t="s" s="11">
        <v>4659</v>
      </c>
      <c r="O529" t="s" s="11">
        <v>4660</v>
      </c>
      <c r="P529" t="s" s="11">
        <v>4661</v>
      </c>
      <c r="Q529" t="s" s="11">
        <v>4662</v>
      </c>
      <c r="R529" t="s" s="11">
        <v>4663</v>
      </c>
      <c r="S529" t="s" s="11">
        <v>329</v>
      </c>
      <c r="T529" t="s" s="13">
        <v>4664</v>
      </c>
      <c r="U529" t="s" s="11">
        <v>161</v>
      </c>
      <c r="V529" t="s" s="13">
        <v>34</v>
      </c>
      <c r="W529" t="s" s="11">
        <v>4665</v>
      </c>
      <c r="X529" s="17">
        <f>HYPERLINK("https://my.pitchbook.com?p=264381-04P", "View People Online")</f>
      </c>
    </row>
    <row r="530">
      <c r="A530" t="s" s="10">
        <v>4666</v>
      </c>
      <c r="B530" t="s" s="10">
        <v>4667</v>
      </c>
      <c r="C530" t="s" s="10">
        <v>34</v>
      </c>
      <c r="D530" t="s" s="10">
        <v>741</v>
      </c>
      <c r="E530" t="s" s="10">
        <v>36</v>
      </c>
      <c r="F530" t="s" s="10">
        <v>4668</v>
      </c>
      <c r="G530" t="s" s="10">
        <v>4669</v>
      </c>
      <c r="H530" s="16">
        <f>HYPERLINK("http://www.vulcanmaterials.com", "www.vulcanmaterials.com")</f>
      </c>
      <c r="I530" t="s" s="10">
        <v>4670</v>
      </c>
      <c r="J530" t="s" s="24">
        <v>34</v>
      </c>
      <c r="K530" t="s" s="24">
        <v>34</v>
      </c>
      <c r="L530" t="s" s="24">
        <v>34</v>
      </c>
      <c r="M530" t="s" s="12">
        <v>34</v>
      </c>
      <c r="N530" t="s" s="10">
        <v>34</v>
      </c>
      <c r="O530" t="s" s="10">
        <v>34</v>
      </c>
      <c r="P530" t="s" s="10">
        <v>34</v>
      </c>
      <c r="Q530" t="s" s="10">
        <v>34</v>
      </c>
      <c r="R530" t="s" s="10">
        <v>34</v>
      </c>
      <c r="S530" t="s" s="10">
        <v>34</v>
      </c>
      <c r="T530" t="s" s="12">
        <v>34</v>
      </c>
      <c r="U530" t="s" s="10">
        <v>34</v>
      </c>
      <c r="V530" t="s" s="12">
        <v>34</v>
      </c>
      <c r="W530" t="s" s="10">
        <v>4671</v>
      </c>
      <c r="X530" s="16">
        <f>HYPERLINK("https://my.pitchbook.com?p=143748-73P", "View People Online")</f>
      </c>
    </row>
    <row r="531">
      <c r="A531" t="s" s="11">
        <v>4672</v>
      </c>
      <c r="B531" t="s" s="11">
        <v>4673</v>
      </c>
      <c r="C531" t="s" s="11">
        <v>34</v>
      </c>
      <c r="D531" t="s" s="11">
        <v>195</v>
      </c>
      <c r="E531" t="s" s="11">
        <v>36</v>
      </c>
      <c r="F531" t="s" s="11">
        <v>4674</v>
      </c>
      <c r="G531" t="s" s="11">
        <v>4675</v>
      </c>
      <c r="H531" s="17">
        <f>HYPERLINK("http://www.novatek.ru", "www.novatek.ru")</f>
      </c>
      <c r="I531" t="s" s="11">
        <v>4676</v>
      </c>
      <c r="J531" t="s" s="25">
        <v>34</v>
      </c>
      <c r="K531" s="25">
        <v>1</v>
      </c>
      <c r="L531" t="s" s="25">
        <v>34</v>
      </c>
      <c r="M531" t="s" s="13">
        <v>199</v>
      </c>
      <c r="N531" t="s" s="11">
        <v>4677</v>
      </c>
      <c r="O531" t="s" s="11">
        <v>200</v>
      </c>
      <c r="P531" t="s" s="11">
        <v>201</v>
      </c>
      <c r="Q531" t="s" s="11">
        <v>34</v>
      </c>
      <c r="R531" t="s" s="11">
        <v>202</v>
      </c>
      <c r="S531" t="s" s="11">
        <v>34</v>
      </c>
      <c r="T531" t="s" s="13">
        <v>203</v>
      </c>
      <c r="U531" t="s" s="11">
        <v>204</v>
      </c>
      <c r="V531" t="s" s="13">
        <v>205</v>
      </c>
      <c r="W531" t="s" s="11">
        <v>4678</v>
      </c>
      <c r="X531" s="17">
        <f>HYPERLINK("https://my.pitchbook.com?p=174694-51P", "View People Online")</f>
      </c>
    </row>
    <row r="532">
      <c r="A532" t="s" s="10">
        <v>4679</v>
      </c>
      <c r="B532" t="s" s="10">
        <v>4680</v>
      </c>
      <c r="C532" t="s" s="10">
        <v>34</v>
      </c>
      <c r="D532" t="s" s="10">
        <v>517</v>
      </c>
      <c r="E532" t="s" s="10">
        <v>36</v>
      </c>
      <c r="F532" t="s" s="10">
        <v>4681</v>
      </c>
      <c r="G532" t="s" s="10">
        <v>4682</v>
      </c>
      <c r="H532" s="16">
        <f>HYPERLINK("http://www.vk.company", "www.vk.company")</f>
      </c>
      <c r="I532" t="s" s="10">
        <v>4683</v>
      </c>
      <c r="J532" t="s" s="24">
        <v>34</v>
      </c>
      <c r="K532" t="s" s="24">
        <v>34</v>
      </c>
      <c r="L532" t="s" s="24">
        <v>34</v>
      </c>
      <c r="M532" t="s" s="12">
        <v>34</v>
      </c>
      <c r="N532" t="s" s="10">
        <v>34</v>
      </c>
      <c r="O532" t="s" s="10">
        <v>34</v>
      </c>
      <c r="P532" t="s" s="10">
        <v>34</v>
      </c>
      <c r="Q532" t="s" s="10">
        <v>34</v>
      </c>
      <c r="R532" t="s" s="10">
        <v>34</v>
      </c>
      <c r="S532" t="s" s="10">
        <v>34</v>
      </c>
      <c r="T532" t="s" s="12">
        <v>34</v>
      </c>
      <c r="U532" t="s" s="10">
        <v>34</v>
      </c>
      <c r="V532" t="s" s="12">
        <v>34</v>
      </c>
      <c r="W532" t="s" s="10">
        <v>4684</v>
      </c>
      <c r="X532" s="16">
        <f>HYPERLINK("https://my.pitchbook.com?p=90714-16P", "View People Online")</f>
      </c>
    </row>
    <row r="533">
      <c r="A533" t="s" s="11">
        <v>4685</v>
      </c>
      <c r="B533" t="s" s="11">
        <v>4686</v>
      </c>
      <c r="C533" t="s" s="11">
        <v>34</v>
      </c>
      <c r="D533" t="s" s="11">
        <v>4687</v>
      </c>
      <c r="E533" t="s" s="11">
        <v>36</v>
      </c>
      <c r="F533" t="s" s="11">
        <v>4688</v>
      </c>
      <c r="G533" t="s" s="11">
        <v>4689</v>
      </c>
      <c r="H533" s="17">
        <f>HYPERLINK("http://tridenttechlabs.com", "tridenttechlabs.com")</f>
      </c>
      <c r="I533" t="s" s="11">
        <v>910</v>
      </c>
      <c r="J533" s="25">
        <v>1</v>
      </c>
      <c r="K533" s="25">
        <v>1</v>
      </c>
      <c r="L533" t="s" s="25">
        <v>34</v>
      </c>
      <c r="M533" t="s" s="13">
        <v>4691</v>
      </c>
      <c r="N533" t="s" s="11">
        <v>4692</v>
      </c>
      <c r="O533" t="s" s="11">
        <v>4693</v>
      </c>
      <c r="P533" t="s" s="11">
        <v>4694</v>
      </c>
      <c r="Q533" t="s" s="11">
        <v>4695</v>
      </c>
      <c r="R533" t="s" s="11">
        <v>4696</v>
      </c>
      <c r="S533" t="s" s="11">
        <v>34</v>
      </c>
      <c r="T533" t="s" s="13">
        <v>4697</v>
      </c>
      <c r="U533" t="s" s="11">
        <v>1479</v>
      </c>
      <c r="V533" t="s" s="13">
        <v>34</v>
      </c>
      <c r="W533" t="s" s="11">
        <v>4698</v>
      </c>
      <c r="X533" s="17">
        <f>HYPERLINK("https://my.pitchbook.com?p=380451-97P", "View People Online")</f>
      </c>
    </row>
    <row r="534">
      <c r="A534" t="s" s="10">
        <v>4699</v>
      </c>
      <c r="B534" t="s" s="10">
        <v>4700</v>
      </c>
      <c r="C534" t="s" s="10">
        <v>34</v>
      </c>
      <c r="D534" t="s" s="10">
        <v>4701</v>
      </c>
      <c r="E534" t="s" s="10">
        <v>36</v>
      </c>
      <c r="F534" t="s" s="10">
        <v>4702</v>
      </c>
      <c r="G534" t="s" s="10">
        <v>4703</v>
      </c>
      <c r="H534" s="16">
        <f>HYPERLINK("http://www.butterfieldgroup.com", "www.butterfieldgroup.com")</f>
      </c>
      <c r="I534" t="s" s="10">
        <v>4705</v>
      </c>
      <c r="J534" t="s" s="24">
        <v>34</v>
      </c>
      <c r="K534" s="24">
        <v>1</v>
      </c>
      <c r="L534" t="s" s="24">
        <v>34</v>
      </c>
      <c r="M534" t="s" s="12">
        <v>4706</v>
      </c>
      <c r="N534" t="s" s="10">
        <v>34</v>
      </c>
      <c r="O534" t="s" s="10">
        <v>3453</v>
      </c>
      <c r="P534" t="s" s="10">
        <v>4707</v>
      </c>
      <c r="Q534" t="s" s="10">
        <v>34</v>
      </c>
      <c r="R534" t="s" s="10">
        <v>3456</v>
      </c>
      <c r="S534" t="s" s="10">
        <v>34</v>
      </c>
      <c r="T534" t="s" s="12">
        <v>4708</v>
      </c>
      <c r="U534" t="s" s="10">
        <v>3167</v>
      </c>
      <c r="V534" t="s" s="12">
        <v>34</v>
      </c>
      <c r="W534" t="s" s="10">
        <v>4709</v>
      </c>
      <c r="X534" s="16">
        <f>HYPERLINK("https://my.pitchbook.com?p=99325-27P", "View People Online")</f>
      </c>
    </row>
    <row r="535">
      <c r="A535" t="s" s="11">
        <v>4710</v>
      </c>
      <c r="B535" t="s" s="11">
        <v>4711</v>
      </c>
      <c r="C535" t="s" s="11">
        <v>34</v>
      </c>
      <c r="D535" t="s" s="11">
        <v>4712</v>
      </c>
      <c r="E535" t="s" s="11">
        <v>36</v>
      </c>
      <c r="F535" t="s" s="11">
        <v>4713</v>
      </c>
      <c r="G535" t="s" s="11">
        <v>4714</v>
      </c>
      <c r="H535" s="17">
        <f>HYPERLINK("http://www.entaingroup.com", "www.entaingroup.com")</f>
      </c>
      <c r="I535" t="s" s="11">
        <v>1249</v>
      </c>
      <c r="J535" s="25">
        <v>1</v>
      </c>
      <c r="K535" s="25">
        <v>3</v>
      </c>
      <c r="L535" s="25">
        <v>2</v>
      </c>
      <c r="M535" t="s" s="13">
        <v>4716</v>
      </c>
      <c r="N535" t="s" s="11">
        <v>4717</v>
      </c>
      <c r="O535" t="s" s="11">
        <v>117</v>
      </c>
      <c r="P535" t="s" s="11">
        <v>4718</v>
      </c>
      <c r="Q535" t="s" s="11">
        <v>34</v>
      </c>
      <c r="R535" t="s" s="11">
        <v>119</v>
      </c>
      <c r="S535" t="s" s="11">
        <v>120</v>
      </c>
      <c r="T535" t="s" s="13">
        <v>4719</v>
      </c>
      <c r="U535" t="s" s="11">
        <v>122</v>
      </c>
      <c r="V535" t="s" s="13">
        <v>34</v>
      </c>
      <c r="W535" t="s" s="11">
        <v>4720</v>
      </c>
      <c r="X535" s="17">
        <f>HYPERLINK("https://my.pitchbook.com?p=166436-11P", "View People Online")</f>
      </c>
    </row>
    <row r="536">
      <c r="A536" t="s" s="10">
        <v>4721</v>
      </c>
      <c r="B536" t="s" s="10">
        <v>4722</v>
      </c>
      <c r="C536" t="s" s="10">
        <v>34</v>
      </c>
      <c r="D536" t="s" s="10">
        <v>879</v>
      </c>
      <c r="E536" t="s" s="10">
        <v>36</v>
      </c>
      <c r="F536" t="s" s="10">
        <v>4723</v>
      </c>
      <c r="G536" t="s" s="10">
        <v>4724</v>
      </c>
      <c r="H536" s="16">
        <f>HYPERLINK("http://www.playtech.com", "www.playtech.com")</f>
      </c>
      <c r="I536" t="s" s="10">
        <v>845</v>
      </c>
      <c r="J536" t="s" s="24">
        <v>34</v>
      </c>
      <c r="K536" s="24">
        <v>2</v>
      </c>
      <c r="L536" s="24">
        <v>1</v>
      </c>
      <c r="M536" t="s" s="12">
        <v>4725</v>
      </c>
      <c r="N536" t="s" s="10">
        <v>4726</v>
      </c>
      <c r="O536" t="s" s="10">
        <v>883</v>
      </c>
      <c r="P536" t="s" s="10">
        <v>884</v>
      </c>
      <c r="Q536" t="s" s="10">
        <v>885</v>
      </c>
      <c r="R536" t="s" s="10">
        <v>886</v>
      </c>
      <c r="S536" t="s" s="10">
        <v>120</v>
      </c>
      <c r="T536" t="s" s="12">
        <v>887</v>
      </c>
      <c r="U536" t="s" s="10">
        <v>122</v>
      </c>
      <c r="V536" t="s" s="12">
        <v>34</v>
      </c>
      <c r="W536" t="s" s="10">
        <v>4727</v>
      </c>
      <c r="X536" s="16">
        <f>HYPERLINK("https://my.pitchbook.com?p=127067-77P", "View People Online")</f>
      </c>
    </row>
    <row r="537">
      <c r="A537" t="s" s="11">
        <v>4728</v>
      </c>
      <c r="B537" t="s" s="11">
        <v>4729</v>
      </c>
      <c r="C537" t="s" s="11">
        <v>34</v>
      </c>
      <c r="D537" t="s" s="11">
        <v>2092</v>
      </c>
      <c r="E537" t="s" s="11">
        <v>36</v>
      </c>
      <c r="F537" t="s" s="11">
        <v>4730</v>
      </c>
      <c r="G537" t="s" s="11">
        <v>4731</v>
      </c>
      <c r="H537" s="17">
        <f>HYPERLINK("http://www.tridentlifeline.com", "www.tridentlifeline.com")</f>
      </c>
      <c r="I537" t="s" s="11">
        <v>4732</v>
      </c>
      <c r="J537" s="25">
        <v>1</v>
      </c>
      <c r="K537" s="25">
        <v>1</v>
      </c>
      <c r="L537" t="s" s="25">
        <v>34</v>
      </c>
      <c r="M537" t="s" s="13">
        <v>2097</v>
      </c>
      <c r="N537" t="s" s="11">
        <v>4733</v>
      </c>
      <c r="O537" t="s" s="11">
        <v>2099</v>
      </c>
      <c r="P537" t="s" s="11">
        <v>2100</v>
      </c>
      <c r="Q537" t="s" s="11">
        <v>2101</v>
      </c>
      <c r="R537" t="s" s="11">
        <v>2102</v>
      </c>
      <c r="S537" t="s" s="11">
        <v>2103</v>
      </c>
      <c r="T537" t="s" s="13">
        <v>34</v>
      </c>
      <c r="U537" t="s" s="11">
        <v>1479</v>
      </c>
      <c r="V537" t="s" s="13">
        <v>2104</v>
      </c>
      <c r="W537" t="s" s="11">
        <v>4734</v>
      </c>
      <c r="X537" s="17">
        <f>HYPERLINK("https://my.pitchbook.com?p=318838-51P", "View People Online")</f>
      </c>
    </row>
    <row r="538">
      <c r="A538" t="s" s="10">
        <v>4735</v>
      </c>
      <c r="B538" t="s" s="10">
        <v>4736</v>
      </c>
      <c r="C538" t="s" s="10">
        <v>34</v>
      </c>
      <c r="D538" t="s" s="10">
        <v>4737</v>
      </c>
      <c r="E538" t="s" s="10">
        <v>36</v>
      </c>
      <c r="F538" t="s" s="10">
        <v>4738</v>
      </c>
      <c r="G538" t="s" s="10">
        <v>4739</v>
      </c>
      <c r="H538" s="16">
        <f>HYPERLINK("http://www.siemens.com", "www.siemens.com")</f>
      </c>
      <c r="I538" t="s" s="10">
        <v>4741</v>
      </c>
      <c r="J538" t="s" s="24">
        <v>34</v>
      </c>
      <c r="K538" s="24">
        <v>1</v>
      </c>
      <c r="L538" t="s" s="24">
        <v>34</v>
      </c>
      <c r="M538" t="s" s="12">
        <v>4742</v>
      </c>
      <c r="N538" t="s" s="10">
        <v>4743</v>
      </c>
      <c r="O538" t="s" s="10">
        <v>4744</v>
      </c>
      <c r="P538" t="s" s="10">
        <v>4745</v>
      </c>
      <c r="Q538" t="s" s="10">
        <v>34</v>
      </c>
      <c r="R538" t="s" s="10">
        <v>4746</v>
      </c>
      <c r="S538" t="s" s="10">
        <v>34</v>
      </c>
      <c r="T538" t="s" s="12">
        <v>4747</v>
      </c>
      <c r="U538" t="s" s="10">
        <v>4748</v>
      </c>
      <c r="V538" t="s" s="12">
        <v>4749</v>
      </c>
      <c r="W538" t="s" s="10">
        <v>4750</v>
      </c>
      <c r="X538" s="16">
        <f>HYPERLINK("https://my.pitchbook.com?p=371123-02P", "View People Online")</f>
      </c>
    </row>
    <row r="539">
      <c r="A539" t="s" s="11">
        <v>4751</v>
      </c>
      <c r="B539" t="s" s="11">
        <v>4752</v>
      </c>
      <c r="C539" t="s" s="11">
        <v>34</v>
      </c>
      <c r="D539" t="s" s="11">
        <v>4753</v>
      </c>
      <c r="E539" t="s" s="11">
        <v>36</v>
      </c>
      <c r="F539" t="s" s="11">
        <v>4754</v>
      </c>
      <c r="G539" t="s" s="11">
        <v>4755</v>
      </c>
      <c r="H539" s="17">
        <f>HYPERLINK("http://www.altynalmas.kz", "www.altynalmas.kz")</f>
      </c>
      <c r="I539" t="s" s="11">
        <v>4757</v>
      </c>
      <c r="J539" t="s" s="25">
        <v>34</v>
      </c>
      <c r="K539" t="s" s="25">
        <v>34</v>
      </c>
      <c r="L539" t="s" s="25">
        <v>34</v>
      </c>
      <c r="M539" t="s" s="13">
        <v>34</v>
      </c>
      <c r="N539" t="s" s="11">
        <v>34</v>
      </c>
      <c r="O539" t="s" s="11">
        <v>34</v>
      </c>
      <c r="P539" t="s" s="11">
        <v>34</v>
      </c>
      <c r="Q539" t="s" s="11">
        <v>34</v>
      </c>
      <c r="R539" t="s" s="11">
        <v>34</v>
      </c>
      <c r="S539" t="s" s="11">
        <v>34</v>
      </c>
      <c r="T539" t="s" s="13">
        <v>34</v>
      </c>
      <c r="U539" t="s" s="11">
        <v>34</v>
      </c>
      <c r="V539" t="s" s="13">
        <v>34</v>
      </c>
      <c r="W539" t="s" s="11">
        <v>4758</v>
      </c>
      <c r="X539" s="17">
        <f>HYPERLINK("https://my.pitchbook.com?p=324268-12P", "View People Online")</f>
      </c>
    </row>
    <row r="540">
      <c r="A540" t="s" s="10">
        <v>4759</v>
      </c>
      <c r="B540" t="s" s="10">
        <v>4760</v>
      </c>
      <c r="C540" t="s" s="10">
        <v>34</v>
      </c>
      <c r="D540" t="s" s="10">
        <v>4761</v>
      </c>
      <c r="E540" t="s" s="10">
        <v>36</v>
      </c>
      <c r="F540" t="s" s="10">
        <v>4762</v>
      </c>
      <c r="G540" t="s" s="10">
        <v>4755</v>
      </c>
      <c r="H540" s="16">
        <f>HYPERLINK("http://www.magmasilver.com", "www.magmasilver.com")</f>
      </c>
      <c r="I540" t="s" s="10">
        <v>108</v>
      </c>
      <c r="J540" t="s" s="24">
        <v>34</v>
      </c>
      <c r="K540" t="s" s="24">
        <v>34</v>
      </c>
      <c r="L540" t="s" s="24">
        <v>34</v>
      </c>
      <c r="M540" t="s" s="12">
        <v>34</v>
      </c>
      <c r="N540" t="s" s="10">
        <v>34</v>
      </c>
      <c r="O540" t="s" s="10">
        <v>34</v>
      </c>
      <c r="P540" t="s" s="10">
        <v>34</v>
      </c>
      <c r="Q540" t="s" s="10">
        <v>34</v>
      </c>
      <c r="R540" t="s" s="10">
        <v>34</v>
      </c>
      <c r="S540" t="s" s="10">
        <v>34</v>
      </c>
      <c r="T540" t="s" s="12">
        <v>34</v>
      </c>
      <c r="U540" t="s" s="10">
        <v>34</v>
      </c>
      <c r="V540" t="s" s="12">
        <v>34</v>
      </c>
      <c r="W540" t="s" s="10">
        <v>4764</v>
      </c>
      <c r="X540" s="16">
        <f>HYPERLINK("https://my.pitchbook.com?p=217965-88P", "View People Online")</f>
      </c>
    </row>
    <row r="541">
      <c r="A541" t="s" s="11">
        <v>4765</v>
      </c>
      <c r="B541" t="s" s="11">
        <v>4766</v>
      </c>
      <c r="C541" t="s" s="11">
        <v>34</v>
      </c>
      <c r="D541" t="s" s="11">
        <v>4767</v>
      </c>
      <c r="E541" t="s" s="11">
        <v>36</v>
      </c>
      <c r="F541" t="s" s="11">
        <v>4768</v>
      </c>
      <c r="G541" t="s" s="11">
        <v>4769</v>
      </c>
      <c r="H541" s="17">
        <f>HYPERLINK("http://www.groupem6.fr", "www.groupem6.fr")</f>
      </c>
      <c r="I541" t="s" s="11">
        <v>108</v>
      </c>
      <c r="J541" s="25">
        <v>1</v>
      </c>
      <c r="K541" s="25">
        <v>2</v>
      </c>
      <c r="L541" t="s" s="25">
        <v>34</v>
      </c>
      <c r="M541" t="s" s="13">
        <v>34</v>
      </c>
      <c r="N541" t="s" s="11">
        <v>34</v>
      </c>
      <c r="O541" t="s" s="11">
        <v>4771</v>
      </c>
      <c r="P541" t="s" s="11">
        <v>4772</v>
      </c>
      <c r="Q541" t="s" s="11">
        <v>34</v>
      </c>
      <c r="R541" t="s" s="11">
        <v>4773</v>
      </c>
      <c r="S541" t="s" s="11">
        <v>34</v>
      </c>
      <c r="T541" t="s" s="13">
        <v>4774</v>
      </c>
      <c r="U541" t="s" s="11">
        <v>399</v>
      </c>
      <c r="V541" t="s" s="13">
        <v>34</v>
      </c>
      <c r="W541" t="s" s="11">
        <v>4775</v>
      </c>
      <c r="X541" s="17">
        <f>HYPERLINK("https://my.pitchbook.com?p=293437-54P", "View People Online")</f>
      </c>
    </row>
    <row r="542">
      <c r="A542" t="s" s="10">
        <v>4776</v>
      </c>
      <c r="B542" t="s" s="10">
        <v>4777</v>
      </c>
      <c r="C542" t="s" s="10">
        <v>34</v>
      </c>
      <c r="D542" t="s" s="10">
        <v>2064</v>
      </c>
      <c r="E542" t="s" s="10">
        <v>36</v>
      </c>
      <c r="F542" t="s" s="10">
        <v>4778</v>
      </c>
      <c r="G542" t="s" s="10">
        <v>4779</v>
      </c>
      <c r="H542" s="16">
        <f>HYPERLINK("http://www.tridentity.me", "www.tridentity.me")</f>
      </c>
      <c r="I542" t="s" s="10">
        <v>1021</v>
      </c>
      <c r="J542" s="24">
        <v>1</v>
      </c>
      <c r="K542" s="24">
        <v>2</v>
      </c>
      <c r="L542" s="24">
        <v>1</v>
      </c>
      <c r="M542" t="s" s="12">
        <v>2068</v>
      </c>
      <c r="N542" t="s" s="10">
        <v>34</v>
      </c>
      <c r="O542" t="s" s="10">
        <v>140</v>
      </c>
      <c r="P542" t="s" s="10">
        <v>2070</v>
      </c>
      <c r="Q542" t="s" s="10">
        <v>2071</v>
      </c>
      <c r="R542" t="s" s="10">
        <v>143</v>
      </c>
      <c r="S542" t="s" s="10">
        <v>34</v>
      </c>
      <c r="T542" t="s" s="12">
        <v>2072</v>
      </c>
      <c r="U542" t="s" s="10">
        <v>143</v>
      </c>
      <c r="V542" t="s" s="12">
        <v>34</v>
      </c>
      <c r="W542" t="s" s="10">
        <v>4780</v>
      </c>
      <c r="X542" s="16">
        <f>HYPERLINK("https://my.pitchbook.com?p=368684-02P", "View People Online")</f>
      </c>
    </row>
    <row r="543">
      <c r="A543" t="s" s="11">
        <v>4781</v>
      </c>
      <c r="B543" t="s" s="11">
        <v>4782</v>
      </c>
      <c r="C543" t="s" s="11">
        <v>34</v>
      </c>
      <c r="D543" t="s" s="11">
        <v>267</v>
      </c>
      <c r="E543" t="s" s="11">
        <v>36</v>
      </c>
      <c r="F543" t="s" s="11">
        <v>4783</v>
      </c>
      <c r="G543" t="s" s="11">
        <v>4784</v>
      </c>
      <c r="H543" s="17">
        <f>HYPERLINK("http://www.navigatorgas.com", "www.navigatorgas.com")</f>
      </c>
      <c r="I543" t="s" s="11">
        <v>108</v>
      </c>
      <c r="J543" t="s" s="25">
        <v>34</v>
      </c>
      <c r="K543" t="s" s="25">
        <v>34</v>
      </c>
      <c r="L543" t="s" s="25">
        <v>34</v>
      </c>
      <c r="M543" t="s" s="13">
        <v>34</v>
      </c>
      <c r="N543" t="s" s="11">
        <v>34</v>
      </c>
      <c r="O543" t="s" s="11">
        <v>34</v>
      </c>
      <c r="P543" t="s" s="11">
        <v>34</v>
      </c>
      <c r="Q543" t="s" s="11">
        <v>34</v>
      </c>
      <c r="R543" t="s" s="11">
        <v>34</v>
      </c>
      <c r="S543" t="s" s="11">
        <v>34</v>
      </c>
      <c r="T543" t="s" s="13">
        <v>34</v>
      </c>
      <c r="U543" t="s" s="11">
        <v>34</v>
      </c>
      <c r="V543" t="s" s="13">
        <v>34</v>
      </c>
      <c r="W543" t="s" s="11">
        <v>4785</v>
      </c>
      <c r="X543" s="17">
        <f>HYPERLINK("https://my.pitchbook.com?p=56819-26P", "View People Online")</f>
      </c>
    </row>
    <row r="544">
      <c r="A544" t="s" s="10">
        <v>4786</v>
      </c>
      <c r="B544" t="s" s="10">
        <v>4787</v>
      </c>
      <c r="C544" t="s" s="10">
        <v>34</v>
      </c>
      <c r="D544" t="s" s="10">
        <v>4788</v>
      </c>
      <c r="E544" t="s" s="10">
        <v>36</v>
      </c>
      <c r="F544" t="s" s="10">
        <v>4789</v>
      </c>
      <c r="G544" t="s" s="10">
        <v>4790</v>
      </c>
      <c r="H544" s="16">
        <f>HYPERLINK("http://www.nalcoindia.com", "www.nalcoindia.com")</f>
      </c>
      <c r="I544" t="s" s="10">
        <v>307</v>
      </c>
      <c r="J544" t="s" s="24">
        <v>34</v>
      </c>
      <c r="K544" t="s" s="24">
        <v>34</v>
      </c>
      <c r="L544" t="s" s="24">
        <v>34</v>
      </c>
      <c r="M544" t="s" s="12">
        <v>34</v>
      </c>
      <c r="N544" t="s" s="10">
        <v>4792</v>
      </c>
      <c r="O544" t="s" s="10">
        <v>34</v>
      </c>
      <c r="P544" t="s" s="10">
        <v>34</v>
      </c>
      <c r="Q544" t="s" s="10">
        <v>34</v>
      </c>
      <c r="R544" t="s" s="10">
        <v>34</v>
      </c>
      <c r="S544" t="s" s="10">
        <v>34</v>
      </c>
      <c r="T544" t="s" s="12">
        <v>34</v>
      </c>
      <c r="U544" t="s" s="10">
        <v>34</v>
      </c>
      <c r="V544" t="s" s="12">
        <v>34</v>
      </c>
      <c r="W544" t="s" s="10">
        <v>4793</v>
      </c>
      <c r="X544" s="16">
        <f>HYPERLINK("https://my.pitchbook.com?p=282288-25P", "View People Online")</f>
      </c>
    </row>
    <row r="545">
      <c r="A545" t="s" s="11">
        <v>4794</v>
      </c>
      <c r="B545" t="s" s="11">
        <v>4795</v>
      </c>
      <c r="C545" t="s" s="11">
        <v>34</v>
      </c>
      <c r="D545" t="s" s="11">
        <v>4796</v>
      </c>
      <c r="E545" t="s" s="11">
        <v>36</v>
      </c>
      <c r="F545" t="s" s="11">
        <v>4797</v>
      </c>
      <c r="G545" t="s" s="11">
        <v>4798</v>
      </c>
      <c r="H545" s="17">
        <f>HYPERLINK("http://www.nornickel.com", "www.nornickel.com")</f>
      </c>
      <c r="I545" t="s" s="11">
        <v>108</v>
      </c>
      <c r="J545" t="s" s="25">
        <v>34</v>
      </c>
      <c r="K545" t="s" s="25">
        <v>34</v>
      </c>
      <c r="L545" t="s" s="25">
        <v>34</v>
      </c>
      <c r="M545" t="s" s="13">
        <v>34</v>
      </c>
      <c r="N545" t="s" s="11">
        <v>34</v>
      </c>
      <c r="O545" t="s" s="11">
        <v>34</v>
      </c>
      <c r="P545" t="s" s="11">
        <v>34</v>
      </c>
      <c r="Q545" t="s" s="11">
        <v>34</v>
      </c>
      <c r="R545" t="s" s="11">
        <v>34</v>
      </c>
      <c r="S545" t="s" s="11">
        <v>34</v>
      </c>
      <c r="T545" t="s" s="13">
        <v>34</v>
      </c>
      <c r="U545" t="s" s="11">
        <v>34</v>
      </c>
      <c r="V545" t="s" s="13">
        <v>34</v>
      </c>
      <c r="W545" t="s" s="11">
        <v>4799</v>
      </c>
      <c r="X545" s="17">
        <f>HYPERLINK("https://my.pitchbook.com?p=106147-81P", "View People Online")</f>
      </c>
    </row>
    <row r="546">
      <c r="A546" t="s" s="10">
        <v>4800</v>
      </c>
      <c r="B546" t="s" s="10">
        <v>4801</v>
      </c>
      <c r="C546" t="s" s="10">
        <v>34</v>
      </c>
      <c r="D546" t="s" s="10">
        <v>943</v>
      </c>
      <c r="E546" t="s" s="10">
        <v>36</v>
      </c>
      <c r="F546" t="s" s="10">
        <v>4802</v>
      </c>
      <c r="G546" t="s" s="10">
        <v>4803</v>
      </c>
      <c r="H546" s="16">
        <f>HYPERLINK("http://www.vulcanmaterials.com", "www.vulcanmaterials.com")</f>
      </c>
      <c r="I546" t="s" s="10">
        <v>4804</v>
      </c>
      <c r="J546" t="s" s="24">
        <v>34</v>
      </c>
      <c r="K546" s="24">
        <v>1</v>
      </c>
      <c r="L546" t="s" s="24">
        <v>34</v>
      </c>
      <c r="M546" t="s" s="12">
        <v>947</v>
      </c>
      <c r="N546" t="s" s="10">
        <v>4805</v>
      </c>
      <c r="O546" t="s" s="10">
        <v>949</v>
      </c>
      <c r="P546" t="s" s="10">
        <v>950</v>
      </c>
      <c r="Q546" t="s" s="10">
        <v>34</v>
      </c>
      <c r="R546" t="s" s="10">
        <v>951</v>
      </c>
      <c r="S546" t="s" s="10">
        <v>952</v>
      </c>
      <c r="T546" t="s" s="12">
        <v>953</v>
      </c>
      <c r="U546" t="s" s="10">
        <v>161</v>
      </c>
      <c r="V546" t="s" s="12">
        <v>34</v>
      </c>
      <c r="W546" t="s" s="10">
        <v>4806</v>
      </c>
      <c r="X546" s="16">
        <f>HYPERLINK("https://my.pitchbook.com?p=143747-11P", "View People Online")</f>
      </c>
    </row>
    <row r="547">
      <c r="A547" t="s" s="11">
        <v>4807</v>
      </c>
      <c r="B547" t="s" s="11">
        <v>4808</v>
      </c>
      <c r="C547" t="s" s="11">
        <v>34</v>
      </c>
      <c r="D547" t="s" s="11">
        <v>539</v>
      </c>
      <c r="E547" t="s" s="11">
        <v>36</v>
      </c>
      <c r="F547" t="s" s="11">
        <v>4809</v>
      </c>
      <c r="G547" t="s" s="11">
        <v>4810</v>
      </c>
      <c r="H547" s="17">
        <f>HYPERLINK("http://v-er.eu", "v-er.eu")</f>
      </c>
      <c r="I547" t="s" s="11">
        <v>4811</v>
      </c>
      <c r="J547" t="s" s="25">
        <v>34</v>
      </c>
      <c r="K547" s="25">
        <v>1</v>
      </c>
      <c r="L547" t="s" s="25">
        <v>34</v>
      </c>
      <c r="M547" t="s" s="13">
        <v>544</v>
      </c>
      <c r="N547" t="s" s="11">
        <v>4812</v>
      </c>
      <c r="O547" t="s" s="11">
        <v>51</v>
      </c>
      <c r="P547" t="s" s="11">
        <v>546</v>
      </c>
      <c r="Q547" t="s" s="11">
        <v>547</v>
      </c>
      <c r="R547" t="s" s="11">
        <v>54</v>
      </c>
      <c r="S547" t="s" s="11">
        <v>55</v>
      </c>
      <c r="T547" t="s" s="13">
        <v>56</v>
      </c>
      <c r="U547" t="s" s="11">
        <v>57</v>
      </c>
      <c r="V547" t="s" s="13">
        <v>34</v>
      </c>
      <c r="W547" t="s" s="11">
        <v>4813</v>
      </c>
      <c r="X547" s="17">
        <f>HYPERLINK("https://my.pitchbook.com?p=399320-65P", "View People Online")</f>
      </c>
    </row>
    <row r="548">
      <c r="A548" t="s" s="10">
        <v>4814</v>
      </c>
      <c r="B548" t="s" s="10">
        <v>4815</v>
      </c>
      <c r="C548" t="s" s="10">
        <v>34</v>
      </c>
      <c r="D548" t="s" s="10">
        <v>187</v>
      </c>
      <c r="E548" t="s" s="10">
        <v>36</v>
      </c>
      <c r="F548" t="s" s="10">
        <v>4816</v>
      </c>
      <c r="G548" t="s" s="10">
        <v>4817</v>
      </c>
      <c r="H548" s="16">
        <f>HYPERLINK("http://www.diacorporate.com", "www.diacorporate.com")</f>
      </c>
      <c r="I548" t="s" s="10">
        <v>307</v>
      </c>
      <c r="J548" t="s" s="24">
        <v>34</v>
      </c>
      <c r="K548" s="24">
        <v>3</v>
      </c>
      <c r="L548" s="24">
        <v>3</v>
      </c>
      <c r="M548" t="s" s="12">
        <v>34</v>
      </c>
      <c r="N548" t="s" s="10">
        <v>34</v>
      </c>
      <c r="O548" t="s" s="10">
        <v>34</v>
      </c>
      <c r="P548" t="s" s="10">
        <v>34</v>
      </c>
      <c r="Q548" t="s" s="10">
        <v>34</v>
      </c>
      <c r="R548" t="s" s="10">
        <v>34</v>
      </c>
      <c r="S548" t="s" s="10">
        <v>34</v>
      </c>
      <c r="T548" t="s" s="12">
        <v>34</v>
      </c>
      <c r="U548" t="s" s="10">
        <v>34</v>
      </c>
      <c r="V548" t="s" s="12">
        <v>34</v>
      </c>
      <c r="W548" t="s" s="10">
        <v>4818</v>
      </c>
      <c r="X548" s="16">
        <f>HYPERLINK("https://my.pitchbook.com?p=165829-51P", "View People Online")</f>
      </c>
    </row>
    <row r="549">
      <c r="A549" t="s" s="11">
        <v>4819</v>
      </c>
      <c r="B549" t="s" s="11">
        <v>4820</v>
      </c>
      <c r="C549" t="s" s="11">
        <v>34</v>
      </c>
      <c r="D549" t="s" s="11">
        <v>781</v>
      </c>
      <c r="E549" t="s" s="11">
        <v>36</v>
      </c>
      <c r="F549" t="s" s="11">
        <v>4821</v>
      </c>
      <c r="G549" t="s" s="11">
        <v>4822</v>
      </c>
      <c r="H549" s="17">
        <f>HYPERLINK("http://v-er.eu", "v-er.eu")</f>
      </c>
      <c r="I549" t="s" s="11">
        <v>4757</v>
      </c>
      <c r="J549" t="s" s="25">
        <v>34</v>
      </c>
      <c r="K549" t="s" s="25">
        <v>34</v>
      </c>
      <c r="L549" t="s" s="25">
        <v>34</v>
      </c>
      <c r="M549" t="s" s="13">
        <v>34</v>
      </c>
      <c r="N549" t="s" s="11">
        <v>34</v>
      </c>
      <c r="O549" t="s" s="11">
        <v>34</v>
      </c>
      <c r="P549" t="s" s="11">
        <v>34</v>
      </c>
      <c r="Q549" t="s" s="11">
        <v>34</v>
      </c>
      <c r="R549" t="s" s="11">
        <v>34</v>
      </c>
      <c r="S549" t="s" s="11">
        <v>34</v>
      </c>
      <c r="T549" t="s" s="13">
        <v>34</v>
      </c>
      <c r="U549" t="s" s="11">
        <v>34</v>
      </c>
      <c r="V549" t="s" s="13">
        <v>34</v>
      </c>
      <c r="W549" t="s" s="11">
        <v>4823</v>
      </c>
      <c r="X549" s="17">
        <f>HYPERLINK("https://my.pitchbook.com?p=62383-69P", "View People Online")</f>
      </c>
    </row>
    <row r="550">
      <c r="A550" t="s" s="10">
        <v>4824</v>
      </c>
      <c r="B550" t="s" s="10">
        <v>4825</v>
      </c>
      <c r="C550" t="s" s="10">
        <v>34</v>
      </c>
      <c r="D550" t="s" s="10">
        <v>4826</v>
      </c>
      <c r="E550" t="s" s="10">
        <v>36</v>
      </c>
      <c r="F550" t="s" s="10">
        <v>1358</v>
      </c>
      <c r="G550" t="s" s="10">
        <v>4822</v>
      </c>
      <c r="H550" s="16">
        <f>HYPERLINK("http://www.hycroftmining.com", "www.hycroftmining.com")</f>
      </c>
      <c r="I550" t="s" s="10">
        <v>4828</v>
      </c>
      <c r="J550" t="s" s="24">
        <v>34</v>
      </c>
      <c r="K550" t="s" s="24">
        <v>34</v>
      </c>
      <c r="L550" t="s" s="24">
        <v>34</v>
      </c>
      <c r="M550" t="s" s="12">
        <v>34</v>
      </c>
      <c r="N550" t="s" s="10">
        <v>4829</v>
      </c>
      <c r="O550" t="s" s="10">
        <v>34</v>
      </c>
      <c r="P550" t="s" s="10">
        <v>34</v>
      </c>
      <c r="Q550" t="s" s="10">
        <v>34</v>
      </c>
      <c r="R550" t="s" s="10">
        <v>34</v>
      </c>
      <c r="S550" t="s" s="10">
        <v>34</v>
      </c>
      <c r="T550" t="s" s="12">
        <v>34</v>
      </c>
      <c r="U550" t="s" s="10">
        <v>34</v>
      </c>
      <c r="V550" t="s" s="12">
        <v>34</v>
      </c>
      <c r="W550" t="s" s="10">
        <v>4830</v>
      </c>
      <c r="X550" s="16">
        <f>HYPERLINK("https://my.pitchbook.com?p=56504-17P", "View People Online")</f>
      </c>
    </row>
    <row r="551">
      <c r="A551" t="s" s="11">
        <v>4831</v>
      </c>
      <c r="B551" t="s" s="11">
        <v>4832</v>
      </c>
      <c r="C551" t="s" s="11">
        <v>34</v>
      </c>
      <c r="D551" t="s" s="11">
        <v>1796</v>
      </c>
      <c r="E551" t="s" s="11">
        <v>36</v>
      </c>
      <c r="F551" t="s" s="11">
        <v>4833</v>
      </c>
      <c r="G551" t="s" s="11">
        <v>4834</v>
      </c>
      <c r="H551" s="17">
        <f>HYPERLINK("http://www.banksc.com", "www.banksc.com")</f>
      </c>
      <c r="I551" t="s" s="11">
        <v>108</v>
      </c>
      <c r="J551" s="25">
        <v>1</v>
      </c>
      <c r="K551" s="25">
        <v>1</v>
      </c>
      <c r="L551" t="s" s="25">
        <v>34</v>
      </c>
      <c r="M551" t="s" s="13">
        <v>1800</v>
      </c>
      <c r="N551" t="s" s="11">
        <v>4835</v>
      </c>
      <c r="O551" t="s" s="11">
        <v>1801</v>
      </c>
      <c r="P551" t="s" s="11">
        <v>1802</v>
      </c>
      <c r="Q551" t="s" s="11">
        <v>34</v>
      </c>
      <c r="R551" t="s" s="11">
        <v>1803</v>
      </c>
      <c r="S551" t="s" s="11">
        <v>1280</v>
      </c>
      <c r="T551" t="s" s="13">
        <v>1804</v>
      </c>
      <c r="U551" t="s" s="11">
        <v>161</v>
      </c>
      <c r="V551" t="s" s="13">
        <v>1805</v>
      </c>
      <c r="W551" t="s" s="11">
        <v>4836</v>
      </c>
      <c r="X551" s="17">
        <f>HYPERLINK("https://my.pitchbook.com?p=193138-57P", "View People Online")</f>
      </c>
    </row>
    <row r="552">
      <c r="A552" t="s" s="10">
        <v>4837</v>
      </c>
      <c r="B552" t="s" s="10">
        <v>4838</v>
      </c>
      <c r="C552" t="s" s="10">
        <v>34</v>
      </c>
      <c r="D552" t="s" s="10">
        <v>4839</v>
      </c>
      <c r="E552" t="s" s="10">
        <v>36</v>
      </c>
      <c r="F552" t="s" s="10">
        <v>4840</v>
      </c>
      <c r="G552" t="s" s="10">
        <v>4841</v>
      </c>
      <c r="H552" s="16">
        <f>HYPERLINK("http://www.organto.com", "www.organto.com")</f>
      </c>
      <c r="I552" t="s" s="10">
        <v>4843</v>
      </c>
      <c r="J552" s="24">
        <v>1</v>
      </c>
      <c r="K552" s="24">
        <v>19</v>
      </c>
      <c r="L552" s="24">
        <v>18</v>
      </c>
      <c r="M552" t="s" s="12">
        <v>4844</v>
      </c>
      <c r="N552" t="s" s="10">
        <v>4845</v>
      </c>
      <c r="O552" t="s" s="10">
        <v>998</v>
      </c>
      <c r="P552" t="s" s="10">
        <v>1411</v>
      </c>
      <c r="Q552" t="s" s="10">
        <v>4846</v>
      </c>
      <c r="R552" t="s" s="10">
        <v>1001</v>
      </c>
      <c r="S552" t="s" s="10">
        <v>1002</v>
      </c>
      <c r="T552" t="s" s="12">
        <v>1413</v>
      </c>
      <c r="U552" t="s" s="10">
        <v>917</v>
      </c>
      <c r="V552" t="s" s="12">
        <v>34</v>
      </c>
      <c r="W552" t="s" s="10">
        <v>4847</v>
      </c>
      <c r="X552" s="16">
        <f>HYPERLINK("https://my.pitchbook.com?p=79043-95P", "View People Online")</f>
      </c>
    </row>
    <row r="553">
      <c r="A553" t="s" s="11">
        <v>4848</v>
      </c>
      <c r="B553" t="s" s="11">
        <v>4849</v>
      </c>
      <c r="C553" t="s" s="11">
        <v>34</v>
      </c>
      <c r="D553" t="s" s="11">
        <v>1389</v>
      </c>
      <c r="E553" t="s" s="11">
        <v>36</v>
      </c>
      <c r="F553" t="s" s="11">
        <v>1846</v>
      </c>
      <c r="G553" t="s" s="11">
        <v>4841</v>
      </c>
      <c r="H553" s="17">
        <f>HYPERLINK("http://www.harbourenergy.com", "www.harbourenergy.com")</f>
      </c>
      <c r="I553" t="s" s="11">
        <v>108</v>
      </c>
      <c r="J553" t="s" s="25">
        <v>34</v>
      </c>
      <c r="K553" t="s" s="25">
        <v>34</v>
      </c>
      <c r="L553" t="s" s="25">
        <v>34</v>
      </c>
      <c r="M553" t="s" s="13">
        <v>34</v>
      </c>
      <c r="N553" t="s" s="11">
        <v>34</v>
      </c>
      <c r="O553" t="s" s="11">
        <v>34</v>
      </c>
      <c r="P553" t="s" s="11">
        <v>34</v>
      </c>
      <c r="Q553" t="s" s="11">
        <v>34</v>
      </c>
      <c r="R553" t="s" s="11">
        <v>34</v>
      </c>
      <c r="S553" t="s" s="11">
        <v>34</v>
      </c>
      <c r="T553" t="s" s="13">
        <v>34</v>
      </c>
      <c r="U553" t="s" s="11">
        <v>34</v>
      </c>
      <c r="V553" t="s" s="13">
        <v>34</v>
      </c>
      <c r="W553" t="s" s="11">
        <v>4850</v>
      </c>
      <c r="X553" s="17">
        <f>HYPERLINK("https://my.pitchbook.com?p=153597-70P", "View People Online")</f>
      </c>
    </row>
    <row r="554">
      <c r="A554" t="s" s="10">
        <v>4851</v>
      </c>
      <c r="B554" t="s" s="10">
        <v>4852</v>
      </c>
      <c r="C554" t="s" s="10">
        <v>34</v>
      </c>
      <c r="D554" t="s" s="10">
        <v>4853</v>
      </c>
      <c r="E554" t="s" s="10">
        <v>36</v>
      </c>
      <c r="F554" t="s" s="10">
        <v>4854</v>
      </c>
      <c r="G554" t="s" s="10">
        <v>4841</v>
      </c>
      <c r="H554" s="16">
        <f>HYPERLINK("http://www.biitt.cn", "www.biitt.cn")</f>
      </c>
      <c r="I554" t="s" s="10">
        <v>4855</v>
      </c>
      <c r="J554" t="s" s="24">
        <v>34</v>
      </c>
      <c r="K554" t="s" s="24">
        <v>34</v>
      </c>
      <c r="L554" t="s" s="24">
        <v>34</v>
      </c>
      <c r="M554" t="s" s="12">
        <v>34</v>
      </c>
      <c r="N554" t="s" s="10">
        <v>34</v>
      </c>
      <c r="O554" t="s" s="10">
        <v>34</v>
      </c>
      <c r="P554" t="s" s="10">
        <v>34</v>
      </c>
      <c r="Q554" t="s" s="10">
        <v>34</v>
      </c>
      <c r="R554" t="s" s="10">
        <v>34</v>
      </c>
      <c r="S554" t="s" s="10">
        <v>34</v>
      </c>
      <c r="T554" t="s" s="12">
        <v>34</v>
      </c>
      <c r="U554" t="s" s="10">
        <v>34</v>
      </c>
      <c r="V554" t="s" s="12">
        <v>34</v>
      </c>
      <c r="W554" t="s" s="10">
        <v>4856</v>
      </c>
      <c r="X554" s="16">
        <f>HYPERLINK("https://my.pitchbook.com?p=124387-93P", "View People Online")</f>
      </c>
    </row>
    <row r="555">
      <c r="A555" t="s" s="11">
        <v>4857</v>
      </c>
      <c r="B555" t="s" s="11">
        <v>4858</v>
      </c>
      <c r="C555" t="s" s="11">
        <v>34</v>
      </c>
      <c r="D555" t="s" s="11">
        <v>4687</v>
      </c>
      <c r="E555" t="s" s="11">
        <v>36</v>
      </c>
      <c r="F555" t="s" s="11">
        <v>4688</v>
      </c>
      <c r="G555" t="s" s="11">
        <v>4859</v>
      </c>
      <c r="H555" s="17">
        <f>HYPERLINK("http://tridenttechlabs.com", "tridenttechlabs.com")</f>
      </c>
      <c r="I555" t="s" s="11">
        <v>4860</v>
      </c>
      <c r="J555" t="s" s="25">
        <v>34</v>
      </c>
      <c r="K555" s="25">
        <v>1</v>
      </c>
      <c r="L555" t="s" s="25">
        <v>34</v>
      </c>
      <c r="M555" t="s" s="13">
        <v>4691</v>
      </c>
      <c r="N555" t="s" s="11">
        <v>4861</v>
      </c>
      <c r="O555" t="s" s="11">
        <v>4693</v>
      </c>
      <c r="P555" t="s" s="11">
        <v>4694</v>
      </c>
      <c r="Q555" t="s" s="11">
        <v>4695</v>
      </c>
      <c r="R555" t="s" s="11">
        <v>4696</v>
      </c>
      <c r="S555" t="s" s="11">
        <v>34</v>
      </c>
      <c r="T555" t="s" s="13">
        <v>4697</v>
      </c>
      <c r="U555" t="s" s="11">
        <v>1479</v>
      </c>
      <c r="V555" t="s" s="13">
        <v>34</v>
      </c>
      <c r="W555" t="s" s="11">
        <v>4862</v>
      </c>
      <c r="X555" s="17">
        <f>HYPERLINK("https://my.pitchbook.com?p=378212-32P", "View People Online")</f>
      </c>
    </row>
    <row r="556">
      <c r="A556" t="s" s="10">
        <v>4863</v>
      </c>
      <c r="B556" t="s" s="10">
        <v>4864</v>
      </c>
      <c r="C556" t="s" s="10">
        <v>34</v>
      </c>
      <c r="D556" t="s" s="10">
        <v>4865</v>
      </c>
      <c r="E556" t="s" s="10">
        <v>36</v>
      </c>
      <c r="F556" t="s" s="10">
        <v>4866</v>
      </c>
      <c r="G556" t="s" s="10">
        <v>4867</v>
      </c>
      <c r="H556" s="16">
        <f>HYPERLINK("http://www.kazatomprom.kz", "www.kazatomprom.kz")</f>
      </c>
      <c r="I556" t="s" s="10">
        <v>4869</v>
      </c>
      <c r="J556" s="24">
        <v>1</v>
      </c>
      <c r="K556" s="24">
        <v>1</v>
      </c>
      <c r="L556" t="s" s="24">
        <v>34</v>
      </c>
      <c r="M556" t="s" s="12">
        <v>4870</v>
      </c>
      <c r="N556" t="s" s="10">
        <v>4871</v>
      </c>
      <c r="O556" t="s" s="10">
        <v>4872</v>
      </c>
      <c r="P556" t="s" s="10">
        <v>4873</v>
      </c>
      <c r="Q556" t="s" s="10">
        <v>4874</v>
      </c>
      <c r="R556" t="s" s="10">
        <v>4875</v>
      </c>
      <c r="S556" t="s" s="10">
        <v>34</v>
      </c>
      <c r="T556" t="s" s="12">
        <v>34</v>
      </c>
      <c r="U556" t="s" s="10">
        <v>4876</v>
      </c>
      <c r="V556" t="s" s="12">
        <v>34</v>
      </c>
      <c r="W556" t="s" s="10">
        <v>4877</v>
      </c>
      <c r="X556" s="16">
        <f>HYPERLINK("https://my.pitchbook.com?p=372477-07P", "View People Online")</f>
      </c>
    </row>
    <row r="557">
      <c r="A557" t="s" s="11">
        <v>4878</v>
      </c>
      <c r="B557" t="s" s="11">
        <v>4879</v>
      </c>
      <c r="C557" t="s" s="11">
        <v>34</v>
      </c>
      <c r="D557" t="s" s="11">
        <v>4880</v>
      </c>
      <c r="E557" t="s" s="11">
        <v>36</v>
      </c>
      <c r="F557" t="s" s="11">
        <v>4881</v>
      </c>
      <c r="G557" t="s" s="11">
        <v>4882</v>
      </c>
      <c r="H557" s="17">
        <f>HYPERLINK("http://www.relx.com", "www.relx.com")</f>
      </c>
      <c r="I557" t="s" s="11">
        <v>108</v>
      </c>
      <c r="J557" s="25">
        <v>2</v>
      </c>
      <c r="K557" s="25">
        <v>2</v>
      </c>
      <c r="L557" t="s" s="25">
        <v>34</v>
      </c>
      <c r="M557" t="s" s="13">
        <v>4884</v>
      </c>
      <c r="N557" t="s" s="11">
        <v>34</v>
      </c>
      <c r="O557" t="s" s="11">
        <v>117</v>
      </c>
      <c r="P557" t="s" s="11">
        <v>4885</v>
      </c>
      <c r="Q557" t="s" s="11">
        <v>34</v>
      </c>
      <c r="R557" t="s" s="11">
        <v>119</v>
      </c>
      <c r="S557" t="s" s="11">
        <v>120</v>
      </c>
      <c r="T557" t="s" s="13">
        <v>4886</v>
      </c>
      <c r="U557" t="s" s="11">
        <v>122</v>
      </c>
      <c r="V557" t="s" s="13">
        <v>34</v>
      </c>
      <c r="W557" t="s" s="11">
        <v>4887</v>
      </c>
      <c r="X557" s="17">
        <f>HYPERLINK("https://my.pitchbook.com?p=151081-39P", "View People Online")</f>
      </c>
    </row>
    <row r="558">
      <c r="A558" t="s" s="10">
        <v>4888</v>
      </c>
      <c r="B558" t="s" s="10">
        <v>4889</v>
      </c>
      <c r="C558" t="s" s="10">
        <v>34</v>
      </c>
      <c r="D558" t="s" s="10">
        <v>4890</v>
      </c>
      <c r="E558" t="s" s="10">
        <v>36</v>
      </c>
      <c r="F558" t="s" s="10">
        <v>1442</v>
      </c>
      <c r="G558" t="s" s="10">
        <v>4891</v>
      </c>
      <c r="H558" s="16">
        <f>HYPERLINK("http://www.semtech.com", "www.semtech.com")</f>
      </c>
      <c r="I558" t="s" s="10">
        <v>108</v>
      </c>
      <c r="J558" s="24">
        <v>1</v>
      </c>
      <c r="K558" s="24">
        <v>2</v>
      </c>
      <c r="L558" s="24">
        <v>1</v>
      </c>
      <c r="M558" t="s" s="12">
        <v>4893</v>
      </c>
      <c r="N558" t="s" s="10">
        <v>4894</v>
      </c>
      <c r="O558" t="s" s="10">
        <v>4895</v>
      </c>
      <c r="P558" t="s" s="10">
        <v>4896</v>
      </c>
      <c r="Q558" t="s" s="10">
        <v>34</v>
      </c>
      <c r="R558" t="s" s="10">
        <v>4897</v>
      </c>
      <c r="S558" t="s" s="10">
        <v>159</v>
      </c>
      <c r="T558" t="s" s="12">
        <v>4898</v>
      </c>
      <c r="U558" t="s" s="10">
        <v>161</v>
      </c>
      <c r="V558" t="s" s="12">
        <v>34</v>
      </c>
      <c r="W558" t="s" s="10">
        <v>4899</v>
      </c>
      <c r="X558" s="16">
        <f>HYPERLINK("https://my.pitchbook.com?p=31586-23P", "View People Online")</f>
      </c>
    </row>
    <row r="559">
      <c r="A559" t="s" s="11">
        <v>4900</v>
      </c>
      <c r="B559" t="s" s="11">
        <v>4901</v>
      </c>
      <c r="C559" t="s" s="11">
        <v>34</v>
      </c>
      <c r="D559" t="s" s="11">
        <v>4902</v>
      </c>
      <c r="E559" t="s" s="11">
        <v>36</v>
      </c>
      <c r="F559" t="s" s="11">
        <v>4903</v>
      </c>
      <c r="G559" t="s" s="11">
        <v>4904</v>
      </c>
      <c r="H559" s="17">
        <f>HYPERLINK("http://www.efulife.com", "www.efulife.com")</f>
      </c>
      <c r="I559" t="s" s="11">
        <v>4324</v>
      </c>
      <c r="J559" s="25">
        <v>1</v>
      </c>
      <c r="K559" s="25">
        <v>1</v>
      </c>
      <c r="L559" t="s" s="25">
        <v>34</v>
      </c>
      <c r="M559" t="s" s="13">
        <v>4906</v>
      </c>
      <c r="N559" t="s" s="11">
        <v>34</v>
      </c>
      <c r="O559" t="s" s="11">
        <v>4907</v>
      </c>
      <c r="P559" t="s" s="11">
        <v>4908</v>
      </c>
      <c r="Q559" t="s" s="11">
        <v>4909</v>
      </c>
      <c r="R559" t="s" s="11">
        <v>4910</v>
      </c>
      <c r="S559" t="s" s="11">
        <v>34</v>
      </c>
      <c r="T559" t="s" s="13">
        <v>4911</v>
      </c>
      <c r="U559" t="s" s="11">
        <v>4912</v>
      </c>
      <c r="V559" t="s" s="13">
        <v>4913</v>
      </c>
      <c r="W559" t="s" s="11">
        <v>4914</v>
      </c>
      <c r="X559" s="17">
        <f>HYPERLINK("https://my.pitchbook.com?p=340807-78P", "View People Online")</f>
      </c>
    </row>
    <row r="560">
      <c r="A560" t="s" s="10">
        <v>4915</v>
      </c>
      <c r="B560" t="s" s="10">
        <v>4916</v>
      </c>
      <c r="C560" t="s" s="10">
        <v>34</v>
      </c>
      <c r="D560" t="s" s="10">
        <v>1053</v>
      </c>
      <c r="E560" t="s" s="10">
        <v>36</v>
      </c>
      <c r="F560" t="s" s="10">
        <v>4917</v>
      </c>
      <c r="G560" t="s" s="10">
        <v>4918</v>
      </c>
      <c r="H560" s="16">
        <f>HYPERLINK("http://www.novatek.com.tw", "www.novatek.com.tw")</f>
      </c>
      <c r="I560" t="s" s="10">
        <v>307</v>
      </c>
      <c r="J560" s="24">
        <v>1</v>
      </c>
      <c r="K560" s="24">
        <v>1</v>
      </c>
      <c r="L560" t="s" s="24">
        <v>34</v>
      </c>
      <c r="M560" t="s" s="12">
        <v>1058</v>
      </c>
      <c r="N560" t="s" s="10">
        <v>34</v>
      </c>
      <c r="O560" t="s" s="10">
        <v>1059</v>
      </c>
      <c r="P560" t="s" s="10">
        <v>1060</v>
      </c>
      <c r="Q560" t="s" s="10">
        <v>1061</v>
      </c>
      <c r="R560" t="s" s="10">
        <v>1062</v>
      </c>
      <c r="S560" t="s" s="10">
        <v>34</v>
      </c>
      <c r="T560" t="s" s="12">
        <v>1063</v>
      </c>
      <c r="U560" t="s" s="10">
        <v>1064</v>
      </c>
      <c r="V560" t="s" s="12">
        <v>1065</v>
      </c>
      <c r="W560" t="s" s="10">
        <v>4919</v>
      </c>
      <c r="X560" s="16">
        <f>HYPERLINK("https://my.pitchbook.com?p=86544-82P", "View People Online")</f>
      </c>
    </row>
    <row r="561">
      <c r="A561" t="s" s="11">
        <v>4920</v>
      </c>
      <c r="B561" t="s" s="11">
        <v>4921</v>
      </c>
      <c r="C561" t="s" s="11">
        <v>34</v>
      </c>
      <c r="D561" t="s" s="11">
        <v>4922</v>
      </c>
      <c r="E561" t="s" s="11">
        <v>36</v>
      </c>
      <c r="F561" t="s" s="11">
        <v>4923</v>
      </c>
      <c r="G561" t="s" s="11">
        <v>4924</v>
      </c>
      <c r="H561" s="17">
        <f>HYPERLINK("http://www.onebe.co.jp", "www.onebe.co.jp")</f>
      </c>
      <c r="I561" t="s" s="11">
        <v>4926</v>
      </c>
      <c r="J561" t="s" s="25">
        <v>34</v>
      </c>
      <c r="K561" s="25">
        <v>1</v>
      </c>
      <c r="L561" t="s" s="25">
        <v>34</v>
      </c>
      <c r="M561" t="s" s="13">
        <v>4927</v>
      </c>
      <c r="N561" t="s" s="11">
        <v>4928</v>
      </c>
      <c r="O561" t="s" s="11">
        <v>4929</v>
      </c>
      <c r="P561" t="s" s="11">
        <v>4930</v>
      </c>
      <c r="Q561" t="s" s="11">
        <v>4931</v>
      </c>
      <c r="R561" t="s" s="11">
        <v>4932</v>
      </c>
      <c r="S561" t="s" s="11">
        <v>34</v>
      </c>
      <c r="T561" t="s" s="13">
        <v>4933</v>
      </c>
      <c r="U561" t="s" s="11">
        <v>4934</v>
      </c>
      <c r="V561" t="s" s="13">
        <v>4935</v>
      </c>
      <c r="W561" t="s" s="11">
        <v>4936</v>
      </c>
      <c r="X561" s="17">
        <f>HYPERLINK("https://my.pitchbook.com?p=46145-08P", "View People Online")</f>
      </c>
    </row>
    <row r="562">
      <c r="A562" t="s" s="10">
        <v>4937</v>
      </c>
      <c r="B562" t="s" s="10">
        <v>4938</v>
      </c>
      <c r="C562" t="s" s="10">
        <v>34</v>
      </c>
      <c r="D562" t="s" s="10">
        <v>4939</v>
      </c>
      <c r="E562" t="s" s="10">
        <v>36</v>
      </c>
      <c r="F562" t="s" s="10">
        <v>2435</v>
      </c>
      <c r="G562" t="s" s="10">
        <v>4940</v>
      </c>
      <c r="H562" s="16">
        <f>HYPERLINK("http://www.stratasys.com", "www.stratasys.com")</f>
      </c>
      <c r="I562" t="s" s="10">
        <v>2117</v>
      </c>
      <c r="J562" t="s" s="24">
        <v>34</v>
      </c>
      <c r="K562" t="s" s="24">
        <v>34</v>
      </c>
      <c r="L562" t="s" s="24">
        <v>34</v>
      </c>
      <c r="M562" t="s" s="12">
        <v>34</v>
      </c>
      <c r="N562" t="s" s="10">
        <v>34</v>
      </c>
      <c r="O562" t="s" s="10">
        <v>34</v>
      </c>
      <c r="P562" t="s" s="10">
        <v>34</v>
      </c>
      <c r="Q562" t="s" s="10">
        <v>34</v>
      </c>
      <c r="R562" t="s" s="10">
        <v>34</v>
      </c>
      <c r="S562" t="s" s="10">
        <v>34</v>
      </c>
      <c r="T562" t="s" s="12">
        <v>34</v>
      </c>
      <c r="U562" t="s" s="10">
        <v>34</v>
      </c>
      <c r="V562" t="s" s="12">
        <v>34</v>
      </c>
      <c r="W562" t="s" s="10">
        <v>4941</v>
      </c>
      <c r="X562" s="16">
        <f>HYPERLINK("https://my.pitchbook.com?p=250249-42P", "View People Online")</f>
      </c>
    </row>
    <row r="563">
      <c r="A563" t="s" s="11">
        <v>4942</v>
      </c>
      <c r="B563" t="s" s="11">
        <v>4943</v>
      </c>
      <c r="C563" t="s" s="11">
        <v>34</v>
      </c>
      <c r="D563" t="s" s="11">
        <v>4944</v>
      </c>
      <c r="E563" t="s" s="11">
        <v>36</v>
      </c>
      <c r="F563" t="s" s="11">
        <v>4945</v>
      </c>
      <c r="G563" t="s" s="11">
        <v>4946</v>
      </c>
      <c r="H563" s="17">
        <f>HYPERLINK("http://www.maxstock.co.il", "www.maxstock.co.il")</f>
      </c>
      <c r="I563" t="s" s="11">
        <v>4948</v>
      </c>
      <c r="J563" t="s" s="25">
        <v>34</v>
      </c>
      <c r="K563" s="25">
        <v>1</v>
      </c>
      <c r="L563" t="s" s="25">
        <v>34</v>
      </c>
      <c r="M563" t="s" s="13">
        <v>4949</v>
      </c>
      <c r="N563" t="s" s="11">
        <v>4950</v>
      </c>
      <c r="O563" t="s" s="11">
        <v>4951</v>
      </c>
      <c r="P563" t="s" s="11">
        <v>4952</v>
      </c>
      <c r="Q563" t="s" s="11">
        <v>4953</v>
      </c>
      <c r="R563" t="s" s="11">
        <v>4954</v>
      </c>
      <c r="S563" t="s" s="11">
        <v>34</v>
      </c>
      <c r="T563" t="s" s="13">
        <v>34</v>
      </c>
      <c r="U563" t="s" s="11">
        <v>4955</v>
      </c>
      <c r="V563" t="s" s="13">
        <v>34</v>
      </c>
      <c r="W563" t="s" s="11">
        <v>4956</v>
      </c>
      <c r="X563" s="17">
        <f>HYPERLINK("https://my.pitchbook.com?p=32455-72P", "View People Online")</f>
      </c>
    </row>
    <row r="564">
      <c r="A564" t="s" s="10">
        <v>4957</v>
      </c>
      <c r="B564" t="s" s="10">
        <v>4958</v>
      </c>
      <c r="C564" t="s" s="10">
        <v>34</v>
      </c>
      <c r="D564" t="s" s="10">
        <v>4959</v>
      </c>
      <c r="E564" t="s" s="10">
        <v>36</v>
      </c>
      <c r="F564" t="s" s="10">
        <v>4960</v>
      </c>
      <c r="G564" t="s" s="10">
        <v>4961</v>
      </c>
      <c r="H564" s="16">
        <f>HYPERLINK("http://www.slb.com", "www.slb.com")</f>
      </c>
      <c r="I564" t="s" s="10">
        <v>108</v>
      </c>
      <c r="J564" s="24">
        <v>1</v>
      </c>
      <c r="K564" s="24">
        <v>1</v>
      </c>
      <c r="L564" t="s" s="24">
        <v>34</v>
      </c>
      <c r="M564" t="s" s="12">
        <v>4963</v>
      </c>
      <c r="N564" t="s" s="10">
        <v>4964</v>
      </c>
      <c r="O564" t="s" s="10">
        <v>325</v>
      </c>
      <c r="P564" t="s" s="10">
        <v>4965</v>
      </c>
      <c r="Q564" t="s" s="10">
        <v>2780</v>
      </c>
      <c r="R564" t="s" s="10">
        <v>328</v>
      </c>
      <c r="S564" t="s" s="10">
        <v>329</v>
      </c>
      <c r="T564" t="s" s="12">
        <v>4966</v>
      </c>
      <c r="U564" t="s" s="10">
        <v>161</v>
      </c>
      <c r="V564" t="s" s="12">
        <v>34</v>
      </c>
      <c r="W564" t="s" s="10">
        <v>4967</v>
      </c>
      <c r="X564" s="16">
        <f>HYPERLINK("https://my.pitchbook.com?p=249633-64P", "View People Online")</f>
      </c>
    </row>
    <row r="565">
      <c r="A565" t="s" s="11">
        <v>4968</v>
      </c>
      <c r="B565" t="s" s="11">
        <v>4969</v>
      </c>
      <c r="C565" t="s" s="11">
        <v>34</v>
      </c>
      <c r="D565" t="s" s="11">
        <v>517</v>
      </c>
      <c r="E565" t="s" s="11">
        <v>36</v>
      </c>
      <c r="F565" t="s" s="11">
        <v>4970</v>
      </c>
      <c r="G565" t="s" s="11">
        <v>4961</v>
      </c>
      <c r="H565" s="17">
        <f>HYPERLINK("http://www.vk.company", "www.vk.company")</f>
      </c>
      <c r="I565" t="s" s="11">
        <v>4971</v>
      </c>
      <c r="J565" t="s" s="25">
        <v>34</v>
      </c>
      <c r="K565" t="s" s="25">
        <v>34</v>
      </c>
      <c r="L565" t="s" s="25">
        <v>34</v>
      </c>
      <c r="M565" t="s" s="13">
        <v>34</v>
      </c>
      <c r="N565" t="s" s="11">
        <v>34</v>
      </c>
      <c r="O565" t="s" s="11">
        <v>34</v>
      </c>
      <c r="P565" t="s" s="11">
        <v>34</v>
      </c>
      <c r="Q565" t="s" s="11">
        <v>34</v>
      </c>
      <c r="R565" t="s" s="11">
        <v>34</v>
      </c>
      <c r="S565" t="s" s="11">
        <v>34</v>
      </c>
      <c r="T565" t="s" s="13">
        <v>34</v>
      </c>
      <c r="U565" t="s" s="11">
        <v>34</v>
      </c>
      <c r="V565" t="s" s="13">
        <v>34</v>
      </c>
      <c r="W565" t="s" s="11">
        <v>4972</v>
      </c>
      <c r="X565" s="17">
        <f>HYPERLINK("https://my.pitchbook.com?p=225526-96P", "View People Online")</f>
      </c>
    </row>
    <row r="566">
      <c r="A566" t="s" s="10">
        <v>4973</v>
      </c>
      <c r="B566" t="s" s="10">
        <v>4974</v>
      </c>
      <c r="C566" t="s" s="10">
        <v>34</v>
      </c>
      <c r="D566" t="s" s="10">
        <v>879</v>
      </c>
      <c r="E566" t="s" s="10">
        <v>36</v>
      </c>
      <c r="F566" t="s" s="10">
        <v>4524</v>
      </c>
      <c r="G566" t="s" s="10">
        <v>4975</v>
      </c>
      <c r="H566" s="16">
        <f>HYPERLINK("http://www.playtech.com", "www.playtech.com")</f>
      </c>
      <c r="I566" t="s" s="10">
        <v>4976</v>
      </c>
      <c r="J566" t="s" s="24">
        <v>34</v>
      </c>
      <c r="K566" s="24">
        <v>6</v>
      </c>
      <c r="L566" s="24">
        <v>4</v>
      </c>
      <c r="M566" t="s" s="12">
        <v>34</v>
      </c>
      <c r="N566" t="s" s="10">
        <v>4977</v>
      </c>
      <c r="O566" t="s" s="10">
        <v>883</v>
      </c>
      <c r="P566" t="s" s="10">
        <v>884</v>
      </c>
      <c r="Q566" t="s" s="10">
        <v>885</v>
      </c>
      <c r="R566" t="s" s="10">
        <v>886</v>
      </c>
      <c r="S566" t="s" s="10">
        <v>120</v>
      </c>
      <c r="T566" t="s" s="12">
        <v>887</v>
      </c>
      <c r="U566" t="s" s="10">
        <v>122</v>
      </c>
      <c r="V566" t="s" s="12">
        <v>34</v>
      </c>
      <c r="W566" t="s" s="10">
        <v>4978</v>
      </c>
      <c r="X566" s="16">
        <f>HYPERLINK("https://my.pitchbook.com?p=94869-82P", "View People Online")</f>
      </c>
    </row>
    <row r="567">
      <c r="A567" t="s" s="11">
        <v>4979</v>
      </c>
      <c r="B567" t="s" s="11">
        <v>4980</v>
      </c>
      <c r="C567" t="s" s="11">
        <v>34</v>
      </c>
      <c r="D567" t="s" s="11">
        <v>4981</v>
      </c>
      <c r="E567" t="s" s="11">
        <v>36</v>
      </c>
      <c r="F567" t="s" s="11">
        <v>4982</v>
      </c>
      <c r="G567" t="s" s="11">
        <v>4983</v>
      </c>
      <c r="H567" s="17">
        <f>HYPERLINK("http://www.lanzatech.com", "www.lanzatech.com")</f>
      </c>
      <c r="I567" t="s" s="11">
        <v>108</v>
      </c>
      <c r="J567" s="25">
        <v>5</v>
      </c>
      <c r="K567" s="25">
        <v>8</v>
      </c>
      <c r="L567" s="25">
        <v>1</v>
      </c>
      <c r="M567" t="s" s="13">
        <v>4985</v>
      </c>
      <c r="N567" t="s" s="11">
        <v>34</v>
      </c>
      <c r="O567" t="s" s="11">
        <v>4986</v>
      </c>
      <c r="P567" t="s" s="11">
        <v>4987</v>
      </c>
      <c r="Q567" t="s" s="11">
        <v>1278</v>
      </c>
      <c r="R567" t="s" s="11">
        <v>4988</v>
      </c>
      <c r="S567" t="s" s="11">
        <v>432</v>
      </c>
      <c r="T567" t="s" s="13">
        <v>4989</v>
      </c>
      <c r="U567" t="s" s="11">
        <v>161</v>
      </c>
      <c r="V567" t="s" s="13">
        <v>34</v>
      </c>
      <c r="W567" t="s" s="11">
        <v>4990</v>
      </c>
      <c r="X567" s="17">
        <f>HYPERLINK("https://my.pitchbook.com?p=51478-93P", "View People Online")</f>
      </c>
    </row>
    <row r="568">
      <c r="A568" t="s" s="10">
        <v>4991</v>
      </c>
      <c r="B568" t="s" s="10">
        <v>4992</v>
      </c>
      <c r="C568" t="s" s="10">
        <v>34</v>
      </c>
      <c r="D568" t="s" s="10">
        <v>4993</v>
      </c>
      <c r="E568" t="s" s="10">
        <v>36</v>
      </c>
      <c r="F568" t="s" s="10">
        <v>4994</v>
      </c>
      <c r="G568" t="s" s="10">
        <v>4995</v>
      </c>
      <c r="H568" s="16">
        <f>HYPERLINK("http://www.celadontrucking.com", "www.celadontrucking.com")</f>
      </c>
      <c r="I568" t="s" s="10">
        <v>4804</v>
      </c>
      <c r="J568" t="s" s="24">
        <v>34</v>
      </c>
      <c r="K568" s="24">
        <v>3</v>
      </c>
      <c r="L568" s="24">
        <v>1</v>
      </c>
      <c r="M568" t="s" s="12">
        <v>34</v>
      </c>
      <c r="N568" t="s" s="10">
        <v>4997</v>
      </c>
      <c r="O568" t="s" s="10">
        <v>4998</v>
      </c>
      <c r="P568" t="s" s="10">
        <v>4999</v>
      </c>
      <c r="Q568" t="s" s="10">
        <v>34</v>
      </c>
      <c r="R568" t="s" s="10">
        <v>5000</v>
      </c>
      <c r="S568" t="s" s="10">
        <v>5001</v>
      </c>
      <c r="T568" t="s" s="12">
        <v>5002</v>
      </c>
      <c r="U568" t="s" s="10">
        <v>161</v>
      </c>
      <c r="V568" t="s" s="12">
        <v>34</v>
      </c>
      <c r="W568" t="s" s="10">
        <v>5003</v>
      </c>
      <c r="X568" s="16">
        <f>HYPERLINK("https://my.pitchbook.com?p=176700-52P", "View People Online")</f>
      </c>
    </row>
    <row r="569">
      <c r="A569" t="s" s="11">
        <v>5004</v>
      </c>
      <c r="B569" t="s" s="11">
        <v>5005</v>
      </c>
      <c r="C569" t="s" s="11">
        <v>34</v>
      </c>
      <c r="D569" t="s" s="11">
        <v>943</v>
      </c>
      <c r="E569" t="s" s="11">
        <v>36</v>
      </c>
      <c r="F569" t="s" s="11">
        <v>5006</v>
      </c>
      <c r="G569" t="s" s="11">
        <v>5007</v>
      </c>
      <c r="H569" s="17">
        <f>HYPERLINK("http://www.vulcanmaterials.com", "www.vulcanmaterials.com")</f>
      </c>
      <c r="I569" t="s" s="11">
        <v>108</v>
      </c>
      <c r="J569" s="25">
        <v>1</v>
      </c>
      <c r="K569" s="25">
        <v>11</v>
      </c>
      <c r="L569" s="25">
        <v>9</v>
      </c>
      <c r="M569" t="s" s="13">
        <v>947</v>
      </c>
      <c r="N569" t="s" s="11">
        <v>34</v>
      </c>
      <c r="O569" t="s" s="11">
        <v>949</v>
      </c>
      <c r="P569" t="s" s="11">
        <v>950</v>
      </c>
      <c r="Q569" t="s" s="11">
        <v>34</v>
      </c>
      <c r="R569" t="s" s="11">
        <v>951</v>
      </c>
      <c r="S569" t="s" s="11">
        <v>952</v>
      </c>
      <c r="T569" t="s" s="13">
        <v>953</v>
      </c>
      <c r="U569" t="s" s="11">
        <v>161</v>
      </c>
      <c r="V569" t="s" s="13">
        <v>34</v>
      </c>
      <c r="W569" t="s" s="11">
        <v>5008</v>
      </c>
      <c r="X569" s="17">
        <f>HYPERLINK("https://my.pitchbook.com?p=59932-72P", "View People Online")</f>
      </c>
    </row>
    <row r="570">
      <c r="A570" t="s" s="10">
        <v>5009</v>
      </c>
      <c r="B570" t="s" s="10">
        <v>5010</v>
      </c>
      <c r="C570" t="s" s="10">
        <v>34</v>
      </c>
      <c r="D570" t="s" s="10">
        <v>943</v>
      </c>
      <c r="E570" t="s" s="10">
        <v>36</v>
      </c>
      <c r="F570" t="s" s="10">
        <v>2588</v>
      </c>
      <c r="G570" t="s" s="10">
        <v>5011</v>
      </c>
      <c r="H570" s="16">
        <f>HYPERLINK("http://www.vulcanmaterials.com", "www.vulcanmaterials.com")</f>
      </c>
      <c r="I570" t="s" s="10">
        <v>845</v>
      </c>
      <c r="J570" t="s" s="24">
        <v>34</v>
      </c>
      <c r="K570" s="24">
        <v>1</v>
      </c>
      <c r="L570" t="s" s="24">
        <v>34</v>
      </c>
      <c r="M570" t="s" s="12">
        <v>947</v>
      </c>
      <c r="N570" t="s" s="10">
        <v>5012</v>
      </c>
      <c r="O570" t="s" s="10">
        <v>949</v>
      </c>
      <c r="P570" t="s" s="10">
        <v>950</v>
      </c>
      <c r="Q570" t="s" s="10">
        <v>34</v>
      </c>
      <c r="R570" t="s" s="10">
        <v>951</v>
      </c>
      <c r="S570" t="s" s="10">
        <v>952</v>
      </c>
      <c r="T570" t="s" s="12">
        <v>953</v>
      </c>
      <c r="U570" t="s" s="10">
        <v>161</v>
      </c>
      <c r="V570" t="s" s="12">
        <v>34</v>
      </c>
      <c r="W570" t="s" s="10">
        <v>5013</v>
      </c>
      <c r="X570" s="16">
        <f>HYPERLINK("https://my.pitchbook.com?p=210649-42P", "View People Online")</f>
      </c>
    </row>
    <row r="571">
      <c r="A571" t="s" s="11">
        <v>5014</v>
      </c>
      <c r="B571" t="s" s="11">
        <v>5015</v>
      </c>
      <c r="C571" t="s" s="11">
        <v>34</v>
      </c>
      <c r="D571" t="s" s="11">
        <v>539</v>
      </c>
      <c r="E571" t="s" s="11">
        <v>36</v>
      </c>
      <c r="F571" t="s" s="11">
        <v>5016</v>
      </c>
      <c r="G571" t="s" s="11">
        <v>5017</v>
      </c>
      <c r="H571" s="17">
        <f>HYPERLINK("http://v-er.eu", "v-er.eu")</f>
      </c>
      <c r="I571" t="s" s="11">
        <v>5018</v>
      </c>
      <c r="J571" t="s" s="25">
        <v>34</v>
      </c>
      <c r="K571" s="25">
        <v>1</v>
      </c>
      <c r="L571" t="s" s="25">
        <v>34</v>
      </c>
      <c r="M571" t="s" s="13">
        <v>544</v>
      </c>
      <c r="N571" t="s" s="11">
        <v>5019</v>
      </c>
      <c r="O571" t="s" s="11">
        <v>51</v>
      </c>
      <c r="P571" t="s" s="11">
        <v>546</v>
      </c>
      <c r="Q571" t="s" s="11">
        <v>547</v>
      </c>
      <c r="R571" t="s" s="11">
        <v>54</v>
      </c>
      <c r="S571" t="s" s="11">
        <v>55</v>
      </c>
      <c r="T571" t="s" s="13">
        <v>56</v>
      </c>
      <c r="U571" t="s" s="11">
        <v>57</v>
      </c>
      <c r="V571" t="s" s="13">
        <v>34</v>
      </c>
      <c r="W571" t="s" s="11">
        <v>5020</v>
      </c>
      <c r="X571" s="17">
        <f>HYPERLINK("https://my.pitchbook.com?p=260887-87P", "View People Online")</f>
      </c>
    </row>
    <row r="572">
      <c r="A572" t="s" s="10">
        <v>5021</v>
      </c>
      <c r="B572" t="s" s="10">
        <v>5022</v>
      </c>
      <c r="C572" t="s" s="10">
        <v>34</v>
      </c>
      <c r="D572" t="s" s="10">
        <v>5023</v>
      </c>
      <c r="E572" t="s" s="10">
        <v>36</v>
      </c>
      <c r="F572" t="s" s="10">
        <v>5024</v>
      </c>
      <c r="G572" t="s" s="10">
        <v>5025</v>
      </c>
      <c r="H572" s="16">
        <f>HYPERLINK("http://www.atlas-lithium.com", "www.atlas-lithium.com")</f>
      </c>
      <c r="I572" t="s" s="10">
        <v>792</v>
      </c>
      <c r="J572" t="s" s="24">
        <v>34</v>
      </c>
      <c r="K572" s="24">
        <v>1</v>
      </c>
      <c r="L572" t="s" s="24">
        <v>34</v>
      </c>
      <c r="M572" t="s" s="12">
        <v>5027</v>
      </c>
      <c r="N572" t="s" s="10">
        <v>5028</v>
      </c>
      <c r="O572" t="s" s="10">
        <v>5029</v>
      </c>
      <c r="P572" t="s" s="10">
        <v>5030</v>
      </c>
      <c r="Q572" t="s" s="10">
        <v>5031</v>
      </c>
      <c r="R572" t="s" s="10">
        <v>5032</v>
      </c>
      <c r="S572" t="s" s="10">
        <v>5033</v>
      </c>
      <c r="T572" t="s" s="12">
        <v>5034</v>
      </c>
      <c r="U572" t="s" s="10">
        <v>5035</v>
      </c>
      <c r="V572" t="s" s="12">
        <v>34</v>
      </c>
      <c r="W572" t="s" s="10">
        <v>5036</v>
      </c>
      <c r="X572" s="16">
        <f>HYPERLINK("https://my.pitchbook.com?p=410344-39P", "View People Online")</f>
      </c>
    </row>
    <row r="573">
      <c r="A573" t="s" s="11">
        <v>5037</v>
      </c>
      <c r="B573" t="s" s="11">
        <v>5038</v>
      </c>
      <c r="C573" t="s" s="11">
        <v>34</v>
      </c>
      <c r="D573" t="s" s="11">
        <v>5039</v>
      </c>
      <c r="E573" t="s" s="11">
        <v>36</v>
      </c>
      <c r="F573" t="s" s="11">
        <v>5040</v>
      </c>
      <c r="G573" t="s" s="11">
        <v>5041</v>
      </c>
      <c r="H573" s="17">
        <f>HYPERLINK("http://www.lockheedmartin.com", "www.lockheedmartin.com")</f>
      </c>
      <c r="I573" t="s" s="11">
        <v>5043</v>
      </c>
      <c r="J573" t="s" s="25">
        <v>34</v>
      </c>
      <c r="K573" s="25">
        <v>2</v>
      </c>
      <c r="L573" s="25">
        <v>1</v>
      </c>
      <c r="M573" t="s" s="13">
        <v>5044</v>
      </c>
      <c r="N573" t="s" s="11">
        <v>5045</v>
      </c>
      <c r="O573" t="s" s="11">
        <v>5046</v>
      </c>
      <c r="P573" t="s" s="11">
        <v>5047</v>
      </c>
      <c r="Q573" t="s" s="11">
        <v>34</v>
      </c>
      <c r="R573" t="s" s="11">
        <v>5048</v>
      </c>
      <c r="S573" t="s" s="11">
        <v>1437</v>
      </c>
      <c r="T573" t="s" s="13">
        <v>5049</v>
      </c>
      <c r="U573" t="s" s="11">
        <v>161</v>
      </c>
      <c r="V573" t="s" s="13">
        <v>34</v>
      </c>
      <c r="W573" t="s" s="11">
        <v>5050</v>
      </c>
      <c r="X573" s="17">
        <f>HYPERLINK("https://my.pitchbook.com?p=254185-39P", "View People Online")</f>
      </c>
    </row>
    <row r="574">
      <c r="A574" t="s" s="10">
        <v>5051</v>
      </c>
      <c r="B574" t="s" s="10">
        <v>5052</v>
      </c>
      <c r="C574" t="s" s="10">
        <v>34</v>
      </c>
      <c r="D574" t="s" s="10">
        <v>5053</v>
      </c>
      <c r="E574" t="s" s="10">
        <v>36</v>
      </c>
      <c r="F574" t="s" s="10">
        <v>5054</v>
      </c>
      <c r="G574" t="s" s="10">
        <v>5041</v>
      </c>
      <c r="H574" s="16">
        <f>HYPERLINK("http://www.microsoft.com", "www.microsoft.com")</f>
      </c>
      <c r="I574" t="s" s="10">
        <v>5056</v>
      </c>
      <c r="J574" t="s" s="24">
        <v>34</v>
      </c>
      <c r="K574" s="24">
        <v>1</v>
      </c>
      <c r="L574" t="s" s="24">
        <v>34</v>
      </c>
      <c r="M574" t="s" s="12">
        <v>5057</v>
      </c>
      <c r="N574" t="s" s="10">
        <v>5058</v>
      </c>
      <c r="O574" t="s" s="10">
        <v>3940</v>
      </c>
      <c r="P574" t="s" s="10">
        <v>5059</v>
      </c>
      <c r="Q574" t="s" s="10">
        <v>34</v>
      </c>
      <c r="R574" t="s" s="10">
        <v>3942</v>
      </c>
      <c r="S574" t="s" s="10">
        <v>1852</v>
      </c>
      <c r="T574" t="s" s="12">
        <v>3943</v>
      </c>
      <c r="U574" t="s" s="10">
        <v>161</v>
      </c>
      <c r="V574" t="s" s="12">
        <v>34</v>
      </c>
      <c r="W574" t="s" s="10">
        <v>5060</v>
      </c>
      <c r="X574" s="16">
        <f>HYPERLINK("https://my.pitchbook.com?p=298132-21P", "View People Online")</f>
      </c>
    </row>
    <row r="575">
      <c r="A575" t="s" s="11">
        <v>5061</v>
      </c>
      <c r="B575" t="s" s="11">
        <v>5062</v>
      </c>
      <c r="C575" t="s" s="11">
        <v>34</v>
      </c>
      <c r="D575" t="s" s="11">
        <v>5063</v>
      </c>
      <c r="E575" t="s" s="11">
        <v>36</v>
      </c>
      <c r="F575" t="s" s="11">
        <v>5064</v>
      </c>
      <c r="G575" t="s" s="11">
        <v>5065</v>
      </c>
      <c r="H575" s="17">
        <f>HYPERLINK("http://www.lifecore.com", "www.lifecore.com")</f>
      </c>
      <c r="I575" t="s" s="11">
        <v>5067</v>
      </c>
      <c r="J575" t="s" s="25">
        <v>34</v>
      </c>
      <c r="K575" t="s" s="25">
        <v>34</v>
      </c>
      <c r="L575" t="s" s="25">
        <v>34</v>
      </c>
      <c r="M575" t="s" s="13">
        <v>34</v>
      </c>
      <c r="N575" t="s" s="11">
        <v>34</v>
      </c>
      <c r="O575" t="s" s="11">
        <v>34</v>
      </c>
      <c r="P575" t="s" s="11">
        <v>34</v>
      </c>
      <c r="Q575" t="s" s="11">
        <v>34</v>
      </c>
      <c r="R575" t="s" s="11">
        <v>34</v>
      </c>
      <c r="S575" t="s" s="11">
        <v>34</v>
      </c>
      <c r="T575" t="s" s="13">
        <v>34</v>
      </c>
      <c r="U575" t="s" s="11">
        <v>34</v>
      </c>
      <c r="V575" t="s" s="13">
        <v>34</v>
      </c>
      <c r="W575" t="s" s="11">
        <v>5068</v>
      </c>
      <c r="X575" s="17">
        <f>HYPERLINK("https://my.pitchbook.com?p=274010-77P", "View People Online")</f>
      </c>
    </row>
    <row r="576">
      <c r="A576" t="s" s="10">
        <v>5069</v>
      </c>
      <c r="B576" t="s" s="10">
        <v>5070</v>
      </c>
      <c r="C576" t="s" s="10">
        <v>34</v>
      </c>
      <c r="D576" t="s" s="10">
        <v>5071</v>
      </c>
      <c r="E576" t="s" s="10">
        <v>36</v>
      </c>
      <c r="F576" t="s" s="10">
        <v>5072</v>
      </c>
      <c r="G576" t="s" s="10">
        <v>5073</v>
      </c>
      <c r="H576" s="16">
        <f>HYPERLINK("http://inrom-group.co.il", "inrom-group.co.il")</f>
      </c>
      <c r="I576" t="s" s="10">
        <v>108</v>
      </c>
      <c r="J576" s="24">
        <v>1</v>
      </c>
      <c r="K576" s="24">
        <v>1</v>
      </c>
      <c r="L576" t="s" s="24">
        <v>34</v>
      </c>
      <c r="M576" t="s" s="12">
        <v>5075</v>
      </c>
      <c r="N576" t="s" s="10">
        <v>34</v>
      </c>
      <c r="O576" t="s" s="10">
        <v>5076</v>
      </c>
      <c r="P576" t="s" s="10">
        <v>5077</v>
      </c>
      <c r="Q576" t="s" s="10">
        <v>34</v>
      </c>
      <c r="R576" t="s" s="10">
        <v>5078</v>
      </c>
      <c r="S576" t="s" s="10">
        <v>34</v>
      </c>
      <c r="T576" t="s" s="12">
        <v>5079</v>
      </c>
      <c r="U576" t="s" s="10">
        <v>4955</v>
      </c>
      <c r="V576" t="s" s="12">
        <v>5080</v>
      </c>
      <c r="W576" t="s" s="10">
        <v>5081</v>
      </c>
      <c r="X576" s="16">
        <f>HYPERLINK("https://my.pitchbook.com?p=446295-52P", "View People Online")</f>
      </c>
    </row>
    <row r="577">
      <c r="A577" t="s" s="11">
        <v>5082</v>
      </c>
      <c r="B577" t="s" s="11">
        <v>5083</v>
      </c>
      <c r="C577" t="s" s="11">
        <v>34</v>
      </c>
      <c r="D577" t="s" s="11">
        <v>5084</v>
      </c>
      <c r="E577" t="s" s="11">
        <v>36</v>
      </c>
      <c r="F577" t="s" s="11">
        <v>5085</v>
      </c>
      <c r="G577" t="s" s="11">
        <v>5086</v>
      </c>
      <c r="H577" s="17">
        <f>HYPERLINK("http://www.blackbaud.com", "www.blackbaud.com")</f>
      </c>
      <c r="I577" t="s" s="11">
        <v>5088</v>
      </c>
      <c r="J577" t="s" s="25">
        <v>34</v>
      </c>
      <c r="K577" s="25">
        <v>1</v>
      </c>
      <c r="L577" t="s" s="25">
        <v>34</v>
      </c>
      <c r="M577" t="s" s="13">
        <v>5089</v>
      </c>
      <c r="N577" t="s" s="11">
        <v>5090</v>
      </c>
      <c r="O577" t="s" s="11">
        <v>1801</v>
      </c>
      <c r="P577" t="s" s="11">
        <v>5091</v>
      </c>
      <c r="Q577" t="s" s="11">
        <v>34</v>
      </c>
      <c r="R577" t="s" s="11">
        <v>1803</v>
      </c>
      <c r="S577" t="s" s="11">
        <v>1280</v>
      </c>
      <c r="T577" t="s" s="13">
        <v>5092</v>
      </c>
      <c r="U577" t="s" s="11">
        <v>161</v>
      </c>
      <c r="V577" t="s" s="13">
        <v>5093</v>
      </c>
      <c r="W577" t="s" s="11">
        <v>5094</v>
      </c>
      <c r="X577" s="17">
        <f>HYPERLINK("https://my.pitchbook.com?p=248873-14P", "View People Online")</f>
      </c>
    </row>
    <row r="578">
      <c r="A578" t="s" s="10">
        <v>5095</v>
      </c>
      <c r="B578" t="s" s="10">
        <v>5096</v>
      </c>
      <c r="C578" t="s" s="10">
        <v>34</v>
      </c>
      <c r="D578" t="s" s="10">
        <v>741</v>
      </c>
      <c r="E578" t="s" s="10">
        <v>36</v>
      </c>
      <c r="F578" t="s" s="10">
        <v>5097</v>
      </c>
      <c r="G578" t="s" s="10">
        <v>5086</v>
      </c>
      <c r="H578" s="16">
        <f>HYPERLINK("http://www.vulcanmaterials.com", "www.vulcanmaterials.com")</f>
      </c>
      <c r="I578" t="s" s="10">
        <v>5098</v>
      </c>
      <c r="J578" t="s" s="24">
        <v>34</v>
      </c>
      <c r="K578" t="s" s="24">
        <v>34</v>
      </c>
      <c r="L578" t="s" s="24">
        <v>34</v>
      </c>
      <c r="M578" t="s" s="12">
        <v>34</v>
      </c>
      <c r="N578" t="s" s="10">
        <v>34</v>
      </c>
      <c r="O578" t="s" s="10">
        <v>34</v>
      </c>
      <c r="P578" t="s" s="10">
        <v>34</v>
      </c>
      <c r="Q578" t="s" s="10">
        <v>34</v>
      </c>
      <c r="R578" t="s" s="10">
        <v>34</v>
      </c>
      <c r="S578" t="s" s="10">
        <v>34</v>
      </c>
      <c r="T578" t="s" s="12">
        <v>34</v>
      </c>
      <c r="U578" t="s" s="10">
        <v>34</v>
      </c>
      <c r="V578" t="s" s="12">
        <v>34</v>
      </c>
      <c r="W578" t="s" s="10">
        <v>5099</v>
      </c>
      <c r="X578" s="16">
        <f>HYPERLINK("https://my.pitchbook.com?p=210650-77P", "View People Online")</f>
      </c>
    </row>
    <row r="579">
      <c r="A579" t="s" s="11">
        <v>5100</v>
      </c>
      <c r="B579" t="s" s="11">
        <v>5101</v>
      </c>
      <c r="C579" t="s" s="11">
        <v>34</v>
      </c>
      <c r="D579" t="s" s="11">
        <v>5102</v>
      </c>
      <c r="E579" t="s" s="11">
        <v>36</v>
      </c>
      <c r="F579" t="s" s="11">
        <v>5103</v>
      </c>
      <c r="G579" t="s" s="11">
        <v>5104</v>
      </c>
      <c r="H579" s="17">
        <f>HYPERLINK("http://www.intel.com", "www.intel.com")</f>
      </c>
      <c r="I579" t="s" s="11">
        <v>5106</v>
      </c>
      <c r="J579" t="s" s="25">
        <v>34</v>
      </c>
      <c r="K579" t="s" s="25">
        <v>34</v>
      </c>
      <c r="L579" t="s" s="25">
        <v>34</v>
      </c>
      <c r="M579" t="s" s="13">
        <v>34</v>
      </c>
      <c r="N579" t="s" s="11">
        <v>34</v>
      </c>
      <c r="O579" t="s" s="11">
        <v>34</v>
      </c>
      <c r="P579" t="s" s="11">
        <v>34</v>
      </c>
      <c r="Q579" t="s" s="11">
        <v>34</v>
      </c>
      <c r="R579" t="s" s="11">
        <v>34</v>
      </c>
      <c r="S579" t="s" s="11">
        <v>34</v>
      </c>
      <c r="T579" t="s" s="13">
        <v>34</v>
      </c>
      <c r="U579" t="s" s="11">
        <v>34</v>
      </c>
      <c r="V579" t="s" s="13">
        <v>34</v>
      </c>
      <c r="W579" t="s" s="11">
        <v>5107</v>
      </c>
      <c r="X579" s="17">
        <f>HYPERLINK("https://my.pitchbook.com?p=31405-33P", "View People Online")</f>
      </c>
    </row>
    <row r="580">
      <c r="A580" t="s" s="10">
        <v>5108</v>
      </c>
      <c r="B580" t="s" s="10">
        <v>5109</v>
      </c>
      <c r="C580" t="s" s="10">
        <v>34</v>
      </c>
      <c r="D580" t="s" s="10">
        <v>1007</v>
      </c>
      <c r="E580" t="s" s="10">
        <v>36</v>
      </c>
      <c r="F580" t="s" s="10">
        <v>5110</v>
      </c>
      <c r="G580" t="s" s="10">
        <v>5104</v>
      </c>
      <c r="H580" s="16">
        <f>HYPERLINK("http://www.tridentresourcescorp.com", "www.tridentresourcescorp.com")</f>
      </c>
      <c r="I580" t="s" s="10">
        <v>5111</v>
      </c>
      <c r="J580" t="s" s="24">
        <v>34</v>
      </c>
      <c r="K580" s="24">
        <v>13</v>
      </c>
      <c r="L580" s="24">
        <v>10</v>
      </c>
      <c r="M580" t="s" s="12">
        <v>1011</v>
      </c>
      <c r="N580" t="s" s="10">
        <v>34</v>
      </c>
      <c r="O580" t="s" s="10">
        <v>998</v>
      </c>
      <c r="P580" t="s" s="10">
        <v>1012</v>
      </c>
      <c r="Q580" t="s" s="10">
        <v>1013</v>
      </c>
      <c r="R580" t="s" s="10">
        <v>1001</v>
      </c>
      <c r="S580" t="s" s="10">
        <v>1002</v>
      </c>
      <c r="T580" t="s" s="12">
        <v>1014</v>
      </c>
      <c r="U580" t="s" s="10">
        <v>917</v>
      </c>
      <c r="V580" t="s" s="12">
        <v>34</v>
      </c>
      <c r="W580" t="s" s="10">
        <v>5112</v>
      </c>
      <c r="X580" s="16">
        <f>HYPERLINK("https://my.pitchbook.com?p=96960-16P", "View People Online")</f>
      </c>
    </row>
    <row r="581">
      <c r="A581" t="s" s="11">
        <v>5113</v>
      </c>
      <c r="B581" t="s" s="11">
        <v>5114</v>
      </c>
      <c r="C581" t="s" s="11">
        <v>34</v>
      </c>
      <c r="D581" t="s" s="11">
        <v>5115</v>
      </c>
      <c r="E581" t="s" s="11">
        <v>36</v>
      </c>
      <c r="F581" t="s" s="11">
        <v>5116</v>
      </c>
      <c r="G581" t="s" s="11">
        <v>5117</v>
      </c>
      <c r="H581" s="17">
        <f>HYPERLINK("http://www.loboebike.com", "www.loboebike.com")</f>
      </c>
      <c r="I581" t="s" s="11">
        <v>441</v>
      </c>
      <c r="J581" t="s" s="25">
        <v>34</v>
      </c>
      <c r="K581" s="25">
        <v>1</v>
      </c>
      <c r="L581" t="s" s="25">
        <v>34</v>
      </c>
      <c r="M581" t="s" s="13">
        <v>5119</v>
      </c>
      <c r="N581" t="s" s="11">
        <v>5120</v>
      </c>
      <c r="O581" t="s" s="11">
        <v>5121</v>
      </c>
      <c r="P581" t="s" s="11">
        <v>5122</v>
      </c>
      <c r="Q581" t="s" s="11">
        <v>5123</v>
      </c>
      <c r="R581" t="s" s="11">
        <v>5124</v>
      </c>
      <c r="S581" t="s" s="11">
        <v>5125</v>
      </c>
      <c r="T581" t="s" s="13">
        <v>5126</v>
      </c>
      <c r="U581" t="s" s="11">
        <v>2087</v>
      </c>
      <c r="V581" t="s" s="13">
        <v>34</v>
      </c>
      <c r="W581" t="s" s="11">
        <v>5127</v>
      </c>
      <c r="X581" s="17">
        <f>HYPERLINK("https://my.pitchbook.com?p=339229-36P", "View People Online")</f>
      </c>
    </row>
    <row r="582">
      <c r="A582" t="s" s="10">
        <v>5128</v>
      </c>
      <c r="B582" t="s" s="10">
        <v>5129</v>
      </c>
      <c r="C582" t="s" s="10">
        <v>34</v>
      </c>
      <c r="D582" t="s" s="10">
        <v>5130</v>
      </c>
      <c r="E582" t="s" s="10">
        <v>36</v>
      </c>
      <c r="F582" t="s" s="10">
        <v>5131</v>
      </c>
      <c r="G582" t="s" s="10">
        <v>5132</v>
      </c>
      <c r="H582" s="16">
        <f>HYPERLINK("http://www.dfscorporate.co.uk", "www.dfscorporate.co.uk")</f>
      </c>
      <c r="I582" t="s" s="10">
        <v>108</v>
      </c>
      <c r="J582" s="24">
        <v>4</v>
      </c>
      <c r="K582" s="24">
        <v>7</v>
      </c>
      <c r="L582" s="24">
        <v>1</v>
      </c>
      <c r="M582" t="s" s="12">
        <v>34</v>
      </c>
      <c r="N582" t="s" s="10">
        <v>34</v>
      </c>
      <c r="O582" t="s" s="10">
        <v>5134</v>
      </c>
      <c r="P582" t="s" s="10">
        <v>5135</v>
      </c>
      <c r="Q582" t="s" s="10">
        <v>5136</v>
      </c>
      <c r="R582" t="s" s="10">
        <v>5137</v>
      </c>
      <c r="S582" t="s" s="10">
        <v>120</v>
      </c>
      <c r="T582" t="s" s="12">
        <v>5138</v>
      </c>
      <c r="U582" t="s" s="10">
        <v>122</v>
      </c>
      <c r="V582" t="s" s="12">
        <v>34</v>
      </c>
      <c r="W582" t="s" s="10">
        <v>5139</v>
      </c>
      <c r="X582" s="16">
        <f>HYPERLINK("https://my.pitchbook.com?p=151742-35P", "View People Online")</f>
      </c>
    </row>
    <row r="583">
      <c r="A583" t="s" s="11">
        <v>5140</v>
      </c>
      <c r="B583" t="s" s="11">
        <v>5141</v>
      </c>
      <c r="C583" t="s" s="11">
        <v>34</v>
      </c>
      <c r="D583" t="s" s="11">
        <v>1007</v>
      </c>
      <c r="E583" t="s" s="11">
        <v>36</v>
      </c>
      <c r="F583" t="s" s="11">
        <v>5142</v>
      </c>
      <c r="G583" t="s" s="11">
        <v>5132</v>
      </c>
      <c r="H583" s="17">
        <f>HYPERLINK("http://www.tridentresourcescorp.com", "www.tridentresourcescorp.com")</f>
      </c>
      <c r="I583" t="s" s="11">
        <v>5143</v>
      </c>
      <c r="J583" t="s" s="25">
        <v>34</v>
      </c>
      <c r="K583" s="25">
        <v>1</v>
      </c>
      <c r="L583" t="s" s="25">
        <v>34</v>
      </c>
      <c r="M583" t="s" s="13">
        <v>1011</v>
      </c>
      <c r="N583" t="s" s="11">
        <v>34</v>
      </c>
      <c r="O583" t="s" s="11">
        <v>998</v>
      </c>
      <c r="P583" t="s" s="11">
        <v>1012</v>
      </c>
      <c r="Q583" t="s" s="11">
        <v>1013</v>
      </c>
      <c r="R583" t="s" s="11">
        <v>1001</v>
      </c>
      <c r="S583" t="s" s="11">
        <v>1002</v>
      </c>
      <c r="T583" t="s" s="13">
        <v>1014</v>
      </c>
      <c r="U583" t="s" s="11">
        <v>917</v>
      </c>
      <c r="V583" t="s" s="13">
        <v>34</v>
      </c>
      <c r="W583" t="s" s="11">
        <v>5144</v>
      </c>
      <c r="X583" s="17">
        <f>HYPERLINK("https://my.pitchbook.com?p=404152-30P", "View People Online")</f>
      </c>
    </row>
    <row r="584">
      <c r="A584" t="s" s="10">
        <v>5145</v>
      </c>
      <c r="B584" t="s" s="10">
        <v>5146</v>
      </c>
      <c r="C584" t="s" s="10">
        <v>34</v>
      </c>
      <c r="D584" t="s" s="10">
        <v>879</v>
      </c>
      <c r="E584" t="s" s="10">
        <v>36</v>
      </c>
      <c r="F584" t="s" s="10">
        <v>5147</v>
      </c>
      <c r="G584" t="s" s="10">
        <v>5148</v>
      </c>
      <c r="H584" s="16">
        <f>HYPERLINK("http://www.playtech.com", "www.playtech.com")</f>
      </c>
      <c r="I584" t="s" s="10">
        <v>2375</v>
      </c>
      <c r="J584" t="s" s="24">
        <v>34</v>
      </c>
      <c r="K584" s="24">
        <v>1</v>
      </c>
      <c r="L584" t="s" s="24">
        <v>34</v>
      </c>
      <c r="M584" t="s" s="12">
        <v>34</v>
      </c>
      <c r="N584" t="s" s="10">
        <v>5149</v>
      </c>
      <c r="O584" t="s" s="10">
        <v>883</v>
      </c>
      <c r="P584" t="s" s="10">
        <v>884</v>
      </c>
      <c r="Q584" t="s" s="10">
        <v>885</v>
      </c>
      <c r="R584" t="s" s="10">
        <v>886</v>
      </c>
      <c r="S584" t="s" s="10">
        <v>120</v>
      </c>
      <c r="T584" t="s" s="12">
        <v>887</v>
      </c>
      <c r="U584" t="s" s="10">
        <v>122</v>
      </c>
      <c r="V584" t="s" s="12">
        <v>34</v>
      </c>
      <c r="W584" t="s" s="10">
        <v>5150</v>
      </c>
      <c r="X584" s="16">
        <f>HYPERLINK("https://my.pitchbook.com?p=301942-99P", "View People Online")</f>
      </c>
    </row>
    <row r="585">
      <c r="A585" t="s" s="11">
        <v>5151</v>
      </c>
      <c r="B585" t="s" s="11">
        <v>5152</v>
      </c>
      <c r="C585" t="s" s="11">
        <v>34</v>
      </c>
      <c r="D585" t="s" s="11">
        <v>5153</v>
      </c>
      <c r="E585" t="s" s="11">
        <v>36</v>
      </c>
      <c r="F585" t="s" s="11">
        <v>5154</v>
      </c>
      <c r="G585" t="s" s="11">
        <v>5155</v>
      </c>
      <c r="H585" s="17">
        <f>HYPERLINK("http://www.gladstoneinvestment.com", "www.gladstoneinvestment.com")</f>
      </c>
      <c r="I585" t="s" s="11">
        <v>5157</v>
      </c>
      <c r="J585" t="s" s="25">
        <v>34</v>
      </c>
      <c r="K585" s="25">
        <v>1</v>
      </c>
      <c r="L585" t="s" s="25">
        <v>34</v>
      </c>
      <c r="M585" t="s" s="13">
        <v>5158</v>
      </c>
      <c r="N585" t="s" s="11">
        <v>5159</v>
      </c>
      <c r="O585" t="s" s="11">
        <v>5160</v>
      </c>
      <c r="P585" t="s" s="11">
        <v>5161</v>
      </c>
      <c r="Q585" t="s" s="11">
        <v>1455</v>
      </c>
      <c r="R585" t="s" s="11">
        <v>5162</v>
      </c>
      <c r="S585" t="s" s="11">
        <v>413</v>
      </c>
      <c r="T585" t="s" s="13">
        <v>5163</v>
      </c>
      <c r="U585" t="s" s="11">
        <v>161</v>
      </c>
      <c r="V585" t="s" s="13">
        <v>34</v>
      </c>
      <c r="W585" t="s" s="11">
        <v>5164</v>
      </c>
      <c r="X585" s="17">
        <f>HYPERLINK("https://my.pitchbook.com?p=393438-16P", "View People Online")</f>
      </c>
    </row>
    <row r="586">
      <c r="A586" t="s" s="10">
        <v>5165</v>
      </c>
      <c r="B586" t="s" s="10">
        <v>5166</v>
      </c>
      <c r="C586" t="s" s="10">
        <v>34</v>
      </c>
      <c r="D586" t="s" s="10">
        <v>279</v>
      </c>
      <c r="E586" t="s" s="10">
        <v>36</v>
      </c>
      <c r="F586" t="s" s="10">
        <v>5167</v>
      </c>
      <c r="G586" t="s" s="10">
        <v>5168</v>
      </c>
      <c r="H586" s="16">
        <f>HYPERLINK("http://www.enplusgroup.com", "www.enplusgroup.com")</f>
      </c>
      <c r="I586" t="s" s="10">
        <v>108</v>
      </c>
      <c r="J586" s="24">
        <v>1</v>
      </c>
      <c r="K586" s="24">
        <v>1</v>
      </c>
      <c r="L586" t="s" s="24">
        <v>34</v>
      </c>
      <c r="M586" t="s" s="12">
        <v>282</v>
      </c>
      <c r="N586" t="s" s="10">
        <v>34</v>
      </c>
      <c r="O586" t="s" s="10">
        <v>200</v>
      </c>
      <c r="P586" t="s" s="10">
        <v>284</v>
      </c>
      <c r="Q586" t="s" s="10">
        <v>34</v>
      </c>
      <c r="R586" t="s" s="10">
        <v>202</v>
      </c>
      <c r="S586" t="s" s="10">
        <v>34</v>
      </c>
      <c r="T586" t="s" s="12">
        <v>285</v>
      </c>
      <c r="U586" t="s" s="10">
        <v>204</v>
      </c>
      <c r="V586" t="s" s="12">
        <v>286</v>
      </c>
      <c r="W586" t="s" s="10">
        <v>5169</v>
      </c>
      <c r="X586" s="16">
        <f>HYPERLINK("https://my.pitchbook.com?p=227805-49P", "View People Online")</f>
      </c>
    </row>
    <row r="587">
      <c r="A587" t="s" s="11">
        <v>5170</v>
      </c>
      <c r="B587" t="s" s="11">
        <v>5171</v>
      </c>
      <c r="C587" t="s" s="11">
        <v>34</v>
      </c>
      <c r="D587" t="s" s="11">
        <v>5172</v>
      </c>
      <c r="E587" t="s" s="11">
        <v>36</v>
      </c>
      <c r="F587" t="s" s="11">
        <v>5173</v>
      </c>
      <c r="G587" t="s" s="11">
        <v>5174</v>
      </c>
      <c r="H587" s="17">
        <f>HYPERLINK("http://www.thecampbellscompany.com", "www.thecampbellscompany.com")</f>
      </c>
      <c r="I587" t="s" s="11">
        <v>5176</v>
      </c>
      <c r="J587" t="s" s="25">
        <v>34</v>
      </c>
      <c r="K587" t="s" s="25">
        <v>34</v>
      </c>
      <c r="L587" t="s" s="25">
        <v>34</v>
      </c>
      <c r="M587" t="s" s="13">
        <v>34</v>
      </c>
      <c r="N587" t="s" s="11">
        <v>5177</v>
      </c>
      <c r="O587" t="s" s="11">
        <v>34</v>
      </c>
      <c r="P587" t="s" s="11">
        <v>34</v>
      </c>
      <c r="Q587" t="s" s="11">
        <v>34</v>
      </c>
      <c r="R587" t="s" s="11">
        <v>34</v>
      </c>
      <c r="S587" t="s" s="11">
        <v>34</v>
      </c>
      <c r="T587" t="s" s="13">
        <v>34</v>
      </c>
      <c r="U587" t="s" s="11">
        <v>34</v>
      </c>
      <c r="V587" t="s" s="13">
        <v>34</v>
      </c>
      <c r="W587" t="s" s="11">
        <v>5178</v>
      </c>
      <c r="X587" s="17">
        <f>HYPERLINK("https://my.pitchbook.com?p=178736-14P", "View People Online")</f>
      </c>
    </row>
    <row r="588">
      <c r="A588" t="s" s="10">
        <v>5179</v>
      </c>
      <c r="B588" t="s" s="10">
        <v>5180</v>
      </c>
      <c r="C588" t="s" s="10">
        <v>34</v>
      </c>
      <c r="D588" t="s" s="10">
        <v>5181</v>
      </c>
      <c r="E588" t="s" s="10">
        <v>36</v>
      </c>
      <c r="F588" t="s" s="10">
        <v>5182</v>
      </c>
      <c r="G588" t="s" s="10">
        <v>5183</v>
      </c>
      <c r="H588" s="16">
        <f>HYPERLINK("http://www.euromaxresources.com", "www.euromaxresources.com")</f>
      </c>
      <c r="I588" t="s" s="10">
        <v>34</v>
      </c>
      <c r="J588" s="24">
        <v>1</v>
      </c>
      <c r="K588" s="24">
        <v>1</v>
      </c>
      <c r="L588" t="s" s="24">
        <v>34</v>
      </c>
      <c r="M588" t="s" s="12">
        <v>5185</v>
      </c>
      <c r="N588" t="s" s="10">
        <v>5186</v>
      </c>
      <c r="O588" t="s" s="10">
        <v>5187</v>
      </c>
      <c r="P588" t="s" s="10">
        <v>5188</v>
      </c>
      <c r="Q588" t="s" s="10">
        <v>5189</v>
      </c>
      <c r="R588" t="s" s="10">
        <v>5190</v>
      </c>
      <c r="S588" t="s" s="10">
        <v>120</v>
      </c>
      <c r="T588" t="s" s="12">
        <v>5191</v>
      </c>
      <c r="U588" t="s" s="10">
        <v>122</v>
      </c>
      <c r="V588" t="s" s="12">
        <v>34</v>
      </c>
      <c r="W588" t="s" s="10">
        <v>5192</v>
      </c>
      <c r="X588" s="16">
        <f>HYPERLINK("https://my.pitchbook.com?p=90240-94P", "View People Online")</f>
      </c>
    </row>
    <row r="589">
      <c r="A589" t="s" s="11">
        <v>5193</v>
      </c>
      <c r="B589" t="s" s="11">
        <v>5194</v>
      </c>
      <c r="C589" t="s" s="11">
        <v>34</v>
      </c>
      <c r="D589" t="s" s="11">
        <v>517</v>
      </c>
      <c r="E589" t="s" s="11">
        <v>36</v>
      </c>
      <c r="F589" t="s" s="11">
        <v>5195</v>
      </c>
      <c r="G589" t="s" s="11">
        <v>5196</v>
      </c>
      <c r="H589" s="17">
        <f>HYPERLINK("http://www.vk.company", "www.vk.company")</f>
      </c>
      <c r="I589" t="s" s="11">
        <v>5197</v>
      </c>
      <c r="J589" t="s" s="25">
        <v>34</v>
      </c>
      <c r="K589" s="25">
        <v>3</v>
      </c>
      <c r="L589" s="25">
        <v>3</v>
      </c>
      <c r="M589" t="s" s="13">
        <v>34</v>
      </c>
      <c r="N589" t="s" s="11">
        <v>34</v>
      </c>
      <c r="O589" t="s" s="11">
        <v>34</v>
      </c>
      <c r="P589" t="s" s="11">
        <v>34</v>
      </c>
      <c r="Q589" t="s" s="11">
        <v>34</v>
      </c>
      <c r="R589" t="s" s="11">
        <v>34</v>
      </c>
      <c r="S589" t="s" s="11">
        <v>34</v>
      </c>
      <c r="T589" t="s" s="13">
        <v>34</v>
      </c>
      <c r="U589" t="s" s="11">
        <v>34</v>
      </c>
      <c r="V589" t="s" s="13">
        <v>34</v>
      </c>
      <c r="W589" t="s" s="11">
        <v>5198</v>
      </c>
      <c r="X589" s="17">
        <f>HYPERLINK("https://my.pitchbook.com?p=144377-65P", "View People Online")</f>
      </c>
    </row>
    <row r="590">
      <c r="A590" t="s" s="10">
        <v>5199</v>
      </c>
      <c r="B590" t="s" s="10">
        <v>5200</v>
      </c>
      <c r="C590" t="s" s="10">
        <v>34</v>
      </c>
      <c r="D590" t="s" s="10">
        <v>247</v>
      </c>
      <c r="E590" t="s" s="10">
        <v>36</v>
      </c>
      <c r="F590" t="s" s="10">
        <v>5201</v>
      </c>
      <c r="G590" t="s" s="10">
        <v>5202</v>
      </c>
      <c r="H590" s="16">
        <f>HYPERLINK("http://www.novatek.ru", "www.novatek.ru")</f>
      </c>
      <c r="I590" t="s" s="10">
        <v>108</v>
      </c>
      <c r="J590" t="s" s="24">
        <v>34</v>
      </c>
      <c r="K590" t="s" s="24">
        <v>34</v>
      </c>
      <c r="L590" t="s" s="24">
        <v>34</v>
      </c>
      <c r="M590" t="s" s="12">
        <v>34</v>
      </c>
      <c r="N590" t="s" s="10">
        <v>34</v>
      </c>
      <c r="O590" t="s" s="10">
        <v>34</v>
      </c>
      <c r="P590" t="s" s="10">
        <v>34</v>
      </c>
      <c r="Q590" t="s" s="10">
        <v>34</v>
      </c>
      <c r="R590" t="s" s="10">
        <v>34</v>
      </c>
      <c r="S590" t="s" s="10">
        <v>34</v>
      </c>
      <c r="T590" t="s" s="12">
        <v>34</v>
      </c>
      <c r="U590" t="s" s="10">
        <v>34</v>
      </c>
      <c r="V590" t="s" s="12">
        <v>34</v>
      </c>
      <c r="W590" t="s" s="10">
        <v>5203</v>
      </c>
      <c r="X590" s="16">
        <f>HYPERLINK("https://my.pitchbook.com?p=116452-36P", "View People Online")</f>
      </c>
    </row>
    <row r="591">
      <c r="A591" t="s" s="11">
        <v>5204</v>
      </c>
      <c r="B591" t="s" s="11">
        <v>5205</v>
      </c>
      <c r="C591" t="s" s="11">
        <v>34</v>
      </c>
      <c r="D591" t="s" s="11">
        <v>5206</v>
      </c>
      <c r="E591" t="s" s="11">
        <v>36</v>
      </c>
      <c r="F591" t="s" s="11">
        <v>5207</v>
      </c>
      <c r="G591" t="s" s="11">
        <v>5208</v>
      </c>
      <c r="H591" s="17">
        <f>HYPERLINK("http://www.hertz.com", "www.hertz.com")</f>
      </c>
      <c r="I591" t="s" s="11">
        <v>108</v>
      </c>
      <c r="J591" s="25">
        <v>4</v>
      </c>
      <c r="K591" s="25">
        <v>4</v>
      </c>
      <c r="L591" t="s" s="25">
        <v>34</v>
      </c>
      <c r="M591" t="s" s="13">
        <v>5210</v>
      </c>
      <c r="N591" t="s" s="11">
        <v>34</v>
      </c>
      <c r="O591" t="s" s="11">
        <v>5211</v>
      </c>
      <c r="P591" t="s" s="11">
        <v>5212</v>
      </c>
      <c r="Q591" t="s" s="11">
        <v>34</v>
      </c>
      <c r="R591" t="s" s="11">
        <v>5213</v>
      </c>
      <c r="S591" t="s" s="11">
        <v>1911</v>
      </c>
      <c r="T591" t="s" s="13">
        <v>5214</v>
      </c>
      <c r="U591" t="s" s="11">
        <v>161</v>
      </c>
      <c r="V591" t="s" s="13">
        <v>34</v>
      </c>
      <c r="W591" t="s" s="11">
        <v>5215</v>
      </c>
      <c r="X591" s="17">
        <f>HYPERLINK("https://my.pitchbook.com?p=64895-14P", "View People Online")</f>
      </c>
    </row>
    <row r="592">
      <c r="A592" t="s" s="10">
        <v>5216</v>
      </c>
      <c r="B592" t="s" s="10">
        <v>5217</v>
      </c>
      <c r="C592" t="s" s="10">
        <v>34</v>
      </c>
      <c r="D592" t="s" s="10">
        <v>517</v>
      </c>
      <c r="E592" t="s" s="10">
        <v>36</v>
      </c>
      <c r="F592" t="s" s="10">
        <v>5218</v>
      </c>
      <c r="G592" t="s" s="10">
        <v>5219</v>
      </c>
      <c r="H592" s="16">
        <f>HYPERLINK("http://www.vk.company", "www.vk.company")</f>
      </c>
      <c r="I592" t="s" s="10">
        <v>5220</v>
      </c>
      <c r="J592" t="s" s="24">
        <v>34</v>
      </c>
      <c r="K592" t="s" s="24">
        <v>34</v>
      </c>
      <c r="L592" t="s" s="24">
        <v>34</v>
      </c>
      <c r="M592" t="s" s="12">
        <v>34</v>
      </c>
      <c r="N592" t="s" s="10">
        <v>34</v>
      </c>
      <c r="O592" t="s" s="10">
        <v>34</v>
      </c>
      <c r="P592" t="s" s="10">
        <v>34</v>
      </c>
      <c r="Q592" t="s" s="10">
        <v>34</v>
      </c>
      <c r="R592" t="s" s="10">
        <v>34</v>
      </c>
      <c r="S592" t="s" s="10">
        <v>34</v>
      </c>
      <c r="T592" t="s" s="12">
        <v>34</v>
      </c>
      <c r="U592" t="s" s="10">
        <v>34</v>
      </c>
      <c r="V592" t="s" s="12">
        <v>34</v>
      </c>
      <c r="W592" t="s" s="10">
        <v>5221</v>
      </c>
      <c r="X592" s="16">
        <f>HYPERLINK("https://my.pitchbook.com?p=70207-84P", "View People Online")</f>
      </c>
    </row>
    <row r="593">
      <c r="A593" t="s" s="11">
        <v>5222</v>
      </c>
      <c r="B593" t="s" s="11">
        <v>5223</v>
      </c>
      <c r="C593" t="s" s="11">
        <v>34</v>
      </c>
      <c r="D593" t="s" s="11">
        <v>273</v>
      </c>
      <c r="E593" t="s" s="11">
        <v>36</v>
      </c>
      <c r="F593" t="s" s="11">
        <v>5224</v>
      </c>
      <c r="G593" t="s" s="11">
        <v>5219</v>
      </c>
      <c r="H593" s="17">
        <f>HYPERLINK("http://www.enplusgroup.com", "www.enplusgroup.com")</f>
      </c>
      <c r="I593" t="s" s="11">
        <v>294</v>
      </c>
      <c r="J593" t="s" s="25">
        <v>34</v>
      </c>
      <c r="K593" t="s" s="25">
        <v>34</v>
      </c>
      <c r="L593" t="s" s="25">
        <v>34</v>
      </c>
      <c r="M593" t="s" s="13">
        <v>34</v>
      </c>
      <c r="N593" t="s" s="11">
        <v>5225</v>
      </c>
      <c r="O593" t="s" s="11">
        <v>34</v>
      </c>
      <c r="P593" t="s" s="11">
        <v>34</v>
      </c>
      <c r="Q593" t="s" s="11">
        <v>34</v>
      </c>
      <c r="R593" t="s" s="11">
        <v>34</v>
      </c>
      <c r="S593" t="s" s="11">
        <v>34</v>
      </c>
      <c r="T593" t="s" s="13">
        <v>34</v>
      </c>
      <c r="U593" t="s" s="11">
        <v>34</v>
      </c>
      <c r="V593" t="s" s="13">
        <v>34</v>
      </c>
      <c r="W593" t="s" s="11">
        <v>5226</v>
      </c>
      <c r="X593" s="17">
        <f>HYPERLINK("https://my.pitchbook.com?p=204665-77P", "View People Online")</f>
      </c>
    </row>
    <row r="594">
      <c r="A594" t="s" s="10">
        <v>5227</v>
      </c>
      <c r="B594" t="s" s="10">
        <v>5228</v>
      </c>
      <c r="C594" t="s" s="10">
        <v>34</v>
      </c>
      <c r="D594" t="s" s="10">
        <v>279</v>
      </c>
      <c r="E594" t="s" s="10">
        <v>36</v>
      </c>
      <c r="F594" t="s" s="10">
        <v>5229</v>
      </c>
      <c r="G594" t="s" s="10">
        <v>5219</v>
      </c>
      <c r="H594" s="16">
        <f>HYPERLINK("http://www.enplusgroup.com", "www.enplusgroup.com")</f>
      </c>
      <c r="I594" t="s" s="10">
        <v>294</v>
      </c>
      <c r="J594" t="s" s="24">
        <v>34</v>
      </c>
      <c r="K594" s="24">
        <v>1</v>
      </c>
      <c r="L594" t="s" s="24">
        <v>34</v>
      </c>
      <c r="M594" t="s" s="12">
        <v>282</v>
      </c>
      <c r="N594" t="s" s="10">
        <v>5230</v>
      </c>
      <c r="O594" t="s" s="10">
        <v>200</v>
      </c>
      <c r="P594" t="s" s="10">
        <v>284</v>
      </c>
      <c r="Q594" t="s" s="10">
        <v>34</v>
      </c>
      <c r="R594" t="s" s="10">
        <v>202</v>
      </c>
      <c r="S594" t="s" s="10">
        <v>34</v>
      </c>
      <c r="T594" t="s" s="12">
        <v>285</v>
      </c>
      <c r="U594" t="s" s="10">
        <v>204</v>
      </c>
      <c r="V594" t="s" s="12">
        <v>286</v>
      </c>
      <c r="W594" t="s" s="10">
        <v>5231</v>
      </c>
      <c r="X594" s="16">
        <f>HYPERLINK("https://my.pitchbook.com?p=447296-50P", "View People Online")</f>
      </c>
    </row>
    <row r="595">
      <c r="A595" t="s" s="11">
        <v>5232</v>
      </c>
      <c r="B595" t="s" s="11">
        <v>5233</v>
      </c>
      <c r="C595" t="s" s="11">
        <v>34</v>
      </c>
      <c r="D595" t="s" s="11">
        <v>273</v>
      </c>
      <c r="E595" t="s" s="11">
        <v>36</v>
      </c>
      <c r="F595" t="s" s="11">
        <v>5234</v>
      </c>
      <c r="G595" t="s" s="11">
        <v>5235</v>
      </c>
      <c r="H595" s="17">
        <f>HYPERLINK("http://www.enplusgroup.com", "www.enplusgroup.com")</f>
      </c>
      <c r="I595" t="s" s="11">
        <v>294</v>
      </c>
      <c r="J595" t="s" s="25">
        <v>34</v>
      </c>
      <c r="K595" t="s" s="25">
        <v>34</v>
      </c>
      <c r="L595" t="s" s="25">
        <v>34</v>
      </c>
      <c r="M595" t="s" s="13">
        <v>34</v>
      </c>
      <c r="N595" t="s" s="11">
        <v>34</v>
      </c>
      <c r="O595" t="s" s="11">
        <v>34</v>
      </c>
      <c r="P595" t="s" s="11">
        <v>34</v>
      </c>
      <c r="Q595" t="s" s="11">
        <v>34</v>
      </c>
      <c r="R595" t="s" s="11">
        <v>34</v>
      </c>
      <c r="S595" t="s" s="11">
        <v>34</v>
      </c>
      <c r="T595" t="s" s="13">
        <v>34</v>
      </c>
      <c r="U595" t="s" s="11">
        <v>34</v>
      </c>
      <c r="V595" t="s" s="13">
        <v>34</v>
      </c>
      <c r="W595" t="s" s="11">
        <v>5236</v>
      </c>
      <c r="X595" s="17">
        <f>HYPERLINK("https://my.pitchbook.com?p=181099-00P", "View People Online")</f>
      </c>
    </row>
    <row r="596">
      <c r="A596" t="s" s="10">
        <v>5237</v>
      </c>
      <c r="B596" t="s" s="10">
        <v>5238</v>
      </c>
      <c r="C596" t="s" s="10">
        <v>34</v>
      </c>
      <c r="D596" t="s" s="10">
        <v>5239</v>
      </c>
      <c r="E596" t="s" s="10">
        <v>36</v>
      </c>
      <c r="F596" t="s" s="10">
        <v>5240</v>
      </c>
      <c r="G596" t="s" s="10">
        <v>5241</v>
      </c>
      <c r="H596" s="16">
        <f>HYPERLINK("http://corporate.charter.com", "corporate.charter.com")</f>
      </c>
      <c r="I596" t="s" s="10">
        <v>5242</v>
      </c>
      <c r="J596" s="24">
        <v>1</v>
      </c>
      <c r="K596" s="24">
        <v>1</v>
      </c>
      <c r="L596" t="s" s="24">
        <v>34</v>
      </c>
      <c r="M596" t="s" s="12">
        <v>5243</v>
      </c>
      <c r="N596" t="s" s="10">
        <v>34</v>
      </c>
      <c r="O596" t="s" s="10">
        <v>5244</v>
      </c>
      <c r="P596" t="s" s="10">
        <v>5245</v>
      </c>
      <c r="Q596" t="s" s="10">
        <v>5246</v>
      </c>
      <c r="R596" t="s" s="10">
        <v>5247</v>
      </c>
      <c r="S596" t="s" s="10">
        <v>2653</v>
      </c>
      <c r="T596" t="s" s="12">
        <v>5248</v>
      </c>
      <c r="U596" t="s" s="10">
        <v>161</v>
      </c>
      <c r="V596" t="s" s="12">
        <v>5249</v>
      </c>
      <c r="W596" t="s" s="10">
        <v>5250</v>
      </c>
      <c r="X596" s="16">
        <f>HYPERLINK("https://my.pitchbook.com?p=12053-08P", "View People Online")</f>
      </c>
    </row>
    <row r="597">
      <c r="A597" t="s" s="11">
        <v>5251</v>
      </c>
      <c r="B597" t="s" s="11">
        <v>5252</v>
      </c>
      <c r="C597" t="s" s="11">
        <v>34</v>
      </c>
      <c r="D597" t="s" s="11">
        <v>5253</v>
      </c>
      <c r="E597" t="s" s="11">
        <v>36</v>
      </c>
      <c r="F597" t="s" s="11">
        <v>5254</v>
      </c>
      <c r="G597" t="s" s="11">
        <v>5255</v>
      </c>
      <c r="H597" s="17">
        <f>HYPERLINK("http://www.orionminerals.com.au", "www.orionminerals.com.au")</f>
      </c>
      <c r="I597" t="s" s="11">
        <v>845</v>
      </c>
      <c r="J597" t="s" s="25">
        <v>34</v>
      </c>
      <c r="K597" t="s" s="25">
        <v>34</v>
      </c>
      <c r="L597" t="s" s="25">
        <v>34</v>
      </c>
      <c r="M597" t="s" s="13">
        <v>34</v>
      </c>
      <c r="N597" t="s" s="11">
        <v>34</v>
      </c>
      <c r="O597" t="s" s="11">
        <v>34</v>
      </c>
      <c r="P597" t="s" s="11">
        <v>34</v>
      </c>
      <c r="Q597" t="s" s="11">
        <v>34</v>
      </c>
      <c r="R597" t="s" s="11">
        <v>34</v>
      </c>
      <c r="S597" t="s" s="11">
        <v>34</v>
      </c>
      <c r="T597" t="s" s="13">
        <v>34</v>
      </c>
      <c r="U597" t="s" s="11">
        <v>34</v>
      </c>
      <c r="V597" t="s" s="13">
        <v>34</v>
      </c>
      <c r="W597" t="s" s="11">
        <v>5257</v>
      </c>
      <c r="X597" s="17">
        <f>HYPERLINK("https://my.pitchbook.com?p=186018-13P", "View People Online")</f>
      </c>
    </row>
    <row r="598">
      <c r="A598" t="s" s="10">
        <v>5258</v>
      </c>
      <c r="B598" t="s" s="10">
        <v>5259</v>
      </c>
      <c r="C598" t="s" s="10">
        <v>34</v>
      </c>
      <c r="D598" t="s" s="10">
        <v>5260</v>
      </c>
      <c r="E598" t="s" s="10">
        <v>36</v>
      </c>
      <c r="F598" t="s" s="10">
        <v>5261</v>
      </c>
      <c r="G598" t="s" s="10">
        <v>5255</v>
      </c>
      <c r="H598" s="16">
        <f>HYPERLINK("http://www.fluoropharma.com", "www.fluoropharma.com")</f>
      </c>
      <c r="I598" t="s" s="10">
        <v>108</v>
      </c>
      <c r="J598" s="24">
        <v>1</v>
      </c>
      <c r="K598" s="24">
        <v>2</v>
      </c>
      <c r="L598" s="24">
        <v>1</v>
      </c>
      <c r="M598" t="s" s="12">
        <v>5263</v>
      </c>
      <c r="N598" t="s" s="10">
        <v>34</v>
      </c>
      <c r="O598" t="s" s="10">
        <v>5264</v>
      </c>
      <c r="P598" t="s" s="10">
        <v>5265</v>
      </c>
      <c r="Q598" t="s" s="10">
        <v>5266</v>
      </c>
      <c r="R598" t="s" s="10">
        <v>5267</v>
      </c>
      <c r="S598" t="s" s="10">
        <v>2059</v>
      </c>
      <c r="T598" t="s" s="12">
        <v>5268</v>
      </c>
      <c r="U598" t="s" s="10">
        <v>161</v>
      </c>
      <c r="V598" t="s" s="12">
        <v>5269</v>
      </c>
      <c r="W598" t="s" s="10">
        <v>5270</v>
      </c>
      <c r="X598" s="16">
        <f>HYPERLINK("https://my.pitchbook.com?p=47290-33P", "View People Online")</f>
      </c>
    </row>
    <row r="599">
      <c r="A599" t="s" s="11">
        <v>5271</v>
      </c>
      <c r="B599" t="s" s="11">
        <v>5272</v>
      </c>
      <c r="C599" t="s" s="11">
        <v>34</v>
      </c>
      <c r="D599" t="s" s="11">
        <v>5273</v>
      </c>
      <c r="E599" t="s" s="11">
        <v>36</v>
      </c>
      <c r="F599" t="s" s="11">
        <v>5274</v>
      </c>
      <c r="G599" t="s" s="11">
        <v>3262</v>
      </c>
      <c r="H599" s="17">
        <f>HYPERLINK("http://www.dillards.com", "www.dillards.com")</f>
      </c>
      <c r="I599" t="s" s="11">
        <v>108</v>
      </c>
      <c r="J599" s="25">
        <v>1</v>
      </c>
      <c r="K599" s="25">
        <v>6</v>
      </c>
      <c r="L599" s="25">
        <v>3</v>
      </c>
      <c r="M599" t="s" s="13">
        <v>5276</v>
      </c>
      <c r="N599" t="s" s="11">
        <v>5277</v>
      </c>
      <c r="O599" t="s" s="11">
        <v>2471</v>
      </c>
      <c r="P599" t="s" s="11">
        <v>5278</v>
      </c>
      <c r="Q599" t="s" s="11">
        <v>34</v>
      </c>
      <c r="R599" t="s" s="11">
        <v>2473</v>
      </c>
      <c r="S599" t="s" s="11">
        <v>2474</v>
      </c>
      <c r="T599" t="s" s="13">
        <v>5279</v>
      </c>
      <c r="U599" t="s" s="11">
        <v>161</v>
      </c>
      <c r="V599" t="s" s="13">
        <v>34</v>
      </c>
      <c r="W599" t="s" s="11">
        <v>5280</v>
      </c>
      <c r="X599" s="17">
        <f>HYPERLINK("https://my.pitchbook.com?p=31515-49P", "View People Online")</f>
      </c>
    </row>
    <row r="600">
      <c r="A600" t="s" s="10">
        <v>5281</v>
      </c>
      <c r="B600" t="s" s="10">
        <v>5282</v>
      </c>
      <c r="C600" t="s" s="10">
        <v>34</v>
      </c>
      <c r="D600" t="s" s="10">
        <v>741</v>
      </c>
      <c r="E600" t="s" s="10">
        <v>36</v>
      </c>
      <c r="F600" t="s" s="10">
        <v>328</v>
      </c>
      <c r="G600" t="s" s="10">
        <v>5283</v>
      </c>
      <c r="H600" s="16">
        <f>HYPERLINK("http://www.vulcanmaterials.com", "www.vulcanmaterials.com")</f>
      </c>
      <c r="I600" t="s" s="10">
        <v>5284</v>
      </c>
      <c r="J600" t="s" s="24">
        <v>34</v>
      </c>
      <c r="K600" t="s" s="24">
        <v>34</v>
      </c>
      <c r="L600" t="s" s="24">
        <v>34</v>
      </c>
      <c r="M600" t="s" s="12">
        <v>34</v>
      </c>
      <c r="N600" t="s" s="10">
        <v>34</v>
      </c>
      <c r="O600" t="s" s="10">
        <v>34</v>
      </c>
      <c r="P600" t="s" s="10">
        <v>34</v>
      </c>
      <c r="Q600" t="s" s="10">
        <v>34</v>
      </c>
      <c r="R600" t="s" s="10">
        <v>34</v>
      </c>
      <c r="S600" t="s" s="10">
        <v>34</v>
      </c>
      <c r="T600" t="s" s="12">
        <v>34</v>
      </c>
      <c r="U600" t="s" s="10">
        <v>34</v>
      </c>
      <c r="V600" t="s" s="12">
        <v>34</v>
      </c>
      <c r="W600" t="s" s="10">
        <v>5285</v>
      </c>
      <c r="X600" s="16">
        <f>HYPERLINK("https://my.pitchbook.com?p=14863-51P", "View People Online")</f>
      </c>
    </row>
    <row r="601">
      <c r="A601" t="s" s="11">
        <v>5286</v>
      </c>
      <c r="B601" t="s" s="11">
        <v>5287</v>
      </c>
      <c r="C601" t="s" s="11">
        <v>34</v>
      </c>
      <c r="D601" t="s" s="11">
        <v>4853</v>
      </c>
      <c r="E601" t="s" s="11">
        <v>36</v>
      </c>
      <c r="F601" t="s" s="11">
        <v>4504</v>
      </c>
      <c r="G601" t="s" s="11">
        <v>5288</v>
      </c>
      <c r="H601" s="17">
        <f>HYPERLINK("http://www.biitt.cn", "www.biitt.cn")</f>
      </c>
      <c r="I601" t="s" s="11">
        <v>5289</v>
      </c>
      <c r="J601" t="s" s="25">
        <v>34</v>
      </c>
      <c r="K601" s="25">
        <v>1</v>
      </c>
      <c r="L601" s="25">
        <v>1</v>
      </c>
      <c r="M601" t="s" s="13">
        <v>34</v>
      </c>
      <c r="N601" t="s" s="11">
        <v>34</v>
      </c>
      <c r="O601" t="s" s="11">
        <v>34</v>
      </c>
      <c r="P601" t="s" s="11">
        <v>34</v>
      </c>
      <c r="Q601" t="s" s="11">
        <v>34</v>
      </c>
      <c r="R601" t="s" s="11">
        <v>34</v>
      </c>
      <c r="S601" t="s" s="11">
        <v>34</v>
      </c>
      <c r="T601" t="s" s="13">
        <v>34</v>
      </c>
      <c r="U601" t="s" s="11">
        <v>34</v>
      </c>
      <c r="V601" t="s" s="13">
        <v>34</v>
      </c>
      <c r="W601" t="s" s="11">
        <v>5290</v>
      </c>
      <c r="X601" s="17">
        <f>HYPERLINK("https://my.pitchbook.com?p=124386-94P", "View People Online")</f>
      </c>
    </row>
    <row r="602">
      <c r="A602" t="s" s="10">
        <v>5291</v>
      </c>
      <c r="B602" t="s" s="10">
        <v>5292</v>
      </c>
      <c r="C602" t="s" s="10">
        <v>34</v>
      </c>
      <c r="D602" t="s" s="10">
        <v>5293</v>
      </c>
      <c r="E602" t="s" s="10">
        <v>36</v>
      </c>
      <c r="F602" t="s" s="10">
        <v>5294</v>
      </c>
      <c r="G602" t="s" s="10">
        <v>5295</v>
      </c>
      <c r="H602" s="16">
        <f>HYPERLINK("http://www.gbrx.com", "www.gbrx.com")</f>
      </c>
      <c r="I602" t="s" s="10">
        <v>108</v>
      </c>
      <c r="J602" s="24">
        <v>1</v>
      </c>
      <c r="K602" s="24">
        <v>1</v>
      </c>
      <c r="L602" t="s" s="24">
        <v>34</v>
      </c>
      <c r="M602" t="s" s="12">
        <v>5297</v>
      </c>
      <c r="N602" t="s" s="10">
        <v>34</v>
      </c>
      <c r="O602" t="s" s="10">
        <v>5298</v>
      </c>
      <c r="P602" t="s" s="10">
        <v>5299</v>
      </c>
      <c r="Q602" t="s" s="10">
        <v>5300</v>
      </c>
      <c r="R602" t="s" s="10">
        <v>5301</v>
      </c>
      <c r="S602" t="s" s="10">
        <v>3607</v>
      </c>
      <c r="T602" t="s" s="12">
        <v>5302</v>
      </c>
      <c r="U602" t="s" s="10">
        <v>161</v>
      </c>
      <c r="V602" t="s" s="12">
        <v>5303</v>
      </c>
      <c r="W602" t="s" s="10">
        <v>5304</v>
      </c>
      <c r="X602" s="16">
        <f>HYPERLINK("https://my.pitchbook.com?p=15681-52P", "View People Online")</f>
      </c>
    </row>
    <row r="603">
      <c r="A603" t="s" s="11">
        <v>5305</v>
      </c>
      <c r="B603" t="s" s="11">
        <v>5306</v>
      </c>
      <c r="C603" t="s" s="11">
        <v>34</v>
      </c>
      <c r="D603" t="s" s="11">
        <v>5307</v>
      </c>
      <c r="E603" t="s" s="11">
        <v>36</v>
      </c>
      <c r="F603" t="s" s="11">
        <v>4467</v>
      </c>
      <c r="G603" t="s" s="11">
        <v>5308</v>
      </c>
      <c r="H603" s="17">
        <f>HYPERLINK("http://www.coyatherapeutics.com", "www.coyatherapeutics.com")</f>
      </c>
      <c r="I603" t="s" s="11">
        <v>108</v>
      </c>
      <c r="J603" s="25">
        <v>1</v>
      </c>
      <c r="K603" s="25">
        <v>71</v>
      </c>
      <c r="L603" s="25">
        <v>62</v>
      </c>
      <c r="M603" t="s" s="13">
        <v>5310</v>
      </c>
      <c r="N603" t="s" s="11">
        <v>5311</v>
      </c>
      <c r="O603" t="s" s="11">
        <v>325</v>
      </c>
      <c r="P603" t="s" s="11">
        <v>5312</v>
      </c>
      <c r="Q603" t="s" s="11">
        <v>2672</v>
      </c>
      <c r="R603" t="s" s="11">
        <v>328</v>
      </c>
      <c r="S603" t="s" s="11">
        <v>329</v>
      </c>
      <c r="T603" t="s" s="13">
        <v>5313</v>
      </c>
      <c r="U603" t="s" s="11">
        <v>161</v>
      </c>
      <c r="V603" t="s" s="13">
        <v>34</v>
      </c>
      <c r="W603" t="s" s="11">
        <v>5314</v>
      </c>
      <c r="X603" s="17">
        <f>HYPERLINK("https://my.pitchbook.com?p=12536-83P", "View People Online")</f>
      </c>
    </row>
    <row r="604">
      <c r="A604" t="s" s="10">
        <v>5315</v>
      </c>
      <c r="B604" t="s" s="10">
        <v>5316</v>
      </c>
      <c r="C604" t="s" s="10">
        <v>34</v>
      </c>
      <c r="D604" t="s" s="10">
        <v>741</v>
      </c>
      <c r="E604" t="s" s="10">
        <v>36</v>
      </c>
      <c r="F604" t="s" s="10">
        <v>1509</v>
      </c>
      <c r="G604" t="s" s="10">
        <v>5317</v>
      </c>
      <c r="H604" s="16">
        <f>HYPERLINK("http://www.vulcanmaterials.com", "www.vulcanmaterials.com")</f>
      </c>
      <c r="I604" t="s" s="10">
        <v>5318</v>
      </c>
      <c r="J604" t="s" s="24">
        <v>34</v>
      </c>
      <c r="K604" t="s" s="24">
        <v>34</v>
      </c>
      <c r="L604" t="s" s="24">
        <v>34</v>
      </c>
      <c r="M604" t="s" s="12">
        <v>34</v>
      </c>
      <c r="N604" t="s" s="10">
        <v>34</v>
      </c>
      <c r="O604" t="s" s="10">
        <v>34</v>
      </c>
      <c r="P604" t="s" s="10">
        <v>34</v>
      </c>
      <c r="Q604" t="s" s="10">
        <v>34</v>
      </c>
      <c r="R604" t="s" s="10">
        <v>34</v>
      </c>
      <c r="S604" t="s" s="10">
        <v>34</v>
      </c>
      <c r="T604" t="s" s="12">
        <v>34</v>
      </c>
      <c r="U604" t="s" s="10">
        <v>34</v>
      </c>
      <c r="V604" t="s" s="12">
        <v>34</v>
      </c>
      <c r="W604" t="s" s="10">
        <v>5319</v>
      </c>
      <c r="X604" s="16">
        <f>HYPERLINK("https://my.pitchbook.com?p=14863-42P", "View People Online")</f>
      </c>
    </row>
    <row r="605">
      <c r="A605" t="s" s="11">
        <v>5320</v>
      </c>
      <c r="B605" t="s" s="11">
        <v>5321</v>
      </c>
      <c r="C605" t="s" s="11">
        <v>34</v>
      </c>
      <c r="D605" t="s" s="11">
        <v>5322</v>
      </c>
      <c r="E605" t="s" s="11">
        <v>36</v>
      </c>
      <c r="F605" t="s" s="11">
        <v>5323</v>
      </c>
      <c r="G605" t="s" s="11">
        <v>5324</v>
      </c>
      <c r="H605" s="17">
        <f>HYPERLINK("http://www.thomsonreuters.com", "www.thomsonreuters.com")</f>
      </c>
      <c r="I605" t="s" s="11">
        <v>108</v>
      </c>
      <c r="J605" t="s" s="25">
        <v>34</v>
      </c>
      <c r="K605" t="s" s="25">
        <v>34</v>
      </c>
      <c r="L605" t="s" s="25">
        <v>34</v>
      </c>
      <c r="M605" t="s" s="13">
        <v>34</v>
      </c>
      <c r="N605" t="s" s="11">
        <v>34</v>
      </c>
      <c r="O605" t="s" s="11">
        <v>34</v>
      </c>
      <c r="P605" t="s" s="11">
        <v>34</v>
      </c>
      <c r="Q605" t="s" s="11">
        <v>34</v>
      </c>
      <c r="R605" t="s" s="11">
        <v>34</v>
      </c>
      <c r="S605" t="s" s="11">
        <v>34</v>
      </c>
      <c r="T605" t="s" s="13">
        <v>34</v>
      </c>
      <c r="U605" t="s" s="11">
        <v>34</v>
      </c>
      <c r="V605" t="s" s="13">
        <v>34</v>
      </c>
      <c r="W605" t="s" s="11">
        <v>5326</v>
      </c>
      <c r="X605" s="17">
        <f>HYPERLINK("https://my.pitchbook.com?p=69788-35P", "View People Online")</f>
      </c>
    </row>
    <row r="606">
      <c r="A606" t="s" s="10">
        <v>5327</v>
      </c>
      <c r="B606" t="s" s="10">
        <v>5328</v>
      </c>
      <c r="C606" t="s" s="10">
        <v>34</v>
      </c>
      <c r="D606" t="s" s="10">
        <v>517</v>
      </c>
      <c r="E606" t="s" s="10">
        <v>36</v>
      </c>
      <c r="F606" t="s" s="10">
        <v>5329</v>
      </c>
      <c r="G606" t="s" s="10">
        <v>5330</v>
      </c>
      <c r="H606" s="16">
        <f>HYPERLINK("http://www.vk.company", "www.vk.company")</f>
      </c>
      <c r="I606" t="s" s="10">
        <v>5331</v>
      </c>
      <c r="J606" t="s" s="24">
        <v>34</v>
      </c>
      <c r="K606" t="s" s="24">
        <v>34</v>
      </c>
      <c r="L606" t="s" s="24">
        <v>34</v>
      </c>
      <c r="M606" t="s" s="12">
        <v>34</v>
      </c>
      <c r="N606" t="s" s="10">
        <v>34</v>
      </c>
      <c r="O606" t="s" s="10">
        <v>34</v>
      </c>
      <c r="P606" t="s" s="10">
        <v>34</v>
      </c>
      <c r="Q606" t="s" s="10">
        <v>34</v>
      </c>
      <c r="R606" t="s" s="10">
        <v>34</v>
      </c>
      <c r="S606" t="s" s="10">
        <v>34</v>
      </c>
      <c r="T606" t="s" s="12">
        <v>34</v>
      </c>
      <c r="U606" t="s" s="10">
        <v>34</v>
      </c>
      <c r="V606" t="s" s="12">
        <v>34</v>
      </c>
      <c r="W606" t="s" s="10">
        <v>5332</v>
      </c>
      <c r="X606" s="16">
        <f>HYPERLINK("https://my.pitchbook.com?p=90714-52P", "View People Online")</f>
      </c>
    </row>
    <row r="607">
      <c r="A607" t="s" s="11">
        <v>5333</v>
      </c>
      <c r="B607" t="s" s="11">
        <v>5334</v>
      </c>
      <c r="C607" t="s" s="11">
        <v>34</v>
      </c>
      <c r="D607" t="s" s="11">
        <v>5335</v>
      </c>
      <c r="E607" t="s" s="11">
        <v>36</v>
      </c>
      <c r="F607" t="s" s="11">
        <v>5336</v>
      </c>
      <c r="G607" t="s" s="11">
        <v>5337</v>
      </c>
      <c r="H607" s="17">
        <f>HYPERLINK("http://ir.buildabear.com", "ir.buildabear.com")</f>
      </c>
      <c r="I607" t="s" s="11">
        <v>5339</v>
      </c>
      <c r="J607" t="s" s="25">
        <v>34</v>
      </c>
      <c r="K607" s="25">
        <v>1</v>
      </c>
      <c r="L607" t="s" s="25">
        <v>34</v>
      </c>
      <c r="M607" t="s" s="13">
        <v>5340</v>
      </c>
      <c r="N607" t="s" s="11">
        <v>5341</v>
      </c>
      <c r="O607" t="s" s="11">
        <v>5342</v>
      </c>
      <c r="P607" t="s" s="11">
        <v>5343</v>
      </c>
      <c r="Q607" t="s" s="11">
        <v>5300</v>
      </c>
      <c r="R607" t="s" s="11">
        <v>5344</v>
      </c>
      <c r="S607" t="s" s="11">
        <v>5345</v>
      </c>
      <c r="T607" t="s" s="13">
        <v>5346</v>
      </c>
      <c r="U607" t="s" s="11">
        <v>161</v>
      </c>
      <c r="V607" t="s" s="13">
        <v>34</v>
      </c>
      <c r="W607" t="s" s="11">
        <v>5347</v>
      </c>
      <c r="X607" s="17">
        <f>HYPERLINK("https://my.pitchbook.com?p=262298-71P", "View People Online")</f>
      </c>
    </row>
    <row r="608">
      <c r="A608" t="s" s="10">
        <v>5348</v>
      </c>
      <c r="B608" t="s" s="10">
        <v>5349</v>
      </c>
      <c r="C608" t="s" s="10">
        <v>34</v>
      </c>
      <c r="D608" t="s" s="10">
        <v>4503</v>
      </c>
      <c r="E608" t="s" s="10">
        <v>36</v>
      </c>
      <c r="F608" t="s" s="10">
        <v>4504</v>
      </c>
      <c r="G608" t="s" s="10">
        <v>5350</v>
      </c>
      <c r="H608" s="16">
        <f>HYPERLINK("http://www.biitt.cn", "www.biitt.cn")</f>
      </c>
      <c r="I608" t="s" s="10">
        <v>4507</v>
      </c>
      <c r="J608" t="s" s="24">
        <v>34</v>
      </c>
      <c r="K608" s="24">
        <v>1</v>
      </c>
      <c r="L608" t="s" s="24">
        <v>34</v>
      </c>
      <c r="M608" t="s" s="12">
        <v>4508</v>
      </c>
      <c r="N608" t="s" s="10">
        <v>5351</v>
      </c>
      <c r="O608" t="s" s="10">
        <v>3636</v>
      </c>
      <c r="P608" t="s" s="10">
        <v>4510</v>
      </c>
      <c r="Q608" t="s" s="10">
        <v>4511</v>
      </c>
      <c r="R608" t="s" s="10">
        <v>3637</v>
      </c>
      <c r="S608" t="s" s="10">
        <v>34</v>
      </c>
      <c r="T608" t="s" s="12">
        <v>34</v>
      </c>
      <c r="U608" t="s" s="10">
        <v>3637</v>
      </c>
      <c r="V608" t="s" s="12">
        <v>34</v>
      </c>
      <c r="W608" t="s" s="10">
        <v>5352</v>
      </c>
      <c r="X608" s="16">
        <f>HYPERLINK("https://my.pitchbook.com?p=124387-84P", "View People Online")</f>
      </c>
    </row>
    <row r="609">
      <c r="A609" t="s" s="11">
        <v>5353</v>
      </c>
      <c r="B609" t="s" s="11">
        <v>5354</v>
      </c>
      <c r="C609" t="s" s="11">
        <v>34</v>
      </c>
      <c r="D609" t="s" s="11">
        <v>127</v>
      </c>
      <c r="E609" t="s" s="11">
        <v>36</v>
      </c>
      <c r="F609" t="s" s="11">
        <v>5355</v>
      </c>
      <c r="G609" t="s" s="11">
        <v>5356</v>
      </c>
      <c r="H609" s="17">
        <f>HYPERLINK("http://www.playtech.com", "www.playtech.com")</f>
      </c>
      <c r="I609" t="s" s="11">
        <v>5357</v>
      </c>
      <c r="J609" t="s" s="25">
        <v>34</v>
      </c>
      <c r="K609" t="s" s="25">
        <v>34</v>
      </c>
      <c r="L609" t="s" s="25">
        <v>34</v>
      </c>
      <c r="M609" t="s" s="13">
        <v>34</v>
      </c>
      <c r="N609" t="s" s="11">
        <v>34</v>
      </c>
      <c r="O609" t="s" s="11">
        <v>34</v>
      </c>
      <c r="P609" t="s" s="11">
        <v>34</v>
      </c>
      <c r="Q609" t="s" s="11">
        <v>34</v>
      </c>
      <c r="R609" t="s" s="11">
        <v>34</v>
      </c>
      <c r="S609" t="s" s="11">
        <v>34</v>
      </c>
      <c r="T609" t="s" s="13">
        <v>34</v>
      </c>
      <c r="U609" t="s" s="11">
        <v>34</v>
      </c>
      <c r="V609" t="s" s="13">
        <v>34</v>
      </c>
      <c r="W609" t="s" s="11">
        <v>5358</v>
      </c>
      <c r="X609" s="17">
        <f>HYPERLINK("https://my.pitchbook.com?p=46918-00P", "View People Online")</f>
      </c>
    </row>
    <row r="610">
      <c r="A610" t="s" s="10">
        <v>5359</v>
      </c>
      <c r="B610" t="s" s="10">
        <v>5360</v>
      </c>
      <c r="C610" t="s" s="10">
        <v>34</v>
      </c>
      <c r="D610" t="s" s="10">
        <v>5361</v>
      </c>
      <c r="E610" t="s" s="10">
        <v>36</v>
      </c>
      <c r="F610" t="s" s="10">
        <v>5362</v>
      </c>
      <c r="G610" t="s" s="10">
        <v>5363</v>
      </c>
      <c r="H610" s="16">
        <f>HYPERLINK("http://www.jpmeemeasecurities.com", "www.jpmeemeasecurities.com")</f>
      </c>
      <c r="I610" t="s" s="10">
        <v>108</v>
      </c>
      <c r="J610" s="24">
        <v>1</v>
      </c>
      <c r="K610" s="24">
        <v>1</v>
      </c>
      <c r="L610" t="s" s="24">
        <v>34</v>
      </c>
      <c r="M610" t="s" s="12">
        <v>34</v>
      </c>
      <c r="N610" t="s" s="10">
        <v>34</v>
      </c>
      <c r="O610" t="s" s="10">
        <v>117</v>
      </c>
      <c r="P610" t="s" s="10">
        <v>34</v>
      </c>
      <c r="Q610" t="s" s="10">
        <v>34</v>
      </c>
      <c r="R610" t="s" s="10">
        <v>119</v>
      </c>
      <c r="S610" t="s" s="10">
        <v>120</v>
      </c>
      <c r="T610" t="s" s="12">
        <v>34</v>
      </c>
      <c r="U610" t="s" s="10">
        <v>122</v>
      </c>
      <c r="V610" t="s" s="12">
        <v>34</v>
      </c>
      <c r="W610" t="s" s="10">
        <v>5365</v>
      </c>
      <c r="X610" s="16">
        <f>HYPERLINK("https://my.pitchbook.com?p=403131-16P", "View People Online")</f>
      </c>
    </row>
    <row r="611">
      <c r="A611" t="s" s="11">
        <v>5366</v>
      </c>
      <c r="B611" t="s" s="11">
        <v>5367</v>
      </c>
      <c r="C611" t="s" s="11">
        <v>34</v>
      </c>
      <c r="D611" t="s" s="11">
        <v>5368</v>
      </c>
      <c r="E611" t="s" s="11">
        <v>36</v>
      </c>
      <c r="F611" t="s" s="11">
        <v>5369</v>
      </c>
      <c r="G611" t="s" s="11">
        <v>5370</v>
      </c>
      <c r="H611" s="17">
        <f>HYPERLINK("http://www.planet.com", "www.planet.com")</f>
      </c>
      <c r="I611" t="s" s="11">
        <v>34</v>
      </c>
      <c r="J611" s="25">
        <v>1</v>
      </c>
      <c r="K611" s="25">
        <v>179</v>
      </c>
      <c r="L611" s="25">
        <v>166</v>
      </c>
      <c r="M611" t="s" s="13">
        <v>5372</v>
      </c>
      <c r="N611" t="s" s="11">
        <v>5373</v>
      </c>
      <c r="O611" t="s" s="11">
        <v>200</v>
      </c>
      <c r="P611" t="s" s="11">
        <v>34</v>
      </c>
      <c r="Q611" t="s" s="11">
        <v>34</v>
      </c>
      <c r="R611" t="s" s="11">
        <v>202</v>
      </c>
      <c r="S611" t="s" s="11">
        <v>34</v>
      </c>
      <c r="T611" t="s" s="13">
        <v>34</v>
      </c>
      <c r="U611" t="s" s="11">
        <v>204</v>
      </c>
      <c r="V611" t="s" s="13">
        <v>34</v>
      </c>
      <c r="W611" t="s" s="11">
        <v>5374</v>
      </c>
      <c r="X611" s="17">
        <f>HYPERLINK("https://my.pitchbook.com?p=30461-86P", "View People Online")</f>
      </c>
    </row>
    <row r="612">
      <c r="A612" t="s" s="10">
        <v>5375</v>
      </c>
      <c r="B612" t="s" s="10">
        <v>5376</v>
      </c>
      <c r="C612" t="s" s="10">
        <v>34</v>
      </c>
      <c r="D612" t="s" s="10">
        <v>195</v>
      </c>
      <c r="E612" t="s" s="10">
        <v>36</v>
      </c>
      <c r="F612" t="s" s="10">
        <v>5377</v>
      </c>
      <c r="G612" t="s" s="10">
        <v>5378</v>
      </c>
      <c r="H612" s="16">
        <f>HYPERLINK("http://www.novatek.ru", "www.novatek.ru")</f>
      </c>
      <c r="I612" t="s" s="10">
        <v>2682</v>
      </c>
      <c r="J612" t="s" s="24">
        <v>34</v>
      </c>
      <c r="K612" s="24">
        <v>1</v>
      </c>
      <c r="L612" t="s" s="24">
        <v>34</v>
      </c>
      <c r="M612" t="s" s="12">
        <v>199</v>
      </c>
      <c r="N612" t="s" s="10">
        <v>5379</v>
      </c>
      <c r="O612" t="s" s="10">
        <v>200</v>
      </c>
      <c r="P612" t="s" s="10">
        <v>201</v>
      </c>
      <c r="Q612" t="s" s="10">
        <v>34</v>
      </c>
      <c r="R612" t="s" s="10">
        <v>202</v>
      </c>
      <c r="S612" t="s" s="10">
        <v>34</v>
      </c>
      <c r="T612" t="s" s="12">
        <v>203</v>
      </c>
      <c r="U612" t="s" s="10">
        <v>204</v>
      </c>
      <c r="V612" t="s" s="12">
        <v>205</v>
      </c>
      <c r="W612" t="s" s="10">
        <v>5380</v>
      </c>
      <c r="X612" s="16">
        <f>HYPERLINK("https://my.pitchbook.com?p=277024-06P", "View People Online")</f>
      </c>
    </row>
    <row r="614">
      <c r="A614" s="34" t="s">
        <v>5381</v>
      </c>
    </row>
  </sheetData>
  <mergeCells count="1">
    <mergeCell ref="B6:D6"/>
  </mergeCells>
  <hyperlinks>
    <hyperlink ref="B5" r:id="rId1" display="https://my.pitchbook.com/?pcc=1233906-5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A36"/>
  <sheetViews>
    <sheetView workbookViewId="0"/>
  </sheetViews>
  <sheetFormatPr defaultRowHeight="15"/>
  <sheetData>
    <row r="1">
      <c r="A1" s="10"/>
    </row>
    <row r="2">
      <c r="A2" s="11"/>
    </row>
    <row r="3">
      <c r="A3" s="12"/>
    </row>
    <row r="4">
      <c r="A4" s="13"/>
    </row>
    <row r="5">
      <c r="A5" s="14"/>
    </row>
    <row r="6">
      <c r="A6" s="15"/>
    </row>
    <row r="7">
      <c r="A7" s="16"/>
    </row>
    <row r="8">
      <c r="A8" s="17"/>
    </row>
    <row r="9">
      <c r="A9" s="18"/>
    </row>
    <row r="10">
      <c r="A10" s="19"/>
    </row>
    <row r="11">
      <c r="A11" s="20"/>
    </row>
    <row r="12">
      <c r="A12" s="21"/>
    </row>
    <row r="13">
      <c r="A13" s="10"/>
    </row>
    <row r="14">
      <c r="A14" s="11"/>
    </row>
    <row r="15">
      <c r="A15" s="12"/>
    </row>
    <row r="16">
      <c r="A16" s="13"/>
    </row>
    <row r="17">
      <c r="A17" s="14"/>
    </row>
    <row r="18">
      <c r="A18" s="15"/>
    </row>
    <row r="19">
      <c r="A19" s="16"/>
    </row>
    <row r="20">
      <c r="A20" s="17"/>
    </row>
    <row r="21">
      <c r="A21" s="18"/>
    </row>
    <row r="22">
      <c r="A22" s="19"/>
    </row>
    <row r="23">
      <c r="A23" s="20"/>
    </row>
    <row r="24">
      <c r="A24" s="21"/>
    </row>
    <row r="25">
      <c r="A25" s="22"/>
    </row>
    <row r="26">
      <c r="A26" s="23"/>
    </row>
    <row r="27">
      <c r="A27" s="24"/>
    </row>
    <row r="28">
      <c r="A28" s="25"/>
    </row>
    <row r="29">
      <c r="A29" s="26"/>
    </row>
    <row r="30">
      <c r="A30" s="27"/>
    </row>
    <row r="31">
      <c r="A31" s="28"/>
    </row>
    <row r="32">
      <c r="A32" s="29"/>
    </row>
    <row r="33">
      <c r="A33" s="30"/>
    </row>
    <row r="34">
      <c r="A34" s="31"/>
    </row>
    <row r="35">
      <c r="A35" s="32"/>
    </row>
    <row r="36">
      <c r="A36"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35" t="s">
        <v>5382</v>
      </c>
    </row>
    <row r="3">
      <c r="A3" s="36" t="s">
        <v>5383</v>
      </c>
    </row>
    <row r="4">
      <c r="A4" s="38" t="s">
        <v>5384</v>
      </c>
    </row>
    <row r="6">
      <c r="A6" s="36" t="s">
        <v>5385</v>
      </c>
      <c r="C6" s="38" t="s">
        <v>5386</v>
      </c>
      <c r="E6" s="36" t="s">
        <v>5387</v>
      </c>
    </row>
    <row r="8">
      <c r="A8" s="36" t="s">
        <v>5388</v>
      </c>
    </row>
    <row r="9">
      <c r="A9" s="39" t="s">
        <v>5389</v>
      </c>
      <c r="B9" s="36" t="s">
        <v>5390</v>
      </c>
    </row>
    <row r="10">
      <c r="A10" s="39" t="s">
        <v>5391</v>
      </c>
      <c r="B10" s="36" t="s">
        <v>5392</v>
      </c>
    </row>
    <row r="11">
      <c r="A11" s="39" t="s">
        <v>5393</v>
      </c>
      <c r="B11" s="36" t="s">
        <v>5394</v>
      </c>
    </row>
    <row r="13">
      <c r="A13" s="36" t="s">
        <v>5395</v>
      </c>
      <c r="B13" s="38" t="s">
        <v>5384</v>
      </c>
    </row>
    <row r="15">
      <c r="A15" s="34" t="s">
        <v>5381</v>
      </c>
    </row>
  </sheetData>
  <sheetProtection algorithmName="SHA-512" hashValue="OUCZJfMjKH8iBgvEazuKNqrOmmF0tZbHBcKTidWT7hLZ2WwvzGNLLAk92EPoNvA/Z0UJWl3Hh3RRhDl/G108hA==" saltValue="ThrnIxtqlORbpP/JBY93iA=="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