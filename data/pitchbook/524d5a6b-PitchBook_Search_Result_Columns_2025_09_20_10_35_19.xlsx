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Disclaimer" sheetId="3" r:id="rId2"/>
  </sheets>
  <calcPr calcId="0"/>
</workbook>
</file>

<file path=xl/sharedStrings.xml><?xml version="1.0" encoding="utf-8"?>
<sst xmlns="http://schemas.openxmlformats.org/spreadsheetml/2006/main" count="2778" uniqueCount="2778">
  <si>
    <t>Downloaded on:</t>
  </si>
  <si>
    <t>Created for:</t>
  </si>
  <si>
    <t>Safa Amirbayat, M&amp;G Investments</t>
  </si>
  <si>
    <t>Search Link:</t>
  </si>
  <si>
    <t>https://my.pitchbook.com/?pcc=1218627-28</t>
  </si>
  <si>
    <t>Search Criteria:</t>
  </si>
  <si>
    <t xml:space="preserve">Biography: Sequoia; Position Level: Board Member; Include Active Positions; </t>
  </si>
  <si>
    <t>Search Result Columns</t>
  </si>
  <si>
    <t>Person ID</t>
  </si>
  <si>
    <t>People</t>
  </si>
  <si>
    <t>Primary Company Website</t>
  </si>
  <si>
    <t>Primary Company Type</t>
  </si>
  <si>
    <t>Last Name</t>
  </si>
  <si>
    <t>First Name</t>
  </si>
  <si>
    <t>Primary Position</t>
  </si>
  <si>
    <t>Primary Company</t>
  </si>
  <si>
    <t>Board Seats</t>
  </si>
  <si>
    <t>Roles</t>
  </si>
  <si>
    <t>Deal Roles</t>
  </si>
  <si>
    <t>Phone</t>
  </si>
  <si>
    <t>Email</t>
  </si>
  <si>
    <t>Location</t>
  </si>
  <si>
    <t>Address Line 1</t>
  </si>
  <si>
    <t>Address Line 2</t>
  </si>
  <si>
    <t>City</t>
  </si>
  <si>
    <t>State/Province</t>
  </si>
  <si>
    <t>Post Code</t>
  </si>
  <si>
    <t>Country/Territory/Region</t>
  </si>
  <si>
    <t>Fax</t>
  </si>
  <si>
    <t>Biography</t>
  </si>
  <si>
    <t>View People Online</t>
  </si>
  <si>
    <t>222084-19P</t>
  </si>
  <si>
    <t>Bogomil Balkansky</t>
  </si>
  <si>
    <t/>
  </si>
  <si>
    <t>Accelerator/Incubator</t>
  </si>
  <si>
    <t>Balkansky</t>
  </si>
  <si>
    <t>Bogomil</t>
  </si>
  <si>
    <t>Founder, President &amp; Board Member</t>
  </si>
  <si>
    <t>Bulgaria Innovation Hub</t>
  </si>
  <si>
    <t>bogomil@bghub.io</t>
  </si>
  <si>
    <t>San Francisco, CA</t>
  </si>
  <si>
    <t>San Francisco</t>
  </si>
  <si>
    <t>California</t>
  </si>
  <si>
    <t>94108</t>
  </si>
  <si>
    <t>United States</t>
  </si>
  <si>
    <t>Mr. Bogomil Balkansky is the Founder and serves as President and Board Member at Bulgaria Innovation Hub. Mr. Balkansky serves as Partner, Seed/Early at Sequoia Capital. He had served as an Executive at Lodash. He serves as a Board Member at Chainguard, Chainguard, Release, Bigeye, and SupportLogic. He serves as Advisor at Platform9. He served as a Board Member at StackRox. He serves as a Board Member at Cortex. He holds an MBA degree in General Management from Stanford GSB (2000) and a BA degree in Mathematics from Cornell University (1995).</t>
  </si>
  <si>
    <t>237822-49P</t>
  </si>
  <si>
    <t>Craig Dixon</t>
  </si>
  <si>
    <t>Dixon</t>
  </si>
  <si>
    <t>Craig</t>
  </si>
  <si>
    <t>Co-Founder &amp; General Partner</t>
  </si>
  <si>
    <t>Accelerating Asia</t>
  </si>
  <si>
    <t>craig@acceleratingasia.com</t>
  </si>
  <si>
    <t>Singapore, Singapore</t>
  </si>
  <si>
    <t>Draper Startup House</t>
  </si>
  <si>
    <t>39 Ann Siang Road</t>
  </si>
  <si>
    <t>Singapore</t>
  </si>
  <si>
    <t>069716</t>
  </si>
  <si>
    <t>Mr. Craig Dixon is the Co-Founder and serves as General Partner at Accelerating Asia. He serves as Board Member at InsightzClub. He has founded several startups, including Zumata, a B2B travel tech company that exited its travel business to Rakuten in 2019. As Co-Founder of Zumata, he raised funding from Wavemaker Partners, The National Research Foundation of Singapore, 500 Durians, and Siemer Ventures. Prior to co-founding Accelerating Asia, he was the Entrepreneur in Residence and Program Manager for the muru-D accelerator in Singapore which included startups that received follow-on investment from investors including Sequoia, Omidyar Network and Delta airlines. With his extensive startup investment experience, including over 75 startup investment rounds, he has oversight of Accelerating Asia's Venture Capital fund which invests in pre-Series A startups. Prior to his startup career, he was a high net-worth wealth manager at global investment firms including Citigroup and Merrill Lynch. He holds an MBA from the University of Maryland/HKUST.</t>
  </si>
  <si>
    <t>286344-10P</t>
  </si>
  <si>
    <t>Ann Canela</t>
  </si>
  <si>
    <t>Acquirer</t>
  </si>
  <si>
    <t>Canela</t>
  </si>
  <si>
    <t>Ann</t>
  </si>
  <si>
    <t>Board Member</t>
  </si>
  <si>
    <t>The Recycling Partnership</t>
  </si>
  <si>
    <t>+1 (877) 514-8774</t>
  </si>
  <si>
    <t>Washington, DC</t>
  </si>
  <si>
    <t>20 F Street North West</t>
  </si>
  <si>
    <t>7th Floor</t>
  </si>
  <si>
    <t>Washington</t>
  </si>
  <si>
    <t>District of Columbia</t>
  </si>
  <si>
    <t>20001</t>
  </si>
  <si>
    <t>Ms. Ann Canela serves as a Board Member at The Recycling Partnership. Previously, she served as Chief Operating Officer at Sequoia Climate Fund. She has done a Bachelor's Degree in English Literature from Hunter College in 1997, a Degree from Boston University in 2015 and an MBA (Master of Business Administration) in Marketing, Business, Entrepreneurship in 2022.</t>
  </si>
  <si>
    <t>341072-92P</t>
  </si>
  <si>
    <t>Cynthia Collins</t>
  </si>
  <si>
    <t>Collins</t>
  </si>
  <si>
    <t>Cynthia</t>
  </si>
  <si>
    <t>Draper</t>
  </si>
  <si>
    <t>+1 (617) 258-1000</t>
  </si>
  <si>
    <t>Cambridge, MA</t>
  </si>
  <si>
    <t>555 Technology Square</t>
  </si>
  <si>
    <t>Cambridge</t>
  </si>
  <si>
    <t>Massachusetts</t>
  </si>
  <si>
    <t>02139-3563</t>
  </si>
  <si>
    <t>+1 (617) 258-1131</t>
  </si>
  <si>
    <t>Ms. Cynthia Collins serves as Board Member at Draper. Ms. Collins has been a Draper Board member since 2021. She is the Principal of Cynthia Collins &amp; Associates. Cindy has extensive experience leading healthcare firms as President and/or Chief Executive Officer (CEO) across more than four decades. She served as President and Chief Executive Officer (CEO) of Editas Medicine, Inc., from February 2019 to February 2021. Previously, Cindy was CEO of Human Longevity Inc.; CEO/General Manager of General Electric's Healthcare Cell Therapy Business, Lab Businesses and Clarient Diagnostics; and CEO of GenVec. Earlier in her career, Cindy served as Group Vice President the Cellular Analysis Business of Beckman Coulter, now Danaher. Before that, she was President and CEO of Sequoia Pharmaceuticals, Inc.; President of Clinical Micro Sensors for Motorola; and President of Oncology and Vice President of Strategy and Portfolio Management of BioScience for Baxter Healthcare. She is currently a member of the boards of Poseida Therapeutics, DermTech, Certara; Panavance Therapeutics, Nutcracker Therapeutics, and Alanis Therapeutics. She received her bachelor's degree in microbiology from the University of Illinois, Urbana, and her MBA from The University of Chicago Booth School of Business.</t>
  </si>
  <si>
    <t>191645-29P</t>
  </si>
  <si>
    <t>Gina Solomon</t>
  </si>
  <si>
    <t>Solomon</t>
  </si>
  <si>
    <t>Gina</t>
  </si>
  <si>
    <t>Co-Founder and Business Strategy &amp; Communications Maven</t>
  </si>
  <si>
    <t>Sequoia Strategic Advisors</t>
  </si>
  <si>
    <t>+1 (781) 237-0829</t>
  </si>
  <si>
    <t>gsolomon@sequoiasa.com</t>
  </si>
  <si>
    <t>Boston, MA</t>
  </si>
  <si>
    <t>177 Huntington Avenue</t>
  </si>
  <si>
    <t>14th Floor</t>
  </si>
  <si>
    <t>Boston</t>
  </si>
  <si>
    <t>02115</t>
  </si>
  <si>
    <t>Ms. Gina Solomon is a Co-Founder and serves as Business Strategy &amp; Communications Maven at Sequoia Strategic Advisors. She is an Angel Investor. She also serves as Board Member at Volos Portfolio Solutions.</t>
  </si>
  <si>
    <t>35773-75P</t>
  </si>
  <si>
    <t>Sashi Reddi Ph.D</t>
  </si>
  <si>
    <t>Reddi</t>
  </si>
  <si>
    <t>Sashi</t>
  </si>
  <si>
    <t>Founder &amp; Chief Executive Officer</t>
  </si>
  <si>
    <t>Boss Wallah</t>
  </si>
  <si>
    <t>+91 (0)80 6941 5400</t>
  </si>
  <si>
    <t>sashi@bosswallah.com</t>
  </si>
  <si>
    <t>Bengaluru, India</t>
  </si>
  <si>
    <t>4th Floor, Brigade Software Park</t>
  </si>
  <si>
    <t>Banashankari 2nd Stage</t>
  </si>
  <si>
    <t>Bengaluru</t>
  </si>
  <si>
    <t>Karnataka</t>
  </si>
  <si>
    <t>560070</t>
  </si>
  <si>
    <t>India</t>
  </si>
  <si>
    <t>Dr. Sashi Reddi is the Founder &amp; serves as Chief Executive Officer at Boss Wallah. Dr. Reddi is the Founder and serves as Managing Partner at SRI Capital. He serves as Board Member at SoftWear Automation. He served as Chairman at ffreedom. He is the founder and serves as a Board Member at IIT Delhi Endowment Fund. He serves as a Board Member at T-Hub. He also serves as Chairman at IndianMoney.com. Notably, he is an Investment Executive at Gabriel Investments, showcasing his success as a technology entrepreneur, business leader, and active angel investor. Among the companies in his portfolio are Glassbeam (specializing in machine log analytics for technology support), ThinCI (a graphics chip design company in stealth mode), Identropy (focused on identity as a service), Edutor (a leading tablet-based e-learning player in India), and iMomentous (a mobile-based talent engagement platform). Before his current roles, he founded and served as the CEO of AppLabs, the world's largest independent software testing company with over 2,500 QA professionals in India, the US, and the UK. AppLabs, funded by Sequoia Capital India, was acquired by CSC in September 2011, resulting in a remarkable 10X return for Series A investors in just 6 years. Following the acquisition, he held the position of VP &amp; GM, Big Data and Analytics at CSC, reporting directly to the CEO. CSC, a $15 billion IT services and consulting company listed on the NYSE, played a crucial role in shaping his career. A serial entrepreneur, he has founded three other companies: EZPower Systems (a web content management pioneer acquired by DocuCorp, eventually part of Oracle), iCoop (a group purchasing dotcom), and FXLabs (a leading Indian game developer acquired by Foundation 9 Entertainment). Actively involved in various advisory roles, he serves on the advisory board of Wharton Entrepreneurship, the board of Ben Franklin Technology Partners, and the board of the Pennsylvania Academy of Fine Arts (PAFA). As a charter member of TiE Philadelphia and TiE Hyderabad, he is deeply engaged in fostering entrepreneurship. Beyond his professional endeavors, he runs a charitable organization, SRI Trust, which supports the educational and overall development needs of 600 children in three schools in India. He has also served as a Board Member at Green India Building Systems &amp; Services and currently serves on the board of ShepHertz Technologies, EdgeTensor, and as an Advisor at Payswiff. Additionally, he serves as a Venture Advisor at WestBridge Capital Partners and has previously been a Board Member at DreamVu. He holds a B.Tech in Computer Science from IIT Delhi, an MS in Computer Science from NYU, and a Ph.D. from The Wharton School, University of Pennsylvania. He served as a Board Member at Glassbeam.</t>
  </si>
  <si>
    <t>190503-28P</t>
  </si>
  <si>
    <t>William Elcock</t>
  </si>
  <si>
    <t>Elcock</t>
  </si>
  <si>
    <t>William</t>
  </si>
  <si>
    <t>Co-Founder &amp; Principal</t>
  </si>
  <si>
    <t>+1 (857) 239-8838</t>
  </si>
  <si>
    <t>belcock@sequoiasa.com</t>
  </si>
  <si>
    <t>Mr. William Elcock is a Co-Founder &amp; serves as Principal at Sequoia Strategic Advisors. Mr. Elcock is an Investor and serves as Board Member at Volos. He is an angel investor. Mr. Elcock also serves as the Co-Founder and Principal at Sequoia Strategic Advisors LLC. Bill joined Batterymarch Financial in 1984 as an assistant portfolio manager and was subsequently named quantitative analyst, portfolio manager and senior portfolio manager. Bill assumed additional senior management responsibilities as Deputy Chief Executive officer in 2001 and became Chief Executive Officer in 2002. He led this global quantitative equity firm, a pioneer in model-driven investing and independently managed subsidiary of Legg Mason, Inc., through a substantial period of growth to a high of $30 Billion in AUM, 120 employees and $120 Million in revenues. Bill received his BA from University of New Hampshire and an MBA from Sawyer Business School at Suffolk University.</t>
  </si>
  <si>
    <t>33450-85P</t>
  </si>
  <si>
    <t>Naresh Malhotra Ph.D</t>
  </si>
  <si>
    <t>Angel (individual)</t>
  </si>
  <si>
    <t>Malhotra</t>
  </si>
  <si>
    <t>Naresh</t>
  </si>
  <si>
    <t>Angel Investor</t>
  </si>
  <si>
    <t>Naresh Malhotra</t>
  </si>
  <si>
    <t>+91 (0)80 4115 7777</t>
  </si>
  <si>
    <t>Bangalore, India</t>
  </si>
  <si>
    <t>1st Floor, Nandi Infotech, Suite 8</t>
  </si>
  <si>
    <t>1st Cross Street, KIADB Sadaramangala, Industrial Area, Mahadevpura</t>
  </si>
  <si>
    <t>Bangalore</t>
  </si>
  <si>
    <t>560048</t>
  </si>
  <si>
    <t>+91 (0)80 4910 3890</t>
  </si>
  <si>
    <t>Dr. Naresh Malhotra founded and serves as Chairman at The Family Doctor. He serves as Board Member at Routematic. His concerns on the gaps in the current healthcare ecosystem lead to the conception of the family doctor. In his new role, Naresh's focus is on mentoring the organization to move to the next orbit of growth and customer reach. Naresh has over 42 years of Finance, Marketing, and Consulting, and General Management experience. A large part of his career was spent in the FMCG, Hospitality &amp; Retail industry where he was instrumental in scaling new businesses across India and in other international markets. Naresh has worked with several large companies such as ICI, Unilever, Colgate Palmolive, UB Group, KPMG, and Cafe Coffee Day. Naresh was the Founder/ Partner of KPMG India. He took Cafe Coffee Day from 18 outlets to over 1200 outlets. Before founding the family doctor, he was an Operating Partner at Sequoia Capital. Naresh is a Chartered Accountant. His passion for promoting entrepreneurs and new talent has led him to be an angel investor in several highly successful companies. Naresh also sits on the Board of several large companies.</t>
  </si>
  <si>
    <t>168066-10P</t>
  </si>
  <si>
    <t>Christopher Young</t>
  </si>
  <si>
    <t>Angel Group</t>
  </si>
  <si>
    <t>Young</t>
  </si>
  <si>
    <t>Christopher</t>
  </si>
  <si>
    <t>Chairman</t>
  </si>
  <si>
    <t>Bluegrass Angels</t>
  </si>
  <si>
    <t>+1 (859) 904-9039</t>
  </si>
  <si>
    <t>Lexington, KY</t>
  </si>
  <si>
    <t>PO Box 114</t>
  </si>
  <si>
    <t>Lexington</t>
  </si>
  <si>
    <t>Kentucky</t>
  </si>
  <si>
    <t>40588</t>
  </si>
  <si>
    <t>Mr. Christopher Young serves as Chairman at Bluegrass Angels. He serves as Advisor &amp; Board Member at PowerTech Water. He serves as Board Member at Hera (Drug Discovery). He has been active as an entrepreneur and investor in technology-related startup companies for over 10 years. He started his career in Atlanta, GA working as a sales engineer for Security First Technologies, an online banking technology company. He then moved to San Francisco to join the startup technology consulting firm, Scient. Shortly after Scient went public, he was a founder of two technology-related startups, raising over $60 million in venture capital from investors such as Sequoia Capital, Freeman Spogli &amp; Co., Capital Research &amp; Management, and Oracle Venture Fund. He returned to Kentucky in 2004 and currently serves as Chairman of the Board of Managers of the Blue Grass Angel Venture Fund II and serves on the boards of Transposagen Biopharmaceuticals, Gun Media Holdings, Frogdice, and Float Money. He received a BS in Electrical and Biomedical Engineering from Duke University.</t>
  </si>
  <si>
    <t>14517-82P</t>
  </si>
  <si>
    <t>Harris Barton</t>
  </si>
  <si>
    <t>Asset Manager</t>
  </si>
  <si>
    <t>Barton</t>
  </si>
  <si>
    <t>Harris</t>
  </si>
  <si>
    <t>Founder &amp; Managing Director</t>
  </si>
  <si>
    <t>H. Barton Asset Management</t>
  </si>
  <si>
    <t>+1 (415) 939-5617</t>
  </si>
  <si>
    <t>harris@bartonam.com</t>
  </si>
  <si>
    <t>135 Main Street</t>
  </si>
  <si>
    <t>Suite 850</t>
  </si>
  <si>
    <t>94105</t>
  </si>
  <si>
    <t>Mr. Harris Barton is the Founder &amp; serves as Managing Director at H. Barton Asset Management. Mr. Barton serves as Partner at Still Capital Partners. He serves as a Board Member at REDF. Previously he was a Managing Director in the Business Development team and is responsible for maintaining and fostering relationships with key clients. He co-founded HRJ Capital in 1999. He became public equity and private equity investor during his football career, most notably with Sequoia Capital in the venture capital arena, beginning with Sequoia Capital VII in the early '90s. The relationships he developed in that process have been instrumental in building the network of top-tier fund managers throughout the financial services industry available to HRJ Capital. Mr. Barton is a graduate of the University of North Carolina, where he received a Bachelor's Degree in Finance.</t>
  </si>
  <si>
    <t>75375-82P</t>
  </si>
  <si>
    <t>Scott Beeton</t>
  </si>
  <si>
    <t>Beeton</t>
  </si>
  <si>
    <t>Scott</t>
  </si>
  <si>
    <t>Chief Executive Officer &amp; Managing Director</t>
  </si>
  <si>
    <t>ARC Funds</t>
  </si>
  <si>
    <t>scott@arcfunds.com.au</t>
  </si>
  <si>
    <t>Melbourne, Australia</t>
  </si>
  <si>
    <t>330 Collins Street</t>
  </si>
  <si>
    <t>Level 7</t>
  </si>
  <si>
    <t>Melbourne</t>
  </si>
  <si>
    <t>Queensland</t>
  </si>
  <si>
    <t>3000</t>
  </si>
  <si>
    <t>Australia</t>
  </si>
  <si>
    <t>Mr. Scott Beeton serves as Chief Executive Officer and Managing Director at ARC Funds. He serves as Board Member and Investment Committee Member at Ausbiz Capital. He served as Chief Executive Officer and Managing Director at Sequoia Financial Group and Chief Executive Officer and Managing Director at MDS Financial Group. Mr. Beeton has over 20 years of management experience in the finance sector, where he has held senior executive roles across inter alia, superannuation, funds management, stockbroking, AFSL dealer services, advice &amp; FinTech. He holds several qualifications, including a Bachelor of Business from Newcastle University and industry-specific qualifications, including a Diploma of Financial Services (Financial Planning).</t>
  </si>
  <si>
    <t>76119-13P</t>
  </si>
  <si>
    <t>Uday Khemka</t>
  </si>
  <si>
    <t>Khemka</t>
  </si>
  <si>
    <t>Uday</t>
  </si>
  <si>
    <t>Vice Chairman</t>
  </si>
  <si>
    <t>SUN Group</t>
  </si>
  <si>
    <t>+91 (0)12 4497 4400</t>
  </si>
  <si>
    <t>ukhemka@sungroup-global.com</t>
  </si>
  <si>
    <t>New Delhi, India</t>
  </si>
  <si>
    <t>New Delhi</t>
  </si>
  <si>
    <t>+91 (0)12 4497 4401</t>
  </si>
  <si>
    <t>Mr. Uday Khemka serves as Vice Chairman at SUN Group. He also serves as a Board Member at Maini Global Aerospace. He has more than 24 years of investment, investment banking, and entrepreneurial experience in varied emerging markets with a particular focus on India and the countries of the former Soviet Union. Before SUN, he worked with Credit Suisse First Boston and Morgan Stanley in London and New York and then established and led Morgan Stanley's investment banking operation in India. He has been deeply involved in the Group's principal investments in the food and beverage, oil and gas, mining, and real estate sectors and is a Director of SUN Gold. He has also led SUN's investment management activities and the creation of focused fund franchises in SUN's core markets, including joint ventures with Apollo Real Estate Advisors (AREA), Sequoia Capital, and others. He is on the Board of Governors of the Indian School Of Business (ISB) in Hyderabad, the Board of The Synergos Institute in New York, and has been elected a Young Global Leader at the World Economic Forum in Davos. Educated at Eton College, he received his undergraduate and Masters degrees at Cambridge University and received an MBA with distinction from Harvard Business School (Baker Scholar).</t>
  </si>
  <si>
    <t>126065-35P</t>
  </si>
  <si>
    <t>J. Mcnamara</t>
  </si>
  <si>
    <t>Commercial Bank</t>
  </si>
  <si>
    <t>Mcnamara</t>
  </si>
  <si>
    <t>J.</t>
  </si>
  <si>
    <t>United Bankshares</t>
  </si>
  <si>
    <t>+1 (800) 327-9862</t>
  </si>
  <si>
    <t>Charleston, WV</t>
  </si>
  <si>
    <t>300 United Center</t>
  </si>
  <si>
    <t>500 Virginia Street, East</t>
  </si>
  <si>
    <t>Charleston</t>
  </si>
  <si>
    <t>West Virginia</t>
  </si>
  <si>
    <t>25301</t>
  </si>
  <si>
    <t>J. PAUL MCNAMARA, 74, is the Chairman of Potomac Capital Advisors and the former President and Chief Operating Officer of Sequoia Bancshares, Inc. Mr. McNamara is a current director and a former Vice Chairman of United Bank. Mr. McNamara has been a director of the Company since 2003. Currently, Mr. McNamara is the Chairman of Potomac Capital Advisors, a privately held real estate investment company. Mr. McNamara has spent over 50 years in the banking industry. Mr. McNamara was the President and Chief Operating Officer of Sequoia Bancshares for 15 years. Prior to Sequoia, Mr. McNamara worked for Manufacturers Hanover Trust Company for three years and the National Bank of Washington for 12 years where he held several senior management positions. Mr. McNamara has gained valuable insight through his banking experience in senior management positions into retail banking, commercial banking, bank operations and systems. Mr. McNamara brings this extensive knowledge of the banking industry to his role as a director of the Company, Chairman of the Governance and Nominating Committee, and as a member of the Executive, Compensation and Risk Committees.</t>
  </si>
  <si>
    <t>69318-19P</t>
  </si>
  <si>
    <t>Mark Grescovich</t>
  </si>
  <si>
    <t>Grescovich</t>
  </si>
  <si>
    <t>Mark</t>
  </si>
  <si>
    <t>President, Chief Executive Officer &amp; Board Member</t>
  </si>
  <si>
    <t>Banner Bank</t>
  </si>
  <si>
    <t>+1 (509) 527-3636</t>
  </si>
  <si>
    <t>mgrescovich@bannerbank.com</t>
  </si>
  <si>
    <t>Walla Walla, WA</t>
  </si>
  <si>
    <t>10 South First Avenue</t>
  </si>
  <si>
    <t>PO Box 907</t>
  </si>
  <si>
    <t>Walla Walla</t>
  </si>
  <si>
    <t>99362</t>
  </si>
  <si>
    <t>Mr. Mark Grescovich serves as President, Chief Executive Officer &amp; Board Member at Banner Bank. He joined the Bank in April 2010 and became Chief Executive Officer in August 2010 following an extensive banking career specializing in finance, credit administration, and risk management. He assumed the role and responsibility for FirstMerit's commercial and regional line of business in 2007, having served since 1994 in various commercial and corporate banking positions, including that of Chief Credit Officer. Before joining FirstMerit, he was a Managing Partner in corporate finance with Sequoia Financial Group, Inc. of Akron, Ohio, and a commercial and corporate lending officer and credit analyst with Society National Bank of Cleveland, Ohio.</t>
  </si>
  <si>
    <t>39610-90P</t>
  </si>
  <si>
    <t>Michael Fitzgerald</t>
  </si>
  <si>
    <t>Fitzgerald</t>
  </si>
  <si>
    <t>Michael</t>
  </si>
  <si>
    <t>+1 (202) 355-1200</t>
  </si>
  <si>
    <t>michael.fitzgerald@bankwithunited.com</t>
  </si>
  <si>
    <t>Mr. Michael P. Fitzgerald, 67, is the former Co-Founder, Chairman, Chief Executive Officer and President of Bank of Georgetown. Mr. Fitzgerald is Vice Chairman and a director of United Bank. Mr. Fitzgerald is the former President of United Bank. Mr. Fitzgerald has been a director of the Company since 2016. Mr. Fitzgerald has over 40 years of experience helping businesses achieve their financial goals through his work in the Washington, D.C. area commercial banking industry. His career prior to Bank of Georgetown included a variety of senior executive roles at some of the region's most prestigious banking institutions. He served as Senior Vice President of Sequoia Bank (and subsequently United Bank post-merger) with responsibilities for all commercial banking operations in Maryland as well as oversight of government contractor banking efforts throughout the region. Mr. Fitzgerald began his banking career with Riggs Bank, where for 15 years he served in several capacities including Corporate Banking, Special Assistant to the Chairman, and President and Chief Executive Officer of The Riggs National Bank of Maryland. He is a former director of the Federal Home Loan Bank of Atlanta.</t>
  </si>
  <si>
    <t>43659-82P</t>
  </si>
  <si>
    <t>Ruzwana Bashir</t>
  </si>
  <si>
    <t>Bashir</t>
  </si>
  <si>
    <t>Ruzwana</t>
  </si>
  <si>
    <t>Social Finance</t>
  </si>
  <si>
    <t>+1 (833) 277-7634</t>
  </si>
  <si>
    <t>rbashir@peek.com</t>
  </si>
  <si>
    <t>234 1st Street</t>
  </si>
  <si>
    <t>Ms. Ruzwana Bashir is a Co-Founder and serves as Chief Executive Officer and Board Member at Peek (Restaurants, Hotels and Leisure). Ms. Bashir serves as Board Member at SoFi. She previously worked at Gilt Groupe, Art.sy, the Blackstone Group and Goldman Sachs. Ruzwana has an MBA from Harvard Business School, where she was a Fulbright Scholar and a BA in Economics from Oxford University, where she was President of the Oxford Union. Ruzwana Bashir is CEO and Founder of Peek.com, building Shopify for experiences. Peek.com combines an award-winning marketplace for consumers with powerful booking/payment tools for businesses (Peek Pro). Peek.com has had over $2 billion in bookings and raised $50 million in funding from investors such as Eric Schmidt and Jack Dorsey. Forbes named the company "America's next travel unicorn". Ruzwana is also an angel investor and Scout for Sequoia Capital, investing in companies such as Clubhouse and Living Carbon. Ruzwana has been named one of Fortune's Most Powerful Women Entrepreneurs, Fast Company's 100 Most Creative People in Business and was a Finalist for E&amp;Y's Entrepreneur of the Year. She is a Young Global Leader for the World Economic Forum and previously worked at Goldman Sachs and Blackstone. She has an MBA from Harvard Business School, where she was a Fulbright Scholar, and a BA from Oxford University where she was President of the Oxford Union.</t>
  </si>
  <si>
    <t>194778-55P</t>
  </si>
  <si>
    <t>Akshat Kshetrapal</t>
  </si>
  <si>
    <t>Corporate Venture Capital</t>
  </si>
  <si>
    <t>Kshetrapal</t>
  </si>
  <si>
    <t>Akshat</t>
  </si>
  <si>
    <t>Investment Director</t>
  </si>
  <si>
    <t>dsm-firmenich Ventures</t>
  </si>
  <si>
    <t>+31 (0)64 791 8420</t>
  </si>
  <si>
    <t>akshat.kshetrapal@dsm-firmenich.com</t>
  </si>
  <si>
    <t>Amsterdam, Netherlands</t>
  </si>
  <si>
    <t>Amsterdam</t>
  </si>
  <si>
    <t>Netherlands</t>
  </si>
  <si>
    <t>Mr. Akshat Kshetrapal serves as Investment Director at dsm-firmenich Ventures. He serves as a Board Member at Phynova. He serves as a Board Member at Octarine Bio. He serves as a Board Member at NutriLeads. He served as a Board Member &amp; Advisor at NC Biomatrix. He served as Director of Health at RockStart. Prior to joining DSM in 2020, he sat on both sides of the table as an entrepreneur and investor. He started his entrepreneurial career by building WTEnergy, India's first carbon-trading platform and advisory services company, after which he embarked on his venture capital career at Sequoia Capital. He has since gained extensive experience investing across the lifecycle of startups, with more than 45 investments totaling over 400 million euros and portfolio management for PGGM Private Equity, Max India, and Rockstart. At dsm-firmenich.com, he is responsible for investments in Europe and Israel in areas related to Nutrition, Health, and Biosciences. An Indian national currently living in Amsterdam, the Netherlands, he holds an MBA from the Indian School of Business and master's degrees from the University of Amsterdam and the Delhi School of Economics.</t>
  </si>
  <si>
    <t>45444-34P</t>
  </si>
  <si>
    <t>James Adler</t>
  </si>
  <si>
    <t>Adler</t>
  </si>
  <si>
    <t>James</t>
  </si>
  <si>
    <t>Founder, General Partner &amp; Investment Board Member</t>
  </si>
  <si>
    <t>Toyota Ventures</t>
  </si>
  <si>
    <t>+1 (650) 269-0575</t>
  </si>
  <si>
    <t>jim@toyota.ventures</t>
  </si>
  <si>
    <t>Los Altos, CA</t>
  </si>
  <si>
    <t>4440 El Camino Real</t>
  </si>
  <si>
    <t>Los Altos</t>
  </si>
  <si>
    <t>94022</t>
  </si>
  <si>
    <t>Mr. James Adler is the Founder and serves as General Partner and Investment Board Member at Toyota Ventures. Mr. Adler served as Board Observer at May Mobility. He joined Toyota Ventures from TRI, serving as data and business development vice president. Before that, he was vice president of products and marketing at Metanautix, a big data analytics startup funded by Sequoia Capital and Workday that Microsoft acquired. Previously, he was the vice president of data systems and chief privacy officer at Intelius, which was acquired by H.I.G. Capital. In addition, he founded VoteHere, a pioneer in cryptographic secure and secret online voting for public elections that Cisco and HP, among others funded. He started his career as a rocket engineer for Lockheed Martin. He has served on the investment committee of JetBlue Ventures and is a member of the board of directors for several Toyota Ventures portfolio companies, including AutoBrains, Intuition Robotics, Moodify, Revel, and SLAMcore. He is also a board observer for Brilliant Planet, Burro, Joby Aviation, Near Space Labs, and Nori. He previously served on the Toyota Financial Savings Bank's board of directors and the Department of Homeland Security Data Privacy and Integrity Advisory Committee. He received his bachelor's degree in electrical engineering with high honors from the University of Florida, and a master's degree in electrical and computer engineering from the University of California, San Diego.</t>
  </si>
  <si>
    <t>180341-74P</t>
  </si>
  <si>
    <t>Jurgen Hornman</t>
  </si>
  <si>
    <t>Hornman</t>
  </si>
  <si>
    <t>Jurgen</t>
  </si>
  <si>
    <t>Partner</t>
  </si>
  <si>
    <t>Shell Ventures</t>
  </si>
  <si>
    <t>+44 (0)20 7934 1234</t>
  </si>
  <si>
    <t>jurgen.hornman@shell.com</t>
  </si>
  <si>
    <t>London, United Kingdom</t>
  </si>
  <si>
    <t>London</t>
  </si>
  <si>
    <t>England</t>
  </si>
  <si>
    <t>SE1 7NA</t>
  </si>
  <si>
    <t>United Kingdom</t>
  </si>
  <si>
    <t>Mr. Jurgen Hornman serves as a Partner at Shell Ventures. He serves as an Advisor and Investment Committee Member at D2 (London). He served as Chief Financial Officer at Ledzworld. He served as Chairman at SteamaCo. He also served as a Board Member at GreenCom Networks. He served as a Board Member at WonderBill. He serves as a Board Member at Corvus Energy. He heads up the investment team in the UK and is responsible for managing and growing the Renewable Power &amp; Heat portfolio within Shell Ventures, currently comprising over 40 direct investments and several fund investments. He has an extensive international background from investment banking in Merrill Lynch and Sequoia in London and has been actively investing in, managing, and advising global Clean Technology companies since 2009. Apart from his Board Director position at Corvus, he is Chair of the Board of SteamaCo Ltd and a member of the Board of Noova Energy AS' holding company, GreenCom Networks AG, and Net2Grid BV. He also chairs the LPAC of the Denham Sustainable Infrastructure Fund in the US and is an LP representative on behalf of Shell Ventures at Energy &amp; Environment Investment Fund IV in Japan and D2 Fund I in the UK.</t>
  </si>
  <si>
    <t>40435-84P</t>
  </si>
  <si>
    <t>Matthew Carbonara</t>
  </si>
  <si>
    <t>Carbonara</t>
  </si>
  <si>
    <t>Matthew</t>
  </si>
  <si>
    <t>Managing Director, Venture Investing</t>
  </si>
  <si>
    <t>Citi Ventures</t>
  </si>
  <si>
    <t>+1 (415) 371-0325</t>
  </si>
  <si>
    <t>matt.carbonara@citigroup.com</t>
  </si>
  <si>
    <t>Palo Alto, CA</t>
  </si>
  <si>
    <t>3101 Park Boulevard</t>
  </si>
  <si>
    <t>Palo Alto</t>
  </si>
  <si>
    <t>94301</t>
  </si>
  <si>
    <t>Mr. Matthew Carbonara serves as Managing Director, Venture Investing at Citi Ventures. He serves as Managing Director &amp; Board Member at Stream.Security. He served as a Senior Director at Cisco Investments. He serves as Board Observer at Flybits. He is an Angel Investor. He is looking to meet entrepreneurs innovating in Enterprise IT, Cybersecurity, Customer Experience, and Marketing. He strives to create win-win scenarios that provide customer engagement and product feedback for high-potential startups while motivating innovation and business transformation for both Citi and its clients. Prior to Citi Ventures, he was at Cisco where he led investments and acquisitions in the areas of enterprise networking, collaboration, and IoT as well as in the country of Israel. He also has investment experience from Comcast Ventures and TeleSoft Partners. Prior to becoming a venture capitalist, he was employee 10 at Terayon Communication Systems, a Sequoia and Lightspeed-backed startup that went public, where he initially architected and designed application-specific integrated circuits (ASICs) before moving into product marketing and product management. He received his B.S. summa cum laude and M.S. in Electrical Engineering from The Ohio State University. Outside of investing he enjoys basketball, golf (one hole-in-one), wake surfing, and coaching his two daughters in sports.</t>
  </si>
  <si>
    <t>69835-33P</t>
  </si>
  <si>
    <t>Christian Tresse</t>
  </si>
  <si>
    <t>Endowment</t>
  </si>
  <si>
    <t>Tresse</t>
  </si>
  <si>
    <t>Christian</t>
  </si>
  <si>
    <t>Board Member and Member of the Finance and Investment Committee</t>
  </si>
  <si>
    <t>California State University San Marcos Foundation</t>
  </si>
  <si>
    <t>+1 (760) 750-4400</t>
  </si>
  <si>
    <t>cft@rchsd.org</t>
  </si>
  <si>
    <t>San Marcos, CA</t>
  </si>
  <si>
    <t>333 South Twin Oaks Valley Road</t>
  </si>
  <si>
    <t>San Marcos</t>
  </si>
  <si>
    <t>92096-0001</t>
  </si>
  <si>
    <t>Mr. Christian Tresse serves as Board Member and Member of the Finance and Investment Committee at California State University San Marcos Foundation. Mr. Tresse joined Bernstein in 2001 as a financial advisor in San Francisco. In 2005, he was made a principal of the firm and relocated to help launch the San Diego office. Advising families, foundations, and pension plans, Mr. Tresse works closely with clients on critical matters involving wealth management, asset allocation, estate planning, and the sale of privately held businesses. Previously, he was a director at Vividence, an Internet consulting firm venture-backed by Kleiner Perkins and Sequoia Capital, where he managed the strategic accounts division. Prior to that, Mr. Tresse managed the San Francisco office for Baseline Financial Services, an equity research firm serving institutional money managers. He serves as a trustee on the foundation board of Rady Children's Hospital, is a member of the Estate Planning Council of San Diego, and is past president of the La Jolla Estate Planning, Trust &amp; Probate Section. He began his career with IBM as a marketing representative in the firm's New York banking office. Mr. Tresse earned a BS from Fairfield University in Connecticut with a major in computer science.</t>
  </si>
  <si>
    <t>14760-19P</t>
  </si>
  <si>
    <t>Daniel Feder JD</t>
  </si>
  <si>
    <t>Feder</t>
  </si>
  <si>
    <t>Daniel</t>
  </si>
  <si>
    <t>Senior Managing Director of Investments</t>
  </si>
  <si>
    <t>University of Michigan Endowment</t>
  </si>
  <si>
    <t>+1 (314) 935-5723</t>
  </si>
  <si>
    <t>dfeder@umich.edu</t>
  </si>
  <si>
    <t>Ann Arbor, MI</t>
  </si>
  <si>
    <t>500 South State Street</t>
  </si>
  <si>
    <t>Ann Arbor</t>
  </si>
  <si>
    <t>Michigan</t>
  </si>
  <si>
    <t>48109</t>
  </si>
  <si>
    <t>Mr. Daniel Feder serves as Senior Managing Director of Investments at the University of Michigan. He also serves as a Member of the Investment Committee at the Community Foundation for Southeast Michigan. Mr. Feder serves as a Member of the Advisory Board at Knightsbridge Advisers. Mr. Feder previously served as Managing Director at Washington University Investment Management Company. Mr. Feder served as Senior Investment Manager of Private Equity and Venture Capital at Covariance Capital Management. Most recently, he was the Managing Director of Private Markets for the Sequoia Capital Heritage Fund where he helped develop an endowment-style (multi-asset class) investment management service sponsored by Sequoia Capital. From 2000 to 2008, he was the Managing Director of private equity and venture capital with the Princeton University Investment Company ("Princo") - the investment office for Princeton University's endowment. At Princo, he led the development of a $4.0 billion global private equity and venture capital portfolio. He also led a wide range of private market investments at CIGNA Investment Management and CalPERS after serving as in-house counsel at CIGNA. He holds a B.A. cum laude in Political Science from the University of Massachusetts, a J.D. cum laude from the Boston University School of Law, and an M.A. in Economics from Trinity College. He is a Fellow of the American College of Investment Counsel and has earned the Chartered Financial Analyst designation.</t>
  </si>
  <si>
    <t>81998-29P</t>
  </si>
  <si>
    <t>Markus Giger</t>
  </si>
  <si>
    <t>Family Office (Multi)</t>
  </si>
  <si>
    <t>Giger</t>
  </si>
  <si>
    <t>Markus</t>
  </si>
  <si>
    <t>Sequoia Treuhand Trust</t>
  </si>
  <si>
    <t>+423 375 8585</t>
  </si>
  <si>
    <t>Ruggell, Liechtenstein</t>
  </si>
  <si>
    <t>Poststrasse 2</t>
  </si>
  <si>
    <t>Ruggell</t>
  </si>
  <si>
    <t>9491</t>
  </si>
  <si>
    <t>Liechtenstein</t>
  </si>
  <si>
    <t>+423 375 8586</t>
  </si>
  <si>
    <t>Mr. Markus Giger serves as Board Member at Sequoia Treuhand Trust.</t>
  </si>
  <si>
    <t>85146-67P</t>
  </si>
  <si>
    <t>Anthony Tether Ph.D</t>
  </si>
  <si>
    <t>Financing Advisory</t>
  </si>
  <si>
    <t>Tether</t>
  </si>
  <si>
    <t>Anthony</t>
  </si>
  <si>
    <t>Senior Managing Director</t>
  </si>
  <si>
    <t>Whitemarsh Capital</t>
  </si>
  <si>
    <t>+1 (703) 909-8207</t>
  </si>
  <si>
    <t>Marlton, NJ</t>
  </si>
  <si>
    <t>795 Route 70 East Suite E</t>
  </si>
  <si>
    <t>Marlton</t>
  </si>
  <si>
    <t>New Jersey</t>
  </si>
  <si>
    <t>08053</t>
  </si>
  <si>
    <t>+1 (856) 596-8200</t>
  </si>
  <si>
    <t>Dr. Anthony Tether serves as a Board Member at Aurora Flight Sciences. He serves as an Advisor at NextWave Ventures. Dr. Tether was the Director of the Defense Advanced Research Projects Agency (DARPA) from 2001 to his retirement in 2009. Dr. Tether serves as a Managing Member and Member of the Executive Committee at Ellington Healthcare Partners. He serves as Senior Managing Director at Whitemarsh Capital. He was the Director of the Defense Advanced Research Projects Agency (DARPA) from 2001 to his retirement in 2009. DARPA is the principal Agency within the Department of Defense for research, development, and demonstration of concepts, devices, and systems that provide highly advanced new technology capabilities. As Director, he was responsible for the management of the Agency's projects for high-payoff, innovative research, and development. Prior to DARPA, Dr. Tether held the position of Chief Executive Officer and President of The Sequoia Group, which he founded in 1996. Previously Dr. Tether served as Chief Executive Officer for Dynamics Technology Inc., the Vice President of Science Applications International Corporation's (SAIC) Advanced Technology Sector, the Vice President and General Manager for Range Systems at SAIC, and the Vice President for Technology and Advanced Development at Ford Aerospace Corp. (acquired by Loral Corporation). In addition, Dr. Tether also held positions in the Department of Defense, serving as Director of DARPA's Strategic Technology Office and as Director of National Intelligence in the Office of the Secretary of Defense. Dr. Tether also served as Executive Vice President of Systems Control Inc. In 2009, Secretary of Defense Robert Gates honored Dr. Tether with the Department of Defense Outstanding Public Service Medal. In 1986, Director Central Intelligence Bill Casey and Secretary of Defense Casper Weinberger honored him with the National Intelligence Medal and the Department of Defense Civilian Meritorious Service Medal respectively. Dr. Tether is a Life Member of the Institute of Electrical and Electronics Engineers (IEEE). He has served on the Army, Navy, and Defense Science Boards, and on the Office of National Drug Control Policy Research and Development Committee.</t>
  </si>
  <si>
    <t>57634-48P</t>
  </si>
  <si>
    <t>Eric Lesieur</t>
  </si>
  <si>
    <t>Lesieur</t>
  </si>
  <si>
    <t>Eric</t>
  </si>
  <si>
    <t>Oloryn Partners</t>
  </si>
  <si>
    <t>+33 (0)1 53 85 92 31</t>
  </si>
  <si>
    <t>elesieur@oloryn.com</t>
  </si>
  <si>
    <t>Paris, France</t>
  </si>
  <si>
    <t>209, rue de l'Universite</t>
  </si>
  <si>
    <t>Paris</t>
  </si>
  <si>
    <t>France</t>
  </si>
  <si>
    <t>Mr. Eric Lesieur serves as a Partner at Oloryn Partners. He is a Co-Founder and serves as Board Member at Sequoia. He served as a Managing Partner at EMCap Partners. He has extensive experience both in Private Equity and in managing retail companies. His Private Equity experience includes being a Principal at Apax Partners in Paris in the Retail Consumer Goods practice from 2000 to 2004. With Apax Partners, he worked on a significant number of potential transactions and played a major role in the execution of the Alain Afflelou investment (one of the French leading optical retailers).</t>
  </si>
  <si>
    <t>65911-60P</t>
  </si>
  <si>
    <t>Benjamin Weyerhaeuser</t>
  </si>
  <si>
    <t>Foundation</t>
  </si>
  <si>
    <t>Weyerhaeuser</t>
  </si>
  <si>
    <t>Benjamin</t>
  </si>
  <si>
    <t>Sequoia Foundation</t>
  </si>
  <si>
    <t>+1 (253) 627-1634</t>
  </si>
  <si>
    <t>Tacoma, WA</t>
  </si>
  <si>
    <t>1250 Pacific Avenue</t>
  </si>
  <si>
    <t>Suite 870</t>
  </si>
  <si>
    <t>Tacoma</t>
  </si>
  <si>
    <t>98402</t>
  </si>
  <si>
    <t>+1 (253) 627-6249</t>
  </si>
  <si>
    <t>Mr. Benjamin Weyerhaeuser serves as Board Member at Sequoia Foundation.</t>
  </si>
  <si>
    <t>65215-27P</t>
  </si>
  <si>
    <t>Brian Boyd</t>
  </si>
  <si>
    <t>Boyd</t>
  </si>
  <si>
    <t>Brian</t>
  </si>
  <si>
    <t>Executive Director and Board Member</t>
  </si>
  <si>
    <t>Forest Foundation</t>
  </si>
  <si>
    <t>bboyd@forestfound.org</t>
  </si>
  <si>
    <t>Mr. Brian Boyd serves as an Executive Director and Board Member at Forest Foundation. Mr. Boyd served as Executive Director at Sequoia Foundation.</t>
  </si>
  <si>
    <t>114218-74P</t>
  </si>
  <si>
    <t>Celia Arroyo</t>
  </si>
  <si>
    <t>Arroyo</t>
  </si>
  <si>
    <t>Celia</t>
  </si>
  <si>
    <t>Central Valley Community Foundation</t>
  </si>
  <si>
    <t>+1 (559) 226-5600</t>
  </si>
  <si>
    <t>Fresno, CA</t>
  </si>
  <si>
    <t>5260 North Palm Avenue</t>
  </si>
  <si>
    <t>Suite 122</t>
  </si>
  <si>
    <t>Fresno</t>
  </si>
  <si>
    <t>93704</t>
  </si>
  <si>
    <t>+1 (559) 230-2078</t>
  </si>
  <si>
    <t>Ms. Celia Arroyo serves as Board Member at Central Valley Community Foundation. Celia Maldonado-Arroyo has a long and distinguished career in education. She is retired from the position of Associate Dean of the Extended Opportunity Programs and Services (EOPS) at College of the Sequoias. Prior to her work at COS, she held positions with Fresno City College and Fresno Unified School District. Celia currently serves as a trustee of the Tulare County Board of Education, and as a charter member of the Tulare County Latino Rotary. Additionally, Celia has served as the State President of the Association of Mexican American Educators, and a board member of Radio Bilingue, the Tulare/Kings Hispanic Chamber of Commerce and United Way of Fresno, among others. Celia earned her Bachelor of Science degree in Office Administration and Master of Arts degree in Counseling and Guidance from California State University, Fresno.</t>
  </si>
  <si>
    <t>39285-01P</t>
  </si>
  <si>
    <t>Gail Weyerhaeuser Ph.D</t>
  </si>
  <si>
    <t>Gail</t>
  </si>
  <si>
    <t>President and Treasurer of the Board</t>
  </si>
  <si>
    <t>gweyerhaeuser@sequoiafound.org</t>
  </si>
  <si>
    <t>Dr. Gail Weyerhaeuser serves as Board Member at Sequoia Foundation. Dr. Weyerhaeuser serves as President and Treasurer of the Board at Forest Foundation. She also serves as Vice Chairwoman and Treasurer of the Board of Directors at Stewardship Foundation. She also serves as President at Forest Foundation.</t>
  </si>
  <si>
    <t>88655-77P</t>
  </si>
  <si>
    <t>Jeffrey Skoll</t>
  </si>
  <si>
    <t>Skoll</t>
  </si>
  <si>
    <t>Jeffrey</t>
  </si>
  <si>
    <t>Founder &amp; Board Chair</t>
  </si>
  <si>
    <t>The Skoll Foundation</t>
  </si>
  <si>
    <t>+1 (650) 331-1031</t>
  </si>
  <si>
    <t>jskoll@skollfoundation.org</t>
  </si>
  <si>
    <t>250 University Avenue</t>
  </si>
  <si>
    <t>Suite 200</t>
  </si>
  <si>
    <t>+1 (650) 331-1033</t>
  </si>
  <si>
    <t>Mr. Jeffrey Skoll is the Founder &amp; serves as Board Chair at The Skoll Foundation. He is also a Co-Founder of Capricorn Investment Group. Mr. Skoll is the Owner of Pacific Sequoia Holdings. Previously, he also served as the Chairman. He is a philanthropist and social entrepreneur, working to bring life to his vision of a sustainable world of peace and prosperity. As the first full-time employee and President of eBay, he developed the company's inaugural business plan and helped lead its successful initial public offering and the creation of the eBay Foundation. Over the last 15 years, he has created an innovative portfolio of philanthropic and commercial enterprises, each a distinctive social catalyst. Together, these organizations galvanize public will and mobilize critical resources to accelerate large-scale social impact. He created the Skoll Foundation in 1999 to pursue his vision of a more peaceful, prosperous, and sustainable world. He holds a Bachelor's degree in Electrical Engineering from the University of Toronto and an MBA from the Stanford Graduate School of Business. He was appointed an Officer of the Order of Canada in 2012. His other recent honors include a career tribute at the Gotham Independent Film Awards (2012) and the John W. Gardner Leadership Award (2012). He is also an Angel Investor.</t>
  </si>
  <si>
    <t>100593-10P</t>
  </si>
  <si>
    <t>Keith Johnson</t>
  </si>
  <si>
    <t>Fund of Funds</t>
  </si>
  <si>
    <t>Johnson</t>
  </si>
  <si>
    <t>Keith</t>
  </si>
  <si>
    <t>Founding Partner &amp; Chief Executive Officer</t>
  </si>
  <si>
    <t>Sequoia Heritage</t>
  </si>
  <si>
    <t>+1 (650) 223-1178</t>
  </si>
  <si>
    <t>keithj@sequoiaheritage.com</t>
  </si>
  <si>
    <t>Menlo Park, CA</t>
  </si>
  <si>
    <t>2800 Sand Hill Road</t>
  </si>
  <si>
    <t>Suite 101</t>
  </si>
  <si>
    <t>Menlo Park</t>
  </si>
  <si>
    <t>94025</t>
  </si>
  <si>
    <t>Mr. Keith Johnson is the Founding Partner and serves as Chief Executive Officer at Sequoia Heritage. He serves as a Board Member at Brookfield Asset Management. Before founding the fund, he was a director at Stanford Management Company, where he managed an $8 billion portfolio of marketable securities and hedge funds. He also serves as Chief Executive Officer &amp; Managing Member at SCHF (GPE). He contributed to the growth of the endowment from $9 billion to over $20 billion at the time of his departure. Before Stanford, he worked at the Toyota North America Pension Plan and as a senior equity research analyst at Bel Air Investment Advisors, a Los Angeles-based high-net-worth wealth advisory firm that managed $5 billion. He received an MBA from the Anderson School at UCLA and a BS in Statistics from Brigham Young University, where he also studied Japanese.</t>
  </si>
  <si>
    <t>302088-43P</t>
  </si>
  <si>
    <t>Anulika Malomo</t>
  </si>
  <si>
    <t>Malomo</t>
  </si>
  <si>
    <t>Anulika</t>
  </si>
  <si>
    <t>Harbourvest Global Private Equity</t>
  </si>
  <si>
    <t>+44 (0)14 8175 0800</t>
  </si>
  <si>
    <t>Saint Peter Port, United Kingdom</t>
  </si>
  <si>
    <t>BNP Paribas House</t>
  </si>
  <si>
    <t>St Julian's Avenue</t>
  </si>
  <si>
    <t>Saint Peter Port</t>
  </si>
  <si>
    <t>Guernsey</t>
  </si>
  <si>
    <t>GY1 1WA</t>
  </si>
  <si>
    <t>+44 (0)15 3473 1795</t>
  </si>
  <si>
    <t>Ms. Anulika Malomo serves as a Board Member at Harbourvest Global Private Equity. She also serves as a Member of the Audit and Risk, Remuneration, Nomination, Management Engagement, and Service Provider Committees. She advises on impact investments across EMEA. She is also an independent non-executive director at Mid Wynd International Investment Trust PLC. She is the Founder of the Sequoia Platform, a leading educational not-for-profit focused on social mobility in the United Kingdom. She is currently a Venture Partner at Sagana Group, Chair of the Board of Governors at the University of East London, a role she has held since November 2019, and a Non-Executive Director at Advantage Creative CIC, an Impact Investment Fund. Before this, she spent 15 years working at several financial services businesses, including the Soros Economic Development Fund, The Carlyle Group, and Goldman Sachs International. In these roles, she gained significant experience in capital raising and investment across a variety of sectors. She has a Master's (MEng) in Medical Engineering from Queen Mary University of London and an MSc in Law and Finance from the University of Oxford.</t>
  </si>
  <si>
    <t>40224-34P</t>
  </si>
  <si>
    <t>Mark Machin</t>
  </si>
  <si>
    <t>Growth/Expansion</t>
  </si>
  <si>
    <t>Machin</t>
  </si>
  <si>
    <t>Co-Founder &amp; Managing Partner</t>
  </si>
  <si>
    <t>Intrepid Growth Partners</t>
  </si>
  <si>
    <t>markm@intrepidgp.com</t>
  </si>
  <si>
    <t>Toronto, Canada</t>
  </si>
  <si>
    <t>Toronto</t>
  </si>
  <si>
    <t>Ontario</t>
  </si>
  <si>
    <t>M5X 1A9</t>
  </si>
  <si>
    <t>Canada</t>
  </si>
  <si>
    <t>Dr. Mark Machin is a Co-Founder &amp; serves as Managing Partner at Intrepid Growth Partners. Dr. Machin previously served as President and Chief Executive Officer at the Canada Pension Plan Investment Board. He also co-founded Opto Investments and served as a Board Member at Serendipity Capital and CVC Capital Partners. Prior to joining CPPIB, he had a 20-year career at Goldman Sachs, where he was most recently Vice Chairman of Asia ex-Japan. He has been based in Asia for more than 20 years where, among other roles, he ran the Investment Banking Division of Goldman Sachs in Asia ex-Japan for six years. He studied undergraduate and graduate medicine and holds a BA in Physiological Sciences from Oriel College, Oxford University, and a BM BChir from Downing College, Cambridge University. He qualified as a medical doctor in 1990. After practicing medicine in the UK, in 1991 he joined Goldman Sachs in London in European Corporate Finance. Before founding Intrepid Growth Partners, Mark co-founded and was the founding CEO of Opto Investments, a software platform that raised a $145M series A and is using software to create a new market for investment advisors to access alternative investments. Mark served on the board of Sequoia Heritage and currently serves on GIC's International Advisory Board, Serendipity Capital, and is the Vice Chair of Opto Investments. He serves as Board Member at Skin Analytics.</t>
  </si>
  <si>
    <t>30349-63P</t>
  </si>
  <si>
    <t>Mickey Arabelovic</t>
  </si>
  <si>
    <t>Arabelovic</t>
  </si>
  <si>
    <t>Mickey</t>
  </si>
  <si>
    <t>Founder</t>
  </si>
  <si>
    <t>Telescope Partners</t>
  </si>
  <si>
    <t>+1 (650) 550-0885</t>
  </si>
  <si>
    <t>arabelovic@telescopepartners.com</t>
  </si>
  <si>
    <t>1 Letterman Drive, Building C</t>
  </si>
  <si>
    <t>Suite CM-500</t>
  </si>
  <si>
    <t>94129</t>
  </si>
  <si>
    <t>Mr. Mickey Arabelovic is the Founder and serves as Managing Member at Telescope Partners. He is a Co-Founder of Fathom. He serves as Board Member at Hotel Engine. He served as Board Member at Topbox (United States). He serves as Board Member at Measured. He is the Founder of Telescope Partners. He served as a Board Member at Brandfolder. Mr. Arabelovic served as Partner at Sequoia Capital. Arabelovic focuses on software and services investments and serves as a Board Member at ZirMed. Prior to joining Sequoia Capital in 2007, he worked at Summit Partners where he was involved in investments in the financial services, consumer products and technology sectors. Earlier, he was an investment banker with Brown Gibbons Lang, where he worked on a variety of M&amp;A, equity and debt transactions in the services sector. He has a BBA in Finance from the University of Michigan. He also serves as Board Member at HireVue and Medtrainer. He serves as Board Member at Fundraise Up.</t>
  </si>
  <si>
    <t>14192-74P</t>
  </si>
  <si>
    <t>Sandeep Singhal MD</t>
  </si>
  <si>
    <t>Singhal</t>
  </si>
  <si>
    <t>Sandeep</t>
  </si>
  <si>
    <t>WestBridge Capital (San Mateo)</t>
  </si>
  <si>
    <t>+91 (0)80 4907 0900</t>
  </si>
  <si>
    <t>sandeep.singhal@westbridgecap.com</t>
  </si>
  <si>
    <t>301-304, 3rd Floor, Campus 31 RMZ Ecoworld</t>
  </si>
  <si>
    <t>Sarjapur-Marathahalli, Outer Ring Road</t>
  </si>
  <si>
    <t>560103</t>
  </si>
  <si>
    <t>+91 (0)80 4907 0901</t>
  </si>
  <si>
    <t>Dr. Sandeep Singhal is a Co-Founder and currently serves as the Managing Partner at WestBridge Capital Partners. He also holds positions as a Board Member at IIT Delhi Endowment Management Foundation, Dealshare, LEAD School, and Fraazo. In the past, he served as a Board Member at DFM Foods Limited, Design Cafe, and Carzonrent India. Prior to these roles, he co-founded Sequoia Capital India and held the position of Managing Director. Additionally, he has served as the Managing Director at WestBridge Capital. Currently, He serves on the boards of Dr. Lal Path Labs Private Limited, Nazara Technologies Private Limited, People Interactive India Private Limited (shaadi.com), and WestBridge Capital India Advisors Pvt Ltd. He has previously served on the boards of Just Dial Private Limited, eClerx Services Ltd, Applabs Technologies Private Limited, Market Rx, Sequoia Capital India Advisors Pvt. Ltd, People Infocom Private Limited, GVK Biosciences Private Limited, What's on Media India Pvt Ltd, Stovekraft Pvt. Ltd, Strand Life Sciences Private Limited, Just Dial Global Pvt Ltd, Celon Laboratories Ltd, Market Rx, and Reametrix. Before his venture into the world of venture capital, he worked at The Boston Consulting Group (BCG), where he provided advisory services to several mid-market Indian companies, assisting them with their product and marketing strategies. Prior to his tenure at BCG, he was employed at Hindustan Lever Limited, where he played a pivotal role in launching eleven products targeting Indian consumer segments, significantly contributing to the company's business. He holds an MBA from IIM Ahmedabad, an MS in molecular simulation from the University of Illinois, and a B. Tech. in Chemical Engineering from IIT Delhi.</t>
  </si>
  <si>
    <t>14192-38P</t>
  </si>
  <si>
    <t>Sumir Chadha</t>
  </si>
  <si>
    <t>Chadha</t>
  </si>
  <si>
    <t>Sumir</t>
  </si>
  <si>
    <t>sumir.chadha@westbridgecap.com</t>
  </si>
  <si>
    <t>Mr. Sumir Chadha is a Co-Founder and serves as Managing Partner at WestBridge Capital Partners. He serves as Board Member at Rapido, LeadSquared, DuploCloud and Goldcast. He serves as a Board Member at Innovaccer. He also served as an Advisor at Paraclete Capital. Before this, he co-founded and was a Managing Director of Sequoia Capital India. He currently serves on the boards of SKS Micro Finance Limited and Vistaar Financial Services Private Limited. He has previously served on the boards of Sequoia Capital India Advisors Pvt.Ltd, Strand Life Sciences Private Limited, AppLabs Technologies Private Limited, Times Internet Limited, People Interactive (India) Pvt. Ltd, Minglebox Communications Pvt Ltd, India Shelter Finance Corporation Ltd, Quick Heal Technologies Pvt Ltd, Star Health Investment Pvt Ltd, Star Health and Allied Insurance Co Ltd, Westbridge Advisors Private Limited, Cotton County Retail Limited, Intercept Technologies Pvt Ltd, Tarang Software Technologies Pvt Ltd, GlobalLogic Inc, Satellier, Guruji.com, Pangea3 Inc, Saffronart Management Corporation, SCIOinspire Holdings, Inc., Astra Business Services Inc, Workadia LLC, Zavata Inc, Celetronix Inc and Emagia Inc. He was earlier a part of the Principal Investment Area at Goldman Sachs &amp; Co., based in New York and Singapore, where he focused on venture capital investments across the USA and India. He began his career as a management consultant at McKinsey &amp; Co., based in New York and New Delhi. He served as the Chairman of the Indian Private Equity and Venture Capital Association (IVCA) from 2010-12 and currently serves on the India Advisory Board of Harvard Business School and on the Advisory Board of the Princeton Institute for International and Regional Studies. He has an MBA (with Distinction) from Harvard University and a BSE degree in Computer Science from Princeton University. He was a Board Member at Workadia. He also served as an Advisory Board Member at Granite Hill Capital Partners. He is representing WestBridge Capital Partner in Biz2Credit. He is a Board Member at Biz2Credit. He also served as Director of Kiwi General Insurance.</t>
  </si>
  <si>
    <t>16441-12P</t>
  </si>
  <si>
    <t>Todd Cozzens</t>
  </si>
  <si>
    <t>Cozzens</t>
  </si>
  <si>
    <t>Todd</t>
  </si>
  <si>
    <t>Co-Founder and Managing Partner</t>
  </si>
  <si>
    <t>Transformation Capital</t>
  </si>
  <si>
    <t>+1 (617) 984-6355</t>
  </si>
  <si>
    <t>todd@transformcap.com</t>
  </si>
  <si>
    <t>699 Boylston Street</t>
  </si>
  <si>
    <t>2nd Floor</t>
  </si>
  <si>
    <t>02116</t>
  </si>
  <si>
    <t>Mr. Todd Cozzens is a Co-Founder and serves as the Managing Partner of Transformation Capital. He serves as Board Member at CodaMetrix, DexCare, Vital, SWORD Health, and Memorial Health. He served as Advisor and Board Member at PatientPing. He was a Board Member of Natera, ZirMed.He served as Board Member at SCIO Health Analytics, PatientPop. He is a Co-Founder and serves as Managing Partner at Leerink Transformation Partners. Before forming LTP in 2016, he co-led healthcare investing at Sequoia Capital. He is a board member of current portfolio partner companies Health Catalyst, Outcome Health, and Kyruus (observer). He is also a board member of StemCentrx. He is a former board member of PerfectServe, MedExpress, and AirStrip. He sits on the executive committee of the InnerCity Scholarship Fund of Boston, as well as the Board of Overseers of Newton Wellesley Hospital. He is a member of the World Economic Forum's Technology Council. He completed a PMD (Professional Masters Degree) from Harvard Business School and a BA (Bachelor of Arts) from Marquette University. He served as Board Member at Memora Health.</t>
  </si>
  <si>
    <t>196578-10P</t>
  </si>
  <si>
    <t>Christopher Rivest</t>
  </si>
  <si>
    <t>Impact Investing</t>
  </si>
  <si>
    <t>Rivest</t>
  </si>
  <si>
    <t>Partner, Breakthrough Energy Ventures</t>
  </si>
  <si>
    <t>Breakthrough Energy</t>
  </si>
  <si>
    <t>+1 (425) 497-4300</t>
  </si>
  <si>
    <t>Kirkland, WA</t>
  </si>
  <si>
    <t>Po Box 563</t>
  </si>
  <si>
    <t>Kirkland</t>
  </si>
  <si>
    <t>98033</t>
  </si>
  <si>
    <t>Mr. Christopher Rivest serves as Board Member at GeologicAI. He serves as a Partner, at Breakthrough Energy Ventures at Breakthrough Energy. He serves as Chairman at Graphite. He serves as a Partner, of Breakthrough Energy Ventures at Breakthrough Energy. He serves as Chairman at ArkeaBio. He serves as a Board Member at Turntide Technologies. He also serves on the Board of Motif FoodWorks and Sustainable Bioproducts. He also serves as a Board Member at Alpine Bio. He has a particular focus on finding climate-tech companies that leverage modern technology mega-trends to accelerate the rate of development and deployment of innovative technologies and business models. He has 15 years of experience across multiple hardware and software technology startups in a wide variety of fields (solar energy, cancer genomics, synthetic biology, digital media). He has founded three companies, served in a multitude of executive roles (CEO, COO, Board Director, VP of Business Development, Head of R&amp;D), and raised more than $70 million in venture capital from top-tier investors such as Sequoia Capital. A lover of "hard tech", he began his entrepreneurial career by founding Alion, a printed thin-film solar company that grew to more than 60 people and raised more than $50 million in venture capital. He then went on to help found Genome Compiler (acquired by Twist Biosciences), a synthetic biology software design platform for designing synthetic organisms. Most recently, he served as CEO of Life Code (acquired by Medgenome), an innovative cancer genomics company. He received his Bachelor of Science from MIT in Mechanical Engineering.</t>
  </si>
  <si>
    <t>394035-58P</t>
  </si>
  <si>
    <t>Trevor Magyar</t>
  </si>
  <si>
    <t>Investment Advisor</t>
  </si>
  <si>
    <t>Magyar</t>
  </si>
  <si>
    <t>Trevor</t>
  </si>
  <si>
    <t>Partner &amp; Member of the Management Committee</t>
  </si>
  <si>
    <t>Ruane, Cunniff &amp; Goldfarb</t>
  </si>
  <si>
    <t>+1 (212) 832-5280</t>
  </si>
  <si>
    <t>trevorm@ruanecunniff.com</t>
  </si>
  <si>
    <t>New York, NY</t>
  </si>
  <si>
    <t>45 Rockefeller Plaza</t>
  </si>
  <si>
    <t>34th Floor</t>
  </si>
  <si>
    <t>New York</t>
  </si>
  <si>
    <t>10111</t>
  </si>
  <si>
    <t>+1 (212) 832-5298</t>
  </si>
  <si>
    <t>Mr. Trevor Magyar serves as a Partner &amp; Member of the Management Committee at Ruane, Cunniff &amp; Goldfarb. He is an analyst on the Sequoia team and sits on the strategy's Investment Committee. In addition, he is a co-Portfolio Manager of our Hyperion Strategy. He began his career as an analyst at Goldman Sachs and an associate at Hellman &amp; Friedman. After business school, he worked as an analyst at Silver Point Capital before joining Ruane Cunniff in 2007. He graduated from Princeton University, Magna Cum Laude, with an AB in Economics and graduated from Harvard Business School with an MBA.</t>
  </si>
  <si>
    <t>326973-97P</t>
  </si>
  <si>
    <t>Brian Salmo JD</t>
  </si>
  <si>
    <t>Investor</t>
  </si>
  <si>
    <t>Salmo</t>
  </si>
  <si>
    <t>Chief Operating Officer</t>
  </si>
  <si>
    <t>Herman Capital Management</t>
  </si>
  <si>
    <t>+1 (314) 863-9200</t>
  </si>
  <si>
    <t>bsalmo@hermcap.com</t>
  </si>
  <si>
    <t>Saint Louis, MO</t>
  </si>
  <si>
    <t>7701 Forsyth Boulevard</t>
  </si>
  <si>
    <t>10th Floor</t>
  </si>
  <si>
    <t>Saint Louis</t>
  </si>
  <si>
    <t>Missouri</t>
  </si>
  <si>
    <t>63105</t>
  </si>
  <si>
    <t>Mr. Brian Salmo serves as Chief Operating Officer at Herman Capital Management. He serves as a Board Member at Sequoia Vaccines. He focuses on sourcing, underwriting, and supporting the organization's direct investments. He serves as a Board Member at Solis Agrosciences. Before joining Hermann, He was an executive at LMI Aerospace, where he held multiple roles, including General Counsel, Vice President of Human Resources, and Business Unit leader overseeing a multi-site profit and loss. He began his career as a corporate attorney at Polsinelli PC, working on mergers and acquisitions, venture capital, and other complex transactions. He serves on the Board of Directors of Great Circle and the Chancellor's Council at the University of Missouri-St. Louis. He earned a BSBA in Finance from the University of Missouri, St. Louis, and a Juris Doctorate from Southern Illinois University.</t>
  </si>
  <si>
    <t>322021-54P</t>
  </si>
  <si>
    <t>Bryant Hayward</t>
  </si>
  <si>
    <t>Hayward</t>
  </si>
  <si>
    <t>Bryant</t>
  </si>
  <si>
    <t>Managing Partner</t>
  </si>
  <si>
    <t>North West Quadrant Ventures</t>
  </si>
  <si>
    <t>Parker, CO</t>
  </si>
  <si>
    <t>50 La Salle</t>
  </si>
  <si>
    <t>Parker</t>
  </si>
  <si>
    <t>Colorado</t>
  </si>
  <si>
    <t>80134</t>
  </si>
  <si>
    <t>Mr. Bryant Hayward serves as Managing Partner at North West Quadrant Ventures. He serves as a Board Member at Delwik Group. He serves as a Board Venture Advisor at the Family Office Association. He has served as Senior Vice President at Morgan Stanley was an LP at Sequoia Capital and worked at 500 Startups.</t>
  </si>
  <si>
    <t>146944-36P</t>
  </si>
  <si>
    <t>Giles Somerville</t>
  </si>
  <si>
    <t>Somerville</t>
  </si>
  <si>
    <t>Giles</t>
  </si>
  <si>
    <t>KG Investments</t>
  </si>
  <si>
    <t>+1 (480) 399-5086</t>
  </si>
  <si>
    <t>giles@kginvest.net</t>
  </si>
  <si>
    <t>Scottsdale, AZ</t>
  </si>
  <si>
    <t>15825 North 71st Street</t>
  </si>
  <si>
    <t>Unit 107</t>
  </si>
  <si>
    <t>Scottsdale</t>
  </si>
  <si>
    <t>Arizona</t>
  </si>
  <si>
    <t>85255</t>
  </si>
  <si>
    <t>Mr. Giles Somerville serves as Partner at KG Investments. He has over 20 years of experience investing in and directing early stage private companies. Mr. Somerville is a Partner at KG Investments a family office that invests primarily in technology companies via direct investments and secondary loans; notable early stage investments include Facebook, JD.com, Alibaba, Flipkart, Lifelock, Linkedin, Lyft, Unicorn Media, NJOY, Dollar Shave Club and many more. Mr. Somerville is also the Managing Partner at Clearview Investment Partners, which raises institutional capital for niche hedge funds and private equity firms and is an affiliate of Bluesand Securities. He also serves as Partner at Astrol Ventures. Formerly Mr. Somerville was Managing Partner &amp; Co-Founder of Milestone Equity Partners - one of the most successful accelerator/venture funds of its vintage year 2001. Milestone built a portfolio of over 40 early stage companies; notable companies include: Plaxo, Limelight Networks, Trust Digital, Secure Software, Olive Software, Airdesk. Notable follow on investors in portfolio companies: Sequoia Capital, Kleiner Perkins Caufield &amp; Byers, Goldman Sachs Partner Fund, Oak Ventures, Palo Alto Ventures, Charles River, Harbinger, Globespan, Cisco, Comcast, DAG amongst others. Mr. Somerville spent the first ten years of his career working with Wall Street firms including Bear Stearns and Paine Webber. Mr. Somerville has extensive public speaking background and has appeared on both FOX News &amp; ABC News multiple times. He splits his time between Scottsdale Arizona and NYC.</t>
  </si>
  <si>
    <t>92319-13P</t>
  </si>
  <si>
    <t>Kanarath Balaraj</t>
  </si>
  <si>
    <t>Balaraj</t>
  </si>
  <si>
    <t>Kanarath</t>
  </si>
  <si>
    <t>KPB Family Trust</t>
  </si>
  <si>
    <t>kp@kpbventures.com</t>
  </si>
  <si>
    <t>Number 304, Embassy Eros, Suite 7</t>
  </si>
  <si>
    <t>Ulsoor Road</t>
  </si>
  <si>
    <t>560042</t>
  </si>
  <si>
    <t>Mr. Kanarath Balaraj is the Founder of KPB Family Trust. Mr. Balaraj serves as Board Member at Aptus Value Housing. He is an Angel Investor. He serves as Executive at Waimea Bay Investments. He was the Co-founder and Managing Director of WestBridge Capital and co-led the firm from inception for almost two decades. He was also the co-founder and Managing Director of Sequoia Capital India from 2006-2010. Before that, he was part of Goldman Sachs where he focused on private equity in Asia. He received his MBA from Harvard Business School and a BSc in Business Management from Brigham Young University, Hawaii, where he graduated as the valedictorian of his class. He completed his schooling at Madras Christian School, Chennai. As an accomplished top-ranked national tennis player, he had represented India at the international level. He currently serves on the advisory board of Harvard University's Mittal South Asia Institute and is an active supporter of non-profit organizations in India focused on underprivileged and orphaned children. He is also an active promoter of Karnataka State Lawn Tennis Association's (KSLTA) Wheelchair Tennis. He was also selected as part of PM Modi's distinguished "Champions of Change", and was honored for his contributions to the growth of venture capital and the startup industry in India.</t>
  </si>
  <si>
    <t>13957-39P</t>
  </si>
  <si>
    <t>Mark Stevens</t>
  </si>
  <si>
    <t>Stevens</t>
  </si>
  <si>
    <t>Founder &amp; Managing Partner</t>
  </si>
  <si>
    <t>S-Cubed Capital</t>
  </si>
  <si>
    <t>+1 (650) 234-8224</t>
  </si>
  <si>
    <t>mark@scubedcap.com</t>
  </si>
  <si>
    <t>2061 Avy Avenue</t>
  </si>
  <si>
    <t>1st Floor</t>
  </si>
  <si>
    <t>Mr. Mark Stevens is the Founder and serves as Managing Partner at S-Cubed Capital. Mr. Stevens serves as Board Member, Member of the Audit Committee, and Member of the Nominating and Governance Committee at Nvidia. He is a Co-Owner of Golden State Warriors. He served as a Board Member at Golden State Warriors. He served as a Board Member at Quantenna Communications. He is an Angel Investor. He served as a Board Member at Innovium. He is a special limited partner and former Managing Partner at Sequoia Capital, a global venture capital firm based in Menlo Park, CA. He joined Sequoia in 1989 as an associate and became a partner in 1993. Before Sequoia, he was employed at Intel Corporation from 1982 to 1987 in a variety of sales positions. He began his career as a member of the technical staff at Hughes Aircraft Company from 1980 to 1982. He earned a B.S. in Electrical Engineering and a B.A. in Economics (both magna cum laude) from the University of Southern California (USC) in 1981, an M.S. in Computer Engineering from USC in 1984, and an MBA from Harvard University in 1989.</t>
  </si>
  <si>
    <t>226303-93P</t>
  </si>
  <si>
    <t>Rick Holton Jr.</t>
  </si>
  <si>
    <t>Holton</t>
  </si>
  <si>
    <t>Rick</t>
  </si>
  <si>
    <t>Herman Capital Management (Former)</t>
  </si>
  <si>
    <t>+1 (314) 216-2051</t>
  </si>
  <si>
    <t>rick@hermcos.com</t>
  </si>
  <si>
    <t>460 North Lindbergh Boulevard</t>
  </si>
  <si>
    <t>63141</t>
  </si>
  <si>
    <t>Mr. Rick Holton served as Chief Operating Officer at Herman Capital Management. He serves as a Board Member at AllWork, Decusoft, and Sequoia Vaccines. He serves as Executive at JAM FINTOP. He served as a Board Member at Bridge Financial Technology. He served as a Board Member at Transactly. He is a founding Partner at FINTOP Capital and COO of Hermann Companies. He serves on the boards of Arch Design, BridgeFT, CoverCress, Decusoft, Denim Social, EmpowerMe, InsurePay, KnowInk, SMArtX, and YPO St. Louis. He also serves as a Board Member at Knowing.</t>
  </si>
  <si>
    <t>125060-14P</t>
  </si>
  <si>
    <t>Dirk Brouwer</t>
  </si>
  <si>
    <t>Lender</t>
  </si>
  <si>
    <t>Brouwer</t>
  </si>
  <si>
    <t>Dirk</t>
  </si>
  <si>
    <t>Chief Executive Officer and Board Member</t>
  </si>
  <si>
    <t>ASA International</t>
  </si>
  <si>
    <t>+31 (0)20 846 3554</t>
  </si>
  <si>
    <t>Amstelplein 1, 1096 HA</t>
  </si>
  <si>
    <t>Rembrandt Tower, 35th floor</t>
  </si>
  <si>
    <t>Mr. Dirk Brouwer is a Co-Founder and served as Chief Executive Officer and Board Member at ASA International. He has since served as the company's Executive Director. He is also the Managing Director of Catalyst Microfinance Investors, which he co-founded in 2006. With over 20 years of experience in investment banking, and 11 in microfinance, he has held several senior and supervisory positions, having acted as a board member of CMI and Founder and Managing Director of Sequoia which he founded in 2002. Prior to this, he spent 14 years working at Merrill Lynch and PaineWebber.</t>
  </si>
  <si>
    <t>379364-32P</t>
  </si>
  <si>
    <t>Joseph Airoso</t>
  </si>
  <si>
    <t>Airoso</t>
  </si>
  <si>
    <t>Joseph</t>
  </si>
  <si>
    <t>AgWest Farm Credit</t>
  </si>
  <si>
    <t>+1 (800) 827-6505</t>
  </si>
  <si>
    <t>Spokane, WA</t>
  </si>
  <si>
    <t>2001 South Flint Road</t>
  </si>
  <si>
    <t>P.O. Box 2515</t>
  </si>
  <si>
    <t>Spokane</t>
  </si>
  <si>
    <t>99224</t>
  </si>
  <si>
    <t>+1 (800) 255-1789</t>
  </si>
  <si>
    <t>Mr. Joseph Airoso serves as Board Member at AgWest Farm Credit. Mr. Airoso owns and operates Airoso Dairy Farms in Pixley and Tulare, California, where he produces dairy (Registered Holstein and Jersey cows), corn, wheat, alfalfa, and pistachios. He is a Board Member of the California Farm Bureau Federation, Tule Land and Water Trust, College of the Sequoias Ag Advisor, Pixley Irrigation GSA, and Land O'Lakes Region 80 Representative. He also serves on the Southern California Gas Community Advisory Committee and the National Dairy Shrine board.</t>
  </si>
  <si>
    <t>13344-31P</t>
  </si>
  <si>
    <t>Vijay Parikh</t>
  </si>
  <si>
    <t>LP Direct Investments</t>
  </si>
  <si>
    <t>Parikh</t>
  </si>
  <si>
    <t>Vijay</t>
  </si>
  <si>
    <t>Global Catalyst Foundation</t>
  </si>
  <si>
    <t>+1 (650) 486-2430</t>
  </si>
  <si>
    <t>vijay_p@global-catalyst.org</t>
  </si>
  <si>
    <t>309 Quinnhill Road</t>
  </si>
  <si>
    <t>94024-4738</t>
  </si>
  <si>
    <t>Mr. Vijay Parikh serves as a Board Member at Global Catalyst Foundation. Mr. Parikh served as Managing Principal at Global Catalyst Partners. He served as a Board Member at KargoCard. He has experience as both a successful start-up CEO and an established company executive. He served as president and CEO of StratumOne Communications, founded in 1997, which Cisco Systems acquired in 1999 for $435 million, Cisco's most expensive acquisition to that date. StratumOne developed framers and layer 2/3 engines for 10G solutions in high-end routing/switching applications and was funded by Sequoia Capital, Brentwood Capital, Institutional Venture Partners, and Redwood Ventures. Following the acquisition, Mr. Parikh served as Cisco's Public Carrier IP Group vice-president and general manager. He was responsible for developing and introducing the 10G solution on the 12416 GSR platform, which drove sales from $400 million in FY 1998 to several billion dollars in FY 2001. Before StratumOne, Mr. Parikh was VP/GM of Conexant's Wireless Communications Division, growing revenue from zero to $180 million in programs comprising all key wireless technologies (GSM, CDMA, TDMA, Spread Spectrum, PHS, DECT, and PDC). He previously held several other VP/GM positions at Conexant, including the Personal Computing Division (programs in software modems, PC audio, and xDSL) and the Global Positioning System Division (multichannel GPS integration with wireless data systems, including those for ARDIS, CDPD, and Mobitex). He also held several management positions at Conexant's Japanese Operations facility. He also holds a BS (Bachelor of Science) in Electrical Engineering from Birla Institue of Technology and an MBA (Master of Business Administration) in Accounting and Finance from the University of Michigan, Ann Arbor.</t>
  </si>
  <si>
    <t>49140-64P</t>
  </si>
  <si>
    <t>Safi Qureshey</t>
  </si>
  <si>
    <t>Merchant Banking Firm</t>
  </si>
  <si>
    <t>Qureshey</t>
  </si>
  <si>
    <t>Safi</t>
  </si>
  <si>
    <t>Member Interlink Executive Management and Global Investment Committee</t>
  </si>
  <si>
    <t>Interlink Group (Los Angeles)</t>
  </si>
  <si>
    <t>+1 (310) 734-1499</t>
  </si>
  <si>
    <t>Los Angeles, CA</t>
  </si>
  <si>
    <t>10940 Wilshire Boulevard</t>
  </si>
  <si>
    <t>16th Floor</t>
  </si>
  <si>
    <t>Los Angeles</t>
  </si>
  <si>
    <t>90024</t>
  </si>
  <si>
    <t>+1 (310) 443-4220</t>
  </si>
  <si>
    <t>Mr. Safi Qureshey serves as Member Interlink Executive Management and Global Investment Committee at Interlink Group (Los Angeles). He served as Advisor at iSnap. He also serves as Executive Management and Global Investment Committee at Interlink Group. He is co-founder and former Chairman and CEO of AST Research, Inc., which he founded in his garage and took public in 1984. AST Research had over 6,000 employees and sales of over $2.5 billion as a Fortune 500 company and ranked as the 4th largest PC manufacturer in the world before it was acquired by Samsung Electronics in 1997. With over 30 years investment experience, as a private investor where he was a founding investor, together with Kleiner Perkins, Sequoia Capital, Trinity Ventures, and St. Paul Venture Capital, in several companies. Former member of President Clinton's Export Council. Former Regent's professor at the University of California-Irvine and founding member and former president of the Southern California chapter of TIE (The Indus Entrepreneurs). He was named by California Governor Arnold Schwarzenegger to his transition team. An active philanthropist in education and a member of the board of trustees of the Give2Asia Foundation. Mr. Qureshey is a sought after Thought leader on technology and entrepreneurship by governments worldwide.</t>
  </si>
  <si>
    <t>234924-22P</t>
  </si>
  <si>
    <t>Henri Cournand</t>
  </si>
  <si>
    <t>Other Consultant Type</t>
  </si>
  <si>
    <t>Cournand</t>
  </si>
  <si>
    <t>Henri</t>
  </si>
  <si>
    <t>Chief Transformation Officer</t>
  </si>
  <si>
    <t>Sequoia Benefits &amp; Insurance Services</t>
  </si>
  <si>
    <t>+1 (650) 369-0200</t>
  </si>
  <si>
    <t>henri.cournand@sequoia.com</t>
  </si>
  <si>
    <t>San Mateo, CA</t>
  </si>
  <si>
    <t>1850 Gateway Drive</t>
  </si>
  <si>
    <t>Suite 700</t>
  </si>
  <si>
    <t>San Mateo</t>
  </si>
  <si>
    <t>94404</t>
  </si>
  <si>
    <t>Mr. Henri Cournand serves as Chief Transformation Officer at Sequoia Benefits &amp; Insurance Services. Mr. Henri Cournand serves as Chief Financial Officer at SemperVirens Venture Capital. He also serves as Board Member at TriWest Healthcare Alliance. He served as Chief Financial Officer &amp; Senior Vice President at Blue Cross Blue Shield of Kansas City. He leads strategic initiatives to drive innovation, enhance operational efficiency, and foster organizational growth. He is responsible for spearheading transformative projects and aligning cross-functional teams to achieve Sequoia's long-term vision.</t>
  </si>
  <si>
    <t>149836-42P</t>
  </si>
  <si>
    <t>Andrew Blazenko</t>
  </si>
  <si>
    <t>PE/Buyout</t>
  </si>
  <si>
    <t>Blazenko</t>
  </si>
  <si>
    <t>Andrew</t>
  </si>
  <si>
    <t>Co-Founder &amp; Board Member</t>
  </si>
  <si>
    <t>Eterna Equity</t>
  </si>
  <si>
    <t>+1 (604) 992-0222</t>
  </si>
  <si>
    <t>andrew@eternaequity.com</t>
  </si>
  <si>
    <t>Vancouver, Canada</t>
  </si>
  <si>
    <t>730 Alexander Street</t>
  </si>
  <si>
    <t>Vancouver</t>
  </si>
  <si>
    <t>British Columbia</t>
  </si>
  <si>
    <t>V6A 1E3</t>
  </si>
  <si>
    <t>Mr. Andrew Blazenko is a Co-Founder and serves as Board Member at Eterna Equity. He served as Partner at Sequoia Mergers &amp; Acquisitions. He has dedicated his career to mergers and acquisitions, starting in 2009 with roles in small business valuation and corporate finance at a public company. In 2013, he transitioned to sell-side advisory, specializing in businesses valued between $5 million and $300 million. During this time, he became a partner in the firm, honing his expertise in identifying what makes businesses attractive to buyers. In 2017, while continuing his M&amp;A advisory work, he began acquiring businesses on the side, targeting high-margin, niche opportunities. His investments include a property services company, a mechanical engineering firm, and a first-aid training school. These acquisitions, combined with his extensive advisory experience, led to the founding of Eterna Equity with Michael and Josh. Today, he focuses on acquiring and growing enduring, profitable businesses. He holds a degree from the Beedie School of Business at Simon Fraser University and is both a Chartered Financial Analyst (CFA) and a Chartered Business Valuator (CBV).</t>
  </si>
  <si>
    <t>415455-04P</t>
  </si>
  <si>
    <t>Anish Jain</t>
  </si>
  <si>
    <t>Jain</t>
  </si>
  <si>
    <t>Anish</t>
  </si>
  <si>
    <t>Chief Executive Officer</t>
  </si>
  <si>
    <t>Equitane</t>
  </si>
  <si>
    <t>anish.jain@equitane.com</t>
  </si>
  <si>
    <t>Noida, India</t>
  </si>
  <si>
    <t>Alt-F Coworking, 1st Floor</t>
  </si>
  <si>
    <t>Sector 142</t>
  </si>
  <si>
    <t>Noida</t>
  </si>
  <si>
    <t>201304</t>
  </si>
  <si>
    <t>Mr. Anish Jain serves as Chief Executive Officer at Equitane. He serves as Board Member at Sequoia Plantation. He has 20 years of experience. He earned his degree in Bachelor of Arts in Economics and Accounts and completed Master of Business Administration.</t>
  </si>
  <si>
    <t>264452-59P</t>
  </si>
  <si>
    <t>Anjana Sasidharan</t>
  </si>
  <si>
    <t>Sasidharan</t>
  </si>
  <si>
    <t>Anjana</t>
  </si>
  <si>
    <t>L Catterton</t>
  </si>
  <si>
    <t>+1 (203) 629-4901</t>
  </si>
  <si>
    <t>anjana.sasidharan@lcatterton.com</t>
  </si>
  <si>
    <t>Greenwich, CT</t>
  </si>
  <si>
    <t>Greenwich Office Park</t>
  </si>
  <si>
    <t>599 West Putnam Avenue</t>
  </si>
  <si>
    <t>Greenwich</t>
  </si>
  <si>
    <t>Connecticut</t>
  </si>
  <si>
    <t>06830</t>
  </si>
  <si>
    <t>+1 (203) 629-4903</t>
  </si>
  <si>
    <t>Ms. Anjana Sasidharan serves as Partner at L Catterton. She serves as Partner at L Catterton Asia. She serves as Board Member at Curatio Healthcare. She serves as Board Member at Fab Bag. She serves as Board Member at Zenyum. She joins L Catterton after nearly a decade at Sequoia Capital, where she led numerous marquee transactions for the firm. She brings deep expertise in investing in early-stage, fast-growing, and disruptive companies across a number of consumer categories, with particular experience in the healthcare space. Ms. Sasidharan began her career at McKinsey &amp; Company in India. She received an MBA from IIM Ahmedabad and a bachelor's degree in engineering from the National Institute of Technology in Trichy.</t>
  </si>
  <si>
    <t>13051-36P</t>
  </si>
  <si>
    <t>Christopher Brady</t>
  </si>
  <si>
    <t>Brady</t>
  </si>
  <si>
    <t>Co-Founder &amp; Partner</t>
  </si>
  <si>
    <t>Chart National</t>
  </si>
  <si>
    <t>+1 (212) 350-8200</t>
  </si>
  <si>
    <t>cbrady@chartnational.com</t>
  </si>
  <si>
    <t>20th Floor</t>
  </si>
  <si>
    <t>Mr. Christopher Brady is a Co-Founder &amp; serves as Partner at Chart National. He served as Director at Genesis Today. He serves as Board Member at Sequoia Holdings (Herndon). He served as Chairman at Chart Capital Partners. He was also a Board Member at IntegriCo Composites, Sequoia Holdings (software and cloud engineering services). He was also a Co-Founder and served as Managing Partner at Chart Venture Partners. He served as a Board Member at PacStar. He founded The Chart Group in 1994. With over 25 years of experience in private equity, corporate finance, and capital markets, Chris focuses on identifying and building portfolio companies through his extensive industry relationships and perspective. Prior to Chart, Chris spent fourteen years in the Corporate Finance and Capital Markets Departments of Lehman Brothers and Dillon Read. He earned his B.A. from Middlebury College and his M.B.A. from Columbia University Graduate School of Business. He has been actively involved in channeling the resources of the business community to assist with DoD-related initiatives. Over the last several years, he has organized a venture capital team with an affiliate of the US Army to commercialize their technologies and bring better commercial technologies to the warfighter; assumed a prominent leadership role with Wounded Warriors/DSUSA, a foundation dedicated to working with injured soldiers; and served as a member of the Transition Team for the US Army Secretary Dr. Francis Harvey. He has served in senior management positions in numerous New Jersey political campaigns.</t>
  </si>
  <si>
    <t>15440-68P</t>
  </si>
  <si>
    <t>Craig Stern</t>
  </si>
  <si>
    <t>Stern</t>
  </si>
  <si>
    <t>General Partner</t>
  </si>
  <si>
    <t>Riverside Partners</t>
  </si>
  <si>
    <t>+1 (617) 351-2800</t>
  </si>
  <si>
    <t>cstern@riversidepartners.com</t>
  </si>
  <si>
    <t>+1 (617) 351-2801</t>
  </si>
  <si>
    <t>Mr. Craig Stern serves as General Partner at Riverside Partners. He serves as Board Member at Syner-G BioPharma Group. He serves as Board Member at Sequoia Consulting Group. Prior to joining Riverside, he was Vice President, Corporate Development at Nextag, a technology and e-commerce company, where he was responsible for acquisitions. Before joining Nextag, he was a Vice President at Providence Equity Partners, where he focused on investments in the digital media and online areas. Prior to Providence Equity, he was an investment professional at General Atlantic Partners, where he focused on investments in enterprise software, professional services, and digital media. Before General Atlantic, he worked in the telecommunications group within the investment banking division of Morgan Stanley.</t>
  </si>
  <si>
    <t>14155-21P</t>
  </si>
  <si>
    <t>Guhan Swaminathan</t>
  </si>
  <si>
    <t>Swaminathan</t>
  </si>
  <si>
    <t>Guhan</t>
  </si>
  <si>
    <t>Co-Founder &amp; Managing Director</t>
  </si>
  <si>
    <t>Virgo Capital</t>
  </si>
  <si>
    <t>+1 (512) 692-9857</t>
  </si>
  <si>
    <t>guhan@virgocapital.com</t>
  </si>
  <si>
    <t>Austin, TX</t>
  </si>
  <si>
    <t>3112 Windsor Road</t>
  </si>
  <si>
    <t>Suite 400</t>
  </si>
  <si>
    <t>Austin</t>
  </si>
  <si>
    <t>Texas</t>
  </si>
  <si>
    <t>78703</t>
  </si>
  <si>
    <t>Mr. Guhan Swaminathan is a Co-Founder &amp; serves as Managing Director at Virgo Capital. Mr. Swaminathan also serves as the Managing Director at Sayers Group. He served as a Board Member at Kovair Software. He served as Board Member at Korbyt. He is involved with all aspects of the Firm's investments and leads deal screening and evaluation. Prior to establishing Virgo Capital, Guhan was a Principal at WestBridge Capital Partners (now Sequoia Capital India), a leading private equity fund dedicated to US-India investments. As one of the initial members of the WestBridge team, Guhan led five investments in the outsourced services and technology industries, including in AppLabs, which was acquired by CSC. Previously, Guhan worked in the New York and Tokyo offices of Goldman Sachs and focused on various types of transactions including private equity investments, asset securitizations, and balance sheet optimizations.</t>
  </si>
  <si>
    <t>44364-61P</t>
  </si>
  <si>
    <t>Matthew Mazzeo</t>
  </si>
  <si>
    <t>Mazzeo</t>
  </si>
  <si>
    <t>Coatue Management (Former)</t>
  </si>
  <si>
    <t>+1 (323) 782-9800</t>
  </si>
  <si>
    <t>6420 Wilshire Boulevard</t>
  </si>
  <si>
    <t>Suite 1800</t>
  </si>
  <si>
    <t>90048</t>
  </si>
  <si>
    <t>+1 (323) 782-1448</t>
  </si>
  <si>
    <t>Mr. Matthew Mazzeo served as General Partner at Coatue Management. He serves as Board Member at Ranker. He served as Board Member at Waggle. He served as Managing Director at Lowercase Capital. Known in both the media and technology worlds as an accomplished advisor and incubator of talent and ideas, Matt is Managing Director at Lowercase Capital leading a seed and series A investment strategy into consumer web, mobile, and wireless technology start-ups. Focused on helping entrepreneurs build early-stage technology companies, Matt manages a portfolio of over forty investments at the forefront of technology and media including Uber, Twitter, Stripe, Optimizely, Artillery Games, StyleSeat, Mark43, Makespace, and VHX. Prior to joining Lowercase Capital, Matt spearheaded many of his digital and venture efforts at Creative Artists Agency (CAA), the world's leading entertainment and sports agency. Matt helped shape the agency's seed stage investment strategy and played an integral role in the founding of CAA's incubated start-up companies, including Funny or Die, WhoSay, and Moonshark. Along the way, Matt recruited top talent, built out operating models, and helped raise capital from top institutional partners including Greylock Partners, Sequoia Capital, Amazon, Qualcomm, Comcast Ventures, and Tencent. Beyond his work in Hollywood, Matt established much of CAA's presence in Silicon Valley, integrating technology into entertainment, and helping talent navigate the world of entrepreneurship. In the course of that work, Matt became a trusted voice on the evolution of digital media and helped sign and represent many of the world's largest technology brands including Google, Cisco, Tencent, and Amazon. Throughout his career, Matt has represented and advised top talent in television, film, fashion, music, and sports on their content deals in digital, social media, and mobile distribution. As part of these efforts, he has helped broker millions of dollars in financing for original content with major digital platforms including YouTube, Netflix, Hulu, and Yahoo! In addition, for his clients like Phil Defranco, Michelle Phan, and Kevin Wu, he helped extend their massive YouTube platforms into television, publishing, licensing, and endorsement deals. With a unique and diverse background placing him at the juncture of several industries, Matt has been recognized as an innovative force across technology, entertainment, and advertising for which Fast Company named Matt one of the Most Creative People in Business. In addition to making Forbes Midas Brink List in 2014, Matt has been recognized on both Ad Age's 40 Under 40 List in 2013, and The Wrap's Inaugural Innovators List. In 2013, Fast Company featured Matt as one of the "Rebels Saving Hollywood" and he is a powerful voice on the future of technology and media. Matt is a fixture at tech, media, and advertising events and regularly speaks at industry-leading conferences including SXSW, TechCrunch Disrupt, Ad Age Digital Conference, Vidcon, and many others. Matt received his bachelor's degree from Harvard University in 2005.</t>
  </si>
  <si>
    <t>12653-74P</t>
  </si>
  <si>
    <t>Scott Carter</t>
  </si>
  <si>
    <t>Carter</t>
  </si>
  <si>
    <t>Operating Partner &amp; Board Member</t>
  </si>
  <si>
    <t>Crux Capital (Dallas)</t>
  </si>
  <si>
    <t>+1 (469) 389-1244</t>
  </si>
  <si>
    <t>Dallas, TX</t>
  </si>
  <si>
    <t>3838 Oak Lawn Avenue</t>
  </si>
  <si>
    <t>Suite 1500</t>
  </si>
  <si>
    <t>Dallas</t>
  </si>
  <si>
    <t>75219</t>
  </si>
  <si>
    <t>Mr. Scott Carter serves as an Operating Partner &amp; Board Member at Crux Capital (Dallas). He brings extensive experience in venture capital, private equity, and entrepreneurship. For ten years, he was a General Partner at legendary venture capital firm Sequoia Capital in Silicon Valley where he helped launch and co-lead Sequoia's late-stage venture funds. Before Sequoia Capital, he was a Vice President at Summit Partners, where he specialized in financial services and technology sectors. Earlier in his career, he was an associate in the investment banking division of JP Morgan and served in various staff positions for a United States Senator. He is a private investor and mentor. Since 2023, he has also taught undergraduate finance courses at Vanderbilt University. His diverse background and strategic insight help Uncommon Brands' CEO execute successful investments, build infrastructure, and accelerate growth at emerging brands. He received an MBA from the University of Virginia's Darden School of Business. He also received a Bachelor's Degree in Political Science from Texas A&amp;M University.</t>
  </si>
  <si>
    <t>201037-06P</t>
  </si>
  <si>
    <t>Adam Rand</t>
  </si>
  <si>
    <t>Private Company</t>
  </si>
  <si>
    <t>Rand</t>
  </si>
  <si>
    <t>Adam</t>
  </si>
  <si>
    <t>Co-Founder, Chief Operating Officer &amp; Board Member</t>
  </si>
  <si>
    <t>Sequoia Holdings (Herndon)</t>
  </si>
  <si>
    <t>+1 (703) 645-0002</t>
  </si>
  <si>
    <t>arand@sequoiainc.com</t>
  </si>
  <si>
    <t>Herndon, VA</t>
  </si>
  <si>
    <t>13241 Woodland Park Road</t>
  </si>
  <si>
    <t>Suite 230</t>
  </si>
  <si>
    <t>Herndon</t>
  </si>
  <si>
    <t>Virginia</t>
  </si>
  <si>
    <t>20171</t>
  </si>
  <si>
    <t>Mr. Adam Rand is a Co-Founder and serves as Chief Operating Officer and Board Member at Sequoia Holdings. Mr. Rand business leader and database engineer with over 20 years of experience in the national security sector. He leverages strong communication and people skills to both lead day-to-day administration and operations and also drives new growth.</t>
  </si>
  <si>
    <t>69448-06P</t>
  </si>
  <si>
    <t>Anandamoy Roychowdhary</t>
  </si>
  <si>
    <t>Roychowdhary</t>
  </si>
  <si>
    <t>Anandamoy</t>
  </si>
  <si>
    <t>Board Member &amp; Investor</t>
  </si>
  <si>
    <t>ChistaDATA</t>
  </si>
  <si>
    <t>anandamoy@peakxv.com</t>
  </si>
  <si>
    <t>Newark, DE</t>
  </si>
  <si>
    <t>256 Chapman Road, New Castle</t>
  </si>
  <si>
    <t>Suite 105-4</t>
  </si>
  <si>
    <t>Newark</t>
  </si>
  <si>
    <t>Delaware</t>
  </si>
  <si>
    <t>19702</t>
  </si>
  <si>
    <t>+1 (209) 314-2364</t>
  </si>
  <si>
    <t>Mr. Anandamoy Roychowdhary served as a Partner, Surge at Peak XV Partners. He serves as a Board Member &amp; Investor at ChistaDATA. He serves as a Board Member at Qure.ai. He serves as an Advisor at Canary Mail. He serves as an Investment Advisor at Soji. He served as a Technical Advisor at Druva. His role is to advise current startups on their technology issues. Before joining Sequoia Capital, Roy was the head of product development for Zcloud Engineering at Zynga, where he ran a global team of engineers and product management to develop the backend technologies that powered Zynga's private cloud. He also worked at several technology startups in the valley and Boston in the areas of Security and Storage. Roy has a bachelor of engineering degree in Computer Science from the Pune Institute of Computer Technology. Mr. Roychowdhary serves as a Board Member &amp; Investor at ChistaDATA. He served as a Board Member at Mad Street Den.</t>
  </si>
  <si>
    <t>187684-75P</t>
  </si>
  <si>
    <t>Andrew Phillips</t>
  </si>
  <si>
    <t>Phillips</t>
  </si>
  <si>
    <t>Chief Financial Officer, Company Secretary &amp; Board Member</t>
  </si>
  <si>
    <t>Lithium Power International</t>
  </si>
  <si>
    <t>+61 (0)2 9089 8723</t>
  </si>
  <si>
    <t>phillips@lithiumpowerinternational.com</t>
  </si>
  <si>
    <t>Sydney, Australia</t>
  </si>
  <si>
    <t>Kyle House, Level 10</t>
  </si>
  <si>
    <t>27-31 Macquarie Place</t>
  </si>
  <si>
    <t>Sydney</t>
  </si>
  <si>
    <t>New South Wales</t>
  </si>
  <si>
    <t>2000</t>
  </si>
  <si>
    <t>Mr. Andrew Phillips serves as Chief Financial Officer, Company Secretary &amp; Board Member at Lithium Power International. Over 25 years of commercial, financial, and corporate governance experience internationally. He previously held senior management and board positions in several public and multinational companies including Aristocrat, Allianz, Hoya Lens, and Sequoia Financial Group, and has additional board experience in the small-cap resources sector. He is also the CFO and Company Secretary of LPI.</t>
  </si>
  <si>
    <t>188069-05P</t>
  </si>
  <si>
    <t>Andy Asava</t>
  </si>
  <si>
    <t>Asava</t>
  </si>
  <si>
    <t>Andy</t>
  </si>
  <si>
    <t>Chief Executive Officer &amp; Board Member</t>
  </si>
  <si>
    <t>SpinSci Technologies</t>
  </si>
  <si>
    <t>+1 (972) 891-8656</t>
  </si>
  <si>
    <t>andy.a@spinsci.com</t>
  </si>
  <si>
    <t>14850 Quorum Drive</t>
  </si>
  <si>
    <t>Suite 150</t>
  </si>
  <si>
    <t>75254</t>
  </si>
  <si>
    <t>Mr. Andy Asava serves as Chief Executive Officer and Board Member at SpinSci Technologies. Previously, he served as Chief Strategy Officer at the company. He served as Executive Vice President Global Networks at InfoVista. Over the past 30 years, he has directed global strategic initiatives across the globe, playing a leadership role at a wide range of companies throughout the telecommunications space, from start-ups to major global enterprises. Before Joining InfoVista in 2017, he drove enterprise sales growth at GENBAND as the Senior Vice President of Enterprise Sales. Prior to this, he was the Vice President of Worldwide Sales and Business Development at Sipera Systems, a Sequoia-backed Unified Communication Security company, which was acquired by Avaya.</t>
  </si>
  <si>
    <t>239326-93P</t>
  </si>
  <si>
    <t>Antonius Kufferath</t>
  </si>
  <si>
    <t>Kufferath</t>
  </si>
  <si>
    <t>Antonius</t>
  </si>
  <si>
    <t>VitalConnect</t>
  </si>
  <si>
    <t>+1 (800) 219-3000</t>
  </si>
  <si>
    <t>antoniusk@ruanecunniff.com</t>
  </si>
  <si>
    <t>San Jose, CA</t>
  </si>
  <si>
    <t>2870 Zanker Road</t>
  </si>
  <si>
    <t>Suite 100</t>
  </si>
  <si>
    <t>San Jose</t>
  </si>
  <si>
    <t>95134</t>
  </si>
  <si>
    <t>Mr. Antonius Kufferath serves as Board Member at VitalConnect. Antonius is a partner in Acacia, an investment partnership that invests in private and public equities worldwide. He is also a member of the investment team at Ruane, Cunniff &amp; Goldfarb, the New York-based investment firm known for managing the Sequoia mutual fund. Mr. Kufferath joined Acacia and Ruane, Cunniff in 2014 and focuses on investing in industrial and technology companies in Europe and the Americas. Earlier in his career, Mr. Kufferath worked in strategy &amp; business development for a public US industrial company, and as a consultant for a leading strategy consulting firm. Mr. Kufferath received an M.Phil. with distinction in Modern Chinese Studies from Oxford University. He also received a B.S.F.S. magna cum laude, Phi Beta Kappa, in International Relations from Georgetown University. A native German speaker, he is also fluent in Portuguese and French. He has been published in the Financial Times and the Frankfurter Allgemeine Zeitung.</t>
  </si>
  <si>
    <t>349389-73P</t>
  </si>
  <si>
    <t>Arman Gokgol-Kline</t>
  </si>
  <si>
    <t>Gokgol-Kline</t>
  </si>
  <si>
    <t>Arman</t>
  </si>
  <si>
    <t>The Vale Fox Distillery</t>
  </si>
  <si>
    <t>+1 (845) 210-9150</t>
  </si>
  <si>
    <t>agokgolkline@thevalefox.com</t>
  </si>
  <si>
    <t>Poughkeepsie, NY</t>
  </si>
  <si>
    <t>619 Noxon Road</t>
  </si>
  <si>
    <t>Poughkeepsie</t>
  </si>
  <si>
    <t>12603</t>
  </si>
  <si>
    <t>Mr. Arman Gokgol-Kline is the Founder of The Vale Fox Distillery. Mr. Gokgol-Kline serves as Partner &amp; Member of the Management Committee at Ruane, Cunniff &amp; Goldfarb. He is an analyst on the Sequoia team and sits on the strategy's Investment Committee. He joined Ruane Cunniff in December 2002, after spending two years at Merrill Lynch as an analyst in Alternative Investments and later Global Equity Research. He graduated from Colby College with a BA in Economics and Biology.</t>
  </si>
  <si>
    <t>65588-95P</t>
  </si>
  <si>
    <t>Assaf Resnick</t>
  </si>
  <si>
    <t>Resnick</t>
  </si>
  <si>
    <t>Assaf</t>
  </si>
  <si>
    <t>Co-Founder, Chief Executive Officer, President &amp; Board Member</t>
  </si>
  <si>
    <t>BigPanda</t>
  </si>
  <si>
    <t>+1 (650) 562-6555</t>
  </si>
  <si>
    <t>assaf@bigpanda.io</t>
  </si>
  <si>
    <t>Redwood City, CA</t>
  </si>
  <si>
    <t>555 Twin Dolphin Drive</t>
  </si>
  <si>
    <t>Suite 155</t>
  </si>
  <si>
    <t>Redwood City</t>
  </si>
  <si>
    <t>94065</t>
  </si>
  <si>
    <t>Mr. Assaf Resnick is a Co-Founder and serves as Chief Executive Officer, President &amp; Board Member at BigPanda. Mr. Resnick is an Angel Investor. Prior to founding BigPanda, Mr. Resnick was an investor at Sequoia Capital, where he focused on early and growth stage investing in software, internet and mobile sectors. Assaf's time at Sequoia gave him a front row seat into the challenges of IT scale, complexity and velocity that Operations teams faced within companies that were rapidly scaling and accelerating. This is the problem that Assaf founded BigPanda to solve. Assaf Holds a B.S. degree in Business Administration from the Haas School of Business at UC Berkeley.</t>
  </si>
  <si>
    <t>47071-81P</t>
  </si>
  <si>
    <t>Bernard Gilly Ph.D</t>
  </si>
  <si>
    <t>Gilly</t>
  </si>
  <si>
    <t>Bernard</t>
  </si>
  <si>
    <t>Co-Founder, Chief Executive Officer, President &amp; Chairman</t>
  </si>
  <si>
    <t>BrainEver</t>
  </si>
  <si>
    <t>bgilly@brainever.com</t>
  </si>
  <si>
    <t>74 Rue du Faubourg</t>
  </si>
  <si>
    <t>Saint-Antoine</t>
  </si>
  <si>
    <t>75012</t>
  </si>
  <si>
    <t>Dr. Bernard Gilly is a Co-Founder and serves as Chief Executive Officer and Chairman at BrainEver. iHe s a Co-Founder and serves as Chairman at Prophesee. He is a Co-Founder and serves as Chairman of the Board of Directors at Chronolife. He co-founded and served as the Chief Executive Officer &amp; Board Member at GenSight Biologics. He is a Co-Founder and serves as the Chairman at iBionext. He serves as Chairman &amp; President at Tilak Healthcare. He co-founded and served as President and Chairman at GrAI Matter Labs. He serves as Board Member at T-Heart. He Co-Founded TISSIUM. He launched the iBionext ecosystem in 2012 by successfully co-founding several high-potential healthcare start-ups. He is currently the non-executive chairman of five companies. Prior to that, Bernard was Chairman and CEO of Fovea Pharmaceuticals, a biotech company he founded in 2005 and sold to Sanofi in 2009 for €370m before becoming Senior VP of the Ophthalmology Division of Sanofi until 2012. From 2000 to 2005, Bernard was a Partner at Sofinnova Partners. He founded and invested in several companies, including Sequoia Pharmaceuticals (USA), Faust Pharmaceuticals (France, now Domain Therapeutics), and Cellzome (Germany). Prior to joining Sofinnova, Bernard was President and CEO of Transgene, a company he drove from its early financing round in 1994 to its dual listing on the Nasdaq and the Nouveau Marché (Now Euronext-C) in1998, successfully raising €160m. Before Transgene, Bernard spent 6 years as VP of R&amp;D at Pasteur-Mérieux-Connaught, now Sanofi Pasteur. As a result of his scientific background and his career in the biotechnology, pharmaceuticals, and medical sciences as well as in Private Equity, Bernard Gilly has a very wide range of experience to manage iBionext and maximize the fund's value creation. He holds degrees from Université de Rennes and Ecole Nationale d'Agronomie. He previously served as a Board Member at Kala Pharmaceuticals. He serves as Board Member at Domain Therapeutics.</t>
  </si>
  <si>
    <t>257875-21P</t>
  </si>
  <si>
    <t>Bradley Menezes</t>
  </si>
  <si>
    <t>Menezes</t>
  </si>
  <si>
    <t>Bradley</t>
  </si>
  <si>
    <t>Co-Founder, Chief Executive Officer &amp; Board Member</t>
  </si>
  <si>
    <t>Superblocks</t>
  </si>
  <si>
    <t>+1 (415) 527-9628</t>
  </si>
  <si>
    <t>brad@superblocks.com</t>
  </si>
  <si>
    <t>100 5th Avenue</t>
  </si>
  <si>
    <t>9th Floor</t>
  </si>
  <si>
    <t>10011</t>
  </si>
  <si>
    <t>Mr. Bradley Menezes is a Co-Founder and serves as Chief Executive Officer and Board Member at Superblocks. Mr. Menezes serves as Advisor at Bigeye. Prior to co-founding Superblocks, he was a lead product manager at Yelp and senior director of product management at Datadog, as well as an angel investor in enterprise startups at Sequoia.</t>
  </si>
  <si>
    <t>46780-75P</t>
  </si>
  <si>
    <t>Brian Long</t>
  </si>
  <si>
    <t>Long</t>
  </si>
  <si>
    <t>Co-Founder &amp; Chief Executive Officer</t>
  </si>
  <si>
    <t>Adaptive Security</t>
  </si>
  <si>
    <t>+1 (917) 310-2413</t>
  </si>
  <si>
    <t>brian@adaptivesecurity.com</t>
  </si>
  <si>
    <t>920 Broadway</t>
  </si>
  <si>
    <t>8th Floor</t>
  </si>
  <si>
    <t>10010</t>
  </si>
  <si>
    <t>Mr. Brian Long is a Co-Founder and serves as Chief Executive Officer at Adaptive. Mr. Long is a Co-Founder and serves as Executive Chairman and Board Member at Attentive. Prior to founding Adaptive, he started two prior software companies: Attentive and TapCommerce. Under his leadership, Attentive has grown to $500M in annual revenue with more than 8000 customers and 1,000 employees. He raised $900 Million in venture capital from Sequoia Capital and other leading firms. Previously, he co-founded and sold TapCommerce to Twitter, where he worked as a Senior Director. He is a graduate of the University of Pennsylvania and is currently on permanent leave from the NYU Stern School of Business.</t>
  </si>
  <si>
    <t>184146-58P</t>
  </si>
  <si>
    <t>Corinne Dumont</t>
  </si>
  <si>
    <t>Dumont</t>
  </si>
  <si>
    <t>Corinne</t>
  </si>
  <si>
    <t>Co-Founder</t>
  </si>
  <si>
    <t>Sequoia Bio &amp; Natural Market</t>
  </si>
  <si>
    <t>+32 (0)2 379 01 90</t>
  </si>
  <si>
    <t>corinne.dumont@sequoia.bio</t>
  </si>
  <si>
    <t>Brussels, Belgium</t>
  </si>
  <si>
    <t>Chaussée de Saint-Job, 532</t>
  </si>
  <si>
    <t>Brussels</t>
  </si>
  <si>
    <t>1180</t>
  </si>
  <si>
    <t>Belgium</t>
  </si>
  <si>
    <t>+32 (0)2 379 01 99</t>
  </si>
  <si>
    <t>Ms. Corinne Dumont is a Co-Founder of Sequoia Bio &amp; Natural Market and he previously served as its Managing Director. He serves as Advisor &amp; Investment Committee Member at The Blueprint VC.</t>
  </si>
  <si>
    <t>200051-02P</t>
  </si>
  <si>
    <t>Craig Hunter</t>
  </si>
  <si>
    <t>Hunter</t>
  </si>
  <si>
    <t>Founder, Chief Executive Officer &amp; Board Member</t>
  </si>
  <si>
    <t>Covalent Metrology Services</t>
  </si>
  <si>
    <t>+1 (408) 679-1276</t>
  </si>
  <si>
    <t>craig@covalentmetrology.com</t>
  </si>
  <si>
    <t>Sunnyvale, CA</t>
  </si>
  <si>
    <t>927 Thompson Place</t>
  </si>
  <si>
    <t>Sunnyvale</t>
  </si>
  <si>
    <t>94085</t>
  </si>
  <si>
    <t>+1 (408) 709-3201</t>
  </si>
  <si>
    <t>Mr. Craig Hunter is the Founder and serves as Chief Executive Officer and Board Member at Covalent Metrology. He served as a Senior Vice President of Global Sales &amp; Marketing at Intermolecular. He initially worked in corporate development, finance, and strategy, with stints as an M&amp;A banker on Wall Street and as CFO of a small consumer products company. He rediscovered his Silicon Valley roots in 2003, taking a business strategy role at the display division of Applied Materials. In 2005, he became the founding General Manager and later Managing Director of Applied Materials' solar PV factory product ("SunFab"). He joined Sequoia Capital in 2008 as an entrepreneur-in-residence focused on renewable energy technologies, and the next year he joined Intermolecular (NASDAQ: IMI) to establish and lead that company's clean energy technology group. He received an A.B. in East Asian Studies from Harvard College and graduated with high distinction from Harvard Business School.</t>
  </si>
  <si>
    <t>301574-89P</t>
  </si>
  <si>
    <t>Daniel Batelka</t>
  </si>
  <si>
    <t>Batelka</t>
  </si>
  <si>
    <t>dbatelka@sequoiainc.com</t>
  </si>
  <si>
    <t>Mr. Daniel Batelka serves as Chief Executive Officer and Board Member at Sequoia Holdings. He is an accomplished leader with over 20 years of experience working in the Defense sector. He focuses on developing and executing strategies to take the company to the next level while navigating the constantly changing national security and defense government sectors.</t>
  </si>
  <si>
    <t>301843-45P</t>
  </si>
  <si>
    <t>David Connors</t>
  </si>
  <si>
    <t>Connors</t>
  </si>
  <si>
    <t>David</t>
  </si>
  <si>
    <t>The Swarm</t>
  </si>
  <si>
    <t>+1 (415) 534-5546</t>
  </si>
  <si>
    <t>david@theswarm.com</t>
  </si>
  <si>
    <t>548 Market Street</t>
  </si>
  <si>
    <t>PMB 8345</t>
  </si>
  <si>
    <t>94104</t>
  </si>
  <si>
    <t>Mr. David Connors is a Co-Founder and serves as Chief Executive Officer &amp; Board Member at The Swarm. He co-founded and served as Chief Executive Officer at Automately. He also served as the Advisor at Advantary. His prior experience includes Sequoia Capital, he co-founded and serves as CEO at Automately.io (acquired by Sequoia), he also co-founded RevDev.io (Revenue Development advisory)</t>
  </si>
  <si>
    <t>31022-92P</t>
  </si>
  <si>
    <t>David Henshall</t>
  </si>
  <si>
    <t>Henshall</t>
  </si>
  <si>
    <t>Advisor</t>
  </si>
  <si>
    <t>Citrix Systems</t>
  </si>
  <si>
    <t>+1 (954) 267-3000</t>
  </si>
  <si>
    <t>Fort Lauderdale, FL</t>
  </si>
  <si>
    <t>851 Cypress Creek Road</t>
  </si>
  <si>
    <t>Fort Lauderdale</t>
  </si>
  <si>
    <t>Florida</t>
  </si>
  <si>
    <t>33309</t>
  </si>
  <si>
    <t>Mr. David Henshall serves as Chief Financial Officer &amp; Senior Vice President at Sequoia Software. He served as an Advisor at Citrix Systems. He also served as the Board Member at Aspen Technology. He is a board member at Feedzai. Currently, he serves as Co-Chairman at Everbridge. He served as a Board Member at New Relic. He served as Chief Financial Officer &amp; Senior Vice President at XenSource. He joined Citrix in 2003 and oversaw the company's worldwide finance, operations, and administration organizations. This includes corporate accounting, strategic development, planning, treasury, tax, audit, and investor relations. He also leads the information security, IT, business operations, and real estate teams at Citrix. Over the last 13 years, he has focused on building a balanced portfolio of growth investments, maintaining a scalable operational infrastructure, and ensuring disciplined financial decision-making. With 25 years of management experience in the technology sector, he has worked at several of the industry's leading companies. Before joining Citrix, he served as the Chief Financial Officer of Rational Software Corporation, a software company acquired by IBM Corporation in 2003, and also held various finance positions at Cypress Semiconductor and Samsung. He is also a member of the Board of Directors of LogMeIn.</t>
  </si>
  <si>
    <t>42466-06P</t>
  </si>
  <si>
    <t>David Shepard</t>
  </si>
  <si>
    <t>Shepard</t>
  </si>
  <si>
    <t>Marki Microwave</t>
  </si>
  <si>
    <t>+1 (858) 731-9400</t>
  </si>
  <si>
    <t>dave@markimicrowave.com</t>
  </si>
  <si>
    <t>Morgan Hill, CA</t>
  </si>
  <si>
    <t>Morgan Hill</t>
  </si>
  <si>
    <t>95037</t>
  </si>
  <si>
    <t>Mr. David Shepard serves as Chief Operating Officer at Marki Microwave. Mr. Shepard serves as Board Member at Ventiva. He had served as Vice President and General Manager, High Performance Solutions Business Unit at pSemi since April 2010. From October 2003 to August 2009, Mr. Shepard served as President and Chief Executive Officer of Sequoia Communications, an early stage company specializing in RF transceivers for mobile handsets. Prior to that, he held various positions at Texas Instruments, including General Manager of the Wireless Infrastructure Business Unit. Mr. Shepard received a B.A. from Lawrence University and an M.S.E.E. from the University of Wisconsin, Madison.Mr. David Shepard serves as Chief Operating Officer at Marki Microwave.</t>
  </si>
  <si>
    <t>241945-75P</t>
  </si>
  <si>
    <t>Don Vieira</t>
  </si>
  <si>
    <t>Vieira</t>
  </si>
  <si>
    <t>Don</t>
  </si>
  <si>
    <t>Genuity Science</t>
  </si>
  <si>
    <t>+1 (617) 712-1417</t>
  </si>
  <si>
    <t>55 Cambridge Parkway</t>
  </si>
  <si>
    <t>02142</t>
  </si>
  <si>
    <t>Mr. Don Vieira serves as Board Member at Genuity Science. He is global chief legal officer and partner with Sequoia Capital. He serves as the Board Member at National Venture Capital Association. Before joining Sequoia, he was a partner in the Washington, D.C. office of Skadden Arps Slate Meagher &amp; Flom, where he was recognized as a global leader in the area of national security and regulatory law. Prior to joining Skadden, he founded and led Wilson Sonsini Goodrich &amp; Rosati Committee on Foreign Investment in the United States (CFIUS) and national security practice. He began his legal career as an associate at the law firm of Williams &amp; Connolly, where he focused on litigation, white-collar criminal defense, and Foreign Corrupt Practices Act investigations.</t>
  </si>
  <si>
    <t>41691-16P</t>
  </si>
  <si>
    <t>Eric Winsborrow</t>
  </si>
  <si>
    <t>Winsborrow</t>
  </si>
  <si>
    <t>MailChannels</t>
  </si>
  <si>
    <t>+1 (604) 685-7488</t>
  </si>
  <si>
    <t>650 West Georgia Street</t>
  </si>
  <si>
    <t>Suite 3200</t>
  </si>
  <si>
    <t>V6B 4P7</t>
  </si>
  <si>
    <t>Mr. Eric Winsborrow serves as Board Member at MailChannels. He served as Chief Executive Officer at Distrix. Eric has over 25 years of senior-level Silicon Valley experience introducing disruptive new products and technologies. Most recently, Eric was a founder and CEO of Shadow Networks, a DOD sponsored cyber security company leveraging Software Defined Technology to create a new category of security termed Deception Networks. Previously, Eric was Vice President of Product Marketing for McAfee, where he conceived and executed the most successful product launch in company history, Total Protection Solutions. He also ran Product Management for Symantec's flagship enterprise client and server security, a $450M portfolio introducing Symantec Client Security and other 1.0 security solutions, and led Product Management for Cisco's Unified Communications Software Business Unit in the beginning days VoIP technology. Eric also has extensive startup experience. He was Chief Marketing Officer for a Sequoia Capital startup, Sipera Systems (acquired by Avaya); CMO for Layer 7 Technologies (acquired by Computer Associates); Executive Director of Product Management at Sygate Technologies (acquired by Symantec) and Director of Business Development at Octel Communications (acquired by Lucent). Eric conducted his undergraduate studies in Engineering Physics and Economics at McMaster University in Canada, and completed his MBA in International Business and Marketing at IIST in Japan.</t>
  </si>
  <si>
    <t>242154-64P</t>
  </si>
  <si>
    <t>Fei-Fei Li Ph.D</t>
  </si>
  <si>
    <t>Li</t>
  </si>
  <si>
    <t>Fei-Fei</t>
  </si>
  <si>
    <t>X (Social/Platform Software) (Former)</t>
  </si>
  <si>
    <t>+1 (416) 923-3900</t>
  </si>
  <si>
    <t>flei@astrocade.com</t>
  </si>
  <si>
    <t>59 Hayden Street</t>
  </si>
  <si>
    <t>Suite 300</t>
  </si>
  <si>
    <t>M4Y 0E7</t>
  </si>
  <si>
    <t>Dr. Fei-Fei Li served as a Board Member at X (Social/Platform Software). Dr. Li serves as Advisor at Waabi. She is a Co-Founder and serves as AI Strategist at Astrocade. She is a Co-Founder and serves as Chief Executive Officer at World Labs. She serves as an Advisor at Twelve Labs. Previously, she served as Member of the Compensation &amp; Risk Committee at X Corp. She also serves as a Scientific Partner at Radical Ventures. Dr. Li is a Co-Founder of DawnLight. She served as Chief Scientist, Google Cloud AI and Machine Learning at Google Cloud Platform. She served as an Advisor at Zebra Medical Vision and Vianai. She also serves as a board member at Nimble Robotics. She is a world-renowned technologist and thought leader, bringing her deep expertise in AI, technology and digital healthcare, as well as her decades-long leadership experiences to Dawnlight. Dr. Li is an elected Member of both the National Academy of Engineering (NAE) and the National Academy of Medicine (NAM). She Li is the inaugural Sequoia Professor in the Computer Science Department at Stanford University and Co-Director of Stanford's Human-Centered AI Institute. She served as the Director of Stanford's AI Lab from 2013 to 2018. And during her sabbatical at Stanford from January 2017 to September 2018, she was Vice President at Google and served as Chief Scientist of AI/ML at Google Cloud, overseeing all of Google Cloud AI's R&amp;D and productization. She worked with team members, including Jia Li, to democratize AI technologies to businesses and their billions of customers. She has been a valued advisor to numerous startups, ventures, and Board members of companies. She is also a co-founder and chairperson of the national non-profit AI4ALL aimed at increasing inclusion and diversity in AI education and has been a leading voice in advocating diversity and inclusion in STEM fields nationally. Her current research interests include cognitively inspired AI, machine learning, deep learning, computer vision and AI+healthcare. In AI and Healthcare. Dr. Li is a keynote speaker at many academic or influential conferences, including the World Economic Forum (Davos), the Grace Hopper Conference 2017 and the TED2015 main conference. Work from Dr. Li's lab has been featured in a variety of magazines and newspapers including the New York Times, Wall Street Journal, Fortune Magazine, Science, Wired Magazine, MIT Technology Review, Financial Times and more. She was selected as a 2017 Women in Tech by ELLE Magazine, a 2017 Awesome Women Award by Good Housekeeping, a Global Thinker of 2015 by Foreign Policy and one of the "Great Immigrants: The Pride of America" in 2016 by the Carnegie Foundation, past winners include Albert Einstein, Yoyo Ma, Sergey Brin, et al. She also served as Director at Reinvent Technology Partners.</t>
  </si>
  <si>
    <t>53109-64P</t>
  </si>
  <si>
    <t>Gary Altman Ph.D</t>
  </si>
  <si>
    <t>Altman</t>
  </si>
  <si>
    <t>Gary</t>
  </si>
  <si>
    <t>TeamedOn</t>
  </si>
  <si>
    <t>+1 (301) 461-1617</t>
  </si>
  <si>
    <t>galtman@teamedon.com</t>
  </si>
  <si>
    <t>Rockville, MD</t>
  </si>
  <si>
    <t>One Research Court</t>
  </si>
  <si>
    <t>Suite 450</t>
  </si>
  <si>
    <t>Rockville</t>
  </si>
  <si>
    <t>Maryland</t>
  </si>
  <si>
    <t>20850</t>
  </si>
  <si>
    <t>Dr. Gary Altman is a Co-Founder &amp; serves as Chief Operating Officer and Board Member at TeamedOn. Dr. Altman served as Chief Executive Officer &amp; Board Member at Sandstone. He served as Chief Executive Officer and Board Member at Provista Diagnostics. He served as Chief Executive Officer at IGF Oncology. Dr. Gary served as Chief Operating Officer at Human Longevity. Gary has more than 25 years of experience in leading start-ups and global businesses from concept through commercialization. His experience includes roles as Chief Executive Officer, Chief Operating Officer, Vice President, and General Manager. Gary co-founded and served as Chief Operating Officer of a VC-backed drug discovery company which raised $60M and advanced 2 drug candidates into human clinical trials. As General Manager of a global business within a public corporation, he had P&amp;L responsibility for $200M. Altman has initiated and led highly productive relationships with diverse constituencies including academia, non-profits, and industry. Gary's experience spans a broad spectrum of technologies including cell therapy, therapeutics, and diagnostics. He holds a Ph.D. (Doctor of Philosophy) in Biochemistry and Molecular Biology from the University of Western Ontario. He also has an MS (Master of Science) in Biology from Georgia Tech University. He is an investor, entrepreneur, and leader of large and small scientific organizations. His experiences include senior management positions at Beckman Coulter, Sequoia Pharmaceuticals, and Sandstone Diagnostics as well as an advisor to GE Healthcare, Terumo-CaridianBCT, and GenVec among others. He earned a Ph.D. in biochemistry/virology and held an NSF Post-Doctoral Fellowship in the BioPhysics and McArdle Laboratories at the University of Wisconsin, Madison.</t>
  </si>
  <si>
    <t>173193-85P</t>
  </si>
  <si>
    <t>Hassan Baqar</t>
  </si>
  <si>
    <t>Baqar</t>
  </si>
  <si>
    <t>Hassan</t>
  </si>
  <si>
    <t>Interim Chief Financial Officer</t>
  </si>
  <si>
    <t>Insurance Income Strategies</t>
  </si>
  <si>
    <t>+1 (847) 791-6817</t>
  </si>
  <si>
    <t>Hamilton, Bermuda</t>
  </si>
  <si>
    <t>Canon's Court, 22 Victoria Street</t>
  </si>
  <si>
    <t>Hamilton</t>
  </si>
  <si>
    <t>HM12</t>
  </si>
  <si>
    <t>Bermuda</t>
  </si>
  <si>
    <t>Mr. Hassan Baqar serves as Chief Financial Officer at Insurance Income Strategies. Mr. Baqar is a Co-Founder &amp; serves as Partner at Fundamental Global. Mr. Baqar has over 20 years of experience within financial services and other industries focused on corporate development, mergers &amp; acquisitions, capital raising, investments, and real estate transactions. Mr. Baqar has served as the founder and managing member of Sequoia Financial LLC, a financial services and advisory firm, since January 2019. Mr. Baqar has also served as Chief Financial Officer since August 2021 and Executive Vice President since December 2021 of FG Financial Group, Inc. (Nasdaq: FGF) (formerly known as 1347 Property Insurance Holdings, Inc.), which operates as a reinsurance and asset management holding company, as Chief Financial Officer of Insurance Income Strategies Ltd., a former Bermuda based reinsurance company from October 2017 to December 2021, as a director of GreenFirst Forest Products Inc. (TSXV: GFP) (formerly Itasca Capital Ltd.), a public company focused on investments in the forest products industry from August 2019 to December 2021 and as Chief Financial Officer of GreenFirst Forest Products Inc. from June 2016 to December 2020, as a director of FG Reinsurance Ltd., a Cayman Islands reinsurance company since June 2020, as director, treasurer and secretary of Sponsor Protection Coverage and Risk, Inc., a South Carolina captive insurance company since October 2022, and as a director and Chief Financial Officer of Unbounded Media Corporation from June 2019 to September 2023. Since October 2021, Mr. Baqar has also served as the Chief Financial Officer and a member of the board of directors of FG Acquisition Corp. (TSX: FGAA.U), a Canadian special purpose acquisition company that has completed its initial public offering and is focused on searching for a target company in the financial services sector. Mr. Baqar served as a director of FG Merger Corp. (Nasdaq: FGMCU) from December 2021 to August 2023, a special purpose acquisition company that merged with iCoreconnect Inc. (Nasdaq: ICCT), a market-leading, cloud-based software, and technology company focused on increasing workflow productivity and customer profitability through its enterprise and healthcare workflow platform of applications and services, and as Chief Financial Officer of Aldel Financial Inc. (NYSE: ADF) from January 2021 to December 2021, a special purpose acquisition company which merged with Hagerty, Inc. (NYSE: HGTY), a leading specialty insurance provider focused on the global automotive enthusiast market. Mr. Baqar served as a member of the board of directors of FG Financial Group, Inc. (Nasdaq: FGF) from October 2012 to May 2015. He also served as the Chief Financial Officer of United Insurance Holdings Corp. (NYSE: UIHC), a publicly held property and casualty insurance holding company, from August 2011 to April 2012. His previous experience also includes director of finance at Itasca Financial, LLC from 2008 to 2009 and positions held at Lumbermens Mutual Casualty Company (a Kemper Insurance company), a diversified mutual property-casualty insurance provider, from June 2000 to April 2008, where he most recently served as a senior analyst. Mr. Baqar earned a Master's Degree in Business Administration from Northeastern Illinois University in 2009 and a Bachelor's Degree in Accounting and Business Administration from Monmouth College in 2000. He also holds a Certified Public Accountant designation.</t>
  </si>
  <si>
    <t>75045-70P</t>
  </si>
  <si>
    <t>Ian Small</t>
  </si>
  <si>
    <t>Small</t>
  </si>
  <si>
    <t>Ian</t>
  </si>
  <si>
    <t>SnapDocs</t>
  </si>
  <si>
    <t>+1 (833) 762-7362</t>
  </si>
  <si>
    <t>Covina, CA</t>
  </si>
  <si>
    <t>440 North Barranca Avenue</t>
  </si>
  <si>
    <t>Suite 2220</t>
  </si>
  <si>
    <t>Covina</t>
  </si>
  <si>
    <t>91723</t>
  </si>
  <si>
    <t>Mr. Ian Small serves as Board Member at SnapDocs. He served as Senior Consultant at White Stratus. Ian Small has spent more than 30 years in Silicon Valley since graduating from the University of Toronto, working in tech companies ranging from three-person startups to 100,000-employee multinationals. He first worked as a software engineer, and spent time in software engineering management and software product management before transitioning into a range of business leadership roles. Ian currently serves on the boards of Lumentum (NASDAQ:LITE, one of the world's leading manufacturers of lasers and photonic devices) and Snapdocs (a venture-backed startup driving mortgage automation). Ian has worked with a number of Sequoia Capital portfolio companies, including working as CEO of Evernote (personal productivity software), CEO of TokBox (video platform-as-a-service), and a lengthy stint with MarkLogic (NoSQL database). Ian also served as Global Chief Data Officer at Telefónica, following its acquisition of TokBox, served on the advisory board to Loon (a Google X Labs spinout), and started his Silicon Valley career in the Human Interface Group at Apple Computer. Ian's experience in Silicon Valley includes fundraising, tech mergers and acquisitions (both as buyer and seller), and tech spinouts. Ian graduated from the University of Toronto with a B.A.Sc. in Engineering Science (Computer Science option) and an M.Sc. in Computer Science, and is a holder of more than 10 patents.</t>
  </si>
  <si>
    <t>45312-85P</t>
  </si>
  <si>
    <t>Jack Herrick</t>
  </si>
  <si>
    <t>Herrick</t>
  </si>
  <si>
    <t>Jack</t>
  </si>
  <si>
    <t>Founder and Chief Executive Officer</t>
  </si>
  <si>
    <t>WikiHow</t>
  </si>
  <si>
    <t>+1 (888) 338-6485</t>
  </si>
  <si>
    <t>jack@wikihow.com</t>
  </si>
  <si>
    <t>530 Lytton Avenue</t>
  </si>
  <si>
    <t>Mr. Jack Herrick is the Founder and serves as Chief Executive Officer at WikiHow. Mr. Herrick co-founded and served as Chief Executive Officer of BigTray. He served as a Management Consultant for McKinsey &amp; Company. He serves as a Director of BigTray, Inc. He has an MBA from Dartmouth's Tuck School and a BA from Stanford University. He started and self-financed wikiHow from its inception to its current position as one of the most popular sites on the web receiving over 25 million unique visitors per month. Prior to wikiHow, Jack was co-CEO of eHow. With Josh Hannah, Jack purchased eHow in 2004. Between 2004 and 2006 eHow grew 30x in traffic and revenue and became the largest pure-play how-to site on the web. Demand Media acquired eHow in 2006. In 2002 he co-founded Luminescent Technologies with Dan Abrams, Eli Yablonovitch, and Stan Osher. Luminescent is a computational semiconductor lithography company that has raised over $25 MM in venture capital. From 1999-2001 he was CEO and co-founder at BigTray, a Sequoia-funded e-commerce company. BigTray was sold in 2001 and remains the largest online vendor of restaurant equipment and supplies.</t>
  </si>
  <si>
    <t>220499-83P</t>
  </si>
  <si>
    <t>James Bick Jr.</t>
  </si>
  <si>
    <t>Bick</t>
  </si>
  <si>
    <t>Sequoia Vaccines</t>
  </si>
  <si>
    <t>+1 (314) 373-5181</t>
  </si>
  <si>
    <t>1912 Innerbelt Business Center Drive</t>
  </si>
  <si>
    <t>63114</t>
  </si>
  <si>
    <t>+1 (314) 373-5186</t>
  </si>
  <si>
    <t>Mr. James P. Bick, Jr. serves as Board Member at Sequoia Vaccines. He is an attorney based in Clayton, Missouri and is co-owner of the firm Bick &amp; Kistner PC. He has concentrated his practice in the representation of individuals and small and medium businesses. He's handled a wide variety of civil and corporate litigation in state and federal courts as well as corporate transactional work including contracts, employment matters, asset acquisitions and dispositions, entity formation and maintenance, succession planning and trusts and estates. James is also an owner and serves as Chairman of the Board of Bick Holdings, Inc. which is a data center and critical facilities company with offices in four states doing business throughout the US.</t>
  </si>
  <si>
    <t>35317-63P</t>
  </si>
  <si>
    <t>James Long</t>
  </si>
  <si>
    <t>LocalBTV</t>
  </si>
  <si>
    <t>+1 (650) 678-9047</t>
  </si>
  <si>
    <t>jim@didjatv.com</t>
  </si>
  <si>
    <t>300 3rd Street</t>
  </si>
  <si>
    <t>Suite 9</t>
  </si>
  <si>
    <t>Mr. James Long serves as the Chief Executive Officer at Didja. He was a Board Member at PlantSense. He serves as a Board Member at POPS Worldwide. He served as a Partner at Gabriel Venture Partners. He joined Gabriel as a Venture Partner in early 2007 and drives new investments as well as advises existing Gabriel portfolio companies. After doing software and product marketing at Hewlett Packard and getting his MBA, He joined Fred Adler Ventures in 1982. In his four years at the firm, he was acting CEO at several turnarounds and worked with veteran VCs Jim Swartz and Arthur Patterson before them founding Accel Partners. Over the years, He has also done projects with venture firms Accel Partners, Crosspoint Venture Partners, IT-Farm (Japan), and Sequoia Capital. His venture experience also includes interim CEO jobs and "turnarounds" at companies such as Linkware (acquired by Ungermann-Bass). As an angel advisor/investor, He has been involved with several leading startups, including TiMetra (acquired by Alcatel), Manageware (acquired by Computer Associates), Ruckus Wireless (WiFi video leader), Ready Systems (acquired by Mentor), and Jibe Networks (acquired by Citrix). He received his MBA from Harvard University (with distinction) &amp; BS in Electrical Engineering and Computer Science from UC Berkeley.</t>
  </si>
  <si>
    <t>53994-88P</t>
  </si>
  <si>
    <t>Jean Balgrosky Ph.D</t>
  </si>
  <si>
    <t>Balgrosky</t>
  </si>
  <si>
    <t>Jean</t>
  </si>
  <si>
    <t>Chief Information Officer</t>
  </si>
  <si>
    <t>MD Revolution</t>
  </si>
  <si>
    <t>+1 (858) 847-5064</t>
  </si>
  <si>
    <t>jean.balgrosky@mdrevolution.com</t>
  </si>
  <si>
    <t>Solana Beach, CA</t>
  </si>
  <si>
    <t>505 Lomas Santa Fe Drive</t>
  </si>
  <si>
    <t>Suite 290</t>
  </si>
  <si>
    <t>Solana Beach</t>
  </si>
  <si>
    <t>92075</t>
  </si>
  <si>
    <t>Dr. Jean Balgrosky serves as Chief Information Officer at MD Revolution. She previously served as Board Member in the company . She is a Co-Founder of Bootstrap Venture Partners. She served as Chief Information Officer at MintHealth. She served as Senior Advisor at Catalyst Healthcare Adviors. She serves as an Advisor &amp; Investor at Elation Health. She has overseen investments in more than 20 seed and early-stage companies. She serves as a Board Member at Perceivant. She holds board positions with Sequoia Consulting Group. She also teaches graduate-level healthcare IT courses at the UCLA Fielding School of Public Health, where she earned a Ph.D. in Health Policy and Management. Before Bootstrap, she served for more than 20 years as CIO of large, complex healthcare organizations, including Scripps Health in San Diego, CA, and Trinity Health System (formerly Holy Cross Health System) in South Bend, IN. As CIO, she designed and implemented strategic IT plans and enterprise-wide systems such as electronic health records (EHR). She served as a Board Member at Doctible.</t>
  </si>
  <si>
    <t>349288-66P</t>
  </si>
  <si>
    <t>Joe Anderson</t>
  </si>
  <si>
    <t>Anderson</t>
  </si>
  <si>
    <t>Joe</t>
  </si>
  <si>
    <t>Mr. Joe Anderson serves as Board Member at Sequoia Holdings. He is a visionary leader with unparalleled global experience. Following a successful career in the US Army where he commanded Infantry units from company through Corps-level, he gained additional business and management experience with Wynnchurch Capital, Beacon Global Strategies, McKinsey &amp; Company, Dataminr and SOS International. He has a well-earned reputation for driving results and managing complexity while building teams and networks along the way. A graduate of the United States Military Academy, he also earned a Master of Science degree in Administration from Central Michigan University and a Master of Arts degree in National Security and Strategic Studies from the US Naval War College. Additionally, he attended the Senior Executive Education Course at the University of North Carolina's Kenan-Flagler Business School. He is a visiting professor at Northwestern University's Medill School of Journalism and the George Washington Library Leadership Institute. His situational adaptability was evident as he fulfilled military roles that were equivalent to civilian Chief Operating Officer positions. His leadership experience is recognized internationally for honor, merit, service, peacekeeping and defense cooperation. His selfless service continues as a Director for the Tragedy Assistance Program for Survivors, Patton Veterans Project, Feherty's Troops First Foundation and TRIBAL App.</t>
  </si>
  <si>
    <t>39116-44P</t>
  </si>
  <si>
    <t>John Cooper</t>
  </si>
  <si>
    <t>Cooper</t>
  </si>
  <si>
    <t>John</t>
  </si>
  <si>
    <t>Co-Founder, Chief Executive Officer and Board Member</t>
  </si>
  <si>
    <t>Brightwire</t>
  </si>
  <si>
    <t>Newark, NJ</t>
  </si>
  <si>
    <t>744 Broad Street Floor 32</t>
  </si>
  <si>
    <t>07102</t>
  </si>
  <si>
    <t>Mr. John Cooper is a Co-Founder and serves as Chief Executive Officer and Board Member at BrightWire. He serves as Board Member at Tangent Data Services. He is the Chief Executive Officer and Founder of Coverago and is responsible for the direction and strategy of the company. He has over a decade of experience in finance and software and was most recently an Investment Banker with Bear Stearns &amp; Co. in their Technology, Media, and Telecommunications group. Prior to that, He held engineering and sales management positions with Plumtree Software. He was with Plumtree from the company's early stages as a Sequoia-backed start-up through its IPO and subsequent acquisition by BEA Systems. He began his career with Sun Microsystems in their Best-of-the-Best program as a Software Engineer. He received his BA in Computer Science from Gettysburg College and MBA from Columbia Business School.</t>
  </si>
  <si>
    <t>16422-22P</t>
  </si>
  <si>
    <t>John Ferring IV</t>
  </si>
  <si>
    <t>Ferring</t>
  </si>
  <si>
    <t>Co-Owner</t>
  </si>
  <si>
    <t>Custom Pak Products</t>
  </si>
  <si>
    <t>+1 (262) 251-6180</t>
  </si>
  <si>
    <t>john.ferring@custompakproducts.com</t>
  </si>
  <si>
    <t>Germantown, WI</t>
  </si>
  <si>
    <t>W118 W18981 Bunsen Drive</t>
  </si>
  <si>
    <t>Germantown</t>
  </si>
  <si>
    <t>Wisconsin</t>
  </si>
  <si>
    <t>53022</t>
  </si>
  <si>
    <t>+1 (262) 251-6243</t>
  </si>
  <si>
    <t>Mr. John Ferring serves as Board Member at Arch Grants. Mr. Ferring serves Chairman at PLZ Corp. He is a Co-Owner at Custom Pak Products. A 1975 graduate of Brown University he joined the Bank of Boston in mergers and acquisitions after graduation. He has been with Plaze since 1979. He served as Board Member at Sequoia Sciences.</t>
  </si>
  <si>
    <t>44954-29P</t>
  </si>
  <si>
    <t>John Laing</t>
  </si>
  <si>
    <t>Laing</t>
  </si>
  <si>
    <t>Amava</t>
  </si>
  <si>
    <t>+1 (650) 739-3939</t>
  </si>
  <si>
    <t>405 El Camino Real</t>
  </si>
  <si>
    <t>Suite 522</t>
  </si>
  <si>
    <t>Mr. John Laing serves as Board Member at Amava. He served as a Board Member at Verdiem. He served as the Chairman and Co-Chief Executive Officer at Inxight Software. He has a 35-year history in the technology industry, having held senior management positions with industry leaders in multiple markets: content discovery with Inxight; security with Symantec; desktop operating systems with Apple; and document printing with Xerox. While serving as the executive vice president of worldwide sales for Symantec from 1989 through 1997, he managed revenue growth from $15 million to $600 million and orchestrated several high-profile acquisitions, which helped to advance the company to its current successful position. As president and CEO at Inxight, John was instrumental in a company turnaround, growing revenue by 65 percent and expanding its worldwide channels. Throughout his career, he has raised money from respected venture institutions including Vantage Point Venture Partners, Accel Partners, Sequoia Capital, and Reed Elsevier Ventures among others.
Most recently, he served as CEO of Reactivity, a provider of XML-enabled networking solutions. In less than a year he restructured and positioned the company for sale. In March of 2007 Reactivity was sold to Cisco for $135 million. He also serves on the board of Verdiem, Workshare, and Grid Net, and is the new Chairman of the Board for JobTrain, a non-profit organization in Silicon Valley.</t>
  </si>
  <si>
    <t>69592-60P</t>
  </si>
  <si>
    <t>John Suh Ph.D</t>
  </si>
  <si>
    <t>Suh</t>
  </si>
  <si>
    <t>Mojo Mobility</t>
  </si>
  <si>
    <t>+1 (650) 543-1535</t>
  </si>
  <si>
    <t>3707 Heron Way</t>
  </si>
  <si>
    <t>94303</t>
  </si>
  <si>
    <t>Dr. John Suh serves as Vice President &amp; Founding Director at Hyundai CRADLE. He also serves as an Analyst at Sequoia Capital. He serves as Board Member at Mojo Mobility. Prior to joining Hyundai, he worked at General Motors, Xerox, PARC, and several startups where he had roles in corporate investing, product management, and R&amp;D. He has a BS degree in electrical engineering from Kettering University, and MS and PhD degrees in mechanical engineering from Stanford University.</t>
  </si>
  <si>
    <t>309342-43P</t>
  </si>
  <si>
    <t>Jonty Knox</t>
  </si>
  <si>
    <t>Knox</t>
  </si>
  <si>
    <t>Jonty</t>
  </si>
  <si>
    <t>Co-Founder, Chief Product Officer &amp; Board Member</t>
  </si>
  <si>
    <t>CustomerOS</t>
  </si>
  <si>
    <t>jonty@openline.ai</t>
  </si>
  <si>
    <t>Wilmington, DE</t>
  </si>
  <si>
    <t>251 Little Falls Drive</t>
  </si>
  <si>
    <t>Wilmington</t>
  </si>
  <si>
    <t>19808</t>
  </si>
  <si>
    <t>Mr. Jonty Knox is a Co-Founder and serves as Chief Product Officer and Board Member at Openline. He is an Angel Investor. Mr. Knox is a natural leader after cutting his teeth closing $1B+ contracts with BT while at Huawei, he went on to build a number of product and tech teams in the communications space that built $100M's of value. Prior to founding Openline, he exited Voxbone in a $500M+ acquisition and then setup another startup Otto which was selected for Sequoia Arc's first ever batch in 2022. He brings experience from previous roles at Pioneer Fund, Kennek, WeKall and Otto. Jonty Knox holds a 2017 - 2017 Massachusetts Institute of Technology.</t>
  </si>
  <si>
    <t>220500-91P</t>
  </si>
  <si>
    <t>Joseph Conran</t>
  </si>
  <si>
    <t>Conran</t>
  </si>
  <si>
    <t>Mr. Joseph Conran serves as Board Member at Sequoia Sciences. He is a litigation attorney at Husch Blackwell. Joe is a former executive board member and former co-chair of Husch Blackwell. Joe handles antitrust disputes, class-action litigation, consumer-fraud allegations, securities violations and other cases. Joe represented Monsanto (now Bayer) in a patent-infringement trial against DuPont over technology for herbicide-resistant soybeans. A jury in St. Louis, Missouri federal court returned a $1 billion verdict on behalf of Monsanto. Joe defeated class certification in litigation against Express Scripts, which consisted of more than 20 cases from jurisdictions across North America. Joe also won summary judgment on key issues, affirming the core business functions of Express Scripts. Joe currently serves as Chair of the Board of Trustees of Saint Louis University and is a member of numerous other nonprofit boards. Joe was one of the organizers of the Trial Practice Institute, an annual three-day seminar that trains young lawyers in development of a comprehensive, well-organized approach to litigation. He also has lectured on trial advocacy at Saint Louis University School of Law and the University of Virginia School of Law. Before entering private practice, Joe was a captain in the U.S. Air Force, serving as a judge advocate. He was a chief prosecuting attorney for Travis Air Force Base in California, one of the busiest court-martial jurisdictions in the world.</t>
  </si>
  <si>
    <t>174132-46P</t>
  </si>
  <si>
    <t>Joylita Saldanha</t>
  </si>
  <si>
    <t>Saldanha</t>
  </si>
  <si>
    <t>Joylita</t>
  </si>
  <si>
    <t>Infinyte Club</t>
  </si>
  <si>
    <t>+91 (0)96 3204 4565</t>
  </si>
  <si>
    <t>joy@infinyte.club</t>
  </si>
  <si>
    <t>Number 372, 100 Feet Road</t>
  </si>
  <si>
    <t>HAL 2nd Stage, Indiranagar</t>
  </si>
  <si>
    <t>560038</t>
  </si>
  <si>
    <t>Ms. Joylita Saldanha is a Co-Founder &amp; serves as Board Member at Infinyte Club. Ms. Saldanha served as Vice President, Product &amp; Community at Sequoia Capital India Advisors. Joy has over 15 years of experience in Product and Design roles in products spanning from top-grossing Mobile Casino Games to Enterprise SaaS to Consumer Tech to Investment/ VC Tech. She has strong credentials in product management, tech, design, building communities, go-to-market strategies. Most recently, Joy was leading Product, Programs and Community at Surge and Sequoia India + Southeast Asia.</t>
  </si>
  <si>
    <t>118361-98P</t>
  </si>
  <si>
    <t>Judd Robins</t>
  </si>
  <si>
    <t>Robins</t>
  </si>
  <si>
    <t>Judd</t>
  </si>
  <si>
    <t>Co-Founder, Executive Vice President, Consulting Services &amp; Board Member</t>
  </si>
  <si>
    <t>TekStream Solutions</t>
  </si>
  <si>
    <t>+1 (678) 708-4900</t>
  </si>
  <si>
    <t>judd.robins@tekstream.com</t>
  </si>
  <si>
    <t>Atlanta, GA</t>
  </si>
  <si>
    <t>1117 Perimeter Center West</t>
  </si>
  <si>
    <t>Suite W405</t>
  </si>
  <si>
    <t>Atlanta</t>
  </si>
  <si>
    <t>Georgia</t>
  </si>
  <si>
    <t>30338</t>
  </si>
  <si>
    <t>+1 (678) 708-4901</t>
  </si>
  <si>
    <t>Mr. Judd Robins is a Co-Founder and serves as Executive Vice President of Consulting Services and Board Member at TekStream Solutions. Before co-founding the company, he was a Director of Business Development for Enterpulse/Idhasoft responsible for 220% growth of the business. In his early career, he spent 8 years with Plumtree Software from the company's early stages as a Sequoia-backed startup through its IPO and subsequent acquisition by BEA Systems, Inc. (acquired by Oracle, Inc.). He filled a variety of roles including Southeast Area Sales Manager, Sales Engineering Lead and Implementation Consultant, where he provided license sales, process and technical consulting services for the design, development, and implementation of business solutions. His 10-year tenure in this space has created trusted relationships with Oracle and customers leveraging Oracle technologies. In 2007, BEA named him Salesperson of the Year in his region. He is experienced in building revenues and increasing market share in very competitive software and services industries through experienced sales and management expertise. Proficient at new product rollouts in startup environments, he has previously worked with enterprise companies including The Coca-Cola Company, Cox Enterprises, InterContinental Hotels Group, Southern Company, SunTrust Banks and Turner Broadcasting Systems. He earned a Bachelor of Science degree from Virginia Tech in Management Information Systems.</t>
  </si>
  <si>
    <t>173948-41P</t>
  </si>
  <si>
    <t>Justin Ho</t>
  </si>
  <si>
    <t>Ho</t>
  </si>
  <si>
    <t>Justin</t>
  </si>
  <si>
    <t>Sage Care</t>
  </si>
  <si>
    <t>Mr. Justin Ho is a Co-Founder &amp; serves as Chief Executive Officer at Sage Care. He as Board Member at USC Credit Union and FRAYT. He Co-Founded &amp; served as the Chief Executive Officer at rideOS. He serves as Partner at Ethos VC. He is the former co-founder and CEO of rideOS, an enterprise software co powering mobility-as-a-service technologies for a variety of dispatch, optimization, and routing use cases. rideOS raised $34M of capital from Sequoia and next47, before Gopuff acquired rideOS for ~$175M. At Gopuff, the inventor of the instant needs category, He led a team of ~150 technologists to build products to serve Gopuff's delivery partners, operations associates, and increase the company's profitability. Prior to rideOS, he led the ideation and creation of Uber's self-driving and mapping business units. He has also worked for Citadel as an investor, managing a $1B long/short equity portfolio focusing on transportation and automotive stocks, and at Goldman as an investment banker.</t>
  </si>
  <si>
    <t>91009-18P</t>
  </si>
  <si>
    <t>Keith Robinson</t>
  </si>
  <si>
    <t>Robinson</t>
  </si>
  <si>
    <t>Investor and Advisor</t>
  </si>
  <si>
    <t>Model ML</t>
  </si>
  <si>
    <t>2261 Market Street</t>
  </si>
  <si>
    <t>Suite 4339</t>
  </si>
  <si>
    <t>94114</t>
  </si>
  <si>
    <t>Mr. Keith Robinson is an serves as an Advisor at Payhawk. Mr. Robinson served as an Advisor at Gospel Technology. He served as Chief Strategy Officer at The Sage Group (Financial Software). He joined Sage in 2016 as EVP for Strategy, becoming the Chief Strategy Officer in September 2018. He serves as an Advisor at SenseOn. He is an Investor and serves as an Advisor at Model ML. He previously co-founded Lamond Capital Partners, a San SanFrancisco-basedd technology-focused fund; led all Software investment acquisitions. Before that, he was a Managing Director at Arma PLondon-baseddon technology M&amp;A advisor; advised on cross-border software transtally several billion dollars in aggregate value. He also spent strategy/technology consulting with Gartner and Sequoia-backed start-up) In the US and Japan, an investment banking firm t JPMorgan Chase in New York. He has an undergraduate degree in Finance and Entrepreneurial Management from the Wharton School at the University of Pennsylvania and an MBA from INSEAD.</t>
  </si>
  <si>
    <t>39768-31P</t>
  </si>
  <si>
    <t>Kevin Bacon Ph.D</t>
  </si>
  <si>
    <t>Bacon</t>
  </si>
  <si>
    <t>Kevin</t>
  </si>
  <si>
    <t>Dr. Kevin B. Bacon has been a director and our President and Chief Executive Officer since April 2023. Prior to joining Sequoia, Dr. Bacon served as the Chief Executive Officer of Abcentra LLC from 2020 to 2023 and President and Chief Executive Officer of SMA Therapeutics Inc. from 2017 to 2023. Dr. Bacon was also acting Chief Executive Officer of Raft Pharmaceuticals, LLC from 2018 to 2020, Chief Scientific Officer, Head of Research and Development, and Founder of Actimis Pharmaceuticals Inc. from 2004 to 2018, and the President of Axikin Pharmaceuticals Inc. from 2008 to 2017. Dr. Bacon was the VP of Respiratory Diseases Research for Bayer Healthcare AG from 1999 to 2004. Prior to joining Bayer AG, Dr. Bacon held positions of increasing responsibility at Neurocrine Biosciences, Inc., in San Diego, was a Visiting Scientist at the DNAX Institute for Molecular Biology, and started his industry career at the Glaxo Institute for Molecular Biology (latterly Merck-Serono) in Geneva, Switzerland. Dr. Bacon received his Bachelor of Science, with Honors, in Pharmacology from King's College at the University of London and his Ph.D. in Pharmacology from the University of London, is an author of over 100 original manuscripts, book chapters and reviews in the field of drug discovery and inflammation biology, and a co-author on numerous issued and filed patents.</t>
  </si>
  <si>
    <t>40479-04P</t>
  </si>
  <si>
    <t>Kirill Sheynkman</t>
  </si>
  <si>
    <t>Sheynkman</t>
  </si>
  <si>
    <t>Kirill</t>
  </si>
  <si>
    <t>GridGain</t>
  </si>
  <si>
    <t>+1 (650) 241-2281</t>
  </si>
  <si>
    <t>Foster City, CA</t>
  </si>
  <si>
    <t>1065 East Hillsdale Boulevard</t>
  </si>
  <si>
    <t>Suite 410</t>
  </si>
  <si>
    <t>Foster City</t>
  </si>
  <si>
    <t>Mr. Kirill Sheynkman serves as Board Member at GridGain. Mr. Kirill Sheynkman was a Co-founder &amp; served as Managing Partner and Investment Advisor at RTP Ventures. He served as a Board Member at Koding and HYPR. He, with Leonid Boguslavsky, started RTP Global's U.S. operations in 2011 as RTP Ventures. He served as Board Member at WorkFusion. He is focused on developing all aspects of the firm's investment strategy and activity in the United States, building the firm's investment team, and creating a portfolio of vertically-focused B2B companies in FinTech and Healthcare IT as well as infrastructure companies focusing on Cloud Infrastructure, Security, and industrial IoT. He is a 30-year software industry veteran, who has spent 10 of those years as a CEO of software startups. He is a three-time founder of venture-backed enterprise software companies, including an early relational OLAP vendor acquired by IBM in 1995 and Plumtree Software (NASDAQ: PLUM), the creator of the corporate portal market, acquired by BEA/Oracle in 2005. His companies were twice backed by Sequoia Capital where he was also an Entrepreneur in Residence. His experience building companies, not just financing them, has become invaluable to many of the early-stage companies he has backed and that is the investment stage he enjoys most. He served as a Board Member at Tinfoil Security.</t>
  </si>
  <si>
    <t>63823-78P</t>
  </si>
  <si>
    <t>Kyle Williams</t>
  </si>
  <si>
    <t>Williams</t>
  </si>
  <si>
    <t>Kyle</t>
  </si>
  <si>
    <t>Co-Chief Executive Officer</t>
  </si>
  <si>
    <t>+1 (858) 519-2782</t>
  </si>
  <si>
    <t>kyle.williams@bootstrapventurepartners.com</t>
  </si>
  <si>
    <t>Mr. Kyle Williams serves as President at Bootstrap Venture Partners. He serves as Chief Executive Officer at MD Revolution. He served as Board Member at VisualAssay. He served as a Board Member at Catalyst Healthcare Advisors. He served as a Board Observer at Freedom Meditech. He served as a Board Member at Sequoia. He is an experienced leader overseeing all operations and business activities to ensure they produce the desired results and are consistent with the company's overall strategy and vision. He works closely with our Board of Directors and is the main link between the operational teams. He loves the challenge of integrating people, processes, and technology. He provided strategic guidance and financial management for Bootstrap's early-stage companies. Prior to Bootstrap, he served as Director in Merck's corporate strategy office, where he planned and executed enterprise-level strategic change programs. Prior to Merck, he held positions with E&amp;J Gallo Winery, ABHOW, a senior living, and healthcare provider, and MedAssets, a healthcare business intelligence software provider. He currently serves on the Board of Directors for Perceivant, Label Independent, Interactive Lifestyle Management, LoyaltyGenerator, Sequoia Consulting Group, Freedom Meditech (observer), and WellTrackONE. He holds an MBA from the McCombs School at the University of Texas and a Biomedical Engineering bachelor's degree from Vanderbilt University.</t>
  </si>
  <si>
    <t>359447-05P</t>
  </si>
  <si>
    <t>Lee Parry</t>
  </si>
  <si>
    <t>Parry</t>
  </si>
  <si>
    <t>Lee</t>
  </si>
  <si>
    <t>Founder, Managing Director and Board Member</t>
  </si>
  <si>
    <t>Sequoia Health (Consulting Services)</t>
  </si>
  <si>
    <t>+44 (0)16 1764 9944</t>
  </si>
  <si>
    <t>lee.parry@sequoiahealth.co.uk</t>
  </si>
  <si>
    <t>Liverpool, United Kingdom</t>
  </si>
  <si>
    <t>G12 Cotton Exchange</t>
  </si>
  <si>
    <t>Liverpool</t>
  </si>
  <si>
    <t>L3 9LQ</t>
  </si>
  <si>
    <t>Mr. Lee Parry is the Founder and serves as Managing Director and Board Member at Sequoia Health.</t>
  </si>
  <si>
    <t>92088-01P</t>
  </si>
  <si>
    <t>Marvin Ammori JD</t>
  </si>
  <si>
    <t>Ammori</t>
  </si>
  <si>
    <t>Marvin</t>
  </si>
  <si>
    <t>Silica Labs</t>
  </si>
  <si>
    <t>1111 19th Street Northwest</t>
  </si>
  <si>
    <t>20036</t>
  </si>
  <si>
    <t>Mr. Marvin Ammori serves as Chief Legal Officer at Uniswap. He serves as an Executive at Plural VC. He is a Co-Founder of Silica Labs. He is also a Board Member at Engine Advocacy. He serves as a Partner at Carrot Capital. He has invested in startups in debt-relief, drug discovery, and healthcare-delivery drones alongside or preceding Sequoia, Andreessen Horowitz, and other top investors. An experienced general counsel and startup executive, he spent the early part of his career as the nation's leading advocate for freedom-of-speech online and for net neutrality. He graduated from Harvard Law School, continues to serve on the boards of four nonprofits, and was an advisor to HBO's Silicon Valley. He is also a Term Member of the Council on Foreign Relations and a member of the Council's Term Member Advisory Committee. He holds JD in Business from the Harvard Law School in 2003 and a BA in English from the University of Michigan in 1998.</t>
  </si>
  <si>
    <t>296026-75P</t>
  </si>
  <si>
    <t>Michael Holmes</t>
  </si>
  <si>
    <t>Holmes</t>
  </si>
  <si>
    <t>Mr. Michael Holmes serves as Board Member at Sequoia Vaccines. He is the Chairman Emeritus and Founder of Rx Outreach, America's largest non-profit pharmacy providing affordable medicine to people throughout the country. Michael negotiated and led the spin-off of the business from Express Scripts in 2010, converting the ownership into a non-profit organization to better serve the needs of individuals and families who otherwise might not be able to afford their medication. Prior to the spin-off, he was an Executive Vice President at Express Scripts with responsibility for Strategic Planning, all domestic Emerging Markets businesses, Research and Clinical Services, Human Resources, and many of the corporate staff functions. Michael began his career in the Human Resources function working for Monsanto and Pepsi and then Automated Data Processing where he rose to the position of Chief Human Resources Officer. In 1995, Michael joined Edward Jones as a Partner and Chief Human Resources Officer with a focus on building the company's human capital infrastructure for growth while preserving the organization's core values. While there, the company tripled in size and became the "Best Company to Work For" in America for two consecutive years. Michael served on both the Management and Executive Committees overseeing the firm's direction. He serves on the BJC HealthCare board of directors, the National Council for the Brown School at Washington University, the Rx Outreach board, and the Enterprise Financial Services board of directors. Michael is also the past Chairman of the board of the Sickle Cell Disease Association of America and past Chairman of the board of Mary Institute Country Day School in St. Louis. Michael and his wife Gail have also Co-Chaired the Charmaine Chapman Society for the United Way. Michael graduated from Washington University in 1979. Michael completed the Coro Fellows program in 1980 and then a Master's in Business from Webster University.</t>
  </si>
  <si>
    <t>35833-96P</t>
  </si>
  <si>
    <t>Michael Jones</t>
  </si>
  <si>
    <t>Jones</t>
  </si>
  <si>
    <t>Thrive Farmers</t>
  </si>
  <si>
    <t>+1 (855) 553-2763</t>
  </si>
  <si>
    <t>michael.jones@thrivefarmers.com</t>
  </si>
  <si>
    <t>Roswell, GA</t>
  </si>
  <si>
    <t>215 Hembree Park Drive</t>
  </si>
  <si>
    <t>Roswell</t>
  </si>
  <si>
    <t>30076</t>
  </si>
  <si>
    <t>+1 (855) 872-8475</t>
  </si>
  <si>
    <t>Mr. Michael Jones is a Co-Founder and serves as Chief Executive Officer &amp; Board Member at Thrive Farmers. After exiting a healthcare services company in January of 2011 that he had started ten years prior, Michael had planned to spend some long-needed time with his family while deciding what his next course in business would be. It was during this time that he was revisiting a conversation with his father-in-law, a long-time Blue Mountain coffee farmer in Jamaica, about the severe disadvantages in the value chain of coffee, that ultimately led to the creation of THRIVE Farmers - an innovative platform to change the world of coffee and align the interests of producers and consumers for the first time. Michael is the quintessential entrepreneur, having founded and operated several privately held companies. He has managed high growth companies and has been successful in building significant market value for shareholders. Most recently, Michael founded Implantable Provider Group (IPG), a provider of market-based medical implant solutions that is delivered to payors, manufacturers, providers and patients. In his role as President/COO, Michael was named one of Atlanta's top 25 entrepreneurs by Catalyst Magazine in 2008. Jones was selected because of his role in founding IPG and turning it into one of the country's fastest-growing businesses. In 2008, Inc. Magazine ranked IPG as the sixth-fastest growing healthcare company in the country and the 138th fastest-growing overall. FORBES Magazine recently ranked IPG at 5 in its list of 100 Most Promising Companies in America. Michael has been instrumental in raising capital from high profile private equity firms including Sequoia Capital, arguably the most revered venture capital firm in recent history due to its investments in Apple, Atari, Oracle, Cisco, Yahoo, Paypal, Google and others, who invested in IPG in early 2010. Michael's background prior to IPG includes an early career in the financial services industry in corporate finance. He then segued into healthcare in the mid 90's pursuing two other ventures.</t>
  </si>
  <si>
    <t>35799-67P</t>
  </si>
  <si>
    <t>Michael Laven</t>
  </si>
  <si>
    <t>Laven</t>
  </si>
  <si>
    <t>Currencycloud</t>
  </si>
  <si>
    <t>+44 (0)20 3326 8173</t>
  </si>
  <si>
    <t>mike@currencycloud.com</t>
  </si>
  <si>
    <t>The Steward Building</t>
  </si>
  <si>
    <t>12 Steward Street</t>
  </si>
  <si>
    <t>E1 6FQ</t>
  </si>
  <si>
    <t>Mr. Michael Laven serves as Chief Executive Officer and Board Member at Currencycloud. Mr. Laven serves as a Board Member at Stravito. He served as a Board Member at VoxSmart. He serves as an Advisory Board Member at Savant Growth. He served as Chairman at Yobota. He was the Chairman of FRS Global (a Kennet II portfolio company) which was acquired by Wolters Kluwer in September 2010. He serves as an Advisor at Fog City Capital. He has had an extensive career in building and leading successful venture-backed software companies in Silicon Valley and London. For seven years he was the COO of Traiana, a financial network company, based in San Francisco and London. Traiana was backed by Sequoia and acquired by ICAP, a UK brokerage, in 2008. He has been the CEO of venture-backed companies in London (Iris Financial, KWI) and Silicon Valley (Cohera, Infinity Financial &amp; Coronet). He has also assisted a number of technology companies as a Board member or Advisor including Almonde (Paris), and EasySoft (Lisbon). In his early career, he spent six years in Asia working for the United Nations and aid organizations. He has a B.A. in Anthropology from Wesleyan University, an M.A. in International Affairs from The School for International Training, and an M.Ed. from Harvard University.</t>
  </si>
  <si>
    <t>220501-18P</t>
  </si>
  <si>
    <t>Michael Mertz</t>
  </si>
  <si>
    <t>Mertz</t>
  </si>
  <si>
    <t>Mr. Michael Mertz serves as Board Member at Sequoia Sciences. Michael J. Mertz is the Co-President, Partner Solutions at First Data Corporation. This is a $2.8 billion revenue segment of First Data. First Data was acquired in July, 2019, by Fiserv for $22 billion. Michael has been actively involved in the business of financial technology and payment solutions since 2003 when he founded MertzCo. Michael sold his company, MertzCo, to CardConnect in 2017 and he became one of the largest individual shareholders of CardConnect. CardConnect was acquired by first Data for $750 million. Michael was instrumental in this sale to First Data. Michael is an active commercial real estate developer and investor. He is currently invested in early stage companies Bluestone Lane, RhinoDox, Honeybrains and Top Ya! Michael was one of Sequoia Sciences' first investors, and he has invested in the majority of its financing rounds. Michael is a current member of the Chicago Board of Trade where he traded the 30-year bond futures from 1993-2003</t>
  </si>
  <si>
    <t>121503-07P</t>
  </si>
  <si>
    <t>Michael Smith</t>
  </si>
  <si>
    <t>Smith</t>
  </si>
  <si>
    <t>Co-Founder, President, Chief Operating Officer &amp; Board Member</t>
  </si>
  <si>
    <t>aspenify</t>
  </si>
  <si>
    <t>+1 (650) 935-5111</t>
  </si>
  <si>
    <t>michaelsmith@aspenify.com</t>
  </si>
  <si>
    <t>541 Jefferson Avenue</t>
  </si>
  <si>
    <t>94063</t>
  </si>
  <si>
    <t>Mr. Michael Smith is a Co-Founder and serves as President, Chief Operating Officer &amp; Board Member at aspenify. Mr. Smith serves as Managing Partner, COO and General Manager at Sequoia Worldwide. Before joining Sequoia Worldwide, Mike was an executive at Hewlett Packard where he led strategic end-to-end growth initiatives for the Enterprise Servers, Storage and Networking business by accelerating service revenues. Prior to this he was VP &amp; GM within the Business Critical Systems Division responsible for Quality, Customer Satisfaction and Technology Transitions, and Support. In this capacity he led technology, consulting, partnership, technical marketing, and customer-facing support functions. In addition, Mike worked in IT management and SW engineering for HP managing data centers and developing leading-edge systems and processes in the US and Europe. Mike holds a Bachelor's degree in Economics and Computer Applications from the University of Notre Dame and a Masters of Science in technology Management from Pepperdine University. He brings experience from previous roles at WhitespaceX, Santa Clara University Leavey School of Business, Presidio and Sequoia Cloud Solutions. Mike Smith holds a 1994 - 1996 MS in Masters of Science in Technology Mngt from Pepperdine Graziadio Business School. With a robust skill set that includes Cloud Computing, Software Integration, Operations Management, Strategic Planning, Customer Experience and more.</t>
  </si>
  <si>
    <t>124627-96P</t>
  </si>
  <si>
    <t>Natasha Kehimkar</t>
  </si>
  <si>
    <t>Kehimkar</t>
  </si>
  <si>
    <t>Natasha</t>
  </si>
  <si>
    <t>Lingo Live</t>
  </si>
  <si>
    <t>+1 (973) 960-3879</t>
  </si>
  <si>
    <t>nkehimkar@opengov.com</t>
  </si>
  <si>
    <t>Brookline, MA</t>
  </si>
  <si>
    <t>1309 Beacon Street</t>
  </si>
  <si>
    <t>Brookline</t>
  </si>
  <si>
    <t>02446</t>
  </si>
  <si>
    <t>Ms. Natasha Kehimkar serves as Board Member at Lingo Live. Ms. Kehimkar served as Chief People Officer at App Annie. She also served as the Chief People Officer at Fandom (San Francisco). As Chief People Officer, Ms. Kehimkar lead App Annie's global People and Talent team. With cross-industry experience in global HR, talent acquisition and organization effectiveness within both start-up and large enterprise companies, Ms. Kehimkar is responsible for managing strategic initiatives focused on culture, people operations and talent at the company. Prior to App Annie, Ms. Kehimkar served as the VP, People at Guardant Health, a Sequoia-backed biotech start-up company. Prior to that, she was VP of People and Culture at OpenTable where she oversaw all operational and strategic aspects of People Operations &amp; Talent Acquisition for the company. This was preceded by more than 15 years of HR experience at Pfizer and Johnson &amp; Johnson. She holds a BA in Sociology from McGill University and a Master's in Human Resources &amp; Labor Relations.</t>
  </si>
  <si>
    <t>382498-84P</t>
  </si>
  <si>
    <t>Pallavi Chakravorty</t>
  </si>
  <si>
    <t>Chakravorty</t>
  </si>
  <si>
    <t>Pallavi</t>
  </si>
  <si>
    <t>Anko</t>
  </si>
  <si>
    <t>194 TULASI, 3rd &amp; 4th Floor Duplex</t>
  </si>
  <si>
    <t>17th Main, 3rd Sector, HSR Layout</t>
  </si>
  <si>
    <t>560102</t>
  </si>
  <si>
    <t>Ms. Pallavi Chakravorty is a Co-Founder and serves as Chief Executive Officer and Board Member at Anko. She served as growth investor at Sequoia Capital and financial consultant at BCG. Focuses on strategy, business and customer pain point identification.</t>
  </si>
  <si>
    <t>135519-67P</t>
  </si>
  <si>
    <t>Paul Hammond</t>
  </si>
  <si>
    <t>Hammond</t>
  </si>
  <si>
    <t>Paul</t>
  </si>
  <si>
    <t>Board Member &amp; Advisor</t>
  </si>
  <si>
    <t>Yardarm</t>
  </si>
  <si>
    <t>+1 (888) 825-0800</t>
  </si>
  <si>
    <t>Capitola, CA</t>
  </si>
  <si>
    <t>1500 41st Avenue</t>
  </si>
  <si>
    <t>Suite 224</t>
  </si>
  <si>
    <t>Capitola</t>
  </si>
  <si>
    <t>95010</t>
  </si>
  <si>
    <t>Mr. Paul Hammond serves as a Board Member &amp; Advisor at Yardarm Technologies. He is currently the CEO of VirtualPBX.com a leading Business cloud hosted PBX solution which he helped co-found. With over 30 years of strategic, operational, sales, and marketing management experience, Paul has successfully guided the emergence of such companies as Silicon Vision, Specialix, Siemens/Pyramid and, most notably, BEA Systems. As the Vice President of Business Development and Alliances for their ECI Division, Paul helped BEA achieve $1 billion in annual revenue faster than any other software company in the history of the industry. Paul sits on the boards of Iamfine.com and Yardarm Technologies. He has previously held advisorary board seats at CastIron Systems an integration appliance company funded by Sequoia Capital and Norwest Ventures (sold to IBM) and Network Shell (IPO under the name Bladelogic and then sold to BMC) His non profit board work includes; CASA, a child advocacy group in Northern California and the West Valley Business School. Paul holds a BABS in International Business and Corporate Decision Making from Kingston University of London, England.</t>
  </si>
  <si>
    <t>159713-29P</t>
  </si>
  <si>
    <t>Chief Executive Officer &amp; President</t>
  </si>
  <si>
    <t>Virtual PBX</t>
  </si>
  <si>
    <t>+1 (408) 367-6153</t>
  </si>
  <si>
    <t>phammond@virtualpbx.com</t>
  </si>
  <si>
    <t>Mr. Paul Hammond serves as Chief Executive Officer &amp; President at Virtual PBX. Mr. Hammond serves as Board Member at Yardarm. As the chief business visionary at VirtualPBX, Mr. Hammond has helped take the company from a cool side project to a market leader. With over 30 years of strategic, operational, sales, and marketing management experience, Paul has successfully guided the emergence of such companies as Silicon Vision, Specialix, Siemens/Pyramid, and, most notably, BEA Systems. As the Vice President of Business Development and Alliances for their ECI Division, Paul helped BEA achieve $1 billion in annual revenue faster than any other software company in the history of the industry. He currently sits on the Board of Directors for VirtualPBX and IAMFINE.com in addition to being a Board advisor to Yardarm Technologies. He has previously held a board seat at CASA, a non-profit child advocacy group in Northern California, as well as a role on the Advisors Board for West Valley Business School and Cast Iron Systems, an integration appliance company funded by Sequoia Capital and Norwest Ventures. Paul holds an Honors Bachelor's Degree in International Business from Kingston University of London, England.</t>
  </si>
  <si>
    <t>42175-54P</t>
  </si>
  <si>
    <t>Peter Wexler</t>
  </si>
  <si>
    <t>Wexler</t>
  </si>
  <si>
    <t>Peter</t>
  </si>
  <si>
    <t>Founder &amp; President</t>
  </si>
  <si>
    <t>Forest Avenue Technology Group</t>
  </si>
  <si>
    <t>pwexler@forestavetech.com</t>
  </si>
  <si>
    <t>459 Hamilton Avenue</t>
  </si>
  <si>
    <t>Suite 303</t>
  </si>
  <si>
    <t>Mr. Peter Wexler is the Founder and serves as President at Forest Avenue Technology Group. Mr. Wexler is an Investor &amp; serves as Board Member at GLYNT.AI. He Co-Founded and served as Board Member of SpiderCloud Wireless. He is an Angel Investor. He also served as a Board Member at BridgeWave Communications. Mr. Wexler led the engineering team in the development of the initial system. Before SpiderCloud, Mr. Wexler was the vice president of engineering and product operations at Stoke, Inc., a Kleiner Perkins and Sequoia Capital-funded company. Before Stoke, Mr. Wexler was with Juniper Networks where he held the position of vice president of engineering. During his tenure at Juniper, he grew the engineering organization from 17 to 600 and helped lead the company from the initial product through the delivery of multiple generations of high-performance routers. Subsequently, he managed Juniper's Mobile Business and was a director of the Ericsson-Juniper joint venture, J20 GGSN. Mr. Wexler has also held engineering and management positions at Bay Networks, Wellfleet Communications (which became Bay Networks through the merger with Synoptics), Xylogics, and Siemens. Mr. Wexler has an MBA from Boston University, an MSE from the University of Illinois, and a BSEE from SUNY Stonybrook.</t>
  </si>
  <si>
    <t>51604-39P</t>
  </si>
  <si>
    <t>Pierre Labbe</t>
  </si>
  <si>
    <t>Labbe</t>
  </si>
  <si>
    <t>Pierre</t>
  </si>
  <si>
    <t>Ceapro</t>
  </si>
  <si>
    <t>Edmonton, Canada</t>
  </si>
  <si>
    <t>7824-51 Avenue Northwest</t>
  </si>
  <si>
    <t>Edmonton</t>
  </si>
  <si>
    <t>Alberta</t>
  </si>
  <si>
    <t>T6E 6W2</t>
  </si>
  <si>
    <t>Mr. Pierre Labbe serves as Board Member, Member of the Audit and Risks Committee &amp; Governance and Nomination Committee &amp; Chairman of the Human Resources Committee at Osisko Gold Royalties. He served as Chief Financial Officer &amp; Investor Relations at IMV (Biotechnology). He has more than 30 years of progressive financial leadership roles in various industries. He was Vice President and Chief Financial Officer of Leddartech Inc. from April 2015 to March 2017 and was Vice President and Chief Financial Officer of the Quebec Port Authority (October 2013 - April 2015). He also has experience in the resource sector, having served as Chief Financial Officer of Plexmar Resources (2007-2012), Sequoia Minerals (2003-2004), and Mazarin Inc. (2000-2003). Mr. Labbe, in his role as senior financial officer, has participated in the development of strategic plans and in mergers and acquisitions (over $1 billion in transactions). Mr. Labbe was a nominee to the Osisko Board by Virginia Mines Inc. as part of the Osisko-Virginia business combination in 2015. Mr. Labbe holds a Bachelor's Degree in Business Administration and a license in accounting from Universite Laval, Quebec City. He is a member of Ordre des comptables professionnels agrees du Quebec, the Chartered Professional Accountants of Canada and the Institute of Corporate Directors. Public Board Membership in the past 5 years and Interlocking Directorships- Agility Health Inc. (2013 - 2018).</t>
  </si>
  <si>
    <t>327586-33P</t>
  </si>
  <si>
    <t>Pierre Lamond</t>
  </si>
  <si>
    <t>Lamond</t>
  </si>
  <si>
    <t>MindRhythm</t>
  </si>
  <si>
    <t>Cupertino, CA</t>
  </si>
  <si>
    <t>21710 Stevens Creek Boulevard</t>
  </si>
  <si>
    <t>Cupertino</t>
  </si>
  <si>
    <t>95014</t>
  </si>
  <si>
    <t>Mr. Pierre Lamond serves as Board Member at MindRhythm. Mr. Lamond is a pioneer in the semiconductor industry. He started his career in 1957 as an engineer at Transitron Electronics before joining Dr. Gordon E. Moore's R&amp;D team at Fairchild Semiconductor. While at Fairchild, he oversaw the development of advanced high-frequency transistors and the first generation of digital integrated circuits. He left Fairchild in 1967 to cofound the National Semiconductor Corporation (NSM), where he was vice president and general manager, of Integrated Circuits. In 1981, he joined Sequoia Capital as a general partner, where he played a pivotal role in the expansion of the semiconductor, systems, and software portfolios. While at Sequoia, he was chairman of the board at Cypress Semiconductor (CY), Microchip Semiconductor, Vitesse Semiconductor, Open-Silicon Inc., Redback Networks, Verisity, and Plumtree. He left Sequoia in 2009 and joined Khosla Ventures in 2010. He spent four years as a general partner at Khosla Ventures, serving on the boards of SkyboxImaging (Google), Cogenra (SunPower), SEEO (Bosch), Avogy, SeaMicro (AMD), and HeartVista. In 2015, he joined Eclipse Ventures where he served on the boards of Cerebras, Light, Flexlogix, SwiftNav, and Oxide. He left Eclipse in mid-2021. He now invests his own funds and focuses on seed investments in high technology and medical device companies.</t>
  </si>
  <si>
    <t>58713-49P</t>
  </si>
  <si>
    <t>Rajiv Sabharwal</t>
  </si>
  <si>
    <t>Sabharwal</t>
  </si>
  <si>
    <t>Rajiv</t>
  </si>
  <si>
    <t>Non-Executive Director &amp; Board Member</t>
  </si>
  <si>
    <t>Tata Cleantech Capital</t>
  </si>
  <si>
    <t>+91 (0)22 6606 9000</t>
  </si>
  <si>
    <t>rajiv.sabharwal@tatacapital.com</t>
  </si>
  <si>
    <t>Mumbai, India</t>
  </si>
  <si>
    <t>11th Floor, Tower A, Peninsula Business Park</t>
  </si>
  <si>
    <t>Ganpatrao Kadam Marg, Lower Parel</t>
  </si>
  <si>
    <t>Mumbai</t>
  </si>
  <si>
    <t>Maharashtra</t>
  </si>
  <si>
    <t>400013</t>
  </si>
  <si>
    <t>Mr. Rajiv Sabharwal serves as Non-Executive Director and Board Member at Tata Cleantech Capital. He serves as Managing Director, Chief Executive Officer and Board of Director at Tata Capital. He also serves as Chairman at TATA Asset Management. He also serves as Chairman of Tata Capital Financial Services and as Board Member at Tata Capital Housing Finance. He served as a Partner at True North (Managers). He also served as an Executive Director at ICICI Home Finance. He served as a Director at ICICI Bank. He served as Executive Director at ICICI Bank. He has done his Mechanical Engineering from Indian Institute of Technology Delhi and Management from Indian Institute of Management Lucknow. He has over 18 years of experience in the Banking/Financial Services industry. He joined ICICI Group in 1998 and has held leadership positions in credit policy, collections, business analytics, mortgage finance, consumer loans, credit cards, rural and microfinance lending, and financial inclusion. His contribution to the growth of the mortgage and retail business is widely acknowledged in industry circles and within the ICICI group. He also has considerable knowledge relating to the securities and portfolio management business segments as he has been on the investment advisory committee of ICICI Prudential Asset Management Company's Real Estate Portfolios since 2007. Prior to joining ICICI Group, he worked in the Consumer Durables Marketing, Commercial Finance, and Retail Finance businesses at Godrej, SRF Finance, and GE Capital. In January 2009 he joined Sequoia Capital, a leading venture/growth capital company, and worked as Operating Partner focusing on the financial services sector. There he led new investment decisions as well as represented Sequoia on the board in existing investments. He then rejoined ICICI Bank Limited in April 2010.</t>
  </si>
  <si>
    <t>63471-61P</t>
  </si>
  <si>
    <t>Rama Kumar</t>
  </si>
  <si>
    <t>Kumar</t>
  </si>
  <si>
    <t>Rama</t>
  </si>
  <si>
    <t>Co-Founder, Co-Chief Executive Officer &amp; Board Member</t>
  </si>
  <si>
    <t>Tarang</t>
  </si>
  <si>
    <t>+91 (0)47 1232 0773</t>
  </si>
  <si>
    <t>ramak@tarangtech.com</t>
  </si>
  <si>
    <t>Mr. V. Rama Kumar is a Co-Founder and serves as Chief Executive Officer &amp; Board Member at Tarang. Mr. Kumar served as Board Member at Omnyway. He stepped into the shoes of an entrepreneur in the year 2000 when he successfully founded Tarang. Prior to this he worked with Wipro for 18 years. He commenced his career as a software programmer at Wipro writing software for banks and insurance companies. He rose to become Chief Executive of Wipro's Solutions and System Integration business in 1995. He was Corporate Vice President for the Six Sigma initiative reporting to the Chairman of Wipro in 1996. He was responsible for launching Six Sigma across Wipro and re-engineering several critical business processes. He later became Chief Executive of Wipro's E-Commerce, CRM and Data Warehousing business in 1998. Rama has been able to nurture Tarang from its start-up days to its current position. He raised USD 5.5MM funding and brought in GIV and Sequoia as Investors. He built an excellent team of professionals and has taken Tarang to leadership in two domains - Payments and eLearning. He made an acquisition CyberCash Inc in 2001 and launched Tarang into Payments. He helped acquire marquee customers for Tarang in Verisign, First Data Management Systems, eOne Global, Volvo, Teligence Communications, Wipro and Infosys among others. Rama has led Tarang into becoming a fast-growing and profitable company. He holds a B.Tech degree from Madras Institute of Technology and an MBA from IIM Ahmedabad.</t>
  </si>
  <si>
    <t>35712-19P</t>
  </si>
  <si>
    <t>Randy Ditzler</t>
  </si>
  <si>
    <t>Ditzler</t>
  </si>
  <si>
    <t>Randy</t>
  </si>
  <si>
    <t>Datma</t>
  </si>
  <si>
    <t>+1 (650) 854-3927</t>
  </si>
  <si>
    <t>Beaverton, OR</t>
  </si>
  <si>
    <t>3800 Southwest Cedar Hills Boulevard</t>
  </si>
  <si>
    <t>Beaverton</t>
  </si>
  <si>
    <t>Oregon</t>
  </si>
  <si>
    <t>97005</t>
  </si>
  <si>
    <t>Mr. Randy Ditzler is the Owner at Private Investor. He also serves as Board Member at CloudShare. Previously, he served as a Partner at Sequoia Capital.</t>
  </si>
  <si>
    <t>43928-74P</t>
  </si>
  <si>
    <t>Ravi Garikipati</t>
  </si>
  <si>
    <t>Garikipati</t>
  </si>
  <si>
    <t>Ravi</t>
  </si>
  <si>
    <t>Davinta</t>
  </si>
  <si>
    <t>+91 (0)99 7262 5000</t>
  </si>
  <si>
    <t>ravi@davintafinserv.com</t>
  </si>
  <si>
    <t>591, 2nd Floor, 15th Main</t>
  </si>
  <si>
    <t>22nd Cross, HSR Sector 3rd</t>
  </si>
  <si>
    <t>Mr. Ravi Garikipati is a Co-Founder and serves as Chief Executive Officer at Davinta. He serves as Board Member at Axis Asset Management Company. He is an entrepreneur &amp; technologist with over 30 years of experience mostly in technology and executive leadership roles. He is a board member and advisor to many late-stage startups and an active angel investor in deep tech, fintech and consumer tech startups. Prior to co-founding Davinta, as a CTO at Flipkart, defined and executed a technology vision and roadmap to transform commerce. Also founded Fintech as a new vertical with a mission to offer financial products to 100s of millions of underserved and unserved Indians by leveraging data, digital distribution and Technology. Prior to Flipkart, he was President and Chief Technology Officer at 247.ai Innovation Labs, a Sequoia-funded company where he led global product and technology groups to build one of the largest omnichannel customer acquisition &amp; engagement platforms. He also held various senior engineering management positions at Oracle and Covansys, where he gained extensive experience in building scalable enterprise application architectures and services. He served as Chief Technology Officer and Head of Fin-Tech at Flipkart. He served as a Chief Executive Officer at Andale. He also serves as the President of Innovation Labs 24/7. He joined [24]7 in 2009 and has been instrumental in the development of industry-leading Px technologies and solutions. He brings a wealth of knowledge to our team with over 20 years of technology and management experience in building teams that deliver high-quality web-scale software and services in databases, predictive analytics, business intelligence, eCommerce and enterprise application areas. Before joining [24]7, he was Senior Vice President &amp; Managing Director of Vendio, a large third-party e-commerce service provider for small businesses. Under his leadership, Vendio grew to have more than 2 million online sellers and generated millions in annual revenues. Prior to that, he held various senior engineering leadership positions at IBM and Oracle where he led technology initiatives in building scalable enterprise software architectures and services. He holds a Master's in software engineering and an MBA from the Birla Institute of Technology and Science, Pilani, India.</t>
  </si>
  <si>
    <t>174137-32P</t>
  </si>
  <si>
    <t>Rishabh Verma</t>
  </si>
  <si>
    <t>Verma</t>
  </si>
  <si>
    <t>Rishabh</t>
  </si>
  <si>
    <t>ShopDeck</t>
  </si>
  <si>
    <t>+91 (0)98 6915 6273</t>
  </si>
  <si>
    <t>Indiqube Alpha, Plot Number 19/4, 27</t>
  </si>
  <si>
    <t>Outer Ring Road, Panathur Junction</t>
  </si>
  <si>
    <t>Mr. Rishabh Verma is a Co-Founder &amp; serves as Board Member at ShopDeck. He served as Board Observer at LocoNav. He served as Investment Analyst at Sequoia Capital India.</t>
  </si>
  <si>
    <t>341129-08P</t>
  </si>
  <si>
    <t>Robert Cohn</t>
  </si>
  <si>
    <t>Cohn</t>
  </si>
  <si>
    <t>Robert</t>
  </si>
  <si>
    <t>AcureX Therapeutics</t>
  </si>
  <si>
    <t>+1 (650) 264-7552</t>
  </si>
  <si>
    <t>San Carlos, CA</t>
  </si>
  <si>
    <t>930 Brittan Avenue</t>
  </si>
  <si>
    <t>San Carlos</t>
  </si>
  <si>
    <t>94070</t>
  </si>
  <si>
    <t>Mr. Robert Cohn serves as Board Member at AcureX Therapeutics. Mr. Cohn is a seasoned entrepreneur and venture capitalist with over 30 years of leadership in the tech and communications industries. He founded and served as CEO of Octel Communications, pioneering voicemail technology, and led the company for 15 years to its number 1 position worldwide in all sectors until it was acquired by Lucent Technologies, where he became an Executive Vice President. Following Lucent, Mr. Cohn was an investing partner at Sequoia Capital for 3 years. Mr. Cohn has served on a variety of public and private boards, was a Governor of NASDAQ and a member of the Stanford GSB Advisory Board. He has been active with Business Executives for National Security for over 30 years and served in the Defense Reform CEO Panel under Secretary of Defense William Cohen. With a BS in Mathematics and Computer Science from the University of Florida and an MBA from Stanford University, he continues to advise and mentor CEOs of tech companies.</t>
  </si>
  <si>
    <t>207991-27P</t>
  </si>
  <si>
    <t>Robert Kershner</t>
  </si>
  <si>
    <t>Kershner</t>
  </si>
  <si>
    <t>OneTogether Solutions</t>
  </si>
  <si>
    <t>+1 (303) 468-0020</t>
  </si>
  <si>
    <t>robert.kershner@onetogethersolutions.com</t>
  </si>
  <si>
    <t>Boulder, CO</t>
  </si>
  <si>
    <t>6650 Gunpark Drive</t>
  </si>
  <si>
    <t>Boulder</t>
  </si>
  <si>
    <t>80301</t>
  </si>
  <si>
    <t>+1 (303) 568-7753</t>
  </si>
  <si>
    <t>Mr. Robert Kershner is a Co-Founder and serves as the Co-Chief Executive Officer and Board Member at OneTogether Solutions. Robert has worked as a Physical Therapist, Program Director and Administrator in both inpatient and outpatient settings. He was Director of Sequoia Hospital Center for Sports Medicine, Director of Rehab Services at North Valley Rehab Hospital, a 126 Bed LTACH facility with 6 outpatient rehab clinics, and he was CEO of Cornerstone Orthopedics. More recently, he has focused on health care delivery and payment reform initiatives with a special emphasis on tribal health and wellness program development.</t>
  </si>
  <si>
    <t>203876-47P</t>
  </si>
  <si>
    <t>Robinson Hill</t>
  </si>
  <si>
    <t>Hill</t>
  </si>
  <si>
    <t>Co-Chief Executive Officer &amp; Board Member</t>
  </si>
  <si>
    <t>True Sync Media</t>
  </si>
  <si>
    <t>+1 (800) 520-6704</t>
  </si>
  <si>
    <t>rob.hill@truesyncmedia.com</t>
  </si>
  <si>
    <t>Denver, CO</t>
  </si>
  <si>
    <t>720 North Colorado Boulevard</t>
  </si>
  <si>
    <t>Unit Suite 206 North</t>
  </si>
  <si>
    <t>Denver</t>
  </si>
  <si>
    <t>80246</t>
  </si>
  <si>
    <t>Mr. Robinson Hill serves as Co-Chief Executive Officer and Board Member at True Sync Media. Record-setting exits at Greylock, Sequoia, Warburg Pincus &amp; Francisco Partners portfolio companies. Fast-grow execution expert. Former pro athlete. B.S.E. Princeton University. He has led sales, marketing and operations at VC and PE-backed companies for 25+ years, focused on selling and delivering $10-40MM complex deals-from software to services to SaaS to turnkey implementations. A demonstrated history of bootstrapping companies, driving individual sales and delivery teams, and closing game-changing contracts. Grows businesses with a keen focus on execution and customer satisfaction. Previous experience in marketing, building a global #1 sporting goods brand, management consulting and playing on the professional squash tour.</t>
  </si>
  <si>
    <t>43251-22P</t>
  </si>
  <si>
    <t>Ronald Hose</t>
  </si>
  <si>
    <t>Hose</t>
  </si>
  <si>
    <t>Ronald</t>
  </si>
  <si>
    <t>Co-Founder &amp; Head of Products</t>
  </si>
  <si>
    <t>Playdex (Former)</t>
  </si>
  <si>
    <t>+65 6407 1031</t>
  </si>
  <si>
    <t>8 Marina View Asia Square Tower 1</t>
  </si>
  <si>
    <t>Suite 43-01</t>
  </si>
  <si>
    <t>018960</t>
  </si>
  <si>
    <t>Mr. Ronald Hose co-founded and served as Head of Products at Playdex. He serves as Board Member at PCX. He Co-Founded and served as Chief Executive Officer at Coins.ph. Prior to coins.ph, he was a Founding Partner and Advisor of Innovation Endeavors. He co-founded TokBox (acquired by Telefonica), a consumer video conferencing company that was backed by Sequoia Capital, Bain Capital, Stanford University, and some of Silicon Valleys' best-known angel investors. He holds a Bachelors's and Masters's degree from Cornell University, where he graduated at the top of his class. Ron is also an active investor and adviser to several Silicon Valley startups.</t>
  </si>
  <si>
    <t>58697-74P</t>
  </si>
  <si>
    <t>Sandeep Kapoor</t>
  </si>
  <si>
    <t>Kapoor</t>
  </si>
  <si>
    <t>Exprs</t>
  </si>
  <si>
    <t>+91 (0)95 1529 5152</t>
  </si>
  <si>
    <t>Hyderabad, India</t>
  </si>
  <si>
    <t>1st Floor, Advant Towers Plot Number 4</t>
  </si>
  <si>
    <t>Kavuri Hills, Madhapur</t>
  </si>
  <si>
    <t>Hyderabad</t>
  </si>
  <si>
    <t>Telangana</t>
  </si>
  <si>
    <t>500081</t>
  </si>
  <si>
    <t>Mr. Sandeep Kapoor was the Founder and served as the Managing Partner at Algo Legal. He also serves as a Board Member at Exprs. With the pace technology is disrupting industries around India and the world, he leads a team that is highly proficient in advising innovators and investors across the private equity, venture capital, technology, and other internet-related business sectors. Before Algo Legal, Sandeep spent 9 years at Sequoia Capital, where he was Sequoia's first legal hire globally.</t>
  </si>
  <si>
    <t>257865-85P</t>
  </si>
  <si>
    <t>Sandeep Kher</t>
  </si>
  <si>
    <t>Kher</t>
  </si>
  <si>
    <t>Director &amp; Board Member</t>
  </si>
  <si>
    <t>StashAway</t>
  </si>
  <si>
    <t>+91 (0)95 3897 9789</t>
  </si>
  <si>
    <t>105 Cecil Street</t>
  </si>
  <si>
    <t>Number 14-01 The Octagon</t>
  </si>
  <si>
    <t>069534</t>
  </si>
  <si>
    <t>Mr. Sandeep Kher serves as a Board Member at K12 Techno Services. He serves as Director and Board Member at StashAway. He is a Director at Sequoia Capital India and SEA, and has diverse experience in varied businesses like pharmaceutical manufacturing, and non-banking financial and life insurance companies. He has over 20 years of experience in the field of finance and risk. He has served as Chief Risk Officer on the board of Max Life Insurance Company Limited. He serves on the Board of consumer and SAAS companies in addition to his role as an advisor to the Sequoia India/SEA portfolio companies. He is a Chartered Accountant from the Institute of Chartered Accountants of India. He has played vital roles in several companies such as Wyeth Lederle Limited, Kotak Mahindra, Max New York Life Insurance, and SBI Cards.</t>
  </si>
  <si>
    <t>443449-81P</t>
  </si>
  <si>
    <t>Satinder Singh</t>
  </si>
  <si>
    <t>Singh</t>
  </si>
  <si>
    <t>Satinder</t>
  </si>
  <si>
    <t>Sequoia Plantation</t>
  </si>
  <si>
    <t>+241 (0)6 21 28 14</t>
  </si>
  <si>
    <t>Libreville, Gabon</t>
  </si>
  <si>
    <t>Galerie Tsika</t>
  </si>
  <si>
    <t>Boulevard Triomphal</t>
  </si>
  <si>
    <t>Libreville</t>
  </si>
  <si>
    <t>BP 1024</t>
  </si>
  <si>
    <t>Gabon</t>
  </si>
  <si>
    <t>Mr. Satinder Singh serves as Board Member at Sequoia Plantation. He served as Chief Executive Officer at the company. He has 28 years of experience as corporate leader and agro forestry experience across Africa, South America and Newzeland. He earned a Bachelor of Engineering degree and completed a Master of Business Administration.</t>
  </si>
  <si>
    <t>35719-21P</t>
  </si>
  <si>
    <t>Sean Spector</t>
  </si>
  <si>
    <t>Spector</t>
  </si>
  <si>
    <t>Sean</t>
  </si>
  <si>
    <t>Dropoff</t>
  </si>
  <si>
    <t>+1 (888) 376-7633</t>
  </si>
  <si>
    <t>sspector@dropoff.com</t>
  </si>
  <si>
    <t>4301 West William Cannon Drive</t>
  </si>
  <si>
    <t>Suite B-150, 188</t>
  </si>
  <si>
    <t>78749</t>
  </si>
  <si>
    <t>Mr. Sean Spector is a Co-Founder and serves as Chief Executive Officer and Board Member at Dropoff. He is a Co-Founder of Poker Skill. He has spent his career driving growth and innovation for leading technology and media companies. Prior to Dropoff, he co-founded GameFly, which pioneered the video game rental subscription business and was backed by Sequoia Capital and Tenaya Capital. There, he led marketing, business development, mobile strategy, digital distribution, ad sales, content, and M&amp;A efforts. He was previously an Online Producer at The Walt Disney Company and a New Media Agent at Creative Artists Agency. He attended the University of Southern California and holds a B.A. in Film Theory and Criticism from San Francisco State University. He is an Angel Investor.</t>
  </si>
  <si>
    <t>189598-69P</t>
  </si>
  <si>
    <t>Shridhar Gupta</t>
  </si>
  <si>
    <t>Gupta</t>
  </si>
  <si>
    <t>Shridhar</t>
  </si>
  <si>
    <t>LocoNav</t>
  </si>
  <si>
    <t>+91 (0)85 8800 4649</t>
  </si>
  <si>
    <t>shridhar@loconav.com</t>
  </si>
  <si>
    <t>Gurugram, India</t>
  </si>
  <si>
    <t>B-13/14 ThinkValley</t>
  </si>
  <si>
    <t>Sector-32</t>
  </si>
  <si>
    <t>Gurugram</t>
  </si>
  <si>
    <t>Haryana</t>
  </si>
  <si>
    <t>122003</t>
  </si>
  <si>
    <t>Mr. Shridhar Gupta is a Co-Founder and serves as Board Member at LocoNav. He has over 8 years of experience building technology and trading businesses across South Asia. In the past, he has built a healthcare trading business founded in 2009, serving a clientele of over 1000+ hospitals and clinics. He was also on the founding team of Fitho, India's leading fitness tech platform acquired by Practo in 2015. In 2015, before founding LocoNav, he led sales and partnerships at ClearTax, India's first Y-Combinator product, backed by SAIF Partners and Sequoia Capital.</t>
  </si>
  <si>
    <t>52243-21P</t>
  </si>
  <si>
    <t>Shvetank Jain</t>
  </si>
  <si>
    <t>Shvetank</t>
  </si>
  <si>
    <t>Co-Founder &amp; Executive Chairman</t>
  </si>
  <si>
    <t>Collimator</t>
  </si>
  <si>
    <t>+1 (415) 578-5531</t>
  </si>
  <si>
    <t>1624 Market Street</t>
  </si>
  <si>
    <t>Suite 226, PMB 8495</t>
  </si>
  <si>
    <t>80202</t>
  </si>
  <si>
    <t>Mr. Shvetank Jain is a Co-Founder and serves as Executive Chairman at Collimator. Mr. Jain is an Angel Investor. He is a Co-Founder, Co-Owner and serves as Chairman at RudderStack. He is a Co-Founder and serves as a Board Member at Panther. He serves as a Partner at S28 Capital and Clerk. He also served as a Board Member at District Capital and Acquire. He is a serial entrepreneur and has been building companies over the last decade in Silicon Valley. He served as Advisor at Lightup Data. He was involved in Playdom (a Facebook gaming company backed by Lightspeed Ventures) and Kiwi (a mobile entertainment company backed by Sequoia Capital). Playdom was acquired by Walt Disney for $750M in 2010. He is grateful that he went from a garage startup in Menlo Park to a hyper-growth startup in Silicon Valley to the mothership, Walt Disney, in 5 years, helping him gain a unique perspective. He led investments in Mattermost, Gravitational, Acquire.io, CaptivateIQ, Reflektive, Lookback, and Perpetua. He has also helped get companies off the ground from scratches such as Aurora Solar, RudderStack, and Panther Security. His primary interest is in product-led companies. He led our investments in Mattermost, Gravitational, Acquire.io, CaptivateIQ, Reflektive, Lookback, and Perpetua. He holds an MBA in Business from Stanford Graduate School of Business and a Master's and B.Tech in Computer Science from the University of Toronto and the Indian Institute of Technology. He serves as General Partner at Teleport.</t>
  </si>
  <si>
    <t>200667-43P</t>
  </si>
  <si>
    <t>Skip Sanzeri</t>
  </si>
  <si>
    <t>Sanzeri</t>
  </si>
  <si>
    <t>Skip</t>
  </si>
  <si>
    <t>Co-Founder, Chief Financial Officer, Chief Operating Officer, Chief Revenue Officer &amp; Board Chairman</t>
  </si>
  <si>
    <t>QuSecure</t>
  </si>
  <si>
    <t>+1 (650) 356-8001</t>
  </si>
  <si>
    <t>skip@qusecure.com</t>
  </si>
  <si>
    <t>1900 South Norfolk Street</t>
  </si>
  <si>
    <t>Suite 350</t>
  </si>
  <si>
    <t>94403</t>
  </si>
  <si>
    <t>Mr. Skip Sanzeri is also a Co-Founder of Quantum Thought, where he serves as its Board Member. He Founded and served as a Strategic Advisor at Multiverse Capital. He is also a Co-Founder and serves as Chief Financial Officer, Chief Operating Officer, Chief Revenue Officer and Board Chairman at QuSecure. He heads up corporate strategy for 3C, the nation's leading strategic cannabis consulting firm, where he is responsible for branding, PR, marketing, and partnerships. Recently He raised $7.6m in the capital for a cannabis sensor company and spearheaded the effort to take the company public. Heis a Silicon Valley entrepreneur who has helped a variety of startups launch, grow, and successfully exits. In addition, he has founded and launched his own companies. He started his entrepreneurial career at an early age buying a Gold's Gym in the San Francisco Bay Area expanding to a total of six clubs before exiting via a sale of the franchise to 24-Hour Fitness. He then helped grow the IAC division of Ziff-Davis publishing to $250 million, after which he helped sell to Thomson Publishing. He continued his entrepreneurial career with Sequoia Capital-backed Quote.com which was acquired by Lycos. He then founded and funded the first open-source strategy firm - Open Source Group, which was sold to Olliance, Inc. Throughout his career, He has helped other startups, launch, grow, and exit. He earned his bachelor's degree from Claremont McKenna College, and then followed with a Master's in Public Administration from the College of Notre Dame. He has worked on many volunteer projects and is a Distinguished Fellow and on the Board of Governors of the New Westminster Society, a global organization providing educational scholarships for those in need.</t>
  </si>
  <si>
    <t>121500-28P</t>
  </si>
  <si>
    <t>Stephen Hanney</t>
  </si>
  <si>
    <t>Hanney</t>
  </si>
  <si>
    <t>Stephen</t>
  </si>
  <si>
    <t>steve@aspenify.com</t>
  </si>
  <si>
    <t>Mr. Stephen Hanney is a Co-Founder and serves as Chief Executive Officer and Board Member at aspenify. Mr. Hanney is a Co-Founder and serves as Chief Cloud Officer and Managing Partner at Sequoia Worldwide. He has significant experience in technology solutions, strategic business development, professional services, outsourcing, solutions development, marketing, consulting, practice management, and service delivery. In his current role, he provides a unique portfolio of enablement services to leading IT vendors and their strategic channel partners. With a passion for solutions-led sales and services, he is uniquely positioned to help accelerate sales and delivery of products, services, and solutions in the emerging cloud era. Prior to forming Sequoia Worldwide, he was vice president of professional services at NetApp. In addition, he spent 15 years at Hewlett-Packard, where the majority of his time was spent within HP Services and Global Industry Sales. Prior to joining HP, he held various leadership positions at Prime Computer, Inc. and Apollo Computing. He brings experience from previous roles at NetApp, Hewlett-Packard and Senaryo Services Ltd. Steve Hanney holds a 1984 - 1989 B.Sc. Hons in Computer Science from Coventry University. With a robust skill set that includes Cloud Computing, Solution Architecture, Solution Selling, Cisco, NetApp and more.</t>
  </si>
  <si>
    <t>44593-39P</t>
  </si>
  <si>
    <t>Stephen Notestine Sr.</t>
  </si>
  <si>
    <t>Notestine</t>
  </si>
  <si>
    <t>Mr. Stephen Notestine serves as Board Member at Sequoia Vaccines. Stephen Notestine has been in the commercial real estate and development business for 30 years. Currently, he is a founding partner of Quadrant Properties, a development company active in Denver and Dallas. He has invested in over a dozen start-up and technology businesses in recent years. He has been a strong proponent and active fundraiser for Sequoia since its inception in 1999 and also serves as its Board Member.</t>
  </si>
  <si>
    <t>157199-68P</t>
  </si>
  <si>
    <t>Steve Trampe</t>
  </si>
  <si>
    <t>Trampe</t>
  </si>
  <si>
    <t>Steve</t>
  </si>
  <si>
    <t>Co-Founder, Chief Financial Officer &amp; Board Member</t>
  </si>
  <si>
    <t>Geniecast</t>
  </si>
  <si>
    <t>+1 (877) 774-3643</t>
  </si>
  <si>
    <t>555 Washington Avenue</t>
  </si>
  <si>
    <t>63101</t>
  </si>
  <si>
    <t>Mr. Steve Trampe is a Co-Founder &amp; serves as Chief Financial Officer and Board Member at Geniecast. Mr. Trampe has founded or co-founded seven different companies in various industries, including cosmetics, manufacturing, medical diagnostics, retail and fish farming. He currently serves as chairman of Sequoia Sciences, a plant-based drug discovery company and as the director of Elemental Enzymes, a stabilized enzyme company involved in the agricultural industry. He is also the founder of Owen Development, a real estate development company focused on unique development opportunities. Steve is chairman of the St. Louis Building Arts Foundation, which has the largest collection of architectural artifacts in the United States, and the vice-chairman of Opera America. He is a long-time executive board member of Opera Theatre and is a past director and president of Circus Flora, a one-ring European-style circus. He has previously served on the board of Craft Alliance, the St. Louis Film Festival and the Arts &amp; Education Council. He has judged numerous business plan competitions, mentored many start-up companies and has heard and reviewed hundreds of investment proposals.</t>
  </si>
  <si>
    <t>39060-28P</t>
  </si>
  <si>
    <t>Steven Skolsky</t>
  </si>
  <si>
    <t>Skolsky</t>
  </si>
  <si>
    <t>Steven</t>
  </si>
  <si>
    <t>Chief Executive Officer, President &amp; Board Member</t>
  </si>
  <si>
    <t>Sequoia Pharmaceuticals</t>
  </si>
  <si>
    <t>+1 (240) 632-0094</t>
  </si>
  <si>
    <t>Gaithersburg, MD</t>
  </si>
  <si>
    <t>401 Professional Drive</t>
  </si>
  <si>
    <t>Gaithersburg</t>
  </si>
  <si>
    <t>20879</t>
  </si>
  <si>
    <t>Mr. Steven Skolsky serves as Chief Executive Officer, President &amp; Board Member at Sequoia Pharmaceuticals. He has served as a director at Fennec Pharmaceuticals since August 2011. He also serves as a Board Member at Clinipace Worldwide. With a distinguished career spanning 30 years in the life sciences, Mr. Skolsky is a recognized industry leader who has held numerous international general management and executive leadership roles in the pharmaceutical and biotech sectors with a principal emphasis on commercialization, product strategy, and new product development. He was recently appointed to the position of Global Head of Clinical and Data Operations at Quintiles Transnational after serving as Principal of EXPIS Partners, a strategic life science consultancy. Mr. Skolsky also currently serves on the Board of Basilea Pharmaceutica, a Swiss based biopharmaceutical company where he previously served as Vice Chairman of the Board. Mr. Skolsky is the former President and Chief Executive Officer of Sequoia Pharmaceuticals, a privately held company specializing in novel antiviral therapeutics. Prior to his appointment at Sequoia, he held the position of Chief Executive Officer at Trimeris, Inc., a publicly held company that discovered and commercialized Fuzeon®, a first- in-class HIV therapeutic in collaboration with partner F. Hoffmann-La Roche. Previously, Mr. Skolsky served over 20 years at GlaxoSmithKline in a range of senior leadership roles, including Senior Vice President of Global Product Strategy and Clinical Development, Managing Director of GSK's operations in Australia and New Zealand and Head of Glaxo Wellcome's Division of HIV/Oncology. Mr. Skolsky received his Bachelor's Degree in Biology from the University of North Carolina at Chapel Hill. He serves as Board Member at Huma.AI.</t>
  </si>
  <si>
    <t>35712-28P</t>
  </si>
  <si>
    <t>Timothy Lee</t>
  </si>
  <si>
    <t>Timothy</t>
  </si>
  <si>
    <t>Level AI</t>
  </si>
  <si>
    <t>Mountain View, CA</t>
  </si>
  <si>
    <t>148 Castro Street</t>
  </si>
  <si>
    <t>Unit 2A</t>
  </si>
  <si>
    <t>Mountain View</t>
  </si>
  <si>
    <t>94041</t>
  </si>
  <si>
    <t>Mr. Timothy Lee serves as Board Member at Level AI. Mr. Lee is an Angel Investor. He founded and served as Board Member at Avid AI. He served as Board Member at App Annie. He is a Founder and also serves as Chief Executive Officer of Avid AI. He serves as Board Member at Fite. Mr. Lee served as a Partner at Sequoia Capital. He works with mobile, cloud, and software companies. Prior to joining Sequoia Capital in 2009, he worked at Google where he managed European marketing and product launch strategy. While at Google, he also conceived the YouTube Symphony Orchestra. Earlier, he worked at McKinsey &amp; Company in London and at microprocessor IP company, ARM, in Cambridge UK. Mr. Lee has a master's in Electrical and Information Engineering from Cambridge University and an MBA from Stanford University's Graduate School of Business.</t>
  </si>
  <si>
    <t>36573-49P</t>
  </si>
  <si>
    <t>Tom Moss JD</t>
  </si>
  <si>
    <t>Moss</t>
  </si>
  <si>
    <t>Tom</t>
  </si>
  <si>
    <t>Chief Corporate Development</t>
  </si>
  <si>
    <t>Skydio</t>
  </si>
  <si>
    <t>+1 (650) 239-0582</t>
  </si>
  <si>
    <t>tom@skydio.com</t>
  </si>
  <si>
    <t>3000 Clearview Way</t>
  </si>
  <si>
    <t>Building East</t>
  </si>
  <si>
    <t>94402</t>
  </si>
  <si>
    <t>Mr. Tom Moss serves as Chief Corporate Development at Skydio. He is an Angel Investor. He serves as Board Member at Hidden Level. He is a Co-Founder and serves as a Chief Executive Officer and Board Member at Nextbit Systems. He He served Accel as an Entrepreneur-in-Residence. Previously, Tom was co-founder and CEO of Three Laws Mobility (3LM), a start-up acquired in 2010 by Motorola Mobility, which was later acquired by Google. Tom continued his role as CEO of 3LM through both acquisitions. Prior to 3LM, Tom was an executive on the Android team at Google. At Google, Tom served as Worldwide Head of Business Development and Partnerships for Android. While at Google, Tom was also the recipient of a Founders Award, the highest employee award at Google, given for extraordinary entrepreneurial achievement by a team at Google (in this case, the Android team). Prior to Google, Tom was an attorney specializing in intellectual property transactions, and represented a diverse set of clients including LinkedIn, SAP, Intuit, ICANN, SunPower, Hitachi, Sequoia Capital, AT&amp;T, Walt Disney and JP Morgan. Tom received a Juris Doctorate from the UCLA School of Law, and a baccalaureate degree (with honors) from the University of Oregon. While at UCLA School of Law, Tom served as Editor-in-Chief of the Pacific Basin Law Journal, was a finalist in the Roscoe Pound competition, and represented UCLA at the Jessup International Law Moot Court competition. He serves as the Board Member at Cynogen. He also serves on Board of Nextbit.</t>
  </si>
  <si>
    <t>267678-46P</t>
  </si>
  <si>
    <t>Uday Philar</t>
  </si>
  <si>
    <t>Philar</t>
  </si>
  <si>
    <t>Founder, Chief Education Officer &amp; Board Member</t>
  </si>
  <si>
    <t>Sequoia Bio</t>
  </si>
  <si>
    <t>udayphilar@sequoiabio.com</t>
  </si>
  <si>
    <t>Pune, India</t>
  </si>
  <si>
    <t>G 102 Maestros, Survey No 60/7 Opposite Salunkhe Vihar</t>
  </si>
  <si>
    <t>Mauje Wanawadi</t>
  </si>
  <si>
    <t>Pune</t>
  </si>
  <si>
    <t>411040</t>
  </si>
  <si>
    <t>Mr. Uday Philar is the Founder and serves as Chief Education Officer &amp; Board Member at Sequoia Bio.</t>
  </si>
  <si>
    <t>74254-24P</t>
  </si>
  <si>
    <t>Victor Belfor</t>
  </si>
  <si>
    <t>Belfor</t>
  </si>
  <si>
    <t>Victor</t>
  </si>
  <si>
    <t>rollApp</t>
  </si>
  <si>
    <t>Mr. Victor Belfor serves as Advisor at rollApp. He serves as Board Member at Greater Farallones Association. He serves as Board Member at Heirloom Computing. He served as Vice President, Partnerships and Distribution Strategy at OpenSesame. He also served as the Director of Business Development at Centrify. He serves as Advisor at rollApp. He is an investor and an executive. He is focused on telecom and cloud computing and especially the area where the two overlap. Today, he also holds the position of the VP of Strategic Alliances at RingCentral, where he runs the company's partnerships business in the US and Internationally. RingCentral is the leader in cloud business telephony and is funded by Sequoia, Khosla and SCALE. Prior to this, Victor ran IP licensing in North and South America, India, Israel, Korea and Japan at Coding Technologies which was acquired by Dolby in 2007 for $280M. He is working on his MBA from the Wharton School of Business and frequently writes on topics of investment and entrepreneurship. He was also a Mentor at7 500 Startups.</t>
  </si>
  <si>
    <t>149137-21P</t>
  </si>
  <si>
    <t>Vimal Kavuru</t>
  </si>
  <si>
    <t>Kavuru</t>
  </si>
  <si>
    <t>Vimal</t>
  </si>
  <si>
    <t>Founder, Co-Owner, Chief Executive Officer, President &amp; Chairman</t>
  </si>
  <si>
    <t>Rising Pharma Holdings</t>
  </si>
  <si>
    <t>+1 (201) 961-9000</t>
  </si>
  <si>
    <t>vkavuru@risingpharma.com</t>
  </si>
  <si>
    <t>East Brunswick, NJ</t>
  </si>
  <si>
    <t>2 Tower Center Boulevard</t>
  </si>
  <si>
    <t>Suite 1401A</t>
  </si>
  <si>
    <t>East Brunswick</t>
  </si>
  <si>
    <t>08816</t>
  </si>
  <si>
    <t>+1 (201) 961-1234</t>
  </si>
  <si>
    <t>Mr. Vimal Kavuru is the Founder &amp; Co-Owner and serves as Chief Executive Officer, President and Chairman at Rising Pharma Holdings. Mr. Kavuru serves as Board Member at Acasti Pharma. He is a Co-Founder &amp; serves as Board Member at Celon Labs. He is also an Angel Investor. He was a Co-Founder of Grade Therapeutics and also served as its Chairman. He was a Founder and served as Chief Executive Officer at Citron Pharma. He is an experienced Pharmaceutical Executive with a successful track record of business leadership, business development and creating niche life science/Pharma companies. Mr. Kavuru graduated with B.S. in Pharmacy in 1989 and is a registered Pharmacist in New York. A serial entrepreneur, he co-founded Celon Labs Ltd. a Sequoia Capital-funded specialty pharmaceutical company. Celon focuses on Oncology and Critical Care segments in India and over 20 semi-regulated markets. He founded Gen-Source RX in 2008, a leading national distributor of generic pharmaceuticals to independent and Long-Term Care pharmacies by acquiring Cedardale Distributors. Under his leadership, Gen-Source RX significantly grew revenues and its customer base in six years and was successfully divested from Cardinal Health in 2014. He is the Founder of Casper Pharma LLC, an emerging specialty brand and injectable pharmaceutical company, and Director of Cronus Pharma LLC, an animal health pharmaceutical company.</t>
  </si>
  <si>
    <t>130497-40P</t>
  </si>
  <si>
    <t>Walt Pounds</t>
  </si>
  <si>
    <t>Pounds</t>
  </si>
  <si>
    <t>Walt</t>
  </si>
  <si>
    <t>California Safe Soil</t>
  </si>
  <si>
    <t>+1 (916) 539-5458</t>
  </si>
  <si>
    <t>McClellan, CA</t>
  </si>
  <si>
    <t>4700 Lang Avenue</t>
  </si>
  <si>
    <t>Bay C</t>
  </si>
  <si>
    <t>McClellan</t>
  </si>
  <si>
    <t>95652</t>
  </si>
  <si>
    <t>Mr. Walt Pounds serves as Board Member at California Safe Soil. Mr. Pounds serves as Board Member at CaraSolva. Mr. Pounds serves as Board President at Imagine Foundation. Mr. Pounds is an Angel Investor. He served as the Board Member at Presidio Graduate School. He served as the Integration Consulting at Deloitte &amp; Touche. He served as President at Solbourne Computer. He worked in the information technology industry for over 30 years in financial and general management roles. Early in his career he was employed at Digital Equipment Corp. and Storage Technology Corp. However most of his experience has been early stage companies. He worked as CFO at two venture capital backed start-ups funded by Mayfield; Kleiner, Perkins and Sequoia. Walt joined Solbourne in 1994, initially as CFO and four years later negotiated the purchase of Solbourne from Panasonic. As President he worked closely with Geoff Moore, author of Crossing the Chasm, redirecting the strategy to provide IT consulting services to the Oracle Applications market. After growing the company to 130 employees Walt negotiated the sale of the business to Deloitte Consulting in 2008. He completed a transition contract with Deloitte in 2011. Other board member roles include Board President of the Imagine Foundation (serving the needs of the disabled in Boulder County Colorado), CaraSolva, past President of Financial Executives International Denver Chapter. He is a member of Social Venture Partners, Investor Circle and Social Venture Network. Walt received his MBA from the University of Colorado and BS from the University of Northern Colorado.</t>
  </si>
  <si>
    <t>289173-43P</t>
  </si>
  <si>
    <t>Willem Van Biljon</t>
  </si>
  <si>
    <t>Van Biljon</t>
  </si>
  <si>
    <t>Willem</t>
  </si>
  <si>
    <t>TallOrder</t>
  </si>
  <si>
    <t>+27 (0)72 863 0116</t>
  </si>
  <si>
    <t>Cape Town, South Africa</t>
  </si>
  <si>
    <t>Workshop 17 Tabakhuis</t>
  </si>
  <si>
    <t>Corner of Tabak and Louws Street Paarl</t>
  </si>
  <si>
    <t>Cape Town</t>
  </si>
  <si>
    <t>Western Cape</t>
  </si>
  <si>
    <t>7646</t>
  </si>
  <si>
    <t>South Africa</t>
  </si>
  <si>
    <t>Mr. Willem Van Biljon serves as Board Member at TallOrder. He graduated from the University of Cape Town with a degree in Computer Science. He held engineering and research positions at LinkData, the Institute for Applied Computer Science and the National Research Institute for Mathematical Sciences. He co-founded Mosaic Software. Mosaic built the Postilion payment system, the first high-end payment transaction switch for commodity hardware and operating systems (Windows). Mosaic's investors included GE and Paul Maritz. The company became one of the top three payment processing software vendors in the world and was sold in 2004 to S1 Corp. He worked for Amazon.com where he, along with Chris Pinkham and Christopher Brown, led the team that developed Amazon's Elastic Compute Cloud (EC2). He built the business plan for the service and was responsible for product management and marketing for the public cloud service. In 2006, he left Amazon Web Services and later started a venture with Chris Pinkham. The company, Nimbula, was focused on Cloud Computing software and was funded by Sequoia Capital and Accel Partners. In March 2013, Nimbula was acquired by Oracle Corporation. After Nimbula, he joined takealot.com, the largest e-commerce retailer in South Africa where he served as Co-CEO and CTO from 2014 to 2017. He is also an advisor and board member to a number of technology companies. He co-authored seven patents in cloud computing including "Managing Communications Between Computing Nodes", "Managing Execution of Programs by Multiple Computing Systems".</t>
  </si>
  <si>
    <t>35384-23P</t>
  </si>
  <si>
    <t>William Butler</t>
  </si>
  <si>
    <t>Butler</t>
  </si>
  <si>
    <t>JourneyDXP</t>
  </si>
  <si>
    <t>+1 (484) 443-4100</t>
  </si>
  <si>
    <t>bbutler@journeysales.com</t>
  </si>
  <si>
    <t>Villanova, PA</t>
  </si>
  <si>
    <t>775 East Lancaster Avenue</t>
  </si>
  <si>
    <t>Villanova</t>
  </si>
  <si>
    <t>Pennsylvania</t>
  </si>
  <si>
    <t>19085</t>
  </si>
  <si>
    <t>Mr. William Butler is a Co-Founder and serves as the Chief Executive Officer and a Board Member at Journey Sales. He serves as President at iPipeline. Mr. Butler is an accomplished executive with more than 20 years experience growing technology companies in Content Management, Marketing Automation, Compliance, Security, and Social Networking. His unprecedented track record of revenue achievement is based on the ability to hire, train, and motivate top performers coupled with leading edge sales processes designed to provide a competitive advantage. He has worked with many of the top venture firms including Kleiner Perkins, Benchmark, Integral Capital, Sequoia Capital, and Norwest. He has grown firms from startup to over $250M in revenue leading to both public offerings and profitable acquisitions. He has managed worldwide teams including direct sales, channels, inside sales, marketing, &amp; professional services. In 1993, he joined Documentum with the release of version 1.0 and closed the majority of customers in the early years allowing Documentum to "Cross the Chasm" in the Pharmaceutical Industry. Over the next 8 years, he led the Sales Organization into multiple industries, worldwide expansion, a successful IPO, and left in 2001 with revenues of $250M. From 2001 to 2008, he worked with a number of early stage software companies including MarketSoft, Visible Path, and Orchestria. He has an undergraduate degree from the Pennsylvania State University and an MBA from Boston College. He works with local and international charitable organizations helping families transition from welfare to self sufficiency.</t>
  </si>
  <si>
    <t>35742-25P</t>
  </si>
  <si>
    <t>Aaref Hilaly</t>
  </si>
  <si>
    <t>Public Company</t>
  </si>
  <si>
    <t>Hilaly</t>
  </si>
  <si>
    <t>Aaref</t>
  </si>
  <si>
    <t>Guardant Health</t>
  </si>
  <si>
    <t>+1 (617) 369-9903</t>
  </si>
  <si>
    <t>505 Penobscot Drive</t>
  </si>
  <si>
    <t>+1 (888) 974-4258</t>
  </si>
  <si>
    <t>Mr. Aaref Hilaly serves as Partner at Bain Capital Ventures. He also served as a Partner at Arjula Capital. He also serves as a Board Member at Decagon,Clari, Cleanlab, Guardant Health. He serves as a Board Observer at ReCharge Payments. He previously served as a Board Member at Notable, Duck Duck Moose, LightStep, Keen (IO), MobileIron, Remix, Skyhigh Networks, Truera, and Validere. He served as a Board Observer and advisor at ThousandEyes. Previously he also served as Partner at Wing Venture Capital. He joined Sequoia Capital, in April 2012 and served as a Managing Member of Sequoia Capital Operations from January 2015 to June 2018. He also served as Vice President of engineering at Symantec Corp. from June 2011 to April 2012. He served as the Chief Executive Officer of Clearwell Systems, Inc. Before that, he was the founder and Chief Executive Officer of CenterRun, Inc. He holds an M.B.A. degree from Harvard Business School, an M.A. in Economics from McGill University, and a B.A. from Oxford University.</t>
  </si>
  <si>
    <t>346306-33P</t>
  </si>
  <si>
    <t>Amanda Reierson</t>
  </si>
  <si>
    <t>Reierson</t>
  </si>
  <si>
    <t>Amanda</t>
  </si>
  <si>
    <t>Porch Group</t>
  </si>
  <si>
    <t>+1 (855) 767-2400</t>
  </si>
  <si>
    <t>Seattle, WA</t>
  </si>
  <si>
    <t>411 1st Avenue South</t>
  </si>
  <si>
    <t>Suite 501</t>
  </si>
  <si>
    <t>Seattle</t>
  </si>
  <si>
    <t>98104</t>
  </si>
  <si>
    <t>Amanda Reierson was appointed as a director in October 2022. She is a marketing veteran with over two decades of experience, including significant management experience in home services and property and casualty insurance. Ms. Reierson served as Chief Marketing Officer at Avant, a financial technology company that provides access to innovative financial solutions, including personal loans and credit cards, and is focused on reaching consumers wherever they may be on their financial journey. Prior to joining Avant, Ms. Reierson served as Head of Marketing at Sequoia-backed Thumbtack, overseeing all branding/creative efforts, media, CRM, and product marketing. Ms. Reierson was also previously Chief Growth Officer at Farmers Insurance, where she led the company's digital marketing and product transformation. Throughout her career she has also served in a variety of B2C and B2B marketing roles at Yahoo, DIRECTV, and the Los Angeles Times. She received her B.A. in Political Science from the University of California, Los Angeles.</t>
  </si>
  <si>
    <t>418808-98P</t>
  </si>
  <si>
    <t>Mid Wynd International Investment Trust</t>
  </si>
  <si>
    <t>+44 (0)13 1225 7300</t>
  </si>
  <si>
    <t>Edinburgh, United Kingdom</t>
  </si>
  <si>
    <t>42 Melville Street</t>
  </si>
  <si>
    <t>Edinburgh</t>
  </si>
  <si>
    <t>Scotland</t>
  </si>
  <si>
    <t>EH3 7HA</t>
  </si>
  <si>
    <t>Anulika Malomo will be appointed to the board as an independent non-executive director with effect from 24 October 2024. Anulika advises on a portfolio of investments across EMEA and is a non-executive director at HarbourVest Global Private Equity Limited, appointed in May 2022. She has extensive investment experience having held private equity roles at Sagana, Carlyle and Soros Fund and investment banking roles at Lehman Brothers and Goldman Sachs. Anulika founded The Sequoia Platform, an educational charity focused on social mobility for young people in the United Kingdom and was formerly chair of the board of governors at the University of East London.</t>
  </si>
  <si>
    <t>41149-81P</t>
  </si>
  <si>
    <t>Ariel Emanuel</t>
  </si>
  <si>
    <t>Emanuel</t>
  </si>
  <si>
    <t>Ariel</t>
  </si>
  <si>
    <t>Chief Executive Officer &amp; Chairman</t>
  </si>
  <si>
    <t>TKO Group Holdings</t>
  </si>
  <si>
    <t>+1 (646) 558-8333</t>
  </si>
  <si>
    <t>aemanuel@endeavorco.com</t>
  </si>
  <si>
    <t>200 Fifth Avenue</t>
  </si>
  <si>
    <t>Mr. Ariel Emanuel serves as Chief Executive Officer and Board Member at Endeavor. Mr. Emanuel serves as Chief Executive Officer &amp; Chairman at TKO Group. He serves as Advisor at OTOY. He also serves as Board Member at Applecart. He is an Angel Investor. He also serves as Chief Executive Officer at WME IMG. He was also an Advisor at The Raine Group. He serves as Executive at WME-IMG and Sequoia (Joint Venture). He was a Partner at InterTalent and a Senior Agent at International Creative Management. He began his Entertainment Industry Career as an Agent Trainee at Creative Artists Agency. He is an Environmental and Political Activist. He was a Promoter of Live Music Events and Entertainment Venue Management Company. He serves as Member of Endeavor Talent Agency (also known as William Morris Endeavor Entertainment), a California-based talent agency, which he founded in 1995. He also served as the Co-Chair of the 2002 Earth to L.A. biennial fund-raising event for the Natural Resources Defense Council.</t>
  </si>
  <si>
    <t>217474-30P</t>
  </si>
  <si>
    <t>Bethann Colle</t>
  </si>
  <si>
    <t>Colle</t>
  </si>
  <si>
    <t>Bethann</t>
  </si>
  <si>
    <t>Urbana</t>
  </si>
  <si>
    <t>+1 (416) 595-9106</t>
  </si>
  <si>
    <t>150 King Street West</t>
  </si>
  <si>
    <t>Suite 1702</t>
  </si>
  <si>
    <t>M5H 1J9</t>
  </si>
  <si>
    <t>+1 (416) 862-2498</t>
  </si>
  <si>
    <t>Bethann Colle, Partner, Sequoia Group Executive Search Consultants.</t>
  </si>
  <si>
    <t>36699-58P</t>
  </si>
  <si>
    <t>Brian Halligan</t>
  </si>
  <si>
    <t>Halligan</t>
  </si>
  <si>
    <t>Chairman &amp; Founder</t>
  </si>
  <si>
    <t>HubSpot</t>
  </si>
  <si>
    <t>+1 (888) 482-7768</t>
  </si>
  <si>
    <t>brian@propellervc.com</t>
  </si>
  <si>
    <t>2 Canal Park</t>
  </si>
  <si>
    <t>02141</t>
  </si>
  <si>
    <t>+1 (617) 812-5820</t>
  </si>
  <si>
    <t>Mr. Brian Halligan is a Co-Founder and serves as Partner &amp; General Partner at Propeller. He served as Advisor at OneScreen.ai. Mr. Halligan serves as Senior Advisor, Growth at Sequoia Capital. He serves as Board Member at Novy. He has pioneered the partnership with its fund strategy and is the ultimate CEO coach to its founders. He is the co-founder and Executive Chairperson of HubSpot, a customer relationship management (CRM) platform. HubSpot was founded in 2006, was first listed on the NYSE in 2014, and has grown to over $1 billion in revenue serving more than 100,000 customers worldwide. Prior to starting HubSpot, he was a Venture Partner at Longworth Ventures, was VP of Sales at Groove Networks (acquired by Microsoft), and a Senior VP of Sales at PTC. He also served on the board of directors of Fleetmatics Group, a global provider of fleet management solutions, until its acquisition by Verizon Communications in November 2016. He is a senior lecturer at MIT's Sloan School Of Management where he teaches Course 15.392 called "Scaling Entrepreneurial Ventures." He has a BSEE from the University Of Vermont and an MBA from MIT's Sloan School Of Management. He's a member of the corporation at the Woods Hole Oceanographic Institution where he focuses on climate change.</t>
  </si>
  <si>
    <t>42454-36P</t>
  </si>
  <si>
    <t>Carl Eschenbach</t>
  </si>
  <si>
    <t>Eschenbach</t>
  </si>
  <si>
    <t>Carl</t>
  </si>
  <si>
    <t>Board Member &amp; Chief Executive Officer</t>
  </si>
  <si>
    <t>Workday</t>
  </si>
  <si>
    <t>+1 (925) 951-9000</t>
  </si>
  <si>
    <t>Pleasanton, CA</t>
  </si>
  <si>
    <t>6110 Stoneridge Mall Road</t>
  </si>
  <si>
    <t>Pleasanton</t>
  </si>
  <si>
    <t>94588</t>
  </si>
  <si>
    <t>Mr. Carl Eschenbach serves as Chief Executive Officer and Board Member at Workday. Mr. Eschenbach serves as Board Member at Kumo. He serves as Venture Partner, Growth at Sequoia Capital. He serves as a Board Member at Retool. He serves as Board Observer at Cohesity. He serves as Board Member at UiPath. He had served as an Executive at Lodash. He serves as a Board Member at Salt Security, Cresta, and Grafana Labs. He served as a Board Member &amp; Member of the Compensation Committee at Snowflake. He is a managing member at Sequoia, where he focuses on infrastructure technologies, cloud, and SaaS. He also provides operating expertise to Sequoia's portfolio companies. Before Sequoia, he was President and COO of VMware, where he helped grow the company from $31M in his first full year to $7B in revenues and from 200 people to 20,000. Before joining VMware, he was Vice President of North American sales at Inktomi and held various sales leadership positions with 3Com, EMC, and Lucent Technologies. He currently sits on the boards of Zoom, Aurora, Armis, Snowflake, UiPath, Palo Alto Networks, Workday, and ThousandEyes. He is passionate about the leadership, culture, and values of both teams and companies.</t>
  </si>
  <si>
    <t>351852-13P</t>
  </si>
  <si>
    <t>Decio Alves</t>
  </si>
  <si>
    <t>Alves</t>
  </si>
  <si>
    <t>Decio</t>
  </si>
  <si>
    <t>Sequoia Logistica e Transportes</t>
  </si>
  <si>
    <t>+55 11 3165 9596</t>
  </si>
  <si>
    <t>decio.alves@ri.sequoialog.com.br</t>
  </si>
  <si>
    <t>Itaim Bibi, Brazil</t>
  </si>
  <si>
    <t>Avenida Presidente Juscelino Kubitschek 1,400</t>
  </si>
  <si>
    <t>6th floor</t>
  </si>
  <si>
    <t>Itaim Bibi</t>
  </si>
  <si>
    <t>Sao Paulo</t>
  </si>
  <si>
    <t>Brazil</t>
  </si>
  <si>
    <t>Mr. Decio Alves is the Founder of Sequoia Logistica e Transportes. Mr. Alves worked for the Playcenter group, again in the operations area. In 2007, he joined the logistics division of B2W Digital, where he remained until 2010. In 2010, he co-founded the company Sequoia Solucoes Logisticas. Between 2018 and 2021, he joined the Enjoei Pro Operations area at Enjoei S.A. He has not suffered any criminal conviction, any conviction in CVM administrative proceedings or any final and unappealable conviction, at the judicial or administrative level, which has suspended or disqualified him from practicing any professional or commercial activity.</t>
  </si>
  <si>
    <t>35897-68P</t>
  </si>
  <si>
    <t>Glenn Kelman</t>
  </si>
  <si>
    <t>Kelman</t>
  </si>
  <si>
    <t>Glenn</t>
  </si>
  <si>
    <t>Upwork</t>
  </si>
  <si>
    <t>+1 (206) 576-8610</t>
  </si>
  <si>
    <t>glenn.kelman@redfin.com</t>
  </si>
  <si>
    <t>Suite 301</t>
  </si>
  <si>
    <t>Mr. Glenn Kelman serves as Chief Executive Officer, President &amp; Board Member at Redfin. He serves as Board Member at Ridwell. He served Board Observer &amp; &amp; Board Member at Pro.com. He was a Board Member at Taproot Networks. He is a Mentor of TechStars based in Seattle. He served as Vice President of Product Management and Marketing at Plumtree Software since March 1998. He co-founded San Francisco-based Plumtree Software, a Sequoia-backed, publicly traded company that created the enterprise portal software market. In his seven years at Plumtree, Mr. Kelman at different times led engineering, marketing, product management and business development; he also was responsible for financing and general operations in Plumtree's first two years. Mr. Kelman served as a senior product manager at Informix Software, a company he joined via the acquisition of Stanford Technology Group, from 1995 to 1997. As a product manager for On-Line Analytical Processing software following Informix Software's acquisition of Stanford Technology Group, Mr. Kelman was involved in designing and launching a major release of Informix Software's On-Line Analytical Processing product line. Mr. Kelman worked as one of the first employees at Stanford Technology Group, a Sequoia-backed start-up acquired by IBM. He serves as an Advisor at Far Homes. He holds Bachelor of Arts degree in English.</t>
  </si>
  <si>
    <t>70344-64P</t>
  </si>
  <si>
    <t>Jeff Hargroves</t>
  </si>
  <si>
    <t>Hargroves</t>
  </si>
  <si>
    <t>Jeff</t>
  </si>
  <si>
    <t>Cingulate (Former)</t>
  </si>
  <si>
    <t>+1 (913) 661-1662</t>
  </si>
  <si>
    <t>jeffhargroves@riversidepartners.com</t>
  </si>
  <si>
    <t>Mr. Jeff Hargroves serves as Chairman of the Greater Kansas City Community Foundation and has been a member of our board of directors since June 2018. He serves as a Board Advisor at Falcon Creek Capital. In July 2001, He founded ProPharma Group, where he served as a Board Member until its sale in September 2020. He serves as a Healthcare Advisory Board Member at Riverside Partners. He also serves as a Board Member at Sequoia. Mr. Hargroves served as a board member a Orbis Biosciences. He was the President and Chief Executive Officer of ProPharma Group from its inception until May 2018. Previously, he served as the Director of Production at Ivy Animal Health (a subsidiary of Elanco) from 1999 to 2001, and before that, as a Director at ALZA (a subsidiary of Johnson and Johnson) from 1996 to 1999. He earned both his Bachelor of Science in Computer Engineering and Bachelor of Science in Electrical Engineering from the University of Missouri. We believe that Mr. Hargroves' experience in product launch and commercialization in the pharmaceutical industry, along with his extensive knowledge in financial management and corporate development, qualifies him to serve on our Board of Directors.</t>
  </si>
  <si>
    <t>50999-86P</t>
  </si>
  <si>
    <t>Jonathan Bridel</t>
  </si>
  <si>
    <t>Bridel</t>
  </si>
  <si>
    <t>Jonathan</t>
  </si>
  <si>
    <t>The Renewables Infrastructure Group</t>
  </si>
  <si>
    <t>+44 (0)14 8174 9700</t>
  </si>
  <si>
    <t>East Wing, Trafalgar Court</t>
  </si>
  <si>
    <t>Les Banques</t>
  </si>
  <si>
    <t>GY1 3PP</t>
  </si>
  <si>
    <t>Mr. Jonathan Bridel serves as Board Member at The Renewables Infrastructure Group. He also served as perPETual Global Technologies. Mr. Bridel (Director, appointed 14th June 2013), aged 53, currently serves across various listed and unlisted companies as a Director or non-executive Chairman. These include Alcentra European Floating Rate Income Fund Limited, Starwood European Real Estate Finance Limited, Sequoia Economic Infrastructure Income Fund Limited and Funding Circle SME Income Fund Limited, as well as DP Aircraft I Limited, Fair Oaks Income Limited and Phaunos Timber Fund Limited which is currently being wound up. Jon previously worked as Managing Director of Royal Bank of Canada's investment businesses in the Channel Islands and in senior management positions in the British Isles and Australia in banking, specializing in corporate and commercial credit and in private businesses as Chief Financial Officer. Graduating from the University of Durham with a degree of Master of Business Administration in 1988, Jon also holds qualifications from the Institute of Chartered Accountants in England and Wales where he is a Fellow, the Australian Institute of Company Directors and is a Chartered Marketer. Jon is a member of the Chartered Institute of Marketing, a Chartered Director and Fellow of the Institute of Directors and a Chartered Fellow of the Chartered Institute for Securities and Investment. Jon is a resident of Guernsey.</t>
  </si>
  <si>
    <t>152625-88P</t>
  </si>
  <si>
    <t>Katharine Weymouth</t>
  </si>
  <si>
    <t>Weymouth</t>
  </si>
  <si>
    <t>Katharine</t>
  </si>
  <si>
    <t>Republic Services</t>
  </si>
  <si>
    <t>Phoenix, AZ</t>
  </si>
  <si>
    <t>18500 North Allied Way</t>
  </si>
  <si>
    <t>Phoenix</t>
  </si>
  <si>
    <t>85054</t>
  </si>
  <si>
    <t>Ms. Katharine Weymouth serves as Board Member at Republic Services. She is an Angel Investor. Katharine B. Weymouth has been on Republic's board of directors since October 2018. She is Chief Operating Officer of ShineTogether, a start-up platform for parents of struggling and at-risk teens. She is also Senior Advisor to ChefMarket, an on-demand delivery service for restaurant chefs, and previously held numerous leadership positions at The Washington Post, including Publisher and Chief Executive Officer from 2008 through 2014. Ms. Weymouth sits on the boards of directors of Cable One, Inc., Xometry, Inc., Sequoia Mutual Fund, and Graham Holdings Co. She also serves as a trustee of the Philip L. Graham Fund, and is Chair of the Board for The Greater Washington Community Foundation. Ms. Weymouth graduated from Harvard University and earned her law degree from Stanford University.</t>
  </si>
  <si>
    <t>52235-74P</t>
  </si>
  <si>
    <t>Katharine Weymouth JD</t>
  </si>
  <si>
    <t>Board Member, Chair of the Nominating and Corporate Governance Committee &amp; Member of the Audit Committee</t>
  </si>
  <si>
    <t>Xometry</t>
  </si>
  <si>
    <t>+1 (240) 252-1138</t>
  </si>
  <si>
    <t>7940 Cessna Avenue</t>
  </si>
  <si>
    <t>Ms. Katharine Weymouth serves as Board Member, Chair of the Nominating and Corporate Governance Committee &amp; Member of the Audit Committee at Xometry. She is the Co-Founder and Senior Advisor of The Chef Market (formerly DineXpert), an on-demand platform for restaurants. Previously, she was the Publisher and Chief Executive Officer of the Washington Post. Since January 2015, she has also served as a Trustee of the Philip L Graham Fund. Ms. Weymouth is a board member of Republic Services, Inc, Cable One, Inc., Sequoia Mutual Fund, and The Graham Holdings Company. She received a B.A. in English Literature from Harvard University and a J.D. from Stanford Law School and joined the Xometry board in October 2020.</t>
  </si>
  <si>
    <t>292185-37P</t>
  </si>
  <si>
    <t>Laurence Dutto Ph.D</t>
  </si>
  <si>
    <t>Dutto</t>
  </si>
  <si>
    <t>Laurence</t>
  </si>
  <si>
    <t>Sierra Bancorp</t>
  </si>
  <si>
    <t>+1 (559) 782-4900</t>
  </si>
  <si>
    <t>Porterville, CA</t>
  </si>
  <si>
    <t>86 North Main Street</t>
  </si>
  <si>
    <t>PO Box 1930</t>
  </si>
  <si>
    <t>Porterville</t>
  </si>
  <si>
    <t>93257-1930</t>
  </si>
  <si>
    <t>Dr. Laurence Dutto serves as Board Member at Sierra Bancorp. Laurence S. Dutto, Ph.D., was appointed to the Boards of the Bank and of Sierra Bancorp effective September 15, 2016, at which time he was also appointed to serve on the Governance Committee and the Insurance Committee, which became the Risk Committee in 2019. Dr. Dutto, a resident of Visalia, California, is a retired college administrator with extensive hands-on agricultural experience. His decorated 30-year career at College of the Sequoias in Visalia, California includes service as Provost of the Tulare College Center, Dean of Academic Services, Dean of Technical Education, Agriculture Division Chair, and Faculty Academic Senate President. His prior experience includes 15 years working on his family's dairy farm, and he currently is in a partnership with his sister growing almonds. He was appointed to the Board due in part to his management and administrative expertise and his community connections, and to help strengthen the Bank's ties to the local agricultural community.</t>
  </si>
  <si>
    <t>182433-52P</t>
  </si>
  <si>
    <t>Li Li</t>
  </si>
  <si>
    <t>Adagene</t>
  </si>
  <si>
    <t>+86 (0)512 8777 3632</t>
  </si>
  <si>
    <t>Suzhou, China</t>
  </si>
  <si>
    <t>4 Floor, Building C14</t>
  </si>
  <si>
    <t>Biopharmaceutical Industrial Park</t>
  </si>
  <si>
    <t>Suzhou</t>
  </si>
  <si>
    <t>Jiangsu</t>
  </si>
  <si>
    <t>China</t>
  </si>
  <si>
    <t>Mr. Li Li serves as Board Member at Adagene. Mr. Li has approximately 10 years of experiences in Healthcare industry and related Venture Capital &amp; Private Equity investment, and is currently a vice president of Sequoia Capital China. He received his Bachelor Degree in Natural Sciences from University of Cambridge in UK. He was a Clinical Research Associate at Otsuka Beijing Research Institute a fully owned subsidiary of Otsuka Pharmaceutical (TYO:4578), an analyst and then an associate of the China Everbright Limited (00165.HK) Medical &amp; Healthcare Fund, an associate of Sequoia Capital China. During the time at the China Everbright Limited Medical &amp; Healthcare Fund, he participated the investments in BGI (300676), Amcare, Betta Pharma (300558) and Jida Pharma.</t>
  </si>
  <si>
    <t>227178-10P</t>
  </si>
  <si>
    <t>Li Likai Ph.D</t>
  </si>
  <si>
    <t>Likai</t>
  </si>
  <si>
    <t>NewSight Imaging</t>
  </si>
  <si>
    <t>+972 (0)8 379 2388</t>
  </si>
  <si>
    <t>Ness Ziona, Israel</t>
  </si>
  <si>
    <t>3 Golda Meir</t>
  </si>
  <si>
    <t>Park Hamada, Post Office Box 4114</t>
  </si>
  <si>
    <t>Ness Ziona</t>
  </si>
  <si>
    <t>7414002</t>
  </si>
  <si>
    <t>Israel</t>
  </si>
  <si>
    <t>Mr. Li Likai serves as Board Member at NewSight Imaging. He is founder and partner of Guangsheng &amp; Partners Attorneys-at-law (G&amp;P) and managing partner of Ennohub Venture. Dr. Li is chairman of Ennohub Technology and a managing partner of Ennohub Venture, an investment fund for startups. Dr. Li has been appointed by the Chinese government as one of the board members of the Organizing Committee of China "Innovation Summit." Dr. Li served as government legal counsel in the PRC Ministry of Commerce for many years. He became a limited partner of Sequoia Capital China in 2007. Mr. Li teaches executive courses as adjunct professor for EMBA students in leading universities in China. He has written two books: Open Innovation: Massive Collaboration Changes the World and Technological Startup: Built to be Great. Dr. Li holds a PhD from Queen's University, Canada.</t>
  </si>
  <si>
    <t>70259-95P</t>
  </si>
  <si>
    <t>Lifeng Yu</t>
  </si>
  <si>
    <t>Yu</t>
  </si>
  <si>
    <t>Lifeng</t>
  </si>
  <si>
    <t>CSD Water services</t>
  </si>
  <si>
    <t>+86 (0)10 8280 0999</t>
  </si>
  <si>
    <t>Beijing, China</t>
  </si>
  <si>
    <t>Building D2, 4/F, Zhongguancun Dongsheng Technology Park</t>
  </si>
  <si>
    <t>66 Xixiaokou Avenue, Haidian District</t>
  </si>
  <si>
    <t>Beijing</t>
  </si>
  <si>
    <t>100192</t>
  </si>
  <si>
    <t>+86 (0)10 8280 0399</t>
  </si>
  <si>
    <t>Mr. Lifeng Yu serves as board member at CSD Water services. He served as Partner at Sequoia Capital.</t>
  </si>
  <si>
    <t>44705-35P</t>
  </si>
  <si>
    <t>Matthew Miller</t>
  </si>
  <si>
    <t>Miller</t>
  </si>
  <si>
    <t>Confluent</t>
  </si>
  <si>
    <t>+1 (800) 439-3207</t>
  </si>
  <si>
    <t>mmiller@sequoiacap.com</t>
  </si>
  <si>
    <t>899 West Evelyn Avenue</t>
  </si>
  <si>
    <t>Mr. Matthew Miller serves as Partner of Growth at Sequoia Capital. He is the Founder of Evantic. He served as a Board Member at Tecton. He serves as a Board Member at dbt Labs. He served as a Board Member at HireVue. He serves as a Director at Evantic Capital. He served as a Board Member at Graphcore. He holds a Bachelor of Science in Finance from Brigham Young University. He serves as a Board Member at Carbon Black and Graphcore. He started building computers and writing code at 12 years old in his mother's kitchen. He has worked as an entrepreneur, an advisor and now an investor. At Sequoia, he has led investments in Docker, Skyhigh Networks, Nimble Storage and Barracuda Networks. Before Sequoia, he worked at Goldman Sachs and graduated from Brigham Young University. He serves as Board Member at Grafana Labs. He serves as Board Member at Yokoy.</t>
  </si>
  <si>
    <t>341978-59P</t>
  </si>
  <si>
    <t>Michael Chermak</t>
  </si>
  <si>
    <t>Chermak</t>
  </si>
  <si>
    <t>Chairman &amp; Board Member</t>
  </si>
  <si>
    <t>Reticulate Micro</t>
  </si>
  <si>
    <t>4220 Duncan Avenue</t>
  </si>
  <si>
    <t>Suite 201</t>
  </si>
  <si>
    <t>63110</t>
  </si>
  <si>
    <t>Mr. Michael Chermak serves as Executive Chairman and Board Member at Reticulate Micro. He has 40 years of experience in leadership roles in the healthcare industry and has raised over $200 million for his various enterprises, both private and public. Michael founded Makena Investment Advisors, LLC., a firm focused on assisting emerging companies in accessing equity capital markets. He serves as an officer and/or director for a few select public and private entities. Previously, he was the founder and CEO of Healthdemographics, Inc., a company in the healthcare predictive data and decision support business, with over 1,200 clients worldwide and was regularly sourced by the Wall Street Journal for articles on the healthcare industry. He sold the company in 1997 to Medirisk. In 1998, he was the co-founder, initial investor, and original Chairman of Medibuy.com, an Internet healthcare supply vendor. Medibuy raised over $140 million in its first 18 months of operation backed by leading VCs such as Kleiner Perkins, Sequoia, Oak, and institutional investors including Allianz. Medibuy acquired the e-commerce initiatives of two leading GPOs, Premier and Columbia HCA, that at one time accounted for nearly 70% of healthcare product expenditures in the US. Medibuy was sold to GHX (Global Health Exchange), an e-commerce company founded by General Electric, Abbot, Baxter, and Medtronic. Becton-Dickinson, Braun, Guidant, Tyco, Siemens, and others.
He worked in China for over 6 years and was the former Chairman and CEO of Bridgetech Holdings International (OTC: BGTH), which focused on introducing Western medicine into China. He has served on the Board of Directors and as an Audit Committee member of Beijing Origin Seed (NASDAQ: SEED), a Chardan Capital SPAC.
He graduated from the University of New Mexico, Anderson School of Management.</t>
  </si>
  <si>
    <t>11887-12P</t>
  </si>
  <si>
    <t>Michael Moritz</t>
  </si>
  <si>
    <t>Moritz</t>
  </si>
  <si>
    <t>Instacart</t>
  </si>
  <si>
    <t>+1 (888) 246-7822</t>
  </si>
  <si>
    <t>50 Beale Street</t>
  </si>
  <si>
    <t>Suite 600</t>
  </si>
  <si>
    <t>Mr. Michael Moritz serves as a Board Member at Instacart. He serves as a Board Member at PhenomeX. He is an Angel Investor. He served as a Partner &amp; Board Member at Sequoia Capital. He served as a Board Member at Stripe and PopSugar. He also serves as a Board Member at SCHF (GPE). He serves as a Board Member at WireScreen. He serves as President &amp; Chairman at Klarna. He is a Founder &amp; serves as President, Chief Financial Officer &amp; Chairman at Crankstart Foundation. He serves as a Board Member at Pocket Outdoor Media. He was a Board Member at Flipagram. He served as a Board Member at LinkedIn. He currently serves on the board of directors for a number of public and private companies, including Stripe, Green Dot Corporation, Sugar, and [24]7.ai Customer. Previously, he was a member of the board of directors at various public companies, including Google, PayPal, Red Envelope, Saba Software, Flextronics, Yahoo!, and Zappos. He is a venture capitalist at Sequoia Capital, focusing on software and services investments. Prior to joining Sequoia Capital in 1986, he served on the boards of Flextronics International, Google, Yahoo!, and PayPal. He is the co-founder of Technologic Partners, a publications and events firm that was acquired by Dow Jones &amp; Company. He was also the former Bureau Chief of The Times, San Francisco. He serves as Secretary &amp; Treasurer at the Kelson Foundation. He also serves as a board member at Luxim Corporation and Magic. He holds an M.A. in Modern History from the University of Oxford. He holds other degrees from the Wharton School and the University of Oxford. He also served as a Board Member at Charlotte Tilbury Beauty. He serves as Board Member and Advisor at Watershed.</t>
  </si>
  <si>
    <t>122151-07P</t>
  </si>
  <si>
    <t>Neil Shen</t>
  </si>
  <si>
    <t>Shen</t>
  </si>
  <si>
    <t>Neil</t>
  </si>
  <si>
    <t>Trip.com Group</t>
  </si>
  <si>
    <t>neil.shen@trip.com</t>
  </si>
  <si>
    <t>Hong Kong, Hong Kong</t>
  </si>
  <si>
    <t>Paul Y. Center 51 Hung To Road Kwun Tong, Kowloon</t>
  </si>
  <si>
    <t>Unit 3003, 30 Floor</t>
  </si>
  <si>
    <t>Hong Kong</t>
  </si>
  <si>
    <t>Mr. Neil Nanpeng Shen is a Co-Founder and serves as Board Member at Trip.com. He is the founding managing partner of Sequoia Capital China. He served as our president from August 2003 to October 2005 and as Chief Financial Officer from 2000 to October 2005. He also co-founded and served as non-executive co-chairman of Homeinns Hotel Group, a leading economy hotel chain in China, which commenced operations in July 2002. Currently, he also serves as a director of a number of public and private companies, including Noah Holdings (NYSE: NOAH), Pinduoduo (Nasdaq: PDD), Meituan Dianping (SEHK: 03690) and China Renaissance Holdings (SEHK: 01911). He received his Master's degree from Yale University and his Bachelor's degree from Shanghai Jiao Tong University.</t>
  </si>
  <si>
    <t>44181-19P</t>
  </si>
  <si>
    <t>Peter Drake Ph.D</t>
  </si>
  <si>
    <t>Drake</t>
  </si>
  <si>
    <t>RespireRx Pharmaceuticals</t>
  </si>
  <si>
    <t>+1 (917) 834-7206</t>
  </si>
  <si>
    <t>Glen Rock, NJ</t>
  </si>
  <si>
    <t>126 Valley Road</t>
  </si>
  <si>
    <t>Suite C</t>
  </si>
  <si>
    <t>Glen Rock</t>
  </si>
  <si>
    <t>07452</t>
  </si>
  <si>
    <t>Peter F. Drake, Ph.D. has served as a director of the Company since October 2003. Dr. Drake is currently the Managing General Partner of Mayflower Partners, a healthcare investment fund. From 1999 to 2002, he served as a Managing Director in the Equity Research Department of Prudential Securities, Inc., after Prudential acquired Vector Securities International, an investment banking firm co-founded by Dr. Drake in 1988. Vector specialized in raising capital for emerging healthcare companies and acted as an advisor in merger and alliance transactions in the healthcare area. Dr. Drake also co-founded Deerfield Management and Vector Fund Management, both of which are healthcare hedge funds. Dr. Drake joined the investment banking firm of Kidder, Peabody &amp; Co. as a Biotechnology Analyst in 1983, becoming a partner in 1986. He currently serves on the board of directors of Trustmark Insurance Co., a healthcare insurance provider, Sequoia Sciences, a private biotechnology company, and Rodman &amp; Renshaw Capital Group, an investment bank that provides corporate finance, strategic advisory and related services to public and private companies. Dr. Drake received a B.A. degree in Biology from Bowdoin College and attended the Wharton School of Business at the University of Pennsylvania. After receiving his Ph.D. in Biochemistry and Neurobiology from Bryn Mawr College, he spent three years as a Senior Research Associate in the Department of Developmental Biology and Anatomy at Case Western Reserve University.</t>
  </si>
  <si>
    <t>290470-69P</t>
  </si>
  <si>
    <t>Pun-Kok Chia</t>
  </si>
  <si>
    <t>Chia</t>
  </si>
  <si>
    <t>Pun-Kok</t>
  </si>
  <si>
    <t>Hong Kong Exchanges &amp; Clearing</t>
  </si>
  <si>
    <t>+852 2522 1122</t>
  </si>
  <si>
    <t>8th Floor, Two Exchange Square</t>
  </si>
  <si>
    <t>8 Connaught Place, Central</t>
  </si>
  <si>
    <t>+852 2295 3106</t>
  </si>
  <si>
    <t>Mr. Pun-Kok Herbert Chia, Aged 59; Director since 29 October 2024; Term of office: 29 October 2024 (appointed) to 2026 AGM; Other positions held with the Group; HKEX - member of Audit Committee, Investment Committee and Risk Committee; Other major offices: Alibaba Cloud Intelligence (North APAC Region) - senior advisor (2024~); Hong Kong Management Association - professor of practice (2023~); Institute for China Business of The University of Hong Kong - adjunct associate professor (2022~); Chow Tai Fook Jewellery Group Limited - independent non-executive director (2021~); Past offices: Hong Kong Science and Technology Parks Corporation - board member (2018-2024); Sequoia Capital China - venture partner (2016-2023); Alibaba (China) Co Ltd - vice president (2010-2016); Public service: Common Spatial Data Advisory Committee - non-official member (2023~); Digital Economy Development Committee - non-official member (2022~); Information Technology Services Committee of the Hospital Authority - co-opted member (2021~); Aviation Development and Three-runway System Advisory Committee - member (2021~); Education Commission - non-official member (2021~); Committee on Professional Development of Teachers and Principals - non-official member (2019~); Qualifications: Executive Master of Business Administration (Tsinghua University, PRC); Executive Master of Business Administration (the Institut Europeen d'Administration des Affaires (INSEAD));</t>
  </si>
  <si>
    <t>30361-33P</t>
  </si>
  <si>
    <t>Rajesh Sawhney</t>
  </si>
  <si>
    <t>Sawhney</t>
  </si>
  <si>
    <t>Rajesh</t>
  </si>
  <si>
    <t>IndiaMART InterMESH</t>
  </si>
  <si>
    <t>+91 (0)12 0677 7777</t>
  </si>
  <si>
    <t>rajesh@gsfindia.com</t>
  </si>
  <si>
    <t>6th Floor, Tower 2, Assotech Business Cresterra</t>
  </si>
  <si>
    <t>Plot Number 22, Sector 135</t>
  </si>
  <si>
    <t>Uttar Pradesh</t>
  </si>
  <si>
    <t>201305</t>
  </si>
  <si>
    <t>Mr. Rajesh Sawhney is the Founder &amp; serves as General Partner at GSF India. Mr. Sawhney serves as Board Member at IndiaMART. He is a Co-Founder and serves as Chief Executive Officer and Board Member at InnerChef. He served as an Advisor at Chizel. He serves as an Advisor at HackerEarth. He serves as an Advisor at Zimyo. He is the founder of GSF Superangels Academy. He previously served as a Board Member at Microland. He served as an Advisor at Silversparro. He serves as a Board Member at DailyRounds and ixigo. He is a Co-Founder at Gastrotope. He has made over 20 investments as an active and engaged angel investor, which include Viki (acquired by Rakuten for USD 225M), Little Eye Labs (acquired by Facebook), Mobstac, Pokkt, Silverpush, HackerEarth, Browntape, Overcart, Flinto, and Timesaverz. He hosts and curates the two leading Tech/Startup conferences in Asia: WhereDoWeGoNow in Bangalore and Global Superangels Forum in New Delhi. His journey has been a continuum of re-invention waves. He brought private radio (Times FM) to India in the early nineties, redefining Indian youth culture. He was at the cusp of early Internet culture in India in early 2000, building Indiatimes.com, the most valuable Internet business in India in 2005 (funded by Sequoia). Subsequently, as the founding President of Reliance Entertainment, he was at the center of a massive transformation of the Indian film industry, where he oversaw the corporatization of mom-and-pop Bollywood businesses into a multi-billion dollar industry. He oversaw the biggest investment deal (Dreamworks) between Hollywood and Bollywood. He serves on Neilsoft, Indiamart, Reliance Broadcast Network, Live Media, and Autowale boards. He also advises Trident Capital, a prominent venture firm based in Palo Alto, California. He served as a Board Member at Tushky. He holds an MBA (Master of Business Administration) from the London School of Economics and Political Science. He holds a Degree in Engineering from Delhi University, India &amp; also holds a Degree from Harvard Business School.</t>
  </si>
  <si>
    <t>150203-35P</t>
  </si>
  <si>
    <t>Wendou Niu Ph.D</t>
  </si>
  <si>
    <t>Niu</t>
  </si>
  <si>
    <t>Wendou</t>
  </si>
  <si>
    <t>Chief Strategist Officer</t>
  </si>
  <si>
    <t>YY Group Holding</t>
  </si>
  <si>
    <t>+65 6604 6896</t>
  </si>
  <si>
    <t>wendou@biofourmis.com</t>
  </si>
  <si>
    <t>60 Paya Lebar Road, Paya Lebar Square</t>
  </si>
  <si>
    <t>Suite 09-13 to 17</t>
  </si>
  <si>
    <t>409051</t>
  </si>
  <si>
    <t>Dr. Wendou Niu serves as Chief Strategist Officer at YY Group Holding. Dr. Wendou holds a Doctor of Philosophy (PhD). As the co-founder of Biofourmis, a pioneering digital health company, he played a key role in securing investments from global top-tier funds such as Sequoia, SoftBank, and General Atlantic, culminating in the company's unicorn status following its $300M Series D funding round in 2022. He is currently serving as Chief Strategist Officer at YY Group Holding Limited.</t>
  </si>
  <si>
    <t>457478-29P</t>
  </si>
  <si>
    <t>Wenji Jin</t>
  </si>
  <si>
    <t>Jin</t>
  </si>
  <si>
    <t>Wenji</t>
  </si>
  <si>
    <t>Southchip</t>
  </si>
  <si>
    <t>+86 (0)21 5830 9616</t>
  </si>
  <si>
    <t>Shanghai, China</t>
  </si>
  <si>
    <t>Shengxia Road, Pudong New Area,Pilot Free Trade Zone</t>
  </si>
  <si>
    <t>16th Floor, Building D, No. 54, Lane 565</t>
  </si>
  <si>
    <t>Shanghai</t>
  </si>
  <si>
    <t>201210</t>
  </si>
  <si>
    <t>+86 (0)21 5830 9622</t>
  </si>
  <si>
    <t>Mr. Wenji Jin serves as a Board Member at Southchip. From 2003 to 2006, he was the senior manager of Synopsys Inc., the managing director of Junlian Capital Management Co., Ltd. from 2007 to 2019, the managing director of Sequoia Capital China Fund from 2019 to 2022, and the director of Nanxin Limited/Nanxin Technology since November 2020. He earned a master's degree.</t>
  </si>
  <si>
    <t>196555-42P</t>
  </si>
  <si>
    <t>Yoav Shaked</t>
  </si>
  <si>
    <t>Shaked</t>
  </si>
  <si>
    <t>Yoav</t>
  </si>
  <si>
    <t>DarioHealth</t>
  </si>
  <si>
    <t>+1 (800) 895-5921</t>
  </si>
  <si>
    <t>yoav@mydario.com</t>
  </si>
  <si>
    <t>Burlington, MA</t>
  </si>
  <si>
    <t>1500 District Avenue</t>
  </si>
  <si>
    <t>Suite 1089</t>
  </si>
  <si>
    <t>Burlington</t>
  </si>
  <si>
    <t>01803</t>
  </si>
  <si>
    <t>Yoav Shaked has served as the Chairman of our Board of Directors since July 5, 2018. Since 2011, Mr. Shaked has served as a partner at Sequoia Capital, a leading global venture capital firm. In 2005, he co-founded Medpoint Ltd., a private medical device distribution company offering a wide range of medical products. Previously, he founded and served as Chief Executive Officer of Y-Med Inc. from May 2004 through November 2009, until its sale to C.R. Bard, Inc. After the sale of Y-Med Inc., Mr. Shaked served as the director of research at ThermopeutiX, a developer of innovative products for strokes and peripheral artery disease. Mr. Shaked currently serves on the board of directors of several biotechnology companies, including Endospan, Vibrant Gastro, B-Lite (G&amp;G Biotechnology) and Orasis Pharmaceuticals, the latter of which he serves as Chairman of the Board. Mr. Shaked has a B.A. in biology from The Hebrew University of Jerusalem.</t>
  </si>
  <si>
    <t>187460-92P</t>
  </si>
  <si>
    <t>Alexander Pellegrino</t>
  </si>
  <si>
    <t>Real Estate</t>
  </si>
  <si>
    <t>Pellegrino</t>
  </si>
  <si>
    <t>Alexander</t>
  </si>
  <si>
    <t>CoPlace</t>
  </si>
  <si>
    <t>+1 (619) 561-9333</t>
  </si>
  <si>
    <t>alex@coplace.com</t>
  </si>
  <si>
    <t>San Diego, CA</t>
  </si>
  <si>
    <t>2004 University Avenue</t>
  </si>
  <si>
    <t>San Diego</t>
  </si>
  <si>
    <t>92104</t>
  </si>
  <si>
    <t>Mr. Alexander Pellegrino is a Co-Founder &amp; serves as Board Member at CoPlace. Mr. Alexander Pellegrino Founded TripX. Mr. Pellegrino is an entrepreneur &amp; financier, controlling a $200 million Asset Fund. He is also President of the Entrepreneurs Organization (EO), and has been General Partner of Nicholas Pellegrino Investments for 18 years. Mr. Pellegrino is a member of Tech Coast Angels and was nominated as Ernst and Young Entrepreneur of the Year in 2006 and 2008. In 2016 his company, Sequoian Investments, ranked the #1 fastest growing company by the San Diego Business Journal. He is a partner at Sequoian Investments Inc., where he has worked for 7 years. He is also Co-founder and President of Quartic Data LLC., a risk management firm for the financial services industry. Mr. Pellegrino's education includes the EO/MIT Entrepreneurial Masters Program at MIT, University of California, Santa Barbara and Business Administration and Management at Penn State University.</t>
  </si>
  <si>
    <t>99955-09P</t>
  </si>
  <si>
    <t>Jeff Evans</t>
  </si>
  <si>
    <t>Evans</t>
  </si>
  <si>
    <t>President</t>
  </si>
  <si>
    <t>Volta Global</t>
  </si>
  <si>
    <t>+1 (305) 428-6500</t>
  </si>
  <si>
    <t>Miami, FL</t>
  </si>
  <si>
    <t>2601 Bayshore Drive</t>
  </si>
  <si>
    <t>Suite 1700</t>
  </si>
  <si>
    <t>Miami</t>
  </si>
  <si>
    <t>33133</t>
  </si>
  <si>
    <t>+1 (305) 428-6501</t>
  </si>
  <si>
    <t>Mr. Jeff Evans serves as President at Volta Global. He served as Board Member at Palmpress. He has over 10 years of experience as an investor and entrepreneur. Prior to Volta Global, he was Vice President at Everest Capital, responsible for managing several hundred million dollars of firm assets globally in both public and private markets. He spent the early part of his career as an investment analyst at Axiom International Investors covering global emerging markets and technology and before that he started his career in finance in investment banking at Bear Stearns. In addition to his investment experience, he was a co-founder and executive officer of an innovative educational technology company, venture-backed primarily by Sequoia and Felicis Ventures, where he oversaw the company's early growth to a $35 million business operating in over 100 countries, before exiting the business in 2011. He holds an MBA from Yale University and an undergraduate degree from Syracuse University. He serves as Board Member at Syntheon.</t>
  </si>
  <si>
    <t>140602-78P</t>
  </si>
  <si>
    <t>Laura Kinder</t>
  </si>
  <si>
    <t>Recruiting Firm</t>
  </si>
  <si>
    <t>Kinder</t>
  </si>
  <si>
    <t>Laura</t>
  </si>
  <si>
    <t>Daversa</t>
  </si>
  <si>
    <t>kinderl@daversapartners.com</t>
  </si>
  <si>
    <t>330 Madison Avenue</t>
  </si>
  <si>
    <t>25th Floor</t>
  </si>
  <si>
    <t>10017</t>
  </si>
  <si>
    <t>Ms. Laura Kinder serves as a Partner at Daversa. She serves as a Board Member at Resonance. She leads Daversa's New York City office. She moved to Manhattan in 2011 to build Daversa's office in the Big Apple. She joined Daversa Partners in 2005 and splits her time between NYC and Bay Area searches in both the consumer and the enterprise/SaaS space. She has deep experience in running Engineering, Product, COO, Finance, Marketing, and Sales-related searches. She has built leadership teams for companies like Etsy, ServiceNow, Twitter, Lithium, Tumblr, Pinterest, Kickstarter, Everlane, Learnvest, Datagravity, Snapchat, Foursquare, and Whisper. She has also worked closely with the venture teams at Union Square Ventures, Andreessen Horowitz, Sequoia, Benchmark, FistMark Capital, and Greylock. She prides herself on being a strategic partner with entrepreneurs and investors and is relentless in her pursuit to identify and recruit the right talent for her clients. She Serves as an Advisor at Armory Square Ventures.</t>
  </si>
  <si>
    <t>61532-02P</t>
  </si>
  <si>
    <t>Surendra Jain</t>
  </si>
  <si>
    <t>University</t>
  </si>
  <si>
    <t>Surendra</t>
  </si>
  <si>
    <t>Co-Founder &amp; Trustee</t>
  </si>
  <si>
    <t>Plaksha University</t>
  </si>
  <si>
    <t>+91 (0)17 2412 6260</t>
  </si>
  <si>
    <t>Sahibzada Ajit Singh Nagar, India</t>
  </si>
  <si>
    <t>Alpha, Sector 101</t>
  </si>
  <si>
    <t>IT City Road</t>
  </si>
  <si>
    <t>Sahibzada Ajit Singh Nagar</t>
  </si>
  <si>
    <t>Punjab</t>
  </si>
  <si>
    <t>140306</t>
  </si>
  <si>
    <t>Mr. Surendra Jain is a Co-Founder &amp; serves as Trustee at Plaksha University. Mr. Jain serves as Advisor at Infuse Ventures. He serves as a Board Member at Dailyhunt. He co-founded &amp; served as Managing Director at WestBridge Capital Partners. He is the Founder and Managing Partner of RatnaTraya Capital, a principal personal investing firm. SK was also the co-founder and Managing Director of WestBridge Capital India and Sequoia Capital India. SK is passionate about higher education initiatives and is also part of the founding group at Ashoka University, IIT Delhi Endowment Fund and IIMA Endowment Fund. SK holds an MBA from IIM, Ahmedabad where he received the President's Gold Medal for Academic Excellence. He also holds a MSEE from University of Minnesota, Minneapolis and a B.Tech in Electrical Engineering from IIT, Delhi.</t>
  </si>
  <si>
    <t>63811-54P</t>
  </si>
  <si>
    <t>Eric Upin</t>
  </si>
  <si>
    <t>University (Non-Endowment)</t>
  </si>
  <si>
    <t>Upin</t>
  </si>
  <si>
    <t>Trustee</t>
  </si>
  <si>
    <t>Washington University in St. Louis</t>
  </si>
  <si>
    <t>+1 (314) 935-5000</t>
  </si>
  <si>
    <t>eric@wustl.edu</t>
  </si>
  <si>
    <t>1 Brookings Drive</t>
  </si>
  <si>
    <t>63130</t>
  </si>
  <si>
    <t>+1 (314) 935-4290</t>
  </si>
  <si>
    <t>Mr. Eric Upin serves as a Trustee at Washington University in St. Louis. Mr. Upin serves as Chairman of the Board of Directors at Washington University Investment Management Company. He served as a Senior Partner at Makena Capital Management. He is the former Chief Investment Officer ("CIO") of Makena Capital Management. He is responsible for working with the firm's clients on the integration of Makena's alternative investment strategies into a range of portfolios with differing goals and structures across family offices, endowments, foundations, pensions, and sovereign wealth funds. Before joining Makena, he served as Chief Executive Officer of Sequoia Capital's Heritage Endowment Fund. Previously, he was the CIO at Stanford University's Stanford Management Company. Prior to joining Stanford Management Company, he was a managing director and senior equity research analyst at the investment banking firm Robertson Stephens and later a director of technology research at Wells Fargo Securities. Previous to joining Robertson Stephens, he worked at the management consulting firm Booz Allen &amp; Hamilton and before business school, played key roles in two technology-related start-ups. He serves as a Trustee for Washington University in St. Louis and on the Investment Committee of the Investment Management Company which oversees the University's $4+ billion endowments. He also serves on the Stephen D. Bechtel Jr. Foundation Investment Committee in San Francisco. He is also a Board Member &amp; Board of Trustees Member at Washington University in St. Louis Endowment. He formerly served as the Interim Chief Investment Officer at Washington University in St. Louis Endowment. He received a BA in Economics and Urban Planning from Washington University in St. Louis and an MBA from Harvard Business School.</t>
  </si>
  <si>
    <t>17889-22P</t>
  </si>
  <si>
    <t>Abhay Pandey</t>
  </si>
  <si>
    <t>Venture Capital</t>
  </si>
  <si>
    <t>Pandey</t>
  </si>
  <si>
    <t>Abhay</t>
  </si>
  <si>
    <t>A91 Partners</t>
  </si>
  <si>
    <t>+91 (0)22 6871 0400</t>
  </si>
  <si>
    <t>apandey@a91partners.com</t>
  </si>
  <si>
    <t>Lodha Supremus, 1001/02</t>
  </si>
  <si>
    <t>Dr. Elijah Moses Road, Worli</t>
  </si>
  <si>
    <t>400018</t>
  </si>
  <si>
    <t>Mr. Abhay Pandey serves as General Partner at A91 Partners. Mr. Pandey serves as Board Member at Blue Tokai, Fab Bag, Bira 91, Plum, Soothe Healthcare and Atomberg. He also serves as Board Member at Pushp. He served as a Managing Director and Investment Advisor at Sequoia Capital India. He is also an Advisor at Svarochi. He was a Board Member of MedGenome. He spearheads investments in the healthcare, energy, and outsourcing sectors. Some of his investments include Moolchand Hospitals, GVK Biosciences, Coastal Projects, and Ind-Bharath Power. Prior to joining Sequoia Capital, Abhay was head of Real Estate and Infrastructure investment banking at DSP Merrill Lynch where he led capital raising for the largest Indian companies in these sectors including the largest Indian initial public offering for DLF. Previously, Abhay worked at McKinsey &amp; Co, in Mumbai and Johannesburg, where he worked with a number of leading Indian corporations in the Media &amp; Entertainment and Manufacturing sectors. Abhay received an MBA from IIM Calcutta and a B. Tech. in Computer Science and Engineering from IIT Bombay. He also serves on the Board of Curatio Healthcare. He served as Board Member at Bira 91.</t>
  </si>
  <si>
    <t>40924-63P</t>
  </si>
  <si>
    <t>Abheek Anand</t>
  </si>
  <si>
    <t>Anand</t>
  </si>
  <si>
    <t>Abheek</t>
  </si>
  <si>
    <t>Managing Director</t>
  </si>
  <si>
    <t>Peak XV Partners</t>
  </si>
  <si>
    <t>abheek@peakxv.com</t>
  </si>
  <si>
    <t>38 Beach Road, South Beach Tower</t>
  </si>
  <si>
    <t>Number 26-12</t>
  </si>
  <si>
    <t>189767</t>
  </si>
  <si>
    <t>Mr. Abheek Anand serves as Managing Director at Peak XV Partners. He served as a Board Member at Flyrobe. He serves as a Board Member at Blinkit. He serves as Managing Director at Peak XV Partners. He serves as an Advisor at GudangAda. He serves as a Board Member at Moladin and Beam. He serves as a Board Member at Incomlend, Blinkit &amp; LingoAce. He served as a Board Member at StashAway. He served as a Board Member at Hamlet, Cuemath and Hamlet. Before joining Sequoia, he worked as a Product Manager in Menlo Park, where he was responsible for various business and advertising products. Before Facebook, he co-founded Tagtile, a startup that built customer loyalty and CRM tools and was acquired by Facebook. He started his career as an early engineer at VMware. He has an MBA from the Stanford Graduate School of Business, an MS from the University of Maryland, and a B.Tech in Computer Science from IIT Delhi. He serves as Board Member at Freo.</t>
  </si>
  <si>
    <t>30329-47P</t>
  </si>
  <si>
    <t>Alfred Lin</t>
  </si>
  <si>
    <t>Lin</t>
  </si>
  <si>
    <t>Alfred</t>
  </si>
  <si>
    <t>Partner, Seed/Early</t>
  </si>
  <si>
    <t>Sequoia Capital</t>
  </si>
  <si>
    <t>lin@sequoiacap.com</t>
  </si>
  <si>
    <t>94025-7055</t>
  </si>
  <si>
    <t>+1 (650) 854-2977</t>
  </si>
  <si>
    <t>Mr. Alfred Lin serves as Partner, Seed/Early at Sequoia Capital. He serves as a Board Member at Formation Bio and Found, Otter &amp; Found. He serves as Board Member at Nominal. He serves as Board Member at Summer Health. He serves as a Board Member, Chairman of the Audit, Risk and Compliance Committee &amp; Member of the Leadership Development, Belonging and Compensation Committee at Airbnb. He serves as a Board Observer at Athelas. He served as a Board Member at Stella &amp; Dot. She served as a Board Member at Dia&amp;Co. He serves as a Board Member at Cobot, Citadel Securities, Zipline, Kalshi and Dolls Kill. He is a Board Member at Code.org, DoorDash, Houzz, Shopular, Humble Bundle, Truework and Romotive. He served as a Board Member at Next Trucking.</t>
  </si>
  <si>
    <t>89487-91P</t>
  </si>
  <si>
    <t>Allison Gates</t>
  </si>
  <si>
    <t>Gates</t>
  </si>
  <si>
    <t>Allison</t>
  </si>
  <si>
    <t>SemperVirens Venture Capital</t>
  </si>
  <si>
    <t>Ms. Allison Gates served as Impact Partner at Fresco Capital. She serves as a Board Member at Midi Health. She is a General Partner at SemperVirens, an early-stage fund investing in workplace technology, healthcare technology, and financial technology companies that have a strategy to sell to and through employers. The firm has an ecosystem of executives, industry analysts, and distribution partners that serves as a proprietary platform for accessing, analyzing, and amplifying the most promising companies in its target sectors. The firm's core platform partners include Sequoia Consulting Group, PeopleTech Partners, and a leading network of Fortune 2000 CHROs. Prior to joining SemperVirens, she spent over ten years at the intersection of finance, technology, and the future of work, with experience as an analyst at Goldman Sachs, an early employee at General Assembly (which sold to Adecco for $413mln in 2018), co-founder of Fresco Capital, and an investor at Trinity Ventures. She is currently based in San Francisco and has lived and worked in New York, Hong Kong, and Tokyo. She has a B.A. in Economics with Honors, a minor in Film Studies, and a language citation in French from Harvard University. She serves as General Partner at SemperVirens Venture Capital. She serves as Ba oard Member at Violet.</t>
  </si>
  <si>
    <t>45810-10P</t>
  </si>
  <si>
    <t>Anand Prasanna</t>
  </si>
  <si>
    <t>Prasanna</t>
  </si>
  <si>
    <t>Iron Pillar</t>
  </si>
  <si>
    <t>+971 58 185 9033</t>
  </si>
  <si>
    <t>anand@ironpillarfund.com</t>
  </si>
  <si>
    <t>Dubai, United Arab Emirates</t>
  </si>
  <si>
    <t>Unit 2304, 23rd Floor</t>
  </si>
  <si>
    <t>Tower A, Business Central Towers</t>
  </si>
  <si>
    <t>Dubai</t>
  </si>
  <si>
    <t>United Arab Emirates</t>
  </si>
  <si>
    <t>Mr. Anand Prasanna is Co-Founder and serves as Managing Partner at Iron Pillar. Mr. Prasanna also served as the Director of Private Assets at Morgan Creek. He is also an Advisor at Zeprivex. He joined Morgan Creek in December 2012 and is currently a Director based in the firm's Shanghai office. As part of Morgan Creek's Asia team, Mr. Prasanna will be covering the firm's activities in private investments in Asia with a particular focus on India. Prior to joining Morgan Creek, Mr. Prasanna was a senior investment professional at Squadron Capital, a Hong Kong-based private equity group focused on the Asia Pacific region. He has had extensive work experience, including high-profile firms McKinsey and Sequoia Capital in India, where he was able to build a strong local network amongst companies, entrepreneurs, and investors. Mr. Prasanna earned a Master of Business Administration from the Fore School of Management in New Delhi and earned his BBA in Business Administration from the University of Kerala. He served as Board Member at NowFloats. He serves as Board Member at FreshToHome.</t>
  </si>
  <si>
    <t>63193-87P</t>
  </si>
  <si>
    <t>Andrew Reed</t>
  </si>
  <si>
    <t>Reed</t>
  </si>
  <si>
    <t>Partner, Growth</t>
  </si>
  <si>
    <t>andrew.reed@sequoiacap.com</t>
  </si>
  <si>
    <t>Mr. Andrew Reed serves as Partner, Growth at Sequoia Capital. He serves as a Board Member at Harmonic. He serves as a Board Member at Klarna, Figma, Vanta and productboard. He serves as Board Member at Medallion. He served as Board Member at Loom He is a Series D Investor and serves as Board Member at Bolt. He is a Series B Investor and serves as Board Member at Tourlane. Previously he was working with Goldman Sachs. He serves on the board of SnapDocs. He serves as Board Member at Sourcegraph.</t>
  </si>
  <si>
    <t>191102-05P</t>
  </si>
  <si>
    <t>Ashish Agrawal</t>
  </si>
  <si>
    <t>Agrawal</t>
  </si>
  <si>
    <t>Ashish</t>
  </si>
  <si>
    <t>ashish@peakxv.com</t>
  </si>
  <si>
    <t>Number 278, Defence Colony, Second Stage 100 Feet Road</t>
  </si>
  <si>
    <t>Corporation Ward Number 089, Indiranagar</t>
  </si>
  <si>
    <t>Mr. Ashish Agrawal serves as Managing Director at Peak XV Partners. He served as Managing Director at Sequoia Capital. He serves as an Advisor at Leap Finance. He serves as Board Member at Progcap.</t>
  </si>
  <si>
    <t>13833-82P</t>
  </si>
  <si>
    <t>Brian Clevinger Ph.D</t>
  </si>
  <si>
    <t>Clevinger</t>
  </si>
  <si>
    <t>Co-Founder and Managing Director</t>
  </si>
  <si>
    <t>Prolog Ventures</t>
  </si>
  <si>
    <t>+1 (314) 743-2400</t>
  </si>
  <si>
    <t>brian@prologventures.com</t>
  </si>
  <si>
    <t>Clayton, MO</t>
  </si>
  <si>
    <t>7733 Forsyth Boulevard</t>
  </si>
  <si>
    <t>Suite 1100</t>
  </si>
  <si>
    <t>Clayton</t>
  </si>
  <si>
    <t>+1 (314) 743-2403</t>
  </si>
  <si>
    <t>Dr. Brian Clevinger is a Co-Founder and serves as Managing Director at Prolog Ventures. He serves as a Board member at Plastomics and Sequoia Vaccines. He serves as a Board Member at Glaia. He is a Co-Founder and serves as General Partner, Europe &amp; Advisor, Asia Pacific at the The Yield Lab. He serves as a Board Member and Board Observer at Molecular Labs. He also served as an Investment Committee Member at BioGenerator Ventures. He has 20 years of experience in all phases of commercial technology development. He is the founder and managing director of Prolog. Previously, following an academic career in a tenured position at Washington University in St. Louis, he learned the art of investing at an affiliate of Alafi Capital and then served as the founding CEO of a vaccine delivery company. He holds a doctorate in immunology from Indiana University and has completed his postdoctoral fellowship at Washington University. He served as a Board Member at TOMA Biosciences.</t>
  </si>
  <si>
    <t>35800-12P</t>
  </si>
  <si>
    <t>Carter Cast</t>
  </si>
  <si>
    <t>Cast</t>
  </si>
  <si>
    <t>Operating Partner</t>
  </si>
  <si>
    <t>Pritzker Group Venture Capital</t>
  </si>
  <si>
    <t>+1 (312) 447-6001</t>
  </si>
  <si>
    <t>Chicago, IL</t>
  </si>
  <si>
    <t>110 North Wacker Drive</t>
  </si>
  <si>
    <t>Suite 4350</t>
  </si>
  <si>
    <t>Chicago</t>
  </si>
  <si>
    <t>Illinois</t>
  </si>
  <si>
    <t>60606</t>
  </si>
  <si>
    <t>Mr. Carter Cast serves as Operating Partner at Pritzker Group Venture Capital. Mr. Cast serves as Board Member &amp; Member of Manufacturing Committee and Social Responsibility &amp; Public Policy Committee at Kellanova. He serves as Operating Partner at Pritzker Group Venture Capital. Mr. Cast serves as an Operating Partner at Pritzker Private Capital. He served as Board Member at SMS Assist Mr. Cast received his early training in the restaurant division of PepsiCo, Inc. (Pizza Hut International and Taco Bell) from 1986-1990 and then at Frito-Lay from 1992-1997, where he became Director of Marketing, managing the $1.5 billion tortilla chip category and launching Tostitos salsas and dips. He then served as Vice President of Product Marketing and Marketing Communications at Electronic Arts, launching products like SimCity 3000 and The Sims. He left to become a member of the start-up team for Blue Nile, a Kleiner Perkins- and Trinity Ventures-backed company, which became the leading online retailer of diamonds and fine jewelry, selling in excess of $250 million after seven years in existence. He was Blue Nile's Senior Vice President of Marketing, Merchandising, and Site when the company was named one of the 40 best e-commerce sites by Forbes magazine. He developed the brand and site identity, as well as the marketing communication and product assortment strategy. He left Blue Nile to be part of the launch team at Walmart.com, a division of Walmart Stores, Inc. He served as the Vice President of Marketing from 2000-2002 and the Senior Vice President of Marketing, Merchandising, Creative, and Site from 2002-2005. In 2005 He was promoted to President of Walmart.com and to CEO in February 2006. He led Walmart's e-commerce division to profitability on its way to becoming the third highest volume e-tail site behind eBay and Amazon.com. He left Walmart to join Netshops.com, a privately-held e-commerce company funded by Sequoia Capital and Insight Venture Partners, as President and CEO. In 2009, Netshops rebranded and redesigned its site, becoming Hayneedle. Internet Retailer named it one of America's Hot 100 Retail sites in December of 2009. In 2011, he joined the faculty of Northwestern University's Kellogg School of Management, where he is a clinical professor teaching entrepreneurship and marketing. In addition to teaching, he joined Pritzker Group Venture Capital in 2012, where he is a Venture Partner, advising Pritzker Group's portfolio companies. He sits on the board of SMS Assist and is also a member of the advisory board of Northwestern University's Kellogg Innovation Network. He graduated from Stanford University in 1985 and the Kellogg School of Management in 1992. Mr. Cast has a bachelor's degree from Stanford University and an MBA from Northwestern's Kellogg School of Management.</t>
  </si>
  <si>
    <t>98832-61P</t>
  </si>
  <si>
    <t>Chandra Tjan</t>
  </si>
  <si>
    <t>Tjan</t>
  </si>
  <si>
    <t>Chandra</t>
  </si>
  <si>
    <t>Alpha JWC Ventures</t>
  </si>
  <si>
    <t>chandra.tjan@alphajwc.com</t>
  </si>
  <si>
    <t>South Jakarta, Indonesia</t>
  </si>
  <si>
    <t>Treasury Tower Lantai 61, District 8 Lot 28, SCBD</t>
  </si>
  <si>
    <t>Jalan Jendral Sudirman Kav 52-53, Kelurahan Senayan Kecamatan Kebayoran Baru, DKI</t>
  </si>
  <si>
    <t>South Jakarta</t>
  </si>
  <si>
    <t>12190</t>
  </si>
  <si>
    <t>Indonesia</t>
  </si>
  <si>
    <t>Mr. Chandra Tjan is a Co-Founder &amp; serves as General Partner at Alpha JWC Ventures. Mr. Tjan served as Board Member at Pitik. He serves as Board Member at Bobobox. He serves as a Board Member at Venti Technologies and Kopi Kenangan. He serves as an Advisor at GudangAda. He also serves as Advisor at RateS. He is one of Indonesia's most seasoned venture capitalists with a successful track record. He has invested in over 50 technology companies since 2010 throughout Asia and the US including technology stars such as Tokopedia (Indonesia's leading online marketplace which received follow-on investment by Sequoia and Softbank), Traveloka (Southeast Asia's leading online travel agent), Disdus (acquired by Groupon), Pricearea (acquired by Yello Mobile), and Tech in Asia (technology news portal in Singapore focusing on Asia market). He was also the interim CEO of idblognetwork, Indonesia's largest blog advertising platform, in which he led the business to receive follow-on funding from a strategic investor and also achieve a successful partial exit. He is based in Jakarta and Singapore, and he is an active member of the Southeast Asia technology community. Before becoming a venture capitalist, his professional background was in senior private wealth management in Singapore at Citigroup and Credit Suisse. He graduated from the University of Sydney.</t>
  </si>
  <si>
    <t>58625-83P</t>
  </si>
  <si>
    <t>Cherry Lu</t>
  </si>
  <si>
    <t>Lu</t>
  </si>
  <si>
    <t>Cherry</t>
  </si>
  <si>
    <t>Co-Founder &amp; Executive Partner</t>
  </si>
  <si>
    <t>Redhill Capital</t>
  </si>
  <si>
    <t>+86 (0)20 8883 5320</t>
  </si>
  <si>
    <t>cherry@redhillcapital.cn</t>
  </si>
  <si>
    <t>Guangzhou, China</t>
  </si>
  <si>
    <t>Room 3506, Chow Tai Fook Financial Center</t>
  </si>
  <si>
    <t>No. 6 Jiangdong Road, Zhujiang New Town</t>
  </si>
  <si>
    <t>Guangzhou</t>
  </si>
  <si>
    <t>Guangdong</t>
  </si>
  <si>
    <t>510032</t>
  </si>
  <si>
    <t>Ms. Cherry Lu is a Co-Founder &amp; serves as Executive Partner at Redhill Capital. Ms. Cherry Lu serves as Board Member at iRay Group. She served as Partner at Sequoia Capital. She is a Managing Director and Partner at Sequoia Capital China. She focuses on investment in the healthcare sector. Prior to joining Sequoia Capital in 2005, Ms. Lu did marketing in the healthcare industry and worked on investment cooperation in hospital projects. She gained rich know-how and experience in this field. Ms. Lu received her MBA from the Chinese University of Hong Kong and her bachelor's degree in Clinical Medicine from Tongji Medical College of Huazhong University of Science and Technology.</t>
  </si>
  <si>
    <t>13957-57P</t>
  </si>
  <si>
    <t>Christopher Olsen</t>
  </si>
  <si>
    <t>Olsen</t>
  </si>
  <si>
    <t>Co-Founder and Partner</t>
  </si>
  <si>
    <t>Drive Capital</t>
  </si>
  <si>
    <t>+1 (415) 694-9581</t>
  </si>
  <si>
    <t>chris@drivecapital.com</t>
  </si>
  <si>
    <t>Columbus, OH</t>
  </si>
  <si>
    <t>629 North High Street</t>
  </si>
  <si>
    <t>6th Floor</t>
  </si>
  <si>
    <t>Columbus</t>
  </si>
  <si>
    <t>Ohio</t>
  </si>
  <si>
    <t>43215</t>
  </si>
  <si>
    <t>Mr. Christopher Olsen is a Co-Founder and serves as a Partner at Drive Capital. He serves as a Board Member at Alexi and Pieces for Developers. He served as a Board Member at Fifth Season. He serves as a Board Member at Drip Global and Tesouro. He served as a Board member at Olive and Greenlight Financial Technology. He also serves as a Board Member at Beam Benefits &amp; Leadpages. He is a Board Member of Root Insurance. Before Drive Capital, he served Sequoia Capital as a partner where he focused on software and services investments. Before joining Sequoia Capital in 2006, he worked at Technology Crossover Ventures where he was involved in private equity investments in the technology and financial services sectors and served as a board observer of eBags, Oak Pacific Interactive Corp, Whitepages.com, and Claria. Earlier, he was an investment banker with UBS Investment Bank where he worked on a variety of M&amp;A, equity, and debt transactions in the healthcare sector. He has a BA in Political Science from Yale University. He serves as Board Member at Humanly.</t>
  </si>
  <si>
    <t>58600-54P</t>
  </si>
  <si>
    <t>Cuiping Gu Ph.D</t>
  </si>
  <si>
    <t>Gu</t>
  </si>
  <si>
    <t>Cuiping</t>
  </si>
  <si>
    <t>Hongshan Capital Group</t>
  </si>
  <si>
    <t>+86 (0)10 8447 5668</t>
  </si>
  <si>
    <t>tgu@hongshan.com</t>
  </si>
  <si>
    <t>Office Building 3, Room 3606</t>
  </si>
  <si>
    <t>China World Trade Center, No. 77 Jianguo Road</t>
  </si>
  <si>
    <t>Dr. Cuiping Gu serves as Managing Director at HSG. She served as a Board Member at Refuge Biotech. She serves as a Board Member at Silicon Therapeutics. She serves as a Board Member at Cullgen. She is focusing on healthcare investment. Before joining Sequoia, she worked as an Associate at the OrbiMed Asia team, focusing on healthcare and life sciences investments, including pharma, biotechs, medical devices, and healthcare services. Before joining OrbiMed, he worked as a Project Manager at Eli Lilly Global External Research and Development Department in Shanghai, where she was responsible for collaborations, partnering, and office operational activities. Prior, she was a Director for Development Planning at Shanghai Genomics, a biotech company focused on drug discovery and development. There, she managed in-licensing activities and IND-enabling studies for NCE development. He has a B.S. with double majors in Biotechnology and English, and a Ph.D. in Biochemistry and Molecular Biology, both from Shanghai Jiao Tong University.</t>
  </si>
  <si>
    <t>276249-25P</t>
  </si>
  <si>
    <t>David Cahn</t>
  </si>
  <si>
    <t>Cahn</t>
  </si>
  <si>
    <t>dcahn@sequoiacap.com</t>
  </si>
  <si>
    <t>Mr. David Cahn serves as Partner, Growth at Sequoia Capital. He served as General Partner &amp; Co-Chief Operating Officer of Venture at Coatue Management. He served as Board Member at Abacus.AI. He also serves as Board Member at Kubecost. He served as Board Member at Runway.</t>
  </si>
  <si>
    <t>101534-50P</t>
  </si>
  <si>
    <t>Dilek Dayinlarli</t>
  </si>
  <si>
    <t>Dayinlarli</t>
  </si>
  <si>
    <t>Dilek</t>
  </si>
  <si>
    <t>Co-Founder, General Partner &amp; Managing Partner</t>
  </si>
  <si>
    <t>ScaleX Ventures</t>
  </si>
  <si>
    <t>dilek@scalexventures.com</t>
  </si>
  <si>
    <t>Eerste Weteringplantsoen 8</t>
  </si>
  <si>
    <t>1017 SK</t>
  </si>
  <si>
    <t>Ms. Dilek Dayinlarli is a Co-Founder and serves as General Partner and Managing Partner at ScaleX Ventures. She served as Board Member and Advisor at Kondukto. She also serves as Board Member at Picus Security and Code2. She was actively investing as an angel and being an active chairwoman since 2017. She has been an angel investor in companies like Picus Security, DataRow (acquired by AWS), Genomize, and Genialis, having a board seat on a multiple of them. Previously she was an investor at 212, an early-stage technology venture capital in İstanbul. She invested in companies like IyziCo, the biggest Fintech company in the region, and Insider, global marketing automation software, funded by Sequoia Capital, and so on. Prior to 212, she worked at Groupon as Director of Strategy and Analysis, Management Consultant at Accenture, and Business Developer at Koc Group. She started her career in the USA, where she held different project management positions and also started her own startup. She received a BA honors degree in Mechanical Engineering from Yildiz Technical University and MBA from Johnson &amp; Wales University, both with honors degrees. She is also one of the first Kauffman Fellows, chosen from Turkey and distinguished by scholarship. She is also a founding member and leader of the Arya Women Investment Platform. She is a guest lecturer at Stanford University and a judge at European Commission. She was awarded as One of the Most Successful Women Leaders in Turkey, thanks to her contributions and impact on the tech industry.</t>
  </si>
  <si>
    <t>13958-02P</t>
  </si>
  <si>
    <t>Douglas Leone</t>
  </si>
  <si>
    <t>Leone</t>
  </si>
  <si>
    <t>Douglas</t>
  </si>
  <si>
    <t>Partner, Seed/Early and Growth</t>
  </si>
  <si>
    <t>douglas.leone@sequoiacap.com</t>
  </si>
  <si>
    <t>Mr Douglas Leone serves as Partner, Seed/Early and Growth at Sequoia Capital. He also serves as a Board Member of Metreo. He is an Angel Investor. He serves as Board Advisor at Cresta. He. He serves as a Board Member at Cyera and Zafran. He serves as a Board Member at Wiz, Numerify, Island, and Scanntech. He served as a Board Member and Advisor at ActionIQ. He serves as a Board Member at Nubank. He also serves as a Board Member at SCHF (GPE). He serves as a Board Member at Trade Republic. He served as a Board Member at Lattice Engines. He serves as a Board Member at Soley Therapeutics. Before joining Sequoia Capital in 1988, he held sales and sales management positions at Sun Microsystems, Hewlett-Packard, and Prime Computer. He has a BS in Mechanical Engineering from Cornell University, an MS in Industrial Engineering from Columbia University, and an MS in Management from the Massachusetts Institute of Technology.</t>
  </si>
  <si>
    <t>125247-25P</t>
  </si>
  <si>
    <t>Eric Boothe JD</t>
  </si>
  <si>
    <t>Boothe</t>
  </si>
  <si>
    <t>GreenPoint Partners</t>
  </si>
  <si>
    <t>+1 (917) 794-6438</t>
  </si>
  <si>
    <t>eric.boothe@greenpointpartners.com</t>
  </si>
  <si>
    <t>450 West 14th Street</t>
  </si>
  <si>
    <t>10014</t>
  </si>
  <si>
    <t>Dr. Eric Boothe serves as a Partner at GreenPoint Partners. He served as Venture Principal at Elevate Capital. He is a Board Member of Ratio Coffee Machines. He joined the University of Oregon Foundation Seed Fund as a founding member and has helped lead the Fund to multiple venture financings. Before coming to Oregon, he worked for a high-growth Sequoia and Accel-funded startup doing lead sourcing and developing custom pipeline analysis tools and Sales Force dashboards. He also spent four years in South Korea as a student where he became fluent in Korean, and later returned as a development consultant for the University of Utah's Asia Campus. In this role, he helped establish, fund, and run one of the first foreign university campuses in South Korea. During his time in Korea, he co-founded a multinational entrepreneur networking organization dedicated to linking expatriate entrepreneurs with other local innovators and investors. He also co-founded a successful startup where men's bespoke clothing retailers could outsource part of their manufacturing to South Korean tailors to reduce costs. He holds a B.S. in Economics from the University of Utah as well as a certificate in Financial Economics from Seoul National University.</t>
  </si>
  <si>
    <t>49268-89P</t>
  </si>
  <si>
    <t>Fabio Pezzotti</t>
  </si>
  <si>
    <t>Pezzotti</t>
  </si>
  <si>
    <t>Fabio</t>
  </si>
  <si>
    <t>Iconium Blockchain Ventures</t>
  </si>
  <si>
    <t>+39 39 3111 3204</t>
  </si>
  <si>
    <t>fabio@iconium.it</t>
  </si>
  <si>
    <t>Milan, Italy</t>
  </si>
  <si>
    <t>Via Senato, 15</t>
  </si>
  <si>
    <t>Lombardy</t>
  </si>
  <si>
    <t>Milan</t>
  </si>
  <si>
    <t>20121</t>
  </si>
  <si>
    <t>Italy</t>
  </si>
  <si>
    <t>Mr. Fabio Pezzotti is a Co-Founder and serves as Chief Executive Officer and Board Member at Iconium. He Founded and served as Chief Executive Officer at Xandas New Media Ventures. He is also the Co-Founder and Chairman, of Corporate Development and Strategy at Chupamobile. He also served as the CEO of Webnext and also co-founded it. He graduated in Business Administration at Bocconi University. He worked until 1997 between Paris and London, as a management consultant. In 1998 he founded Webnext S.p.a. and Xoom. it, the largest Italian web community, until they were acquired by Seat in 2001, generating a 30x investment. In 2005 he founded Mobango in London, finanziated by VC Dougthy Hanson. Mobango merges in 2010 with People Infocom (Sequoia, Intel). He co-founded Chupamobile in London in 2012 and invested in various startups. Investor in cryptocurrencies and ICO since 2016.</t>
  </si>
  <si>
    <t>93333-97P</t>
  </si>
  <si>
    <t>Frank Marshall</t>
  </si>
  <si>
    <t>Marshall</t>
  </si>
  <si>
    <t>Frank</t>
  </si>
  <si>
    <t>Special Limited Partner</t>
  </si>
  <si>
    <t>CampVentures (Former)</t>
  </si>
  <si>
    <t>+1 (408) 548-7754</t>
  </si>
  <si>
    <t>2590 North 1st Street</t>
  </si>
  <si>
    <t>Suite 360</t>
  </si>
  <si>
    <t>95131</t>
  </si>
  <si>
    <t>Mr. Frank Marshall serves as Board Member at Stellar Cyber. Mr. Marshall serves as Board Member at Netscreen Networks, Aerohive. Mr. Marshall served as Board Member at PMC-Sierra. He is also a Venture Partner with Sequoia Capital and a member of the Technical Advisory Board of Interwest Partners. Frank was previously Vice Chairman of Covad Communications Group, where he also served as interim Chief Executive Officer from November 2000 until July 2001. Previously, Frank was Vice President, General Manager of Cisco Systems's Core Products Business Unit. He has also served as Cisco's Vice President of Engineering. He served as Board Member at MetroFi.</t>
  </si>
  <si>
    <t>35786-17P</t>
  </si>
  <si>
    <t>Ganapathyagraharam Ravishankar</t>
  </si>
  <si>
    <t>Ravishankar</t>
  </si>
  <si>
    <t>Ganapathyagraharam</t>
  </si>
  <si>
    <t>gv@peakxv.com</t>
  </si>
  <si>
    <t>Mr. Ganapathyagraharam Ravishankar serves as Managing Director at Peak XV Partners. Mr. Ravishankar serves as a Board Member at K12 Techno Services. He serves as a Board Member at BYJU'S. He served as a Board Member at Byju's. He was a Board Member of VIA, Finova Capital (India), Glocal Healthcare Systems, Five Star Business Finance, and Goes Colors. He served as a Board Member at Go Colors. At Sequoia Capital, He focuses on sectors like Consumer, Healthcare, and Education. He served on the Board of Suburban Diagnostics, Prataap Snacks, Faaso's, Glocal Healthcare, ISFC, and Edusys. Before this, he worked at McKinsey &amp; Company in Mumbai, where he advised senior management of top Indian companies on a variety of issues, including business building, channel management, and leadership development. Earlier he also worked at Wipro Technologies in their Embedded and Internet Access division. He served as the Board Member at Edusys Services. He received an MBA from the Indian Institute of Management, Ahmedabad, where he was awarded the President's Gold Medal. He also holds a BE in Computer Science and Engineering from REC Trichy.</t>
  </si>
  <si>
    <t>13958-38P</t>
  </si>
  <si>
    <t>Gaurav Garg</t>
  </si>
  <si>
    <t>Garg</t>
  </si>
  <si>
    <t>Gaurav</t>
  </si>
  <si>
    <t>Wing Venture Capital</t>
  </si>
  <si>
    <t>+1 (650) 316-8300</t>
  </si>
  <si>
    <t>gaurav@wing.vc</t>
  </si>
  <si>
    <t>480 Lytton Avenue</t>
  </si>
  <si>
    <t>Mr. Gaurav Garg is a Co-Founder and serves as Partner at Wing Venture Capital. Mr. Garg serves as Chairman at Cohesity. He serves as a Board Member at Findem. He serves as a Board Member at Vevo Therapeutics. He also serves as a Board Member at BedRock Systems, Cogniac, and Obsidian Security. He served as a Board Member at Avalanche Technology and Espressive. He also serves as a Board Member at Clear Labs and Expressive. He has led investments in a number of early-stage technology companies and currently serves on the boards of Ruckus Wireless (NYSE: RKUS), FireEye (Nasdaq: FEYE), MobileIron (Nasdaq: MOBL), Jasper, Shape Security, Instart Logic, Apprity, and previously Netscaler (acquired by CTXS). He has helped build Ruckus and FireEye for over 10 years each, from incubation into public companies and he incubated Jasper and Instart Logic from the concept stage. He was a partner at Sequoia Capital from 2001 to 2010 and a Special Limited Partner from 2010 to 2012. He worked extensively with Sequoia Capital's investments in Aruba Networks (Nasdaq: ARUN), Jawbone (aka Aliph), and RingCentral (NYSE: RNG). Prior to joining Sequoia Capital, he founded Redback Networks (Nasdaq: RBAK) in 1996 and served as a board member and Senior Vice President of Product Management. Prior to Redback Networks, he held various engineering positions at SynOptics and Bay Networks. He holds a BS and MS in Electrical Engineering and a BS in Computer Science, all from Washington University in St. Louis. He also served as a Board Member at SlashNext. He is also an Angel Investor.</t>
  </si>
  <si>
    <t>46380-79P</t>
  </si>
  <si>
    <t>Gautam Mago</t>
  </si>
  <si>
    <t>Mago</t>
  </si>
  <si>
    <t>Gautam</t>
  </si>
  <si>
    <t>gautam@a91partners.com</t>
  </si>
  <si>
    <t>Mr. Gautam Mago serves as a General Partner at A91 Partners. Mr. Mago also serves as a General Partner at Kaar Technologies. He serves as a Board Member at Exotel and Kaar Technologies. He serves as a Board Member at Ummeed Housing Finance. He served as Advisor, Investments &amp; Managing Director at Sequoia Capital India. He is a Board Member at UnitedLex. He serves as a Board Member at iCreate Software India. He also served as a Board Member at Belong and VideoVerse. co. He mainly focuses on investments in technology businesses. Prior to joining Sequoia, he worked with McKinsey &amp; Company as well as Arthur Andersen, advising companies in the technology, retail, and consumer sectors. He holds an MBA from the Indian Institute of Management Calcutta and a Masters in Commerce from the University of Mumbai, obtaining gold medals at both places. He is also a member of the Institute of Chartered Accountants of India.</t>
  </si>
  <si>
    <t>245426-32P</t>
  </si>
  <si>
    <t>George Robson</t>
  </si>
  <si>
    <t>Robson</t>
  </si>
  <si>
    <t>George</t>
  </si>
  <si>
    <t>grobson@sequoiacap.com</t>
  </si>
  <si>
    <t>Mr. George Robson serves as Partner, Seed/Early at Sequoia Capital. Mr. Robson serves as Board Member at Zefir. He worked at Morgan Stanley as an investment banker.</t>
  </si>
  <si>
    <t>258911-47P</t>
  </si>
  <si>
    <t>Gili Raanan</t>
  </si>
  <si>
    <t>Raanan</t>
  </si>
  <si>
    <t>Gili</t>
  </si>
  <si>
    <t>CyberStarts</t>
  </si>
  <si>
    <t>+972 (0)52 666 1712</t>
  </si>
  <si>
    <t>gili@cyberstarts.com</t>
  </si>
  <si>
    <t>Mikhmoret, Israel</t>
  </si>
  <si>
    <t>Ha-maftea'kh Street 5</t>
  </si>
  <si>
    <t>Mikhmoret</t>
  </si>
  <si>
    <t>40297</t>
  </si>
  <si>
    <t>Mr. Gili Raanan is the Founder of CyberStarts. He served as Board Member at Acoustic Eye. He serves as Board Member at Linx. He serves as Chairman at Armis. He served as a Board Member at Dazz. He serves as a Board Member at Fireblocks. He serves as an Investor &amp; Board Member at Island. He served as a Board Member and Seed Investor at Noname Security. He served as a General Partner at Sequoia Capital. He served as a Board Member at Moovit and Bionic. He serves as Board Member at Wiz. He has been a valued first investor and mentor for more than 20 companies including Armis, Adallom, Onavo, Wiz, Fireblocks, and many more. He serves as Board Member at Puls. He brings his vast hands-on experience to every investment, having built two enterprise software companies from zero to acquisitions by EMC and IBM. He won the coveted Israel Defense Presidential Prize in 1996 for his decade of service for the Israeli intelligence agency and the Israeli Defense Forces Innovation Award in 1992. He is the recognized inventor of the CAPTCHA, one of the world's most popular security algorithms, built the first WAF (web application firewall), and holds 10 other US patents in the fields of security and application management. He earned MBA (Master of Business Administration) in Management Information Systems from Recanati Business School in 1996 and BS (Bachelor of Science) from Tel Aviv University in 1994. He serves as a Board Member at Savvy Security. He serves as Board Member at Upwind Security. Gili brings his vast hands-on experience to every investment, having built two enterprise software companies from zero to acquisitions by EMC and IBM. He won the coveted Israel Defense Presidential Prize in 1996 for his decade of service for the Israeli intelligence agency and the Israeli Defense Forces Innovation Award in 1992.</t>
  </si>
  <si>
    <t>39470-86P</t>
  </si>
  <si>
    <t>Girish Mathrubootham</t>
  </si>
  <si>
    <t>Mathrubootham</t>
  </si>
  <si>
    <t>Girish</t>
  </si>
  <si>
    <t>Together Fund</t>
  </si>
  <si>
    <t>+1 (877) 485-0317</t>
  </si>
  <si>
    <t>girish@together.fund</t>
  </si>
  <si>
    <t>299, 6th Main Road</t>
  </si>
  <si>
    <t>HAL, 2nd Stage, Indiranagar</t>
  </si>
  <si>
    <t>Mr. Girish Mathrubootham is a Co-Founder &amp; serves as Managing Partner of Together Fund. Mr. Mathrubootham serves as Advisor at Scalekit and PALGenie. He is also the Co-Founder of Freshworks where he serves as Executive Chairman. He also serves as Advisor at SignEasy. He served as an Advisor and Board Member of Whatfix. He served as Vice-President of Product Management at ZOHO Corporation. In 10 years, with backing from leading investors including Accel, Sequoia, Tiger Global Management, and CapitalG, he has taken Freshworks from an idea to a leading software company empowering businesses to delight their customers and employees. Under his leadership, Freshworks has expanded its operations to 13 global locations to serve over 50,000 customers throughout the world. He is also a prominent venture capital investor and adviser to over 60 companies, and a founding member of SaaSBOOMi, Asia's largest community of founders and product builders. He earned a Bachelor of Engineering in Electrical and Electronics Engineering from Shanmugha Arts, Science, Technology and Research Academy in 1996, followed by an MBA in Marketing from the University of Madras in 1998.</t>
  </si>
  <si>
    <t>13957-66P</t>
  </si>
  <si>
    <t>Gregory McAdoo</t>
  </si>
  <si>
    <t>McAdoo</t>
  </si>
  <si>
    <t>Gregory</t>
  </si>
  <si>
    <t>Bolt (VC)</t>
  </si>
  <si>
    <t>greg@bolt.io</t>
  </si>
  <si>
    <t>292 Newbury Street</t>
  </si>
  <si>
    <t>Suite 356</t>
  </si>
  <si>
    <t>Mr. Gregory McAdoo serves as a General Partner at Bolt. He served as a Partner at Sequoia Capital. He served as a Board Member at Boom. He is focusing on semiconductor and systems investments. Prior to joining Sequoia Capital in 2000 he was President and CEO of Sentient Networks (CSCO). Previously, he held senior engineering and executive level management positions at Cisco Systems, Sourcecom, Micom Communications, and Datability Systems. He also served as President and Chief Executive Officer at Sentient Networks.</t>
  </si>
  <si>
    <t>13957-12P</t>
  </si>
  <si>
    <t>Haim Sadger</t>
  </si>
  <si>
    <t>Sadger</t>
  </si>
  <si>
    <t>Haim</t>
  </si>
  <si>
    <t>S Capital VC</t>
  </si>
  <si>
    <t>Tel Aviv, Israel</t>
  </si>
  <si>
    <t>8 Yunitsman Street, 2380</t>
  </si>
  <si>
    <t>Building 4, Suite 4102</t>
  </si>
  <si>
    <t>Tel Aviv</t>
  </si>
  <si>
    <t>6969000</t>
  </si>
  <si>
    <t>Mr. Haim Sadger is a Co-Founder and serves as Managing Partner at S Capital VC. Mr. Sadger serves as Partner at Sequoia Capital. He serves as a Board Member at Wing Security. He serves as a Board Member at Simplicity and Oolo. He is an Angel Investor. He also serves as a Board Member at Indeni, Pecan. He served as Board Member at Run: AI, Wing Security, Simplicity, Pyramid Analytics, Hourly, and Deep AI. He serves as Chairman at Silk. He served as a Board Member at DeepAI. He is a Board Member of Salt Security, StreamRail, and Collective. He is a Board Member and Advisor of Capitolis. He served as a Board Member at Oolo, CB4 &amp; Lemonade. He focuses on mobile, semiconductor, systems, and software investments. Before joining Sequoia Capital in 1999, he held senior engineering and management positions at Intel Corporation. He was the Chairman at Taykey. He has a BS in Electrical Engineering from the Technion-Israel Institute of Technology. He served as Chairman of Silent Communication. He served as a Board Member at Oribi. He serves as a Board Member at Lumana. He also served as a Board Member at Axiom.</t>
  </si>
  <si>
    <t>125512-21P</t>
  </si>
  <si>
    <t>Harshjit Sethi</t>
  </si>
  <si>
    <t>Sethi</t>
  </si>
  <si>
    <t>Harshjit</t>
  </si>
  <si>
    <t>harshjit@peakxv.com</t>
  </si>
  <si>
    <t>Mr. Harshjit Sethi serves as Managing Director at Peak XV Partners. He serves as Board Member at BharatPe. He serves as Board Member at Apna, Smallcase, BharatPe, and Darwinbox Digital Solutions. He serves as Managing Director at Sequoia Capital. He serves as Board Member at LambdaTest.</t>
  </si>
  <si>
    <t>58681-45P</t>
  </si>
  <si>
    <t>Ishaan Mittal</t>
  </si>
  <si>
    <t>Mittal</t>
  </si>
  <si>
    <t>Ishaan</t>
  </si>
  <si>
    <t>ishaan@peakxv.com</t>
  </si>
  <si>
    <t>Mr. Ishaan Mittal serves as Managing Director at Peak XV Partners. He serves as a Board Member at GirnarSoft, Mamaearth, Suburban Diagnostics, and Finova Capital (India). He served as a Board Member at Suburban Diagnostics. He served as a Junior Associate at Sequoia Capital India. Before joining Sequoia Capital India, he was with Boston Consulting Group, where he served clients in telecom, industrial goods, consumer goods, financial services, and healthcare. He holds a bachelor's in Mechanical Engineering from the Indian Institute of Technology Delhi. He served as a Board Member at Urban Ladder.</t>
  </si>
  <si>
    <t>13958-47P</t>
  </si>
  <si>
    <t>James Goetz</t>
  </si>
  <si>
    <t>Goetz</t>
  </si>
  <si>
    <t>jgoetz@sequoiacap.com</t>
  </si>
  <si>
    <t>Mr. James Goetz serves as Partner, Seed/Early and Growth at Sequoia Capital. He serves as Board Member and Member of Talent and Compensation Committee at Intel. He served as an Advisory Board Member at HubSpot. He had served as an Executive at Lodash. He serves as a Board Member at Palo Alto Networks, Pocket Gems, Intel, Clari, Appirio, Observable &amp; Drawbridge. Previously, he served as a Board Member at Metaswitch Networks and Chartboost. Prior to VitalSigns, he was the Vice President of Network Management for Bay Networks. Prior to Bay and Synoptics, he held various product and marketing positions at AT&amp;T, AT&amp;T Bell Labs and Digital Equipment. He has led or co-led Sequoia's investments in AdMob (GOOG), Appirio (WIT), Barracuda (CUDA), Clearwell (SYMC), GitHub (MSFT), HubSpot (HUBS), Jive (JIVE), Karma (FB), Okta (OKTA), Palo Alto Networks (PANW), PeakStream (GOOG), Ruckus Wireless (RKUS), Nimble Storage (NMBL) and WhatsApp (FB). He has a BS in Electrical and Computer Engineering from the University of Cincinnati and an MS in Electrical Engineering from Stanford University. He served as a Board Member at YikYak. He is the Founder and serves as Chairman at Casimir Holdings. He is an Angel Investor.</t>
  </si>
  <si>
    <t>14157-19P</t>
  </si>
  <si>
    <t>Jeff Dykan</t>
  </si>
  <si>
    <t>Dykan</t>
  </si>
  <si>
    <t>SCP Vitalife Partners</t>
  </si>
  <si>
    <t>+972 (0)9 970 0482</t>
  </si>
  <si>
    <t>jdykan@scpvitalife.com</t>
  </si>
  <si>
    <t>Raanana, Israel</t>
  </si>
  <si>
    <t>15 Hatidhar Street</t>
  </si>
  <si>
    <t>P.O Box 2138</t>
  </si>
  <si>
    <t>Raanana</t>
  </si>
  <si>
    <t>4366517</t>
  </si>
  <si>
    <t>+972 (0)9 970 0477</t>
  </si>
  <si>
    <t>Mr. Jeff Dykan serves as Managing Partner at SCP Vitalife Partners. He serves as Advisory Board Member at Katao Venture Partners. Prior to joining Vitalife, he was recruited by Sequoia Capital to be Chairman and CEO of BitBand. Before arriving at BitBand in 2001, he held several senior financial positions, including a stint as CFO at VocalTec Communications, nine years as Director of Regional Finance for Applied Materials in Israel and four years as VP Finance at Opal. He began his career with Andersen Consulting in New York. He is Chairman of Argo Medical Technologies serves on the board of directors of NiTi Surgical Solutions, Regentis Biomaterials, NovoGI, Avedro, Deep Breeze, Beta-O2 Technologies, and GeneGrafts, and was previously a board member of Colbar Lifescience (acquired by J&amp;J) and Can-Fite BioPharma (TASE: CFBI). He has a B.S. in accounting and management from New York University and an MBA in computer applications also from New York University. Mr. Dykan is also licensed in New York State as a certified public accountant. He served as Board Member at Deep Breeze. He served as Chairman at Trig Medical.</t>
  </si>
  <si>
    <t>39939-94P</t>
  </si>
  <si>
    <t>Jess Lee</t>
  </si>
  <si>
    <t>Jess</t>
  </si>
  <si>
    <t>jess@sequoiacap.com</t>
  </si>
  <si>
    <t>Ms. Jess Lee serves as Partner, Seed/Early at Sequoia Capital. Ms. Lee serves as Board Member of Ironclad. She serves as Board Member at Maven Clinic and Otter. She serves as an Executive at Protégé. She is also a Co-Founder and served as the Chief Executive Officer at Polyvore. She served as Board Member at The Wing. Prior to co-founding Polyvore, she was a product manager at Google, where she worked on Google Maps and launched features like My Maps and draggable driving directions. She has a degree in computer science from Stanford University.</t>
  </si>
  <si>
    <t>58617-46P</t>
  </si>
  <si>
    <t>Jianwei Li</t>
  </si>
  <si>
    <t>Jianwei</t>
  </si>
  <si>
    <t>Founding Partner &amp; Managing Partner</t>
  </si>
  <si>
    <t>Zhencheng Capital</t>
  </si>
  <si>
    <t>+86 (0)138 1002 0917</t>
  </si>
  <si>
    <t>jianwei@zhenchengcap.com</t>
  </si>
  <si>
    <t>1st Floor, Block A, Building 18</t>
  </si>
  <si>
    <t>No. 6, Langjiayuan, Tonghuihe North Road, Chaoyang District</t>
  </si>
  <si>
    <t>100022</t>
  </si>
  <si>
    <t>Mr. Jianwei Li is the Founding Partner and serves as Managing Partner at Zhencheng Capital. He served as Non-Executive Director at SAI.TECH Global. He also served as Chairman &amp; Co-Chief Executive Officer at TradeUP Global and TradeUP 88. He served as a Venture Partner at ZhenFund. He served as an Advisor at Virtuix. He served as Chairman &amp; Co-Chief Executive Officer at TradeUP Acquisition. He served as a Vice President at Sequoia Capital. He focuses on investment in the TMT sector. Prior to joining Sequoia Capital in 2011, he was the CFO of a Mobile Internet company, where he was in charge of business strategy and financial affairs. Before that, he had acted as Vice President of Fidelity Growth Partners Asia, with his main focus given to research on technology, financial services, and education. He led Fidelity's investment in Netqin (NYSE: NQ) and played an important role in several investment projects such as Crystal Computer Graphics, KMsocial, Financial Education, and Datou Wireless. Before setting his foot in Venture Capital, he had worked as a consultant in The Boston Consulting Group and had offered advice to major companies in telecommunications, banking, internet, and retail chain industries. He holds a master's degree in Management Engineering and a dual bachelor's degree in Management Engineering and Computer Science from the Beijing University of Posts and Telecommunications.</t>
  </si>
  <si>
    <t>143169-58P</t>
  </si>
  <si>
    <t>Kaushik Anand</t>
  </si>
  <si>
    <t>Kaushik</t>
  </si>
  <si>
    <t>kaushik@a91partners.com</t>
  </si>
  <si>
    <t>Mr. Kaushik Anand serves as Partner at A91 Partners. He served as Head, India at CapitalG. He serves as Board Member at FinBox. He serves as a Board Member at Aye Finance and Kaar Technologies. Previously, he was Head of India Investments at CapitalG (formerly Google Capital) where he focused on technology and financial services businesses. At CapitalG, he led investments in Aye Finance, Cardekho, Freshworks and Cuemath. He was previously at Sequoia Capital India and McKinsey &amp; Co. He is an alumnus of Harvard Business School and IIT Madras.</t>
  </si>
  <si>
    <t>35538-76P</t>
  </si>
  <si>
    <t>Kevin Chen</t>
  </si>
  <si>
    <t>Chen</t>
  </si>
  <si>
    <t>Co-Founding Partner</t>
  </si>
  <si>
    <t>BioTrack Capital</t>
  </si>
  <si>
    <t>+86 (0)21 5272 8860</t>
  </si>
  <si>
    <t>kchen@biotrackcapital.com</t>
  </si>
  <si>
    <t>HKRI Taikoo Hui, Number 288, Shimen Road Number 1</t>
  </si>
  <si>
    <t>Unit 601-602, 6th Floor, Tower 1</t>
  </si>
  <si>
    <t>200041</t>
  </si>
  <si>
    <t>+86 (0)21 5272 0005</t>
  </si>
  <si>
    <t>Mr. Kevin Chen serves as a Co-Founding Partner at BioTrack Capital. He serves as a Board Member at NuProbe. Previously, he was a Partner at Sequoia Capital China, responsible for healthcare investment. Before Sequoia Capital, Mr. Chen set up the first healthcare fund at Everbright Holdings and served as Head of Everbright Healthcare Fund. He has led investments in over 20 leading healthcare companies in China, including the Beijing Genomics Institute (BGI), Betta Pharma, Yuwell Medical, Zai Lab, and Amcare Hospital. Before Everbright, Mr. Chen served as President of ShangPharma, a leading China CRO company, and was the COO and CFO of ShangPharma and took the company public at NYSE in 2010. He received a B.S. in Chemistry from Nanjing University, an M.S. in Medicinal Chemistry from Tulane University and an MBA from Kellogg School of Management, Northwestern University.</t>
  </si>
  <si>
    <t>172647-01P</t>
  </si>
  <si>
    <t>Konstantine Buhler</t>
  </si>
  <si>
    <t>Buhler</t>
  </si>
  <si>
    <t>Konstantine</t>
  </si>
  <si>
    <t>buhler@sequoiacap.com</t>
  </si>
  <si>
    <t>Mr. Konstantine Buhler serves as Partner, Seed/Early at Sequoia Capital. He serves as a Board Member at EDX and CaptivateIQ. He also serves as a Board Member at Kumo.AI and Ethos Life. He served as a Board Member at Data.AI. He serves as a Partner at Sequoia Capital. He served as Principal at Meritech Capital Partners. He joined Meritech in 2016, focusing on data-first enterprise and consumer businesses. Prior to joining the team, he worked at tech startups including RelateIQ and Italia Innovation and also spent time at McKinsey &amp; Company in New York and The Pritzker Group in Chicago. His entrepreneurial journey began at a young age when he founded an internationally recognized emergency management organization. For eight years, he collaborated with companies and NGOs, spoke at conferences, and built software for the U.S. Department of Homeland Security. While serving as the Stanford VC Club President for 4 years, he did technical diligence for early-stage VC firms including Accel, DFJ, General Catalyst, and Redpoint. He conducted key diligence and sourcing for companies including Viz.ai, Tock, Tango, Contrast, and Bubbies. He actively advises several startups in Silicon Valley. He holds a B.S. in Management Science &amp; Engineering with a minor in Art History, an M.S. in Computer Science with an Artificial Intelligence concentration, and an M.B.A., all from Stanford University. He is a recipient of the Terman Engineering Award, and Mayfield Fellowship, and is an Arjay Miller scholar. He is a member of the Tau Beta Pi and Phi Beta Kappa Honor Societies, received the top GPA in his engineering department, and was selected as the Stanford Baccalaureate speaker.</t>
  </si>
  <si>
    <t>28481-41P</t>
  </si>
  <si>
    <t>Kuantai Yeh</t>
  </si>
  <si>
    <t>Yeh</t>
  </si>
  <si>
    <t>Kuantai</t>
  </si>
  <si>
    <t>Qiming Venture Partners</t>
  </si>
  <si>
    <t>+86 (0)21 6101 6522</t>
  </si>
  <si>
    <t>kuantai@qimingvc.com</t>
  </si>
  <si>
    <t>Room 3901, Jinmao Tower</t>
  </si>
  <si>
    <t>88 Century Boulevard</t>
  </si>
  <si>
    <t>200121</t>
  </si>
  <si>
    <t>+86 (0)21 6101 6512</t>
  </si>
  <si>
    <t>Mr. Kuantai Yeh serves as a Partner at Qiming Venture Partners. He serves as a Board Member at Zego Technology. He has over 20 years of working experience in venture capital, investment banking, and high-tech companies. His portfolio includes Transwarp, SequoiaDB, XSKY, TigerGraph, Insta360, Tongdun Technology, WorkTrans, Tungee, OKKI, Bouffalo Lab, InferVision, Chuhang, ZEGO, Keysino (SZSE:300899), NASN Auto, LANMI, among others. He serves as a Board Member at CIX Technology. He holds two U.S. semiconductor technology patents. Forbes Magazine has recognized him as a top venture capitalist in China. Prior to joining Qiming, he served as Managing Director at Highland Capital Partners and Intel Capital China for nearly ten years. In his portfolio, six companies have gone public, whereas two were acquired by public companies. His notable deals include Tuniu (Nasdaq: TOUR), 6.cn (acquired by SongCheng Entertainment), Gamewave (acquired by Qihoo360), Actions Semi (Nasdaq: ACTS), Montage Technology (SHSE: 688008), VeriSilicon (SHSE:688521), Parade Technology (GTSM:4966), Chipsbank Technology (NEEQ: 830845), and Yeepay. He was a Vice President at Credit Suisse, responsible for the Asia Technology Investment Banking business. He began his career at Cypress Semiconductor, based in Silicon Valley, where he was an R&amp;D Manager and a Wafer Fab Engineering Manager. He holds an MBA degree, a MENG degree in Electrical Engineering, and a B.S. degree in Electrical Engineering and Materials Science, all from Cornell University.</t>
  </si>
  <si>
    <t>57477-79P</t>
  </si>
  <si>
    <t>Kui Zhou</t>
  </si>
  <si>
    <t>Zhou</t>
  </si>
  <si>
    <t>Kui</t>
  </si>
  <si>
    <t>kzhou@hongshan.com</t>
  </si>
  <si>
    <t>Mr. Kui Zhou serves as Partner at HSG. He serves as a Board Member at Boyaa Interactive and Miyabaobei.com. Before joining Sequoia Capital in 2005, he worked for Legend Capital, leading several successful investments such as SinoCom Software, Shenzhen SkyInfo, VanceInfo, and Kaituo Technology. He also worked for Lenovo Group, where he took charge of business development and investment management. He has years of working experience in small and medium-sized enterprises covering the fields of metallurgy, telecommunication, and manufacturing management consulting. He received his MBA from Tsinghua University and a bachelor's degree in Electric Automation from the Wuhan University of Technology. He is also a director at Sky-mobi. He also serves as a Board Member at Shanghai Hintsoft Software.</t>
  </si>
  <si>
    <t>41322-61P</t>
  </si>
  <si>
    <t>Luciana Lixandru</t>
  </si>
  <si>
    <t>Lixandru</t>
  </si>
  <si>
    <t>Luciana</t>
  </si>
  <si>
    <t>Partner, Seed/Early, Growth</t>
  </si>
  <si>
    <t>llixandru@sequoiacap.com</t>
  </si>
  <si>
    <t>Ms. Luciana Lixandru serves as Partner, Seed/Early, Growth at Sequoia Capital. She serves as Board Member at Stripe. She serves as Board Member at RobCo, Upway, and Xentral. She serves as a Board Member at Ledgy and Veed.Io. Previously, she spent 8 years at Accel after 5 years. Before Accel, he was with Summit Partners. He is from Romania and graduated from Georgetown University.</t>
  </si>
  <si>
    <t>35712-55P</t>
  </si>
  <si>
    <t>Luis Robles</t>
  </si>
  <si>
    <t>Robles</t>
  </si>
  <si>
    <t>Luis</t>
  </si>
  <si>
    <t>Co-Founder &amp; Portfolio Manager</t>
  </si>
  <si>
    <t>Viento Ventures</t>
  </si>
  <si>
    <t>+1 (408) 923-5638</t>
  </si>
  <si>
    <t>lrobles@viento.ventures</t>
  </si>
  <si>
    <t>CA</t>
  </si>
  <si>
    <t>Mr. Luis Robles is a Co-Founder &amp; serves as Portfolio Manager at Viento Ventures. She serves as an Advisor at Decent. He serves as a Board Member at Kegg. He serves as an Operating Advisor at East Los Capital. He also serves as an Advisor at Signalwire. He co-founded and served as Vice President of Marketing at Diamanti. He also serves as a Venture Partner at Breakaway Growth Fund. He was a Co-Founder and served as an Investor at Alchemist Accelerator. He was an early-stage company builder at Sequoia Capital. He is an Advisor of Decent. He was also a Senior Product Manager at VMware, where he helped build out various product and operations initiatives. Previously, he was involved with other Silicon Valley start-ups. He served as the Director of ThousandEyes, Inc. and MongoDB, Inc. He has an M.B.A. from Harvard Business School. He has also received a B.S. and an M.S. degree in Computer Science from Stanford University.</t>
  </si>
  <si>
    <t>171669-61P</t>
  </si>
  <si>
    <t>Lynn Yang</t>
  </si>
  <si>
    <t>Yang</t>
  </si>
  <si>
    <t>Lynn</t>
  </si>
  <si>
    <t>yang@sequoiacap.com</t>
  </si>
  <si>
    <t>Ms. Lynn Yang served as a Partner at HSG. She serves as Managing Director at Sequoia Capital. She serves as a Board Member at HiFiBiO Therapeutics, Normunity, and Kumquat Biosciences. She served as a Board Member at ProfoundBio. She is a Partner at HongShan, focusing on the healthcare sector, where she has led investments in numerous renowned healthcare enterprises. Prior to joining HongShan in 2015, she worked at the Legend Capital healthcare team. Previously, she served as a Business Development Manager and Product Manager at major multinational companies such as Johnson &amp; Johnson and GE Healthcare. She holds an MBA from Duke University in the United States and a master's degree in clinical medicine from Tongji Medical College of Huazhong University of Science and Technology.</t>
  </si>
  <si>
    <t>17401-51P</t>
  </si>
  <si>
    <t>Maria Cirino</t>
  </si>
  <si>
    <t>Cirino</t>
  </si>
  <si>
    <t>Maria</t>
  </si>
  <si>
    <t>.406 Ventures</t>
  </si>
  <si>
    <t>+1 (617) 406-3333</t>
  </si>
  <si>
    <t>maria@406ventures.com</t>
  </si>
  <si>
    <t>Independence Wharf</t>
  </si>
  <si>
    <t>470 Atlantic Avenue, 12th Floor</t>
  </si>
  <si>
    <t>02210</t>
  </si>
  <si>
    <t>+1 (617) 406-3301</t>
  </si>
  <si>
    <t>Ms. Maria Cirino is a Co-Founder and serves as an Managing Partner at .406 Ventures. She served as a Board Member at MineralTree. She served as Investor at Compass. She was a Board Member at Vaultive. She served as a Board Member at Jisto and Veracode. She has been building and founding technology businesses for 25 years. Her operational, entrepreneurial, and senior management experience in venture-backed technology companies includes two Massachusetts IPOs of the Year and the founding of two successful companies and a venture capital firm. Before she served as an SVP of VeriSign following its 2005 acquisition of Guardent, the market-leading Managed Security Services provider for $142 million. Guardent was a Sequoia, Charles River Ventures, and NEA-backed IT security company that she co-founded and led as CEO. In this role, she received industry recognition as "Massachusetts CEO of the Year" and "Ernst &amp; Young Entrepreneur of the Year," among others. Before Guardent, she was Senior Vice President responsible for sales and marketing at Razorfish, an IT services company that acquired her previous company, i-Cube, for $1.8 billion in 1999. At i-Cube, she led sales and marketing. Before i-Cube, from 1993 - 1997 she was responsible for North American sales at Shiva, the category-creating remote access leader. Before Shiva, she held sales and marketing roles at Lotus Development Corporation and Software City Inc. She holds an AB in English literature from Mount Holyoke College where she has served as a Trustee and where she currently serves as a member of the college's investment committee.</t>
  </si>
  <si>
    <t>13957-84P</t>
  </si>
  <si>
    <t>Mark Kvamme</t>
  </si>
  <si>
    <t>Kvamme</t>
  </si>
  <si>
    <t>Co-Founder &amp; Partner Emeritus</t>
  </si>
  <si>
    <t>mark@drivecapital.com</t>
  </si>
  <si>
    <t>Mr. Mark Kvamme is a Co-Founder and serves as Partner Emeritus at Drive Capital. Mr. Kvamme is a Co-Founder and serves as Chairman at Eagle Electronics. He serves as a Board Member at Bee6 and Notion AI. He also served as Chairman at Physna. He served as a Board Member at FarmLogs. He also serves as a Board Member and Advisor at Clinc. He is a Founding Managing Director and serves as Chief Investment Officer &amp; Chief Executive Officer at The O.H.I.O. Fund. He formerly served as President. He serves as a Board Member at Tillster. He also served as a Board Member at Trove AI. He is a Board Member at Notion Al and MarkLogic. He served as a Partner at Sequoia Capital for 12 years, where he led investments in companies such as LinkedIn, Cast Iron, and FunnyOrDie.com. Before co-founding Drive Capital, he served as interim Chief Investment Officer and President at JobsOhio, a nonprofit corporation created to run the state's economic development activities. He is a venture capitalist at Drive Capital, which he founded with Chris Olsen in 2013. He currently sits on the board of Gild, Funny or Die, and Mark Logic. He specializes in innovative technology, healthcare, and consumer investments in the Midwest. Before Drive Capital, He was a partner at Sequoia Capital, the chairman and CEO of CKS Group, the director of international marketing at Wyse Technology, president and CEO of International Solutions, and a founding member of Apple France. He has a BA in French from the University of California, Berkeley. He has served as a Board Member at VentureOhio and Roadtrippers. He is a Co-Founder of Color Coded Labs.</t>
  </si>
  <si>
    <t>97060-06P</t>
  </si>
  <si>
    <t>Mary Miller</t>
  </si>
  <si>
    <t>Mary</t>
  </si>
  <si>
    <t>Head of Business Development &amp; Growth Equity Investing</t>
  </si>
  <si>
    <t>Norwest</t>
  </si>
  <si>
    <t>+1 (415) 918-5010</t>
  </si>
  <si>
    <t>mary.miller@norwest.com</t>
  </si>
  <si>
    <t>2 South Park Street, 3rd Floor</t>
  </si>
  <si>
    <t>94107</t>
  </si>
  <si>
    <t>Ms. Mary Miller serves as Head of Business Development &amp; Growth Equity Investing at Norwest. She serves as a Board Member &amp; Advisor at Notre Dame Venture Capital. She served as Director at SoftBank Investment Advisers. She served as the Principal of Business Development at TSG Consumer Partners. She operates across TSG's investment verticals. Previously, she was a consultant with Sequoia Capital, where she facilitated limited partner communications. Before that, she was with Oaktree Capital Management and TA Associates, where her responsibilities ranged from assisting with fundraising efforts to conducting due diligence on potential investments. She received a BBA in Finance from the University of Notre Dame.</t>
  </si>
  <si>
    <t>40932-28P</t>
  </si>
  <si>
    <t>Matthew Huang</t>
  </si>
  <si>
    <t>Huang</t>
  </si>
  <si>
    <t>Paradigm (Crypto Fund)</t>
  </si>
  <si>
    <t>+1 (415) 830-5750</t>
  </si>
  <si>
    <t>matthew.huang@paradigm.xyz</t>
  </si>
  <si>
    <t>Suite 46425</t>
  </si>
  <si>
    <t>Mr. Matthew Huang is a Co-Founder &amp; serves as Managing Partner at Paradigm (Crypto Fund). Mr. Huang serves as Chairman at Ithaca. He served as a Board Member at Privy. He serves as Board Member at Stripe. He also served as a Board Member at Amber Group. Previously, he was a partner at Sequoia Capital, focusing on early-stage venture investments, including leading the firm's cryptocurrency efforts. He was the founder and CEO of Hotspots, a Y Combinator company acquired by Twitter in 2012. He purchased his first Bitcoin from MtGox in 2012. He holds a B.S. in Mathematics from MIT. He co-founded Moki.TV.</t>
  </si>
  <si>
    <t>13958-56P</t>
  </si>
  <si>
    <t>Michael Goguen</t>
  </si>
  <si>
    <t>Goguen</t>
  </si>
  <si>
    <t>Two Bear Capital</t>
  </si>
  <si>
    <t>+1 (406) 752-1237</t>
  </si>
  <si>
    <t>mike@twobearcapital.com</t>
  </si>
  <si>
    <t>Whitefish, MT</t>
  </si>
  <si>
    <t>1005 Baker Avenue</t>
  </si>
  <si>
    <t>Suite A</t>
  </si>
  <si>
    <t>Whitefish</t>
  </si>
  <si>
    <t>Montana</t>
  </si>
  <si>
    <t>59937</t>
  </si>
  <si>
    <t>Mr. Michael Goguen is the Founder and Managing Partner at Two Bear Capital. He serves as a Board Member at Novoron Bioscience. He serves as a Board Member at Dymium. Previously, he served as a Managing Partner at Sequoia Capital. He served as a Board Member at Verafi &amp; Truwl.</t>
  </si>
  <si>
    <t>133213-15P</t>
  </si>
  <si>
    <t>Michael Vernal</t>
  </si>
  <si>
    <t>Vernal</t>
  </si>
  <si>
    <t>Conviction Partners</t>
  </si>
  <si>
    <t>+1 (415) 523-5532</t>
  </si>
  <si>
    <t>vernal@conviction.com</t>
  </si>
  <si>
    <t>660 York Street</t>
  </si>
  <si>
    <t>Suite 102</t>
  </si>
  <si>
    <t>94110</t>
  </si>
  <si>
    <t>Mr. Michael Vernal serves as Partner at Conviction Partners. He served as a Board Member at Picsart. He served as Board Member at Census. He serves as Partner at Sequoia Capital. He served as Board Member at Threads and Whisper. He served as Board Member at Blues Wireless. He served as a Board Member at Deno, Census and Statsig. He served as Board Member at rideOS, Rockset and Citizen. Prior to this, he served as Vice President at Facebook. Prior to joining Facebook, he spent nearly six years at Microsoft, first as a product manager and later as a development lead. He also serves as Board Member at Jumpstart. He serves as Board Member at Clay. He holds a BA and an MS in Computer Science from Harvard University.</t>
  </si>
  <si>
    <t>29586-25P</t>
  </si>
  <si>
    <t>Mohit Bhatnagar</t>
  </si>
  <si>
    <t>Bhatnagar</t>
  </si>
  <si>
    <t>Mohit</t>
  </si>
  <si>
    <t>mohit.bhatnagar@peakxv.com</t>
  </si>
  <si>
    <t>Mr. Mohit Bhatnagar serves as Board Member at Dailyhunt. He serves as Managing Director at Peak XV Partners. He served as a Board Member at iCafe Manager. He served as a Board Member and Advisor Near. He serves as a Board Member at CleverTap, Cars24, Ideacts Innovations, Zomato, Meesho, Prizm Payments, Comviva, Ujjivan Microfinance, IMI Mobile, Ideacts, Knowlarity Communications, Micromax Mobile, One Assist and Citrus Pay. He also served at OYO Rooms. He served as an Advisor at Bubbly. Before joining Sequoia Capital, he served as the Senior Vice President at BhartiAirtel where he helped scale the business from a few states' operations into a leading national wireless carrier. Earlier, he co-founded Bright Pod, a wireless start-up in the US, by orchestrating a spin-off from Ericsson Mobile Systems. He has received an MBA from UNC Chapel Hill and an MSEE from Virginia Tech. He also served as a Board Member at Jifflenow.</t>
  </si>
  <si>
    <t>13957-21P</t>
  </si>
  <si>
    <t>Nanpeng Shen</t>
  </si>
  <si>
    <t>Nanpeng</t>
  </si>
  <si>
    <t>Founding Managing Partner</t>
  </si>
  <si>
    <t>neil@sequoiacap.com</t>
  </si>
  <si>
    <t>Mr. Nanpeng Shen is a Founding Managing Partner of Sequoia Capital. Mr. Shen is a Founding Partner &amp; serves as Managing Partner at Hongshan Capital Group. He is a Co-Founder of Trip.com Group and serves as its Independent Director. He is also a Co-Founder of Home Inns (NASDAQ: HMIN). He also serves as Director at Noah Holdings. He is a Co-Founder and serves as Chairman at Hong Kong X-Tech. Previously, he served as a Board Member at Brii Biosciences. He serves as a Board Member at LianLian Digitech. He serves as an Advisor at Breakthrough Energy. He has a BS from Shanghai Jiao Tong University and an MA from the School of Management at Yale University. He is also a director at China Nuokang BioPharmaceuticals.</t>
  </si>
  <si>
    <t>35794-81P</t>
  </si>
  <si>
    <t>Omar Hamoui</t>
  </si>
  <si>
    <t>Hamoui</t>
  </si>
  <si>
    <t>Omar</t>
  </si>
  <si>
    <t>Mucker Capital</t>
  </si>
  <si>
    <t>+1 (352) 596-7740</t>
  </si>
  <si>
    <t>omar@muckercapital.com</t>
  </si>
  <si>
    <t>1631 Electric Avenue</t>
  </si>
  <si>
    <t>Venice</t>
  </si>
  <si>
    <t>90291</t>
  </si>
  <si>
    <t>Mr. Omar Hamoui serves as Partner at Mucker Capital. He co-founded HerBabyShower. He served as Board Member at Emotive. He serves as Board Member at Leadrilla. He serves as Board Member at LoudCrowd and Atomchat.io. He focuses on early-stage investments backing entrepreneurs that exhibit unique insights. He serves as Board Member at Clutter. He previously spent 5 years as a partner on the early-stage team at Sequoia Capital. Based on investments he led at Sequoia, he has served as a director of App Annie, PicsArt, Next Trucking, Papaya, Streamlabs, Carnivore, and Kiwi. Prior to Sequoia, he spent 16 years as an entrepreneur, founding several companies in mobile software and services. While working towards his MBA at the Wharton School, he began to think more seriously about the untapped potential of mobile advertising and created AdMob to address this growing opportunity. He served as AdMob's founder and CEO from January 2006 through the company's $750M acquisition by Google in May 2010. He holds a BS in Computer Science from the University of California, Los Angeles. He regularly shares insights on company building with his video series Shorthand for High-Growth Startups. He also holds Master of Business Administration from University of Pennsylvania (Wharton).</t>
  </si>
  <si>
    <t>30349-99P</t>
  </si>
  <si>
    <t>Patrick Grady</t>
  </si>
  <si>
    <t>Grady</t>
  </si>
  <si>
    <t>Patrick</t>
  </si>
  <si>
    <t>grady@sequoiacap.com</t>
  </si>
  <si>
    <t>Mr. Patrick Grady serves as a Partner, Growth at Sequoia Capital. He serves as Board Member at Harvey. He had served as an Executive at Lodash. He serves as a Independent Director and Member of the Audit Committee at Okta. He served as Board Member at Namely, Marklogic and Prosper Marketplace. He serves as Board Member at Pilot. He is a Board Member at Amplitude, and Mello. He focuses on software and services investments. Prior to joining Sequoia Capital in 2007, he worked at Summit Partners where he was involved in investments in the software, financial services, and healthcare sectors. He served as a Board Observer at Medallia. Earlier, he was an investment banker with Citigroup's Global Corporate and Investment Bank, where he worked on a variety of M&amp;A, equity, and debt transactions in the healthcare sector. He has a BS in Economics and Finance from Boston College.</t>
  </si>
  <si>
    <t>261327-16P</t>
  </si>
  <si>
    <t>Paul Kwan</t>
  </si>
  <si>
    <t>Kwan</t>
  </si>
  <si>
    <t>General Catalyst</t>
  </si>
  <si>
    <t>+1 (415) 659-5000</t>
  </si>
  <si>
    <t>pkwan@generalcatalyst.com</t>
  </si>
  <si>
    <t>75 Hawthorne Street</t>
  </si>
  <si>
    <t>Mr. Paul Kwan serves as Managing Director at General Catalyst. Mr. Kwan served as Board Member at Onebrief. He served as Board Member at Sequoia Capital. He serves as Managing Director at General Catalyst. He serves as Board Member at Corelight. He serves as Board Member at Awardco and Cobot. He serves as Board Observer at Anduril. He had the opportunity to join Morgan Stanley's Menlo Park office and thrived there for 22 years, including six years running the bank's global internet and software business and six years leading the West Coast team. That continuity became a great asset, because it took time to learn the craft of advising companies on their most important strategic and financial objectives. He serves as Board Member at Anomali.</t>
  </si>
  <si>
    <t>119503-90P</t>
  </si>
  <si>
    <t>Pieter Kemps</t>
  </si>
  <si>
    <t>Kemps</t>
  </si>
  <si>
    <t>Pieter</t>
  </si>
  <si>
    <t>Partner, Surge</t>
  </si>
  <si>
    <t>Mr. Pieter Kemps serves as Partner, Surge at Peak XV Partners. He served as a Board Member at 90 Seconds. He serves as a Board Member at Qoala &amp; Carousell. He serves as a Board Member at HealthEngine. He joined Sequoia in 2014 and advises on investments across Consumer Internet, Mobile, Fintech, and Software companies in Southeast Asia. He currently serves on the Board of Nugit, Funding Societies, Funding Societies, , Fave, and HealthEngine, and also works closely with Zilingo and Sirion Labs. He holds a Master's in Economics from Universidad Carlos III de Madrid, a Master of Business Administration in Venture Capital &amp; Entrepreneurship from the University of Chicago (Booth) (2011), and a Master of Science degree in International Business Studies from Maastricht University (2000).</t>
  </si>
  <si>
    <t>172572-13P</t>
  </si>
  <si>
    <t>Prakash Shukla</t>
  </si>
  <si>
    <t>Shukla</t>
  </si>
  <si>
    <t>Prakash</t>
  </si>
  <si>
    <t>Wayfare Ventures</t>
  </si>
  <si>
    <t>pshukla@wayfarevc.com</t>
  </si>
  <si>
    <t>Mr. Prakash Shukla serves as Managing Partner at Wayfare Ventures. Prakash is a seasoned professional with over 25 years of general management, finance, technology, and entrepreneurial experience. He serves as Board Member at Kheyti. Prakash is a managing partner with seed firm Solarex LLC (family office). Before that, he was a partner with HGM asset management (PE fund) and was a 2013 advanced leadership fellow at Harvard University. He served as senior vice president and CIO of the TAJ group of hotels from 1999-2012. With a background in some of the industry's most venerable corporations- Unisys / Sperry and IBM, Prakash has provided solutions for numerous corporations and financial institutions such as Morgan Stanley, Goldman Sachs, Citigroup, Paine Webber, and Solomon Smith Barney. In addition, Prakash was an early investor and a board member of Speech &amp; Software Technologies (a Tata-promoted company), TravelGuru (Sequoia funded India-centric travel portal sold to Travelocity), and Transerv. Prakash is a graduate of Rutgers University with degrees in electrical engineering and English, and New York University with a master's degree in computer science.</t>
  </si>
  <si>
    <t>66571-12P</t>
  </si>
  <si>
    <t>Prashant Malik</t>
  </si>
  <si>
    <t>Malik</t>
  </si>
  <si>
    <t>Prashant</t>
  </si>
  <si>
    <t>Tyhke Ventures</t>
  </si>
  <si>
    <t>prashant@tykheblock.ventures</t>
  </si>
  <si>
    <t>Gurgaon, India</t>
  </si>
  <si>
    <t>Paras Twin Towers</t>
  </si>
  <si>
    <t>Gold Course Road</t>
  </si>
  <si>
    <t>Gurgaon</t>
  </si>
  <si>
    <t>122022</t>
  </si>
  <si>
    <t>Mr. Prashant Malik is a Co-Founder &amp; serves as General Partner at Tykhe Block Ventures. He co-founded &amp; served as Chief Technology Officer at Limeroad. He is a Co-Founder of Apache Cassandra. He serves as Board Member at Bobble AI. He has 17 years of experience in leading high-impact technology teams and building highly scalable software. He is a Co-creator of Apache Cassandra &amp; one of the early members and leader in the Facebook engineering team. He also serves as Software Advisor at Radom Network. He plays a vital role in all aspects of the fund, bringing in his vast experience of 27 years as an Engineer, Leader, Entrepreneur. Investor and Advisor. He is a world-renowned Technologist. He was amongst the first 50 engineers at Facebook in Palo Alto. Worked with Mark Zuckerberg and the team to build many of the early Facebook features. He is an Ex-Microsoft engineer who holds many patents in various technology fields like DRM, Security, Files systems, Databases, Social platforms etc. He is also the creator of open-source software Apache Cassandra which is a distributed storage system used by the likes of Apple, Netflix, Instagram, Walmart, uber, Airbnb etc. He was also the founder of Limeroad a social e-commerce platform. He is currently into investing, advising and incubating technology start-ups. He is an early investor/advisor in over 50 start-ups, many of them are now unicorns coming out of India like UrbanClap, shadow fax, offbiz, Zomato etc. and some key acquisitions in Israel like Jump by uber, cnvr.io by Intel. He is also an early investor/advisor in many blockchain companies like Coin Switch (funded by Sequoia now), Neo bank Juno (funded by Sequoia now), Bluezelle etc. He is a graduate of IIT Delhi Computer Science.</t>
  </si>
  <si>
    <t>138608-65P</t>
  </si>
  <si>
    <t>Prashanth Aluru</t>
  </si>
  <si>
    <t>Aluru</t>
  </si>
  <si>
    <t>Prashanth</t>
  </si>
  <si>
    <t>TMRW</t>
  </si>
  <si>
    <t>+91 (0)86 5290 5000</t>
  </si>
  <si>
    <t>prashanth.aluru@tmrw.in</t>
  </si>
  <si>
    <t>Piramal Agastya Corporate Park</t>
  </si>
  <si>
    <t>Building A,4th &amp; 5th Floor Unit 401, 403, 501, 502, Lbs Road</t>
  </si>
  <si>
    <t>400070</t>
  </si>
  <si>
    <t>+91 (0)86 5290 5400</t>
  </si>
  <si>
    <t>Mr. Prashanth Aluru is a Co-Founder &amp; serves as Chief Executive Officer &amp; Board Member at TMRW. Mr. Aluru is a Co-Founder and serves as a Board Member at Avataar.Me. He served as Chief Executive Officer &amp; Board Member at Aditya Birla Digital Fashion Ventures. He also serves as Advisor at Aditya Birla Ventures. He served as Partner at Kalaari Capital. He was previously the Head of Strategy &amp; Operations for Meta in India and the Founding Investor &amp; Board Member at Avataar (deep-tech AR Commerce company backed by Sequoia Capital and Tiger Global). He has several years of experience in Digital &amp; Technology and was also a Partner at Kalaari Capital and Bain &amp; Company with significant experience of working with several start-ups.</t>
  </si>
  <si>
    <t>125602-93P</t>
  </si>
  <si>
    <t>Prasun Agarwal</t>
  </si>
  <si>
    <t>Agarwal</t>
  </si>
  <si>
    <t>Prasun</t>
  </si>
  <si>
    <t>prasun@a91partners.com</t>
  </si>
  <si>
    <t>Mr. Prasun Agarwal serves as Partner at A91 Partners. He serves as Board Member at Akshayakalpa Organic, DaMENSCH, GIVA Jewellery and Blue Tokai. He serves as Investment Analyst at Sequoia Capital India. He is currently pursuing his MBA from Harvard Business School, graduating in June 2019. Prior to HBS, he worked at Sequoia Capital India where he was focused on investing in consumer products and education sectors. He has also worked at Bain &amp; Company and is an alumnus of IIT Bombay.</t>
  </si>
  <si>
    <t>125616-34P</t>
  </si>
  <si>
    <t>Qingsheng Zheng</t>
  </si>
  <si>
    <t>Zheng</t>
  </si>
  <si>
    <t>Qingsheng</t>
  </si>
  <si>
    <t>+86 (0)121 6288 4222</t>
  </si>
  <si>
    <t>qzheng@hongshan.com</t>
  </si>
  <si>
    <t>Room 3006, Building 2, Plaza 66</t>
  </si>
  <si>
    <t>1366 Nanjing West Road</t>
  </si>
  <si>
    <t>200040</t>
  </si>
  <si>
    <t>Mr. Qingsheng Zheng serves as Partner at HSG. He serves as a Board Member at Molbase. He served as a Partner at Sequoia Capital.</t>
  </si>
  <si>
    <t>46783-45P</t>
  </si>
  <si>
    <t>Rajasekhar Ramaraj</t>
  </si>
  <si>
    <t>Ramaraj</t>
  </si>
  <si>
    <t>Rajasekhar</t>
  </si>
  <si>
    <t>Senior Advisor</t>
  </si>
  <si>
    <t>Elevar Equity</t>
  </si>
  <si>
    <t>+1 (206) 279-3815</t>
  </si>
  <si>
    <t>450 Alaskan Way South</t>
  </si>
  <si>
    <t>Mr. Rajasekhar Ramaraj served as Senior Advisor at Elevar Equity. He is an Independent Director at Congurent Solutions. He also serves as Board Member at Madura Microfinance and Iedacts Innovations. He served as Board Member at iCafe Manager. Mr. Ramaraj served as Senior Advisor at Sequoia Capital and is a member of the Global Board of Trustees of TiE (The Indus Entrepreneurs). Previously he co-founded and served as Sify Limited, the pioneer and leader in Internet, Networking and eCommerce Services in India. Sify was the first Indian Internet company to be listed on the Nasdaq National Market in the US (NASDAQ: SIFY). He was recognized as the 'Evangelist of the Year at the India Internet World Convention in September 2000 and voted IT Person of the Year 2000 in the CNET.com poll in India. He was invited by the UN Secretary-General, Kofi Annan to be a member of the UN's Working Group on Internet Governance (WGIG) and is the first Indian to be invited to the Board of Directors of ICANN (Internet Corporation for Assigned Names and Numbers). He holds a B.Tech in chemical engineering from the University of Madras and an M.B.A. from the Indian Institute of Management, Calcutta. He also serves as Board Member at Digital Signage Networks.</t>
  </si>
  <si>
    <t>163330-93P</t>
  </si>
  <si>
    <t>Randall Lloyd</t>
  </si>
  <si>
    <t>Lloyd</t>
  </si>
  <si>
    <t>Randall</t>
  </si>
  <si>
    <t>Grix Venture Capital</t>
  </si>
  <si>
    <t>Salt Lake City, UT</t>
  </si>
  <si>
    <t>Salt Lake City</t>
  </si>
  <si>
    <t>Utah</t>
  </si>
  <si>
    <t>Mr. Randall Lloyd is a Founder and serves as a Managing Partner at Grix Venture Capital. He also served as Advisor at Peterson Partners. He serves as a Board Member at ScreenSteps and Tava Health. He serves as a Board Member on Roster. Prior to joining Peterson, he worked at Salesforce via its acquisition of Brighter Option, a SaaS-based advertising technology platform, where he was the first business hire, responsible for driving revenue growth and go-to-market strategy. Prior to Brighter Option, he served as SVP of Global Sales at RockYou, a Sequoia/Lightspeed/First Round-backed digital media company. He also worked in sales strategy and account management positions at both Google and eBay. He serves on the board of Blue Matador. He holds an MBA from the Stanford Graduate School of Business and a B.A. in Organizational Communication from the University of Utah.</t>
  </si>
  <si>
    <t>71954-92P</t>
  </si>
  <si>
    <t>Ravi Gupta</t>
  </si>
  <si>
    <t>rkg@sequoiacap.com</t>
  </si>
  <si>
    <t>Mr. Ravi Gupta serves as Partner, Growth at Sequoia Capital. Mr. Gupta serves as Board Member at Noom, Acelerate, Vise and Meter. He served as Chief Operating Officer &amp; Chief Financial Officer at Instacart. He served as Director, Energy &amp; Infrastructure at Kohlberg Kravis Roberts. He joined KKR in 2005 and is a member of the Energy &amp; Infrastructure business. Prior to this, Mr. Gupta was with KKR Capstone and worked with Toys 'R' Us and Energy Future Holdings (formerly TXU Corp.). He was previously with McKinsey &amp; Company where he worked across a number of industries. He holds a B.S. in Economics from Duke University.</t>
  </si>
  <si>
    <t>85620-97P</t>
  </si>
  <si>
    <t>Richard Borenstein</t>
  </si>
  <si>
    <t>Borenstein</t>
  </si>
  <si>
    <t>Richard</t>
  </si>
  <si>
    <t>Investment Committee Member</t>
  </si>
  <si>
    <t>PeakBridge</t>
  </si>
  <si>
    <t>+356 9927 6583</t>
  </si>
  <si>
    <t>rb@peakbridge.vc</t>
  </si>
  <si>
    <t>28 Ha'arbaa Street</t>
  </si>
  <si>
    <t>Mr. Richard Borenstein serves as Investment Committee Member at PeakBridge. He serves as Non-Executive Chairman at Buddy Platform. He serves as Chairman at Sequoia Partners, Inc. He serves as a Board Member at Taste-wise. He was President of International Microcomputer Software, Inc. He serves as Investment Committee Member (Newtrition) at PeakBridge Partners. He is a Co-Founder and Chairman at Sequoia Partners, Chairman at Buddy Technologies Ltd, Board Member at Tastewise.io, Board of the Center for Entrepreneurship, U of Michigan, and former President of Wells Fargo Investment Company.</t>
  </si>
  <si>
    <t>204608-80P</t>
  </si>
  <si>
    <t>Rocio Wu</t>
  </si>
  <si>
    <t>Wu</t>
  </si>
  <si>
    <t>Rocio</t>
  </si>
  <si>
    <t>Principal</t>
  </si>
  <si>
    <t>F-Prime Capital</t>
  </si>
  <si>
    <t>+1 (617) 231-2400</t>
  </si>
  <si>
    <t>rwu@fprimecapital.com</t>
  </si>
  <si>
    <t>1 Main Street</t>
  </si>
  <si>
    <t>13th Floor</t>
  </si>
  <si>
    <t>Mr. Rocio Wu serves as Principal at F-Prime Capital. Ms. Wu serves as a Board Member at Toku. He served as Investor at Liquid 2 Ventures. Previously, she was an investor at Liquid 2 Ventures (founded by NFL Hall of Fame quarterback Joe Montana) where she invested in companies like Chipper Cash (an African cross-border payments company) and Overjet (artificial intelligence for oral healthcare). She was also a Sequoia Scout and an angel investor in Inworld.ai (a developer platform for creating AI-powered virtual characters) and others still in stealth. Before investing career, she worked at Google and Amazon in a variety of operating roles such as CorpDev, GTM Strategy, and Marketing across the U.S., Japan, Spain, and China. She is a community builder and is involved in multiple groups that support the involvement of women and minorities in technology, including Xooglers, HBS Circles, and LatAm entrepreneurs. She's physically based in the Bay Area, but you can often find her traveling to LatAm and other parts of the world learning about different cultures and ideas. She holds an M.B.A. from Harvard Business School and a B.A. from Shanghai International Studies University (joint program with Universidad Pontificia Comillas in Spain).</t>
  </si>
  <si>
    <t>13958-74P</t>
  </si>
  <si>
    <t>Roelof Botha</t>
  </si>
  <si>
    <t>Botha</t>
  </si>
  <si>
    <t>Roelof</t>
  </si>
  <si>
    <t>early-rb@sequoiacap.com</t>
  </si>
  <si>
    <t>Mr. Roelof Botha serves as Partner, Seed/Early and Growth at Sequoia Capital. He serves as a Board Member and a Member of the Audit Committee at MongoDB. He also serves as a Trustee at Stanford University. He serves as a Board Member at Armis, Retool, Zoom, Unity, and Block. He serves as a Board Member at Blues Wireless. He serves as a Director at Natera. He serves as Chairman of the Board of Directors &amp; Member of the Audit Committee at Unity. Previously, he served as a Board Member at Inside and ThousandEyes. He focuses on the Internet, services, and software investments. He had served as an Executive at Lodash. He serves as a Board Member at Landis, Pendulum Therapeutics, and Mmhmm. He serves as a Board Member and Member of the Compensation Committee at Evernote, MongoDB,(NTRA), Plain Vanilla, Square (SQ), Unity Technologies, and Weebly. He served as a Board Member and Member of the Compensation Committee at Eventbrite. He is also involved with Sequoia Capital portfolio companies, including AssureX and Mapillary. Previously, he was a Director of Whisper, YouTube.com (GOOG), Insider Pages (IACI), Meebo (GOOG), TokBox (Telefonica Digital), Nimbula (ORCL), Tumblr (YHOO), Jawbone, and Xoom (XOOM), and led Sequoia's investment in Instagram (FB). Before joining Sequoia Capital in 2003, he served as the Chief Financial Officer of PayPal (PYPL), an online payments company. Earlier, he worked as a management consultant for McKinsey &amp; Company. He is a certified actuary (Fellow of the Faculty of Actuaries). He also serves as a Board member at Bird. He holds an MBA from the Stanford Graduate School of Business and a BS in Actuarial Science, Economics &amp; Statistics from the University of Cape Town.</t>
  </si>
  <si>
    <t>125603-47P</t>
  </si>
  <si>
    <t>Rohit Agarwal</t>
  </si>
  <si>
    <t>Rohit</t>
  </si>
  <si>
    <t>rohit@peakxv.com</t>
  </si>
  <si>
    <t>Mr. Rohit Agarwal serves as Managing Director at Peak XV Partners. He serves as Board Member at Stockbit. He serves as a Board Member at Multiplier. He serves as Principal at Sequoia Capital India. He serves as a Board Member at Kopi Kenangan and Insider. He received a Bachelor of Technology in Metallurgical engineering from the Indian Institute of Technology, Bombay.</t>
  </si>
  <si>
    <t>58691-35P</t>
  </si>
  <si>
    <t>Sakshi Chopra</t>
  </si>
  <si>
    <t>Chopra</t>
  </si>
  <si>
    <t>Sakshi</t>
  </si>
  <si>
    <t>sakshi@peakxv.com</t>
  </si>
  <si>
    <t>Ms. Sakshi Chopra serves as Managing Director at Peak XV Partners. She serves as an Investment Advisor at Purplle. Raw Pressery and Innovcare Lifesciences. She serves as a Board Member at Bira 91, Paper Boat, Indigo Paints, and HealthKart. She serves as a Board Member at Wakefit. She also served as a Board Member at Go Colors. She also serves as a Board Member at Svarochi. Before joining Sequoia Capital India, she worked at Deutsche Bank in India and Germany with Global Transaction Banking, focusing on Mid Cap clients, and as Executive Assistant to a Member of the Management Board and Head of Private and Business Clients, at Deutsche Bank Group. Earlier, she worked with McCann-Erickson and Mudra Communications. She has an MBA from the Asian Institute of Management in Manila. She also holds a Master's in Advertising and Public Relations from the Indian Institute of Mass Communication, New Delhi, and a Master's in Commerce from the University of Mumbai.</t>
  </si>
  <si>
    <t>13958-29P</t>
  </si>
  <si>
    <t>Sameer Gandhi</t>
  </si>
  <si>
    <t>Gandhi</t>
  </si>
  <si>
    <t>Sameer</t>
  </si>
  <si>
    <t>Accel</t>
  </si>
  <si>
    <t>+1 (415) 293-1100</t>
  </si>
  <si>
    <t>skg@accel.com</t>
  </si>
  <si>
    <t>35 South Park Street</t>
  </si>
  <si>
    <t>Mr. Sameer Gandhi serves as Partner at Accel. He serves as a Board Member at CrowdStrike Holdings. He also serves as a Board Member at Perplexity. He served as a Board Member at Deserve and Fictiv. He serves as a Board Member at Wonder Group and Aura. He serves as a Board Member at Wizard and UCSF Foundation Investment Company. He served as a Board Member at DecisionLink. He served as a Board Member at Pango and Plex Systems. He serves as a Board Member at Orum, Public, Aura, Crowdstrike, Freshworks, and Yapstone. He joined Accel in 2008 and focuses on early-stage and growth investments in consumer, software, and services companies. He is responsible for investments such as Bonobos, BookMyShow, Collective, CrowdStrike, Dropbox, Dropcam (acquired by Google's Nest Labs), Flipkart, Hailo, Opower (NYSE: OPWR), Plex Systems, Quidsi (parent of diapers.com and soap.com; acquired by Amazon.com), ScaleArc, Sonatype, Sookasa, Spotify, StumbleUpon, Venmo (acquired by Braintree/eBay) and Yapstone. Prior to joining Accel, he was a Partner with Sequoia Capital, where he led investments such as Barracuda Networks (NYSE: CUDA), Dropbox, eHarmony, Gracenote (acquired by Sony), Sourcefire (NASDAQ: FIRE) and Trulia (NYSE: TRLA). He previously worked at Broadview International, an investment banking firm specializing in technology mergers and acquisitions, and at Oracle Corp. He is a board member and former President of the Western Association of Venture Capitalists and has been named multiple times to the Forbes Midas List for Top Tech Investors. He has a BSEE and MSEE from MIT and an MBA from the Stanford Graduate School of Business. He served as a Board Member at Tasting Room.</t>
  </si>
  <si>
    <t>222945-58P</t>
  </si>
  <si>
    <t>Sameer Singh</t>
  </si>
  <si>
    <t>Venture Partner</t>
  </si>
  <si>
    <t>Speedinvest</t>
  </si>
  <si>
    <t>+43 (0)6 607 7611 09</t>
  </si>
  <si>
    <t>ssingh@speedinvest.com</t>
  </si>
  <si>
    <t>Vienna, Austria</t>
  </si>
  <si>
    <t>Nordbergstrasse 1/1/71</t>
  </si>
  <si>
    <t>Top 7.1</t>
  </si>
  <si>
    <t>Vienna</t>
  </si>
  <si>
    <t>1090</t>
  </si>
  <si>
    <t>Austria</t>
  </si>
  <si>
    <t>Mr. Sameer Singh serves as a Venture Partner at Speedinvest. He serves as Board Member at Howbout. He is an Angel Investor. He serves as an Advisor at Nuw (Information Services (B2C)). He serves as an Advisor at Lapse. He served as an Advisor at Anyone. He also served as an Executive at Atomico. He also serves as an Advisor at Norlon, Boyd &amp; Gall. He spent 5 years at App Annie (now called data.ai), a Sequoia-funded, late-stage startup during its hypergrowth phase. There, he led a global, cross-functional team, working across product, marketing, and sales. During this stint, he advised numerous App Annie customers, including Spotify, Shpock, and Trainline. He is an engineer with and MBA in education. He started his career in investment banking, but his interest in technology took him in a different direction. This interest led him to write a widely read blog about mobile and technology businesses, which eventually brought him to London and the startup world. During this time, he became deeply interested in understanding the patterns of successful startups - leading to his love for network effects.</t>
  </si>
  <si>
    <t>62569-90P</t>
  </si>
  <si>
    <t>Sandhya Hegde</t>
  </si>
  <si>
    <t>Hegde</t>
  </si>
  <si>
    <t>Sandhya</t>
  </si>
  <si>
    <t>Unusual Ventures</t>
  </si>
  <si>
    <t>+1 (650) 736-6350</t>
  </si>
  <si>
    <t>sandhya@unusual.vc</t>
  </si>
  <si>
    <t>200 Middlefield Road</t>
  </si>
  <si>
    <t>Suite 110</t>
  </si>
  <si>
    <t>Ms. Sandhya Hegde serves as General Partner at Unusual Ventures. She served as a Investor at Khosla Impact. She serves as Board Member at Goldcoast, Endgame, RimaLabs and Vizcom. She served as Board Member at Mirova SunFunder. She loves working with technical founders who care deeply about design and data. She aims to partner closely with CEOs to build generational businesses that raise the bar for customer and employee experience. She studied Electrical Engineering and Microelectronics at the Indian Institute of Technology, Bombay, graduating in 2007. In 2009, she joined Sequoia Capital India. She is on the advisory board of 3 tech startups in India and is also a Deputy Editor at YourStory.in. She also served as Board Member at BBOXX. She holds dual master's degrees in Business from Stanford GSB and Engineering from IIT Bombay. She serves as Board Member at AirOps.</t>
  </si>
  <si>
    <t>36563-05P</t>
  </si>
  <si>
    <t>Shailendra Singh</t>
  </si>
  <si>
    <t>Shailendra</t>
  </si>
  <si>
    <t>shailendra@peakxv.com</t>
  </si>
  <si>
    <t>Mr. Shailendra Singh serves as Managing Director at Peak XV Partners. He serves as a Board Member at Mu Sigma, Smartkarma, and Trusting Social. He serves as Managing Director at Surge. He serves as a Board Member at Carousell. He served as a Board Member at Tokopedia. He served as a Board Member at Zilingo. He served as a Board Member at Gojek. He was a Board Member at SCIO Health Analytics. He has been at the firm for over seven years, including three years in Sequoia Capital's Silicon Valley office. He focuses on Technology, Internet, Mobile, and Services investments, across stages. He has been involved with more than twenty investments at Sequoia Capital. His investments include JustDial, eClerx (NSE: ECLERX), Via, iYogi, GlobalLogic, UnitedLex, InfoEdge (NSE: NAUKRI), Sourcebits, Druva, Freecharge, Pangea3 (acquired by Thomson Reuters), Pine Labs, and Practo. Before Sequoia Capital, He worked at Bain &amp; Co. in New York and was earlier an entrepreneur in Silicon Valley during the dot-com bubble. He is a board member at Druva Software, ONE Championship. He received an MBA with distinction from Harvard Business School and a Chemical Engineering degree from IIT Mumbai. He is also a Kauffman Fellow. He serves as Board Member at Sirion.</t>
  </si>
  <si>
    <t>43444-72P</t>
  </si>
  <si>
    <t>Shailesh Lakhani</t>
  </si>
  <si>
    <t>Lakhani</t>
  </si>
  <si>
    <t>Shailesh</t>
  </si>
  <si>
    <t>shailesh@peakxv.com</t>
  </si>
  <si>
    <t>Mr. Shailesh Lakhani serves as Managing Director at Peak XV Partners. Mr. Lakhani also serves as Board Member at Zetwerk, Epifi Technologies, Moonfrog, Porter, Avataar.me, SalesKen, Fi Money, ixigo, Capillary Technologies, LocoNav, Girnar Software, HealthKart and Bounce. He served as a Board Member at 1mg. Before joining Sequoia Capital India, He worked at Redknee's India subsidiary as the Managing Director and previously was Head of the Global Professional Services Group and held Product Management leadership roles. Previously, he consulted for Microsoft India and Tata Sons. He received an MBA from the Harvard Business School, and a BASC in Computer Engineering from the University of Waterloo.</t>
  </si>
  <si>
    <t>52723-90P</t>
  </si>
  <si>
    <t>Shailesh Mehta Ph.D</t>
  </si>
  <si>
    <t>Mehta</t>
  </si>
  <si>
    <t>Co-Founder &amp; Managing General Partner</t>
  </si>
  <si>
    <t>Granite Hill Capital Partners</t>
  </si>
  <si>
    <t>+1 (415) 903-1457</t>
  </si>
  <si>
    <t>shailesh@granitehill.net</t>
  </si>
  <si>
    <t>750 Battery Street</t>
  </si>
  <si>
    <t>94111</t>
  </si>
  <si>
    <t>Dr. Shailesh Mehta is a Co-Founder &amp; serves as Managing General Partner at Granite Hill Capital Partners. r. Mehta serves as a Board Member at Vistaar. He serves as Chairman of the Board, Independent and Non-Executive Director, and Member of the Audit, Risk Management, Nomination, Compensation, and Corporate Governance Committee at Manappuram Finance. He also served as a Board Member at Netafim Agricultural Financing Agency. He served as Director at SEED Infotech. He is the former Chairman and CEO of Providian Financial, which he built from a small team into a Fortune 300 company - one of the country's top ten credit card issuers. Before Providian, he was Executive VP of AmeriTrust (now KeyCorp), the largest bank in Ohio at the time. Upon leaving Providian in 2000, he joined WestBridge Capital (Sequoia Capital India) as an Operating General Partner, where he invested in India and was on the boards of Indecomm and FirstSource (still current). He then served as GP with Invesco. Prior boards include Providian, MasterCard, PayPal, and Hanover Direct; he is currently on the board of AccountNow (payments startup). He founded the SJM School of Management at IIT-Bombay and was appointed a Trustee of Cal State University. He holds a BS in Mechanical Engineering from IIT-Bombay, a Master's degree in Operations Research, and a Ph.D. in Operations Research from Case Western Reserve. He serves as a Board Member at India Shelter Finance Corporation. He also served as a Board Member and Advisor at Vivriti Capital.</t>
  </si>
  <si>
    <t>102838-42P</t>
  </si>
  <si>
    <t>Shaun Maguire Ph.D</t>
  </si>
  <si>
    <t>Maguire</t>
  </si>
  <si>
    <t>Shaun</t>
  </si>
  <si>
    <t>smaguire@sequoiacap.com</t>
  </si>
  <si>
    <t>Dr. Shaun Maguire serves as Partner, Seed/Early at Sequoia Capital. He serves as a Board Member at Luminar, Knowde &amp; Gather. He is a Board Member of AMP Sortation, Gather, and Physna. He served as Chairman &amp; Advisor at Vise. Before joining Sequoia in 2019, he was a Partner at GV, where he led their investments in Stripe, Opendoor, IonQ, Spinlaunch, Lambda School, Dandelion Energy, Clutter, and Mode, and sourced their investment in Segment. Before joining GV, he was a Co-Founder and Chairman at Expanse (formerly known as Qadium), a cybersecurity company based in San Francisco that was acquired by Palo Alto Networks (PANW) for over $800M. He was also a Co-Founder of Escape Dynamics, Inc. Dr. Maguire spent two years working at DARPA, through which he deployed to Afghanistan and was part of a team that earned a Joint Meritorious Unit Award from the United States' Secretary of Defense. He earned a B.S. in Mathematics from the University of Southern California, an M.S. in Statistics from Stanford University, and an M.S. in Control and Dynamical Systems and a PhD in Physics from the California Institute of Technology.</t>
  </si>
  <si>
    <t>13957-03P</t>
  </si>
  <si>
    <t>Shmuel Levy</t>
  </si>
  <si>
    <t>Levy</t>
  </si>
  <si>
    <t>Shmuel</t>
  </si>
  <si>
    <t>Founding Partner</t>
  </si>
  <si>
    <t>levy@sequoiacap.com</t>
  </si>
  <si>
    <t>Mr. Shmuel Levy serves as Founding Partner at Sequoia Capital. Mr. Levy serves as a Board Member at Mellie. He serves as a Chairman at BigPanda. He serves as Board Member at Ravtech. He served as a Board Member at Behalf. He served as a Board Member at Alooma. He served as a Board Member at Kenshoo. He served as Chairman at Olive Software. He serves as a Partner at Sequoia Capital. He serves as Chairman at Forter. He served as Chairman at Signals Analytics. He sits on the Boards of portfolio company Behalf. He serves as a Board Member at Olive Software. He focuses on semiconductor, software, and systems investments. Before joining Sequoia Capital in 2000, he was the President of Lucent Technologies' Internetworking Systems Division. He joined Lucent following Lucent's acquisition of Lannet where he served as the President and CEO. He joined Lannet as Vice President for R&amp;D. He also served as Vice President of Madge Networks. Before joining Lannet, he held senior technical positions at IAI, Boeing, and Astronautics in the area of Avionic Systems. He has a BS in Electrical Engineering from Ben Gurion University.</t>
  </si>
  <si>
    <t>88798-15P</t>
  </si>
  <si>
    <t>Shripriya Mahesh</t>
  </si>
  <si>
    <t>Mahesh</t>
  </si>
  <si>
    <t>Shripriya</t>
  </si>
  <si>
    <t>Spero Ventures</t>
  </si>
  <si>
    <t>+1 (650) 776-4153</t>
  </si>
  <si>
    <t>shripriya@spero.vc</t>
  </si>
  <si>
    <t>Burlingame, CA</t>
  </si>
  <si>
    <t>1325 Howard Avenue</t>
  </si>
  <si>
    <t>Suite 923</t>
  </si>
  <si>
    <t>Burlingame</t>
  </si>
  <si>
    <t>94010</t>
  </si>
  <si>
    <t>Ms. Shripriya Mahesh is a Co-Founder and serves as a General Partner at Spero Ventures. Ms. Mahesh serves as Advisory Board Member at Trehaus. She serves as Board Member and Member of the Risk Committee at eBay. She served as Board Member at SafeTraces, Gencove, Corvus Robotics, and Mati. She served as a Partner at Omidyar Network. She served as a Board Member at PhotoShelter, Koko, and Shelfmint. She has spent over fifteen years as an executive in high-growth technology companies. She has been an active angel investor and board member or advisor to, private technology companies throughout her career. Before joining Omidyar Network, she led product and design at First Look Media. She formerly held several leadership roles at eBay. She was Vice President of Product Marketing where she was responsible for business and marketing leadership of all aspects of Buyer and Seller products, the eBay Developer's Program, and Private Marketplaces. She also led eBay's 70-person Product Management team that was responsible for product design and management for all of eBay's products on a global level. She set up the Product Strategy team responsible for defining eBay's long-term product strategy and a team within Corporate Strategy that was responsible for identifying acquisition opportunities for eBay. Before eBay, she was the VP of eCommerce at NextCard, the then-premier online credit card company backed by Kleiner, Sequoia, Redpoint, and Trinity. She has a deep interest in the visual arts and directed Academy Award® nominees James Franco and Jessica Chastain as part of a collaborative feature that premiered at the Rome Film Festival and opened theatrically. She has an MBA from Harvard Business School, a B.A. in Economics from Stella Maris University, and is an MFA candidate at NYU's Tisch School of the Arts. She served as a Venture Partner at Amasia. She also served as a Board Member at Nana Technologies.</t>
  </si>
  <si>
    <t>194221-81P</t>
  </si>
  <si>
    <t>Sonya Huang</t>
  </si>
  <si>
    <t>Sonya</t>
  </si>
  <si>
    <t>shuang@sequoiacap.com</t>
  </si>
  <si>
    <t>Ms. Sonya Huang serves as Partner of Growth at Sequoia Capital. Ms. Huang serves as Board Member at Zed Industries.She serves as Board Member at Glean. She serves as Board Member Gong. She served as Board Member at Census &amp; Fintual. She had served as an Executive at Lodash. She serves as Board Member at Mercury. She serves as Board Member at Apollo.io.</t>
  </si>
  <si>
    <t>125610-85P</t>
  </si>
  <si>
    <t>Stephanie Zhan</t>
  </si>
  <si>
    <t>Zhan</t>
  </si>
  <si>
    <t>Stephanie</t>
  </si>
  <si>
    <t>Partner, seed/early</t>
  </si>
  <si>
    <t>stephanie.zhan@sequoiacap.com</t>
  </si>
  <si>
    <t>Ms. Stephanie Zhan serves as Partner, seed/early at Sequoia Capital. Ms. Zhan is an Angel Investor. She serves as a Board Member at Reflection AI, Middesk, Rec Room, Linear and Sunday.</t>
  </si>
  <si>
    <t>58627-72P</t>
  </si>
  <si>
    <t>Tal Morgenstern</t>
  </si>
  <si>
    <t>Morgenstern</t>
  </si>
  <si>
    <t>Tal</t>
  </si>
  <si>
    <t>Lightspeed Venture Partners</t>
  </si>
  <si>
    <t>+972 (0)3 974 6800</t>
  </si>
  <si>
    <t>tal@lsvp.com</t>
  </si>
  <si>
    <t>4 Zvi Strachilevich Street</t>
  </si>
  <si>
    <t>Sarona</t>
  </si>
  <si>
    <t>6473957</t>
  </si>
  <si>
    <t>Mr. Tal Morgenstern serves as a Partner at Lightspeed Venture Partners. He serves as a Board Member at Buildouts. He also serves as Partner at Lightspeed Venture Partners Israel. He co-founded World-class eLearning. He served as Board Member at Bond. He joined Lightspeed in 2016 and focuses on the firm's investment efforts in Israel. Before joining Lightspeed, Tal spent 4 years at Sequoia Capital as a partner in Israel and led investments in consumer marketplaces, SaaS and Fintech companies. Prior to Sequoia, Tal worked as a strategy consultant for the Boston Consulting Group, primarily focused on financial services.</t>
  </si>
  <si>
    <t>58695-31P</t>
  </si>
  <si>
    <t>Tejeshwi Sharma</t>
  </si>
  <si>
    <t>Sharma</t>
  </si>
  <si>
    <t>Tejeshwi</t>
  </si>
  <si>
    <t>tejeshwi@peakxv.com</t>
  </si>
  <si>
    <t>Mr. Tejeshwi Sharma serves as Managing Director at Peak XV Partners. He served as a Junior Associate at Sequoia Capital. Mr. Sharma serves as a Board Member at Moglix, MedGenome, Whatfix, and Rebel Foods. Before joining Sequoia Capital, he worked at Bain &amp; Company consulting in IT, Telecommunications, and Agrochemicals. Mr. Sharma is a Mechanical Engineering graduate from IIT Delhi, where he was a YES Honda scholar. He graduated from the Indian Institute of Technology, Delhi, with a bachelor's in mechanical engineering and holds an MBA from Stanford GSB.</t>
  </si>
  <si>
    <t>14085-73P</t>
  </si>
  <si>
    <t>Timothy Connors</t>
  </si>
  <si>
    <t>PivotNorth Capital</t>
  </si>
  <si>
    <t>+1 (650) 918-6806</t>
  </si>
  <si>
    <t>tim@pivotnorth.com</t>
  </si>
  <si>
    <t>Atherton, CA</t>
  </si>
  <si>
    <t>137 Hawthorne Drive</t>
  </si>
  <si>
    <t>Atherton</t>
  </si>
  <si>
    <t>94027</t>
  </si>
  <si>
    <t>Mr. Timothy Connors is the Founder and serves as Managing Partner at PivotNorth Capital. He serves as Advisor at MOGL. He serves as a Board Member at Matter. He served as Board Member at Darkstore. He served as a Board Member at FastAF. He serves as a Board Member &amp; Advisor at Notre Dame Venture Capital. He served as Board Member at Flyte. He served as a Board Member at Thatch, Upwave, Ritual, and Getlabs. He is also a Co-Founder and the Founding Investor of Platform Studio. He also serves Board Member at Ombre. He funds world-class computer scientists who want to disrupt important markets. He has been a VC for the last 17 years, founding PivotNorth after apprenticing for twelve years with legendary VCs. He has been a part of three companies that have had $1B+ exits. He serves as a Board Member at Quantbiome, ChairmanMe, OpsPanda, Accredible, x2AI, 4INFO, Nimble, Jiseki Health, and Loved (Financial Software). He focuses on business and consumer internet services companies. Before USVP, he was a Partner at Sequoia Capital. His operating experience spans seven years in engineering, marketing, manufacturing, and sales roles at successful high-growth start-ups like C-Cube Microsystems and large companies like Tandem Computers. He is currently a Director of 4info.net, Blekko.com, Guidewire Software, Media6Degrees.com, M-Factor.com, and Right90.com. He conceived and co-founded Spoke.com. Previously, he was a Director of Adify (acquired by Cox Enterprises), ClickShift.com (acquired by WebTrends), Redline Communications (LSE: REDL), StorePerform (acquired by Red Prairie), and SupplierMarket.com (acquired by Ariba). He serves on the Board of TomothAdvisors of the Gigot Center for Entrepreneurship at Notre Dame. He also co-founded Parable Sciences. He received a B.S. in Electrical Engineering from the University of Notre Dame, an M.S. from Stanford University, and an M.B.A. from Harvard Business School. He serves as an Advisor &amp; Board Member at Jiseki.</t>
  </si>
  <si>
    <t>36563-14P</t>
  </si>
  <si>
    <t>Venkatavaraghavan Bharadwaj</t>
  </si>
  <si>
    <t>Bharadwaj</t>
  </si>
  <si>
    <t>Venkatavaraghavan</t>
  </si>
  <si>
    <t>+91 (0)22 6604 6200</t>
  </si>
  <si>
    <t>vt@a91partners.com</t>
  </si>
  <si>
    <t>Mr. V.T. Bharadwaj serves as a General Partner at A91 Partners. He serves as a Board Member at THE HOUSE OF RARE. He served as Managing Director at Sequoia Capital. He serves as a Board Member at Ninety-One Cycles. He is on the boards of Vasan HealthCare, Prataap Snacks, Lovable, Celon Labs, Go Colors, and Genesis Colors. At Sequoia Capital, he spearheads investments in the Consumer, Retail, and Healthcare sectors. He served as a Board Member at Suburban Diagnostics. He was previously associated with McKinsey &amp; Company where he advised senior management in energy, consumer, retail, and manufacturing companies on key strategic and operational issues. He is an alumnus of IIM-Ahmedabad where he was awarded the President's Gold Medal and an alumnus of BITS Pilani. He also serves asa Board Member at Go Fashion.</t>
  </si>
  <si>
    <t>220097-98P</t>
  </si>
  <si>
    <t>Vidya Raman</t>
  </si>
  <si>
    <t>Raman</t>
  </si>
  <si>
    <t>Vidya</t>
  </si>
  <si>
    <t>Sorenson Ventures</t>
  </si>
  <si>
    <t>+1 (408) 836-5339</t>
  </si>
  <si>
    <t>vraman@sorensoncap.com</t>
  </si>
  <si>
    <t>537 Hamilton Avenue</t>
  </si>
  <si>
    <t>Ms. Vidya Raman serves as Partner at Sorenson Ventures. She serves as Board Member at Vendia. She served as Board Member at Garden. Prior to Sorenson Ventures, she has built and grown enterprise businesses as a product leader in several industry verticals ranging from enterprise software, industrial IoT, networking and health tech. Most recently, she led product management for Cloudera's AI platform, where she was responsible for making AI at scale a reality for customers spanning industries such as autonomous driving, biotech, and banking to governments. Prior experience includes eMeter (Sequoia-funded, acquired by Siemens), Silver Spring (Kleiner funded and IPO exit), and Medtronic (healthcare). Her all-time favorite career accomplishment was to have found product-market fit without having to write a single additional line of code. She received her MBA from Duke University's Fuqua School of Business, a Masters in Biomedical Engineering from the University of Alabama at Birmingham and a Bachelor's in Electronics and Telecommunication Engineering from Bangalore University.</t>
  </si>
  <si>
    <t>348094-90P</t>
  </si>
  <si>
    <t>William Coughran Ph.D</t>
  </si>
  <si>
    <t>Coughran</t>
  </si>
  <si>
    <t>wcoughran@sequoiacap.com</t>
  </si>
  <si>
    <t>Dr. William Coughran serves as Partner, Seed/Early at Sequoia Capital. Dr. Coughran serves as Board Member at Alkira and Quantum Circuits. He serves as Kumo. He serves as Board Member at Lilt. He serves as Board Member at Graphiant. He Managing Partner at Sequoia Capital is a business partner to growing companies and a coach to founders and teams. After getting his PhD in computer science, he went to Bell Labs. Some of the work he was involved with-core modeling and computer systems work-shaped his thinking about how to build large-scale systems and designs for many years, and it's something that has served him well at Google. There, he had the opportunity to work with some of the most sophisticated systems at that time. After his time at Bell Labs, he co-founded Entrisphere in late 2000. That company was acquired by Ericsson after he left. He soon joined Google in 2003. What he brings is intellectual breadth and pragmatic organizational psychology, coupled with a lot of operational experience. He's overseen a wide range of technologies, from semiconductors up to large distributed systems, search, security, and other web and mobile services. He serves as a Board Observer at Cohesity.</t>
  </si>
  <si>
    <t>35749-99P</t>
  </si>
  <si>
    <t>William Price</t>
  </si>
  <si>
    <t>Price</t>
  </si>
  <si>
    <t>Next Frontier Capital</t>
  </si>
  <si>
    <t>+1 (406) 209-9743</t>
  </si>
  <si>
    <t>will@nextfrontiercapital.com</t>
  </si>
  <si>
    <t>Bozeman, MT</t>
  </si>
  <si>
    <t>544 East Main Street</t>
  </si>
  <si>
    <t>Bozeman</t>
  </si>
  <si>
    <t>59715</t>
  </si>
  <si>
    <t>+1 (406) 794-0384</t>
  </si>
  <si>
    <t>Mr. William Price is the Co-Founder and serves as General Partner of Next Frontier Capital. He served as Board Member at SiteOne Therapeutics. He serves as Board Member at LumenAD, Tagboard, and Advisr. He serves as Board Member at OptioSurgical. He served as Advisor at Optionsurgical. He founded Next Frontier Capital to partner with mission-driven, talented entrepreneurs to build Montana technology companies of impact, utility, value. He serves as the Board Member at National Venture Capital Association. His career spans venture capital investing as well as operational, transactional and advisory roles at both public and private companies. With a Montana family history dating to the 1870s, He is passionate about investing in the state's promising future. Prior to Next Frontier Capital, he served as CEO of Flite, an advertising and analytics platform. During his six year tenure, he built a market leading organization capable of serving and analyzing billions of ad interactions, sold enterprise customers such as Procter &amp; Gamble, The New York Times and LinkedIn, raised $24m from leading venture capitalists, including Sequoia Capital, General Catalyst and strategic customers Conde Nast, Jive Software and Publicis. He continues to serve on the board of Flite. Previously, He served as a Managing Director at Hummer Winblad Venture Partners, where he focused on SaaS and open source. He helped lead investments in Mulesoft, Sonatype, SlideRocket, Flite, among others. He joined Hummer Winblad from Pequot Capital, where he focused on software investing. Earlier in his career He worked for Morgan Stanley in NYC, Hong Kong and the ASEAN markets focused on the privatization of state-owned assets. He graduated from Harvard College, studied Mandarin at Nanjing University and earned his M.B.A from Northwestern University, where he graduated at the top of his class. He writes about venture, leadership and entrepreneurship on LinkedIn.</t>
  </si>
  <si>
    <t>42415-39P</t>
  </si>
  <si>
    <t>Yinglan Tan</t>
  </si>
  <si>
    <t>Tan</t>
  </si>
  <si>
    <t>Yinglan</t>
  </si>
  <si>
    <t>Insignia Ventures Partners</t>
  </si>
  <si>
    <t>+65 6974 8176</t>
  </si>
  <si>
    <t>yinglan@insignia.vc</t>
  </si>
  <si>
    <t>2 Shenton Way, SGX Centre 1</t>
  </si>
  <si>
    <t>Number 08-02</t>
  </si>
  <si>
    <t>068804</t>
  </si>
  <si>
    <t>Mr. Yinglan Tan is a Founding Managing Partner of Insignia Venture Partners. He serves as Board Member at Eezee, Ritase &amp; Float Foods. He serves as Board Member at Tonik. He serves as Board Member at Rainforest and Carousell. He serves as Board Member at Carro and Fazz Financial. He served as Board Member at Janio. He was the Advisor of Datx. He also served as Advisor at RateS. He also served as Board Member at Tokopedia. He previously served as Investment Advisor, Partner, and Chief Executive Officer at Sequoia Capital India. Prior to joining the firm, he headed the National Framework for Innovation and Enterprise, investing in high-tech growth ventures in the Prime Minister's Office in Singapore. He is a Co-Founder of 3i VentureLab China. He previously served as a Director in the Company. He received an MS in Management Science and Engineering from Stanford University and finished two Bachelor's Degrees (ECE and Econ) at Carnegie Mellon and graduated top of his class as the William L. Everitt Scholar.</t>
  </si>
  <si>
    <t>46398-52P</t>
  </si>
  <si>
    <t>yoav.shaked@sequoiacap.com</t>
  </si>
  <si>
    <t>Mr. Yoav Shaked serves as Partner at Sequoia Capital. Mr. Shaked also serves as an Partner at Sequoia Capital. He serves as Board Member at Orasis Pharmaceuticals &amp; AIVF. He works with healthcare and medical device companies in Israel. Prior to joining Sequoia Capital in 2011, he worked at YMed, a company he founded and ran as President &amp; CEO until its acquisition by C.R. Bard. Prior to YMed, Yoav co-founded a medical device distribution company, and served as a Vice President of XTechnologies (Guidant Corp). He serves as Chairman at Vibrant. Yoav has a BA in Biology from The Hebrew University of Jerusalem. He served as Board Member at Endospan.</t>
  </si>
  <si>
    <t>36561-43P</t>
  </si>
  <si>
    <t>Yue Ji</t>
  </si>
  <si>
    <t>Ji</t>
  </si>
  <si>
    <t>Yue</t>
  </si>
  <si>
    <t>Hongshan Capital Group (Former)</t>
  </si>
  <si>
    <t>+61 (0)2 8467 4100</t>
  </si>
  <si>
    <t>14 Julius Avenue</t>
  </si>
  <si>
    <t>Ryde</t>
  </si>
  <si>
    <t>2113</t>
  </si>
  <si>
    <t>He served as a Partner at Sequoia Capital. He is a Board Member at Baraja and Tuniu. Prior to this, he worked at Walden International, Vertex Management, and CIV Venture Capital, where he was in charge of number of investment projects. He was also among the first group of employees of Seagate Technology China, where he held several managerial posts successively. Mr. Ji received his MBA from China Europe International Business School and a bachelor's degree in Electrical Engineering from Nanjing University of Aeronautics and Astronautics.</t>
  </si>
  <si>
    <t>56719-09P</t>
  </si>
  <si>
    <t>Zhifeng Zhou</t>
  </si>
  <si>
    <t>Zhifeng</t>
  </si>
  <si>
    <t>+86 (0)10 5961 1188</t>
  </si>
  <si>
    <t>alex@qimingvc.com</t>
  </si>
  <si>
    <t>Unit 13-17, 24/F, CWTC Tower1, Number 1</t>
  </si>
  <si>
    <t>Number 1 Jianguomenwai Street</t>
  </si>
  <si>
    <t>100004</t>
  </si>
  <si>
    <t>+86 (0)10 5961 1288</t>
  </si>
  <si>
    <t>Mr. Zhifeng Zhou serves as Managing Partner at Qiming Venture Partners. Mr. Zhou is an experienced technologist and company-builder. He focuses on investments in frontier technologies (such as artificial intelligence, robotics, autonomous driving), enterprise software, semiconductor, auto tech, etc. He has worked as board director/observer with entrepreneurs at unicorn companies - UBTech, Birentech, ROX Motor, Viewtrix, Unisound, and Tongdun Technology - and other high-growth startups such as Roborock (SHSE: 688169), Mech-Mind, Yunji Technology, Axera, Houmo.ai, HyperStrong, Chaitin (acquired by Alibaba), IDsManager (acquired by Alibaba), TigerGraph, XSKY, Sequoia DB, Transwarp (SHSE: 688031), NVXClouds, Shenzhen DST, Frontis, etc. Prior to Qiming, he worked for KPCB (Kleiner Perkins). Before beginning his investment career, he worked for HP (Hewlett-Packard) and oversaw the company's data storage business unit in China. He also co-founded a big data startup company. He is currently serving as a member of the Industry Advisory Committee of the Beijing Stock Exchange. He is also on the management committee of the China Rural Revitalization Entrepreneur Support Program, which is jointly initiated by Qiming Venture Partners and China Foundation for Rural Development, a project committed to training and empowering rural industrial entrepreneurs and social enterprise entrepreneurs. He holds an M.B.A. degree in Finance and Entrepreneurship from Columbia University and a Bachelor's degree in Computer Science from Harbin Institute of Technology.</t>
  </si>
  <si>
    <t>261008-74P</t>
  </si>
  <si>
    <t>Akhil Gupta</t>
  </si>
  <si>
    <t>Wealth Management Firm</t>
  </si>
  <si>
    <t>Akhil</t>
  </si>
  <si>
    <t>360 ONE</t>
  </si>
  <si>
    <t>+91 (0)22 4876 5158</t>
  </si>
  <si>
    <t>360 ONE Center</t>
  </si>
  <si>
    <t>Kamala City, Senapati Bapat Marg, Lower Parel</t>
  </si>
  <si>
    <t>Mr. Akhil Gupta serves as Independent Director &amp; Chairman at 360 ONE. He serves as Vice Chairman at Bharti Enterprises. He serves as Board Member at Eutelsat OneWeb. He has led the formation of various partnerships for Bharti with leading international operators including British Telecom, Telecom Italia, Singapore Telecom and Vodafone in addition to induction of leading financial investors like Warburg Pincus, Temasek, KKR, Qatar Foundation Endowment, AIF and Sequoia among many other Private Equity funds. He has been instrumental in raising several billion dollars by way of project finance for the Group over the years from global banks, bond markets and Export Credit Agencies (ECAs). He has also spearheaded the successful public listings of Bharti Airtel (2002), Bharti Infratel (2012) and Airtel Africa (2019). He is currently the Chairman of TAIPA (Tower and Infrastructure Providers Association), President of TSSC (Telecom Sector Skill Council), a member of the Advisory Committee on the Service Providers of Insolvency and Bankruptcy Board of India, a member of the Sub Committee of the Insolvency Law Committee, Government of India, and a member of CII Task Force on Insolvency and Bankruptcy 2020-21. He represents the Indian Telecom Industry and Bharti regularly at various forums in India and abroad. He is a Chartered Accountant by qualification and is the recipient of numerous awards which include ET Telecom Lifetime Achievement Award, Voice&amp;Data Lifetime Contribution Award, EY Entrepreneur of the Year Award as an Entrepreneur CEO, CA Lifetime Achievement Award by ICAI, Lifetime Achievement Award by Amity University, CEO of the Year award at National Telecom Awards, CA Business Achiever award by ICAI, Asia Corporate Dealmaker award at the Asia Pacific M&amp;A Atlas Awards, Best CFO awards in multiple categories by CNBC-TV18 and induction to Hall of Fame by CFO India. He serves as Board Member at Zepto.</t>
  </si>
  <si>
    <t>© PitchBook Data, Inc.  2025</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</si>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</sst>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2" formatCode="dd-mmm-yyyy"/>
    <numFmt numFmtId="83" formatCode="#,###"/>
  </numFmts>
  <fonts count="28">
    <font>
      <sz val="11"/>
      <color theme="1"/>
      <name val="Calibri"/>
      <family val="2"/>
      <scheme val="minor"/>
    </font>
    <font>
      <sz val="8"/>
      <color rgb="FF000000"/>
      <name val="Open Sans"/>
      <family val="2"/>
    </font>
    <font>
      <b/>
      <sz val="8"/>
      <color rgb="FF000000"/>
      <name val="Open Sans"/>
      <family val="2"/>
    </font>
    <font>
      <sz val="11"/>
      <color theme="1"/>
      <name val="Calibri"/>
      <family val="2"/>
      <scheme val="minor"/>
    </font>
    <font>
      <u/>
      <sz val="11"/>
      <color rgb="FF0563C1"/>
      <name val="Calibri"/>
    </font>
    <font>
      <b/>
      <sz val="8"/>
      <color rgb="FF26649E"/>
      <name val="Open Sans"/>
      <family val="2"/>
    </font>
    <font>
      <b/>
      <sz val="16"/>
      <color rgb="FF000000"/>
      <name val="Open Sans"/>
      <family val="2"/>
    </font>
    <font>
      <b/>
      <sz val="8"/>
      <color rgb="FFFFFFFF"/>
      <name val="Open Sans"/>
      <family val="2"/>
    </font>
    <font>
      <sz val="8"/>
      <color rgb="FF26649E"/>
      <name val="Open Sans"/>
      <family val="2"/>
    </font>
    <font>
      <sz val="8"/>
      <color rgb="FF26649E"/>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5">
    <fill>
      <patternFill patternType="none"/>
    </fill>
    <fill>
      <patternFill patternType="gray125"/>
    </fill>
    <fill>
      <patternFill patternType="solid">
        <fgColor rgb="FF051C38"/>
        <bgColor rgb="FF051C38"/>
      </patternFill>
    </fill>
    <fill>
      <patternFill patternType="solid">
        <fgColor rgb="FFF8F5EF"/>
        <bgColor rgb="FFF8F5EF"/>
      </patternFill>
    </fill>
    <fill>
      <patternFill patternType="solid">
        <fgColor rgb="FFFFFFFF"/>
      </patternFill>
    </fill>
  </fills>
  <borders count="2">
    <border>
      <left/>
      <right/>
      <top/>
      <bottom/>
      <diagonal/>
    </border>
    <border>
      <left/>
      <right style="thin">
        <color rgb="FFD3D3D3"/>
      </right>
      <top/>
      <bottom/>
      <diagonal/>
    </border>
  </borders>
  <cellStyleXfs count="19">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6" fillId="0" borderId="0">
      <alignment horizontal="left" vertical="center"/>
    </xf>
    <xf numFmtId="0" fontId="7" fillId="0" borderId="0">
      <alignment horizontal="center" vertical="center" wrapText="1"/>
    </xf>
    <xf numFmtId="0" fontId="1" fillId="0" borderId="1">
      <alignment horizontal="left" vertical="center" indent="1"/>
    </xf>
    <xf numFmtId="0" fontId="1" fillId="0" borderId="1">
      <alignment horizontal="right" vertical="center" indent="1"/>
    </xf>
    <xf numFmtId="0" fontId="12" fillId="0" borderId="1">
      <alignment horizontal="center" vertical="center"/>
    </xf>
    <xf numFmtId="0" fontId="13" fillId="0" borderId="1">
      <alignment horizontal="left" vertical="center" indent="1"/>
    </xf>
    <xf numFmtId="0" fontId="13" fillId="0" borderId="1">
      <alignment horizontal="right" vertical="center" indent="1"/>
    </xf>
    <xf numFmtId="0" fontId="12" fillId="0" borderId="0">
      <alignment horizontal="left" vertical="center"/>
    </xf>
    <xf numFmtId="0" fontId="19" fillId="0" borderId="0">
      <alignment horizontal="left" vertical="center"/>
    </xf>
    <xf numFmtId="0" fontId="23" fillId="4" borderId="0">
      <alignment horizontal="left" vertical="center"/>
    </xf>
    <xf numFmtId="0" fontId="27" fillId="4" borderId="0">
      <alignment horizontal="left" vertical="center"/>
    </xf>
    <xf numFmtId="0" fontId="23" fillId="4" borderId="0">
      <alignment horizontal="right" vertical="center"/>
    </xf>
  </cellStyleXfs>
  <cellXfs count="23">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7"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6" fillId="0" borderId="0" xfId="7">
      <alignment horizontal="left" vertical="center"/>
    </xf>
    <xf numFmtId="83" fontId="1" fillId="0" borderId="1" xfId="10" applyNumberFormat="1">
      <alignment horizontal="right" vertical="center" indent="1"/>
    </xf>
    <xf numFmtId="0" fontId="1" fillId="0" borderId="1" xfId="9">
      <alignment horizontal="left" vertical="center" indent="1"/>
    </xf>
    <xf numFmtId="0" fontId="1" fillId="0" borderId="1" xfId="10">
      <alignment horizontal="right" vertical="center" indent="1"/>
    </xf>
    <xf numFmtId="0" fontId="13" fillId="3" borderId="1" xfId="12" applyFill="1">
      <alignment horizontal="left" vertical="center" indent="1"/>
    </xf>
    <xf numFmtId="0" fontId="13" fillId="0" borderId="1" xfId="12">
      <alignment horizontal="left" vertical="center" indent="1"/>
    </xf>
    <xf numFmtId="0" fontId="1" fillId="3" borderId="1" xfId="9" applyFill="1">
      <alignment horizontal="left" vertical="center" indent="1"/>
    </xf>
    <xf numFmtId="0" fontId="1" fillId="3" borderId="1" xfId="10" applyFill="1">
      <alignment horizontal="right" vertical="center" indent="1"/>
    </xf>
    <xf numFmtId="83" fontId="1" fillId="3" borderId="1" xfId="10" applyNumberFormat="1" applyFill="1">
      <alignment horizontal="right" vertical="center" indent="1"/>
    </xf>
    <xf numFmtId="0" fontId="12" fillId="0" borderId="0" xfId="14">
      <alignment horizontal="left" vertical="center"/>
    </xf>
    <xf numFmtId="0" fontId="19" fillId="0" borderId="0" xfId="15">
      <alignment horizontal="left" vertical="center"/>
    </xf>
    <xf numFmtId="0" fontId="23" fillId="4" borderId="0" xfId="16">
      <alignment horizontal="left" vertical="center"/>
    </xf>
    <xf numFmtId="0" fontId="0" fillId="0" borderId="0" xfId="0">
      <protection locked="0"/>
    </xf>
    <xf numFmtId="0" fontId="27" fillId="4" borderId="0" xfId="17">
      <alignment horizontal="left" vertical="center"/>
    </xf>
    <xf numFmtId="0" fontId="23" fillId="4" borderId="0" xfId="18">
      <alignment horizontal="right" vertical="center"/>
    </xf>
  </cellXfs>
  <cellStyles count="19">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Right" xfId="10"/>
    <cellStyle name="tableCellStyleCenter" xfId="11"/>
    <cellStyle name="tableCellStyleLeftHyperlink" xfId="12"/>
    <cellStyle name="tableCellStyleRightHyperlink" xfId="13"/>
    <cellStyle name="defaultStyle" xfId="14"/>
    <cellStyle name="fontSize14Bold" xfId="15"/>
    <cellStyle name="fontSize10Italic" xfId="16"/>
    <cellStyle name="fontSize10ItalicHyperlink" xfId="17"/>
    <cellStyle name="fontSize10ItalicRight" xfId="1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218627-28" TargetMode="External"/><Relationship Id="rId2" Type="http://schemas.openxmlformats.org/officeDocument/2006/relationships/drawing" Target="../drawings/drawing1.xml"/></Relationships>
</file>

<file path=xl/worksheets/_rels/sheet2.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W271"/>
  <sheetViews>
    <sheetView showGridLines="0" workbookViewId="0">
      <selection sqref="A1"/>
    </sheetView>
  </sheetViews>
  <sheetFormatPr defaultRowHeight="15"/>
  <cols>
    <col min="1" max="1" width="21.7109375" customWidth="1"/>
    <col min="2" max="2" width="44.140625" customWidth="1"/>
    <col min="3" max="3" width="31.85546875" customWidth="1"/>
    <col min="4" max="4" width="31" customWidth="1"/>
    <col min="5" max="6" width="19.5703125" customWidth="1"/>
    <col min="7" max="7" width="36.85546875" customWidth="1"/>
    <col min="8" max="8" width="29.5703125" customWidth="1"/>
    <col min="9" max="9" width="18.7109375" customWidth="1"/>
    <col min="10" max="10" width="15.140625" customWidth="1"/>
    <col min="11" max="11" width="17.42578125" customWidth="1"/>
    <col min="12" max="12" width="15.85546875" customWidth="1"/>
    <col min="13" max="13" width="27.5703125" customWidth="1"/>
    <col min="14" max="14" width="35.42578125" customWidth="1"/>
    <col min="15" max="16" width="26.7109375" customWidth="1"/>
    <col min="17" max="17" width="18" customWidth="1"/>
    <col min="18" max="18" width="24.5703125" customWidth="1"/>
    <col min="19" max="19" width="17" customWidth="1"/>
    <col min="20" max="20" width="24.28515625" customWidth="1"/>
    <col min="21" max="21" width="15.85546875" customWidth="1"/>
    <col min="22" max="22" width="36.85546875" customWidth="1"/>
    <col min="23" max="23" width="18.7109375" customWidth="1"/>
  </cols>
  <sheetData>
    <row r="1" ht="25" customHeight="1">
      <c r="D1" s="8" t="s">
        <v>7</v>
      </c>
    </row>
    <row r="3">
      <c r="A3" s="1" t="s">
        <v>0</v>
      </c>
      <c r="B3" s="3">
        <v>45920</v>
      </c>
    </row>
    <row r="4">
      <c r="A4" s="1" t="s">
        <v>1</v>
      </c>
      <c r="B4" s="2" t="s">
        <v>2</v>
      </c>
    </row>
    <row r="5">
      <c r="A5" s="4" t="s">
        <v>3</v>
      </c>
      <c r="B5" s="6" t="s">
        <v>4</v>
      </c>
    </row>
    <row r="6" ht="30" customHeight="1">
      <c r="A6" s="4" t="s">
        <v>5</v>
      </c>
      <c r="B6" s="7" t="s">
        <v>6</v>
      </c>
    </row>
    <row r="8" ht="35" customHeight="1">
      <c r="A8" s="5" t="s">
        <v>8</v>
      </c>
      <c r="B8" s="5" t="s">
        <v>9</v>
      </c>
      <c r="C8" s="5" t="s">
        <v>10</v>
      </c>
      <c r="D8" s="5" t="s">
        <v>11</v>
      </c>
      <c r="E8" s="5" t="s">
        <v>12</v>
      </c>
      <c r="F8" s="5" t="s">
        <v>13</v>
      </c>
      <c r="G8" s="5" t="s">
        <v>14</v>
      </c>
      <c r="H8" s="5" t="s">
        <v>15</v>
      </c>
      <c r="I8" s="5" t="s">
        <v>16</v>
      </c>
      <c r="J8" s="5" t="s">
        <v>17</v>
      </c>
      <c r="K8" s="5" t="s">
        <v>18</v>
      </c>
      <c r="L8" s="5" t="s">
        <v>19</v>
      </c>
      <c r="M8" s="5" t="s">
        <v>20</v>
      </c>
      <c r="N8" s="5" t="s">
        <v>21</v>
      </c>
      <c r="O8" s="5" t="s">
        <v>22</v>
      </c>
      <c r="P8" s="5" t="s">
        <v>23</v>
      </c>
      <c r="Q8" s="5" t="s">
        <v>24</v>
      </c>
      <c r="R8" s="5" t="s">
        <v>25</v>
      </c>
      <c r="S8" s="5" t="s">
        <v>26</v>
      </c>
      <c r="T8" s="5" t="s">
        <v>27</v>
      </c>
      <c r="U8" s="5" t="s">
        <v>28</v>
      </c>
      <c r="V8" s="5" t="s">
        <v>29</v>
      </c>
      <c r="W8" s="5" t="s">
        <v>30</v>
      </c>
    </row>
    <row r="9">
      <c r="A9" s="14" t="s">
        <v>31</v>
      </c>
      <c r="B9" s="14" t="s">
        <v>32</v>
      </c>
      <c r="C9" s="12">
        <f>HYPERLINK("http://bghub.io","bghub.io")</f>
      </c>
      <c r="D9" s="14" t="s">
        <v>34</v>
      </c>
      <c r="E9" s="14" t="s">
        <v>35</v>
      </c>
      <c r="F9" s="14" t="s">
        <v>36</v>
      </c>
      <c r="G9" s="14" t="s">
        <v>37</v>
      </c>
      <c r="H9" s="14" t="s">
        <v>38</v>
      </c>
      <c r="I9" s="16">
        <v>8</v>
      </c>
      <c r="J9" s="16">
        <v>38</v>
      </c>
      <c r="K9" s="16">
        <v>26</v>
      </c>
      <c r="L9" s="15" t="s">
        <v>33</v>
      </c>
      <c r="M9" s="14" t="s">
        <v>39</v>
      </c>
      <c r="N9" s="14" t="s">
        <v>40</v>
      </c>
      <c r="O9" s="14" t="s">
        <v>33</v>
      </c>
      <c r="P9" s="14" t="s">
        <v>33</v>
      </c>
      <c r="Q9" s="14" t="s">
        <v>41</v>
      </c>
      <c r="R9" s="14" t="s">
        <v>42</v>
      </c>
      <c r="S9" s="15" t="s">
        <v>43</v>
      </c>
      <c r="T9" s="14" t="s">
        <v>44</v>
      </c>
      <c r="U9" s="15" t="s">
        <v>33</v>
      </c>
      <c r="V9" s="14" t="s">
        <v>45</v>
      </c>
      <c r="W9" s="12">
        <f>HYPERLINK("https://my.pitchbook.com?p=222084-19P","View People Online")</f>
      </c>
    </row>
    <row r="10">
      <c r="A10" s="10" t="s">
        <v>46</v>
      </c>
      <c r="B10" s="10" t="s">
        <v>47</v>
      </c>
      <c r="C10" s="13">
        <f>HYPERLINK("http://acceleratingasia.com","acceleratingasia.com")</f>
      </c>
      <c r="D10" s="10" t="s">
        <v>34</v>
      </c>
      <c r="E10" s="10" t="s">
        <v>48</v>
      </c>
      <c r="F10" s="10" t="s">
        <v>49</v>
      </c>
      <c r="G10" s="10" t="s">
        <v>50</v>
      </c>
      <c r="H10" s="10" t="s">
        <v>51</v>
      </c>
      <c r="I10" s="9">
        <v>1</v>
      </c>
      <c r="J10" s="9">
        <v>29</v>
      </c>
      <c r="K10" s="9">
        <v>26</v>
      </c>
      <c r="L10" s="11" t="s">
        <v>33</v>
      </c>
      <c r="M10" s="10" t="s">
        <v>52</v>
      </c>
      <c r="N10" s="10" t="s">
        <v>53</v>
      </c>
      <c r="O10" s="10" t="s">
        <v>54</v>
      </c>
      <c r="P10" s="10" t="s">
        <v>55</v>
      </c>
      <c r="Q10" s="10" t="s">
        <v>56</v>
      </c>
      <c r="R10" s="10" t="s">
        <v>33</v>
      </c>
      <c r="S10" s="11" t="s">
        <v>57</v>
      </c>
      <c r="T10" s="10" t="s">
        <v>56</v>
      </c>
      <c r="U10" s="11" t="s">
        <v>33</v>
      </c>
      <c r="V10" s="10" t="s">
        <v>58</v>
      </c>
      <c r="W10" s="13">
        <f>HYPERLINK("https://my.pitchbook.com?p=237822-49P","View People Online")</f>
      </c>
    </row>
    <row r="11">
      <c r="A11" s="14" t="s">
        <v>59</v>
      </c>
      <c r="B11" s="14" t="s">
        <v>60</v>
      </c>
      <c r="C11" s="12">
        <f>HYPERLINK("http://www.recyclingpartnership.org","www.recyclingpartnership.org")</f>
      </c>
      <c r="D11" s="14" t="s">
        <v>61</v>
      </c>
      <c r="E11" s="14" t="s">
        <v>62</v>
      </c>
      <c r="F11" s="14" t="s">
        <v>63</v>
      </c>
      <c r="G11" s="14" t="s">
        <v>64</v>
      </c>
      <c r="H11" s="14" t="s">
        <v>65</v>
      </c>
      <c r="I11" s="16">
        <v>1</v>
      </c>
      <c r="J11" s="16">
        <v>1</v>
      </c>
      <c r="K11" s="16" t="s">
        <v>33</v>
      </c>
      <c r="L11" s="15" t="s">
        <v>66</v>
      </c>
      <c r="M11" s="14" t="s">
        <v>33</v>
      </c>
      <c r="N11" s="14" t="s">
        <v>67</v>
      </c>
      <c r="O11" s="14" t="s">
        <v>68</v>
      </c>
      <c r="P11" s="14" t="s">
        <v>69</v>
      </c>
      <c r="Q11" s="14" t="s">
        <v>70</v>
      </c>
      <c r="R11" s="14" t="s">
        <v>71</v>
      </c>
      <c r="S11" s="15" t="s">
        <v>72</v>
      </c>
      <c r="T11" s="14" t="s">
        <v>44</v>
      </c>
      <c r="U11" s="15" t="s">
        <v>33</v>
      </c>
      <c r="V11" s="14" t="s">
        <v>73</v>
      </c>
      <c r="W11" s="12">
        <f>HYPERLINK("https://my.pitchbook.com?p=286344-10P","View People Online")</f>
      </c>
    </row>
    <row r="12">
      <c r="A12" s="10" t="s">
        <v>74</v>
      </c>
      <c r="B12" s="10" t="s">
        <v>75</v>
      </c>
      <c r="C12" s="13">
        <f>HYPERLINK("http://www.draper.com","www.draper.com")</f>
      </c>
      <c r="D12" s="10" t="s">
        <v>61</v>
      </c>
      <c r="E12" s="10" t="s">
        <v>76</v>
      </c>
      <c r="F12" s="10" t="s">
        <v>77</v>
      </c>
      <c r="G12" s="10" t="s">
        <v>64</v>
      </c>
      <c r="H12" s="10" t="s">
        <v>78</v>
      </c>
      <c r="I12" s="9">
        <v>1</v>
      </c>
      <c r="J12" s="9">
        <v>1</v>
      </c>
      <c r="K12" s="9" t="s">
        <v>33</v>
      </c>
      <c r="L12" s="11" t="s">
        <v>79</v>
      </c>
      <c r="M12" s="10" t="s">
        <v>33</v>
      </c>
      <c r="N12" s="10" t="s">
        <v>80</v>
      </c>
      <c r="O12" s="10" t="s">
        <v>81</v>
      </c>
      <c r="P12" s="10" t="s">
        <v>33</v>
      </c>
      <c r="Q12" s="10" t="s">
        <v>82</v>
      </c>
      <c r="R12" s="10" t="s">
        <v>83</v>
      </c>
      <c r="S12" s="11" t="s">
        <v>84</v>
      </c>
      <c r="T12" s="10" t="s">
        <v>44</v>
      </c>
      <c r="U12" s="11" t="s">
        <v>85</v>
      </c>
      <c r="V12" s="10" t="s">
        <v>86</v>
      </c>
      <c r="W12" s="13">
        <f>HYPERLINK("https://my.pitchbook.com?p=341072-92P","View People Online")</f>
      </c>
    </row>
    <row r="13">
      <c r="A13" s="14" t="s">
        <v>87</v>
      </c>
      <c r="B13" s="14" t="s">
        <v>88</v>
      </c>
      <c r="C13" s="12">
        <f>HYPERLINK("http://www.sequoiasa.com","www.sequoiasa.com")</f>
      </c>
      <c r="D13" s="14" t="s">
        <v>61</v>
      </c>
      <c r="E13" s="14" t="s">
        <v>89</v>
      </c>
      <c r="F13" s="14" t="s">
        <v>90</v>
      </c>
      <c r="G13" s="14" t="s">
        <v>91</v>
      </c>
      <c r="H13" s="14" t="s">
        <v>92</v>
      </c>
      <c r="I13" s="16">
        <v>1</v>
      </c>
      <c r="J13" s="16">
        <v>4</v>
      </c>
      <c r="K13" s="16">
        <v>1</v>
      </c>
      <c r="L13" s="15" t="s">
        <v>93</v>
      </c>
      <c r="M13" s="14" t="s">
        <v>94</v>
      </c>
      <c r="N13" s="14" t="s">
        <v>95</v>
      </c>
      <c r="O13" s="14" t="s">
        <v>96</v>
      </c>
      <c r="P13" s="14" t="s">
        <v>97</v>
      </c>
      <c r="Q13" s="14" t="s">
        <v>98</v>
      </c>
      <c r="R13" s="14" t="s">
        <v>83</v>
      </c>
      <c r="S13" s="15" t="s">
        <v>99</v>
      </c>
      <c r="T13" s="14" t="s">
        <v>44</v>
      </c>
      <c r="U13" s="15" t="s">
        <v>33</v>
      </c>
      <c r="V13" s="14" t="s">
        <v>100</v>
      </c>
      <c r="W13" s="12">
        <f>HYPERLINK("https://my.pitchbook.com?p=191645-29P","View People Online")</f>
      </c>
    </row>
    <row r="14">
      <c r="A14" s="10" t="s">
        <v>101</v>
      </c>
      <c r="B14" s="10" t="s">
        <v>102</v>
      </c>
      <c r="C14" s="13">
        <f>HYPERLINK("http://www.bosswallah.com","www.bosswallah.com")</f>
      </c>
      <c r="D14" s="10" t="s">
        <v>61</v>
      </c>
      <c r="E14" s="10" t="s">
        <v>103</v>
      </c>
      <c r="F14" s="10" t="s">
        <v>104</v>
      </c>
      <c r="G14" s="10" t="s">
        <v>105</v>
      </c>
      <c r="H14" s="10" t="s">
        <v>106</v>
      </c>
      <c r="I14" s="9">
        <v>12</v>
      </c>
      <c r="J14" s="9">
        <v>67</v>
      </c>
      <c r="K14" s="9">
        <v>49</v>
      </c>
      <c r="L14" s="11" t="s">
        <v>107</v>
      </c>
      <c r="M14" s="10" t="s">
        <v>108</v>
      </c>
      <c r="N14" s="10" t="s">
        <v>109</v>
      </c>
      <c r="O14" s="10" t="s">
        <v>110</v>
      </c>
      <c r="P14" s="10" t="s">
        <v>111</v>
      </c>
      <c r="Q14" s="10" t="s">
        <v>112</v>
      </c>
      <c r="R14" s="10" t="s">
        <v>113</v>
      </c>
      <c r="S14" s="11" t="s">
        <v>114</v>
      </c>
      <c r="T14" s="10" t="s">
        <v>115</v>
      </c>
      <c r="U14" s="11" t="s">
        <v>33</v>
      </c>
      <c r="V14" s="10" t="s">
        <v>116</v>
      </c>
      <c r="W14" s="13">
        <f>HYPERLINK("https://my.pitchbook.com?p=35773-75P","View People Online")</f>
      </c>
    </row>
    <row r="15">
      <c r="A15" s="14" t="s">
        <v>117</v>
      </c>
      <c r="B15" s="14" t="s">
        <v>118</v>
      </c>
      <c r="C15" s="12">
        <f>HYPERLINK("http://www.sequoiasa.com","www.sequoiasa.com")</f>
      </c>
      <c r="D15" s="14" t="s">
        <v>61</v>
      </c>
      <c r="E15" s="14" t="s">
        <v>119</v>
      </c>
      <c r="F15" s="14" t="s">
        <v>120</v>
      </c>
      <c r="G15" s="14" t="s">
        <v>121</v>
      </c>
      <c r="H15" s="14" t="s">
        <v>92</v>
      </c>
      <c r="I15" s="16">
        <v>1</v>
      </c>
      <c r="J15" s="16">
        <v>4</v>
      </c>
      <c r="K15" s="16">
        <v>1</v>
      </c>
      <c r="L15" s="15" t="s">
        <v>122</v>
      </c>
      <c r="M15" s="14" t="s">
        <v>123</v>
      </c>
      <c r="N15" s="14" t="s">
        <v>95</v>
      </c>
      <c r="O15" s="14" t="s">
        <v>96</v>
      </c>
      <c r="P15" s="14" t="s">
        <v>97</v>
      </c>
      <c r="Q15" s="14" t="s">
        <v>98</v>
      </c>
      <c r="R15" s="14" t="s">
        <v>83</v>
      </c>
      <c r="S15" s="15" t="s">
        <v>99</v>
      </c>
      <c r="T15" s="14" t="s">
        <v>44</v>
      </c>
      <c r="U15" s="15" t="s">
        <v>33</v>
      </c>
      <c r="V15" s="14" t="s">
        <v>124</v>
      </c>
      <c r="W15" s="12">
        <f>HYPERLINK("https://my.pitchbook.com?p=190503-28P","View People Online")</f>
      </c>
    </row>
    <row r="16">
      <c r="A16" s="10" t="s">
        <v>125</v>
      </c>
      <c r="B16" s="10" t="s">
        <v>126</v>
      </c>
      <c r="C16" s="10" t="s">
        <v>33</v>
      </c>
      <c r="D16" s="10" t="s">
        <v>127</v>
      </c>
      <c r="E16" s="10" t="s">
        <v>128</v>
      </c>
      <c r="F16" s="10" t="s">
        <v>129</v>
      </c>
      <c r="G16" s="10" t="s">
        <v>130</v>
      </c>
      <c r="H16" s="10" t="s">
        <v>131</v>
      </c>
      <c r="I16" s="9">
        <v>2</v>
      </c>
      <c r="J16" s="9">
        <v>10</v>
      </c>
      <c r="K16" s="9">
        <v>7</v>
      </c>
      <c r="L16" s="11" t="s">
        <v>132</v>
      </c>
      <c r="M16" s="10" t="s">
        <v>33</v>
      </c>
      <c r="N16" s="10" t="s">
        <v>133</v>
      </c>
      <c r="O16" s="10" t="s">
        <v>134</v>
      </c>
      <c r="P16" s="10" t="s">
        <v>135</v>
      </c>
      <c r="Q16" s="10" t="s">
        <v>136</v>
      </c>
      <c r="R16" s="10" t="s">
        <v>113</v>
      </c>
      <c r="S16" s="11" t="s">
        <v>137</v>
      </c>
      <c r="T16" s="10" t="s">
        <v>115</v>
      </c>
      <c r="U16" s="11" t="s">
        <v>138</v>
      </c>
      <c r="V16" s="10" t="s">
        <v>139</v>
      </c>
      <c r="W16" s="13">
        <f>HYPERLINK("https://my.pitchbook.com?p=33450-85P","View People Online")</f>
      </c>
    </row>
    <row r="17">
      <c r="A17" s="14" t="s">
        <v>140</v>
      </c>
      <c r="B17" s="14" t="s">
        <v>141</v>
      </c>
      <c r="C17" s="12">
        <f>HYPERLINK("http://www.bluegrassangels.com","www.bluegrassangels.com")</f>
      </c>
      <c r="D17" s="14" t="s">
        <v>142</v>
      </c>
      <c r="E17" s="14" t="s">
        <v>143</v>
      </c>
      <c r="F17" s="14" t="s">
        <v>144</v>
      </c>
      <c r="G17" s="14" t="s">
        <v>145</v>
      </c>
      <c r="H17" s="14" t="s">
        <v>146</v>
      </c>
      <c r="I17" s="16">
        <v>3</v>
      </c>
      <c r="J17" s="16">
        <v>9</v>
      </c>
      <c r="K17" s="16">
        <v>4</v>
      </c>
      <c r="L17" s="15" t="s">
        <v>147</v>
      </c>
      <c r="M17" s="14" t="s">
        <v>33</v>
      </c>
      <c r="N17" s="14" t="s">
        <v>148</v>
      </c>
      <c r="O17" s="14" t="s">
        <v>149</v>
      </c>
      <c r="P17" s="14" t="s">
        <v>33</v>
      </c>
      <c r="Q17" s="14" t="s">
        <v>150</v>
      </c>
      <c r="R17" s="14" t="s">
        <v>151</v>
      </c>
      <c r="S17" s="15" t="s">
        <v>152</v>
      </c>
      <c r="T17" s="14" t="s">
        <v>44</v>
      </c>
      <c r="U17" s="15" t="s">
        <v>33</v>
      </c>
      <c r="V17" s="14" t="s">
        <v>153</v>
      </c>
      <c r="W17" s="12">
        <f>HYPERLINK("https://my.pitchbook.com?p=168066-10P","View People Online")</f>
      </c>
    </row>
    <row r="18">
      <c r="A18" s="10" t="s">
        <v>154</v>
      </c>
      <c r="B18" s="10" t="s">
        <v>155</v>
      </c>
      <c r="C18" s="13">
        <f>HYPERLINK("http://bartonam.com","bartonam.com")</f>
      </c>
      <c r="D18" s="10" t="s">
        <v>156</v>
      </c>
      <c r="E18" s="10" t="s">
        <v>157</v>
      </c>
      <c r="F18" s="10" t="s">
        <v>158</v>
      </c>
      <c r="G18" s="10" t="s">
        <v>159</v>
      </c>
      <c r="H18" s="10" t="s">
        <v>160</v>
      </c>
      <c r="I18" s="9">
        <v>1</v>
      </c>
      <c r="J18" s="9">
        <v>54</v>
      </c>
      <c r="K18" s="9">
        <v>41</v>
      </c>
      <c r="L18" s="11" t="s">
        <v>161</v>
      </c>
      <c r="M18" s="10" t="s">
        <v>162</v>
      </c>
      <c r="N18" s="10" t="s">
        <v>40</v>
      </c>
      <c r="O18" s="10" t="s">
        <v>163</v>
      </c>
      <c r="P18" s="10" t="s">
        <v>164</v>
      </c>
      <c r="Q18" s="10" t="s">
        <v>41</v>
      </c>
      <c r="R18" s="10" t="s">
        <v>42</v>
      </c>
      <c r="S18" s="11" t="s">
        <v>165</v>
      </c>
      <c r="T18" s="10" t="s">
        <v>44</v>
      </c>
      <c r="U18" s="11" t="s">
        <v>33</v>
      </c>
      <c r="V18" s="10" t="s">
        <v>166</v>
      </c>
      <c r="W18" s="13">
        <f>HYPERLINK("https://my.pitchbook.com?p=14517-82P","View People Online")</f>
      </c>
    </row>
    <row r="19">
      <c r="A19" s="14" t="s">
        <v>167</v>
      </c>
      <c r="B19" s="14" t="s">
        <v>168</v>
      </c>
      <c r="C19" s="12">
        <f>HYPERLINK("http://www.arcfunds.com.au","www.arcfunds.com.au")</f>
      </c>
      <c r="D19" s="14" t="s">
        <v>156</v>
      </c>
      <c r="E19" s="14" t="s">
        <v>169</v>
      </c>
      <c r="F19" s="14" t="s">
        <v>170</v>
      </c>
      <c r="G19" s="14" t="s">
        <v>171</v>
      </c>
      <c r="H19" s="14" t="s">
        <v>172</v>
      </c>
      <c r="I19" s="16">
        <v>1</v>
      </c>
      <c r="J19" s="16">
        <v>7</v>
      </c>
      <c r="K19" s="16">
        <v>5</v>
      </c>
      <c r="L19" s="15" t="s">
        <v>33</v>
      </c>
      <c r="M19" s="14" t="s">
        <v>173</v>
      </c>
      <c r="N19" s="14" t="s">
        <v>174</v>
      </c>
      <c r="O19" s="14" t="s">
        <v>175</v>
      </c>
      <c r="P19" s="14" t="s">
        <v>176</v>
      </c>
      <c r="Q19" s="14" t="s">
        <v>177</v>
      </c>
      <c r="R19" s="14" t="s">
        <v>178</v>
      </c>
      <c r="S19" s="15" t="s">
        <v>179</v>
      </c>
      <c r="T19" s="14" t="s">
        <v>180</v>
      </c>
      <c r="U19" s="15" t="s">
        <v>33</v>
      </c>
      <c r="V19" s="14" t="s">
        <v>181</v>
      </c>
      <c r="W19" s="12">
        <f>HYPERLINK("https://my.pitchbook.com?p=75375-82P","View People Online")</f>
      </c>
    </row>
    <row r="20">
      <c r="A20" s="10" t="s">
        <v>182</v>
      </c>
      <c r="B20" s="10" t="s">
        <v>183</v>
      </c>
      <c r="C20" s="13">
        <f>HYPERLINK("http://www.sungroupglobal.com","www.sungroupglobal.com")</f>
      </c>
      <c r="D20" s="10" t="s">
        <v>156</v>
      </c>
      <c r="E20" s="10" t="s">
        <v>184</v>
      </c>
      <c r="F20" s="10" t="s">
        <v>185</v>
      </c>
      <c r="G20" s="10" t="s">
        <v>186</v>
      </c>
      <c r="H20" s="10" t="s">
        <v>187</v>
      </c>
      <c r="I20" s="9">
        <v>2</v>
      </c>
      <c r="J20" s="9">
        <v>2</v>
      </c>
      <c r="K20" s="9" t="s">
        <v>33</v>
      </c>
      <c r="L20" s="11" t="s">
        <v>188</v>
      </c>
      <c r="M20" s="10" t="s">
        <v>189</v>
      </c>
      <c r="N20" s="10" t="s">
        <v>190</v>
      </c>
      <c r="O20" s="10" t="s">
        <v>33</v>
      </c>
      <c r="P20" s="10" t="s">
        <v>33</v>
      </c>
      <c r="Q20" s="10" t="s">
        <v>191</v>
      </c>
      <c r="R20" s="10" t="s">
        <v>33</v>
      </c>
      <c r="S20" s="11" t="s">
        <v>33</v>
      </c>
      <c r="T20" s="10" t="s">
        <v>115</v>
      </c>
      <c r="U20" s="11" t="s">
        <v>192</v>
      </c>
      <c r="V20" s="10" t="s">
        <v>193</v>
      </c>
      <c r="W20" s="13">
        <f>HYPERLINK("https://my.pitchbook.com?p=76119-13P","View People Online")</f>
      </c>
    </row>
    <row r="21">
      <c r="A21" s="14" t="s">
        <v>194</v>
      </c>
      <c r="B21" s="14" t="s">
        <v>195</v>
      </c>
      <c r="C21" s="12">
        <f>HYPERLINK("http://www.bankwithunited.com","www.bankwithunited.com")</f>
      </c>
      <c r="D21" s="14" t="s">
        <v>196</v>
      </c>
      <c r="E21" s="14" t="s">
        <v>197</v>
      </c>
      <c r="F21" s="14" t="s">
        <v>198</v>
      </c>
      <c r="G21" s="14" t="s">
        <v>64</v>
      </c>
      <c r="H21" s="14" t="s">
        <v>199</v>
      </c>
      <c r="I21" s="16">
        <v>1</v>
      </c>
      <c r="J21" s="16">
        <v>1</v>
      </c>
      <c r="K21" s="16" t="s">
        <v>33</v>
      </c>
      <c r="L21" s="15" t="s">
        <v>200</v>
      </c>
      <c r="M21" s="14" t="s">
        <v>33</v>
      </c>
      <c r="N21" s="14" t="s">
        <v>201</v>
      </c>
      <c r="O21" s="14" t="s">
        <v>202</v>
      </c>
      <c r="P21" s="14" t="s">
        <v>203</v>
      </c>
      <c r="Q21" s="14" t="s">
        <v>204</v>
      </c>
      <c r="R21" s="14" t="s">
        <v>205</v>
      </c>
      <c r="S21" s="15" t="s">
        <v>206</v>
      </c>
      <c r="T21" s="14" t="s">
        <v>44</v>
      </c>
      <c r="U21" s="15" t="s">
        <v>33</v>
      </c>
      <c r="V21" s="14" t="s">
        <v>207</v>
      </c>
      <c r="W21" s="12">
        <f>HYPERLINK("https://my.pitchbook.com?p=126065-35P","View People Online")</f>
      </c>
    </row>
    <row r="22">
      <c r="A22" s="10" t="s">
        <v>208</v>
      </c>
      <c r="B22" s="10" t="s">
        <v>209</v>
      </c>
      <c r="C22" s="13">
        <f>HYPERLINK("http://www.bannerbank.com","www.bannerbank.com")</f>
      </c>
      <c r="D22" s="10" t="s">
        <v>196</v>
      </c>
      <c r="E22" s="10" t="s">
        <v>210</v>
      </c>
      <c r="F22" s="10" t="s">
        <v>211</v>
      </c>
      <c r="G22" s="10" t="s">
        <v>212</v>
      </c>
      <c r="H22" s="10" t="s">
        <v>213</v>
      </c>
      <c r="I22" s="9">
        <v>1</v>
      </c>
      <c r="J22" s="9">
        <v>7</v>
      </c>
      <c r="K22" s="9">
        <v>6</v>
      </c>
      <c r="L22" s="11" t="s">
        <v>214</v>
      </c>
      <c r="M22" s="10" t="s">
        <v>215</v>
      </c>
      <c r="N22" s="10" t="s">
        <v>216</v>
      </c>
      <c r="O22" s="10" t="s">
        <v>217</v>
      </c>
      <c r="P22" s="10" t="s">
        <v>218</v>
      </c>
      <c r="Q22" s="10" t="s">
        <v>219</v>
      </c>
      <c r="R22" s="10" t="s">
        <v>70</v>
      </c>
      <c r="S22" s="11" t="s">
        <v>220</v>
      </c>
      <c r="T22" s="10" t="s">
        <v>44</v>
      </c>
      <c r="U22" s="11" t="s">
        <v>33</v>
      </c>
      <c r="V22" s="10" t="s">
        <v>221</v>
      </c>
      <c r="W22" s="13">
        <f>HYPERLINK("https://my.pitchbook.com?p=69318-19P","View People Online")</f>
      </c>
    </row>
    <row r="23">
      <c r="A23" s="14" t="s">
        <v>222</v>
      </c>
      <c r="B23" s="14" t="s">
        <v>223</v>
      </c>
      <c r="C23" s="12">
        <f>HYPERLINK("http://www.bankwithunited.com","www.bankwithunited.com")</f>
      </c>
      <c r="D23" s="14" t="s">
        <v>196</v>
      </c>
      <c r="E23" s="14" t="s">
        <v>224</v>
      </c>
      <c r="F23" s="14" t="s">
        <v>225</v>
      </c>
      <c r="G23" s="14" t="s">
        <v>64</v>
      </c>
      <c r="H23" s="14" t="s">
        <v>199</v>
      </c>
      <c r="I23" s="16">
        <v>1</v>
      </c>
      <c r="J23" s="16">
        <v>1</v>
      </c>
      <c r="K23" s="16" t="s">
        <v>33</v>
      </c>
      <c r="L23" s="15" t="s">
        <v>226</v>
      </c>
      <c r="M23" s="14" t="s">
        <v>227</v>
      </c>
      <c r="N23" s="14" t="s">
        <v>201</v>
      </c>
      <c r="O23" s="14" t="s">
        <v>202</v>
      </c>
      <c r="P23" s="14" t="s">
        <v>203</v>
      </c>
      <c r="Q23" s="14" t="s">
        <v>204</v>
      </c>
      <c r="R23" s="14" t="s">
        <v>205</v>
      </c>
      <c r="S23" s="15" t="s">
        <v>206</v>
      </c>
      <c r="T23" s="14" t="s">
        <v>44</v>
      </c>
      <c r="U23" s="15" t="s">
        <v>33</v>
      </c>
      <c r="V23" s="14" t="s">
        <v>228</v>
      </c>
      <c r="W23" s="12">
        <f>HYPERLINK("https://my.pitchbook.com?p=39610-90P","View People Online")</f>
      </c>
    </row>
    <row r="24">
      <c r="A24" s="10" t="s">
        <v>229</v>
      </c>
      <c r="B24" s="10" t="s">
        <v>230</v>
      </c>
      <c r="C24" s="13">
        <f>HYPERLINK("http://www.sofi.com","www.sofi.com")</f>
      </c>
      <c r="D24" s="10" t="s">
        <v>196</v>
      </c>
      <c r="E24" s="10" t="s">
        <v>231</v>
      </c>
      <c r="F24" s="10" t="s">
        <v>232</v>
      </c>
      <c r="G24" s="10" t="s">
        <v>64</v>
      </c>
      <c r="H24" s="10" t="s">
        <v>233</v>
      </c>
      <c r="I24" s="9">
        <v>2</v>
      </c>
      <c r="J24" s="9">
        <v>8</v>
      </c>
      <c r="K24" s="9">
        <v>5</v>
      </c>
      <c r="L24" s="11" t="s">
        <v>234</v>
      </c>
      <c r="M24" s="10" t="s">
        <v>235</v>
      </c>
      <c r="N24" s="10" t="s">
        <v>40</v>
      </c>
      <c r="O24" s="10" t="s">
        <v>236</v>
      </c>
      <c r="P24" s="10" t="s">
        <v>33</v>
      </c>
      <c r="Q24" s="10" t="s">
        <v>41</v>
      </c>
      <c r="R24" s="10" t="s">
        <v>42</v>
      </c>
      <c r="S24" s="11" t="s">
        <v>165</v>
      </c>
      <c r="T24" s="10" t="s">
        <v>44</v>
      </c>
      <c r="U24" s="11" t="s">
        <v>33</v>
      </c>
      <c r="V24" s="10" t="s">
        <v>237</v>
      </c>
      <c r="W24" s="13">
        <f>HYPERLINK("https://my.pitchbook.com?p=43659-82P","View People Online")</f>
      </c>
    </row>
    <row r="25">
      <c r="A25" s="14" t="s">
        <v>238</v>
      </c>
      <c r="B25" s="14" t="s">
        <v>239</v>
      </c>
      <c r="C25" s="12">
        <f>HYPERLINK("http://our-company.dsm-firmenich.com","our-company.dsm-firmenich.com")</f>
      </c>
      <c r="D25" s="14" t="s">
        <v>240</v>
      </c>
      <c r="E25" s="14" t="s">
        <v>241</v>
      </c>
      <c r="F25" s="14" t="s">
        <v>242</v>
      </c>
      <c r="G25" s="14" t="s">
        <v>243</v>
      </c>
      <c r="H25" s="14" t="s">
        <v>244</v>
      </c>
      <c r="I25" s="16">
        <v>3</v>
      </c>
      <c r="J25" s="16">
        <v>11</v>
      </c>
      <c r="K25" s="16">
        <v>7</v>
      </c>
      <c r="L25" s="15" t="s">
        <v>245</v>
      </c>
      <c r="M25" s="14" t="s">
        <v>246</v>
      </c>
      <c r="N25" s="14" t="s">
        <v>247</v>
      </c>
      <c r="O25" s="14" t="s">
        <v>33</v>
      </c>
      <c r="P25" s="14" t="s">
        <v>33</v>
      </c>
      <c r="Q25" s="14" t="s">
        <v>248</v>
      </c>
      <c r="R25" s="14" t="s">
        <v>33</v>
      </c>
      <c r="S25" s="15" t="s">
        <v>33</v>
      </c>
      <c r="T25" s="14" t="s">
        <v>249</v>
      </c>
      <c r="U25" s="15" t="s">
        <v>33</v>
      </c>
      <c r="V25" s="14" t="s">
        <v>250</v>
      </c>
      <c r="W25" s="12">
        <f>HYPERLINK("https://my.pitchbook.com?p=194778-55P","View People Online")</f>
      </c>
    </row>
    <row r="26">
      <c r="A26" s="10" t="s">
        <v>251</v>
      </c>
      <c r="B26" s="10" t="s">
        <v>252</v>
      </c>
      <c r="C26" s="13">
        <f>HYPERLINK("http://www.toyota.ventures","www.toyota.ventures")</f>
      </c>
      <c r="D26" s="10" t="s">
        <v>240</v>
      </c>
      <c r="E26" s="10" t="s">
        <v>253</v>
      </c>
      <c r="F26" s="10" t="s">
        <v>254</v>
      </c>
      <c r="G26" s="10" t="s">
        <v>255</v>
      </c>
      <c r="H26" s="10" t="s">
        <v>256</v>
      </c>
      <c r="I26" s="9">
        <v>4</v>
      </c>
      <c r="J26" s="9">
        <v>51</v>
      </c>
      <c r="K26" s="9">
        <v>40</v>
      </c>
      <c r="L26" s="11" t="s">
        <v>257</v>
      </c>
      <c r="M26" s="10" t="s">
        <v>258</v>
      </c>
      <c r="N26" s="10" t="s">
        <v>259</v>
      </c>
      <c r="O26" s="10" t="s">
        <v>260</v>
      </c>
      <c r="P26" s="10" t="s">
        <v>33</v>
      </c>
      <c r="Q26" s="10" t="s">
        <v>261</v>
      </c>
      <c r="R26" s="10" t="s">
        <v>42</v>
      </c>
      <c r="S26" s="11" t="s">
        <v>262</v>
      </c>
      <c r="T26" s="10" t="s">
        <v>44</v>
      </c>
      <c r="U26" s="11" t="s">
        <v>33</v>
      </c>
      <c r="V26" s="10" t="s">
        <v>263</v>
      </c>
      <c r="W26" s="13">
        <f>HYPERLINK("https://my.pitchbook.com?p=45444-34P","View People Online")</f>
      </c>
    </row>
    <row r="27">
      <c r="A27" s="14" t="s">
        <v>264</v>
      </c>
      <c r="B27" s="14" t="s">
        <v>265</v>
      </c>
      <c r="C27" s="14" t="s">
        <v>33</v>
      </c>
      <c r="D27" s="14" t="s">
        <v>240</v>
      </c>
      <c r="E27" s="14" t="s">
        <v>266</v>
      </c>
      <c r="F27" s="14" t="s">
        <v>267</v>
      </c>
      <c r="G27" s="14" t="s">
        <v>268</v>
      </c>
      <c r="H27" s="14" t="s">
        <v>269</v>
      </c>
      <c r="I27" s="16">
        <v>1</v>
      </c>
      <c r="J27" s="16">
        <v>8</v>
      </c>
      <c r="K27" s="16">
        <v>5</v>
      </c>
      <c r="L27" s="15" t="s">
        <v>270</v>
      </c>
      <c r="M27" s="14" t="s">
        <v>271</v>
      </c>
      <c r="N27" s="14" t="s">
        <v>272</v>
      </c>
      <c r="O27" s="14" t="s">
        <v>33</v>
      </c>
      <c r="P27" s="14" t="s">
        <v>33</v>
      </c>
      <c r="Q27" s="14" t="s">
        <v>273</v>
      </c>
      <c r="R27" s="14" t="s">
        <v>274</v>
      </c>
      <c r="S27" s="15" t="s">
        <v>275</v>
      </c>
      <c r="T27" s="14" t="s">
        <v>276</v>
      </c>
      <c r="U27" s="15" t="s">
        <v>33</v>
      </c>
      <c r="V27" s="14" t="s">
        <v>277</v>
      </c>
      <c r="W27" s="12">
        <f>HYPERLINK("https://my.pitchbook.com?p=180341-74P","View People Online")</f>
      </c>
    </row>
    <row r="28">
      <c r="A28" s="10" t="s">
        <v>278</v>
      </c>
      <c r="B28" s="10" t="s">
        <v>279</v>
      </c>
      <c r="C28" s="10" t="s">
        <v>33</v>
      </c>
      <c r="D28" s="10" t="s">
        <v>240</v>
      </c>
      <c r="E28" s="10" t="s">
        <v>280</v>
      </c>
      <c r="F28" s="10" t="s">
        <v>281</v>
      </c>
      <c r="G28" s="10" t="s">
        <v>282</v>
      </c>
      <c r="H28" s="10" t="s">
        <v>283</v>
      </c>
      <c r="I28" s="9">
        <v>2</v>
      </c>
      <c r="J28" s="9">
        <v>19</v>
      </c>
      <c r="K28" s="9">
        <v>12</v>
      </c>
      <c r="L28" s="11" t="s">
        <v>284</v>
      </c>
      <c r="M28" s="10" t="s">
        <v>285</v>
      </c>
      <c r="N28" s="10" t="s">
        <v>286</v>
      </c>
      <c r="O28" s="10" t="s">
        <v>287</v>
      </c>
      <c r="P28" s="10" t="s">
        <v>33</v>
      </c>
      <c r="Q28" s="10" t="s">
        <v>288</v>
      </c>
      <c r="R28" s="10" t="s">
        <v>42</v>
      </c>
      <c r="S28" s="11" t="s">
        <v>289</v>
      </c>
      <c r="T28" s="10" t="s">
        <v>44</v>
      </c>
      <c r="U28" s="11" t="s">
        <v>33</v>
      </c>
      <c r="V28" s="10" t="s">
        <v>290</v>
      </c>
      <c r="W28" s="13">
        <f>HYPERLINK("https://my.pitchbook.com?p=40435-84P","View People Online")</f>
      </c>
    </row>
    <row r="29">
      <c r="A29" s="14" t="s">
        <v>291</v>
      </c>
      <c r="B29" s="14" t="s">
        <v>292</v>
      </c>
      <c r="C29" s="14" t="s">
        <v>33</v>
      </c>
      <c r="D29" s="14" t="s">
        <v>293</v>
      </c>
      <c r="E29" s="14" t="s">
        <v>294</v>
      </c>
      <c r="F29" s="14" t="s">
        <v>295</v>
      </c>
      <c r="G29" s="14" t="s">
        <v>296</v>
      </c>
      <c r="H29" s="14" t="s">
        <v>297</v>
      </c>
      <c r="I29" s="16">
        <v>1</v>
      </c>
      <c r="J29" s="16">
        <v>2</v>
      </c>
      <c r="K29" s="16" t="s">
        <v>33</v>
      </c>
      <c r="L29" s="15" t="s">
        <v>298</v>
      </c>
      <c r="M29" s="14" t="s">
        <v>299</v>
      </c>
      <c r="N29" s="14" t="s">
        <v>300</v>
      </c>
      <c r="O29" s="14" t="s">
        <v>301</v>
      </c>
      <c r="P29" s="14" t="s">
        <v>33</v>
      </c>
      <c r="Q29" s="14" t="s">
        <v>302</v>
      </c>
      <c r="R29" s="14" t="s">
        <v>42</v>
      </c>
      <c r="S29" s="15" t="s">
        <v>303</v>
      </c>
      <c r="T29" s="14" t="s">
        <v>44</v>
      </c>
      <c r="U29" s="15" t="s">
        <v>33</v>
      </c>
      <c r="V29" s="14" t="s">
        <v>304</v>
      </c>
      <c r="W29" s="12">
        <f>HYPERLINK("https://my.pitchbook.com?p=69835-33P","View People Online")</f>
      </c>
    </row>
    <row r="30">
      <c r="A30" s="10" t="s">
        <v>305</v>
      </c>
      <c r="B30" s="10" t="s">
        <v>306</v>
      </c>
      <c r="C30" s="10" t="s">
        <v>33</v>
      </c>
      <c r="D30" s="10" t="s">
        <v>293</v>
      </c>
      <c r="E30" s="10" t="s">
        <v>307</v>
      </c>
      <c r="F30" s="10" t="s">
        <v>308</v>
      </c>
      <c r="G30" s="10" t="s">
        <v>309</v>
      </c>
      <c r="H30" s="10" t="s">
        <v>310</v>
      </c>
      <c r="I30" s="9">
        <v>1</v>
      </c>
      <c r="J30" s="9">
        <v>4</v>
      </c>
      <c r="K30" s="9" t="s">
        <v>33</v>
      </c>
      <c r="L30" s="11" t="s">
        <v>311</v>
      </c>
      <c r="M30" s="10" t="s">
        <v>312</v>
      </c>
      <c r="N30" s="10" t="s">
        <v>313</v>
      </c>
      <c r="O30" s="10" t="s">
        <v>314</v>
      </c>
      <c r="P30" s="10" t="s">
        <v>33</v>
      </c>
      <c r="Q30" s="10" t="s">
        <v>315</v>
      </c>
      <c r="R30" s="10" t="s">
        <v>316</v>
      </c>
      <c r="S30" s="11" t="s">
        <v>317</v>
      </c>
      <c r="T30" s="10" t="s">
        <v>44</v>
      </c>
      <c r="U30" s="11" t="s">
        <v>33</v>
      </c>
      <c r="V30" s="10" t="s">
        <v>318</v>
      </c>
      <c r="W30" s="13">
        <f>HYPERLINK("https://my.pitchbook.com?p=14760-19P","View People Online")</f>
      </c>
    </row>
    <row r="31">
      <c r="A31" s="14" t="s">
        <v>319</v>
      </c>
      <c r="B31" s="14" t="s">
        <v>320</v>
      </c>
      <c r="C31" s="14" t="s">
        <v>33</v>
      </c>
      <c r="D31" s="14" t="s">
        <v>321</v>
      </c>
      <c r="E31" s="14" t="s">
        <v>322</v>
      </c>
      <c r="F31" s="14" t="s">
        <v>323</v>
      </c>
      <c r="G31" s="14" t="s">
        <v>64</v>
      </c>
      <c r="H31" s="14" t="s">
        <v>324</v>
      </c>
      <c r="I31" s="16">
        <v>1</v>
      </c>
      <c r="J31" s="16">
        <v>1</v>
      </c>
      <c r="K31" s="16" t="s">
        <v>33</v>
      </c>
      <c r="L31" s="15" t="s">
        <v>325</v>
      </c>
      <c r="M31" s="14" t="s">
        <v>33</v>
      </c>
      <c r="N31" s="14" t="s">
        <v>326</v>
      </c>
      <c r="O31" s="14" t="s">
        <v>327</v>
      </c>
      <c r="P31" s="14" t="s">
        <v>33</v>
      </c>
      <c r="Q31" s="14" t="s">
        <v>328</v>
      </c>
      <c r="R31" s="14" t="s">
        <v>33</v>
      </c>
      <c r="S31" s="15" t="s">
        <v>329</v>
      </c>
      <c r="T31" s="14" t="s">
        <v>330</v>
      </c>
      <c r="U31" s="15" t="s">
        <v>331</v>
      </c>
      <c r="V31" s="14" t="s">
        <v>332</v>
      </c>
      <c r="W31" s="12">
        <f>HYPERLINK("https://my.pitchbook.com?p=81998-29P","View People Online")</f>
      </c>
    </row>
    <row r="32">
      <c r="A32" s="10" t="s">
        <v>333</v>
      </c>
      <c r="B32" s="10" t="s">
        <v>334</v>
      </c>
      <c r="C32" s="13">
        <f>HYPERLINK("http://www.whitemarshcap.net","www.whitemarshcap.net")</f>
      </c>
      <c r="D32" s="10" t="s">
        <v>335</v>
      </c>
      <c r="E32" s="10" t="s">
        <v>336</v>
      </c>
      <c r="F32" s="10" t="s">
        <v>337</v>
      </c>
      <c r="G32" s="10" t="s">
        <v>338</v>
      </c>
      <c r="H32" s="10" t="s">
        <v>339</v>
      </c>
      <c r="I32" s="9">
        <v>2</v>
      </c>
      <c r="J32" s="9">
        <v>4</v>
      </c>
      <c r="K32" s="9" t="s">
        <v>33</v>
      </c>
      <c r="L32" s="11" t="s">
        <v>340</v>
      </c>
      <c r="M32" s="10" t="s">
        <v>33</v>
      </c>
      <c r="N32" s="10" t="s">
        <v>341</v>
      </c>
      <c r="O32" s="10" t="s">
        <v>342</v>
      </c>
      <c r="P32" s="10" t="s">
        <v>33</v>
      </c>
      <c r="Q32" s="10" t="s">
        <v>343</v>
      </c>
      <c r="R32" s="10" t="s">
        <v>344</v>
      </c>
      <c r="S32" s="11" t="s">
        <v>345</v>
      </c>
      <c r="T32" s="10" t="s">
        <v>44</v>
      </c>
      <c r="U32" s="11" t="s">
        <v>346</v>
      </c>
      <c r="V32" s="10" t="s">
        <v>347</v>
      </c>
      <c r="W32" s="13">
        <f>HYPERLINK("https://my.pitchbook.com?p=85146-67P","View People Online")</f>
      </c>
    </row>
    <row r="33">
      <c r="A33" s="14" t="s">
        <v>348</v>
      </c>
      <c r="B33" s="14" t="s">
        <v>349</v>
      </c>
      <c r="C33" s="12">
        <f>HYPERLINK("http://www.oloryn.com","www.oloryn.com")</f>
      </c>
      <c r="D33" s="14" t="s">
        <v>335</v>
      </c>
      <c r="E33" s="14" t="s">
        <v>350</v>
      </c>
      <c r="F33" s="14" t="s">
        <v>351</v>
      </c>
      <c r="G33" s="14" t="s">
        <v>268</v>
      </c>
      <c r="H33" s="14" t="s">
        <v>352</v>
      </c>
      <c r="I33" s="16">
        <v>1</v>
      </c>
      <c r="J33" s="16">
        <v>10</v>
      </c>
      <c r="K33" s="16">
        <v>8</v>
      </c>
      <c r="L33" s="15" t="s">
        <v>353</v>
      </c>
      <c r="M33" s="14" t="s">
        <v>354</v>
      </c>
      <c r="N33" s="14" t="s">
        <v>355</v>
      </c>
      <c r="O33" s="14" t="s">
        <v>356</v>
      </c>
      <c r="P33" s="14" t="s">
        <v>33</v>
      </c>
      <c r="Q33" s="14" t="s">
        <v>357</v>
      </c>
      <c r="R33" s="14" t="s">
        <v>33</v>
      </c>
      <c r="S33" s="15" t="s">
        <v>33</v>
      </c>
      <c r="T33" s="14" t="s">
        <v>358</v>
      </c>
      <c r="U33" s="15" t="s">
        <v>33</v>
      </c>
      <c r="V33" s="14" t="s">
        <v>359</v>
      </c>
      <c r="W33" s="12">
        <f>HYPERLINK("https://my.pitchbook.com?p=57634-48P","View People Online")</f>
      </c>
    </row>
    <row r="34">
      <c r="A34" s="10" t="s">
        <v>360</v>
      </c>
      <c r="B34" s="10" t="s">
        <v>361</v>
      </c>
      <c r="C34" s="13">
        <f>HYPERLINK("http://www.sequoiafound.org","www.sequoiafound.org")</f>
      </c>
      <c r="D34" s="10" t="s">
        <v>362</v>
      </c>
      <c r="E34" s="10" t="s">
        <v>363</v>
      </c>
      <c r="F34" s="10" t="s">
        <v>364</v>
      </c>
      <c r="G34" s="10" t="s">
        <v>64</v>
      </c>
      <c r="H34" s="10" t="s">
        <v>365</v>
      </c>
      <c r="I34" s="9">
        <v>1</v>
      </c>
      <c r="J34" s="9">
        <v>1</v>
      </c>
      <c r="K34" s="9" t="s">
        <v>33</v>
      </c>
      <c r="L34" s="11" t="s">
        <v>366</v>
      </c>
      <c r="M34" s="10" t="s">
        <v>33</v>
      </c>
      <c r="N34" s="10" t="s">
        <v>367</v>
      </c>
      <c r="O34" s="10" t="s">
        <v>368</v>
      </c>
      <c r="P34" s="10" t="s">
        <v>369</v>
      </c>
      <c r="Q34" s="10" t="s">
        <v>370</v>
      </c>
      <c r="R34" s="10" t="s">
        <v>70</v>
      </c>
      <c r="S34" s="11" t="s">
        <v>371</v>
      </c>
      <c r="T34" s="10" t="s">
        <v>44</v>
      </c>
      <c r="U34" s="11" t="s">
        <v>372</v>
      </c>
      <c r="V34" s="10" t="s">
        <v>373</v>
      </c>
      <c r="W34" s="13">
        <f>HYPERLINK("https://my.pitchbook.com?p=65911-60P","View People Online")</f>
      </c>
    </row>
    <row r="35">
      <c r="A35" s="14" t="s">
        <v>374</v>
      </c>
      <c r="B35" s="14" t="s">
        <v>375</v>
      </c>
      <c r="C35" s="12">
        <f>HYPERLINK("http://www.forestfound.org","www.forestfound.org")</f>
      </c>
      <c r="D35" s="14" t="s">
        <v>362</v>
      </c>
      <c r="E35" s="14" t="s">
        <v>376</v>
      </c>
      <c r="F35" s="14" t="s">
        <v>377</v>
      </c>
      <c r="G35" s="14" t="s">
        <v>378</v>
      </c>
      <c r="H35" s="14" t="s">
        <v>379</v>
      </c>
      <c r="I35" s="16">
        <v>1</v>
      </c>
      <c r="J35" s="16">
        <v>1</v>
      </c>
      <c r="K35" s="16" t="s">
        <v>33</v>
      </c>
      <c r="L35" s="15" t="s">
        <v>366</v>
      </c>
      <c r="M35" s="14" t="s">
        <v>380</v>
      </c>
      <c r="N35" s="14" t="s">
        <v>367</v>
      </c>
      <c r="O35" s="14" t="s">
        <v>368</v>
      </c>
      <c r="P35" s="14" t="s">
        <v>369</v>
      </c>
      <c r="Q35" s="14" t="s">
        <v>370</v>
      </c>
      <c r="R35" s="14" t="s">
        <v>70</v>
      </c>
      <c r="S35" s="15" t="s">
        <v>371</v>
      </c>
      <c r="T35" s="14" t="s">
        <v>44</v>
      </c>
      <c r="U35" s="15" t="s">
        <v>372</v>
      </c>
      <c r="V35" s="14" t="s">
        <v>381</v>
      </c>
      <c r="W35" s="12">
        <f>HYPERLINK("https://my.pitchbook.com?p=65215-27P","View People Online")</f>
      </c>
    </row>
    <row r="36">
      <c r="A36" s="10" t="s">
        <v>382</v>
      </c>
      <c r="B36" s="10" t="s">
        <v>383</v>
      </c>
      <c r="C36" s="13">
        <f>HYPERLINK("http://www.centralvalleycf.org","www.centralvalleycf.org")</f>
      </c>
      <c r="D36" s="10" t="s">
        <v>362</v>
      </c>
      <c r="E36" s="10" t="s">
        <v>384</v>
      </c>
      <c r="F36" s="10" t="s">
        <v>385</v>
      </c>
      <c r="G36" s="10" t="s">
        <v>64</v>
      </c>
      <c r="H36" s="10" t="s">
        <v>386</v>
      </c>
      <c r="I36" s="9">
        <v>1</v>
      </c>
      <c r="J36" s="9">
        <v>1</v>
      </c>
      <c r="K36" s="9" t="s">
        <v>33</v>
      </c>
      <c r="L36" s="11" t="s">
        <v>387</v>
      </c>
      <c r="M36" s="10" t="s">
        <v>33</v>
      </c>
      <c r="N36" s="10" t="s">
        <v>388</v>
      </c>
      <c r="O36" s="10" t="s">
        <v>389</v>
      </c>
      <c r="P36" s="10" t="s">
        <v>390</v>
      </c>
      <c r="Q36" s="10" t="s">
        <v>391</v>
      </c>
      <c r="R36" s="10" t="s">
        <v>42</v>
      </c>
      <c r="S36" s="11" t="s">
        <v>392</v>
      </c>
      <c r="T36" s="10" t="s">
        <v>44</v>
      </c>
      <c r="U36" s="11" t="s">
        <v>393</v>
      </c>
      <c r="V36" s="10" t="s">
        <v>394</v>
      </c>
      <c r="W36" s="13">
        <f>HYPERLINK("https://my.pitchbook.com?p=114218-74P","View People Online")</f>
      </c>
    </row>
    <row r="37">
      <c r="A37" s="14" t="s">
        <v>395</v>
      </c>
      <c r="B37" s="14" t="s">
        <v>396</v>
      </c>
      <c r="C37" s="12">
        <f>HYPERLINK("http://www.forestfound.org","www.forestfound.org")</f>
      </c>
      <c r="D37" s="14" t="s">
        <v>362</v>
      </c>
      <c r="E37" s="14" t="s">
        <v>363</v>
      </c>
      <c r="F37" s="14" t="s">
        <v>397</v>
      </c>
      <c r="G37" s="14" t="s">
        <v>398</v>
      </c>
      <c r="H37" s="14" t="s">
        <v>379</v>
      </c>
      <c r="I37" s="16">
        <v>2</v>
      </c>
      <c r="J37" s="16">
        <v>3</v>
      </c>
      <c r="K37" s="16" t="s">
        <v>33</v>
      </c>
      <c r="L37" s="15" t="s">
        <v>366</v>
      </c>
      <c r="M37" s="14" t="s">
        <v>399</v>
      </c>
      <c r="N37" s="14" t="s">
        <v>367</v>
      </c>
      <c r="O37" s="14" t="s">
        <v>368</v>
      </c>
      <c r="P37" s="14" t="s">
        <v>369</v>
      </c>
      <c r="Q37" s="14" t="s">
        <v>370</v>
      </c>
      <c r="R37" s="14" t="s">
        <v>70</v>
      </c>
      <c r="S37" s="15" t="s">
        <v>371</v>
      </c>
      <c r="T37" s="14" t="s">
        <v>44</v>
      </c>
      <c r="U37" s="15" t="s">
        <v>372</v>
      </c>
      <c r="V37" s="14" t="s">
        <v>400</v>
      </c>
      <c r="W37" s="12">
        <f>HYPERLINK("https://my.pitchbook.com?p=39285-01P","View People Online")</f>
      </c>
    </row>
    <row r="38">
      <c r="A38" s="10" t="s">
        <v>401</v>
      </c>
      <c r="B38" s="10" t="s">
        <v>402</v>
      </c>
      <c r="C38" s="13">
        <f>HYPERLINK("http://www.skoll.org","www.skoll.org")</f>
      </c>
      <c r="D38" s="10" t="s">
        <v>362</v>
      </c>
      <c r="E38" s="10" t="s">
        <v>403</v>
      </c>
      <c r="F38" s="10" t="s">
        <v>404</v>
      </c>
      <c r="G38" s="10" t="s">
        <v>405</v>
      </c>
      <c r="H38" s="10" t="s">
        <v>406</v>
      </c>
      <c r="I38" s="9">
        <v>1</v>
      </c>
      <c r="J38" s="9">
        <v>26</v>
      </c>
      <c r="K38" s="9">
        <v>17</v>
      </c>
      <c r="L38" s="11" t="s">
        <v>407</v>
      </c>
      <c r="M38" s="10" t="s">
        <v>408</v>
      </c>
      <c r="N38" s="10" t="s">
        <v>286</v>
      </c>
      <c r="O38" s="10" t="s">
        <v>409</v>
      </c>
      <c r="P38" s="10" t="s">
        <v>410</v>
      </c>
      <c r="Q38" s="10" t="s">
        <v>288</v>
      </c>
      <c r="R38" s="10" t="s">
        <v>42</v>
      </c>
      <c r="S38" s="11" t="s">
        <v>289</v>
      </c>
      <c r="T38" s="10" t="s">
        <v>44</v>
      </c>
      <c r="U38" s="11" t="s">
        <v>411</v>
      </c>
      <c r="V38" s="10" t="s">
        <v>412</v>
      </c>
      <c r="W38" s="13">
        <f>HYPERLINK("https://my.pitchbook.com?p=88655-77P","View People Online")</f>
      </c>
    </row>
    <row r="39">
      <c r="A39" s="14" t="s">
        <v>413</v>
      </c>
      <c r="B39" s="14" t="s">
        <v>414</v>
      </c>
      <c r="C39" s="12">
        <f>HYPERLINK("http://www.schf.com","www.schf.com")</f>
      </c>
      <c r="D39" s="14" t="s">
        <v>415</v>
      </c>
      <c r="E39" s="14" t="s">
        <v>416</v>
      </c>
      <c r="F39" s="14" t="s">
        <v>417</v>
      </c>
      <c r="G39" s="14" t="s">
        <v>418</v>
      </c>
      <c r="H39" s="14" t="s">
        <v>419</v>
      </c>
      <c r="I39" s="16">
        <v>1</v>
      </c>
      <c r="J39" s="16">
        <v>8</v>
      </c>
      <c r="K39" s="16" t="s">
        <v>33</v>
      </c>
      <c r="L39" s="15" t="s">
        <v>420</v>
      </c>
      <c r="M39" s="14" t="s">
        <v>421</v>
      </c>
      <c r="N39" s="14" t="s">
        <v>422</v>
      </c>
      <c r="O39" s="14" t="s">
        <v>423</v>
      </c>
      <c r="P39" s="14" t="s">
        <v>424</v>
      </c>
      <c r="Q39" s="14" t="s">
        <v>425</v>
      </c>
      <c r="R39" s="14" t="s">
        <v>42</v>
      </c>
      <c r="S39" s="15" t="s">
        <v>426</v>
      </c>
      <c r="T39" s="14" t="s">
        <v>44</v>
      </c>
      <c r="U39" s="15" t="s">
        <v>33</v>
      </c>
      <c r="V39" s="14" t="s">
        <v>427</v>
      </c>
      <c r="W39" s="12">
        <f>HYPERLINK("https://my.pitchbook.com?p=100593-10P","View People Online")</f>
      </c>
    </row>
    <row r="40">
      <c r="A40" s="10" t="s">
        <v>428</v>
      </c>
      <c r="B40" s="10" t="s">
        <v>429</v>
      </c>
      <c r="C40" s="13">
        <f>HYPERLINK("http://www.hvpe.com","www.hvpe.com")</f>
      </c>
      <c r="D40" s="10" t="s">
        <v>415</v>
      </c>
      <c r="E40" s="10" t="s">
        <v>430</v>
      </c>
      <c r="F40" s="10" t="s">
        <v>431</v>
      </c>
      <c r="G40" s="10" t="s">
        <v>64</v>
      </c>
      <c r="H40" s="10" t="s">
        <v>432</v>
      </c>
      <c r="I40" s="9">
        <v>1</v>
      </c>
      <c r="J40" s="9">
        <v>1</v>
      </c>
      <c r="K40" s="9" t="s">
        <v>33</v>
      </c>
      <c r="L40" s="11" t="s">
        <v>433</v>
      </c>
      <c r="M40" s="10" t="s">
        <v>33</v>
      </c>
      <c r="N40" s="10" t="s">
        <v>434</v>
      </c>
      <c r="O40" s="10" t="s">
        <v>435</v>
      </c>
      <c r="P40" s="10" t="s">
        <v>436</v>
      </c>
      <c r="Q40" s="10" t="s">
        <v>437</v>
      </c>
      <c r="R40" s="10" t="s">
        <v>438</v>
      </c>
      <c r="S40" s="11" t="s">
        <v>439</v>
      </c>
      <c r="T40" s="10" t="s">
        <v>276</v>
      </c>
      <c r="U40" s="11" t="s">
        <v>440</v>
      </c>
      <c r="V40" s="10" t="s">
        <v>441</v>
      </c>
      <c r="W40" s="13">
        <f>HYPERLINK("https://my.pitchbook.com?p=302088-43P","View People Online")</f>
      </c>
    </row>
    <row r="41">
      <c r="A41" s="14" t="s">
        <v>442</v>
      </c>
      <c r="B41" s="14" t="s">
        <v>443</v>
      </c>
      <c r="C41" s="12">
        <f>HYPERLINK("http://www.intrepidgp.com","www.intrepidgp.com")</f>
      </c>
      <c r="D41" s="14" t="s">
        <v>444</v>
      </c>
      <c r="E41" s="14" t="s">
        <v>445</v>
      </c>
      <c r="F41" s="14" t="s">
        <v>211</v>
      </c>
      <c r="G41" s="14" t="s">
        <v>446</v>
      </c>
      <c r="H41" s="14" t="s">
        <v>447</v>
      </c>
      <c r="I41" s="16">
        <v>2</v>
      </c>
      <c r="J41" s="16">
        <v>4</v>
      </c>
      <c r="K41" s="16">
        <v>1</v>
      </c>
      <c r="L41" s="15" t="s">
        <v>33</v>
      </c>
      <c r="M41" s="14" t="s">
        <v>448</v>
      </c>
      <c r="N41" s="14" t="s">
        <v>449</v>
      </c>
      <c r="O41" s="14" t="s">
        <v>33</v>
      </c>
      <c r="P41" s="14" t="s">
        <v>33</v>
      </c>
      <c r="Q41" s="14" t="s">
        <v>450</v>
      </c>
      <c r="R41" s="14" t="s">
        <v>451</v>
      </c>
      <c r="S41" s="15" t="s">
        <v>452</v>
      </c>
      <c r="T41" s="14" t="s">
        <v>453</v>
      </c>
      <c r="U41" s="15" t="s">
        <v>33</v>
      </c>
      <c r="V41" s="14" t="s">
        <v>454</v>
      </c>
      <c r="W41" s="12">
        <f>HYPERLINK("https://my.pitchbook.com?p=40224-34P","View People Online")</f>
      </c>
    </row>
    <row r="42">
      <c r="A42" s="10" t="s">
        <v>455</v>
      </c>
      <c r="B42" s="10" t="s">
        <v>456</v>
      </c>
      <c r="C42" s="13">
        <f>HYPERLINK("http://telescopepartners.com","telescopepartners.com")</f>
      </c>
      <c r="D42" s="10" t="s">
        <v>444</v>
      </c>
      <c r="E42" s="10" t="s">
        <v>457</v>
      </c>
      <c r="F42" s="10" t="s">
        <v>458</v>
      </c>
      <c r="G42" s="10" t="s">
        <v>459</v>
      </c>
      <c r="H42" s="10" t="s">
        <v>460</v>
      </c>
      <c r="I42" s="9">
        <v>5</v>
      </c>
      <c r="J42" s="9">
        <v>34</v>
      </c>
      <c r="K42" s="9">
        <v>19</v>
      </c>
      <c r="L42" s="11" t="s">
        <v>461</v>
      </c>
      <c r="M42" s="10" t="s">
        <v>462</v>
      </c>
      <c r="N42" s="10" t="s">
        <v>40</v>
      </c>
      <c r="O42" s="10" t="s">
        <v>463</v>
      </c>
      <c r="P42" s="10" t="s">
        <v>464</v>
      </c>
      <c r="Q42" s="10" t="s">
        <v>41</v>
      </c>
      <c r="R42" s="10" t="s">
        <v>42</v>
      </c>
      <c r="S42" s="11" t="s">
        <v>465</v>
      </c>
      <c r="T42" s="10" t="s">
        <v>44</v>
      </c>
      <c r="U42" s="11" t="s">
        <v>33</v>
      </c>
      <c r="V42" s="10" t="s">
        <v>466</v>
      </c>
      <c r="W42" s="13">
        <f>HYPERLINK("https://my.pitchbook.com?p=30349-63P","View People Online")</f>
      </c>
    </row>
    <row r="43">
      <c r="A43" s="14" t="s">
        <v>467</v>
      </c>
      <c r="B43" s="14" t="s">
        <v>468</v>
      </c>
      <c r="C43" s="12">
        <f t="shared" si="0" ref="C43:C44">HYPERLINK("http://www.westbridgecap.com","www.westbridgecap.com")</f>
      </c>
      <c r="D43" s="14" t="s">
        <v>444</v>
      </c>
      <c r="E43" s="14" t="s">
        <v>469</v>
      </c>
      <c r="F43" s="14" t="s">
        <v>470</v>
      </c>
      <c r="G43" s="14" t="s">
        <v>446</v>
      </c>
      <c r="H43" s="14" t="s">
        <v>471</v>
      </c>
      <c r="I43" s="16">
        <v>6</v>
      </c>
      <c r="J43" s="16">
        <v>50</v>
      </c>
      <c r="K43" s="16">
        <v>37</v>
      </c>
      <c r="L43" s="15" t="s">
        <v>472</v>
      </c>
      <c r="M43" s="14" t="s">
        <v>473</v>
      </c>
      <c r="N43" s="14" t="s">
        <v>133</v>
      </c>
      <c r="O43" s="14" t="s">
        <v>474</v>
      </c>
      <c r="P43" s="14" t="s">
        <v>475</v>
      </c>
      <c r="Q43" s="14" t="s">
        <v>136</v>
      </c>
      <c r="R43" s="14" t="s">
        <v>113</v>
      </c>
      <c r="S43" s="15" t="s">
        <v>476</v>
      </c>
      <c r="T43" s="14" t="s">
        <v>115</v>
      </c>
      <c r="U43" s="15" t="s">
        <v>477</v>
      </c>
      <c r="V43" s="14" t="s">
        <v>478</v>
      </c>
      <c r="W43" s="12">
        <f>HYPERLINK("https://my.pitchbook.com?p=14192-74P","View People Online")</f>
      </c>
    </row>
    <row r="44">
      <c r="A44" s="10" t="s">
        <v>479</v>
      </c>
      <c r="B44" s="10" t="s">
        <v>480</v>
      </c>
      <c r="C44" s="13">
        <f t="shared" si="0"/>
      </c>
      <c r="D44" s="10" t="s">
        <v>444</v>
      </c>
      <c r="E44" s="10" t="s">
        <v>481</v>
      </c>
      <c r="F44" s="10" t="s">
        <v>482</v>
      </c>
      <c r="G44" s="10" t="s">
        <v>446</v>
      </c>
      <c r="H44" s="10" t="s">
        <v>471</v>
      </c>
      <c r="I44" s="9">
        <v>14</v>
      </c>
      <c r="J44" s="9">
        <v>63</v>
      </c>
      <c r="K44" s="9">
        <v>43</v>
      </c>
      <c r="L44" s="11" t="s">
        <v>472</v>
      </c>
      <c r="M44" s="10" t="s">
        <v>483</v>
      </c>
      <c r="N44" s="10" t="s">
        <v>133</v>
      </c>
      <c r="O44" s="10" t="s">
        <v>474</v>
      </c>
      <c r="P44" s="10" t="s">
        <v>475</v>
      </c>
      <c r="Q44" s="10" t="s">
        <v>136</v>
      </c>
      <c r="R44" s="10" t="s">
        <v>113</v>
      </c>
      <c r="S44" s="11" t="s">
        <v>476</v>
      </c>
      <c r="T44" s="10" t="s">
        <v>115</v>
      </c>
      <c r="U44" s="11" t="s">
        <v>477</v>
      </c>
      <c r="V44" s="10" t="s">
        <v>484</v>
      </c>
      <c r="W44" s="13">
        <f>HYPERLINK("https://my.pitchbook.com?p=14192-38P","View People Online")</f>
      </c>
    </row>
    <row r="45">
      <c r="A45" s="14" t="s">
        <v>485</v>
      </c>
      <c r="B45" s="14" t="s">
        <v>486</v>
      </c>
      <c r="C45" s="12">
        <f>HYPERLINK("http://www.transformcap.com","www.transformcap.com")</f>
      </c>
      <c r="D45" s="14" t="s">
        <v>444</v>
      </c>
      <c r="E45" s="14" t="s">
        <v>487</v>
      </c>
      <c r="F45" s="14" t="s">
        <v>488</v>
      </c>
      <c r="G45" s="14" t="s">
        <v>489</v>
      </c>
      <c r="H45" s="14" t="s">
        <v>490</v>
      </c>
      <c r="I45" s="16">
        <v>5</v>
      </c>
      <c r="J45" s="16">
        <v>37</v>
      </c>
      <c r="K45" s="16">
        <v>22</v>
      </c>
      <c r="L45" s="15" t="s">
        <v>491</v>
      </c>
      <c r="M45" s="14" t="s">
        <v>492</v>
      </c>
      <c r="N45" s="14" t="s">
        <v>95</v>
      </c>
      <c r="O45" s="14" t="s">
        <v>493</v>
      </c>
      <c r="P45" s="14" t="s">
        <v>494</v>
      </c>
      <c r="Q45" s="14" t="s">
        <v>98</v>
      </c>
      <c r="R45" s="14" t="s">
        <v>83</v>
      </c>
      <c r="S45" s="15" t="s">
        <v>495</v>
      </c>
      <c r="T45" s="14" t="s">
        <v>44</v>
      </c>
      <c r="U45" s="15" t="s">
        <v>33</v>
      </c>
      <c r="V45" s="14" t="s">
        <v>496</v>
      </c>
      <c r="W45" s="12">
        <f>HYPERLINK("https://my.pitchbook.com?p=16441-12P","View People Online")</f>
      </c>
    </row>
    <row r="46">
      <c r="A46" s="10" t="s">
        <v>497</v>
      </c>
      <c r="B46" s="10" t="s">
        <v>498</v>
      </c>
      <c r="C46" s="13">
        <f>HYPERLINK("http://www.breakthroughenergy.org","www.breakthroughenergy.org")</f>
      </c>
      <c r="D46" s="10" t="s">
        <v>499</v>
      </c>
      <c r="E46" s="10" t="s">
        <v>500</v>
      </c>
      <c r="F46" s="10" t="s">
        <v>144</v>
      </c>
      <c r="G46" s="10" t="s">
        <v>501</v>
      </c>
      <c r="H46" s="10" t="s">
        <v>502</v>
      </c>
      <c r="I46" s="9">
        <v>7</v>
      </c>
      <c r="J46" s="9">
        <v>18</v>
      </c>
      <c r="K46" s="9">
        <v>8</v>
      </c>
      <c r="L46" s="11" t="s">
        <v>503</v>
      </c>
      <c r="M46" s="10" t="s">
        <v>33</v>
      </c>
      <c r="N46" s="10" t="s">
        <v>504</v>
      </c>
      <c r="O46" s="10" t="s">
        <v>505</v>
      </c>
      <c r="P46" s="10" t="s">
        <v>33</v>
      </c>
      <c r="Q46" s="10" t="s">
        <v>506</v>
      </c>
      <c r="R46" s="10" t="s">
        <v>70</v>
      </c>
      <c r="S46" s="11" t="s">
        <v>507</v>
      </c>
      <c r="T46" s="10" t="s">
        <v>44</v>
      </c>
      <c r="U46" s="11" t="s">
        <v>33</v>
      </c>
      <c r="V46" s="10" t="s">
        <v>508</v>
      </c>
      <c r="W46" s="13">
        <f>HYPERLINK("https://my.pitchbook.com?p=196578-10P","View People Online")</f>
      </c>
    </row>
    <row r="47">
      <c r="A47" s="14" t="s">
        <v>509</v>
      </c>
      <c r="B47" s="14" t="s">
        <v>510</v>
      </c>
      <c r="C47" s="12">
        <f>HYPERLINK("http://www.ruanecunniff.com","www.ruanecunniff.com")</f>
      </c>
      <c r="D47" s="14" t="s">
        <v>511</v>
      </c>
      <c r="E47" s="14" t="s">
        <v>512</v>
      </c>
      <c r="F47" s="14" t="s">
        <v>513</v>
      </c>
      <c r="G47" s="14" t="s">
        <v>514</v>
      </c>
      <c r="H47" s="14" t="s">
        <v>515</v>
      </c>
      <c r="I47" s="16">
        <v>1</v>
      </c>
      <c r="J47" s="16">
        <v>1</v>
      </c>
      <c r="K47" s="16" t="s">
        <v>33</v>
      </c>
      <c r="L47" s="15" t="s">
        <v>516</v>
      </c>
      <c r="M47" s="14" t="s">
        <v>517</v>
      </c>
      <c r="N47" s="14" t="s">
        <v>518</v>
      </c>
      <c r="O47" s="14" t="s">
        <v>519</v>
      </c>
      <c r="P47" s="14" t="s">
        <v>520</v>
      </c>
      <c r="Q47" s="14" t="s">
        <v>521</v>
      </c>
      <c r="R47" s="14" t="s">
        <v>521</v>
      </c>
      <c r="S47" s="15" t="s">
        <v>522</v>
      </c>
      <c r="T47" s="14" t="s">
        <v>44</v>
      </c>
      <c r="U47" s="15" t="s">
        <v>523</v>
      </c>
      <c r="V47" s="14" t="s">
        <v>524</v>
      </c>
      <c r="W47" s="12">
        <f>HYPERLINK("https://my.pitchbook.com?p=394035-58P","View People Online")</f>
      </c>
    </row>
    <row r="48">
      <c r="A48" s="10" t="s">
        <v>525</v>
      </c>
      <c r="B48" s="10" t="s">
        <v>526</v>
      </c>
      <c r="C48" s="13">
        <f>HYPERLINK("http://www.hermcap.com","www.hermcap.com")</f>
      </c>
      <c r="D48" s="10" t="s">
        <v>527</v>
      </c>
      <c r="E48" s="10" t="s">
        <v>528</v>
      </c>
      <c r="F48" s="10" t="s">
        <v>377</v>
      </c>
      <c r="G48" s="10" t="s">
        <v>529</v>
      </c>
      <c r="H48" s="10" t="s">
        <v>530</v>
      </c>
      <c r="I48" s="9">
        <v>2</v>
      </c>
      <c r="J48" s="9">
        <v>3</v>
      </c>
      <c r="K48" s="9" t="s">
        <v>33</v>
      </c>
      <c r="L48" s="11" t="s">
        <v>531</v>
      </c>
      <c r="M48" s="10" t="s">
        <v>532</v>
      </c>
      <c r="N48" s="10" t="s">
        <v>533</v>
      </c>
      <c r="O48" s="10" t="s">
        <v>534</v>
      </c>
      <c r="P48" s="10" t="s">
        <v>535</v>
      </c>
      <c r="Q48" s="10" t="s">
        <v>536</v>
      </c>
      <c r="R48" s="10" t="s">
        <v>537</v>
      </c>
      <c r="S48" s="11" t="s">
        <v>538</v>
      </c>
      <c r="T48" s="10" t="s">
        <v>44</v>
      </c>
      <c r="U48" s="11" t="s">
        <v>33</v>
      </c>
      <c r="V48" s="10" t="s">
        <v>539</v>
      </c>
      <c r="W48" s="13">
        <f>HYPERLINK("https://my.pitchbook.com?p=326973-97P","View People Online")</f>
      </c>
    </row>
    <row r="49">
      <c r="A49" s="14" t="s">
        <v>540</v>
      </c>
      <c r="B49" s="14" t="s">
        <v>541</v>
      </c>
      <c r="C49" s="12">
        <f>HYPERLINK("http://www.nwqventures.com","www.nwqventures.com")</f>
      </c>
      <c r="D49" s="14" t="s">
        <v>527</v>
      </c>
      <c r="E49" s="14" t="s">
        <v>542</v>
      </c>
      <c r="F49" s="14" t="s">
        <v>543</v>
      </c>
      <c r="G49" s="14" t="s">
        <v>544</v>
      </c>
      <c r="H49" s="14" t="s">
        <v>545</v>
      </c>
      <c r="I49" s="16">
        <v>1</v>
      </c>
      <c r="J49" s="16">
        <v>6</v>
      </c>
      <c r="K49" s="16">
        <v>3</v>
      </c>
      <c r="L49" s="15" t="s">
        <v>33</v>
      </c>
      <c r="M49" s="14" t="s">
        <v>33</v>
      </c>
      <c r="N49" s="14" t="s">
        <v>546</v>
      </c>
      <c r="O49" s="14" t="s">
        <v>547</v>
      </c>
      <c r="P49" s="14" t="s">
        <v>33</v>
      </c>
      <c r="Q49" s="14" t="s">
        <v>548</v>
      </c>
      <c r="R49" s="14" t="s">
        <v>549</v>
      </c>
      <c r="S49" s="15" t="s">
        <v>550</v>
      </c>
      <c r="T49" s="14" t="s">
        <v>44</v>
      </c>
      <c r="U49" s="15" t="s">
        <v>33</v>
      </c>
      <c r="V49" s="14" t="s">
        <v>551</v>
      </c>
      <c r="W49" s="12">
        <f>HYPERLINK("https://my.pitchbook.com?p=322021-54P","View People Online")</f>
      </c>
    </row>
    <row r="50">
      <c r="A50" s="10" t="s">
        <v>552</v>
      </c>
      <c r="B50" s="10" t="s">
        <v>553</v>
      </c>
      <c r="C50" s="13">
        <f>HYPERLINK("http://www.kginvest.net","www.kginvest.net")</f>
      </c>
      <c r="D50" s="10" t="s">
        <v>527</v>
      </c>
      <c r="E50" s="10" t="s">
        <v>554</v>
      </c>
      <c r="F50" s="10" t="s">
        <v>555</v>
      </c>
      <c r="G50" s="10" t="s">
        <v>268</v>
      </c>
      <c r="H50" s="10" t="s">
        <v>556</v>
      </c>
      <c r="I50" s="9">
        <v>1</v>
      </c>
      <c r="J50" s="9">
        <v>4</v>
      </c>
      <c r="K50" s="9">
        <v>1</v>
      </c>
      <c r="L50" s="11" t="s">
        <v>557</v>
      </c>
      <c r="M50" s="10" t="s">
        <v>558</v>
      </c>
      <c r="N50" s="10" t="s">
        <v>559</v>
      </c>
      <c r="O50" s="10" t="s">
        <v>560</v>
      </c>
      <c r="P50" s="10" t="s">
        <v>561</v>
      </c>
      <c r="Q50" s="10" t="s">
        <v>562</v>
      </c>
      <c r="R50" s="10" t="s">
        <v>563</v>
      </c>
      <c r="S50" s="11" t="s">
        <v>564</v>
      </c>
      <c r="T50" s="10" t="s">
        <v>44</v>
      </c>
      <c r="U50" s="11" t="s">
        <v>33</v>
      </c>
      <c r="V50" s="10" t="s">
        <v>565</v>
      </c>
      <c r="W50" s="13">
        <f>HYPERLINK("https://my.pitchbook.com?p=146944-36P","View People Online")</f>
      </c>
    </row>
    <row r="51">
      <c r="A51" s="14" t="s">
        <v>566</v>
      </c>
      <c r="B51" s="14" t="s">
        <v>567</v>
      </c>
      <c r="C51" s="12">
        <f>HYPERLINK("http://www.kpbfamilytrust.com","www.kpbfamilytrust.com")</f>
      </c>
      <c r="D51" s="14" t="s">
        <v>527</v>
      </c>
      <c r="E51" s="14" t="s">
        <v>568</v>
      </c>
      <c r="F51" s="14" t="s">
        <v>569</v>
      </c>
      <c r="G51" s="14" t="s">
        <v>459</v>
      </c>
      <c r="H51" s="14" t="s">
        <v>570</v>
      </c>
      <c r="I51" s="16">
        <v>1</v>
      </c>
      <c r="J51" s="16">
        <v>20</v>
      </c>
      <c r="K51" s="16">
        <v>13</v>
      </c>
      <c r="L51" s="15" t="s">
        <v>33</v>
      </c>
      <c r="M51" s="14" t="s">
        <v>571</v>
      </c>
      <c r="N51" s="14" t="s">
        <v>133</v>
      </c>
      <c r="O51" s="14" t="s">
        <v>572</v>
      </c>
      <c r="P51" s="14" t="s">
        <v>573</v>
      </c>
      <c r="Q51" s="14" t="s">
        <v>136</v>
      </c>
      <c r="R51" s="14" t="s">
        <v>33</v>
      </c>
      <c r="S51" s="15" t="s">
        <v>574</v>
      </c>
      <c r="T51" s="14" t="s">
        <v>115</v>
      </c>
      <c r="U51" s="15" t="s">
        <v>33</v>
      </c>
      <c r="V51" s="14" t="s">
        <v>575</v>
      </c>
      <c r="W51" s="12">
        <f>HYPERLINK("https://my.pitchbook.com?p=92319-13P","View People Online")</f>
      </c>
    </row>
    <row r="52">
      <c r="A52" s="10" t="s">
        <v>576</v>
      </c>
      <c r="B52" s="10" t="s">
        <v>577</v>
      </c>
      <c r="C52" s="13">
        <f>HYPERLINK("http://www.scubedcap.com","www.scubedcap.com")</f>
      </c>
      <c r="D52" s="10" t="s">
        <v>527</v>
      </c>
      <c r="E52" s="10" t="s">
        <v>578</v>
      </c>
      <c r="F52" s="10" t="s">
        <v>211</v>
      </c>
      <c r="G52" s="10" t="s">
        <v>579</v>
      </c>
      <c r="H52" s="10" t="s">
        <v>580</v>
      </c>
      <c r="I52" s="9">
        <v>2</v>
      </c>
      <c r="J52" s="9">
        <v>54</v>
      </c>
      <c r="K52" s="9">
        <v>39</v>
      </c>
      <c r="L52" s="11" t="s">
        <v>581</v>
      </c>
      <c r="M52" s="10" t="s">
        <v>582</v>
      </c>
      <c r="N52" s="10" t="s">
        <v>422</v>
      </c>
      <c r="O52" s="10" t="s">
        <v>583</v>
      </c>
      <c r="P52" s="10" t="s">
        <v>584</v>
      </c>
      <c r="Q52" s="10" t="s">
        <v>425</v>
      </c>
      <c r="R52" s="10" t="s">
        <v>42</v>
      </c>
      <c r="S52" s="11" t="s">
        <v>426</v>
      </c>
      <c r="T52" s="10" t="s">
        <v>44</v>
      </c>
      <c r="U52" s="11" t="s">
        <v>33</v>
      </c>
      <c r="V52" s="10" t="s">
        <v>585</v>
      </c>
      <c r="W52" s="13">
        <f>HYPERLINK("https://my.pitchbook.com?p=13957-39P","View People Online")</f>
      </c>
    </row>
    <row r="53">
      <c r="A53" s="14" t="s">
        <v>586</v>
      </c>
      <c r="B53" s="14" t="s">
        <v>587</v>
      </c>
      <c r="C53" s="12">
        <f>HYPERLINK("http://www.hermcap.com","www.hermcap.com")</f>
      </c>
      <c r="D53" s="14" t="s">
        <v>527</v>
      </c>
      <c r="E53" s="14" t="s">
        <v>588</v>
      </c>
      <c r="F53" s="14" t="s">
        <v>589</v>
      </c>
      <c r="G53" s="14" t="s">
        <v>529</v>
      </c>
      <c r="H53" s="14" t="s">
        <v>590</v>
      </c>
      <c r="I53" s="16">
        <v>3</v>
      </c>
      <c r="J53" s="16">
        <v>13</v>
      </c>
      <c r="K53" s="16">
        <v>9</v>
      </c>
      <c r="L53" s="15" t="s">
        <v>591</v>
      </c>
      <c r="M53" s="14" t="s">
        <v>592</v>
      </c>
      <c r="N53" s="14" t="s">
        <v>533</v>
      </c>
      <c r="O53" s="14" t="s">
        <v>593</v>
      </c>
      <c r="P53" s="14" t="s">
        <v>33</v>
      </c>
      <c r="Q53" s="14" t="s">
        <v>536</v>
      </c>
      <c r="R53" s="14" t="s">
        <v>537</v>
      </c>
      <c r="S53" s="15" t="s">
        <v>594</v>
      </c>
      <c r="T53" s="14" t="s">
        <v>44</v>
      </c>
      <c r="U53" s="15" t="s">
        <v>33</v>
      </c>
      <c r="V53" s="14" t="s">
        <v>595</v>
      </c>
      <c r="W53" s="12">
        <f>HYPERLINK("https://my.pitchbook.com?p=226303-93P","View People Online")</f>
      </c>
    </row>
    <row r="54">
      <c r="A54" s="10" t="s">
        <v>596</v>
      </c>
      <c r="B54" s="10" t="s">
        <v>597</v>
      </c>
      <c r="C54" s="13">
        <f>HYPERLINK("http://www.asa-international.com","www.asa-international.com")</f>
      </c>
      <c r="D54" s="10" t="s">
        <v>598</v>
      </c>
      <c r="E54" s="10" t="s">
        <v>599</v>
      </c>
      <c r="F54" s="10" t="s">
        <v>600</v>
      </c>
      <c r="G54" s="10" t="s">
        <v>601</v>
      </c>
      <c r="H54" s="10" t="s">
        <v>602</v>
      </c>
      <c r="I54" s="9">
        <v>1</v>
      </c>
      <c r="J54" s="9">
        <v>1</v>
      </c>
      <c r="K54" s="9" t="s">
        <v>33</v>
      </c>
      <c r="L54" s="11" t="s">
        <v>603</v>
      </c>
      <c r="M54" s="10" t="s">
        <v>33</v>
      </c>
      <c r="N54" s="10" t="s">
        <v>247</v>
      </c>
      <c r="O54" s="10" t="s">
        <v>604</v>
      </c>
      <c r="P54" s="10" t="s">
        <v>605</v>
      </c>
      <c r="Q54" s="10" t="s">
        <v>248</v>
      </c>
      <c r="R54" s="10" t="s">
        <v>33</v>
      </c>
      <c r="S54" s="11" t="s">
        <v>33</v>
      </c>
      <c r="T54" s="10" t="s">
        <v>249</v>
      </c>
      <c r="U54" s="11" t="s">
        <v>33</v>
      </c>
      <c r="V54" s="10" t="s">
        <v>606</v>
      </c>
      <c r="W54" s="13">
        <f>HYPERLINK("https://my.pitchbook.com?p=125060-14P","View People Online")</f>
      </c>
    </row>
    <row r="55">
      <c r="A55" s="14" t="s">
        <v>607</v>
      </c>
      <c r="B55" s="14" t="s">
        <v>608</v>
      </c>
      <c r="C55" s="12">
        <f>HYPERLINK("http://www.agwestfc.com","www.agwestfc.com")</f>
      </c>
      <c r="D55" s="14" t="s">
        <v>598</v>
      </c>
      <c r="E55" s="14" t="s">
        <v>609</v>
      </c>
      <c r="F55" s="14" t="s">
        <v>610</v>
      </c>
      <c r="G55" s="14" t="s">
        <v>64</v>
      </c>
      <c r="H55" s="14" t="s">
        <v>611</v>
      </c>
      <c r="I55" s="16">
        <v>1</v>
      </c>
      <c r="J55" s="16">
        <v>1</v>
      </c>
      <c r="K55" s="16" t="s">
        <v>33</v>
      </c>
      <c r="L55" s="15" t="s">
        <v>612</v>
      </c>
      <c r="M55" s="14" t="s">
        <v>33</v>
      </c>
      <c r="N55" s="14" t="s">
        <v>613</v>
      </c>
      <c r="O55" s="14" t="s">
        <v>614</v>
      </c>
      <c r="P55" s="14" t="s">
        <v>615</v>
      </c>
      <c r="Q55" s="14" t="s">
        <v>616</v>
      </c>
      <c r="R55" s="14" t="s">
        <v>70</v>
      </c>
      <c r="S55" s="15" t="s">
        <v>617</v>
      </c>
      <c r="T55" s="14" t="s">
        <v>44</v>
      </c>
      <c r="U55" s="15" t="s">
        <v>618</v>
      </c>
      <c r="V55" s="14" t="s">
        <v>619</v>
      </c>
      <c r="W55" s="12">
        <f>HYPERLINK("https://my.pitchbook.com?p=379364-32P","View People Online")</f>
      </c>
    </row>
    <row r="56">
      <c r="A56" s="10" t="s">
        <v>620</v>
      </c>
      <c r="B56" s="10" t="s">
        <v>621</v>
      </c>
      <c r="C56" s="13">
        <f>HYPERLINK("http://www.global-catalyst.org","www.global-catalyst.org")</f>
      </c>
      <c r="D56" s="10" t="s">
        <v>622</v>
      </c>
      <c r="E56" s="10" t="s">
        <v>623</v>
      </c>
      <c r="F56" s="10" t="s">
        <v>624</v>
      </c>
      <c r="G56" s="10" t="s">
        <v>64</v>
      </c>
      <c r="H56" s="10" t="s">
        <v>625</v>
      </c>
      <c r="I56" s="9">
        <v>1</v>
      </c>
      <c r="J56" s="9">
        <v>15</v>
      </c>
      <c r="K56" s="9">
        <v>12</v>
      </c>
      <c r="L56" s="11" t="s">
        <v>626</v>
      </c>
      <c r="M56" s="10" t="s">
        <v>627</v>
      </c>
      <c r="N56" s="10" t="s">
        <v>259</v>
      </c>
      <c r="O56" s="10" t="s">
        <v>628</v>
      </c>
      <c r="P56" s="10" t="s">
        <v>33</v>
      </c>
      <c r="Q56" s="10" t="s">
        <v>261</v>
      </c>
      <c r="R56" s="10" t="s">
        <v>42</v>
      </c>
      <c r="S56" s="11" t="s">
        <v>629</v>
      </c>
      <c r="T56" s="10" t="s">
        <v>44</v>
      </c>
      <c r="U56" s="11" t="s">
        <v>33</v>
      </c>
      <c r="V56" s="10" t="s">
        <v>630</v>
      </c>
      <c r="W56" s="13">
        <f>HYPERLINK("https://my.pitchbook.com?p=13344-31P","View People Online")</f>
      </c>
    </row>
    <row r="57">
      <c r="A57" s="14" t="s">
        <v>631</v>
      </c>
      <c r="B57" s="14" t="s">
        <v>632</v>
      </c>
      <c r="C57" s="12">
        <f>HYPERLINK("http://www.theinterlinkgroup.com","www.theinterlinkgroup.com")</f>
      </c>
      <c r="D57" s="14" t="s">
        <v>633</v>
      </c>
      <c r="E57" s="14" t="s">
        <v>634</v>
      </c>
      <c r="F57" s="14" t="s">
        <v>635</v>
      </c>
      <c r="G57" s="14" t="s">
        <v>636</v>
      </c>
      <c r="H57" s="14" t="s">
        <v>637</v>
      </c>
      <c r="I57" s="16">
        <v>1</v>
      </c>
      <c r="J57" s="16">
        <v>1</v>
      </c>
      <c r="K57" s="16" t="s">
        <v>33</v>
      </c>
      <c r="L57" s="15" t="s">
        <v>638</v>
      </c>
      <c r="M57" s="14" t="s">
        <v>33</v>
      </c>
      <c r="N57" s="14" t="s">
        <v>639</v>
      </c>
      <c r="O57" s="14" t="s">
        <v>640</v>
      </c>
      <c r="P57" s="14" t="s">
        <v>641</v>
      </c>
      <c r="Q57" s="14" t="s">
        <v>642</v>
      </c>
      <c r="R57" s="14" t="s">
        <v>42</v>
      </c>
      <c r="S57" s="15" t="s">
        <v>643</v>
      </c>
      <c r="T57" s="14" t="s">
        <v>44</v>
      </c>
      <c r="U57" s="15" t="s">
        <v>644</v>
      </c>
      <c r="V57" s="14" t="s">
        <v>645</v>
      </c>
      <c r="W57" s="12">
        <f>HYPERLINK("https://my.pitchbook.com?p=49140-64P","View People Online")</f>
      </c>
    </row>
    <row r="58">
      <c r="A58" s="10" t="s">
        <v>646</v>
      </c>
      <c r="B58" s="10" t="s">
        <v>647</v>
      </c>
      <c r="C58" s="13">
        <f>HYPERLINK("http://www.sequoia.com","www.sequoia.com")</f>
      </c>
      <c r="D58" s="10" t="s">
        <v>648</v>
      </c>
      <c r="E58" s="10" t="s">
        <v>649</v>
      </c>
      <c r="F58" s="10" t="s">
        <v>650</v>
      </c>
      <c r="G58" s="10" t="s">
        <v>651</v>
      </c>
      <c r="H58" s="10" t="s">
        <v>652</v>
      </c>
      <c r="I58" s="9">
        <v>1</v>
      </c>
      <c r="J58" s="9">
        <v>3</v>
      </c>
      <c r="K58" s="9" t="s">
        <v>33</v>
      </c>
      <c r="L58" s="11" t="s">
        <v>653</v>
      </c>
      <c r="M58" s="10" t="s">
        <v>654</v>
      </c>
      <c r="N58" s="10" t="s">
        <v>655</v>
      </c>
      <c r="O58" s="10" t="s">
        <v>656</v>
      </c>
      <c r="P58" s="10" t="s">
        <v>657</v>
      </c>
      <c r="Q58" s="10" t="s">
        <v>658</v>
      </c>
      <c r="R58" s="10" t="s">
        <v>42</v>
      </c>
      <c r="S58" s="11" t="s">
        <v>659</v>
      </c>
      <c r="T58" s="10" t="s">
        <v>44</v>
      </c>
      <c r="U58" s="11" t="s">
        <v>33</v>
      </c>
      <c r="V58" s="10" t="s">
        <v>660</v>
      </c>
      <c r="W58" s="13">
        <f>HYPERLINK("https://my.pitchbook.com?p=234924-22P","View People Online")</f>
      </c>
    </row>
    <row r="59">
      <c r="A59" s="14" t="s">
        <v>661</v>
      </c>
      <c r="B59" s="14" t="s">
        <v>662</v>
      </c>
      <c r="C59" s="12">
        <f>HYPERLINK("http://www.eternaequity.com","www.eternaequity.com")</f>
      </c>
      <c r="D59" s="14" t="s">
        <v>663</v>
      </c>
      <c r="E59" s="14" t="s">
        <v>664</v>
      </c>
      <c r="F59" s="14" t="s">
        <v>665</v>
      </c>
      <c r="G59" s="14" t="s">
        <v>666</v>
      </c>
      <c r="H59" s="14" t="s">
        <v>667</v>
      </c>
      <c r="I59" s="16">
        <v>1</v>
      </c>
      <c r="J59" s="16">
        <v>1</v>
      </c>
      <c r="K59" s="16" t="s">
        <v>33</v>
      </c>
      <c r="L59" s="15" t="s">
        <v>668</v>
      </c>
      <c r="M59" s="14" t="s">
        <v>669</v>
      </c>
      <c r="N59" s="14" t="s">
        <v>670</v>
      </c>
      <c r="O59" s="14" t="s">
        <v>671</v>
      </c>
      <c r="P59" s="14" t="s">
        <v>33</v>
      </c>
      <c r="Q59" s="14" t="s">
        <v>672</v>
      </c>
      <c r="R59" s="14" t="s">
        <v>673</v>
      </c>
      <c r="S59" s="15" t="s">
        <v>674</v>
      </c>
      <c r="T59" s="14" t="s">
        <v>453</v>
      </c>
      <c r="U59" s="15" t="s">
        <v>33</v>
      </c>
      <c r="V59" s="14" t="s">
        <v>675</v>
      </c>
      <c r="W59" s="12">
        <f>HYPERLINK("https://my.pitchbook.com?p=149836-42P","View People Online")</f>
      </c>
    </row>
    <row r="60">
      <c r="A60" s="10" t="s">
        <v>676</v>
      </c>
      <c r="B60" s="10" t="s">
        <v>677</v>
      </c>
      <c r="C60" s="13">
        <f>HYPERLINK("http://www.equitane.com","www.equitane.com")</f>
      </c>
      <c r="D60" s="10" t="s">
        <v>663</v>
      </c>
      <c r="E60" s="10" t="s">
        <v>678</v>
      </c>
      <c r="F60" s="10" t="s">
        <v>679</v>
      </c>
      <c r="G60" s="10" t="s">
        <v>680</v>
      </c>
      <c r="H60" s="10" t="s">
        <v>681</v>
      </c>
      <c r="I60" s="9">
        <v>1</v>
      </c>
      <c r="J60" s="9">
        <v>4</v>
      </c>
      <c r="K60" s="9">
        <v>2</v>
      </c>
      <c r="L60" s="11" t="s">
        <v>33</v>
      </c>
      <c r="M60" s="10" t="s">
        <v>682</v>
      </c>
      <c r="N60" s="10" t="s">
        <v>683</v>
      </c>
      <c r="O60" s="10" t="s">
        <v>684</v>
      </c>
      <c r="P60" s="10" t="s">
        <v>685</v>
      </c>
      <c r="Q60" s="10" t="s">
        <v>686</v>
      </c>
      <c r="R60" s="10" t="s">
        <v>33</v>
      </c>
      <c r="S60" s="11" t="s">
        <v>687</v>
      </c>
      <c r="T60" s="10" t="s">
        <v>115</v>
      </c>
      <c r="U60" s="11" t="s">
        <v>33</v>
      </c>
      <c r="V60" s="10" t="s">
        <v>688</v>
      </c>
      <c r="W60" s="13">
        <f>HYPERLINK("https://my.pitchbook.com?p=415455-04P","View People Online")</f>
      </c>
    </row>
    <row r="61">
      <c r="A61" s="14" t="s">
        <v>689</v>
      </c>
      <c r="B61" s="14" t="s">
        <v>690</v>
      </c>
      <c r="C61" s="12">
        <f>HYPERLINK("http://www.lcatterton.com","www.lcatterton.com")</f>
      </c>
      <c r="D61" s="14" t="s">
        <v>663</v>
      </c>
      <c r="E61" s="14" t="s">
        <v>691</v>
      </c>
      <c r="F61" s="14" t="s">
        <v>692</v>
      </c>
      <c r="G61" s="14" t="s">
        <v>268</v>
      </c>
      <c r="H61" s="14" t="s">
        <v>693</v>
      </c>
      <c r="I61" s="16">
        <v>3</v>
      </c>
      <c r="J61" s="16">
        <v>13</v>
      </c>
      <c r="K61" s="16">
        <v>6</v>
      </c>
      <c r="L61" s="15" t="s">
        <v>694</v>
      </c>
      <c r="M61" s="14" t="s">
        <v>695</v>
      </c>
      <c r="N61" s="14" t="s">
        <v>696</v>
      </c>
      <c r="O61" s="14" t="s">
        <v>697</v>
      </c>
      <c r="P61" s="14" t="s">
        <v>698</v>
      </c>
      <c r="Q61" s="14" t="s">
        <v>699</v>
      </c>
      <c r="R61" s="14" t="s">
        <v>700</v>
      </c>
      <c r="S61" s="15" t="s">
        <v>701</v>
      </c>
      <c r="T61" s="14" t="s">
        <v>44</v>
      </c>
      <c r="U61" s="15" t="s">
        <v>702</v>
      </c>
      <c r="V61" s="14" t="s">
        <v>703</v>
      </c>
      <c r="W61" s="12">
        <f>HYPERLINK("https://my.pitchbook.com?p=264452-59P","View People Online")</f>
      </c>
    </row>
    <row r="62">
      <c r="A62" s="10" t="s">
        <v>704</v>
      </c>
      <c r="B62" s="10" t="s">
        <v>705</v>
      </c>
      <c r="C62" s="13">
        <f>HYPERLINK("http://www.chartnational.com","www.chartnational.com")</f>
      </c>
      <c r="D62" s="10" t="s">
        <v>663</v>
      </c>
      <c r="E62" s="10" t="s">
        <v>706</v>
      </c>
      <c r="F62" s="10" t="s">
        <v>144</v>
      </c>
      <c r="G62" s="10" t="s">
        <v>707</v>
      </c>
      <c r="H62" s="10" t="s">
        <v>708</v>
      </c>
      <c r="I62" s="9">
        <v>1</v>
      </c>
      <c r="J62" s="9">
        <v>7</v>
      </c>
      <c r="K62" s="9">
        <v>1</v>
      </c>
      <c r="L62" s="11" t="s">
        <v>709</v>
      </c>
      <c r="M62" s="10" t="s">
        <v>710</v>
      </c>
      <c r="N62" s="10" t="s">
        <v>518</v>
      </c>
      <c r="O62" s="10" t="s">
        <v>519</v>
      </c>
      <c r="P62" s="10" t="s">
        <v>711</v>
      </c>
      <c r="Q62" s="10" t="s">
        <v>521</v>
      </c>
      <c r="R62" s="10" t="s">
        <v>521</v>
      </c>
      <c r="S62" s="11" t="s">
        <v>522</v>
      </c>
      <c r="T62" s="10" t="s">
        <v>44</v>
      </c>
      <c r="U62" s="11" t="s">
        <v>33</v>
      </c>
      <c r="V62" s="10" t="s">
        <v>712</v>
      </c>
      <c r="W62" s="13">
        <f>HYPERLINK("https://my.pitchbook.com?p=13051-36P","View People Online")</f>
      </c>
    </row>
    <row r="63">
      <c r="A63" s="14" t="s">
        <v>713</v>
      </c>
      <c r="B63" s="14" t="s">
        <v>714</v>
      </c>
      <c r="C63" s="12">
        <f>HYPERLINK("http://www.riversidepartners.com","www.riversidepartners.com")</f>
      </c>
      <c r="D63" s="14" t="s">
        <v>663</v>
      </c>
      <c r="E63" s="14" t="s">
        <v>715</v>
      </c>
      <c r="F63" s="14" t="s">
        <v>49</v>
      </c>
      <c r="G63" s="14" t="s">
        <v>716</v>
      </c>
      <c r="H63" s="14" t="s">
        <v>717</v>
      </c>
      <c r="I63" s="16">
        <v>2</v>
      </c>
      <c r="J63" s="16">
        <v>9</v>
      </c>
      <c r="K63" s="16">
        <v>5</v>
      </c>
      <c r="L63" s="15" t="s">
        <v>718</v>
      </c>
      <c r="M63" s="14" t="s">
        <v>719</v>
      </c>
      <c r="N63" s="14" t="s">
        <v>95</v>
      </c>
      <c r="O63" s="14" t="s">
        <v>493</v>
      </c>
      <c r="P63" s="14" t="s">
        <v>97</v>
      </c>
      <c r="Q63" s="14" t="s">
        <v>98</v>
      </c>
      <c r="R63" s="14" t="s">
        <v>83</v>
      </c>
      <c r="S63" s="15" t="s">
        <v>495</v>
      </c>
      <c r="T63" s="14" t="s">
        <v>44</v>
      </c>
      <c r="U63" s="15" t="s">
        <v>720</v>
      </c>
      <c r="V63" s="14" t="s">
        <v>721</v>
      </c>
      <c r="W63" s="12">
        <f>HYPERLINK("https://my.pitchbook.com?p=15440-68P","View People Online")</f>
      </c>
    </row>
    <row r="64">
      <c r="A64" s="10" t="s">
        <v>722</v>
      </c>
      <c r="B64" s="10" t="s">
        <v>723</v>
      </c>
      <c r="C64" s="13">
        <f>HYPERLINK("http://www.virgocapital.com","www.virgocapital.com")</f>
      </c>
      <c r="D64" s="10" t="s">
        <v>663</v>
      </c>
      <c r="E64" s="10" t="s">
        <v>724</v>
      </c>
      <c r="F64" s="10" t="s">
        <v>725</v>
      </c>
      <c r="G64" s="10" t="s">
        <v>726</v>
      </c>
      <c r="H64" s="10" t="s">
        <v>727</v>
      </c>
      <c r="I64" s="9">
        <v>1</v>
      </c>
      <c r="J64" s="9">
        <v>10</v>
      </c>
      <c r="K64" s="9">
        <v>5</v>
      </c>
      <c r="L64" s="11" t="s">
        <v>728</v>
      </c>
      <c r="M64" s="10" t="s">
        <v>729</v>
      </c>
      <c r="N64" s="10" t="s">
        <v>730</v>
      </c>
      <c r="O64" s="10" t="s">
        <v>731</v>
      </c>
      <c r="P64" s="10" t="s">
        <v>732</v>
      </c>
      <c r="Q64" s="10" t="s">
        <v>733</v>
      </c>
      <c r="R64" s="10" t="s">
        <v>734</v>
      </c>
      <c r="S64" s="11" t="s">
        <v>735</v>
      </c>
      <c r="T64" s="10" t="s">
        <v>44</v>
      </c>
      <c r="U64" s="11" t="s">
        <v>33</v>
      </c>
      <c r="V64" s="10" t="s">
        <v>736</v>
      </c>
      <c r="W64" s="13">
        <f>HYPERLINK("https://my.pitchbook.com?p=14155-21P","View People Online")</f>
      </c>
    </row>
    <row r="65">
      <c r="A65" s="14" t="s">
        <v>737</v>
      </c>
      <c r="B65" s="14" t="s">
        <v>738</v>
      </c>
      <c r="C65" s="12">
        <f>HYPERLINK("http://www.coatue.com","www.coatue.com")</f>
      </c>
      <c r="D65" s="14" t="s">
        <v>663</v>
      </c>
      <c r="E65" s="14" t="s">
        <v>739</v>
      </c>
      <c r="F65" s="14" t="s">
        <v>281</v>
      </c>
      <c r="G65" s="14" t="s">
        <v>716</v>
      </c>
      <c r="H65" s="14" t="s">
        <v>740</v>
      </c>
      <c r="I65" s="16">
        <v>1</v>
      </c>
      <c r="J65" s="16">
        <v>28</v>
      </c>
      <c r="K65" s="16">
        <v>22</v>
      </c>
      <c r="L65" s="15" t="s">
        <v>741</v>
      </c>
      <c r="M65" s="14" t="s">
        <v>33</v>
      </c>
      <c r="N65" s="14" t="s">
        <v>639</v>
      </c>
      <c r="O65" s="14" t="s">
        <v>742</v>
      </c>
      <c r="P65" s="14" t="s">
        <v>743</v>
      </c>
      <c r="Q65" s="14" t="s">
        <v>642</v>
      </c>
      <c r="R65" s="14" t="s">
        <v>42</v>
      </c>
      <c r="S65" s="15" t="s">
        <v>744</v>
      </c>
      <c r="T65" s="14" t="s">
        <v>44</v>
      </c>
      <c r="U65" s="15" t="s">
        <v>745</v>
      </c>
      <c r="V65" s="14" t="s">
        <v>746</v>
      </c>
      <c r="W65" s="12">
        <f>HYPERLINK("https://my.pitchbook.com?p=44364-61P","View People Online")</f>
      </c>
    </row>
    <row r="66">
      <c r="A66" s="10" t="s">
        <v>747</v>
      </c>
      <c r="B66" s="10" t="s">
        <v>748</v>
      </c>
      <c r="C66" s="13">
        <f>HYPERLINK("http://www.crux-cap.com","www.crux-cap.com")</f>
      </c>
      <c r="D66" s="10" t="s">
        <v>663</v>
      </c>
      <c r="E66" s="10" t="s">
        <v>749</v>
      </c>
      <c r="F66" s="10" t="s">
        <v>170</v>
      </c>
      <c r="G66" s="10" t="s">
        <v>750</v>
      </c>
      <c r="H66" s="10" t="s">
        <v>751</v>
      </c>
      <c r="I66" s="9">
        <v>1</v>
      </c>
      <c r="J66" s="9">
        <v>13</v>
      </c>
      <c r="K66" s="9">
        <v>6</v>
      </c>
      <c r="L66" s="11" t="s">
        <v>752</v>
      </c>
      <c r="M66" s="10" t="s">
        <v>33</v>
      </c>
      <c r="N66" s="10" t="s">
        <v>753</v>
      </c>
      <c r="O66" s="10" t="s">
        <v>754</v>
      </c>
      <c r="P66" s="10" t="s">
        <v>755</v>
      </c>
      <c r="Q66" s="10" t="s">
        <v>756</v>
      </c>
      <c r="R66" s="10" t="s">
        <v>734</v>
      </c>
      <c r="S66" s="11" t="s">
        <v>757</v>
      </c>
      <c r="T66" s="10" t="s">
        <v>44</v>
      </c>
      <c r="U66" s="11" t="s">
        <v>33</v>
      </c>
      <c r="V66" s="10" t="s">
        <v>758</v>
      </c>
      <c r="W66" s="13">
        <f>HYPERLINK("https://my.pitchbook.com?p=12653-74P","View People Online")</f>
      </c>
    </row>
    <row r="67">
      <c r="A67" s="14" t="s">
        <v>759</v>
      </c>
      <c r="B67" s="14" t="s">
        <v>760</v>
      </c>
      <c r="C67" s="12">
        <f>HYPERLINK("http://www.sequoiainc.com","www.sequoiainc.com")</f>
      </c>
      <c r="D67" s="14" t="s">
        <v>761</v>
      </c>
      <c r="E67" s="14" t="s">
        <v>762</v>
      </c>
      <c r="F67" s="14" t="s">
        <v>763</v>
      </c>
      <c r="G67" s="14" t="s">
        <v>764</v>
      </c>
      <c r="H67" s="14" t="s">
        <v>765</v>
      </c>
      <c r="I67" s="16">
        <v>1</v>
      </c>
      <c r="J67" s="16">
        <v>1</v>
      </c>
      <c r="K67" s="16" t="s">
        <v>33</v>
      </c>
      <c r="L67" s="15" t="s">
        <v>766</v>
      </c>
      <c r="M67" s="14" t="s">
        <v>767</v>
      </c>
      <c r="N67" s="14" t="s">
        <v>768</v>
      </c>
      <c r="O67" s="14" t="s">
        <v>769</v>
      </c>
      <c r="P67" s="14" t="s">
        <v>770</v>
      </c>
      <c r="Q67" s="14" t="s">
        <v>771</v>
      </c>
      <c r="R67" s="14" t="s">
        <v>772</v>
      </c>
      <c r="S67" s="15" t="s">
        <v>773</v>
      </c>
      <c r="T67" s="14" t="s">
        <v>44</v>
      </c>
      <c r="U67" s="15" t="s">
        <v>33</v>
      </c>
      <c r="V67" s="14" t="s">
        <v>774</v>
      </c>
      <c r="W67" s="12">
        <f>HYPERLINK("https://my.pitchbook.com?p=201037-06P","View People Online")</f>
      </c>
    </row>
    <row r="68">
      <c r="A68" s="10" t="s">
        <v>775</v>
      </c>
      <c r="B68" s="10" t="s">
        <v>776</v>
      </c>
      <c r="C68" s="13">
        <f>HYPERLINK("http://www.chistadata.com","www.chistadata.com")</f>
      </c>
      <c r="D68" s="10" t="s">
        <v>761</v>
      </c>
      <c r="E68" s="10" t="s">
        <v>777</v>
      </c>
      <c r="F68" s="10" t="s">
        <v>778</v>
      </c>
      <c r="G68" s="10" t="s">
        <v>779</v>
      </c>
      <c r="H68" s="10" t="s">
        <v>780</v>
      </c>
      <c r="I68" s="9">
        <v>2</v>
      </c>
      <c r="J68" s="9">
        <v>19</v>
      </c>
      <c r="K68" s="9">
        <v>14</v>
      </c>
      <c r="L68" s="11" t="s">
        <v>33</v>
      </c>
      <c r="M68" s="10" t="s">
        <v>781</v>
      </c>
      <c r="N68" s="10" t="s">
        <v>782</v>
      </c>
      <c r="O68" s="10" t="s">
        <v>783</v>
      </c>
      <c r="P68" s="10" t="s">
        <v>784</v>
      </c>
      <c r="Q68" s="10" t="s">
        <v>785</v>
      </c>
      <c r="R68" s="10" t="s">
        <v>786</v>
      </c>
      <c r="S68" s="11" t="s">
        <v>787</v>
      </c>
      <c r="T68" s="10" t="s">
        <v>44</v>
      </c>
      <c r="U68" s="11" t="s">
        <v>788</v>
      </c>
      <c r="V68" s="10" t="s">
        <v>789</v>
      </c>
      <c r="W68" s="13">
        <f>HYPERLINK("https://my.pitchbook.com?p=69448-06P","View People Online")</f>
      </c>
    </row>
    <row r="69">
      <c r="A69" s="14" t="s">
        <v>790</v>
      </c>
      <c r="B69" s="14" t="s">
        <v>791</v>
      </c>
      <c r="C69" s="12">
        <f>HYPERLINK("http://www.lithiumpowerinternational.com","www.lithiumpowerinternational.com")</f>
      </c>
      <c r="D69" s="14" t="s">
        <v>761</v>
      </c>
      <c r="E69" s="14" t="s">
        <v>792</v>
      </c>
      <c r="F69" s="14" t="s">
        <v>665</v>
      </c>
      <c r="G69" s="14" t="s">
        <v>793</v>
      </c>
      <c r="H69" s="14" t="s">
        <v>794</v>
      </c>
      <c r="I69" s="16">
        <v>1</v>
      </c>
      <c r="J69" s="16">
        <v>1</v>
      </c>
      <c r="K69" s="16" t="s">
        <v>33</v>
      </c>
      <c r="L69" s="15" t="s">
        <v>795</v>
      </c>
      <c r="M69" s="14" t="s">
        <v>796</v>
      </c>
      <c r="N69" s="14" t="s">
        <v>797</v>
      </c>
      <c r="O69" s="14" t="s">
        <v>798</v>
      </c>
      <c r="P69" s="14" t="s">
        <v>799</v>
      </c>
      <c r="Q69" s="14" t="s">
        <v>800</v>
      </c>
      <c r="R69" s="14" t="s">
        <v>801</v>
      </c>
      <c r="S69" s="15" t="s">
        <v>802</v>
      </c>
      <c r="T69" s="14" t="s">
        <v>180</v>
      </c>
      <c r="U69" s="15" t="s">
        <v>33</v>
      </c>
      <c r="V69" s="14" t="s">
        <v>803</v>
      </c>
      <c r="W69" s="12">
        <f>HYPERLINK("https://my.pitchbook.com?p=187684-75P","View People Online")</f>
      </c>
    </row>
    <row r="70">
      <c r="A70" s="10" t="s">
        <v>804</v>
      </c>
      <c r="B70" s="10" t="s">
        <v>805</v>
      </c>
      <c r="C70" s="13">
        <f>HYPERLINK("http://www.spinsci.com","www.spinsci.com")</f>
      </c>
      <c r="D70" s="10" t="s">
        <v>761</v>
      </c>
      <c r="E70" s="10" t="s">
        <v>806</v>
      </c>
      <c r="F70" s="10" t="s">
        <v>807</v>
      </c>
      <c r="G70" s="10" t="s">
        <v>808</v>
      </c>
      <c r="H70" s="10" t="s">
        <v>809</v>
      </c>
      <c r="I70" s="9">
        <v>1</v>
      </c>
      <c r="J70" s="9">
        <v>1</v>
      </c>
      <c r="K70" s="9" t="s">
        <v>33</v>
      </c>
      <c r="L70" s="11" t="s">
        <v>810</v>
      </c>
      <c r="M70" s="10" t="s">
        <v>811</v>
      </c>
      <c r="N70" s="10" t="s">
        <v>753</v>
      </c>
      <c r="O70" s="10" t="s">
        <v>812</v>
      </c>
      <c r="P70" s="10" t="s">
        <v>813</v>
      </c>
      <c r="Q70" s="10" t="s">
        <v>756</v>
      </c>
      <c r="R70" s="10" t="s">
        <v>734</v>
      </c>
      <c r="S70" s="11" t="s">
        <v>814</v>
      </c>
      <c r="T70" s="10" t="s">
        <v>44</v>
      </c>
      <c r="U70" s="11" t="s">
        <v>33</v>
      </c>
      <c r="V70" s="10" t="s">
        <v>815</v>
      </c>
      <c r="W70" s="13">
        <f>HYPERLINK("https://my.pitchbook.com?p=188069-05P","View People Online")</f>
      </c>
    </row>
    <row r="71">
      <c r="A71" s="14" t="s">
        <v>816</v>
      </c>
      <c r="B71" s="14" t="s">
        <v>817</v>
      </c>
      <c r="C71" s="12">
        <f>HYPERLINK("http://www.vitalconnect.com","www.vitalconnect.com")</f>
      </c>
      <c r="D71" s="14" t="s">
        <v>761</v>
      </c>
      <c r="E71" s="14" t="s">
        <v>818</v>
      </c>
      <c r="F71" s="14" t="s">
        <v>819</v>
      </c>
      <c r="G71" s="14" t="s">
        <v>64</v>
      </c>
      <c r="H71" s="14" t="s">
        <v>820</v>
      </c>
      <c r="I71" s="16">
        <v>1</v>
      </c>
      <c r="J71" s="16">
        <v>1</v>
      </c>
      <c r="K71" s="16" t="s">
        <v>33</v>
      </c>
      <c r="L71" s="15" t="s">
        <v>821</v>
      </c>
      <c r="M71" s="14" t="s">
        <v>822</v>
      </c>
      <c r="N71" s="14" t="s">
        <v>823</v>
      </c>
      <c r="O71" s="14" t="s">
        <v>824</v>
      </c>
      <c r="P71" s="14" t="s">
        <v>825</v>
      </c>
      <c r="Q71" s="14" t="s">
        <v>826</v>
      </c>
      <c r="R71" s="14" t="s">
        <v>42</v>
      </c>
      <c r="S71" s="15" t="s">
        <v>827</v>
      </c>
      <c r="T71" s="14" t="s">
        <v>44</v>
      </c>
      <c r="U71" s="15" t="s">
        <v>33</v>
      </c>
      <c r="V71" s="14" t="s">
        <v>828</v>
      </c>
      <c r="W71" s="12">
        <f>HYPERLINK("https://my.pitchbook.com?p=239326-93P","View People Online")</f>
      </c>
    </row>
    <row r="72">
      <c r="A72" s="10" t="s">
        <v>829</v>
      </c>
      <c r="B72" s="10" t="s">
        <v>830</v>
      </c>
      <c r="C72" s="13">
        <f>HYPERLINK("http://thevalefox.com","thevalefox.com")</f>
      </c>
      <c r="D72" s="10" t="s">
        <v>761</v>
      </c>
      <c r="E72" s="10" t="s">
        <v>831</v>
      </c>
      <c r="F72" s="10" t="s">
        <v>832</v>
      </c>
      <c r="G72" s="10" t="s">
        <v>459</v>
      </c>
      <c r="H72" s="10" t="s">
        <v>833</v>
      </c>
      <c r="I72" s="9">
        <v>1</v>
      </c>
      <c r="J72" s="9">
        <v>2</v>
      </c>
      <c r="K72" s="9" t="s">
        <v>33</v>
      </c>
      <c r="L72" s="11" t="s">
        <v>834</v>
      </c>
      <c r="M72" s="10" t="s">
        <v>835</v>
      </c>
      <c r="N72" s="10" t="s">
        <v>836</v>
      </c>
      <c r="O72" s="10" t="s">
        <v>837</v>
      </c>
      <c r="P72" s="10" t="s">
        <v>33</v>
      </c>
      <c r="Q72" s="10" t="s">
        <v>838</v>
      </c>
      <c r="R72" s="10" t="s">
        <v>521</v>
      </c>
      <c r="S72" s="11" t="s">
        <v>839</v>
      </c>
      <c r="T72" s="10" t="s">
        <v>44</v>
      </c>
      <c r="U72" s="11" t="s">
        <v>33</v>
      </c>
      <c r="V72" s="10" t="s">
        <v>840</v>
      </c>
      <c r="W72" s="13">
        <f>HYPERLINK("https://my.pitchbook.com?p=349389-73P","View People Online")</f>
      </c>
    </row>
    <row r="73">
      <c r="A73" s="14" t="s">
        <v>841</v>
      </c>
      <c r="B73" s="14" t="s">
        <v>842</v>
      </c>
      <c r="C73" s="12">
        <f>HYPERLINK("http://www.bigpanda.io","www.bigpanda.io")</f>
      </c>
      <c r="D73" s="14" t="s">
        <v>761</v>
      </c>
      <c r="E73" s="14" t="s">
        <v>843</v>
      </c>
      <c r="F73" s="14" t="s">
        <v>844</v>
      </c>
      <c r="G73" s="14" t="s">
        <v>845</v>
      </c>
      <c r="H73" s="14" t="s">
        <v>846</v>
      </c>
      <c r="I73" s="16">
        <v>1</v>
      </c>
      <c r="J73" s="16">
        <v>3</v>
      </c>
      <c r="K73" s="16">
        <v>1</v>
      </c>
      <c r="L73" s="15" t="s">
        <v>847</v>
      </c>
      <c r="M73" s="14" t="s">
        <v>848</v>
      </c>
      <c r="N73" s="14" t="s">
        <v>849</v>
      </c>
      <c r="O73" s="14" t="s">
        <v>850</v>
      </c>
      <c r="P73" s="14" t="s">
        <v>851</v>
      </c>
      <c r="Q73" s="14" t="s">
        <v>852</v>
      </c>
      <c r="R73" s="14" t="s">
        <v>42</v>
      </c>
      <c r="S73" s="15" t="s">
        <v>853</v>
      </c>
      <c r="T73" s="14" t="s">
        <v>44</v>
      </c>
      <c r="U73" s="15" t="s">
        <v>33</v>
      </c>
      <c r="V73" s="14" t="s">
        <v>854</v>
      </c>
      <c r="W73" s="12">
        <f>HYPERLINK("https://my.pitchbook.com?p=65588-95P","View People Online")</f>
      </c>
    </row>
    <row r="74">
      <c r="A74" s="10" t="s">
        <v>855</v>
      </c>
      <c r="B74" s="10" t="s">
        <v>856</v>
      </c>
      <c r="C74" s="13">
        <f>HYPERLINK("http://www.brainever.fr","www.brainever.fr")</f>
      </c>
      <c r="D74" s="10" t="s">
        <v>761</v>
      </c>
      <c r="E74" s="10" t="s">
        <v>857</v>
      </c>
      <c r="F74" s="10" t="s">
        <v>858</v>
      </c>
      <c r="G74" s="10" t="s">
        <v>859</v>
      </c>
      <c r="H74" s="10" t="s">
        <v>860</v>
      </c>
      <c r="I74" s="9">
        <v>8</v>
      </c>
      <c r="J74" s="9">
        <v>16</v>
      </c>
      <c r="K74" s="9">
        <v>7</v>
      </c>
      <c r="L74" s="11" t="s">
        <v>33</v>
      </c>
      <c r="M74" s="10" t="s">
        <v>861</v>
      </c>
      <c r="N74" s="10" t="s">
        <v>355</v>
      </c>
      <c r="O74" s="10" t="s">
        <v>862</v>
      </c>
      <c r="P74" s="10" t="s">
        <v>863</v>
      </c>
      <c r="Q74" s="10" t="s">
        <v>357</v>
      </c>
      <c r="R74" s="10" t="s">
        <v>33</v>
      </c>
      <c r="S74" s="11" t="s">
        <v>864</v>
      </c>
      <c r="T74" s="10" t="s">
        <v>358</v>
      </c>
      <c r="U74" s="11" t="s">
        <v>33</v>
      </c>
      <c r="V74" s="10" t="s">
        <v>865</v>
      </c>
      <c r="W74" s="13">
        <f>HYPERLINK("https://my.pitchbook.com?p=47071-81P","View People Online")</f>
      </c>
    </row>
    <row r="75">
      <c r="A75" s="14" t="s">
        <v>866</v>
      </c>
      <c r="B75" s="14" t="s">
        <v>867</v>
      </c>
      <c r="C75" s="12">
        <f>HYPERLINK("http://www.superblocks.com","www.superblocks.com")</f>
      </c>
      <c r="D75" s="14" t="s">
        <v>761</v>
      </c>
      <c r="E75" s="14" t="s">
        <v>868</v>
      </c>
      <c r="F75" s="14" t="s">
        <v>869</v>
      </c>
      <c r="G75" s="14" t="s">
        <v>870</v>
      </c>
      <c r="H75" s="14" t="s">
        <v>871</v>
      </c>
      <c r="I75" s="16">
        <v>1</v>
      </c>
      <c r="J75" s="16">
        <v>6</v>
      </c>
      <c r="K75" s="16">
        <v>3</v>
      </c>
      <c r="L75" s="15" t="s">
        <v>872</v>
      </c>
      <c r="M75" s="14" t="s">
        <v>873</v>
      </c>
      <c r="N75" s="14" t="s">
        <v>518</v>
      </c>
      <c r="O75" s="14" t="s">
        <v>874</v>
      </c>
      <c r="P75" s="14" t="s">
        <v>875</v>
      </c>
      <c r="Q75" s="14" t="s">
        <v>521</v>
      </c>
      <c r="R75" s="14" t="s">
        <v>521</v>
      </c>
      <c r="S75" s="15" t="s">
        <v>876</v>
      </c>
      <c r="T75" s="14" t="s">
        <v>44</v>
      </c>
      <c r="U75" s="15" t="s">
        <v>33</v>
      </c>
      <c r="V75" s="14" t="s">
        <v>877</v>
      </c>
      <c r="W75" s="12">
        <f>HYPERLINK("https://my.pitchbook.com?p=257875-21P","View People Online")</f>
      </c>
    </row>
    <row r="76">
      <c r="A76" s="10" t="s">
        <v>878</v>
      </c>
      <c r="B76" s="10" t="s">
        <v>879</v>
      </c>
      <c r="C76" s="13">
        <f>HYPERLINK("http://www.adaptivesecurity.com","www.adaptivesecurity.com")</f>
      </c>
      <c r="D76" s="10" t="s">
        <v>761</v>
      </c>
      <c r="E76" s="10" t="s">
        <v>880</v>
      </c>
      <c r="F76" s="10" t="s">
        <v>377</v>
      </c>
      <c r="G76" s="10" t="s">
        <v>881</v>
      </c>
      <c r="H76" s="10" t="s">
        <v>882</v>
      </c>
      <c r="I76" s="9">
        <v>1</v>
      </c>
      <c r="J76" s="9">
        <v>4</v>
      </c>
      <c r="K76" s="9">
        <v>2</v>
      </c>
      <c r="L76" s="11" t="s">
        <v>883</v>
      </c>
      <c r="M76" s="10" t="s">
        <v>884</v>
      </c>
      <c r="N76" s="10" t="s">
        <v>518</v>
      </c>
      <c r="O76" s="10" t="s">
        <v>885</v>
      </c>
      <c r="P76" s="10" t="s">
        <v>886</v>
      </c>
      <c r="Q76" s="10" t="s">
        <v>521</v>
      </c>
      <c r="R76" s="10" t="s">
        <v>521</v>
      </c>
      <c r="S76" s="11" t="s">
        <v>887</v>
      </c>
      <c r="T76" s="10" t="s">
        <v>44</v>
      </c>
      <c r="U76" s="11" t="s">
        <v>33</v>
      </c>
      <c r="V76" s="10" t="s">
        <v>888</v>
      </c>
      <c r="W76" s="13">
        <f>HYPERLINK("https://my.pitchbook.com?p=46780-75P","View People Online")</f>
      </c>
    </row>
    <row r="77">
      <c r="A77" s="14" t="s">
        <v>889</v>
      </c>
      <c r="B77" s="14" t="s">
        <v>890</v>
      </c>
      <c r="C77" s="12">
        <f>HYPERLINK("http://www.sequoia.bio","www.sequoia.bio")</f>
      </c>
      <c r="D77" s="14" t="s">
        <v>761</v>
      </c>
      <c r="E77" s="14" t="s">
        <v>891</v>
      </c>
      <c r="F77" s="14" t="s">
        <v>892</v>
      </c>
      <c r="G77" s="14" t="s">
        <v>893</v>
      </c>
      <c r="H77" s="14" t="s">
        <v>894</v>
      </c>
      <c r="I77" s="16">
        <v>1</v>
      </c>
      <c r="J77" s="16">
        <v>2</v>
      </c>
      <c r="K77" s="16" t="s">
        <v>33</v>
      </c>
      <c r="L77" s="15" t="s">
        <v>895</v>
      </c>
      <c r="M77" s="14" t="s">
        <v>896</v>
      </c>
      <c r="N77" s="14" t="s">
        <v>897</v>
      </c>
      <c r="O77" s="14" t="s">
        <v>898</v>
      </c>
      <c r="P77" s="14" t="s">
        <v>33</v>
      </c>
      <c r="Q77" s="14" t="s">
        <v>899</v>
      </c>
      <c r="R77" s="14" t="s">
        <v>33</v>
      </c>
      <c r="S77" s="15" t="s">
        <v>900</v>
      </c>
      <c r="T77" s="14" t="s">
        <v>901</v>
      </c>
      <c r="U77" s="15" t="s">
        <v>902</v>
      </c>
      <c r="V77" s="14" t="s">
        <v>903</v>
      </c>
      <c r="W77" s="12">
        <f>HYPERLINK("https://my.pitchbook.com?p=184146-58P","View People Online")</f>
      </c>
    </row>
    <row r="78">
      <c r="A78" s="10" t="s">
        <v>904</v>
      </c>
      <c r="B78" s="10" t="s">
        <v>905</v>
      </c>
      <c r="C78" s="13">
        <f>HYPERLINK("http://www.covalentmetrology.com","www.covalentmetrology.com")</f>
      </c>
      <c r="D78" s="10" t="s">
        <v>761</v>
      </c>
      <c r="E78" s="10" t="s">
        <v>906</v>
      </c>
      <c r="F78" s="10" t="s">
        <v>49</v>
      </c>
      <c r="G78" s="10" t="s">
        <v>907</v>
      </c>
      <c r="H78" s="10" t="s">
        <v>908</v>
      </c>
      <c r="I78" s="9">
        <v>1</v>
      </c>
      <c r="J78" s="9">
        <v>4</v>
      </c>
      <c r="K78" s="9">
        <v>3</v>
      </c>
      <c r="L78" s="11" t="s">
        <v>909</v>
      </c>
      <c r="M78" s="10" t="s">
        <v>910</v>
      </c>
      <c r="N78" s="10" t="s">
        <v>911</v>
      </c>
      <c r="O78" s="10" t="s">
        <v>912</v>
      </c>
      <c r="P78" s="10" t="s">
        <v>33</v>
      </c>
      <c r="Q78" s="10" t="s">
        <v>913</v>
      </c>
      <c r="R78" s="10" t="s">
        <v>42</v>
      </c>
      <c r="S78" s="11" t="s">
        <v>914</v>
      </c>
      <c r="T78" s="10" t="s">
        <v>44</v>
      </c>
      <c r="U78" s="11" t="s">
        <v>915</v>
      </c>
      <c r="V78" s="10" t="s">
        <v>916</v>
      </c>
      <c r="W78" s="13">
        <f>HYPERLINK("https://my.pitchbook.com?p=200051-02P","View People Online")</f>
      </c>
    </row>
    <row r="79">
      <c r="A79" s="14" t="s">
        <v>917</v>
      </c>
      <c r="B79" s="14" t="s">
        <v>918</v>
      </c>
      <c r="C79" s="12">
        <f>HYPERLINK("http://www.sequoiainc.com","www.sequoiainc.com")</f>
      </c>
      <c r="D79" s="14" t="s">
        <v>761</v>
      </c>
      <c r="E79" s="14" t="s">
        <v>919</v>
      </c>
      <c r="F79" s="14" t="s">
        <v>308</v>
      </c>
      <c r="G79" s="14" t="s">
        <v>808</v>
      </c>
      <c r="H79" s="14" t="s">
        <v>765</v>
      </c>
      <c r="I79" s="16">
        <v>1</v>
      </c>
      <c r="J79" s="16">
        <v>1</v>
      </c>
      <c r="K79" s="16" t="s">
        <v>33</v>
      </c>
      <c r="L79" s="15" t="s">
        <v>33</v>
      </c>
      <c r="M79" s="14" t="s">
        <v>920</v>
      </c>
      <c r="N79" s="14" t="s">
        <v>768</v>
      </c>
      <c r="O79" s="14" t="s">
        <v>769</v>
      </c>
      <c r="P79" s="14" t="s">
        <v>770</v>
      </c>
      <c r="Q79" s="14" t="s">
        <v>771</v>
      </c>
      <c r="R79" s="14" t="s">
        <v>772</v>
      </c>
      <c r="S79" s="15" t="s">
        <v>773</v>
      </c>
      <c r="T79" s="14" t="s">
        <v>44</v>
      </c>
      <c r="U79" s="15" t="s">
        <v>33</v>
      </c>
      <c r="V79" s="14" t="s">
        <v>921</v>
      </c>
      <c r="W79" s="12">
        <f>HYPERLINK("https://my.pitchbook.com?p=301574-89P","View People Online")</f>
      </c>
    </row>
    <row r="80">
      <c r="A80" s="10" t="s">
        <v>922</v>
      </c>
      <c r="B80" s="10" t="s">
        <v>923</v>
      </c>
      <c r="C80" s="13">
        <f>HYPERLINK("http://www.theswarm.com","www.theswarm.com")</f>
      </c>
      <c r="D80" s="10" t="s">
        <v>761</v>
      </c>
      <c r="E80" s="10" t="s">
        <v>924</v>
      </c>
      <c r="F80" s="10" t="s">
        <v>925</v>
      </c>
      <c r="G80" s="10" t="s">
        <v>870</v>
      </c>
      <c r="H80" s="10" t="s">
        <v>926</v>
      </c>
      <c r="I80" s="9">
        <v>1</v>
      </c>
      <c r="J80" s="9">
        <v>1</v>
      </c>
      <c r="K80" s="9" t="s">
        <v>33</v>
      </c>
      <c r="L80" s="11" t="s">
        <v>927</v>
      </c>
      <c r="M80" s="10" t="s">
        <v>928</v>
      </c>
      <c r="N80" s="10" t="s">
        <v>40</v>
      </c>
      <c r="O80" s="10" t="s">
        <v>929</v>
      </c>
      <c r="P80" s="10" t="s">
        <v>930</v>
      </c>
      <c r="Q80" s="10" t="s">
        <v>41</v>
      </c>
      <c r="R80" s="10" t="s">
        <v>42</v>
      </c>
      <c r="S80" s="11" t="s">
        <v>931</v>
      </c>
      <c r="T80" s="10" t="s">
        <v>44</v>
      </c>
      <c r="U80" s="11" t="s">
        <v>33</v>
      </c>
      <c r="V80" s="10" t="s">
        <v>932</v>
      </c>
      <c r="W80" s="13">
        <f>HYPERLINK("https://my.pitchbook.com?p=301843-45P","View People Online")</f>
      </c>
    </row>
    <row r="81">
      <c r="A81" s="14" t="s">
        <v>933</v>
      </c>
      <c r="B81" s="14" t="s">
        <v>934</v>
      </c>
      <c r="C81" s="12">
        <f>HYPERLINK("http://www.citrix.com","www.citrix.com")</f>
      </c>
      <c r="D81" s="14" t="s">
        <v>761</v>
      </c>
      <c r="E81" s="14" t="s">
        <v>935</v>
      </c>
      <c r="F81" s="14" t="s">
        <v>925</v>
      </c>
      <c r="G81" s="14" t="s">
        <v>936</v>
      </c>
      <c r="H81" s="14" t="s">
        <v>937</v>
      </c>
      <c r="I81" s="16">
        <v>3</v>
      </c>
      <c r="J81" s="16">
        <v>3</v>
      </c>
      <c r="K81" s="16" t="s">
        <v>33</v>
      </c>
      <c r="L81" s="15" t="s">
        <v>938</v>
      </c>
      <c r="M81" s="14" t="s">
        <v>33</v>
      </c>
      <c r="N81" s="14" t="s">
        <v>939</v>
      </c>
      <c r="O81" s="14" t="s">
        <v>940</v>
      </c>
      <c r="P81" s="14" t="s">
        <v>33</v>
      </c>
      <c r="Q81" s="14" t="s">
        <v>941</v>
      </c>
      <c r="R81" s="14" t="s">
        <v>942</v>
      </c>
      <c r="S81" s="15" t="s">
        <v>943</v>
      </c>
      <c r="T81" s="14" t="s">
        <v>44</v>
      </c>
      <c r="U81" s="15" t="s">
        <v>33</v>
      </c>
      <c r="V81" s="14" t="s">
        <v>944</v>
      </c>
      <c r="W81" s="12">
        <f>HYPERLINK("https://my.pitchbook.com?p=31022-92P","View People Online")</f>
      </c>
    </row>
    <row r="82">
      <c r="A82" s="10" t="s">
        <v>945</v>
      </c>
      <c r="B82" s="10" t="s">
        <v>946</v>
      </c>
      <c r="C82" s="13">
        <f>HYPERLINK("http://markimicrowave.com","markimicrowave.com")</f>
      </c>
      <c r="D82" s="10" t="s">
        <v>761</v>
      </c>
      <c r="E82" s="10" t="s">
        <v>947</v>
      </c>
      <c r="F82" s="10" t="s">
        <v>925</v>
      </c>
      <c r="G82" s="10" t="s">
        <v>529</v>
      </c>
      <c r="H82" s="10" t="s">
        <v>948</v>
      </c>
      <c r="I82" s="9">
        <v>1</v>
      </c>
      <c r="J82" s="9">
        <v>2</v>
      </c>
      <c r="K82" s="9" t="s">
        <v>33</v>
      </c>
      <c r="L82" s="11" t="s">
        <v>949</v>
      </c>
      <c r="M82" s="10" t="s">
        <v>950</v>
      </c>
      <c r="N82" s="10" t="s">
        <v>951</v>
      </c>
      <c r="O82" s="10" t="s">
        <v>33</v>
      </c>
      <c r="P82" s="10" t="s">
        <v>33</v>
      </c>
      <c r="Q82" s="10" t="s">
        <v>952</v>
      </c>
      <c r="R82" s="10" t="s">
        <v>42</v>
      </c>
      <c r="S82" s="11" t="s">
        <v>953</v>
      </c>
      <c r="T82" s="10" t="s">
        <v>44</v>
      </c>
      <c r="U82" s="11" t="s">
        <v>33</v>
      </c>
      <c r="V82" s="10" t="s">
        <v>954</v>
      </c>
      <c r="W82" s="13">
        <f>HYPERLINK("https://my.pitchbook.com?p=42466-06P","View People Online")</f>
      </c>
    </row>
    <row r="83">
      <c r="A83" s="14" t="s">
        <v>955</v>
      </c>
      <c r="B83" s="14" t="s">
        <v>956</v>
      </c>
      <c r="C83" s="12">
        <f>HYPERLINK("http://www.genuitysci.com","www.genuitysci.com")</f>
      </c>
      <c r="D83" s="14" t="s">
        <v>761</v>
      </c>
      <c r="E83" s="14" t="s">
        <v>957</v>
      </c>
      <c r="F83" s="14" t="s">
        <v>958</v>
      </c>
      <c r="G83" s="14" t="s">
        <v>64</v>
      </c>
      <c r="H83" s="14" t="s">
        <v>959</v>
      </c>
      <c r="I83" s="16">
        <v>2</v>
      </c>
      <c r="J83" s="16">
        <v>2</v>
      </c>
      <c r="K83" s="16" t="s">
        <v>33</v>
      </c>
      <c r="L83" s="15" t="s">
        <v>960</v>
      </c>
      <c r="M83" s="14" t="s">
        <v>33</v>
      </c>
      <c r="N83" s="14" t="s">
        <v>80</v>
      </c>
      <c r="O83" s="14" t="s">
        <v>961</v>
      </c>
      <c r="P83" s="14" t="s">
        <v>886</v>
      </c>
      <c r="Q83" s="14" t="s">
        <v>82</v>
      </c>
      <c r="R83" s="14" t="s">
        <v>83</v>
      </c>
      <c r="S83" s="15" t="s">
        <v>962</v>
      </c>
      <c r="T83" s="14" t="s">
        <v>44</v>
      </c>
      <c r="U83" s="15" t="s">
        <v>33</v>
      </c>
      <c r="V83" s="14" t="s">
        <v>963</v>
      </c>
      <c r="W83" s="12">
        <f>HYPERLINK("https://my.pitchbook.com?p=241945-75P","View People Online")</f>
      </c>
    </row>
    <row r="84">
      <c r="A84" s="10" t="s">
        <v>964</v>
      </c>
      <c r="B84" s="10" t="s">
        <v>965</v>
      </c>
      <c r="C84" s="13">
        <f>HYPERLINK("http://www.mailchannels.com","www.mailchannels.com")</f>
      </c>
      <c r="D84" s="10" t="s">
        <v>761</v>
      </c>
      <c r="E84" s="10" t="s">
        <v>966</v>
      </c>
      <c r="F84" s="10" t="s">
        <v>351</v>
      </c>
      <c r="G84" s="10" t="s">
        <v>64</v>
      </c>
      <c r="H84" s="10" t="s">
        <v>967</v>
      </c>
      <c r="I84" s="9">
        <v>1</v>
      </c>
      <c r="J84" s="9">
        <v>1</v>
      </c>
      <c r="K84" s="9" t="s">
        <v>33</v>
      </c>
      <c r="L84" s="11" t="s">
        <v>968</v>
      </c>
      <c r="M84" s="10" t="s">
        <v>33</v>
      </c>
      <c r="N84" s="10" t="s">
        <v>670</v>
      </c>
      <c r="O84" s="10" t="s">
        <v>969</v>
      </c>
      <c r="P84" s="10" t="s">
        <v>970</v>
      </c>
      <c r="Q84" s="10" t="s">
        <v>672</v>
      </c>
      <c r="R84" s="10" t="s">
        <v>673</v>
      </c>
      <c r="S84" s="11" t="s">
        <v>971</v>
      </c>
      <c r="T84" s="10" t="s">
        <v>453</v>
      </c>
      <c r="U84" s="11" t="s">
        <v>33</v>
      </c>
      <c r="V84" s="10" t="s">
        <v>972</v>
      </c>
      <c r="W84" s="13">
        <f>HYPERLINK("https://my.pitchbook.com?p=41691-16P","View People Online")</f>
      </c>
    </row>
    <row r="85">
      <c r="A85" s="14" t="s">
        <v>973</v>
      </c>
      <c r="B85" s="14" t="s">
        <v>974</v>
      </c>
      <c r="C85" s="12">
        <f>HYPERLINK("http://www.x.com","www.x.com")</f>
      </c>
      <c r="D85" s="14" t="s">
        <v>761</v>
      </c>
      <c r="E85" s="14" t="s">
        <v>975</v>
      </c>
      <c r="F85" s="14" t="s">
        <v>976</v>
      </c>
      <c r="G85" s="14" t="s">
        <v>64</v>
      </c>
      <c r="H85" s="14" t="s">
        <v>977</v>
      </c>
      <c r="I85" s="16">
        <v>1</v>
      </c>
      <c r="J85" s="16">
        <v>8</v>
      </c>
      <c r="K85" s="16" t="s">
        <v>33</v>
      </c>
      <c r="L85" s="15" t="s">
        <v>978</v>
      </c>
      <c r="M85" s="14" t="s">
        <v>979</v>
      </c>
      <c r="N85" s="14" t="s">
        <v>449</v>
      </c>
      <c r="O85" s="14" t="s">
        <v>980</v>
      </c>
      <c r="P85" s="14" t="s">
        <v>981</v>
      </c>
      <c r="Q85" s="14" t="s">
        <v>450</v>
      </c>
      <c r="R85" s="14" t="s">
        <v>451</v>
      </c>
      <c r="S85" s="15" t="s">
        <v>982</v>
      </c>
      <c r="T85" s="14" t="s">
        <v>453</v>
      </c>
      <c r="U85" s="15" t="s">
        <v>33</v>
      </c>
      <c r="V85" s="14" t="s">
        <v>983</v>
      </c>
      <c r="W85" s="12">
        <f>HYPERLINK("https://my.pitchbook.com?p=242154-64P","View People Online")</f>
      </c>
    </row>
    <row r="86">
      <c r="A86" s="10" t="s">
        <v>984</v>
      </c>
      <c r="B86" s="10" t="s">
        <v>985</v>
      </c>
      <c r="C86" s="13">
        <f>HYPERLINK("http://www.teamedon.com","www.teamedon.com")</f>
      </c>
      <c r="D86" s="10" t="s">
        <v>761</v>
      </c>
      <c r="E86" s="10" t="s">
        <v>986</v>
      </c>
      <c r="F86" s="10" t="s">
        <v>987</v>
      </c>
      <c r="G86" s="10" t="s">
        <v>764</v>
      </c>
      <c r="H86" s="10" t="s">
        <v>988</v>
      </c>
      <c r="I86" s="9">
        <v>1</v>
      </c>
      <c r="J86" s="9">
        <v>1</v>
      </c>
      <c r="K86" s="9" t="s">
        <v>33</v>
      </c>
      <c r="L86" s="11" t="s">
        <v>989</v>
      </c>
      <c r="M86" s="10" t="s">
        <v>990</v>
      </c>
      <c r="N86" s="10" t="s">
        <v>991</v>
      </c>
      <c r="O86" s="10" t="s">
        <v>992</v>
      </c>
      <c r="P86" s="10" t="s">
        <v>993</v>
      </c>
      <c r="Q86" s="10" t="s">
        <v>994</v>
      </c>
      <c r="R86" s="10" t="s">
        <v>995</v>
      </c>
      <c r="S86" s="11" t="s">
        <v>996</v>
      </c>
      <c r="T86" s="10" t="s">
        <v>44</v>
      </c>
      <c r="U86" s="11" t="s">
        <v>33</v>
      </c>
      <c r="V86" s="10" t="s">
        <v>997</v>
      </c>
      <c r="W86" s="13">
        <f>HYPERLINK("https://my.pitchbook.com?p=53109-64P","View People Online")</f>
      </c>
    </row>
    <row r="87">
      <c r="A87" s="14" t="s">
        <v>998</v>
      </c>
      <c r="B87" s="14" t="s">
        <v>999</v>
      </c>
      <c r="C87" s="14" t="s">
        <v>33</v>
      </c>
      <c r="D87" s="14" t="s">
        <v>761</v>
      </c>
      <c r="E87" s="14" t="s">
        <v>1000</v>
      </c>
      <c r="F87" s="14" t="s">
        <v>1001</v>
      </c>
      <c r="G87" s="14" t="s">
        <v>1002</v>
      </c>
      <c r="H87" s="14" t="s">
        <v>1003</v>
      </c>
      <c r="I87" s="16">
        <v>1</v>
      </c>
      <c r="J87" s="16">
        <v>7</v>
      </c>
      <c r="K87" s="16" t="s">
        <v>33</v>
      </c>
      <c r="L87" s="15" t="s">
        <v>1004</v>
      </c>
      <c r="M87" s="14" t="s">
        <v>33</v>
      </c>
      <c r="N87" s="14" t="s">
        <v>1005</v>
      </c>
      <c r="O87" s="14" t="s">
        <v>1006</v>
      </c>
      <c r="P87" s="14" t="s">
        <v>33</v>
      </c>
      <c r="Q87" s="14" t="s">
        <v>1007</v>
      </c>
      <c r="R87" s="14" t="s">
        <v>33</v>
      </c>
      <c r="S87" s="15" t="s">
        <v>1008</v>
      </c>
      <c r="T87" s="14" t="s">
        <v>1009</v>
      </c>
      <c r="U87" s="15" t="s">
        <v>33</v>
      </c>
      <c r="V87" s="14" t="s">
        <v>1010</v>
      </c>
      <c r="W87" s="12">
        <f>HYPERLINK("https://my.pitchbook.com?p=173193-85P","View People Online")</f>
      </c>
    </row>
    <row r="88">
      <c r="A88" s="10" t="s">
        <v>1011</v>
      </c>
      <c r="B88" s="10" t="s">
        <v>1012</v>
      </c>
      <c r="C88" s="13">
        <f>HYPERLINK("http://www.snapdocs.com","www.snapdocs.com")</f>
      </c>
      <c r="D88" s="10" t="s">
        <v>761</v>
      </c>
      <c r="E88" s="10" t="s">
        <v>1013</v>
      </c>
      <c r="F88" s="10" t="s">
        <v>1014</v>
      </c>
      <c r="G88" s="10" t="s">
        <v>64</v>
      </c>
      <c r="H88" s="10" t="s">
        <v>1015</v>
      </c>
      <c r="I88" s="9">
        <v>1</v>
      </c>
      <c r="J88" s="9">
        <v>1</v>
      </c>
      <c r="K88" s="9" t="s">
        <v>33</v>
      </c>
      <c r="L88" s="11" t="s">
        <v>1016</v>
      </c>
      <c r="M88" s="10" t="s">
        <v>33</v>
      </c>
      <c r="N88" s="10" t="s">
        <v>1017</v>
      </c>
      <c r="O88" s="10" t="s">
        <v>1018</v>
      </c>
      <c r="P88" s="10" t="s">
        <v>1019</v>
      </c>
      <c r="Q88" s="10" t="s">
        <v>1020</v>
      </c>
      <c r="R88" s="10" t="s">
        <v>42</v>
      </c>
      <c r="S88" s="11" t="s">
        <v>1021</v>
      </c>
      <c r="T88" s="10" t="s">
        <v>44</v>
      </c>
      <c r="U88" s="11" t="s">
        <v>33</v>
      </c>
      <c r="V88" s="10" t="s">
        <v>1022</v>
      </c>
      <c r="W88" s="13">
        <f>HYPERLINK("https://my.pitchbook.com?p=75045-70P","View People Online")</f>
      </c>
    </row>
    <row r="89">
      <c r="A89" s="14" t="s">
        <v>1023</v>
      </c>
      <c r="B89" s="14" t="s">
        <v>1024</v>
      </c>
      <c r="C89" s="12">
        <f>HYPERLINK("http://www.wikihow.com","www.wikihow.com")</f>
      </c>
      <c r="D89" s="14" t="s">
        <v>761</v>
      </c>
      <c r="E89" s="14" t="s">
        <v>1025</v>
      </c>
      <c r="F89" s="14" t="s">
        <v>1026</v>
      </c>
      <c r="G89" s="14" t="s">
        <v>1027</v>
      </c>
      <c r="H89" s="14" t="s">
        <v>1028</v>
      </c>
      <c r="I89" s="16">
        <v>1</v>
      </c>
      <c r="J89" s="16">
        <v>27</v>
      </c>
      <c r="K89" s="16">
        <v>25</v>
      </c>
      <c r="L89" s="15" t="s">
        <v>1029</v>
      </c>
      <c r="M89" s="14" t="s">
        <v>1030</v>
      </c>
      <c r="N89" s="14" t="s">
        <v>286</v>
      </c>
      <c r="O89" s="14" t="s">
        <v>1031</v>
      </c>
      <c r="P89" s="14" t="s">
        <v>494</v>
      </c>
      <c r="Q89" s="14" t="s">
        <v>288</v>
      </c>
      <c r="R89" s="14" t="s">
        <v>42</v>
      </c>
      <c r="S89" s="15" t="s">
        <v>289</v>
      </c>
      <c r="T89" s="14" t="s">
        <v>44</v>
      </c>
      <c r="U89" s="15" t="s">
        <v>33</v>
      </c>
      <c r="V89" s="14" t="s">
        <v>1032</v>
      </c>
      <c r="W89" s="12">
        <f>HYPERLINK("https://my.pitchbook.com?p=45312-85P","View People Online")</f>
      </c>
    </row>
    <row r="90">
      <c r="A90" s="10" t="s">
        <v>1033</v>
      </c>
      <c r="B90" s="10" t="s">
        <v>1034</v>
      </c>
      <c r="C90" s="13">
        <f>HYPERLINK("http://www.sequoiavaccines.com","www.sequoiavaccines.com")</f>
      </c>
      <c r="D90" s="10" t="s">
        <v>761</v>
      </c>
      <c r="E90" s="10" t="s">
        <v>1035</v>
      </c>
      <c r="F90" s="10" t="s">
        <v>254</v>
      </c>
      <c r="G90" s="10" t="s">
        <v>64</v>
      </c>
      <c r="H90" s="10" t="s">
        <v>1036</v>
      </c>
      <c r="I90" s="9">
        <v>1</v>
      </c>
      <c r="J90" s="9">
        <v>1</v>
      </c>
      <c r="K90" s="9" t="s">
        <v>33</v>
      </c>
      <c r="L90" s="11" t="s">
        <v>1037</v>
      </c>
      <c r="M90" s="10" t="s">
        <v>33</v>
      </c>
      <c r="N90" s="10" t="s">
        <v>533</v>
      </c>
      <c r="O90" s="10" t="s">
        <v>1038</v>
      </c>
      <c r="P90" s="10" t="s">
        <v>33</v>
      </c>
      <c r="Q90" s="10" t="s">
        <v>536</v>
      </c>
      <c r="R90" s="10" t="s">
        <v>537</v>
      </c>
      <c r="S90" s="11" t="s">
        <v>1039</v>
      </c>
      <c r="T90" s="10" t="s">
        <v>44</v>
      </c>
      <c r="U90" s="11" t="s">
        <v>1040</v>
      </c>
      <c r="V90" s="10" t="s">
        <v>1041</v>
      </c>
      <c r="W90" s="13">
        <f>HYPERLINK("https://my.pitchbook.com?p=220499-83P","View People Online")</f>
      </c>
    </row>
    <row r="91">
      <c r="A91" s="14" t="s">
        <v>1042</v>
      </c>
      <c r="B91" s="14" t="s">
        <v>1043</v>
      </c>
      <c r="C91" s="12">
        <f>HYPERLINK("http://www.localbtv.com","www.localbtv.com")</f>
      </c>
      <c r="D91" s="14" t="s">
        <v>761</v>
      </c>
      <c r="E91" s="14" t="s">
        <v>880</v>
      </c>
      <c r="F91" s="14" t="s">
        <v>254</v>
      </c>
      <c r="G91" s="14" t="s">
        <v>680</v>
      </c>
      <c r="H91" s="14" t="s">
        <v>1044</v>
      </c>
      <c r="I91" s="16">
        <v>1</v>
      </c>
      <c r="J91" s="16">
        <v>6</v>
      </c>
      <c r="K91" s="16">
        <v>4</v>
      </c>
      <c r="L91" s="15" t="s">
        <v>1045</v>
      </c>
      <c r="M91" s="14" t="s">
        <v>1046</v>
      </c>
      <c r="N91" s="14" t="s">
        <v>259</v>
      </c>
      <c r="O91" s="14" t="s">
        <v>1047</v>
      </c>
      <c r="P91" s="14" t="s">
        <v>1048</v>
      </c>
      <c r="Q91" s="14" t="s">
        <v>261</v>
      </c>
      <c r="R91" s="14" t="s">
        <v>42</v>
      </c>
      <c r="S91" s="15" t="s">
        <v>262</v>
      </c>
      <c r="T91" s="14" t="s">
        <v>44</v>
      </c>
      <c r="U91" s="15" t="s">
        <v>33</v>
      </c>
      <c r="V91" s="14" t="s">
        <v>1049</v>
      </c>
      <c r="W91" s="12">
        <f>HYPERLINK("https://my.pitchbook.com?p=35317-63P","View People Online")</f>
      </c>
    </row>
    <row r="92">
      <c r="A92" s="10" t="s">
        <v>1050</v>
      </c>
      <c r="B92" s="10" t="s">
        <v>1051</v>
      </c>
      <c r="C92" s="13">
        <f>HYPERLINK("http://www.mdrevolution.com","www.mdrevolution.com")</f>
      </c>
      <c r="D92" s="10" t="s">
        <v>761</v>
      </c>
      <c r="E92" s="10" t="s">
        <v>1052</v>
      </c>
      <c r="F92" s="10" t="s">
        <v>1053</v>
      </c>
      <c r="G92" s="10" t="s">
        <v>1054</v>
      </c>
      <c r="H92" s="10" t="s">
        <v>1055</v>
      </c>
      <c r="I92" s="9">
        <v>1</v>
      </c>
      <c r="J92" s="9">
        <v>14</v>
      </c>
      <c r="K92" s="9">
        <v>7</v>
      </c>
      <c r="L92" s="11" t="s">
        <v>1056</v>
      </c>
      <c r="M92" s="10" t="s">
        <v>1057</v>
      </c>
      <c r="N92" s="10" t="s">
        <v>1058</v>
      </c>
      <c r="O92" s="10" t="s">
        <v>1059</v>
      </c>
      <c r="P92" s="10" t="s">
        <v>1060</v>
      </c>
      <c r="Q92" s="10" t="s">
        <v>1061</v>
      </c>
      <c r="R92" s="10" t="s">
        <v>42</v>
      </c>
      <c r="S92" s="11" t="s">
        <v>1062</v>
      </c>
      <c r="T92" s="10" t="s">
        <v>44</v>
      </c>
      <c r="U92" s="11" t="s">
        <v>33</v>
      </c>
      <c r="V92" s="10" t="s">
        <v>1063</v>
      </c>
      <c r="W92" s="13">
        <f>HYPERLINK("https://my.pitchbook.com?p=53994-88P","View People Online")</f>
      </c>
    </row>
    <row r="93">
      <c r="A93" s="14" t="s">
        <v>1064</v>
      </c>
      <c r="B93" s="14" t="s">
        <v>1065</v>
      </c>
      <c r="C93" s="12">
        <f>HYPERLINK("http://www.sequoiainc.com","www.sequoiainc.com")</f>
      </c>
      <c r="D93" s="14" t="s">
        <v>761</v>
      </c>
      <c r="E93" s="14" t="s">
        <v>1066</v>
      </c>
      <c r="F93" s="14" t="s">
        <v>1067</v>
      </c>
      <c r="G93" s="14" t="s">
        <v>64</v>
      </c>
      <c r="H93" s="14" t="s">
        <v>765</v>
      </c>
      <c r="I93" s="16">
        <v>1</v>
      </c>
      <c r="J93" s="16">
        <v>1</v>
      </c>
      <c r="K93" s="16" t="s">
        <v>33</v>
      </c>
      <c r="L93" s="15" t="s">
        <v>33</v>
      </c>
      <c r="M93" s="14" t="s">
        <v>33</v>
      </c>
      <c r="N93" s="14" t="s">
        <v>768</v>
      </c>
      <c r="O93" s="14" t="s">
        <v>769</v>
      </c>
      <c r="P93" s="14" t="s">
        <v>770</v>
      </c>
      <c r="Q93" s="14" t="s">
        <v>771</v>
      </c>
      <c r="R93" s="14" t="s">
        <v>772</v>
      </c>
      <c r="S93" s="15" t="s">
        <v>773</v>
      </c>
      <c r="T93" s="14" t="s">
        <v>44</v>
      </c>
      <c r="U93" s="15" t="s">
        <v>33</v>
      </c>
      <c r="V93" s="14" t="s">
        <v>1068</v>
      </c>
      <c r="W93" s="12">
        <f>HYPERLINK("https://my.pitchbook.com?p=349288-66P","View People Online")</f>
      </c>
    </row>
    <row r="94">
      <c r="A94" s="10" t="s">
        <v>1069</v>
      </c>
      <c r="B94" s="10" t="s">
        <v>1070</v>
      </c>
      <c r="C94" s="13">
        <f>HYPERLINK("http://www.brightwire.com","www.brightwire.com")</f>
      </c>
      <c r="D94" s="10" t="s">
        <v>761</v>
      </c>
      <c r="E94" s="10" t="s">
        <v>1071</v>
      </c>
      <c r="F94" s="10" t="s">
        <v>1072</v>
      </c>
      <c r="G94" s="10" t="s">
        <v>1073</v>
      </c>
      <c r="H94" s="10" t="s">
        <v>1074</v>
      </c>
      <c r="I94" s="9">
        <v>1</v>
      </c>
      <c r="J94" s="9">
        <v>1</v>
      </c>
      <c r="K94" s="9" t="s">
        <v>33</v>
      </c>
      <c r="L94" s="11" t="s">
        <v>33</v>
      </c>
      <c r="M94" s="10" t="s">
        <v>33</v>
      </c>
      <c r="N94" s="10" t="s">
        <v>1075</v>
      </c>
      <c r="O94" s="10" t="s">
        <v>1076</v>
      </c>
      <c r="P94" s="10" t="s">
        <v>33</v>
      </c>
      <c r="Q94" s="10" t="s">
        <v>785</v>
      </c>
      <c r="R94" s="10" t="s">
        <v>344</v>
      </c>
      <c r="S94" s="11" t="s">
        <v>1077</v>
      </c>
      <c r="T94" s="10" t="s">
        <v>44</v>
      </c>
      <c r="U94" s="11" t="s">
        <v>33</v>
      </c>
      <c r="V94" s="10" t="s">
        <v>1078</v>
      </c>
      <c r="W94" s="13">
        <f>HYPERLINK("https://my.pitchbook.com?p=39116-44P","View People Online")</f>
      </c>
    </row>
    <row r="95">
      <c r="A95" s="14" t="s">
        <v>1079</v>
      </c>
      <c r="B95" s="14" t="s">
        <v>1080</v>
      </c>
      <c r="C95" s="12">
        <f>HYPERLINK("http://www.custompakproducts.com","www.custompakproducts.com")</f>
      </c>
      <c r="D95" s="14" t="s">
        <v>761</v>
      </c>
      <c r="E95" s="14" t="s">
        <v>1081</v>
      </c>
      <c r="F95" s="14" t="s">
        <v>1072</v>
      </c>
      <c r="G95" s="14" t="s">
        <v>1082</v>
      </c>
      <c r="H95" s="14" t="s">
        <v>1083</v>
      </c>
      <c r="I95" s="16">
        <v>2</v>
      </c>
      <c r="J95" s="16">
        <v>3</v>
      </c>
      <c r="K95" s="16">
        <v>1</v>
      </c>
      <c r="L95" s="15" t="s">
        <v>1084</v>
      </c>
      <c r="M95" s="14" t="s">
        <v>1085</v>
      </c>
      <c r="N95" s="14" t="s">
        <v>1086</v>
      </c>
      <c r="O95" s="14" t="s">
        <v>1087</v>
      </c>
      <c r="P95" s="14" t="s">
        <v>33</v>
      </c>
      <c r="Q95" s="14" t="s">
        <v>1088</v>
      </c>
      <c r="R95" s="14" t="s">
        <v>1089</v>
      </c>
      <c r="S95" s="15" t="s">
        <v>1090</v>
      </c>
      <c r="T95" s="14" t="s">
        <v>44</v>
      </c>
      <c r="U95" s="15" t="s">
        <v>1091</v>
      </c>
      <c r="V95" s="14" t="s">
        <v>1092</v>
      </c>
      <c r="W95" s="12">
        <f>HYPERLINK("https://my.pitchbook.com?p=16422-22P","View People Online")</f>
      </c>
    </row>
    <row r="96">
      <c r="A96" s="10" t="s">
        <v>1093</v>
      </c>
      <c r="B96" s="10" t="s">
        <v>1094</v>
      </c>
      <c r="C96" s="13">
        <f>HYPERLINK("http://www.amava.com","www.amava.com")</f>
      </c>
      <c r="D96" s="10" t="s">
        <v>761</v>
      </c>
      <c r="E96" s="10" t="s">
        <v>1095</v>
      </c>
      <c r="F96" s="10" t="s">
        <v>1072</v>
      </c>
      <c r="G96" s="10" t="s">
        <v>64</v>
      </c>
      <c r="H96" s="10" t="s">
        <v>1096</v>
      </c>
      <c r="I96" s="9">
        <v>1</v>
      </c>
      <c r="J96" s="9">
        <v>1</v>
      </c>
      <c r="K96" s="9" t="s">
        <v>33</v>
      </c>
      <c r="L96" s="11" t="s">
        <v>1097</v>
      </c>
      <c r="M96" s="10" t="s">
        <v>33</v>
      </c>
      <c r="N96" s="10" t="s">
        <v>422</v>
      </c>
      <c r="O96" s="10" t="s">
        <v>1098</v>
      </c>
      <c r="P96" s="10" t="s">
        <v>1099</v>
      </c>
      <c r="Q96" s="10" t="s">
        <v>425</v>
      </c>
      <c r="R96" s="10" t="s">
        <v>42</v>
      </c>
      <c r="S96" s="11" t="s">
        <v>426</v>
      </c>
      <c r="T96" s="10" t="s">
        <v>44</v>
      </c>
      <c r="U96" s="11" t="s">
        <v>33</v>
      </c>
      <c r="V96" s="10" t="s">
        <v>1100</v>
      </c>
      <c r="W96" s="13">
        <f>HYPERLINK("https://my.pitchbook.com?p=44954-29P","View People Online")</f>
      </c>
    </row>
    <row r="97">
      <c r="A97" s="14" t="s">
        <v>1101</v>
      </c>
      <c r="B97" s="14" t="s">
        <v>1102</v>
      </c>
      <c r="C97" s="12">
        <f>HYPERLINK("http://www.mojomobility.com","www.mojomobility.com")</f>
      </c>
      <c r="D97" s="14" t="s">
        <v>761</v>
      </c>
      <c r="E97" s="14" t="s">
        <v>1103</v>
      </c>
      <c r="F97" s="14" t="s">
        <v>1072</v>
      </c>
      <c r="G97" s="14" t="s">
        <v>64</v>
      </c>
      <c r="H97" s="14" t="s">
        <v>1104</v>
      </c>
      <c r="I97" s="16">
        <v>1</v>
      </c>
      <c r="J97" s="16">
        <v>1</v>
      </c>
      <c r="K97" s="16" t="s">
        <v>33</v>
      </c>
      <c r="L97" s="15" t="s">
        <v>1105</v>
      </c>
      <c r="M97" s="14" t="s">
        <v>33</v>
      </c>
      <c r="N97" s="14" t="s">
        <v>286</v>
      </c>
      <c r="O97" s="14" t="s">
        <v>1106</v>
      </c>
      <c r="P97" s="14" t="s">
        <v>33</v>
      </c>
      <c r="Q97" s="14" t="s">
        <v>288</v>
      </c>
      <c r="R97" s="14" t="s">
        <v>42</v>
      </c>
      <c r="S97" s="15" t="s">
        <v>1107</v>
      </c>
      <c r="T97" s="14" t="s">
        <v>44</v>
      </c>
      <c r="U97" s="15" t="s">
        <v>33</v>
      </c>
      <c r="V97" s="14" t="s">
        <v>1108</v>
      </c>
      <c r="W97" s="12">
        <f>HYPERLINK("https://my.pitchbook.com?p=69592-60P","View People Online")</f>
      </c>
    </row>
    <row r="98">
      <c r="A98" s="10" t="s">
        <v>1109</v>
      </c>
      <c r="B98" s="10" t="s">
        <v>1110</v>
      </c>
      <c r="C98" s="13">
        <f>HYPERLINK("http://www.customeros.ai","www.customeros.ai")</f>
      </c>
      <c r="D98" s="10" t="s">
        <v>761</v>
      </c>
      <c r="E98" s="10" t="s">
        <v>1111</v>
      </c>
      <c r="F98" s="10" t="s">
        <v>1112</v>
      </c>
      <c r="G98" s="10" t="s">
        <v>1113</v>
      </c>
      <c r="H98" s="10" t="s">
        <v>1114</v>
      </c>
      <c r="I98" s="9">
        <v>1</v>
      </c>
      <c r="J98" s="9">
        <v>4</v>
      </c>
      <c r="K98" s="9">
        <v>2</v>
      </c>
      <c r="L98" s="11" t="s">
        <v>33</v>
      </c>
      <c r="M98" s="10" t="s">
        <v>1115</v>
      </c>
      <c r="N98" s="10" t="s">
        <v>1116</v>
      </c>
      <c r="O98" s="10" t="s">
        <v>1117</v>
      </c>
      <c r="P98" s="10" t="s">
        <v>33</v>
      </c>
      <c r="Q98" s="10" t="s">
        <v>1118</v>
      </c>
      <c r="R98" s="10" t="s">
        <v>786</v>
      </c>
      <c r="S98" s="11" t="s">
        <v>1119</v>
      </c>
      <c r="T98" s="10" t="s">
        <v>44</v>
      </c>
      <c r="U98" s="11" t="s">
        <v>33</v>
      </c>
      <c r="V98" s="10" t="s">
        <v>1120</v>
      </c>
      <c r="W98" s="13">
        <f>HYPERLINK("https://my.pitchbook.com?p=309342-43P","View People Online")</f>
      </c>
    </row>
    <row r="99">
      <c r="A99" s="14" t="s">
        <v>1121</v>
      </c>
      <c r="B99" s="14" t="s">
        <v>1122</v>
      </c>
      <c r="C99" s="12">
        <f>HYPERLINK("http://www.sequoiavaccines.com","www.sequoiavaccines.com")</f>
      </c>
      <c r="D99" s="14" t="s">
        <v>761</v>
      </c>
      <c r="E99" s="14" t="s">
        <v>1123</v>
      </c>
      <c r="F99" s="14" t="s">
        <v>610</v>
      </c>
      <c r="G99" s="14" t="s">
        <v>64</v>
      </c>
      <c r="H99" s="14" t="s">
        <v>1036</v>
      </c>
      <c r="I99" s="16">
        <v>1</v>
      </c>
      <c r="J99" s="16">
        <v>1</v>
      </c>
      <c r="K99" s="16" t="s">
        <v>33</v>
      </c>
      <c r="L99" s="15" t="s">
        <v>1037</v>
      </c>
      <c r="M99" s="14" t="s">
        <v>33</v>
      </c>
      <c r="N99" s="14" t="s">
        <v>533</v>
      </c>
      <c r="O99" s="14" t="s">
        <v>1038</v>
      </c>
      <c r="P99" s="14" t="s">
        <v>33</v>
      </c>
      <c r="Q99" s="14" t="s">
        <v>536</v>
      </c>
      <c r="R99" s="14" t="s">
        <v>537</v>
      </c>
      <c r="S99" s="15" t="s">
        <v>1039</v>
      </c>
      <c r="T99" s="14" t="s">
        <v>44</v>
      </c>
      <c r="U99" s="15" t="s">
        <v>1040</v>
      </c>
      <c r="V99" s="14" t="s">
        <v>1124</v>
      </c>
      <c r="W99" s="12">
        <f>HYPERLINK("https://my.pitchbook.com?p=220500-91P","View People Online")</f>
      </c>
    </row>
    <row r="100">
      <c r="A100" s="10" t="s">
        <v>1125</v>
      </c>
      <c r="B100" s="10" t="s">
        <v>1126</v>
      </c>
      <c r="C100" s="13">
        <f>HYPERLINK("http://www.infinyte.club","www.infinyte.club")</f>
      </c>
      <c r="D100" s="10" t="s">
        <v>761</v>
      </c>
      <c r="E100" s="10" t="s">
        <v>1127</v>
      </c>
      <c r="F100" s="10" t="s">
        <v>1128</v>
      </c>
      <c r="G100" s="10" t="s">
        <v>666</v>
      </c>
      <c r="H100" s="10" t="s">
        <v>1129</v>
      </c>
      <c r="I100" s="9">
        <v>1</v>
      </c>
      <c r="J100" s="9">
        <v>1</v>
      </c>
      <c r="K100" s="9" t="s">
        <v>33</v>
      </c>
      <c r="L100" s="11" t="s">
        <v>1130</v>
      </c>
      <c r="M100" s="10" t="s">
        <v>1131</v>
      </c>
      <c r="N100" s="10" t="s">
        <v>133</v>
      </c>
      <c r="O100" s="10" t="s">
        <v>1132</v>
      </c>
      <c r="P100" s="10" t="s">
        <v>1133</v>
      </c>
      <c r="Q100" s="10" t="s">
        <v>136</v>
      </c>
      <c r="R100" s="10" t="s">
        <v>113</v>
      </c>
      <c r="S100" s="11" t="s">
        <v>1134</v>
      </c>
      <c r="T100" s="10" t="s">
        <v>115</v>
      </c>
      <c r="U100" s="11" t="s">
        <v>33</v>
      </c>
      <c r="V100" s="10" t="s">
        <v>1135</v>
      </c>
      <c r="W100" s="13">
        <f>HYPERLINK("https://my.pitchbook.com?p=174132-46P","View People Online")</f>
      </c>
    </row>
    <row r="101">
      <c r="A101" s="14" t="s">
        <v>1136</v>
      </c>
      <c r="B101" s="14" t="s">
        <v>1137</v>
      </c>
      <c r="C101" s="12">
        <f>HYPERLINK("http://www.tekstream.com","www.tekstream.com")</f>
      </c>
      <c r="D101" s="14" t="s">
        <v>761</v>
      </c>
      <c r="E101" s="14" t="s">
        <v>1138</v>
      </c>
      <c r="F101" s="14" t="s">
        <v>1139</v>
      </c>
      <c r="G101" s="14" t="s">
        <v>1140</v>
      </c>
      <c r="H101" s="14" t="s">
        <v>1141</v>
      </c>
      <c r="I101" s="16">
        <v>1</v>
      </c>
      <c r="J101" s="16">
        <v>1</v>
      </c>
      <c r="K101" s="16" t="s">
        <v>33</v>
      </c>
      <c r="L101" s="15" t="s">
        <v>1142</v>
      </c>
      <c r="M101" s="14" t="s">
        <v>1143</v>
      </c>
      <c r="N101" s="14" t="s">
        <v>1144</v>
      </c>
      <c r="O101" s="14" t="s">
        <v>1145</v>
      </c>
      <c r="P101" s="14" t="s">
        <v>1146</v>
      </c>
      <c r="Q101" s="14" t="s">
        <v>1147</v>
      </c>
      <c r="R101" s="14" t="s">
        <v>1148</v>
      </c>
      <c r="S101" s="15" t="s">
        <v>1149</v>
      </c>
      <c r="T101" s="14" t="s">
        <v>44</v>
      </c>
      <c r="U101" s="15" t="s">
        <v>1150</v>
      </c>
      <c r="V101" s="14" t="s">
        <v>1151</v>
      </c>
      <c r="W101" s="12">
        <f>HYPERLINK("https://my.pitchbook.com?p=118361-98P","View People Online")</f>
      </c>
    </row>
    <row r="102">
      <c r="A102" s="10" t="s">
        <v>1152</v>
      </c>
      <c r="B102" s="10" t="s">
        <v>1153</v>
      </c>
      <c r="C102" s="13">
        <f>HYPERLINK("http://www.sage.care","www.sage.care")</f>
      </c>
      <c r="D102" s="10" t="s">
        <v>761</v>
      </c>
      <c r="E102" s="10" t="s">
        <v>1154</v>
      </c>
      <c r="F102" s="10" t="s">
        <v>1155</v>
      </c>
      <c r="G102" s="10" t="s">
        <v>881</v>
      </c>
      <c r="H102" s="10" t="s">
        <v>1156</v>
      </c>
      <c r="I102" s="9">
        <v>2</v>
      </c>
      <c r="J102" s="9">
        <v>4</v>
      </c>
      <c r="K102" s="9" t="s">
        <v>33</v>
      </c>
      <c r="L102" s="11" t="s">
        <v>33</v>
      </c>
      <c r="M102" s="10" t="s">
        <v>33</v>
      </c>
      <c r="N102" s="10" t="s">
        <v>286</v>
      </c>
      <c r="O102" s="10" t="s">
        <v>33</v>
      </c>
      <c r="P102" s="10" t="s">
        <v>33</v>
      </c>
      <c r="Q102" s="10" t="s">
        <v>288</v>
      </c>
      <c r="R102" s="10" t="s">
        <v>42</v>
      </c>
      <c r="S102" s="11" t="s">
        <v>33</v>
      </c>
      <c r="T102" s="10" t="s">
        <v>44</v>
      </c>
      <c r="U102" s="11" t="s">
        <v>33</v>
      </c>
      <c r="V102" s="10" t="s">
        <v>1157</v>
      </c>
      <c r="W102" s="13">
        <f>HYPERLINK("https://my.pitchbook.com?p=173948-41P","View People Online")</f>
      </c>
    </row>
    <row r="103">
      <c r="A103" s="14" t="s">
        <v>1158</v>
      </c>
      <c r="B103" s="14" t="s">
        <v>1159</v>
      </c>
      <c r="C103" s="12">
        <f>HYPERLINK("http://www.modelml.com","www.modelml.com")</f>
      </c>
      <c r="D103" s="14" t="s">
        <v>761</v>
      </c>
      <c r="E103" s="14" t="s">
        <v>1160</v>
      </c>
      <c r="F103" s="14" t="s">
        <v>417</v>
      </c>
      <c r="G103" s="14" t="s">
        <v>1161</v>
      </c>
      <c r="H103" s="14" t="s">
        <v>1162</v>
      </c>
      <c r="I103" s="16">
        <v>1</v>
      </c>
      <c r="J103" s="16">
        <v>7</v>
      </c>
      <c r="K103" s="16">
        <v>2</v>
      </c>
      <c r="L103" s="15" t="s">
        <v>33</v>
      </c>
      <c r="M103" s="14" t="s">
        <v>33</v>
      </c>
      <c r="N103" s="14" t="s">
        <v>40</v>
      </c>
      <c r="O103" s="14" t="s">
        <v>1163</v>
      </c>
      <c r="P103" s="14" t="s">
        <v>1164</v>
      </c>
      <c r="Q103" s="14" t="s">
        <v>41</v>
      </c>
      <c r="R103" s="14" t="s">
        <v>42</v>
      </c>
      <c r="S103" s="15" t="s">
        <v>1165</v>
      </c>
      <c r="T103" s="14" t="s">
        <v>44</v>
      </c>
      <c r="U103" s="15" t="s">
        <v>33</v>
      </c>
      <c r="V103" s="14" t="s">
        <v>1166</v>
      </c>
      <c r="W103" s="12">
        <f>HYPERLINK("https://my.pitchbook.com?p=91009-18P","View People Online")</f>
      </c>
    </row>
    <row r="104">
      <c r="A104" s="10" t="s">
        <v>1167</v>
      </c>
      <c r="B104" s="10" t="s">
        <v>1168</v>
      </c>
      <c r="C104" s="13">
        <f>HYPERLINK("http://www.sequoiavaccines.com","www.sequoiavaccines.com")</f>
      </c>
      <c r="D104" s="10" t="s">
        <v>761</v>
      </c>
      <c r="E104" s="10" t="s">
        <v>1169</v>
      </c>
      <c r="F104" s="10" t="s">
        <v>1170</v>
      </c>
      <c r="G104" s="10" t="s">
        <v>808</v>
      </c>
      <c r="H104" s="10" t="s">
        <v>1036</v>
      </c>
      <c r="I104" s="9">
        <v>1</v>
      </c>
      <c r="J104" s="9">
        <v>1</v>
      </c>
      <c r="K104" s="9" t="s">
        <v>33</v>
      </c>
      <c r="L104" s="11" t="s">
        <v>1037</v>
      </c>
      <c r="M104" s="10" t="s">
        <v>33</v>
      </c>
      <c r="N104" s="10" t="s">
        <v>533</v>
      </c>
      <c r="O104" s="10" t="s">
        <v>1038</v>
      </c>
      <c r="P104" s="10" t="s">
        <v>33</v>
      </c>
      <c r="Q104" s="10" t="s">
        <v>536</v>
      </c>
      <c r="R104" s="10" t="s">
        <v>537</v>
      </c>
      <c r="S104" s="11" t="s">
        <v>1039</v>
      </c>
      <c r="T104" s="10" t="s">
        <v>44</v>
      </c>
      <c r="U104" s="11" t="s">
        <v>1040</v>
      </c>
      <c r="V104" s="10" t="s">
        <v>1171</v>
      </c>
      <c r="W104" s="13">
        <f>HYPERLINK("https://my.pitchbook.com?p=39768-31P","View People Online")</f>
      </c>
    </row>
    <row r="105">
      <c r="A105" s="14" t="s">
        <v>1172</v>
      </c>
      <c r="B105" s="14" t="s">
        <v>1173</v>
      </c>
      <c r="C105" s="12">
        <f>HYPERLINK("http://www.gridgain.com","www.gridgain.com")</f>
      </c>
      <c r="D105" s="14" t="s">
        <v>761</v>
      </c>
      <c r="E105" s="14" t="s">
        <v>1174</v>
      </c>
      <c r="F105" s="14" t="s">
        <v>1175</v>
      </c>
      <c r="G105" s="14" t="s">
        <v>64</v>
      </c>
      <c r="H105" s="14" t="s">
        <v>1176</v>
      </c>
      <c r="I105" s="16">
        <v>1</v>
      </c>
      <c r="J105" s="16">
        <v>9</v>
      </c>
      <c r="K105" s="16">
        <v>6</v>
      </c>
      <c r="L105" s="15" t="s">
        <v>1177</v>
      </c>
      <c r="M105" s="14" t="s">
        <v>33</v>
      </c>
      <c r="N105" s="14" t="s">
        <v>1178</v>
      </c>
      <c r="O105" s="14" t="s">
        <v>1179</v>
      </c>
      <c r="P105" s="14" t="s">
        <v>1180</v>
      </c>
      <c r="Q105" s="14" t="s">
        <v>1181</v>
      </c>
      <c r="R105" s="14" t="s">
        <v>42</v>
      </c>
      <c r="S105" s="15" t="s">
        <v>659</v>
      </c>
      <c r="T105" s="14" t="s">
        <v>44</v>
      </c>
      <c r="U105" s="15" t="s">
        <v>33</v>
      </c>
      <c r="V105" s="14" t="s">
        <v>1182</v>
      </c>
      <c r="W105" s="12">
        <f>HYPERLINK("https://my.pitchbook.com?p=40479-04P","View People Online")</f>
      </c>
    </row>
    <row r="106">
      <c r="A106" s="10" t="s">
        <v>1183</v>
      </c>
      <c r="B106" s="10" t="s">
        <v>1184</v>
      </c>
      <c r="C106" s="13">
        <f>HYPERLINK("http://www.mdrevolution.com","www.mdrevolution.com")</f>
      </c>
      <c r="D106" s="10" t="s">
        <v>761</v>
      </c>
      <c r="E106" s="10" t="s">
        <v>1185</v>
      </c>
      <c r="F106" s="10" t="s">
        <v>1186</v>
      </c>
      <c r="G106" s="10" t="s">
        <v>1187</v>
      </c>
      <c r="H106" s="10" t="s">
        <v>1055</v>
      </c>
      <c r="I106" s="9">
        <v>2</v>
      </c>
      <c r="J106" s="9">
        <v>16</v>
      </c>
      <c r="K106" s="9">
        <v>10</v>
      </c>
      <c r="L106" s="11" t="s">
        <v>1188</v>
      </c>
      <c r="M106" s="10" t="s">
        <v>1189</v>
      </c>
      <c r="N106" s="10" t="s">
        <v>1058</v>
      </c>
      <c r="O106" s="10" t="s">
        <v>1059</v>
      </c>
      <c r="P106" s="10" t="s">
        <v>1060</v>
      </c>
      <c r="Q106" s="10" t="s">
        <v>1061</v>
      </c>
      <c r="R106" s="10" t="s">
        <v>42</v>
      </c>
      <c r="S106" s="11" t="s">
        <v>1062</v>
      </c>
      <c r="T106" s="10" t="s">
        <v>44</v>
      </c>
      <c r="U106" s="11" t="s">
        <v>33</v>
      </c>
      <c r="V106" s="10" t="s">
        <v>1190</v>
      </c>
      <c r="W106" s="13">
        <f>HYPERLINK("https://my.pitchbook.com?p=63823-78P","View People Online")</f>
      </c>
    </row>
    <row r="107">
      <c r="A107" s="14" t="s">
        <v>1191</v>
      </c>
      <c r="B107" s="14" t="s">
        <v>1192</v>
      </c>
      <c r="C107" s="12">
        <f>HYPERLINK("http://www.sequoiahealth.co.uk","www.sequoiahealth.co.uk")</f>
      </c>
      <c r="D107" s="14" t="s">
        <v>761</v>
      </c>
      <c r="E107" s="14" t="s">
        <v>1193</v>
      </c>
      <c r="F107" s="14" t="s">
        <v>1194</v>
      </c>
      <c r="G107" s="14" t="s">
        <v>1195</v>
      </c>
      <c r="H107" s="14" t="s">
        <v>1196</v>
      </c>
      <c r="I107" s="16">
        <v>1</v>
      </c>
      <c r="J107" s="16">
        <v>1</v>
      </c>
      <c r="K107" s="16" t="s">
        <v>33</v>
      </c>
      <c r="L107" s="15" t="s">
        <v>1197</v>
      </c>
      <c r="M107" s="14" t="s">
        <v>1198</v>
      </c>
      <c r="N107" s="14" t="s">
        <v>1199</v>
      </c>
      <c r="O107" s="14" t="s">
        <v>1200</v>
      </c>
      <c r="P107" s="14" t="s">
        <v>33</v>
      </c>
      <c r="Q107" s="14" t="s">
        <v>1201</v>
      </c>
      <c r="R107" s="14" t="s">
        <v>274</v>
      </c>
      <c r="S107" s="15" t="s">
        <v>1202</v>
      </c>
      <c r="T107" s="14" t="s">
        <v>276</v>
      </c>
      <c r="U107" s="15" t="s">
        <v>33</v>
      </c>
      <c r="V107" s="14" t="s">
        <v>1203</v>
      </c>
      <c r="W107" s="12">
        <f>HYPERLINK("https://my.pitchbook.com?p=359447-05P","View People Online")</f>
      </c>
    </row>
    <row r="108">
      <c r="A108" s="10" t="s">
        <v>1204</v>
      </c>
      <c r="B108" s="10" t="s">
        <v>1205</v>
      </c>
      <c r="C108" s="13">
        <f>HYPERLINK("http://www.silicalabs.com","www.silicalabs.com")</f>
      </c>
      <c r="D108" s="10" t="s">
        <v>761</v>
      </c>
      <c r="E108" s="10" t="s">
        <v>1206</v>
      </c>
      <c r="F108" s="10" t="s">
        <v>1207</v>
      </c>
      <c r="G108" s="10" t="s">
        <v>881</v>
      </c>
      <c r="H108" s="10" t="s">
        <v>1208</v>
      </c>
      <c r="I108" s="9">
        <v>1</v>
      </c>
      <c r="J108" s="9">
        <v>7</v>
      </c>
      <c r="K108" s="9">
        <v>2</v>
      </c>
      <c r="L108" s="11" t="s">
        <v>33</v>
      </c>
      <c r="M108" s="10" t="s">
        <v>33</v>
      </c>
      <c r="N108" s="10" t="s">
        <v>67</v>
      </c>
      <c r="O108" s="10" t="s">
        <v>1209</v>
      </c>
      <c r="P108" s="10" t="s">
        <v>33</v>
      </c>
      <c r="Q108" s="10" t="s">
        <v>70</v>
      </c>
      <c r="R108" s="10" t="s">
        <v>71</v>
      </c>
      <c r="S108" s="11" t="s">
        <v>1210</v>
      </c>
      <c r="T108" s="10" t="s">
        <v>44</v>
      </c>
      <c r="U108" s="11" t="s">
        <v>33</v>
      </c>
      <c r="V108" s="10" t="s">
        <v>1211</v>
      </c>
      <c r="W108" s="13">
        <f>HYPERLINK("https://my.pitchbook.com?p=92088-01P","View People Online")</f>
      </c>
    </row>
    <row r="109">
      <c r="A109" s="14" t="s">
        <v>1212</v>
      </c>
      <c r="B109" s="14" t="s">
        <v>1213</v>
      </c>
      <c r="C109" s="12">
        <f>HYPERLINK("http://www.sequoiavaccines.com","www.sequoiavaccines.com")</f>
      </c>
      <c r="D109" s="14" t="s">
        <v>761</v>
      </c>
      <c r="E109" s="14" t="s">
        <v>1214</v>
      </c>
      <c r="F109" s="14" t="s">
        <v>225</v>
      </c>
      <c r="G109" s="14" t="s">
        <v>64</v>
      </c>
      <c r="H109" s="14" t="s">
        <v>1036</v>
      </c>
      <c r="I109" s="16">
        <v>1</v>
      </c>
      <c r="J109" s="16">
        <v>1</v>
      </c>
      <c r="K109" s="16" t="s">
        <v>33</v>
      </c>
      <c r="L109" s="15" t="s">
        <v>1037</v>
      </c>
      <c r="M109" s="14" t="s">
        <v>33</v>
      </c>
      <c r="N109" s="14" t="s">
        <v>533</v>
      </c>
      <c r="O109" s="14" t="s">
        <v>1038</v>
      </c>
      <c r="P109" s="14" t="s">
        <v>33</v>
      </c>
      <c r="Q109" s="14" t="s">
        <v>536</v>
      </c>
      <c r="R109" s="14" t="s">
        <v>537</v>
      </c>
      <c r="S109" s="15" t="s">
        <v>1039</v>
      </c>
      <c r="T109" s="14" t="s">
        <v>44</v>
      </c>
      <c r="U109" s="15" t="s">
        <v>1040</v>
      </c>
      <c r="V109" s="14" t="s">
        <v>1215</v>
      </c>
      <c r="W109" s="12">
        <f>HYPERLINK("https://my.pitchbook.com?p=296026-75P","View People Online")</f>
      </c>
    </row>
    <row r="110">
      <c r="A110" s="10" t="s">
        <v>1216</v>
      </c>
      <c r="B110" s="10" t="s">
        <v>1217</v>
      </c>
      <c r="C110" s="13">
        <f>HYPERLINK("http://www.thrivefarmers.com","www.thrivefarmers.com")</f>
      </c>
      <c r="D110" s="10" t="s">
        <v>761</v>
      </c>
      <c r="E110" s="10" t="s">
        <v>1218</v>
      </c>
      <c r="F110" s="10" t="s">
        <v>225</v>
      </c>
      <c r="G110" s="10" t="s">
        <v>870</v>
      </c>
      <c r="H110" s="10" t="s">
        <v>1219</v>
      </c>
      <c r="I110" s="9">
        <v>1</v>
      </c>
      <c r="J110" s="9">
        <v>1</v>
      </c>
      <c r="K110" s="9" t="s">
        <v>33</v>
      </c>
      <c r="L110" s="11" t="s">
        <v>1220</v>
      </c>
      <c r="M110" s="10" t="s">
        <v>1221</v>
      </c>
      <c r="N110" s="10" t="s">
        <v>1222</v>
      </c>
      <c r="O110" s="10" t="s">
        <v>1223</v>
      </c>
      <c r="P110" s="10" t="s">
        <v>825</v>
      </c>
      <c r="Q110" s="10" t="s">
        <v>1224</v>
      </c>
      <c r="R110" s="10" t="s">
        <v>1148</v>
      </c>
      <c r="S110" s="11" t="s">
        <v>1225</v>
      </c>
      <c r="T110" s="10" t="s">
        <v>44</v>
      </c>
      <c r="U110" s="11" t="s">
        <v>1226</v>
      </c>
      <c r="V110" s="10" t="s">
        <v>1227</v>
      </c>
      <c r="W110" s="13">
        <f>HYPERLINK("https://my.pitchbook.com?p=35833-96P","View People Online")</f>
      </c>
    </row>
    <row r="111">
      <c r="A111" s="14" t="s">
        <v>1228</v>
      </c>
      <c r="B111" s="14" t="s">
        <v>1229</v>
      </c>
      <c r="C111" s="12">
        <f>HYPERLINK("http://www.currencycloud.com","www.currencycloud.com")</f>
      </c>
      <c r="D111" s="14" t="s">
        <v>761</v>
      </c>
      <c r="E111" s="14" t="s">
        <v>1230</v>
      </c>
      <c r="F111" s="14" t="s">
        <v>225</v>
      </c>
      <c r="G111" s="14" t="s">
        <v>808</v>
      </c>
      <c r="H111" s="14" t="s">
        <v>1231</v>
      </c>
      <c r="I111" s="16">
        <v>3</v>
      </c>
      <c r="J111" s="16">
        <v>5</v>
      </c>
      <c r="K111" s="16" t="s">
        <v>33</v>
      </c>
      <c r="L111" s="15" t="s">
        <v>1232</v>
      </c>
      <c r="M111" s="14" t="s">
        <v>1233</v>
      </c>
      <c r="N111" s="14" t="s">
        <v>272</v>
      </c>
      <c r="O111" s="14" t="s">
        <v>1234</v>
      </c>
      <c r="P111" s="14" t="s">
        <v>1235</v>
      </c>
      <c r="Q111" s="14" t="s">
        <v>273</v>
      </c>
      <c r="R111" s="14" t="s">
        <v>274</v>
      </c>
      <c r="S111" s="15" t="s">
        <v>1236</v>
      </c>
      <c r="T111" s="14" t="s">
        <v>276</v>
      </c>
      <c r="U111" s="15" t="s">
        <v>33</v>
      </c>
      <c r="V111" s="14" t="s">
        <v>1237</v>
      </c>
      <c r="W111" s="12">
        <f>HYPERLINK("https://my.pitchbook.com?p=35799-67P","View People Online")</f>
      </c>
    </row>
    <row r="112">
      <c r="A112" s="10" t="s">
        <v>1238</v>
      </c>
      <c r="B112" s="10" t="s">
        <v>1239</v>
      </c>
      <c r="C112" s="13">
        <f>HYPERLINK("http://www.sequoiavaccines.com","www.sequoiavaccines.com")</f>
      </c>
      <c r="D112" s="10" t="s">
        <v>761</v>
      </c>
      <c r="E112" s="10" t="s">
        <v>1240</v>
      </c>
      <c r="F112" s="10" t="s">
        <v>225</v>
      </c>
      <c r="G112" s="10" t="s">
        <v>64</v>
      </c>
      <c r="H112" s="10" t="s">
        <v>1036</v>
      </c>
      <c r="I112" s="9">
        <v>1</v>
      </c>
      <c r="J112" s="9">
        <v>1</v>
      </c>
      <c r="K112" s="9" t="s">
        <v>33</v>
      </c>
      <c r="L112" s="11" t="s">
        <v>1037</v>
      </c>
      <c r="M112" s="10" t="s">
        <v>33</v>
      </c>
      <c r="N112" s="10" t="s">
        <v>533</v>
      </c>
      <c r="O112" s="10" t="s">
        <v>1038</v>
      </c>
      <c r="P112" s="10" t="s">
        <v>33</v>
      </c>
      <c r="Q112" s="10" t="s">
        <v>536</v>
      </c>
      <c r="R112" s="10" t="s">
        <v>537</v>
      </c>
      <c r="S112" s="11" t="s">
        <v>1039</v>
      </c>
      <c r="T112" s="10" t="s">
        <v>44</v>
      </c>
      <c r="U112" s="11" t="s">
        <v>1040</v>
      </c>
      <c r="V112" s="10" t="s">
        <v>1241</v>
      </c>
      <c r="W112" s="13">
        <f>HYPERLINK("https://my.pitchbook.com?p=220501-18P","View People Online")</f>
      </c>
    </row>
    <row r="113">
      <c r="A113" s="14" t="s">
        <v>1242</v>
      </c>
      <c r="B113" s="14" t="s">
        <v>1243</v>
      </c>
      <c r="C113" s="12">
        <f>HYPERLINK("http://www.aspenify.com","www.aspenify.com")</f>
      </c>
      <c r="D113" s="14" t="s">
        <v>761</v>
      </c>
      <c r="E113" s="14" t="s">
        <v>1244</v>
      </c>
      <c r="F113" s="14" t="s">
        <v>225</v>
      </c>
      <c r="G113" s="14" t="s">
        <v>1245</v>
      </c>
      <c r="H113" s="14" t="s">
        <v>1246</v>
      </c>
      <c r="I113" s="16">
        <v>1</v>
      </c>
      <c r="J113" s="16">
        <v>1</v>
      </c>
      <c r="K113" s="16" t="s">
        <v>33</v>
      </c>
      <c r="L113" s="15" t="s">
        <v>1247</v>
      </c>
      <c r="M113" s="14" t="s">
        <v>1248</v>
      </c>
      <c r="N113" s="14" t="s">
        <v>849</v>
      </c>
      <c r="O113" s="14" t="s">
        <v>1249</v>
      </c>
      <c r="P113" s="14" t="s">
        <v>825</v>
      </c>
      <c r="Q113" s="14" t="s">
        <v>852</v>
      </c>
      <c r="R113" s="14" t="s">
        <v>42</v>
      </c>
      <c r="S113" s="15" t="s">
        <v>1250</v>
      </c>
      <c r="T113" s="14" t="s">
        <v>44</v>
      </c>
      <c r="U113" s="15" t="s">
        <v>33</v>
      </c>
      <c r="V113" s="14" t="s">
        <v>1251</v>
      </c>
      <c r="W113" s="12">
        <f>HYPERLINK("https://my.pitchbook.com?p=121503-07P","View People Online")</f>
      </c>
    </row>
    <row r="114">
      <c r="A114" s="10" t="s">
        <v>1252</v>
      </c>
      <c r="B114" s="10" t="s">
        <v>1253</v>
      </c>
      <c r="C114" s="13">
        <f>HYPERLINK("http://www.lingolive.com","www.lingolive.com")</f>
      </c>
      <c r="D114" s="10" t="s">
        <v>761</v>
      </c>
      <c r="E114" s="10" t="s">
        <v>1254</v>
      </c>
      <c r="F114" s="10" t="s">
        <v>1255</v>
      </c>
      <c r="G114" s="10" t="s">
        <v>64</v>
      </c>
      <c r="H114" s="10" t="s">
        <v>1256</v>
      </c>
      <c r="I114" s="9">
        <v>1</v>
      </c>
      <c r="J114" s="9">
        <v>1</v>
      </c>
      <c r="K114" s="9" t="s">
        <v>33</v>
      </c>
      <c r="L114" s="11" t="s">
        <v>1257</v>
      </c>
      <c r="M114" s="10" t="s">
        <v>1258</v>
      </c>
      <c r="N114" s="10" t="s">
        <v>1259</v>
      </c>
      <c r="O114" s="10" t="s">
        <v>1260</v>
      </c>
      <c r="P114" s="10" t="s">
        <v>981</v>
      </c>
      <c r="Q114" s="10" t="s">
        <v>1261</v>
      </c>
      <c r="R114" s="10" t="s">
        <v>83</v>
      </c>
      <c r="S114" s="11" t="s">
        <v>1262</v>
      </c>
      <c r="T114" s="10" t="s">
        <v>44</v>
      </c>
      <c r="U114" s="11" t="s">
        <v>33</v>
      </c>
      <c r="V114" s="10" t="s">
        <v>1263</v>
      </c>
      <c r="W114" s="13">
        <f>HYPERLINK("https://my.pitchbook.com?p=124627-96P","View People Online")</f>
      </c>
    </row>
    <row r="115">
      <c r="A115" s="14" t="s">
        <v>1264</v>
      </c>
      <c r="B115" s="14" t="s">
        <v>1265</v>
      </c>
      <c r="C115" s="12">
        <f>HYPERLINK("http://www.getanko.com","www.getanko.com")</f>
      </c>
      <c r="D115" s="14" t="s">
        <v>761</v>
      </c>
      <c r="E115" s="14" t="s">
        <v>1266</v>
      </c>
      <c r="F115" s="14" t="s">
        <v>1267</v>
      </c>
      <c r="G115" s="14" t="s">
        <v>870</v>
      </c>
      <c r="H115" s="14" t="s">
        <v>1268</v>
      </c>
      <c r="I115" s="16">
        <v>1</v>
      </c>
      <c r="J115" s="16">
        <v>1</v>
      </c>
      <c r="K115" s="16" t="s">
        <v>33</v>
      </c>
      <c r="L115" s="15" t="s">
        <v>33</v>
      </c>
      <c r="M115" s="14" t="s">
        <v>33</v>
      </c>
      <c r="N115" s="14" t="s">
        <v>133</v>
      </c>
      <c r="O115" s="14" t="s">
        <v>1269</v>
      </c>
      <c r="P115" s="14" t="s">
        <v>1270</v>
      </c>
      <c r="Q115" s="14" t="s">
        <v>136</v>
      </c>
      <c r="R115" s="14" t="s">
        <v>113</v>
      </c>
      <c r="S115" s="15" t="s">
        <v>1271</v>
      </c>
      <c r="T115" s="14" t="s">
        <v>115</v>
      </c>
      <c r="U115" s="15" t="s">
        <v>33</v>
      </c>
      <c r="V115" s="14" t="s">
        <v>1272</v>
      </c>
      <c r="W115" s="12">
        <f>HYPERLINK("https://my.pitchbook.com?p=382498-84P","View People Online")</f>
      </c>
    </row>
    <row r="116">
      <c r="A116" s="10" t="s">
        <v>1273</v>
      </c>
      <c r="B116" s="10" t="s">
        <v>1274</v>
      </c>
      <c r="C116" s="13">
        <f>HYPERLINK("http://www.yardarmtech.com","www.yardarmtech.com")</f>
      </c>
      <c r="D116" s="10" t="s">
        <v>761</v>
      </c>
      <c r="E116" s="10" t="s">
        <v>1275</v>
      </c>
      <c r="F116" s="10" t="s">
        <v>1276</v>
      </c>
      <c r="G116" s="10" t="s">
        <v>1277</v>
      </c>
      <c r="H116" s="10" t="s">
        <v>1278</v>
      </c>
      <c r="I116" s="9">
        <v>1</v>
      </c>
      <c r="J116" s="9">
        <v>1</v>
      </c>
      <c r="K116" s="9" t="s">
        <v>33</v>
      </c>
      <c r="L116" s="11" t="s">
        <v>1279</v>
      </c>
      <c r="M116" s="10" t="s">
        <v>33</v>
      </c>
      <c r="N116" s="10" t="s">
        <v>1280</v>
      </c>
      <c r="O116" s="10" t="s">
        <v>1281</v>
      </c>
      <c r="P116" s="10" t="s">
        <v>1282</v>
      </c>
      <c r="Q116" s="10" t="s">
        <v>1283</v>
      </c>
      <c r="R116" s="10" t="s">
        <v>42</v>
      </c>
      <c r="S116" s="11" t="s">
        <v>1284</v>
      </c>
      <c r="T116" s="10" t="s">
        <v>44</v>
      </c>
      <c r="U116" s="11" t="s">
        <v>33</v>
      </c>
      <c r="V116" s="10" t="s">
        <v>1285</v>
      </c>
      <c r="W116" s="13">
        <f>HYPERLINK("https://my.pitchbook.com?p=135519-67P","View People Online")</f>
      </c>
    </row>
    <row r="117">
      <c r="A117" s="14" t="s">
        <v>1286</v>
      </c>
      <c r="B117" s="14" t="s">
        <v>1274</v>
      </c>
      <c r="C117" s="12">
        <f>HYPERLINK("http://www.virtualpbx.com","www.virtualpbx.com")</f>
      </c>
      <c r="D117" s="14" t="s">
        <v>761</v>
      </c>
      <c r="E117" s="14" t="s">
        <v>1275</v>
      </c>
      <c r="F117" s="14" t="s">
        <v>1276</v>
      </c>
      <c r="G117" s="14" t="s">
        <v>1287</v>
      </c>
      <c r="H117" s="14" t="s">
        <v>1288</v>
      </c>
      <c r="I117" s="16">
        <v>1</v>
      </c>
      <c r="J117" s="16">
        <v>3</v>
      </c>
      <c r="K117" s="16">
        <v>1</v>
      </c>
      <c r="L117" s="15" t="s">
        <v>1289</v>
      </c>
      <c r="M117" s="14" t="s">
        <v>1290</v>
      </c>
      <c r="N117" s="14" t="s">
        <v>40</v>
      </c>
      <c r="O117" s="14" t="s">
        <v>33</v>
      </c>
      <c r="P117" s="14" t="s">
        <v>33</v>
      </c>
      <c r="Q117" s="14" t="s">
        <v>41</v>
      </c>
      <c r="R117" s="14" t="s">
        <v>42</v>
      </c>
      <c r="S117" s="15" t="s">
        <v>33</v>
      </c>
      <c r="T117" s="14" t="s">
        <v>44</v>
      </c>
      <c r="U117" s="15" t="s">
        <v>33</v>
      </c>
      <c r="V117" s="14" t="s">
        <v>1291</v>
      </c>
      <c r="W117" s="12">
        <f>HYPERLINK("https://my.pitchbook.com?p=159713-29P","View People Online")</f>
      </c>
    </row>
    <row r="118">
      <c r="A118" s="10" t="s">
        <v>1292</v>
      </c>
      <c r="B118" s="10" t="s">
        <v>1293</v>
      </c>
      <c r="C118" s="13">
        <f>HYPERLINK("http://www.forestavetech.com","www.forestavetech.com")</f>
      </c>
      <c r="D118" s="10" t="s">
        <v>761</v>
      </c>
      <c r="E118" s="10" t="s">
        <v>1294</v>
      </c>
      <c r="F118" s="10" t="s">
        <v>1295</v>
      </c>
      <c r="G118" s="10" t="s">
        <v>1296</v>
      </c>
      <c r="H118" s="10" t="s">
        <v>1297</v>
      </c>
      <c r="I118" s="9">
        <v>1</v>
      </c>
      <c r="J118" s="9">
        <v>5</v>
      </c>
      <c r="K118" s="9">
        <v>2</v>
      </c>
      <c r="L118" s="11" t="s">
        <v>33</v>
      </c>
      <c r="M118" s="10" t="s">
        <v>1298</v>
      </c>
      <c r="N118" s="10" t="s">
        <v>286</v>
      </c>
      <c r="O118" s="10" t="s">
        <v>1299</v>
      </c>
      <c r="P118" s="10" t="s">
        <v>1300</v>
      </c>
      <c r="Q118" s="10" t="s">
        <v>288</v>
      </c>
      <c r="R118" s="10" t="s">
        <v>42</v>
      </c>
      <c r="S118" s="11" t="s">
        <v>289</v>
      </c>
      <c r="T118" s="10" t="s">
        <v>44</v>
      </c>
      <c r="U118" s="11" t="s">
        <v>33</v>
      </c>
      <c r="V118" s="10" t="s">
        <v>1301</v>
      </c>
      <c r="W118" s="13">
        <f>HYPERLINK("https://my.pitchbook.com?p=42175-54P","View People Online")</f>
      </c>
    </row>
    <row r="119">
      <c r="A119" s="14" t="s">
        <v>1302</v>
      </c>
      <c r="B119" s="14" t="s">
        <v>1303</v>
      </c>
      <c r="C119" s="12">
        <f>HYPERLINK("http://www.ceapro.com","www.ceapro.com")</f>
      </c>
      <c r="D119" s="14" t="s">
        <v>761</v>
      </c>
      <c r="E119" s="14" t="s">
        <v>1304</v>
      </c>
      <c r="F119" s="14" t="s">
        <v>1305</v>
      </c>
      <c r="G119" s="14" t="s">
        <v>64</v>
      </c>
      <c r="H119" s="14" t="s">
        <v>1306</v>
      </c>
      <c r="I119" s="16">
        <v>2</v>
      </c>
      <c r="J119" s="16">
        <v>2</v>
      </c>
      <c r="K119" s="16" t="s">
        <v>33</v>
      </c>
      <c r="L119" s="15" t="s">
        <v>33</v>
      </c>
      <c r="M119" s="14" t="s">
        <v>33</v>
      </c>
      <c r="N119" s="14" t="s">
        <v>1307</v>
      </c>
      <c r="O119" s="14" t="s">
        <v>1308</v>
      </c>
      <c r="P119" s="14" t="s">
        <v>33</v>
      </c>
      <c r="Q119" s="14" t="s">
        <v>1309</v>
      </c>
      <c r="R119" s="14" t="s">
        <v>1310</v>
      </c>
      <c r="S119" s="15" t="s">
        <v>1311</v>
      </c>
      <c r="T119" s="14" t="s">
        <v>453</v>
      </c>
      <c r="U119" s="15" t="s">
        <v>33</v>
      </c>
      <c r="V119" s="14" t="s">
        <v>1312</v>
      </c>
      <c r="W119" s="12">
        <f>HYPERLINK("https://my.pitchbook.com?p=51604-39P","View People Online")</f>
      </c>
    </row>
    <row r="120">
      <c r="A120" s="10" t="s">
        <v>1313</v>
      </c>
      <c r="B120" s="10" t="s">
        <v>1314</v>
      </c>
      <c r="C120" s="13">
        <f>HYPERLINK("http://www.mindrhythm.com","www.mindrhythm.com")</f>
      </c>
      <c r="D120" s="10" t="s">
        <v>761</v>
      </c>
      <c r="E120" s="10" t="s">
        <v>1315</v>
      </c>
      <c r="F120" s="10" t="s">
        <v>1305</v>
      </c>
      <c r="G120" s="10" t="s">
        <v>64</v>
      </c>
      <c r="H120" s="10" t="s">
        <v>1316</v>
      </c>
      <c r="I120" s="9">
        <v>1</v>
      </c>
      <c r="J120" s="9">
        <v>1</v>
      </c>
      <c r="K120" s="9" t="s">
        <v>33</v>
      </c>
      <c r="L120" s="11" t="s">
        <v>33</v>
      </c>
      <c r="M120" s="10" t="s">
        <v>33</v>
      </c>
      <c r="N120" s="10" t="s">
        <v>1317</v>
      </c>
      <c r="O120" s="10" t="s">
        <v>1318</v>
      </c>
      <c r="P120" s="10" t="s">
        <v>33</v>
      </c>
      <c r="Q120" s="10" t="s">
        <v>1319</v>
      </c>
      <c r="R120" s="10" t="s">
        <v>42</v>
      </c>
      <c r="S120" s="11" t="s">
        <v>1320</v>
      </c>
      <c r="T120" s="10" t="s">
        <v>44</v>
      </c>
      <c r="U120" s="11" t="s">
        <v>33</v>
      </c>
      <c r="V120" s="10" t="s">
        <v>1321</v>
      </c>
      <c r="W120" s="13">
        <f>HYPERLINK("https://my.pitchbook.com?p=327586-33P","View People Online")</f>
      </c>
    </row>
    <row r="121">
      <c r="A121" s="14" t="s">
        <v>1322</v>
      </c>
      <c r="B121" s="14" t="s">
        <v>1323</v>
      </c>
      <c r="C121" s="12">
        <f>HYPERLINK("http://www.tatacleantechcapital.in","www.tatacleantechcapital.in")</f>
      </c>
      <c r="D121" s="14" t="s">
        <v>761</v>
      </c>
      <c r="E121" s="14" t="s">
        <v>1324</v>
      </c>
      <c r="F121" s="14" t="s">
        <v>1325</v>
      </c>
      <c r="G121" s="14" t="s">
        <v>1326</v>
      </c>
      <c r="H121" s="14" t="s">
        <v>1327</v>
      </c>
      <c r="I121" s="16">
        <v>5</v>
      </c>
      <c r="J121" s="16">
        <v>7</v>
      </c>
      <c r="K121" s="16">
        <v>1</v>
      </c>
      <c r="L121" s="15" t="s">
        <v>1328</v>
      </c>
      <c r="M121" s="14" t="s">
        <v>1329</v>
      </c>
      <c r="N121" s="14" t="s">
        <v>1330</v>
      </c>
      <c r="O121" s="14" t="s">
        <v>1331</v>
      </c>
      <c r="P121" s="14" t="s">
        <v>1332</v>
      </c>
      <c r="Q121" s="14" t="s">
        <v>1333</v>
      </c>
      <c r="R121" s="14" t="s">
        <v>1334</v>
      </c>
      <c r="S121" s="15" t="s">
        <v>1335</v>
      </c>
      <c r="T121" s="14" t="s">
        <v>115</v>
      </c>
      <c r="U121" s="15" t="s">
        <v>33</v>
      </c>
      <c r="V121" s="14" t="s">
        <v>1336</v>
      </c>
      <c r="W121" s="12">
        <f>HYPERLINK("https://my.pitchbook.com?p=58713-49P","View People Online")</f>
      </c>
    </row>
    <row r="122">
      <c r="A122" s="10" t="s">
        <v>1337</v>
      </c>
      <c r="B122" s="10" t="s">
        <v>1338</v>
      </c>
      <c r="C122" s="13">
        <f>HYPERLINK("http://www.tarangtech.com","www.tarangtech.com")</f>
      </c>
      <c r="D122" s="10" t="s">
        <v>761</v>
      </c>
      <c r="E122" s="10" t="s">
        <v>1339</v>
      </c>
      <c r="F122" s="10" t="s">
        <v>1340</v>
      </c>
      <c r="G122" s="10" t="s">
        <v>1341</v>
      </c>
      <c r="H122" s="10" t="s">
        <v>1342</v>
      </c>
      <c r="I122" s="9">
        <v>1</v>
      </c>
      <c r="J122" s="9">
        <v>1</v>
      </c>
      <c r="K122" s="9" t="s">
        <v>33</v>
      </c>
      <c r="L122" s="11" t="s">
        <v>1343</v>
      </c>
      <c r="M122" s="10" t="s">
        <v>1344</v>
      </c>
      <c r="N122" s="10" t="s">
        <v>133</v>
      </c>
      <c r="O122" s="10" t="s">
        <v>134</v>
      </c>
      <c r="P122" s="10" t="s">
        <v>135</v>
      </c>
      <c r="Q122" s="10" t="s">
        <v>136</v>
      </c>
      <c r="R122" s="10" t="s">
        <v>113</v>
      </c>
      <c r="S122" s="11" t="s">
        <v>137</v>
      </c>
      <c r="T122" s="10" t="s">
        <v>115</v>
      </c>
      <c r="U122" s="11" t="s">
        <v>138</v>
      </c>
      <c r="V122" s="10" t="s">
        <v>1345</v>
      </c>
      <c r="W122" s="13">
        <f>HYPERLINK("https://my.pitchbook.com?p=63471-61P","View People Online")</f>
      </c>
    </row>
    <row r="123">
      <c r="A123" s="14" t="s">
        <v>1346</v>
      </c>
      <c r="B123" s="14" t="s">
        <v>1347</v>
      </c>
      <c r="C123" s="12">
        <f>HYPERLINK("http://www.datma.com","www.datma.com")</f>
      </c>
      <c r="D123" s="14" t="s">
        <v>761</v>
      </c>
      <c r="E123" s="14" t="s">
        <v>1348</v>
      </c>
      <c r="F123" s="14" t="s">
        <v>1349</v>
      </c>
      <c r="G123" s="14" t="s">
        <v>64</v>
      </c>
      <c r="H123" s="14" t="s">
        <v>1350</v>
      </c>
      <c r="I123" s="16">
        <v>2</v>
      </c>
      <c r="J123" s="16">
        <v>22</v>
      </c>
      <c r="K123" s="16">
        <v>12</v>
      </c>
      <c r="L123" s="15" t="s">
        <v>1351</v>
      </c>
      <c r="M123" s="14" t="s">
        <v>33</v>
      </c>
      <c r="N123" s="14" t="s">
        <v>1352</v>
      </c>
      <c r="O123" s="14" t="s">
        <v>1353</v>
      </c>
      <c r="P123" s="14" t="s">
        <v>1282</v>
      </c>
      <c r="Q123" s="14" t="s">
        <v>1354</v>
      </c>
      <c r="R123" s="14" t="s">
        <v>1355</v>
      </c>
      <c r="S123" s="15" t="s">
        <v>1356</v>
      </c>
      <c r="T123" s="14" t="s">
        <v>44</v>
      </c>
      <c r="U123" s="15" t="s">
        <v>33</v>
      </c>
      <c r="V123" s="14" t="s">
        <v>1357</v>
      </c>
      <c r="W123" s="12">
        <f>HYPERLINK("https://my.pitchbook.com?p=35712-19P","View People Online")</f>
      </c>
    </row>
    <row r="124">
      <c r="A124" s="10" t="s">
        <v>1358</v>
      </c>
      <c r="B124" s="10" t="s">
        <v>1359</v>
      </c>
      <c r="C124" s="13">
        <f>HYPERLINK("http://www.davintafinserv.com","www.davintafinserv.com")</f>
      </c>
      <c r="D124" s="10" t="s">
        <v>761</v>
      </c>
      <c r="E124" s="10" t="s">
        <v>1360</v>
      </c>
      <c r="F124" s="10" t="s">
        <v>1361</v>
      </c>
      <c r="G124" s="10" t="s">
        <v>881</v>
      </c>
      <c r="H124" s="10" t="s">
        <v>1362</v>
      </c>
      <c r="I124" s="9">
        <v>2</v>
      </c>
      <c r="J124" s="9">
        <v>17</v>
      </c>
      <c r="K124" s="9">
        <v>13</v>
      </c>
      <c r="L124" s="11" t="s">
        <v>1363</v>
      </c>
      <c r="M124" s="10" t="s">
        <v>1364</v>
      </c>
      <c r="N124" s="10" t="s">
        <v>109</v>
      </c>
      <c r="O124" s="10" t="s">
        <v>1365</v>
      </c>
      <c r="P124" s="10" t="s">
        <v>1366</v>
      </c>
      <c r="Q124" s="10" t="s">
        <v>112</v>
      </c>
      <c r="R124" s="10" t="s">
        <v>113</v>
      </c>
      <c r="S124" s="11" t="s">
        <v>1271</v>
      </c>
      <c r="T124" s="10" t="s">
        <v>115</v>
      </c>
      <c r="U124" s="11" t="s">
        <v>33</v>
      </c>
      <c r="V124" s="10" t="s">
        <v>1367</v>
      </c>
      <c r="W124" s="13">
        <f>HYPERLINK("https://my.pitchbook.com?p=43928-74P","View People Online")</f>
      </c>
    </row>
    <row r="125">
      <c r="A125" s="14" t="s">
        <v>1368</v>
      </c>
      <c r="B125" s="14" t="s">
        <v>1369</v>
      </c>
      <c r="C125" s="12">
        <f>HYPERLINK("http://www.shopdeck.com","www.shopdeck.com")</f>
      </c>
      <c r="D125" s="14" t="s">
        <v>761</v>
      </c>
      <c r="E125" s="14" t="s">
        <v>1370</v>
      </c>
      <c r="F125" s="14" t="s">
        <v>1371</v>
      </c>
      <c r="G125" s="14" t="s">
        <v>666</v>
      </c>
      <c r="H125" s="14" t="s">
        <v>1372</v>
      </c>
      <c r="I125" s="16">
        <v>1</v>
      </c>
      <c r="J125" s="16">
        <v>1</v>
      </c>
      <c r="K125" s="16" t="s">
        <v>33</v>
      </c>
      <c r="L125" s="15" t="s">
        <v>1373</v>
      </c>
      <c r="M125" s="14" t="s">
        <v>33</v>
      </c>
      <c r="N125" s="14" t="s">
        <v>109</v>
      </c>
      <c r="O125" s="14" t="s">
        <v>1374</v>
      </c>
      <c r="P125" s="14" t="s">
        <v>1375</v>
      </c>
      <c r="Q125" s="14" t="s">
        <v>112</v>
      </c>
      <c r="R125" s="14" t="s">
        <v>113</v>
      </c>
      <c r="S125" s="15" t="s">
        <v>476</v>
      </c>
      <c r="T125" s="14" t="s">
        <v>115</v>
      </c>
      <c r="U125" s="15" t="s">
        <v>33</v>
      </c>
      <c r="V125" s="14" t="s">
        <v>1376</v>
      </c>
      <c r="W125" s="12">
        <f>HYPERLINK("https://my.pitchbook.com?p=174137-32P","View People Online")</f>
      </c>
    </row>
    <row r="126">
      <c r="A126" s="10" t="s">
        <v>1377</v>
      </c>
      <c r="B126" s="10" t="s">
        <v>1378</v>
      </c>
      <c r="C126" s="13">
        <f>HYPERLINK("http://www.acurex.com","www.acurex.com")</f>
      </c>
      <c r="D126" s="10" t="s">
        <v>761</v>
      </c>
      <c r="E126" s="10" t="s">
        <v>1379</v>
      </c>
      <c r="F126" s="10" t="s">
        <v>1380</v>
      </c>
      <c r="G126" s="10" t="s">
        <v>64</v>
      </c>
      <c r="H126" s="10" t="s">
        <v>1381</v>
      </c>
      <c r="I126" s="9">
        <v>1</v>
      </c>
      <c r="J126" s="9">
        <v>1</v>
      </c>
      <c r="K126" s="9" t="s">
        <v>33</v>
      </c>
      <c r="L126" s="11" t="s">
        <v>1382</v>
      </c>
      <c r="M126" s="10" t="s">
        <v>33</v>
      </c>
      <c r="N126" s="10" t="s">
        <v>1383</v>
      </c>
      <c r="O126" s="10" t="s">
        <v>1384</v>
      </c>
      <c r="P126" s="10" t="s">
        <v>33</v>
      </c>
      <c r="Q126" s="10" t="s">
        <v>1385</v>
      </c>
      <c r="R126" s="10" t="s">
        <v>42</v>
      </c>
      <c r="S126" s="11" t="s">
        <v>1386</v>
      </c>
      <c r="T126" s="10" t="s">
        <v>44</v>
      </c>
      <c r="U126" s="11" t="s">
        <v>33</v>
      </c>
      <c r="V126" s="10" t="s">
        <v>1387</v>
      </c>
      <c r="W126" s="13">
        <f>HYPERLINK("https://my.pitchbook.com?p=341129-08P","View People Online")</f>
      </c>
    </row>
    <row r="127">
      <c r="A127" s="14" t="s">
        <v>1388</v>
      </c>
      <c r="B127" s="14" t="s">
        <v>1389</v>
      </c>
      <c r="C127" s="12">
        <f>HYPERLINK("http://www.ots.health","www.ots.health")</f>
      </c>
      <c r="D127" s="14" t="s">
        <v>761</v>
      </c>
      <c r="E127" s="14" t="s">
        <v>1390</v>
      </c>
      <c r="F127" s="14" t="s">
        <v>1380</v>
      </c>
      <c r="G127" s="14" t="s">
        <v>1341</v>
      </c>
      <c r="H127" s="14" t="s">
        <v>1391</v>
      </c>
      <c r="I127" s="16">
        <v>1</v>
      </c>
      <c r="J127" s="16">
        <v>1</v>
      </c>
      <c r="K127" s="16" t="s">
        <v>33</v>
      </c>
      <c r="L127" s="15" t="s">
        <v>1392</v>
      </c>
      <c r="M127" s="14" t="s">
        <v>1393</v>
      </c>
      <c r="N127" s="14" t="s">
        <v>1394</v>
      </c>
      <c r="O127" s="14" t="s">
        <v>1395</v>
      </c>
      <c r="P127" s="14" t="s">
        <v>825</v>
      </c>
      <c r="Q127" s="14" t="s">
        <v>1396</v>
      </c>
      <c r="R127" s="14" t="s">
        <v>549</v>
      </c>
      <c r="S127" s="15" t="s">
        <v>1397</v>
      </c>
      <c r="T127" s="14" t="s">
        <v>44</v>
      </c>
      <c r="U127" s="15" t="s">
        <v>1398</v>
      </c>
      <c r="V127" s="14" t="s">
        <v>1399</v>
      </c>
      <c r="W127" s="12">
        <f>HYPERLINK("https://my.pitchbook.com?p=207991-27P","View People Online")</f>
      </c>
    </row>
    <row r="128">
      <c r="A128" s="10" t="s">
        <v>1400</v>
      </c>
      <c r="B128" s="10" t="s">
        <v>1401</v>
      </c>
      <c r="C128" s="13">
        <f>HYPERLINK("http://www.truesyncmedia.com","www.truesyncmedia.com")</f>
      </c>
      <c r="D128" s="10" t="s">
        <v>761</v>
      </c>
      <c r="E128" s="10" t="s">
        <v>1402</v>
      </c>
      <c r="F128" s="10" t="s">
        <v>1160</v>
      </c>
      <c r="G128" s="10" t="s">
        <v>1403</v>
      </c>
      <c r="H128" s="10" t="s">
        <v>1404</v>
      </c>
      <c r="I128" s="9">
        <v>1</v>
      </c>
      <c r="J128" s="9">
        <v>1</v>
      </c>
      <c r="K128" s="9" t="s">
        <v>33</v>
      </c>
      <c r="L128" s="11" t="s">
        <v>1405</v>
      </c>
      <c r="M128" s="10" t="s">
        <v>1406</v>
      </c>
      <c r="N128" s="10" t="s">
        <v>1407</v>
      </c>
      <c r="O128" s="10" t="s">
        <v>1408</v>
      </c>
      <c r="P128" s="10" t="s">
        <v>1409</v>
      </c>
      <c r="Q128" s="10" t="s">
        <v>1410</v>
      </c>
      <c r="R128" s="10" t="s">
        <v>549</v>
      </c>
      <c r="S128" s="11" t="s">
        <v>1411</v>
      </c>
      <c r="T128" s="10" t="s">
        <v>44</v>
      </c>
      <c r="U128" s="11" t="s">
        <v>33</v>
      </c>
      <c r="V128" s="10" t="s">
        <v>1412</v>
      </c>
      <c r="W128" s="13">
        <f>HYPERLINK("https://my.pitchbook.com?p=203876-47P","View People Online")</f>
      </c>
    </row>
    <row r="129">
      <c r="A129" s="14" t="s">
        <v>1413</v>
      </c>
      <c r="B129" s="14" t="s">
        <v>1414</v>
      </c>
      <c r="C129" s="12">
        <f>HYPERLINK("http://www.playdex.io","www.playdex.io")</f>
      </c>
      <c r="D129" s="14" t="s">
        <v>761</v>
      </c>
      <c r="E129" s="14" t="s">
        <v>1415</v>
      </c>
      <c r="F129" s="14" t="s">
        <v>1416</v>
      </c>
      <c r="G129" s="14" t="s">
        <v>1417</v>
      </c>
      <c r="H129" s="14" t="s">
        <v>1418</v>
      </c>
      <c r="I129" s="16">
        <v>1</v>
      </c>
      <c r="J129" s="16">
        <v>6</v>
      </c>
      <c r="K129" s="16">
        <v>4</v>
      </c>
      <c r="L129" s="15" t="s">
        <v>1419</v>
      </c>
      <c r="M129" s="14" t="s">
        <v>33</v>
      </c>
      <c r="N129" s="14" t="s">
        <v>53</v>
      </c>
      <c r="O129" s="14" t="s">
        <v>1420</v>
      </c>
      <c r="P129" s="14" t="s">
        <v>1421</v>
      </c>
      <c r="Q129" s="14" t="s">
        <v>56</v>
      </c>
      <c r="R129" s="14" t="s">
        <v>33</v>
      </c>
      <c r="S129" s="15" t="s">
        <v>1422</v>
      </c>
      <c r="T129" s="14" t="s">
        <v>56</v>
      </c>
      <c r="U129" s="15" t="s">
        <v>33</v>
      </c>
      <c r="V129" s="14" t="s">
        <v>1423</v>
      </c>
      <c r="W129" s="12">
        <f>HYPERLINK("https://my.pitchbook.com?p=43251-22P","View People Online")</f>
      </c>
    </row>
    <row r="130">
      <c r="A130" s="10" t="s">
        <v>1424</v>
      </c>
      <c r="B130" s="10" t="s">
        <v>1425</v>
      </c>
      <c r="C130" s="13">
        <f>HYPERLINK("http://www.exprs.com","www.exprs.com")</f>
      </c>
      <c r="D130" s="10" t="s">
        <v>761</v>
      </c>
      <c r="E130" s="10" t="s">
        <v>1426</v>
      </c>
      <c r="F130" s="10" t="s">
        <v>470</v>
      </c>
      <c r="G130" s="10" t="s">
        <v>64</v>
      </c>
      <c r="H130" s="10" t="s">
        <v>1427</v>
      </c>
      <c r="I130" s="9">
        <v>1</v>
      </c>
      <c r="J130" s="9">
        <v>4</v>
      </c>
      <c r="K130" s="9">
        <v>2</v>
      </c>
      <c r="L130" s="11" t="s">
        <v>1428</v>
      </c>
      <c r="M130" s="10" t="s">
        <v>33</v>
      </c>
      <c r="N130" s="10" t="s">
        <v>1429</v>
      </c>
      <c r="O130" s="10" t="s">
        <v>1430</v>
      </c>
      <c r="P130" s="10" t="s">
        <v>1431</v>
      </c>
      <c r="Q130" s="10" t="s">
        <v>1432</v>
      </c>
      <c r="R130" s="10" t="s">
        <v>1433</v>
      </c>
      <c r="S130" s="11" t="s">
        <v>1434</v>
      </c>
      <c r="T130" s="10" t="s">
        <v>115</v>
      </c>
      <c r="U130" s="11" t="s">
        <v>33</v>
      </c>
      <c r="V130" s="10" t="s">
        <v>1435</v>
      </c>
      <c r="W130" s="13">
        <f>HYPERLINK("https://my.pitchbook.com?p=58697-74P","View People Online")</f>
      </c>
    </row>
    <row r="131">
      <c r="A131" s="14" t="s">
        <v>1436</v>
      </c>
      <c r="B131" s="14" t="s">
        <v>1437</v>
      </c>
      <c r="C131" s="12">
        <f>HYPERLINK("http://www.stashaway.sg","www.stashaway.sg")</f>
      </c>
      <c r="D131" s="14" t="s">
        <v>761</v>
      </c>
      <c r="E131" s="14" t="s">
        <v>1438</v>
      </c>
      <c r="F131" s="14" t="s">
        <v>470</v>
      </c>
      <c r="G131" s="14" t="s">
        <v>1439</v>
      </c>
      <c r="H131" s="14" t="s">
        <v>1440</v>
      </c>
      <c r="I131" s="16">
        <v>2</v>
      </c>
      <c r="J131" s="16">
        <v>2</v>
      </c>
      <c r="K131" s="16" t="s">
        <v>33</v>
      </c>
      <c r="L131" s="15" t="s">
        <v>1441</v>
      </c>
      <c r="M131" s="14" t="s">
        <v>33</v>
      </c>
      <c r="N131" s="14" t="s">
        <v>53</v>
      </c>
      <c r="O131" s="14" t="s">
        <v>1442</v>
      </c>
      <c r="P131" s="14" t="s">
        <v>1443</v>
      </c>
      <c r="Q131" s="14" t="s">
        <v>56</v>
      </c>
      <c r="R131" s="14" t="s">
        <v>33</v>
      </c>
      <c r="S131" s="15" t="s">
        <v>1444</v>
      </c>
      <c r="T131" s="14" t="s">
        <v>56</v>
      </c>
      <c r="U131" s="15" t="s">
        <v>33</v>
      </c>
      <c r="V131" s="14" t="s">
        <v>1445</v>
      </c>
      <c r="W131" s="12">
        <f>HYPERLINK("https://my.pitchbook.com?p=257865-85P","View People Online")</f>
      </c>
    </row>
    <row r="132">
      <c r="A132" s="10" t="s">
        <v>1446</v>
      </c>
      <c r="B132" s="10" t="s">
        <v>1447</v>
      </c>
      <c r="C132" s="13">
        <f>HYPERLINK("http://www.sequoiaplantation.com","www.sequoiaplantation.com")</f>
      </c>
      <c r="D132" s="10" t="s">
        <v>761</v>
      </c>
      <c r="E132" s="10" t="s">
        <v>1448</v>
      </c>
      <c r="F132" s="10" t="s">
        <v>1449</v>
      </c>
      <c r="G132" s="10" t="s">
        <v>64</v>
      </c>
      <c r="H132" s="10" t="s">
        <v>1450</v>
      </c>
      <c r="I132" s="9">
        <v>1</v>
      </c>
      <c r="J132" s="9">
        <v>1</v>
      </c>
      <c r="K132" s="9" t="s">
        <v>33</v>
      </c>
      <c r="L132" s="11" t="s">
        <v>1451</v>
      </c>
      <c r="M132" s="10" t="s">
        <v>33</v>
      </c>
      <c r="N132" s="10" t="s">
        <v>1452</v>
      </c>
      <c r="O132" s="10" t="s">
        <v>1453</v>
      </c>
      <c r="P132" s="10" t="s">
        <v>1454</v>
      </c>
      <c r="Q132" s="10" t="s">
        <v>1455</v>
      </c>
      <c r="R132" s="10" t="s">
        <v>33</v>
      </c>
      <c r="S132" s="11" t="s">
        <v>1456</v>
      </c>
      <c r="T132" s="10" t="s">
        <v>1457</v>
      </c>
      <c r="U132" s="11" t="s">
        <v>33</v>
      </c>
      <c r="V132" s="10" t="s">
        <v>1458</v>
      </c>
      <c r="W132" s="13">
        <f>HYPERLINK("https://my.pitchbook.com?p=443449-81P","View People Online")</f>
      </c>
    </row>
    <row r="133">
      <c r="A133" s="14" t="s">
        <v>1459</v>
      </c>
      <c r="B133" s="14" t="s">
        <v>1460</v>
      </c>
      <c r="C133" s="12">
        <f>HYPERLINK("http://www.dropoff.com","www.dropoff.com")</f>
      </c>
      <c r="D133" s="14" t="s">
        <v>761</v>
      </c>
      <c r="E133" s="14" t="s">
        <v>1461</v>
      </c>
      <c r="F133" s="14" t="s">
        <v>1462</v>
      </c>
      <c r="G133" s="14" t="s">
        <v>870</v>
      </c>
      <c r="H133" s="14" t="s">
        <v>1463</v>
      </c>
      <c r="I133" s="16">
        <v>1</v>
      </c>
      <c r="J133" s="16">
        <v>6</v>
      </c>
      <c r="K133" s="16">
        <v>3</v>
      </c>
      <c r="L133" s="15" t="s">
        <v>1464</v>
      </c>
      <c r="M133" s="14" t="s">
        <v>1465</v>
      </c>
      <c r="N133" s="14" t="s">
        <v>730</v>
      </c>
      <c r="O133" s="14" t="s">
        <v>1466</v>
      </c>
      <c r="P133" s="14" t="s">
        <v>1467</v>
      </c>
      <c r="Q133" s="14" t="s">
        <v>733</v>
      </c>
      <c r="R133" s="14" t="s">
        <v>734</v>
      </c>
      <c r="S133" s="15" t="s">
        <v>1468</v>
      </c>
      <c r="T133" s="14" t="s">
        <v>44</v>
      </c>
      <c r="U133" s="15" t="s">
        <v>33</v>
      </c>
      <c r="V133" s="14" t="s">
        <v>1469</v>
      </c>
      <c r="W133" s="12">
        <f>HYPERLINK("https://my.pitchbook.com?p=35719-21P","View People Online")</f>
      </c>
    </row>
    <row r="134">
      <c r="A134" s="10" t="s">
        <v>1470</v>
      </c>
      <c r="B134" s="10" t="s">
        <v>1471</v>
      </c>
      <c r="C134" s="13">
        <f>HYPERLINK("http://www.loconav.com","www.loconav.com")</f>
      </c>
      <c r="D134" s="10" t="s">
        <v>761</v>
      </c>
      <c r="E134" s="10" t="s">
        <v>1472</v>
      </c>
      <c r="F134" s="10" t="s">
        <v>1473</v>
      </c>
      <c r="G134" s="10" t="s">
        <v>666</v>
      </c>
      <c r="H134" s="10" t="s">
        <v>1474</v>
      </c>
      <c r="I134" s="9">
        <v>1</v>
      </c>
      <c r="J134" s="9">
        <v>1</v>
      </c>
      <c r="K134" s="9" t="s">
        <v>33</v>
      </c>
      <c r="L134" s="11" t="s">
        <v>1475</v>
      </c>
      <c r="M134" s="10" t="s">
        <v>1476</v>
      </c>
      <c r="N134" s="10" t="s">
        <v>1477</v>
      </c>
      <c r="O134" s="10" t="s">
        <v>1478</v>
      </c>
      <c r="P134" s="10" t="s">
        <v>1479</v>
      </c>
      <c r="Q134" s="10" t="s">
        <v>1480</v>
      </c>
      <c r="R134" s="10" t="s">
        <v>1481</v>
      </c>
      <c r="S134" s="11" t="s">
        <v>1482</v>
      </c>
      <c r="T134" s="10" t="s">
        <v>115</v>
      </c>
      <c r="U134" s="11" t="s">
        <v>33</v>
      </c>
      <c r="V134" s="10" t="s">
        <v>1483</v>
      </c>
      <c r="W134" s="13">
        <f>HYPERLINK("https://my.pitchbook.com?p=189598-69P","View People Online")</f>
      </c>
    </row>
    <row r="135">
      <c r="A135" s="14" t="s">
        <v>1484</v>
      </c>
      <c r="B135" s="14" t="s">
        <v>1485</v>
      </c>
      <c r="C135" s="12">
        <f>HYPERLINK("http://www.collimator.ai","www.collimator.ai")</f>
      </c>
      <c r="D135" s="14" t="s">
        <v>761</v>
      </c>
      <c r="E135" s="14" t="s">
        <v>678</v>
      </c>
      <c r="F135" s="14" t="s">
        <v>1486</v>
      </c>
      <c r="G135" s="14" t="s">
        <v>1487</v>
      </c>
      <c r="H135" s="14" t="s">
        <v>1488</v>
      </c>
      <c r="I135" s="16">
        <v>8</v>
      </c>
      <c r="J135" s="16">
        <v>24</v>
      </c>
      <c r="K135" s="16">
        <v>13</v>
      </c>
      <c r="L135" s="15" t="s">
        <v>1489</v>
      </c>
      <c r="M135" s="14" t="s">
        <v>33</v>
      </c>
      <c r="N135" s="14" t="s">
        <v>1407</v>
      </c>
      <c r="O135" s="14" t="s">
        <v>1490</v>
      </c>
      <c r="P135" s="14" t="s">
        <v>1491</v>
      </c>
      <c r="Q135" s="14" t="s">
        <v>1410</v>
      </c>
      <c r="R135" s="14" t="s">
        <v>549</v>
      </c>
      <c r="S135" s="15" t="s">
        <v>1492</v>
      </c>
      <c r="T135" s="14" t="s">
        <v>44</v>
      </c>
      <c r="U135" s="15" t="s">
        <v>33</v>
      </c>
      <c r="V135" s="14" t="s">
        <v>1493</v>
      </c>
      <c r="W135" s="12">
        <f>HYPERLINK("https://my.pitchbook.com?p=52243-21P","View People Online")</f>
      </c>
    </row>
    <row r="136">
      <c r="A136" s="10" t="s">
        <v>1494</v>
      </c>
      <c r="B136" s="10" t="s">
        <v>1495</v>
      </c>
      <c r="C136" s="13">
        <f>HYPERLINK("http://www.qusecure.com","www.qusecure.com")</f>
      </c>
      <c r="D136" s="10" t="s">
        <v>761</v>
      </c>
      <c r="E136" s="10" t="s">
        <v>1496</v>
      </c>
      <c r="F136" s="10" t="s">
        <v>1497</v>
      </c>
      <c r="G136" s="10" t="s">
        <v>1498</v>
      </c>
      <c r="H136" s="10" t="s">
        <v>1499</v>
      </c>
      <c r="I136" s="9">
        <v>1</v>
      </c>
      <c r="J136" s="9">
        <v>2</v>
      </c>
      <c r="K136" s="9" t="s">
        <v>33</v>
      </c>
      <c r="L136" s="11" t="s">
        <v>1500</v>
      </c>
      <c r="M136" s="10" t="s">
        <v>1501</v>
      </c>
      <c r="N136" s="10" t="s">
        <v>655</v>
      </c>
      <c r="O136" s="10" t="s">
        <v>1502</v>
      </c>
      <c r="P136" s="10" t="s">
        <v>1503</v>
      </c>
      <c r="Q136" s="10" t="s">
        <v>658</v>
      </c>
      <c r="R136" s="10" t="s">
        <v>42</v>
      </c>
      <c r="S136" s="11" t="s">
        <v>1504</v>
      </c>
      <c r="T136" s="10" t="s">
        <v>44</v>
      </c>
      <c r="U136" s="11" t="s">
        <v>33</v>
      </c>
      <c r="V136" s="10" t="s">
        <v>1505</v>
      </c>
      <c r="W136" s="13">
        <f>HYPERLINK("https://my.pitchbook.com?p=200667-43P","View People Online")</f>
      </c>
    </row>
    <row r="137">
      <c r="A137" s="14" t="s">
        <v>1506</v>
      </c>
      <c r="B137" s="14" t="s">
        <v>1507</v>
      </c>
      <c r="C137" s="12">
        <f>HYPERLINK("http://www.aspenify.com","www.aspenify.com")</f>
      </c>
      <c r="D137" s="14" t="s">
        <v>761</v>
      </c>
      <c r="E137" s="14" t="s">
        <v>1508</v>
      </c>
      <c r="F137" s="14" t="s">
        <v>1509</v>
      </c>
      <c r="G137" s="14" t="s">
        <v>870</v>
      </c>
      <c r="H137" s="14" t="s">
        <v>1246</v>
      </c>
      <c r="I137" s="16">
        <v>1</v>
      </c>
      <c r="J137" s="16">
        <v>1</v>
      </c>
      <c r="K137" s="16" t="s">
        <v>33</v>
      </c>
      <c r="L137" s="15" t="s">
        <v>1247</v>
      </c>
      <c r="M137" s="14" t="s">
        <v>1510</v>
      </c>
      <c r="N137" s="14" t="s">
        <v>849</v>
      </c>
      <c r="O137" s="14" t="s">
        <v>1249</v>
      </c>
      <c r="P137" s="14" t="s">
        <v>825</v>
      </c>
      <c r="Q137" s="14" t="s">
        <v>852</v>
      </c>
      <c r="R137" s="14" t="s">
        <v>42</v>
      </c>
      <c r="S137" s="15" t="s">
        <v>1250</v>
      </c>
      <c r="T137" s="14" t="s">
        <v>44</v>
      </c>
      <c r="U137" s="15" t="s">
        <v>33</v>
      </c>
      <c r="V137" s="14" t="s">
        <v>1511</v>
      </c>
      <c r="W137" s="12">
        <f>HYPERLINK("https://my.pitchbook.com?p=121500-28P","View People Online")</f>
      </c>
    </row>
    <row r="138">
      <c r="A138" s="10" t="s">
        <v>1512</v>
      </c>
      <c r="B138" s="10" t="s">
        <v>1513</v>
      </c>
      <c r="C138" s="13">
        <f>HYPERLINK("http://www.sequoiavaccines.com","www.sequoiavaccines.com")</f>
      </c>
      <c r="D138" s="10" t="s">
        <v>761</v>
      </c>
      <c r="E138" s="10" t="s">
        <v>1514</v>
      </c>
      <c r="F138" s="10" t="s">
        <v>1509</v>
      </c>
      <c r="G138" s="10" t="s">
        <v>64</v>
      </c>
      <c r="H138" s="10" t="s">
        <v>1036</v>
      </c>
      <c r="I138" s="9">
        <v>1</v>
      </c>
      <c r="J138" s="9">
        <v>1</v>
      </c>
      <c r="K138" s="9" t="s">
        <v>33</v>
      </c>
      <c r="L138" s="11" t="s">
        <v>1037</v>
      </c>
      <c r="M138" s="10" t="s">
        <v>33</v>
      </c>
      <c r="N138" s="10" t="s">
        <v>533</v>
      </c>
      <c r="O138" s="10" t="s">
        <v>1038</v>
      </c>
      <c r="P138" s="10" t="s">
        <v>33</v>
      </c>
      <c r="Q138" s="10" t="s">
        <v>536</v>
      </c>
      <c r="R138" s="10" t="s">
        <v>537</v>
      </c>
      <c r="S138" s="11" t="s">
        <v>1039</v>
      </c>
      <c r="T138" s="10" t="s">
        <v>44</v>
      </c>
      <c r="U138" s="11" t="s">
        <v>1040</v>
      </c>
      <c r="V138" s="10" t="s">
        <v>1515</v>
      </c>
      <c r="W138" s="13">
        <f>HYPERLINK("https://my.pitchbook.com?p=44593-39P","View People Online")</f>
      </c>
    </row>
    <row r="139">
      <c r="A139" s="14" t="s">
        <v>1516</v>
      </c>
      <c r="B139" s="14" t="s">
        <v>1517</v>
      </c>
      <c r="C139" s="12">
        <f>HYPERLINK("http://www.geniecast.com","www.geniecast.com")</f>
      </c>
      <c r="D139" s="14" t="s">
        <v>761</v>
      </c>
      <c r="E139" s="14" t="s">
        <v>1518</v>
      </c>
      <c r="F139" s="14" t="s">
        <v>1519</v>
      </c>
      <c r="G139" s="14" t="s">
        <v>1520</v>
      </c>
      <c r="H139" s="14" t="s">
        <v>1521</v>
      </c>
      <c r="I139" s="16">
        <v>1</v>
      </c>
      <c r="J139" s="16">
        <v>1</v>
      </c>
      <c r="K139" s="16" t="s">
        <v>33</v>
      </c>
      <c r="L139" s="15" t="s">
        <v>1522</v>
      </c>
      <c r="M139" s="14" t="s">
        <v>33</v>
      </c>
      <c r="N139" s="14" t="s">
        <v>533</v>
      </c>
      <c r="O139" s="14" t="s">
        <v>1523</v>
      </c>
      <c r="P139" s="14" t="s">
        <v>732</v>
      </c>
      <c r="Q139" s="14" t="s">
        <v>536</v>
      </c>
      <c r="R139" s="14" t="s">
        <v>537</v>
      </c>
      <c r="S139" s="15" t="s">
        <v>1524</v>
      </c>
      <c r="T139" s="14" t="s">
        <v>44</v>
      </c>
      <c r="U139" s="15" t="s">
        <v>33</v>
      </c>
      <c r="V139" s="14" t="s">
        <v>1525</v>
      </c>
      <c r="W139" s="12">
        <f>HYPERLINK("https://my.pitchbook.com?p=157199-68P","View People Online")</f>
      </c>
    </row>
    <row r="140">
      <c r="A140" s="10" t="s">
        <v>1526</v>
      </c>
      <c r="B140" s="10" t="s">
        <v>1527</v>
      </c>
      <c r="C140" s="13">
        <f>HYPERLINK("http://www.sequoiapharmaceuticals.com","www.sequoiapharmaceuticals.com")</f>
      </c>
      <c r="D140" s="10" t="s">
        <v>761</v>
      </c>
      <c r="E140" s="10" t="s">
        <v>1528</v>
      </c>
      <c r="F140" s="10" t="s">
        <v>1529</v>
      </c>
      <c r="G140" s="10" t="s">
        <v>1530</v>
      </c>
      <c r="H140" s="10" t="s">
        <v>1531</v>
      </c>
      <c r="I140" s="9">
        <v>2</v>
      </c>
      <c r="J140" s="9">
        <v>2</v>
      </c>
      <c r="K140" s="9" t="s">
        <v>33</v>
      </c>
      <c r="L140" s="11" t="s">
        <v>1532</v>
      </c>
      <c r="M140" s="10" t="s">
        <v>33</v>
      </c>
      <c r="N140" s="10" t="s">
        <v>1533</v>
      </c>
      <c r="O140" s="10" t="s">
        <v>1534</v>
      </c>
      <c r="P140" s="10" t="s">
        <v>410</v>
      </c>
      <c r="Q140" s="10" t="s">
        <v>1535</v>
      </c>
      <c r="R140" s="10" t="s">
        <v>995</v>
      </c>
      <c r="S140" s="11" t="s">
        <v>1536</v>
      </c>
      <c r="T140" s="10" t="s">
        <v>44</v>
      </c>
      <c r="U140" s="11" t="s">
        <v>33</v>
      </c>
      <c r="V140" s="10" t="s">
        <v>1537</v>
      </c>
      <c r="W140" s="13">
        <f>HYPERLINK("https://my.pitchbook.com?p=39060-28P","View People Online")</f>
      </c>
    </row>
    <row r="141">
      <c r="A141" s="14" t="s">
        <v>1538</v>
      </c>
      <c r="B141" s="14" t="s">
        <v>1539</v>
      </c>
      <c r="C141" s="12">
        <f>HYPERLINK("http://thelevel.ai","thelevel.ai")</f>
      </c>
      <c r="D141" s="14" t="s">
        <v>761</v>
      </c>
      <c r="E141" s="14" t="s">
        <v>1194</v>
      </c>
      <c r="F141" s="14" t="s">
        <v>1540</v>
      </c>
      <c r="G141" s="14" t="s">
        <v>64</v>
      </c>
      <c r="H141" s="14" t="s">
        <v>1541</v>
      </c>
      <c r="I141" s="16">
        <v>3</v>
      </c>
      <c r="J141" s="16">
        <v>20</v>
      </c>
      <c r="K141" s="16">
        <v>11</v>
      </c>
      <c r="L141" s="15" t="s">
        <v>33</v>
      </c>
      <c r="M141" s="14" t="s">
        <v>33</v>
      </c>
      <c r="N141" s="14" t="s">
        <v>1542</v>
      </c>
      <c r="O141" s="14" t="s">
        <v>1543</v>
      </c>
      <c r="P141" s="14" t="s">
        <v>1544</v>
      </c>
      <c r="Q141" s="14" t="s">
        <v>1545</v>
      </c>
      <c r="R141" s="14" t="s">
        <v>42</v>
      </c>
      <c r="S141" s="15" t="s">
        <v>1546</v>
      </c>
      <c r="T141" s="14" t="s">
        <v>44</v>
      </c>
      <c r="U141" s="15" t="s">
        <v>33</v>
      </c>
      <c r="V141" s="14" t="s">
        <v>1547</v>
      </c>
      <c r="W141" s="12">
        <f>HYPERLINK("https://my.pitchbook.com?p=35712-28P","View People Online")</f>
      </c>
    </row>
    <row r="142">
      <c r="A142" s="10" t="s">
        <v>1548</v>
      </c>
      <c r="B142" s="10" t="s">
        <v>1549</v>
      </c>
      <c r="C142" s="13">
        <f>HYPERLINK("http://www.skydio.com","www.skydio.com")</f>
      </c>
      <c r="D142" s="10" t="s">
        <v>761</v>
      </c>
      <c r="E142" s="10" t="s">
        <v>1550</v>
      </c>
      <c r="F142" s="10" t="s">
        <v>1551</v>
      </c>
      <c r="G142" s="10" t="s">
        <v>1552</v>
      </c>
      <c r="H142" s="10" t="s">
        <v>1553</v>
      </c>
      <c r="I142" s="9">
        <v>1</v>
      </c>
      <c r="J142" s="9">
        <v>8</v>
      </c>
      <c r="K142" s="9">
        <v>4</v>
      </c>
      <c r="L142" s="11" t="s">
        <v>1554</v>
      </c>
      <c r="M142" s="10" t="s">
        <v>1555</v>
      </c>
      <c r="N142" s="10" t="s">
        <v>655</v>
      </c>
      <c r="O142" s="10" t="s">
        <v>1556</v>
      </c>
      <c r="P142" s="10" t="s">
        <v>1557</v>
      </c>
      <c r="Q142" s="10" t="s">
        <v>658</v>
      </c>
      <c r="R142" s="10" t="s">
        <v>42</v>
      </c>
      <c r="S142" s="11" t="s">
        <v>1558</v>
      </c>
      <c r="T142" s="10" t="s">
        <v>44</v>
      </c>
      <c r="U142" s="11" t="s">
        <v>33</v>
      </c>
      <c r="V142" s="10" t="s">
        <v>1559</v>
      </c>
      <c r="W142" s="13">
        <f>HYPERLINK("https://my.pitchbook.com?p=36573-49P","View People Online")</f>
      </c>
    </row>
    <row r="143">
      <c r="A143" s="14" t="s">
        <v>1560</v>
      </c>
      <c r="B143" s="14" t="s">
        <v>1561</v>
      </c>
      <c r="C143" s="12">
        <f>HYPERLINK("http://www.sequoiabio.com","www.sequoiabio.com")</f>
      </c>
      <c r="D143" s="14" t="s">
        <v>761</v>
      </c>
      <c r="E143" s="14" t="s">
        <v>1562</v>
      </c>
      <c r="F143" s="14" t="s">
        <v>185</v>
      </c>
      <c r="G143" s="14" t="s">
        <v>1563</v>
      </c>
      <c r="H143" s="14" t="s">
        <v>1564</v>
      </c>
      <c r="I143" s="16">
        <v>1</v>
      </c>
      <c r="J143" s="16">
        <v>1</v>
      </c>
      <c r="K143" s="16" t="s">
        <v>33</v>
      </c>
      <c r="L143" s="15" t="s">
        <v>33</v>
      </c>
      <c r="M143" s="14" t="s">
        <v>1565</v>
      </c>
      <c r="N143" s="14" t="s">
        <v>1566</v>
      </c>
      <c r="O143" s="14" t="s">
        <v>1567</v>
      </c>
      <c r="P143" s="14" t="s">
        <v>1568</v>
      </c>
      <c r="Q143" s="14" t="s">
        <v>1569</v>
      </c>
      <c r="R143" s="14" t="s">
        <v>1334</v>
      </c>
      <c r="S143" s="15" t="s">
        <v>1570</v>
      </c>
      <c r="T143" s="14" t="s">
        <v>115</v>
      </c>
      <c r="U143" s="15" t="s">
        <v>33</v>
      </c>
      <c r="V143" s="14" t="s">
        <v>1571</v>
      </c>
      <c r="W143" s="12">
        <f>HYPERLINK("https://my.pitchbook.com?p=267678-46P","View People Online")</f>
      </c>
    </row>
    <row r="144">
      <c r="A144" s="10" t="s">
        <v>1572</v>
      </c>
      <c r="B144" s="10" t="s">
        <v>1573</v>
      </c>
      <c r="C144" s="13">
        <f>HYPERLINK("http://www.rollapp.com","www.rollapp.com")</f>
      </c>
      <c r="D144" s="10" t="s">
        <v>761</v>
      </c>
      <c r="E144" s="10" t="s">
        <v>1574</v>
      </c>
      <c r="F144" s="10" t="s">
        <v>1575</v>
      </c>
      <c r="G144" s="10" t="s">
        <v>936</v>
      </c>
      <c r="H144" s="10" t="s">
        <v>1576</v>
      </c>
      <c r="I144" s="9">
        <v>2</v>
      </c>
      <c r="J144" s="9">
        <v>3</v>
      </c>
      <c r="K144" s="9" t="s">
        <v>33</v>
      </c>
      <c r="L144" s="11" t="s">
        <v>33</v>
      </c>
      <c r="M144" s="10" t="s">
        <v>33</v>
      </c>
      <c r="N144" s="10" t="s">
        <v>286</v>
      </c>
      <c r="O144" s="10" t="s">
        <v>1031</v>
      </c>
      <c r="P144" s="10" t="s">
        <v>494</v>
      </c>
      <c r="Q144" s="10" t="s">
        <v>288</v>
      </c>
      <c r="R144" s="10" t="s">
        <v>42</v>
      </c>
      <c r="S144" s="11" t="s">
        <v>289</v>
      </c>
      <c r="T144" s="10" t="s">
        <v>44</v>
      </c>
      <c r="U144" s="11" t="s">
        <v>33</v>
      </c>
      <c r="V144" s="10" t="s">
        <v>1577</v>
      </c>
      <c r="W144" s="13">
        <f>HYPERLINK("https://my.pitchbook.com?p=74254-24P","View People Online")</f>
      </c>
    </row>
    <row r="145">
      <c r="A145" s="14" t="s">
        <v>1578</v>
      </c>
      <c r="B145" s="14" t="s">
        <v>1579</v>
      </c>
      <c r="C145" s="12">
        <f>HYPERLINK("http://www.risingpharma.com","www.risingpharma.com")</f>
      </c>
      <c r="D145" s="14" t="s">
        <v>761</v>
      </c>
      <c r="E145" s="14" t="s">
        <v>1580</v>
      </c>
      <c r="F145" s="14" t="s">
        <v>1581</v>
      </c>
      <c r="G145" s="14" t="s">
        <v>1582</v>
      </c>
      <c r="H145" s="14" t="s">
        <v>1583</v>
      </c>
      <c r="I145" s="16">
        <v>2</v>
      </c>
      <c r="J145" s="16">
        <v>6</v>
      </c>
      <c r="K145" s="16">
        <v>2</v>
      </c>
      <c r="L145" s="15" t="s">
        <v>1584</v>
      </c>
      <c r="M145" s="14" t="s">
        <v>1585</v>
      </c>
      <c r="N145" s="14" t="s">
        <v>1586</v>
      </c>
      <c r="O145" s="14" t="s">
        <v>1587</v>
      </c>
      <c r="P145" s="14" t="s">
        <v>1588</v>
      </c>
      <c r="Q145" s="14" t="s">
        <v>1589</v>
      </c>
      <c r="R145" s="14" t="s">
        <v>344</v>
      </c>
      <c r="S145" s="15" t="s">
        <v>1590</v>
      </c>
      <c r="T145" s="14" t="s">
        <v>44</v>
      </c>
      <c r="U145" s="15" t="s">
        <v>1591</v>
      </c>
      <c r="V145" s="14" t="s">
        <v>1592</v>
      </c>
      <c r="W145" s="12">
        <f>HYPERLINK("https://my.pitchbook.com?p=149137-21P","View People Online")</f>
      </c>
    </row>
    <row r="146">
      <c r="A146" s="10" t="s">
        <v>1593</v>
      </c>
      <c r="B146" s="10" t="s">
        <v>1594</v>
      </c>
      <c r="C146" s="13">
        <f>HYPERLINK("http://www.calsafesoil.com","www.calsafesoil.com")</f>
      </c>
      <c r="D146" s="10" t="s">
        <v>761</v>
      </c>
      <c r="E146" s="10" t="s">
        <v>1595</v>
      </c>
      <c r="F146" s="10" t="s">
        <v>1596</v>
      </c>
      <c r="G146" s="10" t="s">
        <v>64</v>
      </c>
      <c r="H146" s="10" t="s">
        <v>1597</v>
      </c>
      <c r="I146" s="9">
        <v>3</v>
      </c>
      <c r="J146" s="9">
        <v>5</v>
      </c>
      <c r="K146" s="9">
        <v>1</v>
      </c>
      <c r="L146" s="11" t="s">
        <v>1598</v>
      </c>
      <c r="M146" s="10" t="s">
        <v>33</v>
      </c>
      <c r="N146" s="10" t="s">
        <v>1599</v>
      </c>
      <c r="O146" s="10" t="s">
        <v>1600</v>
      </c>
      <c r="P146" s="10" t="s">
        <v>1601</v>
      </c>
      <c r="Q146" s="10" t="s">
        <v>1602</v>
      </c>
      <c r="R146" s="10" t="s">
        <v>42</v>
      </c>
      <c r="S146" s="11" t="s">
        <v>1603</v>
      </c>
      <c r="T146" s="10" t="s">
        <v>44</v>
      </c>
      <c r="U146" s="11" t="s">
        <v>33</v>
      </c>
      <c r="V146" s="10" t="s">
        <v>1604</v>
      </c>
      <c r="W146" s="13">
        <f>HYPERLINK("https://my.pitchbook.com?p=130497-40P","View People Online")</f>
      </c>
    </row>
    <row r="147">
      <c r="A147" s="14" t="s">
        <v>1605</v>
      </c>
      <c r="B147" s="14" t="s">
        <v>1606</v>
      </c>
      <c r="C147" s="12">
        <f>HYPERLINK("http://www.tallorderpos.com","www.tallorderpos.com")</f>
      </c>
      <c r="D147" s="14" t="s">
        <v>761</v>
      </c>
      <c r="E147" s="14" t="s">
        <v>1607</v>
      </c>
      <c r="F147" s="14" t="s">
        <v>1608</v>
      </c>
      <c r="G147" s="14" t="s">
        <v>64</v>
      </c>
      <c r="H147" s="14" t="s">
        <v>1609</v>
      </c>
      <c r="I147" s="16">
        <v>1</v>
      </c>
      <c r="J147" s="16">
        <v>1</v>
      </c>
      <c r="K147" s="16" t="s">
        <v>33</v>
      </c>
      <c r="L147" s="15" t="s">
        <v>1610</v>
      </c>
      <c r="M147" s="14" t="s">
        <v>33</v>
      </c>
      <c r="N147" s="14" t="s">
        <v>1611</v>
      </c>
      <c r="O147" s="14" t="s">
        <v>1612</v>
      </c>
      <c r="P147" s="14" t="s">
        <v>1613</v>
      </c>
      <c r="Q147" s="14" t="s">
        <v>1614</v>
      </c>
      <c r="R147" s="14" t="s">
        <v>1615</v>
      </c>
      <c r="S147" s="15" t="s">
        <v>1616</v>
      </c>
      <c r="T147" s="14" t="s">
        <v>1617</v>
      </c>
      <c r="U147" s="15" t="s">
        <v>33</v>
      </c>
      <c r="V147" s="14" t="s">
        <v>1618</v>
      </c>
      <c r="W147" s="12">
        <f>HYPERLINK("https://my.pitchbook.com?p=289173-43P","View People Online")</f>
      </c>
    </row>
    <row r="148">
      <c r="A148" s="10" t="s">
        <v>1619</v>
      </c>
      <c r="B148" s="10" t="s">
        <v>1620</v>
      </c>
      <c r="C148" s="13">
        <f>HYPERLINK("http://www.journeydxp.com","www.journeydxp.com")</f>
      </c>
      <c r="D148" s="10" t="s">
        <v>761</v>
      </c>
      <c r="E148" s="10" t="s">
        <v>1621</v>
      </c>
      <c r="F148" s="10" t="s">
        <v>120</v>
      </c>
      <c r="G148" s="10" t="s">
        <v>870</v>
      </c>
      <c r="H148" s="10" t="s">
        <v>1622</v>
      </c>
      <c r="I148" s="9">
        <v>1</v>
      </c>
      <c r="J148" s="9">
        <v>1</v>
      </c>
      <c r="K148" s="9" t="s">
        <v>33</v>
      </c>
      <c r="L148" s="11" t="s">
        <v>1623</v>
      </c>
      <c r="M148" s="10" t="s">
        <v>1624</v>
      </c>
      <c r="N148" s="10" t="s">
        <v>1625</v>
      </c>
      <c r="O148" s="10" t="s">
        <v>1626</v>
      </c>
      <c r="P148" s="10" t="s">
        <v>410</v>
      </c>
      <c r="Q148" s="10" t="s">
        <v>1627</v>
      </c>
      <c r="R148" s="10" t="s">
        <v>1628</v>
      </c>
      <c r="S148" s="11" t="s">
        <v>1629</v>
      </c>
      <c r="T148" s="10" t="s">
        <v>44</v>
      </c>
      <c r="U148" s="11" t="s">
        <v>33</v>
      </c>
      <c r="V148" s="10" t="s">
        <v>1630</v>
      </c>
      <c r="W148" s="13">
        <f>HYPERLINK("https://my.pitchbook.com?p=35384-23P","View People Online")</f>
      </c>
    </row>
    <row r="149">
      <c r="A149" s="14" t="s">
        <v>1631</v>
      </c>
      <c r="B149" s="14" t="s">
        <v>1632</v>
      </c>
      <c r="C149" s="12">
        <f>HYPERLINK("http://www.guardanthealth.com","www.guardanthealth.com")</f>
      </c>
      <c r="D149" s="14" t="s">
        <v>1633</v>
      </c>
      <c r="E149" s="14" t="s">
        <v>1634</v>
      </c>
      <c r="F149" s="14" t="s">
        <v>1635</v>
      </c>
      <c r="G149" s="14" t="s">
        <v>64</v>
      </c>
      <c r="H149" s="14" t="s">
        <v>1636</v>
      </c>
      <c r="I149" s="16">
        <v>5</v>
      </c>
      <c r="J149" s="16">
        <v>58</v>
      </c>
      <c r="K149" s="16">
        <v>36</v>
      </c>
      <c r="L149" s="15" t="s">
        <v>1637</v>
      </c>
      <c r="M149" s="14" t="s">
        <v>33</v>
      </c>
      <c r="N149" s="14" t="s">
        <v>849</v>
      </c>
      <c r="O149" s="14" t="s">
        <v>1638</v>
      </c>
      <c r="P149" s="14" t="s">
        <v>33</v>
      </c>
      <c r="Q149" s="14" t="s">
        <v>852</v>
      </c>
      <c r="R149" s="14" t="s">
        <v>42</v>
      </c>
      <c r="S149" s="15" t="s">
        <v>1250</v>
      </c>
      <c r="T149" s="14" t="s">
        <v>44</v>
      </c>
      <c r="U149" s="15" t="s">
        <v>1639</v>
      </c>
      <c r="V149" s="14" t="s">
        <v>1640</v>
      </c>
      <c r="W149" s="12">
        <f>HYPERLINK("https://my.pitchbook.com?p=35742-25P","View People Online")</f>
      </c>
    </row>
    <row r="150">
      <c r="A150" s="10" t="s">
        <v>1641</v>
      </c>
      <c r="B150" s="10" t="s">
        <v>1642</v>
      </c>
      <c r="C150" s="13">
        <f>HYPERLINK("http://www.porch.com","www.porch.com")</f>
      </c>
      <c r="D150" s="10" t="s">
        <v>1633</v>
      </c>
      <c r="E150" s="10" t="s">
        <v>1643</v>
      </c>
      <c r="F150" s="10" t="s">
        <v>1644</v>
      </c>
      <c r="G150" s="10" t="s">
        <v>64</v>
      </c>
      <c r="H150" s="10" t="s">
        <v>1645</v>
      </c>
      <c r="I150" s="9">
        <v>1</v>
      </c>
      <c r="J150" s="9">
        <v>1</v>
      </c>
      <c r="K150" s="9" t="s">
        <v>33</v>
      </c>
      <c r="L150" s="11" t="s">
        <v>1646</v>
      </c>
      <c r="M150" s="10" t="s">
        <v>33</v>
      </c>
      <c r="N150" s="10" t="s">
        <v>1647</v>
      </c>
      <c r="O150" s="10" t="s">
        <v>1648</v>
      </c>
      <c r="P150" s="10" t="s">
        <v>1649</v>
      </c>
      <c r="Q150" s="10" t="s">
        <v>1650</v>
      </c>
      <c r="R150" s="10" t="s">
        <v>70</v>
      </c>
      <c r="S150" s="11" t="s">
        <v>1651</v>
      </c>
      <c r="T150" s="10" t="s">
        <v>44</v>
      </c>
      <c r="U150" s="11" t="s">
        <v>33</v>
      </c>
      <c r="V150" s="10" t="s">
        <v>1652</v>
      </c>
      <c r="W150" s="13">
        <f>HYPERLINK("https://my.pitchbook.com?p=346306-33P","View People Online")</f>
      </c>
    </row>
    <row r="151">
      <c r="A151" s="14" t="s">
        <v>1653</v>
      </c>
      <c r="B151" s="14" t="s">
        <v>429</v>
      </c>
      <c r="C151" s="14" t="s">
        <v>33</v>
      </c>
      <c r="D151" s="14" t="s">
        <v>1633</v>
      </c>
      <c r="E151" s="14" t="s">
        <v>430</v>
      </c>
      <c r="F151" s="14" t="s">
        <v>431</v>
      </c>
      <c r="G151" s="14" t="s">
        <v>64</v>
      </c>
      <c r="H151" s="14" t="s">
        <v>1654</v>
      </c>
      <c r="I151" s="16">
        <v>1</v>
      </c>
      <c r="J151" s="16">
        <v>1</v>
      </c>
      <c r="K151" s="16" t="s">
        <v>33</v>
      </c>
      <c r="L151" s="15" t="s">
        <v>1655</v>
      </c>
      <c r="M151" s="14" t="s">
        <v>33</v>
      </c>
      <c r="N151" s="14" t="s">
        <v>1656</v>
      </c>
      <c r="O151" s="14" t="s">
        <v>1657</v>
      </c>
      <c r="P151" s="14" t="s">
        <v>33</v>
      </c>
      <c r="Q151" s="14" t="s">
        <v>1658</v>
      </c>
      <c r="R151" s="14" t="s">
        <v>1659</v>
      </c>
      <c r="S151" s="15" t="s">
        <v>1660</v>
      </c>
      <c r="T151" s="14" t="s">
        <v>276</v>
      </c>
      <c r="U151" s="15" t="s">
        <v>33</v>
      </c>
      <c r="V151" s="14" t="s">
        <v>1661</v>
      </c>
      <c r="W151" s="12">
        <f>HYPERLINK("https://my.pitchbook.com?p=418808-98P","View People Online")</f>
      </c>
    </row>
    <row r="152">
      <c r="A152" s="10" t="s">
        <v>1662</v>
      </c>
      <c r="B152" s="10" t="s">
        <v>1663</v>
      </c>
      <c r="C152" s="13">
        <f>HYPERLINK("http://www.tkogrp.com","www.tkogrp.com")</f>
      </c>
      <c r="D152" s="10" t="s">
        <v>1633</v>
      </c>
      <c r="E152" s="10" t="s">
        <v>1664</v>
      </c>
      <c r="F152" s="10" t="s">
        <v>1665</v>
      </c>
      <c r="G152" s="10" t="s">
        <v>1666</v>
      </c>
      <c r="H152" s="10" t="s">
        <v>1667</v>
      </c>
      <c r="I152" s="9">
        <v>2</v>
      </c>
      <c r="J152" s="9">
        <v>28</v>
      </c>
      <c r="K152" s="9">
        <v>24</v>
      </c>
      <c r="L152" s="11" t="s">
        <v>1668</v>
      </c>
      <c r="M152" s="10" t="s">
        <v>1669</v>
      </c>
      <c r="N152" s="10" t="s">
        <v>518</v>
      </c>
      <c r="O152" s="10" t="s">
        <v>1670</v>
      </c>
      <c r="P152" s="10" t="s">
        <v>69</v>
      </c>
      <c r="Q152" s="10" t="s">
        <v>521</v>
      </c>
      <c r="R152" s="10" t="s">
        <v>521</v>
      </c>
      <c r="S152" s="11" t="s">
        <v>887</v>
      </c>
      <c r="T152" s="10" t="s">
        <v>44</v>
      </c>
      <c r="U152" s="11" t="s">
        <v>33</v>
      </c>
      <c r="V152" s="10" t="s">
        <v>1671</v>
      </c>
      <c r="W152" s="13">
        <f>HYPERLINK("https://my.pitchbook.com?p=41149-81P","View People Online")</f>
      </c>
    </row>
    <row r="153">
      <c r="A153" s="14" t="s">
        <v>1672</v>
      </c>
      <c r="B153" s="14" t="s">
        <v>1673</v>
      </c>
      <c r="C153" s="12">
        <f>HYPERLINK("http://www.urbanacorp.com","www.urbanacorp.com")</f>
      </c>
      <c r="D153" s="14" t="s">
        <v>1633</v>
      </c>
      <c r="E153" s="14" t="s">
        <v>1674</v>
      </c>
      <c r="F153" s="14" t="s">
        <v>1675</v>
      </c>
      <c r="G153" s="14" t="s">
        <v>64</v>
      </c>
      <c r="H153" s="14" t="s">
        <v>1676</v>
      </c>
      <c r="I153" s="16">
        <v>1</v>
      </c>
      <c r="J153" s="16">
        <v>1</v>
      </c>
      <c r="K153" s="16" t="s">
        <v>33</v>
      </c>
      <c r="L153" s="15" t="s">
        <v>1677</v>
      </c>
      <c r="M153" s="14" t="s">
        <v>33</v>
      </c>
      <c r="N153" s="14" t="s">
        <v>449</v>
      </c>
      <c r="O153" s="14" t="s">
        <v>1678</v>
      </c>
      <c r="P153" s="14" t="s">
        <v>1679</v>
      </c>
      <c r="Q153" s="14" t="s">
        <v>450</v>
      </c>
      <c r="R153" s="14" t="s">
        <v>451</v>
      </c>
      <c r="S153" s="15" t="s">
        <v>1680</v>
      </c>
      <c r="T153" s="14" t="s">
        <v>453</v>
      </c>
      <c r="U153" s="15" t="s">
        <v>1681</v>
      </c>
      <c r="V153" s="14" t="s">
        <v>1682</v>
      </c>
      <c r="W153" s="12">
        <f>HYPERLINK("https://my.pitchbook.com?p=217474-30P","View People Online")</f>
      </c>
    </row>
    <row r="154">
      <c r="A154" s="10" t="s">
        <v>1683</v>
      </c>
      <c r="B154" s="10" t="s">
        <v>1684</v>
      </c>
      <c r="C154" s="13">
        <f>HYPERLINK("http://www.hubspot.com","www.hubspot.com")</f>
      </c>
      <c r="D154" s="10" t="s">
        <v>1633</v>
      </c>
      <c r="E154" s="10" t="s">
        <v>1685</v>
      </c>
      <c r="F154" s="10" t="s">
        <v>377</v>
      </c>
      <c r="G154" s="10" t="s">
        <v>1686</v>
      </c>
      <c r="H154" s="10" t="s">
        <v>1687</v>
      </c>
      <c r="I154" s="9">
        <v>2</v>
      </c>
      <c r="J154" s="9">
        <v>18</v>
      </c>
      <c r="K154" s="9">
        <v>13</v>
      </c>
      <c r="L154" s="11" t="s">
        <v>1688</v>
      </c>
      <c r="M154" s="10" t="s">
        <v>1689</v>
      </c>
      <c r="N154" s="10" t="s">
        <v>80</v>
      </c>
      <c r="O154" s="10" t="s">
        <v>1690</v>
      </c>
      <c r="P154" s="10" t="s">
        <v>33</v>
      </c>
      <c r="Q154" s="10" t="s">
        <v>82</v>
      </c>
      <c r="R154" s="10" t="s">
        <v>83</v>
      </c>
      <c r="S154" s="11" t="s">
        <v>1691</v>
      </c>
      <c r="T154" s="10" t="s">
        <v>44</v>
      </c>
      <c r="U154" s="11" t="s">
        <v>1692</v>
      </c>
      <c r="V154" s="10" t="s">
        <v>1693</v>
      </c>
      <c r="W154" s="13">
        <f>HYPERLINK("https://my.pitchbook.com?p=36699-58P","View People Online")</f>
      </c>
    </row>
    <row r="155">
      <c r="A155" s="14" t="s">
        <v>1694</v>
      </c>
      <c r="B155" s="14" t="s">
        <v>1695</v>
      </c>
      <c r="C155" s="12">
        <f>HYPERLINK("http://www.workday.com","www.workday.com")</f>
      </c>
      <c r="D155" s="14" t="s">
        <v>1633</v>
      </c>
      <c r="E155" s="14" t="s">
        <v>1696</v>
      </c>
      <c r="F155" s="14" t="s">
        <v>1697</v>
      </c>
      <c r="G155" s="14" t="s">
        <v>1698</v>
      </c>
      <c r="H155" s="14" t="s">
        <v>1699</v>
      </c>
      <c r="I155" s="16">
        <v>9</v>
      </c>
      <c r="J155" s="16">
        <v>39</v>
      </c>
      <c r="K155" s="16">
        <v>23</v>
      </c>
      <c r="L155" s="15" t="s">
        <v>1700</v>
      </c>
      <c r="M155" s="14" t="s">
        <v>33</v>
      </c>
      <c r="N155" s="14" t="s">
        <v>1701</v>
      </c>
      <c r="O155" s="14" t="s">
        <v>1702</v>
      </c>
      <c r="P155" s="14" t="s">
        <v>33</v>
      </c>
      <c r="Q155" s="14" t="s">
        <v>1703</v>
      </c>
      <c r="R155" s="14" t="s">
        <v>42</v>
      </c>
      <c r="S155" s="15" t="s">
        <v>1704</v>
      </c>
      <c r="T155" s="14" t="s">
        <v>44</v>
      </c>
      <c r="U155" s="15" t="s">
        <v>33</v>
      </c>
      <c r="V155" s="14" t="s">
        <v>1705</v>
      </c>
      <c r="W155" s="12">
        <f>HYPERLINK("https://my.pitchbook.com?p=42454-36P","View People Online")</f>
      </c>
    </row>
    <row r="156">
      <c r="A156" s="10" t="s">
        <v>1706</v>
      </c>
      <c r="B156" s="10" t="s">
        <v>1707</v>
      </c>
      <c r="C156" s="13">
        <f>HYPERLINK("http://www.sequoialog.com.br","www.sequoialog.com.br")</f>
      </c>
      <c r="D156" s="10" t="s">
        <v>1633</v>
      </c>
      <c r="E156" s="10" t="s">
        <v>1708</v>
      </c>
      <c r="F156" s="10" t="s">
        <v>1709</v>
      </c>
      <c r="G156" s="10" t="s">
        <v>459</v>
      </c>
      <c r="H156" s="10" t="s">
        <v>1710</v>
      </c>
      <c r="I156" s="9">
        <v>1</v>
      </c>
      <c r="J156" s="9">
        <v>1</v>
      </c>
      <c r="K156" s="9" t="s">
        <v>33</v>
      </c>
      <c r="L156" s="11" t="s">
        <v>1711</v>
      </c>
      <c r="M156" s="10" t="s">
        <v>1712</v>
      </c>
      <c r="N156" s="10" t="s">
        <v>1713</v>
      </c>
      <c r="O156" s="10" t="s">
        <v>1714</v>
      </c>
      <c r="P156" s="10" t="s">
        <v>1715</v>
      </c>
      <c r="Q156" s="10" t="s">
        <v>1716</v>
      </c>
      <c r="R156" s="10" t="s">
        <v>1717</v>
      </c>
      <c r="S156" s="11" t="s">
        <v>33</v>
      </c>
      <c r="T156" s="10" t="s">
        <v>1718</v>
      </c>
      <c r="U156" s="11" t="s">
        <v>33</v>
      </c>
      <c r="V156" s="10" t="s">
        <v>1719</v>
      </c>
      <c r="W156" s="13">
        <f>HYPERLINK("https://my.pitchbook.com?p=351852-13P","View People Online")</f>
      </c>
    </row>
    <row r="157">
      <c r="A157" s="14" t="s">
        <v>1720</v>
      </c>
      <c r="B157" s="14" t="s">
        <v>1721</v>
      </c>
      <c r="C157" s="12">
        <f>HYPERLINK("http://www.upwork.com","www.upwork.com")</f>
      </c>
      <c r="D157" s="14" t="s">
        <v>1633</v>
      </c>
      <c r="E157" s="14" t="s">
        <v>1722</v>
      </c>
      <c r="F157" s="14" t="s">
        <v>1723</v>
      </c>
      <c r="G157" s="14" t="s">
        <v>64</v>
      </c>
      <c r="H157" s="14" t="s">
        <v>1724</v>
      </c>
      <c r="I157" s="16">
        <v>2</v>
      </c>
      <c r="J157" s="16">
        <v>13</v>
      </c>
      <c r="K157" s="16">
        <v>9</v>
      </c>
      <c r="L157" s="15" t="s">
        <v>1725</v>
      </c>
      <c r="M157" s="14" t="s">
        <v>1726</v>
      </c>
      <c r="N157" s="14" t="s">
        <v>286</v>
      </c>
      <c r="O157" s="14" t="s">
        <v>1031</v>
      </c>
      <c r="P157" s="14" t="s">
        <v>1727</v>
      </c>
      <c r="Q157" s="14" t="s">
        <v>288</v>
      </c>
      <c r="R157" s="14" t="s">
        <v>42</v>
      </c>
      <c r="S157" s="15" t="s">
        <v>289</v>
      </c>
      <c r="T157" s="14" t="s">
        <v>44</v>
      </c>
      <c r="U157" s="15" t="s">
        <v>33</v>
      </c>
      <c r="V157" s="14" t="s">
        <v>1728</v>
      </c>
      <c r="W157" s="12">
        <f>HYPERLINK("https://my.pitchbook.com?p=35897-68P","View People Online")</f>
      </c>
    </row>
    <row r="158">
      <c r="A158" s="10" t="s">
        <v>1729</v>
      </c>
      <c r="B158" s="10" t="s">
        <v>1730</v>
      </c>
      <c r="C158" s="13">
        <f>HYPERLINK("http://www.cingulate.com","www.cingulate.com")</f>
      </c>
      <c r="D158" s="10" t="s">
        <v>1633</v>
      </c>
      <c r="E158" s="10" t="s">
        <v>1731</v>
      </c>
      <c r="F158" s="10" t="s">
        <v>1732</v>
      </c>
      <c r="G158" s="10" t="s">
        <v>64</v>
      </c>
      <c r="H158" s="10" t="s">
        <v>1733</v>
      </c>
      <c r="I158" s="9">
        <v>3</v>
      </c>
      <c r="J158" s="9">
        <v>8</v>
      </c>
      <c r="K158" s="9">
        <v>3</v>
      </c>
      <c r="L158" s="11" t="s">
        <v>1734</v>
      </c>
      <c r="M158" s="10" t="s">
        <v>1735</v>
      </c>
      <c r="N158" s="10" t="s">
        <v>95</v>
      </c>
      <c r="O158" s="10" t="s">
        <v>493</v>
      </c>
      <c r="P158" s="10" t="s">
        <v>97</v>
      </c>
      <c r="Q158" s="10" t="s">
        <v>98</v>
      </c>
      <c r="R158" s="10" t="s">
        <v>83</v>
      </c>
      <c r="S158" s="11" t="s">
        <v>495</v>
      </c>
      <c r="T158" s="10" t="s">
        <v>44</v>
      </c>
      <c r="U158" s="11" t="s">
        <v>720</v>
      </c>
      <c r="V158" s="10" t="s">
        <v>1736</v>
      </c>
      <c r="W158" s="13">
        <f>HYPERLINK("https://my.pitchbook.com?p=70344-64P","View People Online")</f>
      </c>
    </row>
    <row r="159">
      <c r="A159" s="14" t="s">
        <v>1737</v>
      </c>
      <c r="B159" s="14" t="s">
        <v>1738</v>
      </c>
      <c r="C159" s="12">
        <f>HYPERLINK("http://www.trig-ltd.com","www.trig-ltd.com")</f>
      </c>
      <c r="D159" s="14" t="s">
        <v>1633</v>
      </c>
      <c r="E159" s="14" t="s">
        <v>1739</v>
      </c>
      <c r="F159" s="14" t="s">
        <v>1740</v>
      </c>
      <c r="G159" s="14" t="s">
        <v>64</v>
      </c>
      <c r="H159" s="14" t="s">
        <v>1741</v>
      </c>
      <c r="I159" s="16">
        <v>1</v>
      </c>
      <c r="J159" s="16">
        <v>1</v>
      </c>
      <c r="K159" s="16" t="s">
        <v>33</v>
      </c>
      <c r="L159" s="15" t="s">
        <v>1742</v>
      </c>
      <c r="M159" s="14" t="s">
        <v>33</v>
      </c>
      <c r="N159" s="14" t="s">
        <v>434</v>
      </c>
      <c r="O159" s="14" t="s">
        <v>1743</v>
      </c>
      <c r="P159" s="14" t="s">
        <v>1744</v>
      </c>
      <c r="Q159" s="14" t="s">
        <v>437</v>
      </c>
      <c r="R159" s="14" t="s">
        <v>438</v>
      </c>
      <c r="S159" s="15" t="s">
        <v>1745</v>
      </c>
      <c r="T159" s="14" t="s">
        <v>276</v>
      </c>
      <c r="U159" s="15" t="s">
        <v>33</v>
      </c>
      <c r="V159" s="14" t="s">
        <v>1746</v>
      </c>
      <c r="W159" s="12">
        <f>HYPERLINK("https://my.pitchbook.com?p=50999-86P","View People Online")</f>
      </c>
    </row>
    <row r="160">
      <c r="A160" s="10" t="s">
        <v>1747</v>
      </c>
      <c r="B160" s="10" t="s">
        <v>1748</v>
      </c>
      <c r="C160" s="13">
        <f>HYPERLINK("http://www.republicservices.com","www.republicservices.com")</f>
      </c>
      <c r="D160" s="10" t="s">
        <v>1633</v>
      </c>
      <c r="E160" s="10" t="s">
        <v>1749</v>
      </c>
      <c r="F160" s="10" t="s">
        <v>1750</v>
      </c>
      <c r="G160" s="10" t="s">
        <v>64</v>
      </c>
      <c r="H160" s="10" t="s">
        <v>1751</v>
      </c>
      <c r="I160" s="9">
        <v>1</v>
      </c>
      <c r="J160" s="9">
        <v>3</v>
      </c>
      <c r="K160" s="9">
        <v>1</v>
      </c>
      <c r="L160" s="11" t="s">
        <v>33</v>
      </c>
      <c r="M160" s="10" t="s">
        <v>33</v>
      </c>
      <c r="N160" s="10" t="s">
        <v>1752</v>
      </c>
      <c r="O160" s="10" t="s">
        <v>1753</v>
      </c>
      <c r="P160" s="10" t="s">
        <v>33</v>
      </c>
      <c r="Q160" s="10" t="s">
        <v>1754</v>
      </c>
      <c r="R160" s="10" t="s">
        <v>563</v>
      </c>
      <c r="S160" s="11" t="s">
        <v>1755</v>
      </c>
      <c r="T160" s="10" t="s">
        <v>44</v>
      </c>
      <c r="U160" s="11" t="s">
        <v>33</v>
      </c>
      <c r="V160" s="10" t="s">
        <v>1756</v>
      </c>
      <c r="W160" s="13">
        <f>HYPERLINK("https://my.pitchbook.com?p=152625-88P","View People Online")</f>
      </c>
    </row>
    <row r="161">
      <c r="A161" s="14" t="s">
        <v>1757</v>
      </c>
      <c r="B161" s="14" t="s">
        <v>1758</v>
      </c>
      <c r="C161" s="12">
        <f>HYPERLINK("http://www.xometry.com","www.xometry.com")</f>
      </c>
      <c r="D161" s="14" t="s">
        <v>1633</v>
      </c>
      <c r="E161" s="14" t="s">
        <v>1749</v>
      </c>
      <c r="F161" s="14" t="s">
        <v>1750</v>
      </c>
      <c r="G161" s="14" t="s">
        <v>1759</v>
      </c>
      <c r="H161" s="14" t="s">
        <v>1760</v>
      </c>
      <c r="I161" s="16">
        <v>4</v>
      </c>
      <c r="J161" s="16">
        <v>4</v>
      </c>
      <c r="K161" s="16" t="s">
        <v>33</v>
      </c>
      <c r="L161" s="15" t="s">
        <v>1761</v>
      </c>
      <c r="M161" s="14" t="s">
        <v>33</v>
      </c>
      <c r="N161" s="14" t="s">
        <v>1533</v>
      </c>
      <c r="O161" s="14" t="s">
        <v>1762</v>
      </c>
      <c r="P161" s="14" t="s">
        <v>33</v>
      </c>
      <c r="Q161" s="14" t="s">
        <v>1535</v>
      </c>
      <c r="R161" s="14" t="s">
        <v>995</v>
      </c>
      <c r="S161" s="15" t="s">
        <v>1536</v>
      </c>
      <c r="T161" s="14" t="s">
        <v>44</v>
      </c>
      <c r="U161" s="15" t="s">
        <v>33</v>
      </c>
      <c r="V161" s="14" t="s">
        <v>1763</v>
      </c>
      <c r="W161" s="12">
        <f>HYPERLINK("https://my.pitchbook.com?p=52235-74P","View People Online")</f>
      </c>
    </row>
    <row r="162">
      <c r="A162" s="10" t="s">
        <v>1764</v>
      </c>
      <c r="B162" s="10" t="s">
        <v>1765</v>
      </c>
      <c r="C162" s="13">
        <f>HYPERLINK("http://sierrabancorp.q4ir.com","sierrabancorp.q4ir.com")</f>
      </c>
      <c r="D162" s="10" t="s">
        <v>1633</v>
      </c>
      <c r="E162" s="10" t="s">
        <v>1766</v>
      </c>
      <c r="F162" s="10" t="s">
        <v>1767</v>
      </c>
      <c r="G162" s="10" t="s">
        <v>64</v>
      </c>
      <c r="H162" s="10" t="s">
        <v>1768</v>
      </c>
      <c r="I162" s="9">
        <v>1</v>
      </c>
      <c r="J162" s="9">
        <v>1</v>
      </c>
      <c r="K162" s="9" t="s">
        <v>33</v>
      </c>
      <c r="L162" s="11" t="s">
        <v>1769</v>
      </c>
      <c r="M162" s="10" t="s">
        <v>33</v>
      </c>
      <c r="N162" s="10" t="s">
        <v>1770</v>
      </c>
      <c r="O162" s="10" t="s">
        <v>1771</v>
      </c>
      <c r="P162" s="10" t="s">
        <v>1772</v>
      </c>
      <c r="Q162" s="10" t="s">
        <v>1773</v>
      </c>
      <c r="R162" s="10" t="s">
        <v>42</v>
      </c>
      <c r="S162" s="11" t="s">
        <v>1774</v>
      </c>
      <c r="T162" s="10" t="s">
        <v>44</v>
      </c>
      <c r="U162" s="11" t="s">
        <v>33</v>
      </c>
      <c r="V162" s="10" t="s">
        <v>1775</v>
      </c>
      <c r="W162" s="13">
        <f>HYPERLINK("https://my.pitchbook.com?p=292185-37P","View People Online")</f>
      </c>
    </row>
    <row r="163">
      <c r="A163" s="14" t="s">
        <v>1776</v>
      </c>
      <c r="B163" s="14" t="s">
        <v>1777</v>
      </c>
      <c r="C163" s="12">
        <f>HYPERLINK("http://www.adagene.com","www.adagene.com")</f>
      </c>
      <c r="D163" s="14" t="s">
        <v>1633</v>
      </c>
      <c r="E163" s="14" t="s">
        <v>975</v>
      </c>
      <c r="F163" s="14" t="s">
        <v>975</v>
      </c>
      <c r="G163" s="14" t="s">
        <v>64</v>
      </c>
      <c r="H163" s="14" t="s">
        <v>1778</v>
      </c>
      <c r="I163" s="16">
        <v>1</v>
      </c>
      <c r="J163" s="16">
        <v>1</v>
      </c>
      <c r="K163" s="16" t="s">
        <v>33</v>
      </c>
      <c r="L163" s="15" t="s">
        <v>1779</v>
      </c>
      <c r="M163" s="14" t="s">
        <v>33</v>
      </c>
      <c r="N163" s="14" t="s">
        <v>1780</v>
      </c>
      <c r="O163" s="14" t="s">
        <v>1781</v>
      </c>
      <c r="P163" s="14" t="s">
        <v>1782</v>
      </c>
      <c r="Q163" s="14" t="s">
        <v>1783</v>
      </c>
      <c r="R163" s="14" t="s">
        <v>1784</v>
      </c>
      <c r="S163" s="15" t="s">
        <v>33</v>
      </c>
      <c r="T163" s="14" t="s">
        <v>1785</v>
      </c>
      <c r="U163" s="15" t="s">
        <v>33</v>
      </c>
      <c r="V163" s="14" t="s">
        <v>1786</v>
      </c>
      <c r="W163" s="12">
        <f>HYPERLINK("https://my.pitchbook.com?p=182433-52P","View People Online")</f>
      </c>
    </row>
    <row r="164">
      <c r="A164" s="10" t="s">
        <v>1787</v>
      </c>
      <c r="B164" s="10" t="s">
        <v>1788</v>
      </c>
      <c r="C164" s="13">
        <f>HYPERLINK("http://www.newsight.com","www.newsight.com")</f>
      </c>
      <c r="D164" s="10" t="s">
        <v>1633</v>
      </c>
      <c r="E164" s="10" t="s">
        <v>1789</v>
      </c>
      <c r="F164" s="10" t="s">
        <v>975</v>
      </c>
      <c r="G164" s="10" t="s">
        <v>64</v>
      </c>
      <c r="H164" s="10" t="s">
        <v>1790</v>
      </c>
      <c r="I164" s="9">
        <v>1</v>
      </c>
      <c r="J164" s="9">
        <v>1</v>
      </c>
      <c r="K164" s="9" t="s">
        <v>33</v>
      </c>
      <c r="L164" s="11" t="s">
        <v>1791</v>
      </c>
      <c r="M164" s="10" t="s">
        <v>33</v>
      </c>
      <c r="N164" s="10" t="s">
        <v>1792</v>
      </c>
      <c r="O164" s="10" t="s">
        <v>1793</v>
      </c>
      <c r="P164" s="10" t="s">
        <v>1794</v>
      </c>
      <c r="Q164" s="10" t="s">
        <v>1795</v>
      </c>
      <c r="R164" s="10" t="s">
        <v>33</v>
      </c>
      <c r="S164" s="11" t="s">
        <v>1796</v>
      </c>
      <c r="T164" s="10" t="s">
        <v>1797</v>
      </c>
      <c r="U164" s="11" t="s">
        <v>33</v>
      </c>
      <c r="V164" s="10" t="s">
        <v>1798</v>
      </c>
      <c r="W164" s="13">
        <f>HYPERLINK("https://my.pitchbook.com?p=227178-10P","View People Online")</f>
      </c>
    </row>
    <row r="165">
      <c r="A165" s="14" t="s">
        <v>1799</v>
      </c>
      <c r="B165" s="14" t="s">
        <v>1800</v>
      </c>
      <c r="C165" s="12">
        <f>HYPERLINK("http://www.zchb-water.net","www.zchb-water.net")</f>
      </c>
      <c r="D165" s="14" t="s">
        <v>1633</v>
      </c>
      <c r="E165" s="14" t="s">
        <v>1801</v>
      </c>
      <c r="F165" s="14" t="s">
        <v>1802</v>
      </c>
      <c r="G165" s="14" t="s">
        <v>64</v>
      </c>
      <c r="H165" s="14" t="s">
        <v>1803</v>
      </c>
      <c r="I165" s="16">
        <v>1</v>
      </c>
      <c r="J165" s="16">
        <v>1</v>
      </c>
      <c r="K165" s="16" t="s">
        <v>33</v>
      </c>
      <c r="L165" s="15" t="s">
        <v>1804</v>
      </c>
      <c r="M165" s="14" t="s">
        <v>33</v>
      </c>
      <c r="N165" s="14" t="s">
        <v>1805</v>
      </c>
      <c r="O165" s="14" t="s">
        <v>1806</v>
      </c>
      <c r="P165" s="14" t="s">
        <v>1807</v>
      </c>
      <c r="Q165" s="14" t="s">
        <v>1808</v>
      </c>
      <c r="R165" s="14" t="s">
        <v>33</v>
      </c>
      <c r="S165" s="15" t="s">
        <v>1809</v>
      </c>
      <c r="T165" s="14" t="s">
        <v>1785</v>
      </c>
      <c r="U165" s="15" t="s">
        <v>1810</v>
      </c>
      <c r="V165" s="14" t="s">
        <v>1811</v>
      </c>
      <c r="W165" s="12">
        <f>HYPERLINK("https://my.pitchbook.com?p=70259-95P","View People Online")</f>
      </c>
    </row>
    <row r="166">
      <c r="A166" s="10" t="s">
        <v>1812</v>
      </c>
      <c r="B166" s="10" t="s">
        <v>1813</v>
      </c>
      <c r="C166" s="13">
        <f>HYPERLINK("http://www.confluent.io","www.confluent.io")</f>
      </c>
      <c r="D166" s="10" t="s">
        <v>1633</v>
      </c>
      <c r="E166" s="10" t="s">
        <v>1814</v>
      </c>
      <c r="F166" s="10" t="s">
        <v>281</v>
      </c>
      <c r="G166" s="10" t="s">
        <v>64</v>
      </c>
      <c r="H166" s="10" t="s">
        <v>1815</v>
      </c>
      <c r="I166" s="9">
        <v>4</v>
      </c>
      <c r="J166" s="9">
        <v>28</v>
      </c>
      <c r="K166" s="9">
        <v>16</v>
      </c>
      <c r="L166" s="11" t="s">
        <v>1816</v>
      </c>
      <c r="M166" s="10" t="s">
        <v>1817</v>
      </c>
      <c r="N166" s="10" t="s">
        <v>1542</v>
      </c>
      <c r="O166" s="10" t="s">
        <v>1818</v>
      </c>
      <c r="P166" s="10" t="s">
        <v>33</v>
      </c>
      <c r="Q166" s="10" t="s">
        <v>1545</v>
      </c>
      <c r="R166" s="10" t="s">
        <v>42</v>
      </c>
      <c r="S166" s="11" t="s">
        <v>1546</v>
      </c>
      <c r="T166" s="10" t="s">
        <v>44</v>
      </c>
      <c r="U166" s="11" t="s">
        <v>33</v>
      </c>
      <c r="V166" s="10" t="s">
        <v>1819</v>
      </c>
      <c r="W166" s="13">
        <f>HYPERLINK("https://my.pitchbook.com?p=44705-35P","View People Online")</f>
      </c>
    </row>
    <row r="167">
      <c r="A167" s="14" t="s">
        <v>1820</v>
      </c>
      <c r="B167" s="14" t="s">
        <v>1821</v>
      </c>
      <c r="C167" s="12">
        <f>HYPERLINK("http://www.rmx.io","www.rmx.io")</f>
      </c>
      <c r="D167" s="14" t="s">
        <v>1633</v>
      </c>
      <c r="E167" s="14" t="s">
        <v>1822</v>
      </c>
      <c r="F167" s="14" t="s">
        <v>225</v>
      </c>
      <c r="G167" s="14" t="s">
        <v>1823</v>
      </c>
      <c r="H167" s="14" t="s">
        <v>1824</v>
      </c>
      <c r="I167" s="16">
        <v>1</v>
      </c>
      <c r="J167" s="16">
        <v>1</v>
      </c>
      <c r="K167" s="16" t="s">
        <v>33</v>
      </c>
      <c r="L167" s="15" t="s">
        <v>33</v>
      </c>
      <c r="M167" s="14" t="s">
        <v>33</v>
      </c>
      <c r="N167" s="14" t="s">
        <v>533</v>
      </c>
      <c r="O167" s="14" t="s">
        <v>1825</v>
      </c>
      <c r="P167" s="14" t="s">
        <v>1826</v>
      </c>
      <c r="Q167" s="14" t="s">
        <v>536</v>
      </c>
      <c r="R167" s="14" t="s">
        <v>537</v>
      </c>
      <c r="S167" s="15" t="s">
        <v>1827</v>
      </c>
      <c r="T167" s="14" t="s">
        <v>44</v>
      </c>
      <c r="U167" s="15" t="s">
        <v>33</v>
      </c>
      <c r="V167" s="14" t="s">
        <v>1828</v>
      </c>
      <c r="W167" s="12">
        <f>HYPERLINK("https://my.pitchbook.com?p=341978-59P","View People Online")</f>
      </c>
    </row>
    <row r="168">
      <c r="A168" s="10" t="s">
        <v>1829</v>
      </c>
      <c r="B168" s="10" t="s">
        <v>1830</v>
      </c>
      <c r="C168" s="13">
        <f>HYPERLINK("http://www.instacart.com","www.instacart.com")</f>
      </c>
      <c r="D168" s="10" t="s">
        <v>1633</v>
      </c>
      <c r="E168" s="10" t="s">
        <v>1831</v>
      </c>
      <c r="F168" s="10" t="s">
        <v>225</v>
      </c>
      <c r="G168" s="10" t="s">
        <v>64</v>
      </c>
      <c r="H168" s="10" t="s">
        <v>1832</v>
      </c>
      <c r="I168" s="9">
        <v>8</v>
      </c>
      <c r="J168" s="9">
        <v>146</v>
      </c>
      <c r="K168" s="9">
        <v>116</v>
      </c>
      <c r="L168" s="11" t="s">
        <v>1833</v>
      </c>
      <c r="M168" s="10" t="s">
        <v>33</v>
      </c>
      <c r="N168" s="10" t="s">
        <v>40</v>
      </c>
      <c r="O168" s="10" t="s">
        <v>1834</v>
      </c>
      <c r="P168" s="10" t="s">
        <v>1835</v>
      </c>
      <c r="Q168" s="10" t="s">
        <v>41</v>
      </c>
      <c r="R168" s="10" t="s">
        <v>42</v>
      </c>
      <c r="S168" s="11" t="s">
        <v>165</v>
      </c>
      <c r="T168" s="10" t="s">
        <v>44</v>
      </c>
      <c r="U168" s="11" t="s">
        <v>33</v>
      </c>
      <c r="V168" s="10" t="s">
        <v>1836</v>
      </c>
      <c r="W168" s="13">
        <f>HYPERLINK("https://my.pitchbook.com?p=11887-12P","View People Online")</f>
      </c>
    </row>
    <row r="169">
      <c r="A169" s="14" t="s">
        <v>1837</v>
      </c>
      <c r="B169" s="14" t="s">
        <v>1838</v>
      </c>
      <c r="C169" s="12">
        <f>HYPERLINK("http://group.trip.com","group.trip.com")</f>
      </c>
      <c r="D169" s="14" t="s">
        <v>1633</v>
      </c>
      <c r="E169" s="14" t="s">
        <v>1839</v>
      </c>
      <c r="F169" s="14" t="s">
        <v>1840</v>
      </c>
      <c r="G169" s="14" t="s">
        <v>666</v>
      </c>
      <c r="H169" s="14" t="s">
        <v>1841</v>
      </c>
      <c r="I169" s="16">
        <v>1</v>
      </c>
      <c r="J169" s="16">
        <v>1</v>
      </c>
      <c r="K169" s="16" t="s">
        <v>33</v>
      </c>
      <c r="L169" s="15" t="s">
        <v>33</v>
      </c>
      <c r="M169" s="14" t="s">
        <v>1842</v>
      </c>
      <c r="N169" s="14" t="s">
        <v>1843</v>
      </c>
      <c r="O169" s="14" t="s">
        <v>1844</v>
      </c>
      <c r="P169" s="14" t="s">
        <v>1845</v>
      </c>
      <c r="Q169" s="14" t="s">
        <v>1846</v>
      </c>
      <c r="R169" s="14" t="s">
        <v>33</v>
      </c>
      <c r="S169" s="15" t="s">
        <v>33</v>
      </c>
      <c r="T169" s="14" t="s">
        <v>1846</v>
      </c>
      <c r="U169" s="15" t="s">
        <v>33</v>
      </c>
      <c r="V169" s="14" t="s">
        <v>1847</v>
      </c>
      <c r="W169" s="12">
        <f>HYPERLINK("https://my.pitchbook.com?p=122151-07P","View People Online")</f>
      </c>
    </row>
    <row r="170">
      <c r="A170" s="10" t="s">
        <v>1848</v>
      </c>
      <c r="B170" s="10" t="s">
        <v>1849</v>
      </c>
      <c r="C170" s="13">
        <f>HYPERLINK("http://www.respirerx.com","www.respirerx.com")</f>
      </c>
      <c r="D170" s="10" t="s">
        <v>1633</v>
      </c>
      <c r="E170" s="10" t="s">
        <v>1850</v>
      </c>
      <c r="F170" s="10" t="s">
        <v>1295</v>
      </c>
      <c r="G170" s="10" t="s">
        <v>64</v>
      </c>
      <c r="H170" s="10" t="s">
        <v>1851</v>
      </c>
      <c r="I170" s="9">
        <v>1</v>
      </c>
      <c r="J170" s="9">
        <v>1</v>
      </c>
      <c r="K170" s="9" t="s">
        <v>33</v>
      </c>
      <c r="L170" s="11" t="s">
        <v>1852</v>
      </c>
      <c r="M170" s="10" t="s">
        <v>33</v>
      </c>
      <c r="N170" s="10" t="s">
        <v>1853</v>
      </c>
      <c r="O170" s="10" t="s">
        <v>1854</v>
      </c>
      <c r="P170" s="10" t="s">
        <v>1855</v>
      </c>
      <c r="Q170" s="10" t="s">
        <v>1856</v>
      </c>
      <c r="R170" s="10" t="s">
        <v>344</v>
      </c>
      <c r="S170" s="11" t="s">
        <v>1857</v>
      </c>
      <c r="T170" s="10" t="s">
        <v>44</v>
      </c>
      <c r="U170" s="11" t="s">
        <v>33</v>
      </c>
      <c r="V170" s="10" t="s">
        <v>1858</v>
      </c>
      <c r="W170" s="13">
        <f>HYPERLINK("https://my.pitchbook.com?p=44181-19P","View People Online")</f>
      </c>
    </row>
    <row r="171">
      <c r="A171" s="14" t="s">
        <v>1859</v>
      </c>
      <c r="B171" s="14" t="s">
        <v>1860</v>
      </c>
      <c r="C171" s="12">
        <f>HYPERLINK("http://www.hkex.com.hk","www.hkex.com.hk")</f>
      </c>
      <c r="D171" s="14" t="s">
        <v>1633</v>
      </c>
      <c r="E171" s="14" t="s">
        <v>1861</v>
      </c>
      <c r="F171" s="14" t="s">
        <v>1862</v>
      </c>
      <c r="G171" s="14" t="s">
        <v>64</v>
      </c>
      <c r="H171" s="14" t="s">
        <v>1863</v>
      </c>
      <c r="I171" s="16">
        <v>2</v>
      </c>
      <c r="J171" s="16">
        <v>2</v>
      </c>
      <c r="K171" s="16" t="s">
        <v>33</v>
      </c>
      <c r="L171" s="15" t="s">
        <v>1864</v>
      </c>
      <c r="M171" s="14" t="s">
        <v>33</v>
      </c>
      <c r="N171" s="14" t="s">
        <v>1843</v>
      </c>
      <c r="O171" s="14" t="s">
        <v>1865</v>
      </c>
      <c r="P171" s="14" t="s">
        <v>1866</v>
      </c>
      <c r="Q171" s="14" t="s">
        <v>1846</v>
      </c>
      <c r="R171" s="14" t="s">
        <v>33</v>
      </c>
      <c r="S171" s="15" t="s">
        <v>33</v>
      </c>
      <c r="T171" s="14" t="s">
        <v>1846</v>
      </c>
      <c r="U171" s="15" t="s">
        <v>1867</v>
      </c>
      <c r="V171" s="14" t="s">
        <v>1868</v>
      </c>
      <c r="W171" s="12">
        <f>HYPERLINK("https://my.pitchbook.com?p=290470-69P","View People Online")</f>
      </c>
    </row>
    <row r="172">
      <c r="A172" s="10" t="s">
        <v>1869</v>
      </c>
      <c r="B172" s="10" t="s">
        <v>1870</v>
      </c>
      <c r="C172" s="13">
        <f>HYPERLINK("http://www.indiamart.com","www.indiamart.com")</f>
      </c>
      <c r="D172" s="10" t="s">
        <v>1633</v>
      </c>
      <c r="E172" s="10" t="s">
        <v>1871</v>
      </c>
      <c r="F172" s="10" t="s">
        <v>1872</v>
      </c>
      <c r="G172" s="10" t="s">
        <v>64</v>
      </c>
      <c r="H172" s="10" t="s">
        <v>1873</v>
      </c>
      <c r="I172" s="9">
        <v>5</v>
      </c>
      <c r="J172" s="9">
        <v>120</v>
      </c>
      <c r="K172" s="9">
        <v>107</v>
      </c>
      <c r="L172" s="11" t="s">
        <v>1874</v>
      </c>
      <c r="M172" s="10" t="s">
        <v>1875</v>
      </c>
      <c r="N172" s="10" t="s">
        <v>683</v>
      </c>
      <c r="O172" s="10" t="s">
        <v>1876</v>
      </c>
      <c r="P172" s="10" t="s">
        <v>1877</v>
      </c>
      <c r="Q172" s="10" t="s">
        <v>686</v>
      </c>
      <c r="R172" s="10" t="s">
        <v>1878</v>
      </c>
      <c r="S172" s="11" t="s">
        <v>1879</v>
      </c>
      <c r="T172" s="10" t="s">
        <v>115</v>
      </c>
      <c r="U172" s="11" t="s">
        <v>33</v>
      </c>
      <c r="V172" s="10" t="s">
        <v>1880</v>
      </c>
      <c r="W172" s="13">
        <f>HYPERLINK("https://my.pitchbook.com?p=30361-33P","View People Online")</f>
      </c>
    </row>
    <row r="173">
      <c r="A173" s="14" t="s">
        <v>1881</v>
      </c>
      <c r="B173" s="14" t="s">
        <v>1882</v>
      </c>
      <c r="C173" s="12">
        <f>HYPERLINK("http://www.yygroupholding.com","www.yygroupholding.com")</f>
      </c>
      <c r="D173" s="14" t="s">
        <v>1633</v>
      </c>
      <c r="E173" s="14" t="s">
        <v>1883</v>
      </c>
      <c r="F173" s="14" t="s">
        <v>1884</v>
      </c>
      <c r="G173" s="14" t="s">
        <v>1885</v>
      </c>
      <c r="H173" s="14" t="s">
        <v>1886</v>
      </c>
      <c r="I173" s="16">
        <v>1</v>
      </c>
      <c r="J173" s="16">
        <v>4</v>
      </c>
      <c r="K173" s="16">
        <v>1</v>
      </c>
      <c r="L173" s="15" t="s">
        <v>1887</v>
      </c>
      <c r="M173" s="14" t="s">
        <v>1888</v>
      </c>
      <c r="N173" s="14" t="s">
        <v>53</v>
      </c>
      <c r="O173" s="14" t="s">
        <v>1889</v>
      </c>
      <c r="P173" s="14" t="s">
        <v>1890</v>
      </c>
      <c r="Q173" s="14" t="s">
        <v>56</v>
      </c>
      <c r="R173" s="14" t="s">
        <v>33</v>
      </c>
      <c r="S173" s="15" t="s">
        <v>1891</v>
      </c>
      <c r="T173" s="14" t="s">
        <v>56</v>
      </c>
      <c r="U173" s="15" t="s">
        <v>33</v>
      </c>
      <c r="V173" s="14" t="s">
        <v>1892</v>
      </c>
      <c r="W173" s="12">
        <f>HYPERLINK("https://my.pitchbook.com?p=150203-35P","View People Online")</f>
      </c>
    </row>
    <row r="174">
      <c r="A174" s="10" t="s">
        <v>1893</v>
      </c>
      <c r="B174" s="10" t="s">
        <v>1894</v>
      </c>
      <c r="C174" s="13">
        <f>HYPERLINK("http://www.southchip.com","www.southchip.com")</f>
      </c>
      <c r="D174" s="10" t="s">
        <v>1633</v>
      </c>
      <c r="E174" s="10" t="s">
        <v>1895</v>
      </c>
      <c r="F174" s="10" t="s">
        <v>1896</v>
      </c>
      <c r="G174" s="10" t="s">
        <v>64</v>
      </c>
      <c r="H174" s="10" t="s">
        <v>1897</v>
      </c>
      <c r="I174" s="9">
        <v>1</v>
      </c>
      <c r="J174" s="9">
        <v>1</v>
      </c>
      <c r="K174" s="9" t="s">
        <v>33</v>
      </c>
      <c r="L174" s="11" t="s">
        <v>1898</v>
      </c>
      <c r="M174" s="10" t="s">
        <v>33</v>
      </c>
      <c r="N174" s="10" t="s">
        <v>1899</v>
      </c>
      <c r="O174" s="10" t="s">
        <v>1900</v>
      </c>
      <c r="P174" s="10" t="s">
        <v>1901</v>
      </c>
      <c r="Q174" s="10" t="s">
        <v>1902</v>
      </c>
      <c r="R174" s="10" t="s">
        <v>33</v>
      </c>
      <c r="S174" s="11" t="s">
        <v>1903</v>
      </c>
      <c r="T174" s="10" t="s">
        <v>1785</v>
      </c>
      <c r="U174" s="11" t="s">
        <v>1904</v>
      </c>
      <c r="V174" s="10" t="s">
        <v>1905</v>
      </c>
      <c r="W174" s="13">
        <f>HYPERLINK("https://my.pitchbook.com?p=457478-29P","View People Online")</f>
      </c>
    </row>
    <row r="175">
      <c r="A175" s="14" t="s">
        <v>1906</v>
      </c>
      <c r="B175" s="14" t="s">
        <v>1907</v>
      </c>
      <c r="C175" s="12">
        <f>HYPERLINK("http://www.dariohealth.com","www.dariohealth.com")</f>
      </c>
      <c r="D175" s="14" t="s">
        <v>1633</v>
      </c>
      <c r="E175" s="14" t="s">
        <v>1908</v>
      </c>
      <c r="F175" s="14" t="s">
        <v>1909</v>
      </c>
      <c r="G175" s="14" t="s">
        <v>1823</v>
      </c>
      <c r="H175" s="14" t="s">
        <v>1910</v>
      </c>
      <c r="I175" s="16">
        <v>1</v>
      </c>
      <c r="J175" s="16">
        <v>1</v>
      </c>
      <c r="K175" s="16" t="s">
        <v>33</v>
      </c>
      <c r="L175" s="15" t="s">
        <v>1911</v>
      </c>
      <c r="M175" s="14" t="s">
        <v>1912</v>
      </c>
      <c r="N175" s="14" t="s">
        <v>1913</v>
      </c>
      <c r="O175" s="14" t="s">
        <v>1914</v>
      </c>
      <c r="P175" s="14" t="s">
        <v>1915</v>
      </c>
      <c r="Q175" s="14" t="s">
        <v>1916</v>
      </c>
      <c r="R175" s="14" t="s">
        <v>83</v>
      </c>
      <c r="S175" s="15" t="s">
        <v>1917</v>
      </c>
      <c r="T175" s="14" t="s">
        <v>44</v>
      </c>
      <c r="U175" s="15" t="s">
        <v>33</v>
      </c>
      <c r="V175" s="14" t="s">
        <v>1918</v>
      </c>
      <c r="W175" s="12">
        <f>HYPERLINK("https://my.pitchbook.com?p=196555-42P","View People Online")</f>
      </c>
    </row>
    <row r="176">
      <c r="A176" s="10" t="s">
        <v>1919</v>
      </c>
      <c r="B176" s="10" t="s">
        <v>1920</v>
      </c>
      <c r="C176" s="13">
        <f>HYPERLINK("http://www.coplace.com","www.coplace.com")</f>
      </c>
      <c r="D176" s="10" t="s">
        <v>1921</v>
      </c>
      <c r="E176" s="10" t="s">
        <v>1922</v>
      </c>
      <c r="F176" s="10" t="s">
        <v>1923</v>
      </c>
      <c r="G176" s="10" t="s">
        <v>666</v>
      </c>
      <c r="H176" s="10" t="s">
        <v>1924</v>
      </c>
      <c r="I176" s="9">
        <v>1</v>
      </c>
      <c r="J176" s="9">
        <v>2</v>
      </c>
      <c r="K176" s="9" t="s">
        <v>33</v>
      </c>
      <c r="L176" s="11" t="s">
        <v>1925</v>
      </c>
      <c r="M176" s="10" t="s">
        <v>1926</v>
      </c>
      <c r="N176" s="10" t="s">
        <v>1927</v>
      </c>
      <c r="O176" s="10" t="s">
        <v>1928</v>
      </c>
      <c r="P176" s="10" t="s">
        <v>825</v>
      </c>
      <c r="Q176" s="10" t="s">
        <v>1929</v>
      </c>
      <c r="R176" s="10" t="s">
        <v>42</v>
      </c>
      <c r="S176" s="11" t="s">
        <v>1930</v>
      </c>
      <c r="T176" s="10" t="s">
        <v>44</v>
      </c>
      <c r="U176" s="11" t="s">
        <v>33</v>
      </c>
      <c r="V176" s="10" t="s">
        <v>1931</v>
      </c>
      <c r="W176" s="13">
        <f>HYPERLINK("https://my.pitchbook.com?p=187460-92P","View People Online")</f>
      </c>
    </row>
    <row r="177">
      <c r="A177" s="14" t="s">
        <v>1932</v>
      </c>
      <c r="B177" s="14" t="s">
        <v>1933</v>
      </c>
      <c r="C177" s="12">
        <f>HYPERLINK("http://www.voltaglobal.com","www.voltaglobal.com")</f>
      </c>
      <c r="D177" s="14" t="s">
        <v>1921</v>
      </c>
      <c r="E177" s="14" t="s">
        <v>1934</v>
      </c>
      <c r="F177" s="14" t="s">
        <v>1732</v>
      </c>
      <c r="G177" s="14" t="s">
        <v>1935</v>
      </c>
      <c r="H177" s="14" t="s">
        <v>1936</v>
      </c>
      <c r="I177" s="16">
        <v>1</v>
      </c>
      <c r="J177" s="16">
        <v>3</v>
      </c>
      <c r="K177" s="16">
        <v>1</v>
      </c>
      <c r="L177" s="15" t="s">
        <v>1937</v>
      </c>
      <c r="M177" s="14" t="s">
        <v>33</v>
      </c>
      <c r="N177" s="14" t="s">
        <v>1938</v>
      </c>
      <c r="O177" s="14" t="s">
        <v>1939</v>
      </c>
      <c r="P177" s="14" t="s">
        <v>1940</v>
      </c>
      <c r="Q177" s="14" t="s">
        <v>1941</v>
      </c>
      <c r="R177" s="14" t="s">
        <v>942</v>
      </c>
      <c r="S177" s="15" t="s">
        <v>1942</v>
      </c>
      <c r="T177" s="14" t="s">
        <v>44</v>
      </c>
      <c r="U177" s="15" t="s">
        <v>1943</v>
      </c>
      <c r="V177" s="14" t="s">
        <v>1944</v>
      </c>
      <c r="W177" s="12">
        <f>HYPERLINK("https://my.pitchbook.com?p=99955-09P","View People Online")</f>
      </c>
    </row>
    <row r="178">
      <c r="A178" s="10" t="s">
        <v>1945</v>
      </c>
      <c r="B178" s="10" t="s">
        <v>1946</v>
      </c>
      <c r="C178" s="13">
        <f>HYPERLINK("http://daversa.com","daversa.com")</f>
      </c>
      <c r="D178" s="10" t="s">
        <v>1947</v>
      </c>
      <c r="E178" s="10" t="s">
        <v>1948</v>
      </c>
      <c r="F178" s="10" t="s">
        <v>1949</v>
      </c>
      <c r="G178" s="10" t="s">
        <v>1935</v>
      </c>
      <c r="H178" s="10" t="s">
        <v>1950</v>
      </c>
      <c r="I178" s="9">
        <v>1</v>
      </c>
      <c r="J178" s="9">
        <v>3</v>
      </c>
      <c r="K178" s="9" t="s">
        <v>33</v>
      </c>
      <c r="L178" s="11" t="s">
        <v>33</v>
      </c>
      <c r="M178" s="10" t="s">
        <v>1951</v>
      </c>
      <c r="N178" s="10" t="s">
        <v>518</v>
      </c>
      <c r="O178" s="10" t="s">
        <v>1952</v>
      </c>
      <c r="P178" s="10" t="s">
        <v>1953</v>
      </c>
      <c r="Q178" s="10" t="s">
        <v>521</v>
      </c>
      <c r="R178" s="10" t="s">
        <v>521</v>
      </c>
      <c r="S178" s="11" t="s">
        <v>1954</v>
      </c>
      <c r="T178" s="10" t="s">
        <v>44</v>
      </c>
      <c r="U178" s="11" t="s">
        <v>33</v>
      </c>
      <c r="V178" s="10" t="s">
        <v>1955</v>
      </c>
      <c r="W178" s="13">
        <f>HYPERLINK("https://my.pitchbook.com?p=140602-78P","View People Online")</f>
      </c>
    </row>
    <row r="179">
      <c r="A179" s="14" t="s">
        <v>1956</v>
      </c>
      <c r="B179" s="14" t="s">
        <v>1957</v>
      </c>
      <c r="C179" s="12">
        <f>HYPERLINK("http://www.plaksha.edu.in","www.plaksha.edu.in")</f>
      </c>
      <c r="D179" s="14" t="s">
        <v>1958</v>
      </c>
      <c r="E179" s="14" t="s">
        <v>678</v>
      </c>
      <c r="F179" s="14" t="s">
        <v>1959</v>
      </c>
      <c r="G179" s="14" t="s">
        <v>1960</v>
      </c>
      <c r="H179" s="14" t="s">
        <v>1961</v>
      </c>
      <c r="I179" s="16">
        <v>1</v>
      </c>
      <c r="J179" s="16">
        <v>8</v>
      </c>
      <c r="K179" s="16">
        <v>3</v>
      </c>
      <c r="L179" s="15" t="s">
        <v>1962</v>
      </c>
      <c r="M179" s="14" t="s">
        <v>33</v>
      </c>
      <c r="N179" s="14" t="s">
        <v>1963</v>
      </c>
      <c r="O179" s="14" t="s">
        <v>1964</v>
      </c>
      <c r="P179" s="14" t="s">
        <v>1965</v>
      </c>
      <c r="Q179" s="14" t="s">
        <v>1966</v>
      </c>
      <c r="R179" s="14" t="s">
        <v>1967</v>
      </c>
      <c r="S179" s="15" t="s">
        <v>1968</v>
      </c>
      <c r="T179" s="14" t="s">
        <v>115</v>
      </c>
      <c r="U179" s="15" t="s">
        <v>33</v>
      </c>
      <c r="V179" s="14" t="s">
        <v>1969</v>
      </c>
      <c r="W179" s="12">
        <f>HYPERLINK("https://my.pitchbook.com?p=61532-02P","View People Online")</f>
      </c>
    </row>
    <row r="180">
      <c r="A180" s="10" t="s">
        <v>1970</v>
      </c>
      <c r="B180" s="10" t="s">
        <v>1971</v>
      </c>
      <c r="C180" s="13">
        <f>HYPERLINK("http://www.washu.edu","www.washu.edu")</f>
      </c>
      <c r="D180" s="10" t="s">
        <v>1972</v>
      </c>
      <c r="E180" s="10" t="s">
        <v>1973</v>
      </c>
      <c r="F180" s="10" t="s">
        <v>351</v>
      </c>
      <c r="G180" s="10" t="s">
        <v>1974</v>
      </c>
      <c r="H180" s="10" t="s">
        <v>1975</v>
      </c>
      <c r="I180" s="9">
        <v>1</v>
      </c>
      <c r="J180" s="9">
        <v>2</v>
      </c>
      <c r="K180" s="9" t="s">
        <v>33</v>
      </c>
      <c r="L180" s="11" t="s">
        <v>1976</v>
      </c>
      <c r="M180" s="10" t="s">
        <v>1977</v>
      </c>
      <c r="N180" s="10" t="s">
        <v>533</v>
      </c>
      <c r="O180" s="10" t="s">
        <v>1978</v>
      </c>
      <c r="P180" s="10" t="s">
        <v>33</v>
      </c>
      <c r="Q180" s="10" t="s">
        <v>536</v>
      </c>
      <c r="R180" s="10" t="s">
        <v>537</v>
      </c>
      <c r="S180" s="11" t="s">
        <v>1979</v>
      </c>
      <c r="T180" s="10" t="s">
        <v>44</v>
      </c>
      <c r="U180" s="11" t="s">
        <v>1980</v>
      </c>
      <c r="V180" s="10" t="s">
        <v>1981</v>
      </c>
      <c r="W180" s="13">
        <f>HYPERLINK("https://my.pitchbook.com?p=63811-54P","View People Online")</f>
      </c>
    </row>
    <row r="181">
      <c r="A181" s="14" t="s">
        <v>1982</v>
      </c>
      <c r="B181" s="14" t="s">
        <v>1983</v>
      </c>
      <c r="C181" s="12">
        <f>HYPERLINK("http://www.a91partners.com","www.a91partners.com")</f>
      </c>
      <c r="D181" s="14" t="s">
        <v>1984</v>
      </c>
      <c r="E181" s="14" t="s">
        <v>1985</v>
      </c>
      <c r="F181" s="14" t="s">
        <v>1986</v>
      </c>
      <c r="G181" s="14" t="s">
        <v>716</v>
      </c>
      <c r="H181" s="14" t="s">
        <v>1987</v>
      </c>
      <c r="I181" s="16">
        <v>7</v>
      </c>
      <c r="J181" s="16">
        <v>45</v>
      </c>
      <c r="K181" s="16">
        <v>30</v>
      </c>
      <c r="L181" s="15" t="s">
        <v>1988</v>
      </c>
      <c r="M181" s="14" t="s">
        <v>1989</v>
      </c>
      <c r="N181" s="14" t="s">
        <v>1330</v>
      </c>
      <c r="O181" s="14" t="s">
        <v>1990</v>
      </c>
      <c r="P181" s="14" t="s">
        <v>1991</v>
      </c>
      <c r="Q181" s="14" t="s">
        <v>1333</v>
      </c>
      <c r="R181" s="14" t="s">
        <v>1334</v>
      </c>
      <c r="S181" s="15" t="s">
        <v>1992</v>
      </c>
      <c r="T181" s="14" t="s">
        <v>115</v>
      </c>
      <c r="U181" s="15" t="s">
        <v>33</v>
      </c>
      <c r="V181" s="14" t="s">
        <v>1993</v>
      </c>
      <c r="W181" s="12">
        <f>HYPERLINK("https://my.pitchbook.com?p=17889-22P","View People Online")</f>
      </c>
    </row>
    <row r="182">
      <c r="A182" s="10" t="s">
        <v>1994</v>
      </c>
      <c r="B182" s="10" t="s">
        <v>1995</v>
      </c>
      <c r="C182" s="13">
        <f>HYPERLINK("http://www.peakxv.com","www.peakxv.com")</f>
      </c>
      <c r="D182" s="10" t="s">
        <v>1984</v>
      </c>
      <c r="E182" s="10" t="s">
        <v>1996</v>
      </c>
      <c r="F182" s="10" t="s">
        <v>1997</v>
      </c>
      <c r="G182" s="10" t="s">
        <v>1998</v>
      </c>
      <c r="H182" s="10" t="s">
        <v>1999</v>
      </c>
      <c r="I182" s="9">
        <v>7</v>
      </c>
      <c r="J182" s="9">
        <v>41</v>
      </c>
      <c r="K182" s="9">
        <v>26</v>
      </c>
      <c r="L182" s="11" t="s">
        <v>33</v>
      </c>
      <c r="M182" s="10" t="s">
        <v>2000</v>
      </c>
      <c r="N182" s="10" t="s">
        <v>53</v>
      </c>
      <c r="O182" s="10" t="s">
        <v>2001</v>
      </c>
      <c r="P182" s="10" t="s">
        <v>2002</v>
      </c>
      <c r="Q182" s="10" t="s">
        <v>56</v>
      </c>
      <c r="R182" s="10" t="s">
        <v>33</v>
      </c>
      <c r="S182" s="11" t="s">
        <v>2003</v>
      </c>
      <c r="T182" s="10" t="s">
        <v>56</v>
      </c>
      <c r="U182" s="11" t="s">
        <v>33</v>
      </c>
      <c r="V182" s="10" t="s">
        <v>2004</v>
      </c>
      <c r="W182" s="13">
        <f>HYPERLINK("https://my.pitchbook.com?p=40924-63P","View People Online")</f>
      </c>
    </row>
    <row r="183">
      <c r="A183" s="14" t="s">
        <v>2005</v>
      </c>
      <c r="B183" s="14" t="s">
        <v>2006</v>
      </c>
      <c r="C183" s="12">
        <f>HYPERLINK("http://sequoiacap.com","sequoiacap.com")</f>
      </c>
      <c r="D183" s="14" t="s">
        <v>1984</v>
      </c>
      <c r="E183" s="14" t="s">
        <v>2007</v>
      </c>
      <c r="F183" s="14" t="s">
        <v>2008</v>
      </c>
      <c r="G183" s="14" t="s">
        <v>2009</v>
      </c>
      <c r="H183" s="14" t="s">
        <v>2010</v>
      </c>
      <c r="I183" s="16">
        <v>17</v>
      </c>
      <c r="J183" s="16">
        <v>95</v>
      </c>
      <c r="K183" s="16">
        <v>58</v>
      </c>
      <c r="L183" s="15" t="s">
        <v>1351</v>
      </c>
      <c r="M183" s="14" t="s">
        <v>2011</v>
      </c>
      <c r="N183" s="14" t="s">
        <v>422</v>
      </c>
      <c r="O183" s="14" t="s">
        <v>423</v>
      </c>
      <c r="P183" s="14" t="s">
        <v>424</v>
      </c>
      <c r="Q183" s="14" t="s">
        <v>425</v>
      </c>
      <c r="R183" s="14" t="s">
        <v>42</v>
      </c>
      <c r="S183" s="15" t="s">
        <v>2012</v>
      </c>
      <c r="T183" s="14" t="s">
        <v>44</v>
      </c>
      <c r="U183" s="15" t="s">
        <v>2013</v>
      </c>
      <c r="V183" s="14" t="s">
        <v>2014</v>
      </c>
      <c r="W183" s="12">
        <f>HYPERLINK("https://my.pitchbook.com?p=30329-47P","View People Online")</f>
      </c>
    </row>
    <row r="184">
      <c r="A184" s="10" t="s">
        <v>2015</v>
      </c>
      <c r="B184" s="10" t="s">
        <v>2016</v>
      </c>
      <c r="C184" s="13">
        <f>HYPERLINK("http://www.sempervirensvc.com","www.sempervirensvc.com")</f>
      </c>
      <c r="D184" s="10" t="s">
        <v>1984</v>
      </c>
      <c r="E184" s="10" t="s">
        <v>2017</v>
      </c>
      <c r="F184" s="10" t="s">
        <v>2018</v>
      </c>
      <c r="G184" s="10" t="s">
        <v>716</v>
      </c>
      <c r="H184" s="10" t="s">
        <v>2019</v>
      </c>
      <c r="I184" s="9">
        <v>2</v>
      </c>
      <c r="J184" s="9">
        <v>21</v>
      </c>
      <c r="K184" s="9">
        <v>11</v>
      </c>
      <c r="L184" s="11" t="s">
        <v>653</v>
      </c>
      <c r="M184" s="10" t="s">
        <v>33</v>
      </c>
      <c r="N184" s="10" t="s">
        <v>655</v>
      </c>
      <c r="O184" s="10" t="s">
        <v>656</v>
      </c>
      <c r="P184" s="10" t="s">
        <v>657</v>
      </c>
      <c r="Q184" s="10" t="s">
        <v>658</v>
      </c>
      <c r="R184" s="10" t="s">
        <v>42</v>
      </c>
      <c r="S184" s="11" t="s">
        <v>659</v>
      </c>
      <c r="T184" s="10" t="s">
        <v>44</v>
      </c>
      <c r="U184" s="11" t="s">
        <v>33</v>
      </c>
      <c r="V184" s="10" t="s">
        <v>2020</v>
      </c>
      <c r="W184" s="13">
        <f>HYPERLINK("https://my.pitchbook.com?p=89487-91P","View People Online")</f>
      </c>
    </row>
    <row r="185">
      <c r="A185" s="14" t="s">
        <v>2021</v>
      </c>
      <c r="B185" s="14" t="s">
        <v>2022</v>
      </c>
      <c r="C185" s="12">
        <f>HYPERLINK("http://www.ironpillarfund.com","www.ironpillarfund.com")</f>
      </c>
      <c r="D185" s="14" t="s">
        <v>1984</v>
      </c>
      <c r="E185" s="14" t="s">
        <v>2023</v>
      </c>
      <c r="F185" s="14" t="s">
        <v>1996</v>
      </c>
      <c r="G185" s="14" t="s">
        <v>544</v>
      </c>
      <c r="H185" s="14" t="s">
        <v>2024</v>
      </c>
      <c r="I185" s="16">
        <v>2</v>
      </c>
      <c r="J185" s="16">
        <v>17</v>
      </c>
      <c r="K185" s="16">
        <v>8</v>
      </c>
      <c r="L185" s="15" t="s">
        <v>2025</v>
      </c>
      <c r="M185" s="14" t="s">
        <v>2026</v>
      </c>
      <c r="N185" s="14" t="s">
        <v>2027</v>
      </c>
      <c r="O185" s="14" t="s">
        <v>2028</v>
      </c>
      <c r="P185" s="14" t="s">
        <v>2029</v>
      </c>
      <c r="Q185" s="14" t="s">
        <v>2030</v>
      </c>
      <c r="R185" s="14" t="s">
        <v>33</v>
      </c>
      <c r="S185" s="15" t="s">
        <v>33</v>
      </c>
      <c r="T185" s="14" t="s">
        <v>2031</v>
      </c>
      <c r="U185" s="15" t="s">
        <v>33</v>
      </c>
      <c r="V185" s="14" t="s">
        <v>2032</v>
      </c>
      <c r="W185" s="12">
        <f>HYPERLINK("https://my.pitchbook.com?p=45810-10P","View People Online")</f>
      </c>
    </row>
    <row r="186">
      <c r="A186" s="10" t="s">
        <v>2033</v>
      </c>
      <c r="B186" s="10" t="s">
        <v>2034</v>
      </c>
      <c r="C186" s="13">
        <f>HYPERLINK("http://sequoiacap.com","sequoiacap.com")</f>
      </c>
      <c r="D186" s="10" t="s">
        <v>1984</v>
      </c>
      <c r="E186" s="10" t="s">
        <v>2035</v>
      </c>
      <c r="F186" s="10" t="s">
        <v>665</v>
      </c>
      <c r="G186" s="10" t="s">
        <v>2036</v>
      </c>
      <c r="H186" s="10" t="s">
        <v>2010</v>
      </c>
      <c r="I186" s="9">
        <v>10</v>
      </c>
      <c r="J186" s="9">
        <v>49</v>
      </c>
      <c r="K186" s="9">
        <v>36</v>
      </c>
      <c r="L186" s="11" t="s">
        <v>1351</v>
      </c>
      <c r="M186" s="10" t="s">
        <v>2037</v>
      </c>
      <c r="N186" s="10" t="s">
        <v>422</v>
      </c>
      <c r="O186" s="10" t="s">
        <v>423</v>
      </c>
      <c r="P186" s="10" t="s">
        <v>424</v>
      </c>
      <c r="Q186" s="10" t="s">
        <v>425</v>
      </c>
      <c r="R186" s="10" t="s">
        <v>42</v>
      </c>
      <c r="S186" s="11" t="s">
        <v>2012</v>
      </c>
      <c r="T186" s="10" t="s">
        <v>44</v>
      </c>
      <c r="U186" s="11" t="s">
        <v>2013</v>
      </c>
      <c r="V186" s="10" t="s">
        <v>2038</v>
      </c>
      <c r="W186" s="13">
        <f>HYPERLINK("https://my.pitchbook.com?p=63193-87P","View People Online")</f>
      </c>
    </row>
    <row r="187">
      <c r="A187" s="14" t="s">
        <v>2039</v>
      </c>
      <c r="B187" s="14" t="s">
        <v>2040</v>
      </c>
      <c r="C187" s="12">
        <f>HYPERLINK("http://www.peakxv.com","www.peakxv.com")</f>
      </c>
      <c r="D187" s="14" t="s">
        <v>1984</v>
      </c>
      <c r="E187" s="14" t="s">
        <v>2041</v>
      </c>
      <c r="F187" s="14" t="s">
        <v>2042</v>
      </c>
      <c r="G187" s="14" t="s">
        <v>1998</v>
      </c>
      <c r="H187" s="14" t="s">
        <v>1999</v>
      </c>
      <c r="I187" s="16">
        <v>1</v>
      </c>
      <c r="J187" s="16">
        <v>24</v>
      </c>
      <c r="K187" s="16">
        <v>19</v>
      </c>
      <c r="L187" s="15" t="s">
        <v>33</v>
      </c>
      <c r="M187" s="14" t="s">
        <v>2043</v>
      </c>
      <c r="N187" s="14" t="s">
        <v>133</v>
      </c>
      <c r="O187" s="14" t="s">
        <v>2044</v>
      </c>
      <c r="P187" s="14" t="s">
        <v>2045</v>
      </c>
      <c r="Q187" s="14" t="s">
        <v>136</v>
      </c>
      <c r="R187" s="14" t="s">
        <v>113</v>
      </c>
      <c r="S187" s="15" t="s">
        <v>1134</v>
      </c>
      <c r="T187" s="14" t="s">
        <v>115</v>
      </c>
      <c r="U187" s="15" t="s">
        <v>33</v>
      </c>
      <c r="V187" s="14" t="s">
        <v>2046</v>
      </c>
      <c r="W187" s="12">
        <f>HYPERLINK("https://my.pitchbook.com?p=191102-05P","View People Online")</f>
      </c>
    </row>
    <row r="188">
      <c r="A188" s="10" t="s">
        <v>2047</v>
      </c>
      <c r="B188" s="10" t="s">
        <v>2048</v>
      </c>
      <c r="C188" s="13">
        <f>HYPERLINK("http://www.prologventures.com","www.prologventures.com")</f>
      </c>
      <c r="D188" s="10" t="s">
        <v>1984</v>
      </c>
      <c r="E188" s="10" t="s">
        <v>2049</v>
      </c>
      <c r="F188" s="10" t="s">
        <v>377</v>
      </c>
      <c r="G188" s="10" t="s">
        <v>2050</v>
      </c>
      <c r="H188" s="10" t="s">
        <v>2051</v>
      </c>
      <c r="I188" s="9">
        <v>6</v>
      </c>
      <c r="J188" s="9">
        <v>39</v>
      </c>
      <c r="K188" s="9">
        <v>26</v>
      </c>
      <c r="L188" s="11" t="s">
        <v>2052</v>
      </c>
      <c r="M188" s="10" t="s">
        <v>2053</v>
      </c>
      <c r="N188" s="10" t="s">
        <v>2054</v>
      </c>
      <c r="O188" s="10" t="s">
        <v>2055</v>
      </c>
      <c r="P188" s="10" t="s">
        <v>2056</v>
      </c>
      <c r="Q188" s="10" t="s">
        <v>2057</v>
      </c>
      <c r="R188" s="10" t="s">
        <v>537</v>
      </c>
      <c r="S188" s="11" t="s">
        <v>538</v>
      </c>
      <c r="T188" s="10" t="s">
        <v>44</v>
      </c>
      <c r="U188" s="11" t="s">
        <v>2058</v>
      </c>
      <c r="V188" s="10" t="s">
        <v>2059</v>
      </c>
      <c r="W188" s="13">
        <f>HYPERLINK("https://my.pitchbook.com?p=13833-82P","View People Online")</f>
      </c>
    </row>
    <row r="189">
      <c r="A189" s="14" t="s">
        <v>2060</v>
      </c>
      <c r="B189" s="14" t="s">
        <v>2061</v>
      </c>
      <c r="C189" s="12">
        <f>HYPERLINK("http://www.pritzkergroup.com/venture-capital","www.pritzkergroup.com/venture-capital")</f>
      </c>
      <c r="D189" s="14" t="s">
        <v>1984</v>
      </c>
      <c r="E189" s="14" t="s">
        <v>2062</v>
      </c>
      <c r="F189" s="14" t="s">
        <v>749</v>
      </c>
      <c r="G189" s="14" t="s">
        <v>2063</v>
      </c>
      <c r="H189" s="14" t="s">
        <v>2064</v>
      </c>
      <c r="I189" s="16">
        <v>1</v>
      </c>
      <c r="J189" s="16">
        <v>3</v>
      </c>
      <c r="K189" s="16" t="s">
        <v>33</v>
      </c>
      <c r="L189" s="15" t="s">
        <v>2065</v>
      </c>
      <c r="M189" s="14" t="s">
        <v>33</v>
      </c>
      <c r="N189" s="14" t="s">
        <v>2066</v>
      </c>
      <c r="O189" s="14" t="s">
        <v>2067</v>
      </c>
      <c r="P189" s="14" t="s">
        <v>2068</v>
      </c>
      <c r="Q189" s="14" t="s">
        <v>2069</v>
      </c>
      <c r="R189" s="14" t="s">
        <v>2070</v>
      </c>
      <c r="S189" s="15" t="s">
        <v>2071</v>
      </c>
      <c r="T189" s="14" t="s">
        <v>44</v>
      </c>
      <c r="U189" s="15" t="s">
        <v>33</v>
      </c>
      <c r="V189" s="14" t="s">
        <v>2072</v>
      </c>
      <c r="W189" s="12">
        <f>HYPERLINK("https://my.pitchbook.com?p=35800-12P","View People Online")</f>
      </c>
    </row>
    <row r="190">
      <c r="A190" s="10" t="s">
        <v>2073</v>
      </c>
      <c r="B190" s="10" t="s">
        <v>2074</v>
      </c>
      <c r="C190" s="13">
        <f>HYPERLINK("http://www.alphajwc.com","www.alphajwc.com")</f>
      </c>
      <c r="D190" s="10" t="s">
        <v>1984</v>
      </c>
      <c r="E190" s="10" t="s">
        <v>2075</v>
      </c>
      <c r="F190" s="10" t="s">
        <v>2076</v>
      </c>
      <c r="G190" s="10" t="s">
        <v>50</v>
      </c>
      <c r="H190" s="10" t="s">
        <v>2077</v>
      </c>
      <c r="I190" s="9">
        <v>3</v>
      </c>
      <c r="J190" s="9">
        <v>37</v>
      </c>
      <c r="K190" s="9">
        <v>28</v>
      </c>
      <c r="L190" s="11" t="s">
        <v>33</v>
      </c>
      <c r="M190" s="10" t="s">
        <v>2078</v>
      </c>
      <c r="N190" s="10" t="s">
        <v>2079</v>
      </c>
      <c r="O190" s="10" t="s">
        <v>2080</v>
      </c>
      <c r="P190" s="10" t="s">
        <v>2081</v>
      </c>
      <c r="Q190" s="10" t="s">
        <v>2082</v>
      </c>
      <c r="R190" s="10" t="s">
        <v>33</v>
      </c>
      <c r="S190" s="11" t="s">
        <v>2083</v>
      </c>
      <c r="T190" s="10" t="s">
        <v>2084</v>
      </c>
      <c r="U190" s="11" t="s">
        <v>33</v>
      </c>
      <c r="V190" s="10" t="s">
        <v>2085</v>
      </c>
      <c r="W190" s="13">
        <f>HYPERLINK("https://my.pitchbook.com?p=98832-61P","View People Online")</f>
      </c>
    </row>
    <row r="191">
      <c r="A191" s="14" t="s">
        <v>2086</v>
      </c>
      <c r="B191" s="14" t="s">
        <v>2087</v>
      </c>
      <c r="C191" s="12">
        <f>HYPERLINK("http://www.redhillcapital.cn","www.redhillcapital.cn")</f>
      </c>
      <c r="D191" s="14" t="s">
        <v>1984</v>
      </c>
      <c r="E191" s="14" t="s">
        <v>2088</v>
      </c>
      <c r="F191" s="14" t="s">
        <v>2089</v>
      </c>
      <c r="G191" s="14" t="s">
        <v>2090</v>
      </c>
      <c r="H191" s="14" t="s">
        <v>2091</v>
      </c>
      <c r="I191" s="16">
        <v>1</v>
      </c>
      <c r="J191" s="16">
        <v>5</v>
      </c>
      <c r="K191" s="16">
        <v>2</v>
      </c>
      <c r="L191" s="15" t="s">
        <v>2092</v>
      </c>
      <c r="M191" s="14" t="s">
        <v>2093</v>
      </c>
      <c r="N191" s="14" t="s">
        <v>2094</v>
      </c>
      <c r="O191" s="14" t="s">
        <v>2095</v>
      </c>
      <c r="P191" s="14" t="s">
        <v>2096</v>
      </c>
      <c r="Q191" s="14" t="s">
        <v>2097</v>
      </c>
      <c r="R191" s="14" t="s">
        <v>2098</v>
      </c>
      <c r="S191" s="15" t="s">
        <v>2099</v>
      </c>
      <c r="T191" s="14" t="s">
        <v>1785</v>
      </c>
      <c r="U191" s="15" t="s">
        <v>33</v>
      </c>
      <c r="V191" s="14" t="s">
        <v>2100</v>
      </c>
      <c r="W191" s="12">
        <f>HYPERLINK("https://my.pitchbook.com?p=58625-83P","View People Online")</f>
      </c>
    </row>
    <row r="192">
      <c r="A192" s="10" t="s">
        <v>2101</v>
      </c>
      <c r="B192" s="10" t="s">
        <v>2102</v>
      </c>
      <c r="C192" s="13">
        <f>HYPERLINK("http://www.drivecapital.com","www.drivecapital.com")</f>
      </c>
      <c r="D192" s="10" t="s">
        <v>1984</v>
      </c>
      <c r="E192" s="10" t="s">
        <v>2103</v>
      </c>
      <c r="F192" s="10" t="s">
        <v>144</v>
      </c>
      <c r="G192" s="10" t="s">
        <v>2104</v>
      </c>
      <c r="H192" s="10" t="s">
        <v>2105</v>
      </c>
      <c r="I192" s="9">
        <v>11</v>
      </c>
      <c r="J192" s="9">
        <v>56</v>
      </c>
      <c r="K192" s="9">
        <v>32</v>
      </c>
      <c r="L192" s="11" t="s">
        <v>2106</v>
      </c>
      <c r="M192" s="10" t="s">
        <v>2107</v>
      </c>
      <c r="N192" s="10" t="s">
        <v>2108</v>
      </c>
      <c r="O192" s="10" t="s">
        <v>2109</v>
      </c>
      <c r="P192" s="10" t="s">
        <v>2110</v>
      </c>
      <c r="Q192" s="10" t="s">
        <v>2111</v>
      </c>
      <c r="R192" s="10" t="s">
        <v>2112</v>
      </c>
      <c r="S192" s="11" t="s">
        <v>2113</v>
      </c>
      <c r="T192" s="10" t="s">
        <v>44</v>
      </c>
      <c r="U192" s="11" t="s">
        <v>33</v>
      </c>
      <c r="V192" s="10" t="s">
        <v>2114</v>
      </c>
      <c r="W192" s="13">
        <f>HYPERLINK("https://my.pitchbook.com?p=13957-57P","View People Online")</f>
      </c>
    </row>
    <row r="193">
      <c r="A193" s="14" t="s">
        <v>2115</v>
      </c>
      <c r="B193" s="14" t="s">
        <v>2116</v>
      </c>
      <c r="C193" s="12">
        <f>HYPERLINK("http://www.hsgcap.com","www.hsgcap.com")</f>
      </c>
      <c r="D193" s="14" t="s">
        <v>1984</v>
      </c>
      <c r="E193" s="14" t="s">
        <v>2117</v>
      </c>
      <c r="F193" s="14" t="s">
        <v>2118</v>
      </c>
      <c r="G193" s="14" t="s">
        <v>1998</v>
      </c>
      <c r="H193" s="14" t="s">
        <v>2119</v>
      </c>
      <c r="I193" s="16">
        <v>1</v>
      </c>
      <c r="J193" s="16">
        <v>22</v>
      </c>
      <c r="K193" s="16">
        <v>20</v>
      </c>
      <c r="L193" s="15" t="s">
        <v>2120</v>
      </c>
      <c r="M193" s="14" t="s">
        <v>2121</v>
      </c>
      <c r="N193" s="14" t="s">
        <v>1805</v>
      </c>
      <c r="O193" s="14" t="s">
        <v>2122</v>
      </c>
      <c r="P193" s="14" t="s">
        <v>2123</v>
      </c>
      <c r="Q193" s="14" t="s">
        <v>1808</v>
      </c>
      <c r="R193" s="14" t="s">
        <v>33</v>
      </c>
      <c r="S193" s="15" t="s">
        <v>33</v>
      </c>
      <c r="T193" s="14" t="s">
        <v>1785</v>
      </c>
      <c r="U193" s="15" t="s">
        <v>33</v>
      </c>
      <c r="V193" s="14" t="s">
        <v>2124</v>
      </c>
      <c r="W193" s="12">
        <f>HYPERLINK("https://my.pitchbook.com?p=58600-54P","View People Online")</f>
      </c>
    </row>
    <row r="194">
      <c r="A194" s="10" t="s">
        <v>2125</v>
      </c>
      <c r="B194" s="10" t="s">
        <v>2126</v>
      </c>
      <c r="C194" s="13">
        <f>HYPERLINK("http://sequoiacap.com","sequoiacap.com")</f>
      </c>
      <c r="D194" s="10" t="s">
        <v>1984</v>
      </c>
      <c r="E194" s="10" t="s">
        <v>2127</v>
      </c>
      <c r="F194" s="10" t="s">
        <v>925</v>
      </c>
      <c r="G194" s="10" t="s">
        <v>2036</v>
      </c>
      <c r="H194" s="10" t="s">
        <v>2010</v>
      </c>
      <c r="I194" s="9">
        <v>2</v>
      </c>
      <c r="J194" s="9">
        <v>15</v>
      </c>
      <c r="K194" s="9">
        <v>10</v>
      </c>
      <c r="L194" s="11" t="s">
        <v>1351</v>
      </c>
      <c r="M194" s="10" t="s">
        <v>2128</v>
      </c>
      <c r="N194" s="10" t="s">
        <v>422</v>
      </c>
      <c r="O194" s="10" t="s">
        <v>423</v>
      </c>
      <c r="P194" s="10" t="s">
        <v>424</v>
      </c>
      <c r="Q194" s="10" t="s">
        <v>425</v>
      </c>
      <c r="R194" s="10" t="s">
        <v>42</v>
      </c>
      <c r="S194" s="11" t="s">
        <v>2012</v>
      </c>
      <c r="T194" s="10" t="s">
        <v>44</v>
      </c>
      <c r="U194" s="11" t="s">
        <v>2013</v>
      </c>
      <c r="V194" s="10" t="s">
        <v>2129</v>
      </c>
      <c r="W194" s="13">
        <f>HYPERLINK("https://my.pitchbook.com?p=276249-25P","View People Online")</f>
      </c>
    </row>
    <row r="195">
      <c r="A195" s="14" t="s">
        <v>2130</v>
      </c>
      <c r="B195" s="14" t="s">
        <v>2131</v>
      </c>
      <c r="C195" s="12">
        <f>HYPERLINK("http://www.scalexventures.com","www.scalexventures.com")</f>
      </c>
      <c r="D195" s="14" t="s">
        <v>1984</v>
      </c>
      <c r="E195" s="14" t="s">
        <v>2132</v>
      </c>
      <c r="F195" s="14" t="s">
        <v>2133</v>
      </c>
      <c r="G195" s="14" t="s">
        <v>2134</v>
      </c>
      <c r="H195" s="14" t="s">
        <v>2135</v>
      </c>
      <c r="I195" s="16">
        <v>2</v>
      </c>
      <c r="J195" s="16">
        <v>20</v>
      </c>
      <c r="K195" s="16">
        <v>15</v>
      </c>
      <c r="L195" s="15" t="s">
        <v>33</v>
      </c>
      <c r="M195" s="14" t="s">
        <v>2136</v>
      </c>
      <c r="N195" s="14" t="s">
        <v>247</v>
      </c>
      <c r="O195" s="14" t="s">
        <v>2137</v>
      </c>
      <c r="P195" s="14" t="s">
        <v>33</v>
      </c>
      <c r="Q195" s="14" t="s">
        <v>248</v>
      </c>
      <c r="R195" s="14" t="s">
        <v>33</v>
      </c>
      <c r="S195" s="15" t="s">
        <v>2138</v>
      </c>
      <c r="T195" s="14" t="s">
        <v>249</v>
      </c>
      <c r="U195" s="15" t="s">
        <v>33</v>
      </c>
      <c r="V195" s="14" t="s">
        <v>2139</v>
      </c>
      <c r="W195" s="12">
        <f>HYPERLINK("https://my.pitchbook.com?p=101534-50P","View People Online")</f>
      </c>
    </row>
    <row r="196">
      <c r="A196" s="10" t="s">
        <v>2140</v>
      </c>
      <c r="B196" s="10" t="s">
        <v>2141</v>
      </c>
      <c r="C196" s="13">
        <f>HYPERLINK("http://sequoiacap.com","sequoiacap.com")</f>
      </c>
      <c r="D196" s="10" t="s">
        <v>1984</v>
      </c>
      <c r="E196" s="10" t="s">
        <v>2142</v>
      </c>
      <c r="F196" s="10" t="s">
        <v>2143</v>
      </c>
      <c r="G196" s="10" t="s">
        <v>2144</v>
      </c>
      <c r="H196" s="10" t="s">
        <v>2010</v>
      </c>
      <c r="I196" s="9">
        <v>11</v>
      </c>
      <c r="J196" s="9">
        <v>142</v>
      </c>
      <c r="K196" s="9">
        <v>94</v>
      </c>
      <c r="L196" s="11" t="s">
        <v>1351</v>
      </c>
      <c r="M196" s="10" t="s">
        <v>2145</v>
      </c>
      <c r="N196" s="10" t="s">
        <v>422</v>
      </c>
      <c r="O196" s="10" t="s">
        <v>423</v>
      </c>
      <c r="P196" s="10" t="s">
        <v>424</v>
      </c>
      <c r="Q196" s="10" t="s">
        <v>425</v>
      </c>
      <c r="R196" s="10" t="s">
        <v>42</v>
      </c>
      <c r="S196" s="11" t="s">
        <v>2012</v>
      </c>
      <c r="T196" s="10" t="s">
        <v>44</v>
      </c>
      <c r="U196" s="11" t="s">
        <v>2013</v>
      </c>
      <c r="V196" s="10" t="s">
        <v>2146</v>
      </c>
      <c r="W196" s="13">
        <f>HYPERLINK("https://my.pitchbook.com?p=13958-02P","View People Online")</f>
      </c>
    </row>
    <row r="197">
      <c r="A197" s="14" t="s">
        <v>2147</v>
      </c>
      <c r="B197" s="14" t="s">
        <v>2148</v>
      </c>
      <c r="C197" s="12">
        <f>HYPERLINK("http://www.greenpointpartners.com","www.greenpointpartners.com")</f>
      </c>
      <c r="D197" s="14" t="s">
        <v>1984</v>
      </c>
      <c r="E197" s="14" t="s">
        <v>2149</v>
      </c>
      <c r="F197" s="14" t="s">
        <v>351</v>
      </c>
      <c r="G197" s="14" t="s">
        <v>268</v>
      </c>
      <c r="H197" s="14" t="s">
        <v>2150</v>
      </c>
      <c r="I197" s="16">
        <v>1</v>
      </c>
      <c r="J197" s="16">
        <v>6</v>
      </c>
      <c r="K197" s="16">
        <v>3</v>
      </c>
      <c r="L197" s="15" t="s">
        <v>2151</v>
      </c>
      <c r="M197" s="14" t="s">
        <v>2152</v>
      </c>
      <c r="N197" s="14" t="s">
        <v>518</v>
      </c>
      <c r="O197" s="14" t="s">
        <v>2153</v>
      </c>
      <c r="P197" s="14" t="s">
        <v>97</v>
      </c>
      <c r="Q197" s="14" t="s">
        <v>521</v>
      </c>
      <c r="R197" s="14" t="s">
        <v>521</v>
      </c>
      <c r="S197" s="15" t="s">
        <v>2154</v>
      </c>
      <c r="T197" s="14" t="s">
        <v>44</v>
      </c>
      <c r="U197" s="15" t="s">
        <v>33</v>
      </c>
      <c r="V197" s="14" t="s">
        <v>2155</v>
      </c>
      <c r="W197" s="12">
        <f>HYPERLINK("https://my.pitchbook.com?p=125247-25P","View People Online")</f>
      </c>
    </row>
    <row r="198">
      <c r="A198" s="10" t="s">
        <v>2156</v>
      </c>
      <c r="B198" s="10" t="s">
        <v>2157</v>
      </c>
      <c r="C198" s="13">
        <f>HYPERLINK("http://www.iconium.it","www.iconium.it")</f>
      </c>
      <c r="D198" s="10" t="s">
        <v>1984</v>
      </c>
      <c r="E198" s="10" t="s">
        <v>2158</v>
      </c>
      <c r="F198" s="10" t="s">
        <v>2159</v>
      </c>
      <c r="G198" s="10" t="s">
        <v>870</v>
      </c>
      <c r="H198" s="10" t="s">
        <v>2160</v>
      </c>
      <c r="I198" s="9">
        <v>1</v>
      </c>
      <c r="J198" s="9">
        <v>5</v>
      </c>
      <c r="K198" s="9">
        <v>3</v>
      </c>
      <c r="L198" s="11" t="s">
        <v>2161</v>
      </c>
      <c r="M198" s="10" t="s">
        <v>2162</v>
      </c>
      <c r="N198" s="10" t="s">
        <v>2163</v>
      </c>
      <c r="O198" s="10" t="s">
        <v>2164</v>
      </c>
      <c r="P198" s="10" t="s">
        <v>2165</v>
      </c>
      <c r="Q198" s="10" t="s">
        <v>2166</v>
      </c>
      <c r="R198" s="10" t="s">
        <v>33</v>
      </c>
      <c r="S198" s="11" t="s">
        <v>2167</v>
      </c>
      <c r="T198" s="10" t="s">
        <v>2168</v>
      </c>
      <c r="U198" s="11" t="s">
        <v>33</v>
      </c>
      <c r="V198" s="10" t="s">
        <v>2169</v>
      </c>
      <c r="W198" s="13">
        <f>HYPERLINK("https://my.pitchbook.com?p=49268-89P","View People Online")</f>
      </c>
    </row>
    <row r="199">
      <c r="A199" s="14" t="s">
        <v>2170</v>
      </c>
      <c r="B199" s="14" t="s">
        <v>2171</v>
      </c>
      <c r="C199" s="12">
        <f>HYPERLINK("http://www.campventures.com","www.campventures.com")</f>
      </c>
      <c r="D199" s="14" t="s">
        <v>1984</v>
      </c>
      <c r="E199" s="14" t="s">
        <v>2172</v>
      </c>
      <c r="F199" s="14" t="s">
        <v>2173</v>
      </c>
      <c r="G199" s="14" t="s">
        <v>2174</v>
      </c>
      <c r="H199" s="14" t="s">
        <v>2175</v>
      </c>
      <c r="I199" s="16">
        <v>1</v>
      </c>
      <c r="J199" s="16">
        <v>1</v>
      </c>
      <c r="K199" s="16" t="s">
        <v>33</v>
      </c>
      <c r="L199" s="15" t="s">
        <v>2176</v>
      </c>
      <c r="M199" s="14" t="s">
        <v>33</v>
      </c>
      <c r="N199" s="14" t="s">
        <v>823</v>
      </c>
      <c r="O199" s="14" t="s">
        <v>2177</v>
      </c>
      <c r="P199" s="14" t="s">
        <v>2178</v>
      </c>
      <c r="Q199" s="14" t="s">
        <v>826</v>
      </c>
      <c r="R199" s="14" t="s">
        <v>42</v>
      </c>
      <c r="S199" s="15" t="s">
        <v>2179</v>
      </c>
      <c r="T199" s="14" t="s">
        <v>44</v>
      </c>
      <c r="U199" s="15" t="s">
        <v>33</v>
      </c>
      <c r="V199" s="14" t="s">
        <v>2180</v>
      </c>
      <c r="W199" s="12">
        <f>HYPERLINK("https://my.pitchbook.com?p=93333-97P","View People Online")</f>
      </c>
    </row>
    <row r="200">
      <c r="A200" s="10" t="s">
        <v>2181</v>
      </c>
      <c r="B200" s="10" t="s">
        <v>2182</v>
      </c>
      <c r="C200" s="13">
        <f>HYPERLINK("http://www.peakxv.com","www.peakxv.com")</f>
      </c>
      <c r="D200" s="10" t="s">
        <v>1984</v>
      </c>
      <c r="E200" s="10" t="s">
        <v>2183</v>
      </c>
      <c r="F200" s="10" t="s">
        <v>2184</v>
      </c>
      <c r="G200" s="10" t="s">
        <v>1998</v>
      </c>
      <c r="H200" s="10" t="s">
        <v>1999</v>
      </c>
      <c r="I200" s="9">
        <v>6</v>
      </c>
      <c r="J200" s="9">
        <v>52</v>
      </c>
      <c r="K200" s="9">
        <v>38</v>
      </c>
      <c r="L200" s="11" t="s">
        <v>33</v>
      </c>
      <c r="M200" s="10" t="s">
        <v>2185</v>
      </c>
      <c r="N200" s="10" t="s">
        <v>133</v>
      </c>
      <c r="O200" s="10" t="s">
        <v>2044</v>
      </c>
      <c r="P200" s="10" t="s">
        <v>2045</v>
      </c>
      <c r="Q200" s="10" t="s">
        <v>136</v>
      </c>
      <c r="R200" s="10" t="s">
        <v>113</v>
      </c>
      <c r="S200" s="11" t="s">
        <v>1134</v>
      </c>
      <c r="T200" s="10" t="s">
        <v>115</v>
      </c>
      <c r="U200" s="11" t="s">
        <v>33</v>
      </c>
      <c r="V200" s="10" t="s">
        <v>2186</v>
      </c>
      <c r="W200" s="13">
        <f>HYPERLINK("https://my.pitchbook.com?p=35786-17P","View People Online")</f>
      </c>
    </row>
    <row r="201">
      <c r="A201" s="14" t="s">
        <v>2187</v>
      </c>
      <c r="B201" s="14" t="s">
        <v>2188</v>
      </c>
      <c r="C201" s="12">
        <f>HYPERLINK("http://www.wing.vc","www.wing.vc")</f>
      </c>
      <c r="D201" s="14" t="s">
        <v>1984</v>
      </c>
      <c r="E201" s="14" t="s">
        <v>2189</v>
      </c>
      <c r="F201" s="14" t="s">
        <v>2190</v>
      </c>
      <c r="G201" s="14" t="s">
        <v>707</v>
      </c>
      <c r="H201" s="14" t="s">
        <v>2191</v>
      </c>
      <c r="I201" s="16">
        <v>8</v>
      </c>
      <c r="J201" s="16">
        <v>102</v>
      </c>
      <c r="K201" s="16">
        <v>73</v>
      </c>
      <c r="L201" s="15" t="s">
        <v>2192</v>
      </c>
      <c r="M201" s="14" t="s">
        <v>2193</v>
      </c>
      <c r="N201" s="14" t="s">
        <v>286</v>
      </c>
      <c r="O201" s="14" t="s">
        <v>2194</v>
      </c>
      <c r="P201" s="14" t="s">
        <v>33</v>
      </c>
      <c r="Q201" s="14" t="s">
        <v>288</v>
      </c>
      <c r="R201" s="14" t="s">
        <v>42</v>
      </c>
      <c r="S201" s="15" t="s">
        <v>289</v>
      </c>
      <c r="T201" s="14" t="s">
        <v>44</v>
      </c>
      <c r="U201" s="15" t="s">
        <v>33</v>
      </c>
      <c r="V201" s="14" t="s">
        <v>2195</v>
      </c>
      <c r="W201" s="12">
        <f>HYPERLINK("https://my.pitchbook.com?p=13958-38P","View People Online")</f>
      </c>
    </row>
    <row r="202">
      <c r="A202" s="10" t="s">
        <v>2196</v>
      </c>
      <c r="B202" s="10" t="s">
        <v>2197</v>
      </c>
      <c r="C202" s="13">
        <f>HYPERLINK("http://www.a91partners.com","www.a91partners.com")</f>
      </c>
      <c r="D202" s="10" t="s">
        <v>1984</v>
      </c>
      <c r="E202" s="10" t="s">
        <v>2198</v>
      </c>
      <c r="F202" s="10" t="s">
        <v>2199</v>
      </c>
      <c r="G202" s="10" t="s">
        <v>716</v>
      </c>
      <c r="H202" s="10" t="s">
        <v>1987</v>
      </c>
      <c r="I202" s="9">
        <v>2</v>
      </c>
      <c r="J202" s="9">
        <v>16</v>
      </c>
      <c r="K202" s="9">
        <v>10</v>
      </c>
      <c r="L202" s="11" t="s">
        <v>1988</v>
      </c>
      <c r="M202" s="10" t="s">
        <v>2200</v>
      </c>
      <c r="N202" s="10" t="s">
        <v>1330</v>
      </c>
      <c r="O202" s="10" t="s">
        <v>1990</v>
      </c>
      <c r="P202" s="10" t="s">
        <v>1991</v>
      </c>
      <c r="Q202" s="10" t="s">
        <v>1333</v>
      </c>
      <c r="R202" s="10" t="s">
        <v>1334</v>
      </c>
      <c r="S202" s="11" t="s">
        <v>1992</v>
      </c>
      <c r="T202" s="10" t="s">
        <v>115</v>
      </c>
      <c r="U202" s="11" t="s">
        <v>33</v>
      </c>
      <c r="V202" s="10" t="s">
        <v>2201</v>
      </c>
      <c r="W202" s="13">
        <f>HYPERLINK("https://my.pitchbook.com?p=46380-79P","View People Online")</f>
      </c>
    </row>
    <row r="203">
      <c r="A203" s="14" t="s">
        <v>2202</v>
      </c>
      <c r="B203" s="14" t="s">
        <v>2203</v>
      </c>
      <c r="C203" s="12">
        <f>HYPERLINK("http://sequoiacap.com","sequoiacap.com")</f>
      </c>
      <c r="D203" s="14" t="s">
        <v>1984</v>
      </c>
      <c r="E203" s="14" t="s">
        <v>2204</v>
      </c>
      <c r="F203" s="14" t="s">
        <v>2205</v>
      </c>
      <c r="G203" s="14" t="s">
        <v>2009</v>
      </c>
      <c r="H203" s="14" t="s">
        <v>2010</v>
      </c>
      <c r="I203" s="16">
        <v>1</v>
      </c>
      <c r="J203" s="16">
        <v>9</v>
      </c>
      <c r="K203" s="16">
        <v>6</v>
      </c>
      <c r="L203" s="15" t="s">
        <v>1351</v>
      </c>
      <c r="M203" s="14" t="s">
        <v>2206</v>
      </c>
      <c r="N203" s="14" t="s">
        <v>422</v>
      </c>
      <c r="O203" s="14" t="s">
        <v>423</v>
      </c>
      <c r="P203" s="14" t="s">
        <v>424</v>
      </c>
      <c r="Q203" s="14" t="s">
        <v>425</v>
      </c>
      <c r="R203" s="14" t="s">
        <v>42</v>
      </c>
      <c r="S203" s="15" t="s">
        <v>2012</v>
      </c>
      <c r="T203" s="14" t="s">
        <v>44</v>
      </c>
      <c r="U203" s="15" t="s">
        <v>2013</v>
      </c>
      <c r="V203" s="14" t="s">
        <v>2207</v>
      </c>
      <c r="W203" s="12">
        <f>HYPERLINK("https://my.pitchbook.com?p=245426-32P","View People Online")</f>
      </c>
    </row>
    <row r="204">
      <c r="A204" s="10" t="s">
        <v>2208</v>
      </c>
      <c r="B204" s="10" t="s">
        <v>2209</v>
      </c>
      <c r="C204" s="13">
        <f>HYPERLINK("http://www.cyberstarts.com","www.cyberstarts.com")</f>
      </c>
      <c r="D204" s="10" t="s">
        <v>1984</v>
      </c>
      <c r="E204" s="10" t="s">
        <v>2210</v>
      </c>
      <c r="F204" s="10" t="s">
        <v>2211</v>
      </c>
      <c r="G204" s="10" t="s">
        <v>459</v>
      </c>
      <c r="H204" s="10" t="s">
        <v>2212</v>
      </c>
      <c r="I204" s="9">
        <v>12</v>
      </c>
      <c r="J204" s="9">
        <v>90</v>
      </c>
      <c r="K204" s="9">
        <v>67</v>
      </c>
      <c r="L204" s="11" t="s">
        <v>2213</v>
      </c>
      <c r="M204" s="10" t="s">
        <v>2214</v>
      </c>
      <c r="N204" s="10" t="s">
        <v>2215</v>
      </c>
      <c r="O204" s="10" t="s">
        <v>2216</v>
      </c>
      <c r="P204" s="10" t="s">
        <v>33</v>
      </c>
      <c r="Q204" s="10" t="s">
        <v>2217</v>
      </c>
      <c r="R204" s="10" t="s">
        <v>33</v>
      </c>
      <c r="S204" s="11" t="s">
        <v>2218</v>
      </c>
      <c r="T204" s="10" t="s">
        <v>1797</v>
      </c>
      <c r="U204" s="11" t="s">
        <v>33</v>
      </c>
      <c r="V204" s="10" t="s">
        <v>2219</v>
      </c>
      <c r="W204" s="13">
        <f>HYPERLINK("https://my.pitchbook.com?p=258911-47P","View People Online")</f>
      </c>
    </row>
    <row r="205">
      <c r="A205" s="14" t="s">
        <v>2220</v>
      </c>
      <c r="B205" s="14" t="s">
        <v>2221</v>
      </c>
      <c r="C205" s="12">
        <f>HYPERLINK("http://www.together.fund","www.together.fund")</f>
      </c>
      <c r="D205" s="14" t="s">
        <v>1984</v>
      </c>
      <c r="E205" s="14" t="s">
        <v>2222</v>
      </c>
      <c r="F205" s="14" t="s">
        <v>2223</v>
      </c>
      <c r="G205" s="14" t="s">
        <v>446</v>
      </c>
      <c r="H205" s="14" t="s">
        <v>2224</v>
      </c>
      <c r="I205" s="16">
        <v>1</v>
      </c>
      <c r="J205" s="16">
        <v>77</v>
      </c>
      <c r="K205" s="16">
        <v>65</v>
      </c>
      <c r="L205" s="15" t="s">
        <v>2225</v>
      </c>
      <c r="M205" s="14" t="s">
        <v>2226</v>
      </c>
      <c r="N205" s="14" t="s">
        <v>133</v>
      </c>
      <c r="O205" s="14" t="s">
        <v>2227</v>
      </c>
      <c r="P205" s="14" t="s">
        <v>2228</v>
      </c>
      <c r="Q205" s="14" t="s">
        <v>136</v>
      </c>
      <c r="R205" s="14" t="s">
        <v>113</v>
      </c>
      <c r="S205" s="15" t="s">
        <v>33</v>
      </c>
      <c r="T205" s="14" t="s">
        <v>115</v>
      </c>
      <c r="U205" s="15" t="s">
        <v>33</v>
      </c>
      <c r="V205" s="14" t="s">
        <v>2229</v>
      </c>
      <c r="W205" s="12">
        <f>HYPERLINK("https://my.pitchbook.com?p=39470-86P","View People Online")</f>
      </c>
    </row>
    <row r="206">
      <c r="A206" s="10" t="s">
        <v>2230</v>
      </c>
      <c r="B206" s="10" t="s">
        <v>2231</v>
      </c>
      <c r="C206" s="13">
        <f>HYPERLINK("http://www.bolt.io","www.bolt.io")</f>
      </c>
      <c r="D206" s="10" t="s">
        <v>1984</v>
      </c>
      <c r="E206" s="10" t="s">
        <v>2232</v>
      </c>
      <c r="F206" s="10" t="s">
        <v>2233</v>
      </c>
      <c r="G206" s="10" t="s">
        <v>716</v>
      </c>
      <c r="H206" s="10" t="s">
        <v>2234</v>
      </c>
      <c r="I206" s="9">
        <v>1</v>
      </c>
      <c r="J206" s="9">
        <v>60</v>
      </c>
      <c r="K206" s="9">
        <v>43</v>
      </c>
      <c r="L206" s="11" t="s">
        <v>33</v>
      </c>
      <c r="M206" s="10" t="s">
        <v>2235</v>
      </c>
      <c r="N206" s="10" t="s">
        <v>95</v>
      </c>
      <c r="O206" s="10" t="s">
        <v>2236</v>
      </c>
      <c r="P206" s="10" t="s">
        <v>2237</v>
      </c>
      <c r="Q206" s="10" t="s">
        <v>98</v>
      </c>
      <c r="R206" s="10" t="s">
        <v>83</v>
      </c>
      <c r="S206" s="11" t="s">
        <v>99</v>
      </c>
      <c r="T206" s="10" t="s">
        <v>44</v>
      </c>
      <c r="U206" s="11" t="s">
        <v>33</v>
      </c>
      <c r="V206" s="10" t="s">
        <v>2238</v>
      </c>
      <c r="W206" s="13">
        <f>HYPERLINK("https://my.pitchbook.com?p=13957-66P","View People Online")</f>
      </c>
    </row>
    <row r="207">
      <c r="A207" s="14" t="s">
        <v>2239</v>
      </c>
      <c r="B207" s="14" t="s">
        <v>2240</v>
      </c>
      <c r="C207" s="12">
        <f>HYPERLINK("http://scapitalvc.com","scapitalvc.com")</f>
      </c>
      <c r="D207" s="14" t="s">
        <v>1984</v>
      </c>
      <c r="E207" s="14" t="s">
        <v>2241</v>
      </c>
      <c r="F207" s="14" t="s">
        <v>2242</v>
      </c>
      <c r="G207" s="14" t="s">
        <v>446</v>
      </c>
      <c r="H207" s="14" t="s">
        <v>2243</v>
      </c>
      <c r="I207" s="16">
        <v>9</v>
      </c>
      <c r="J207" s="16">
        <v>72</v>
      </c>
      <c r="K207" s="16">
        <v>48</v>
      </c>
      <c r="L207" s="15" t="s">
        <v>33</v>
      </c>
      <c r="M207" s="14" t="s">
        <v>33</v>
      </c>
      <c r="N207" s="14" t="s">
        <v>2244</v>
      </c>
      <c r="O207" s="14" t="s">
        <v>2245</v>
      </c>
      <c r="P207" s="14" t="s">
        <v>2246</v>
      </c>
      <c r="Q207" s="14" t="s">
        <v>2247</v>
      </c>
      <c r="R207" s="14" t="s">
        <v>33</v>
      </c>
      <c r="S207" s="15" t="s">
        <v>2248</v>
      </c>
      <c r="T207" s="14" t="s">
        <v>1797</v>
      </c>
      <c r="U207" s="15" t="s">
        <v>33</v>
      </c>
      <c r="V207" s="14" t="s">
        <v>2249</v>
      </c>
      <c r="W207" s="12">
        <f>HYPERLINK("https://my.pitchbook.com?p=13957-12P","View People Online")</f>
      </c>
    </row>
    <row r="208">
      <c r="A208" s="10" t="s">
        <v>2250</v>
      </c>
      <c r="B208" s="10" t="s">
        <v>2251</v>
      </c>
      <c r="C208" s="13">
        <f t="shared" si="1" ref="C208:C209">HYPERLINK("http://www.peakxv.com","www.peakxv.com")</f>
      </c>
      <c r="D208" s="10" t="s">
        <v>1984</v>
      </c>
      <c r="E208" s="10" t="s">
        <v>2252</v>
      </c>
      <c r="F208" s="10" t="s">
        <v>2253</v>
      </c>
      <c r="G208" s="10" t="s">
        <v>1998</v>
      </c>
      <c r="H208" s="10" t="s">
        <v>1999</v>
      </c>
      <c r="I208" s="9">
        <v>5</v>
      </c>
      <c r="J208" s="9">
        <v>36</v>
      </c>
      <c r="K208" s="9">
        <v>25</v>
      </c>
      <c r="L208" s="11" t="s">
        <v>33</v>
      </c>
      <c r="M208" s="10" t="s">
        <v>2254</v>
      </c>
      <c r="N208" s="10" t="s">
        <v>133</v>
      </c>
      <c r="O208" s="10" t="s">
        <v>2044</v>
      </c>
      <c r="P208" s="10" t="s">
        <v>2045</v>
      </c>
      <c r="Q208" s="10" t="s">
        <v>136</v>
      </c>
      <c r="R208" s="10" t="s">
        <v>113</v>
      </c>
      <c r="S208" s="11" t="s">
        <v>1134</v>
      </c>
      <c r="T208" s="10" t="s">
        <v>115</v>
      </c>
      <c r="U208" s="11" t="s">
        <v>33</v>
      </c>
      <c r="V208" s="10" t="s">
        <v>2255</v>
      </c>
      <c r="W208" s="13">
        <f>HYPERLINK("https://my.pitchbook.com?p=125512-21P","View People Online")</f>
      </c>
    </row>
    <row r="209">
      <c r="A209" s="14" t="s">
        <v>2256</v>
      </c>
      <c r="B209" s="14" t="s">
        <v>2257</v>
      </c>
      <c r="C209" s="12">
        <f t="shared" si="1"/>
      </c>
      <c r="D209" s="14" t="s">
        <v>1984</v>
      </c>
      <c r="E209" s="14" t="s">
        <v>2258</v>
      </c>
      <c r="F209" s="14" t="s">
        <v>2259</v>
      </c>
      <c r="G209" s="14" t="s">
        <v>1998</v>
      </c>
      <c r="H209" s="14" t="s">
        <v>1999</v>
      </c>
      <c r="I209" s="16">
        <v>3</v>
      </c>
      <c r="J209" s="16">
        <v>28</v>
      </c>
      <c r="K209" s="16">
        <v>19</v>
      </c>
      <c r="L209" s="15" t="s">
        <v>33</v>
      </c>
      <c r="M209" s="14" t="s">
        <v>2260</v>
      </c>
      <c r="N209" s="14" t="s">
        <v>133</v>
      </c>
      <c r="O209" s="14" t="s">
        <v>2044</v>
      </c>
      <c r="P209" s="14" t="s">
        <v>2045</v>
      </c>
      <c r="Q209" s="14" t="s">
        <v>136</v>
      </c>
      <c r="R209" s="14" t="s">
        <v>113</v>
      </c>
      <c r="S209" s="15" t="s">
        <v>1134</v>
      </c>
      <c r="T209" s="14" t="s">
        <v>115</v>
      </c>
      <c r="U209" s="15" t="s">
        <v>33</v>
      </c>
      <c r="V209" s="14" t="s">
        <v>2261</v>
      </c>
      <c r="W209" s="12">
        <f>HYPERLINK("https://my.pitchbook.com?p=58681-45P","View People Online")</f>
      </c>
    </row>
    <row r="210">
      <c r="A210" s="10" t="s">
        <v>2262</v>
      </c>
      <c r="B210" s="10" t="s">
        <v>2263</v>
      </c>
      <c r="C210" s="13">
        <f>HYPERLINK("http://sequoiacap.com","sequoiacap.com")</f>
      </c>
      <c r="D210" s="10" t="s">
        <v>1984</v>
      </c>
      <c r="E210" s="10" t="s">
        <v>2264</v>
      </c>
      <c r="F210" s="10" t="s">
        <v>254</v>
      </c>
      <c r="G210" s="10" t="s">
        <v>2144</v>
      </c>
      <c r="H210" s="10" t="s">
        <v>2010</v>
      </c>
      <c r="I210" s="9">
        <v>7</v>
      </c>
      <c r="J210" s="9">
        <v>108</v>
      </c>
      <c r="K210" s="9">
        <v>80</v>
      </c>
      <c r="L210" s="11" t="s">
        <v>1351</v>
      </c>
      <c r="M210" s="10" t="s">
        <v>2265</v>
      </c>
      <c r="N210" s="10" t="s">
        <v>422</v>
      </c>
      <c r="O210" s="10" t="s">
        <v>423</v>
      </c>
      <c r="P210" s="10" t="s">
        <v>424</v>
      </c>
      <c r="Q210" s="10" t="s">
        <v>425</v>
      </c>
      <c r="R210" s="10" t="s">
        <v>42</v>
      </c>
      <c r="S210" s="11" t="s">
        <v>2012</v>
      </c>
      <c r="T210" s="10" t="s">
        <v>44</v>
      </c>
      <c r="U210" s="11" t="s">
        <v>2013</v>
      </c>
      <c r="V210" s="10" t="s">
        <v>2266</v>
      </c>
      <c r="W210" s="13">
        <f>HYPERLINK("https://my.pitchbook.com?p=13958-47P","View People Online")</f>
      </c>
    </row>
    <row r="211">
      <c r="A211" s="14" t="s">
        <v>2267</v>
      </c>
      <c r="B211" s="14" t="s">
        <v>2268</v>
      </c>
      <c r="C211" s="12">
        <f>HYPERLINK("http://www.scpvitalife.com","www.scpvitalife.com")</f>
      </c>
      <c r="D211" s="14" t="s">
        <v>1984</v>
      </c>
      <c r="E211" s="14" t="s">
        <v>2269</v>
      </c>
      <c r="F211" s="14" t="s">
        <v>1732</v>
      </c>
      <c r="G211" s="14" t="s">
        <v>544</v>
      </c>
      <c r="H211" s="14" t="s">
        <v>2270</v>
      </c>
      <c r="I211" s="16">
        <v>2</v>
      </c>
      <c r="J211" s="16">
        <v>15</v>
      </c>
      <c r="K211" s="16">
        <v>9</v>
      </c>
      <c r="L211" s="15" t="s">
        <v>2271</v>
      </c>
      <c r="M211" s="14" t="s">
        <v>2272</v>
      </c>
      <c r="N211" s="14" t="s">
        <v>2273</v>
      </c>
      <c r="O211" s="14" t="s">
        <v>2274</v>
      </c>
      <c r="P211" s="14" t="s">
        <v>2275</v>
      </c>
      <c r="Q211" s="14" t="s">
        <v>2276</v>
      </c>
      <c r="R211" s="14" t="s">
        <v>33</v>
      </c>
      <c r="S211" s="15" t="s">
        <v>2277</v>
      </c>
      <c r="T211" s="14" t="s">
        <v>1797</v>
      </c>
      <c r="U211" s="15" t="s">
        <v>2278</v>
      </c>
      <c r="V211" s="14" t="s">
        <v>2279</v>
      </c>
      <c r="W211" s="12">
        <f>HYPERLINK("https://my.pitchbook.com?p=14157-19P","View People Online")</f>
      </c>
    </row>
    <row r="212">
      <c r="A212" s="10" t="s">
        <v>2280</v>
      </c>
      <c r="B212" s="10" t="s">
        <v>2281</v>
      </c>
      <c r="C212" s="13">
        <f>HYPERLINK("http://sequoiacap.com","sequoiacap.com")</f>
      </c>
      <c r="D212" s="10" t="s">
        <v>1984</v>
      </c>
      <c r="E212" s="10" t="s">
        <v>1194</v>
      </c>
      <c r="F212" s="10" t="s">
        <v>2282</v>
      </c>
      <c r="G212" s="10" t="s">
        <v>2009</v>
      </c>
      <c r="H212" s="10" t="s">
        <v>2010</v>
      </c>
      <c r="I212" s="9">
        <v>5</v>
      </c>
      <c r="J212" s="9">
        <v>39</v>
      </c>
      <c r="K212" s="9">
        <v>26</v>
      </c>
      <c r="L212" s="11" t="s">
        <v>1351</v>
      </c>
      <c r="M212" s="10" t="s">
        <v>2283</v>
      </c>
      <c r="N212" s="10" t="s">
        <v>422</v>
      </c>
      <c r="O212" s="10" t="s">
        <v>423</v>
      </c>
      <c r="P212" s="10" t="s">
        <v>424</v>
      </c>
      <c r="Q212" s="10" t="s">
        <v>425</v>
      </c>
      <c r="R212" s="10" t="s">
        <v>42</v>
      </c>
      <c r="S212" s="11" t="s">
        <v>2012</v>
      </c>
      <c r="T212" s="10" t="s">
        <v>44</v>
      </c>
      <c r="U212" s="11" t="s">
        <v>2013</v>
      </c>
      <c r="V212" s="10" t="s">
        <v>2284</v>
      </c>
      <c r="W212" s="13">
        <f>HYPERLINK("https://my.pitchbook.com?p=39939-94P","View People Online")</f>
      </c>
    </row>
    <row r="213">
      <c r="A213" s="14" t="s">
        <v>2285</v>
      </c>
      <c r="B213" s="14" t="s">
        <v>2286</v>
      </c>
      <c r="C213" s="12">
        <f>HYPERLINK("http://www.zhenchengcap.com","www.zhenchengcap.com")</f>
      </c>
      <c r="D213" s="14" t="s">
        <v>1984</v>
      </c>
      <c r="E213" s="14" t="s">
        <v>975</v>
      </c>
      <c r="F213" s="14" t="s">
        <v>2287</v>
      </c>
      <c r="G213" s="14" t="s">
        <v>2288</v>
      </c>
      <c r="H213" s="14" t="s">
        <v>2289</v>
      </c>
      <c r="I213" s="16">
        <v>3</v>
      </c>
      <c r="J213" s="16">
        <v>25</v>
      </c>
      <c r="K213" s="16">
        <v>19</v>
      </c>
      <c r="L213" s="15" t="s">
        <v>2290</v>
      </c>
      <c r="M213" s="14" t="s">
        <v>2291</v>
      </c>
      <c r="N213" s="14" t="s">
        <v>1805</v>
      </c>
      <c r="O213" s="14" t="s">
        <v>2292</v>
      </c>
      <c r="P213" s="14" t="s">
        <v>2293</v>
      </c>
      <c r="Q213" s="14" t="s">
        <v>1808</v>
      </c>
      <c r="R213" s="14" t="s">
        <v>33</v>
      </c>
      <c r="S213" s="15" t="s">
        <v>2294</v>
      </c>
      <c r="T213" s="14" t="s">
        <v>1785</v>
      </c>
      <c r="U213" s="15" t="s">
        <v>33</v>
      </c>
      <c r="V213" s="14" t="s">
        <v>2295</v>
      </c>
      <c r="W213" s="12">
        <f>HYPERLINK("https://my.pitchbook.com?p=58617-46P","View People Online")</f>
      </c>
    </row>
    <row r="214">
      <c r="A214" s="10" t="s">
        <v>2296</v>
      </c>
      <c r="B214" s="10" t="s">
        <v>2297</v>
      </c>
      <c r="C214" s="13">
        <f>HYPERLINK("http://www.a91partners.com","www.a91partners.com")</f>
      </c>
      <c r="D214" s="10" t="s">
        <v>1984</v>
      </c>
      <c r="E214" s="10" t="s">
        <v>1996</v>
      </c>
      <c r="F214" s="10" t="s">
        <v>2298</v>
      </c>
      <c r="G214" s="10" t="s">
        <v>268</v>
      </c>
      <c r="H214" s="10" t="s">
        <v>1987</v>
      </c>
      <c r="I214" s="9">
        <v>3</v>
      </c>
      <c r="J214" s="9">
        <v>16</v>
      </c>
      <c r="K214" s="9">
        <v>9</v>
      </c>
      <c r="L214" s="11" t="s">
        <v>1988</v>
      </c>
      <c r="M214" s="10" t="s">
        <v>2299</v>
      </c>
      <c r="N214" s="10" t="s">
        <v>1330</v>
      </c>
      <c r="O214" s="10" t="s">
        <v>1990</v>
      </c>
      <c r="P214" s="10" t="s">
        <v>1991</v>
      </c>
      <c r="Q214" s="10" t="s">
        <v>1333</v>
      </c>
      <c r="R214" s="10" t="s">
        <v>1334</v>
      </c>
      <c r="S214" s="11" t="s">
        <v>1992</v>
      </c>
      <c r="T214" s="10" t="s">
        <v>115</v>
      </c>
      <c r="U214" s="11" t="s">
        <v>33</v>
      </c>
      <c r="V214" s="10" t="s">
        <v>2300</v>
      </c>
      <c r="W214" s="13">
        <f>HYPERLINK("https://my.pitchbook.com?p=143169-58P","View People Online")</f>
      </c>
    </row>
    <row r="215">
      <c r="A215" s="14" t="s">
        <v>2301</v>
      </c>
      <c r="B215" s="14" t="s">
        <v>2302</v>
      </c>
      <c r="C215" s="12">
        <f>HYPERLINK("http://biotrackcapital.com","biotrackcapital.com")</f>
      </c>
      <c r="D215" s="14" t="s">
        <v>1984</v>
      </c>
      <c r="E215" s="14" t="s">
        <v>2303</v>
      </c>
      <c r="F215" s="14" t="s">
        <v>1170</v>
      </c>
      <c r="G215" s="14" t="s">
        <v>2304</v>
      </c>
      <c r="H215" s="14" t="s">
        <v>2305</v>
      </c>
      <c r="I215" s="16">
        <v>1</v>
      </c>
      <c r="J215" s="16">
        <v>10</v>
      </c>
      <c r="K215" s="16">
        <v>7</v>
      </c>
      <c r="L215" s="15" t="s">
        <v>2306</v>
      </c>
      <c r="M215" s="14" t="s">
        <v>2307</v>
      </c>
      <c r="N215" s="14" t="s">
        <v>1899</v>
      </c>
      <c r="O215" s="14" t="s">
        <v>2308</v>
      </c>
      <c r="P215" s="14" t="s">
        <v>2309</v>
      </c>
      <c r="Q215" s="14" t="s">
        <v>1902</v>
      </c>
      <c r="R215" s="14" t="s">
        <v>33</v>
      </c>
      <c r="S215" s="15" t="s">
        <v>2310</v>
      </c>
      <c r="T215" s="14" t="s">
        <v>1785</v>
      </c>
      <c r="U215" s="15" t="s">
        <v>2311</v>
      </c>
      <c r="V215" s="14" t="s">
        <v>2312</v>
      </c>
      <c r="W215" s="12">
        <f>HYPERLINK("https://my.pitchbook.com?p=35538-76P","View People Online")</f>
      </c>
    </row>
    <row r="216">
      <c r="A216" s="10" t="s">
        <v>2313</v>
      </c>
      <c r="B216" s="10" t="s">
        <v>2314</v>
      </c>
      <c r="C216" s="13">
        <f>HYPERLINK("http://sequoiacap.com","sequoiacap.com")</f>
      </c>
      <c r="D216" s="10" t="s">
        <v>1984</v>
      </c>
      <c r="E216" s="10" t="s">
        <v>2315</v>
      </c>
      <c r="F216" s="10" t="s">
        <v>2316</v>
      </c>
      <c r="G216" s="10" t="s">
        <v>2009</v>
      </c>
      <c r="H216" s="10" t="s">
        <v>2010</v>
      </c>
      <c r="I216" s="9">
        <v>4</v>
      </c>
      <c r="J216" s="9">
        <v>19</v>
      </c>
      <c r="K216" s="9">
        <v>13</v>
      </c>
      <c r="L216" s="11" t="s">
        <v>1351</v>
      </c>
      <c r="M216" s="10" t="s">
        <v>2317</v>
      </c>
      <c r="N216" s="10" t="s">
        <v>422</v>
      </c>
      <c r="O216" s="10" t="s">
        <v>423</v>
      </c>
      <c r="P216" s="10" t="s">
        <v>424</v>
      </c>
      <c r="Q216" s="10" t="s">
        <v>425</v>
      </c>
      <c r="R216" s="10" t="s">
        <v>42</v>
      </c>
      <c r="S216" s="11" t="s">
        <v>2012</v>
      </c>
      <c r="T216" s="10" t="s">
        <v>44</v>
      </c>
      <c r="U216" s="11" t="s">
        <v>2013</v>
      </c>
      <c r="V216" s="10" t="s">
        <v>2318</v>
      </c>
      <c r="W216" s="13">
        <f>HYPERLINK("https://my.pitchbook.com?p=172647-01P","View People Online")</f>
      </c>
    </row>
    <row r="217">
      <c r="A217" s="14" t="s">
        <v>2319</v>
      </c>
      <c r="B217" s="14" t="s">
        <v>2320</v>
      </c>
      <c r="C217" s="12">
        <f>HYPERLINK("http://www.qimingvc.com","www.qimingvc.com")</f>
      </c>
      <c r="D217" s="14" t="s">
        <v>1984</v>
      </c>
      <c r="E217" s="14" t="s">
        <v>2321</v>
      </c>
      <c r="F217" s="14" t="s">
        <v>2322</v>
      </c>
      <c r="G217" s="14" t="s">
        <v>268</v>
      </c>
      <c r="H217" s="14" t="s">
        <v>2323</v>
      </c>
      <c r="I217" s="16">
        <v>26</v>
      </c>
      <c r="J217" s="16">
        <v>124</v>
      </c>
      <c r="K217" s="16">
        <v>80</v>
      </c>
      <c r="L217" s="15" t="s">
        <v>2324</v>
      </c>
      <c r="M217" s="14" t="s">
        <v>2325</v>
      </c>
      <c r="N217" s="14" t="s">
        <v>1899</v>
      </c>
      <c r="O217" s="14" t="s">
        <v>2326</v>
      </c>
      <c r="P217" s="14" t="s">
        <v>2327</v>
      </c>
      <c r="Q217" s="14" t="s">
        <v>1902</v>
      </c>
      <c r="R217" s="14" t="s">
        <v>33</v>
      </c>
      <c r="S217" s="15" t="s">
        <v>2328</v>
      </c>
      <c r="T217" s="14" t="s">
        <v>1785</v>
      </c>
      <c r="U217" s="15" t="s">
        <v>2329</v>
      </c>
      <c r="V217" s="14" t="s">
        <v>2330</v>
      </c>
      <c r="W217" s="12">
        <f>HYPERLINK("https://my.pitchbook.com?p=28481-41P","View People Online")</f>
      </c>
    </row>
    <row r="218">
      <c r="A218" s="10" t="s">
        <v>2331</v>
      </c>
      <c r="B218" s="10" t="s">
        <v>2332</v>
      </c>
      <c r="C218" s="13">
        <f>HYPERLINK("http://www.hsgcap.com","www.hsgcap.com")</f>
      </c>
      <c r="D218" s="10" t="s">
        <v>1984</v>
      </c>
      <c r="E218" s="10" t="s">
        <v>2333</v>
      </c>
      <c r="F218" s="10" t="s">
        <v>2334</v>
      </c>
      <c r="G218" s="10" t="s">
        <v>268</v>
      </c>
      <c r="H218" s="10" t="s">
        <v>2119</v>
      </c>
      <c r="I218" s="9">
        <v>2</v>
      </c>
      <c r="J218" s="9">
        <v>27</v>
      </c>
      <c r="K218" s="9">
        <v>23</v>
      </c>
      <c r="L218" s="11" t="s">
        <v>2120</v>
      </c>
      <c r="M218" s="10" t="s">
        <v>2335</v>
      </c>
      <c r="N218" s="10" t="s">
        <v>1805</v>
      </c>
      <c r="O218" s="10" t="s">
        <v>2122</v>
      </c>
      <c r="P218" s="10" t="s">
        <v>2123</v>
      </c>
      <c r="Q218" s="10" t="s">
        <v>1808</v>
      </c>
      <c r="R218" s="10" t="s">
        <v>33</v>
      </c>
      <c r="S218" s="11" t="s">
        <v>33</v>
      </c>
      <c r="T218" s="10" t="s">
        <v>1785</v>
      </c>
      <c r="U218" s="11" t="s">
        <v>33</v>
      </c>
      <c r="V218" s="10" t="s">
        <v>2336</v>
      </c>
      <c r="W218" s="13">
        <f>HYPERLINK("https://my.pitchbook.com?p=57477-79P","View People Online")</f>
      </c>
    </row>
    <row r="219">
      <c r="A219" s="14" t="s">
        <v>2337</v>
      </c>
      <c r="B219" s="14" t="s">
        <v>2338</v>
      </c>
      <c r="C219" s="12">
        <f>HYPERLINK("http://sequoiacap.com","sequoiacap.com")</f>
      </c>
      <c r="D219" s="14" t="s">
        <v>1984</v>
      </c>
      <c r="E219" s="14" t="s">
        <v>2339</v>
      </c>
      <c r="F219" s="14" t="s">
        <v>2340</v>
      </c>
      <c r="G219" s="14" t="s">
        <v>2341</v>
      </c>
      <c r="H219" s="14" t="s">
        <v>2010</v>
      </c>
      <c r="I219" s="16">
        <v>6</v>
      </c>
      <c r="J219" s="16">
        <v>35</v>
      </c>
      <c r="K219" s="16">
        <v>23</v>
      </c>
      <c r="L219" s="15" t="s">
        <v>1351</v>
      </c>
      <c r="M219" s="14" t="s">
        <v>2342</v>
      </c>
      <c r="N219" s="14" t="s">
        <v>422</v>
      </c>
      <c r="O219" s="14" t="s">
        <v>423</v>
      </c>
      <c r="P219" s="14" t="s">
        <v>424</v>
      </c>
      <c r="Q219" s="14" t="s">
        <v>425</v>
      </c>
      <c r="R219" s="14" t="s">
        <v>42</v>
      </c>
      <c r="S219" s="15" t="s">
        <v>2012</v>
      </c>
      <c r="T219" s="14" t="s">
        <v>44</v>
      </c>
      <c r="U219" s="15" t="s">
        <v>2013</v>
      </c>
      <c r="V219" s="14" t="s">
        <v>2343</v>
      </c>
      <c r="W219" s="12">
        <f>HYPERLINK("https://my.pitchbook.com?p=41322-61P","View People Online")</f>
      </c>
    </row>
    <row r="220">
      <c r="A220" s="10" t="s">
        <v>2344</v>
      </c>
      <c r="B220" s="10" t="s">
        <v>2345</v>
      </c>
      <c r="C220" s="13">
        <f>HYPERLINK("http://www.viento.ventures","www.viento.ventures")</f>
      </c>
      <c r="D220" s="10" t="s">
        <v>1984</v>
      </c>
      <c r="E220" s="10" t="s">
        <v>2346</v>
      </c>
      <c r="F220" s="10" t="s">
        <v>2347</v>
      </c>
      <c r="G220" s="10" t="s">
        <v>2348</v>
      </c>
      <c r="H220" s="10" t="s">
        <v>2349</v>
      </c>
      <c r="I220" s="9">
        <v>1</v>
      </c>
      <c r="J220" s="9">
        <v>28</v>
      </c>
      <c r="K220" s="9">
        <v>17</v>
      </c>
      <c r="L220" s="11" t="s">
        <v>2350</v>
      </c>
      <c r="M220" s="10" t="s">
        <v>2351</v>
      </c>
      <c r="N220" s="10" t="s">
        <v>2352</v>
      </c>
      <c r="O220" s="10" t="s">
        <v>33</v>
      </c>
      <c r="P220" s="10" t="s">
        <v>33</v>
      </c>
      <c r="Q220" s="10" t="s">
        <v>33</v>
      </c>
      <c r="R220" s="10" t="s">
        <v>42</v>
      </c>
      <c r="S220" s="11" t="s">
        <v>33</v>
      </c>
      <c r="T220" s="10" t="s">
        <v>44</v>
      </c>
      <c r="U220" s="11" t="s">
        <v>33</v>
      </c>
      <c r="V220" s="10" t="s">
        <v>2353</v>
      </c>
      <c r="W220" s="13">
        <f>HYPERLINK("https://my.pitchbook.com?p=35712-55P","View People Online")</f>
      </c>
    </row>
    <row r="221">
      <c r="A221" s="14" t="s">
        <v>2354</v>
      </c>
      <c r="B221" s="14" t="s">
        <v>2355</v>
      </c>
      <c r="C221" s="12">
        <f>HYPERLINK("http://sequoiacap.com","sequoiacap.com")</f>
      </c>
      <c r="D221" s="14" t="s">
        <v>1984</v>
      </c>
      <c r="E221" s="14" t="s">
        <v>2356</v>
      </c>
      <c r="F221" s="14" t="s">
        <v>2357</v>
      </c>
      <c r="G221" s="14" t="s">
        <v>1998</v>
      </c>
      <c r="H221" s="14" t="s">
        <v>2010</v>
      </c>
      <c r="I221" s="16">
        <v>3</v>
      </c>
      <c r="J221" s="16">
        <v>12</v>
      </c>
      <c r="K221" s="16">
        <v>8</v>
      </c>
      <c r="L221" s="15" t="s">
        <v>1351</v>
      </c>
      <c r="M221" s="14" t="s">
        <v>2358</v>
      </c>
      <c r="N221" s="14" t="s">
        <v>422</v>
      </c>
      <c r="O221" s="14" t="s">
        <v>423</v>
      </c>
      <c r="P221" s="14" t="s">
        <v>424</v>
      </c>
      <c r="Q221" s="14" t="s">
        <v>425</v>
      </c>
      <c r="R221" s="14" t="s">
        <v>42</v>
      </c>
      <c r="S221" s="15" t="s">
        <v>2012</v>
      </c>
      <c r="T221" s="14" t="s">
        <v>44</v>
      </c>
      <c r="U221" s="15" t="s">
        <v>2013</v>
      </c>
      <c r="V221" s="14" t="s">
        <v>2359</v>
      </c>
      <c r="W221" s="12">
        <f>HYPERLINK("https://my.pitchbook.com?p=171669-61P","View People Online")</f>
      </c>
    </row>
    <row r="222">
      <c r="A222" s="10" t="s">
        <v>2360</v>
      </c>
      <c r="B222" s="10" t="s">
        <v>2361</v>
      </c>
      <c r="C222" s="13">
        <f>HYPERLINK("http://www.406ventures.com","www.406ventures.com")</f>
      </c>
      <c r="D222" s="10" t="s">
        <v>1984</v>
      </c>
      <c r="E222" s="10" t="s">
        <v>2362</v>
      </c>
      <c r="F222" s="10" t="s">
        <v>2363</v>
      </c>
      <c r="G222" s="10" t="s">
        <v>446</v>
      </c>
      <c r="H222" s="10" t="s">
        <v>2364</v>
      </c>
      <c r="I222" s="9">
        <v>2</v>
      </c>
      <c r="J222" s="9">
        <v>56</v>
      </c>
      <c r="K222" s="9">
        <v>47</v>
      </c>
      <c r="L222" s="11" t="s">
        <v>2365</v>
      </c>
      <c r="M222" s="10" t="s">
        <v>2366</v>
      </c>
      <c r="N222" s="10" t="s">
        <v>95</v>
      </c>
      <c r="O222" s="10" t="s">
        <v>2367</v>
      </c>
      <c r="P222" s="10" t="s">
        <v>2368</v>
      </c>
      <c r="Q222" s="10" t="s">
        <v>98</v>
      </c>
      <c r="R222" s="10" t="s">
        <v>83</v>
      </c>
      <c r="S222" s="11" t="s">
        <v>2369</v>
      </c>
      <c r="T222" s="10" t="s">
        <v>44</v>
      </c>
      <c r="U222" s="11" t="s">
        <v>2370</v>
      </c>
      <c r="V222" s="10" t="s">
        <v>2371</v>
      </c>
      <c r="W222" s="13">
        <f>HYPERLINK("https://my.pitchbook.com?p=17401-51P","View People Online")</f>
      </c>
    </row>
    <row r="223">
      <c r="A223" s="14" t="s">
        <v>2372</v>
      </c>
      <c r="B223" s="14" t="s">
        <v>2373</v>
      </c>
      <c r="C223" s="12">
        <f>HYPERLINK("http://www.drivecapital.com","www.drivecapital.com")</f>
      </c>
      <c r="D223" s="14" t="s">
        <v>1984</v>
      </c>
      <c r="E223" s="14" t="s">
        <v>2374</v>
      </c>
      <c r="F223" s="14" t="s">
        <v>211</v>
      </c>
      <c r="G223" s="14" t="s">
        <v>2375</v>
      </c>
      <c r="H223" s="14" t="s">
        <v>2105</v>
      </c>
      <c r="I223" s="16">
        <v>8</v>
      </c>
      <c r="J223" s="16">
        <v>51</v>
      </c>
      <c r="K223" s="16">
        <v>29</v>
      </c>
      <c r="L223" s="15" t="s">
        <v>2106</v>
      </c>
      <c r="M223" s="14" t="s">
        <v>2376</v>
      </c>
      <c r="N223" s="14" t="s">
        <v>2108</v>
      </c>
      <c r="O223" s="14" t="s">
        <v>2109</v>
      </c>
      <c r="P223" s="14" t="s">
        <v>2110</v>
      </c>
      <c r="Q223" s="14" t="s">
        <v>2111</v>
      </c>
      <c r="R223" s="14" t="s">
        <v>2112</v>
      </c>
      <c r="S223" s="15" t="s">
        <v>2113</v>
      </c>
      <c r="T223" s="14" t="s">
        <v>44</v>
      </c>
      <c r="U223" s="15" t="s">
        <v>33</v>
      </c>
      <c r="V223" s="14" t="s">
        <v>2377</v>
      </c>
      <c r="W223" s="12">
        <f>HYPERLINK("https://my.pitchbook.com?p=13957-84P","View People Online")</f>
      </c>
    </row>
    <row r="224">
      <c r="A224" s="10" t="s">
        <v>2378</v>
      </c>
      <c r="B224" s="10" t="s">
        <v>2379</v>
      </c>
      <c r="C224" s="13">
        <f>HYPERLINK("http://www.norwest.com","www.norwest.com")</f>
      </c>
      <c r="D224" s="10" t="s">
        <v>1984</v>
      </c>
      <c r="E224" s="10" t="s">
        <v>1814</v>
      </c>
      <c r="F224" s="10" t="s">
        <v>2380</v>
      </c>
      <c r="G224" s="10" t="s">
        <v>2381</v>
      </c>
      <c r="H224" s="10" t="s">
        <v>2382</v>
      </c>
      <c r="I224" s="9">
        <v>1</v>
      </c>
      <c r="J224" s="9">
        <v>2</v>
      </c>
      <c r="K224" s="9" t="s">
        <v>33</v>
      </c>
      <c r="L224" s="11" t="s">
        <v>2383</v>
      </c>
      <c r="M224" s="10" t="s">
        <v>2384</v>
      </c>
      <c r="N224" s="10" t="s">
        <v>40</v>
      </c>
      <c r="O224" s="10" t="s">
        <v>2385</v>
      </c>
      <c r="P224" s="10" t="s">
        <v>33</v>
      </c>
      <c r="Q224" s="10" t="s">
        <v>41</v>
      </c>
      <c r="R224" s="10" t="s">
        <v>42</v>
      </c>
      <c r="S224" s="11" t="s">
        <v>2386</v>
      </c>
      <c r="T224" s="10" t="s">
        <v>44</v>
      </c>
      <c r="U224" s="11" t="s">
        <v>33</v>
      </c>
      <c r="V224" s="10" t="s">
        <v>2387</v>
      </c>
      <c r="W224" s="13">
        <f>HYPERLINK("https://my.pitchbook.com?p=97060-06P","View People Online")</f>
      </c>
    </row>
    <row r="225">
      <c r="A225" s="14" t="s">
        <v>2388</v>
      </c>
      <c r="B225" s="14" t="s">
        <v>2389</v>
      </c>
      <c r="C225" s="12">
        <f>HYPERLINK("http://www.paradigm.xyz","www.paradigm.xyz")</f>
      </c>
      <c r="D225" s="14" t="s">
        <v>1984</v>
      </c>
      <c r="E225" s="14" t="s">
        <v>2390</v>
      </c>
      <c r="F225" s="14" t="s">
        <v>281</v>
      </c>
      <c r="G225" s="14" t="s">
        <v>446</v>
      </c>
      <c r="H225" s="14" t="s">
        <v>2391</v>
      </c>
      <c r="I225" s="16">
        <v>5</v>
      </c>
      <c r="J225" s="16">
        <v>41</v>
      </c>
      <c r="K225" s="16">
        <v>32</v>
      </c>
      <c r="L225" s="15" t="s">
        <v>2392</v>
      </c>
      <c r="M225" s="14" t="s">
        <v>2393</v>
      </c>
      <c r="N225" s="14" t="s">
        <v>40</v>
      </c>
      <c r="O225" s="14" t="s">
        <v>929</v>
      </c>
      <c r="P225" s="14" t="s">
        <v>2394</v>
      </c>
      <c r="Q225" s="14" t="s">
        <v>41</v>
      </c>
      <c r="R225" s="14" t="s">
        <v>42</v>
      </c>
      <c r="S225" s="15" t="s">
        <v>931</v>
      </c>
      <c r="T225" s="14" t="s">
        <v>44</v>
      </c>
      <c r="U225" s="15" t="s">
        <v>33</v>
      </c>
      <c r="V225" s="14" t="s">
        <v>2395</v>
      </c>
      <c r="W225" s="12">
        <f>HYPERLINK("https://my.pitchbook.com?p=40932-28P","View People Online")</f>
      </c>
    </row>
    <row r="226">
      <c r="A226" s="10" t="s">
        <v>2396</v>
      </c>
      <c r="B226" s="10" t="s">
        <v>2397</v>
      </c>
      <c r="C226" s="13">
        <f>HYPERLINK("http://www.twobearcapital.com","www.twobearcapital.com")</f>
      </c>
      <c r="D226" s="10" t="s">
        <v>1984</v>
      </c>
      <c r="E226" s="10" t="s">
        <v>2398</v>
      </c>
      <c r="F226" s="10" t="s">
        <v>225</v>
      </c>
      <c r="G226" s="10" t="s">
        <v>579</v>
      </c>
      <c r="H226" s="10" t="s">
        <v>2399</v>
      </c>
      <c r="I226" s="9">
        <v>13</v>
      </c>
      <c r="J226" s="9">
        <v>125</v>
      </c>
      <c r="K226" s="9">
        <v>87</v>
      </c>
      <c r="L226" s="11" t="s">
        <v>2400</v>
      </c>
      <c r="M226" s="10" t="s">
        <v>2401</v>
      </c>
      <c r="N226" s="10" t="s">
        <v>2402</v>
      </c>
      <c r="O226" s="10" t="s">
        <v>2403</v>
      </c>
      <c r="P226" s="10" t="s">
        <v>2404</v>
      </c>
      <c r="Q226" s="10" t="s">
        <v>2405</v>
      </c>
      <c r="R226" s="10" t="s">
        <v>2406</v>
      </c>
      <c r="S226" s="11" t="s">
        <v>2407</v>
      </c>
      <c r="T226" s="10" t="s">
        <v>44</v>
      </c>
      <c r="U226" s="11" t="s">
        <v>33</v>
      </c>
      <c r="V226" s="10" t="s">
        <v>2408</v>
      </c>
      <c r="W226" s="13">
        <f>HYPERLINK("https://my.pitchbook.com?p=13958-56P","View People Online")</f>
      </c>
    </row>
    <row r="227">
      <c r="A227" s="14" t="s">
        <v>2409</v>
      </c>
      <c r="B227" s="14" t="s">
        <v>2410</v>
      </c>
      <c r="C227" s="12">
        <f>HYPERLINK("http://conviction.com","conviction.com")</f>
      </c>
      <c r="D227" s="14" t="s">
        <v>1984</v>
      </c>
      <c r="E227" s="14" t="s">
        <v>2411</v>
      </c>
      <c r="F227" s="14" t="s">
        <v>225</v>
      </c>
      <c r="G227" s="14" t="s">
        <v>268</v>
      </c>
      <c r="H227" s="14" t="s">
        <v>2412</v>
      </c>
      <c r="I227" s="16">
        <v>2</v>
      </c>
      <c r="J227" s="16">
        <v>39</v>
      </c>
      <c r="K227" s="16">
        <v>29</v>
      </c>
      <c r="L227" s="15" t="s">
        <v>2413</v>
      </c>
      <c r="M227" s="14" t="s">
        <v>2414</v>
      </c>
      <c r="N227" s="14" t="s">
        <v>40</v>
      </c>
      <c r="O227" s="14" t="s">
        <v>2415</v>
      </c>
      <c r="P227" s="14" t="s">
        <v>2416</v>
      </c>
      <c r="Q227" s="14" t="s">
        <v>41</v>
      </c>
      <c r="R227" s="14" t="s">
        <v>42</v>
      </c>
      <c r="S227" s="15" t="s">
        <v>2417</v>
      </c>
      <c r="T227" s="14" t="s">
        <v>44</v>
      </c>
      <c r="U227" s="15" t="s">
        <v>33</v>
      </c>
      <c r="V227" s="14" t="s">
        <v>2418</v>
      </c>
      <c r="W227" s="12">
        <f>HYPERLINK("https://my.pitchbook.com?p=133213-15P","View People Online")</f>
      </c>
    </row>
    <row r="228">
      <c r="A228" s="10" t="s">
        <v>2419</v>
      </c>
      <c r="B228" s="10" t="s">
        <v>2420</v>
      </c>
      <c r="C228" s="13">
        <f>HYPERLINK("http://www.peakxv.com","www.peakxv.com")</f>
      </c>
      <c r="D228" s="10" t="s">
        <v>1984</v>
      </c>
      <c r="E228" s="10" t="s">
        <v>2421</v>
      </c>
      <c r="F228" s="10" t="s">
        <v>2422</v>
      </c>
      <c r="G228" s="10" t="s">
        <v>1998</v>
      </c>
      <c r="H228" s="10" t="s">
        <v>1999</v>
      </c>
      <c r="I228" s="9">
        <v>6</v>
      </c>
      <c r="J228" s="9">
        <v>52</v>
      </c>
      <c r="K228" s="9">
        <v>41</v>
      </c>
      <c r="L228" s="11" t="s">
        <v>33</v>
      </c>
      <c r="M228" s="10" t="s">
        <v>2423</v>
      </c>
      <c r="N228" s="10" t="s">
        <v>133</v>
      </c>
      <c r="O228" s="10" t="s">
        <v>2044</v>
      </c>
      <c r="P228" s="10" t="s">
        <v>2045</v>
      </c>
      <c r="Q228" s="10" t="s">
        <v>136</v>
      </c>
      <c r="R228" s="10" t="s">
        <v>113</v>
      </c>
      <c r="S228" s="11" t="s">
        <v>1134</v>
      </c>
      <c r="T228" s="10" t="s">
        <v>115</v>
      </c>
      <c r="U228" s="11" t="s">
        <v>33</v>
      </c>
      <c r="V228" s="10" t="s">
        <v>2424</v>
      </c>
      <c r="W228" s="13">
        <f>HYPERLINK("https://my.pitchbook.com?p=29586-25P","View People Online")</f>
      </c>
    </row>
    <row r="229">
      <c r="A229" s="14" t="s">
        <v>2425</v>
      </c>
      <c r="B229" s="14" t="s">
        <v>2426</v>
      </c>
      <c r="C229" s="12">
        <f>HYPERLINK("http://sequoiacap.com","sequoiacap.com")</f>
      </c>
      <c r="D229" s="14" t="s">
        <v>1984</v>
      </c>
      <c r="E229" s="14" t="s">
        <v>1839</v>
      </c>
      <c r="F229" s="14" t="s">
        <v>2427</v>
      </c>
      <c r="G229" s="14" t="s">
        <v>2428</v>
      </c>
      <c r="H229" s="14" t="s">
        <v>2010</v>
      </c>
      <c r="I229" s="16">
        <v>3</v>
      </c>
      <c r="J229" s="16">
        <v>79</v>
      </c>
      <c r="K229" s="16">
        <v>38</v>
      </c>
      <c r="L229" s="15" t="s">
        <v>1351</v>
      </c>
      <c r="M229" s="14" t="s">
        <v>2429</v>
      </c>
      <c r="N229" s="14" t="s">
        <v>422</v>
      </c>
      <c r="O229" s="14" t="s">
        <v>423</v>
      </c>
      <c r="P229" s="14" t="s">
        <v>424</v>
      </c>
      <c r="Q229" s="14" t="s">
        <v>425</v>
      </c>
      <c r="R229" s="14" t="s">
        <v>42</v>
      </c>
      <c r="S229" s="15" t="s">
        <v>2012</v>
      </c>
      <c r="T229" s="14" t="s">
        <v>44</v>
      </c>
      <c r="U229" s="15" t="s">
        <v>2013</v>
      </c>
      <c r="V229" s="14" t="s">
        <v>2430</v>
      </c>
      <c r="W229" s="12">
        <f>HYPERLINK("https://my.pitchbook.com?p=13957-21P","View People Online")</f>
      </c>
    </row>
    <row r="230">
      <c r="A230" s="10" t="s">
        <v>2431</v>
      </c>
      <c r="B230" s="10" t="s">
        <v>2432</v>
      </c>
      <c r="C230" s="13">
        <f>HYPERLINK("http://www.mucker.com","www.mucker.com")</f>
      </c>
      <c r="D230" s="10" t="s">
        <v>1984</v>
      </c>
      <c r="E230" s="10" t="s">
        <v>2433</v>
      </c>
      <c r="F230" s="10" t="s">
        <v>2434</v>
      </c>
      <c r="G230" s="10" t="s">
        <v>268</v>
      </c>
      <c r="H230" s="10" t="s">
        <v>2435</v>
      </c>
      <c r="I230" s="9">
        <v>10</v>
      </c>
      <c r="J230" s="9">
        <v>56</v>
      </c>
      <c r="K230" s="9">
        <v>30</v>
      </c>
      <c r="L230" s="11" t="s">
        <v>2436</v>
      </c>
      <c r="M230" s="10" t="s">
        <v>2437</v>
      </c>
      <c r="N230" s="10" t="s">
        <v>639</v>
      </c>
      <c r="O230" s="10" t="s">
        <v>2438</v>
      </c>
      <c r="P230" s="10" t="s">
        <v>2439</v>
      </c>
      <c r="Q230" s="10" t="s">
        <v>642</v>
      </c>
      <c r="R230" s="10" t="s">
        <v>42</v>
      </c>
      <c r="S230" s="11" t="s">
        <v>2440</v>
      </c>
      <c r="T230" s="10" t="s">
        <v>44</v>
      </c>
      <c r="U230" s="11" t="s">
        <v>33</v>
      </c>
      <c r="V230" s="10" t="s">
        <v>2441</v>
      </c>
      <c r="W230" s="13">
        <f>HYPERLINK("https://my.pitchbook.com?p=35794-81P","View People Online")</f>
      </c>
    </row>
    <row r="231">
      <c r="A231" s="14" t="s">
        <v>2442</v>
      </c>
      <c r="B231" s="14" t="s">
        <v>2443</v>
      </c>
      <c r="C231" s="12">
        <f>HYPERLINK("http://sequoiacap.com","sequoiacap.com")</f>
      </c>
      <c r="D231" s="14" t="s">
        <v>1984</v>
      </c>
      <c r="E231" s="14" t="s">
        <v>2444</v>
      </c>
      <c r="F231" s="14" t="s">
        <v>2445</v>
      </c>
      <c r="G231" s="14" t="s">
        <v>2036</v>
      </c>
      <c r="H231" s="14" t="s">
        <v>2010</v>
      </c>
      <c r="I231" s="16">
        <v>6</v>
      </c>
      <c r="J231" s="16">
        <v>65</v>
      </c>
      <c r="K231" s="16">
        <v>42</v>
      </c>
      <c r="L231" s="15" t="s">
        <v>1351</v>
      </c>
      <c r="M231" s="14" t="s">
        <v>2446</v>
      </c>
      <c r="N231" s="14" t="s">
        <v>422</v>
      </c>
      <c r="O231" s="14" t="s">
        <v>423</v>
      </c>
      <c r="P231" s="14" t="s">
        <v>424</v>
      </c>
      <c r="Q231" s="14" t="s">
        <v>425</v>
      </c>
      <c r="R231" s="14" t="s">
        <v>42</v>
      </c>
      <c r="S231" s="15" t="s">
        <v>2012</v>
      </c>
      <c r="T231" s="14" t="s">
        <v>44</v>
      </c>
      <c r="U231" s="15" t="s">
        <v>2013</v>
      </c>
      <c r="V231" s="14" t="s">
        <v>2447</v>
      </c>
      <c r="W231" s="12">
        <f>HYPERLINK("https://my.pitchbook.com?p=30349-99P","View People Online")</f>
      </c>
    </row>
    <row r="232">
      <c r="A232" s="10" t="s">
        <v>2448</v>
      </c>
      <c r="B232" s="10" t="s">
        <v>2449</v>
      </c>
      <c r="C232" s="13">
        <f>HYPERLINK("http://www.generalcatalyst.com","www.generalcatalyst.com")</f>
      </c>
      <c r="D232" s="10" t="s">
        <v>1984</v>
      </c>
      <c r="E232" s="10" t="s">
        <v>2450</v>
      </c>
      <c r="F232" s="10" t="s">
        <v>1276</v>
      </c>
      <c r="G232" s="10" t="s">
        <v>1998</v>
      </c>
      <c r="H232" s="10" t="s">
        <v>2451</v>
      </c>
      <c r="I232" s="9">
        <v>6</v>
      </c>
      <c r="J232" s="9">
        <v>16</v>
      </c>
      <c r="K232" s="9">
        <v>9</v>
      </c>
      <c r="L232" s="11" t="s">
        <v>2452</v>
      </c>
      <c r="M232" s="10" t="s">
        <v>2453</v>
      </c>
      <c r="N232" s="10" t="s">
        <v>40</v>
      </c>
      <c r="O232" s="10" t="s">
        <v>2454</v>
      </c>
      <c r="P232" s="10" t="s">
        <v>711</v>
      </c>
      <c r="Q232" s="10" t="s">
        <v>41</v>
      </c>
      <c r="R232" s="10" t="s">
        <v>42</v>
      </c>
      <c r="S232" s="11" t="s">
        <v>165</v>
      </c>
      <c r="T232" s="10" t="s">
        <v>44</v>
      </c>
      <c r="U232" s="11" t="s">
        <v>33</v>
      </c>
      <c r="V232" s="10" t="s">
        <v>2455</v>
      </c>
      <c r="W232" s="13">
        <f>HYPERLINK("https://my.pitchbook.com?p=261327-16P","View People Online")</f>
      </c>
    </row>
    <row r="233">
      <c r="A233" s="14" t="s">
        <v>2456</v>
      </c>
      <c r="B233" s="14" t="s">
        <v>2457</v>
      </c>
      <c r="C233" s="12">
        <f>HYPERLINK("http://www.peakxv.com","www.peakxv.com")</f>
      </c>
      <c r="D233" s="14" t="s">
        <v>1984</v>
      </c>
      <c r="E233" s="14" t="s">
        <v>2458</v>
      </c>
      <c r="F233" s="14" t="s">
        <v>2459</v>
      </c>
      <c r="G233" s="14" t="s">
        <v>2460</v>
      </c>
      <c r="H233" s="14" t="s">
        <v>1999</v>
      </c>
      <c r="I233" s="16">
        <v>6</v>
      </c>
      <c r="J233" s="16">
        <v>30</v>
      </c>
      <c r="K233" s="16">
        <v>19</v>
      </c>
      <c r="L233" s="15" t="s">
        <v>33</v>
      </c>
      <c r="M233" s="14" t="s">
        <v>33</v>
      </c>
      <c r="N233" s="14" t="s">
        <v>133</v>
      </c>
      <c r="O233" s="14" t="s">
        <v>2044</v>
      </c>
      <c r="P233" s="14" t="s">
        <v>2045</v>
      </c>
      <c r="Q233" s="14" t="s">
        <v>136</v>
      </c>
      <c r="R233" s="14" t="s">
        <v>113</v>
      </c>
      <c r="S233" s="15" t="s">
        <v>1134</v>
      </c>
      <c r="T233" s="14" t="s">
        <v>115</v>
      </c>
      <c r="U233" s="15" t="s">
        <v>33</v>
      </c>
      <c r="V233" s="14" t="s">
        <v>2461</v>
      </c>
      <c r="W233" s="12">
        <f>HYPERLINK("https://my.pitchbook.com?p=119503-90P","View People Online")</f>
      </c>
    </row>
    <row r="234">
      <c r="A234" s="10" t="s">
        <v>2462</v>
      </c>
      <c r="B234" s="10" t="s">
        <v>2463</v>
      </c>
      <c r="C234" s="13">
        <f>HYPERLINK("http://www.wayfarevc.com","www.wayfarevc.com")</f>
      </c>
      <c r="D234" s="10" t="s">
        <v>1984</v>
      </c>
      <c r="E234" s="10" t="s">
        <v>2464</v>
      </c>
      <c r="F234" s="10" t="s">
        <v>2465</v>
      </c>
      <c r="G234" s="10" t="s">
        <v>446</v>
      </c>
      <c r="H234" s="10" t="s">
        <v>2466</v>
      </c>
      <c r="I234" s="9">
        <v>1</v>
      </c>
      <c r="J234" s="9">
        <v>3</v>
      </c>
      <c r="K234" s="9" t="s">
        <v>33</v>
      </c>
      <c r="L234" s="11" t="s">
        <v>33</v>
      </c>
      <c r="M234" s="10" t="s">
        <v>2467</v>
      </c>
      <c r="N234" s="10" t="s">
        <v>639</v>
      </c>
      <c r="O234" s="10" t="s">
        <v>33</v>
      </c>
      <c r="P234" s="10" t="s">
        <v>33</v>
      </c>
      <c r="Q234" s="10" t="s">
        <v>642</v>
      </c>
      <c r="R234" s="10" t="s">
        <v>42</v>
      </c>
      <c r="S234" s="11" t="s">
        <v>33</v>
      </c>
      <c r="T234" s="10" t="s">
        <v>44</v>
      </c>
      <c r="U234" s="11" t="s">
        <v>33</v>
      </c>
      <c r="V234" s="10" t="s">
        <v>2468</v>
      </c>
      <c r="W234" s="13">
        <f>HYPERLINK("https://my.pitchbook.com?p=172572-13P","View People Online")</f>
      </c>
    </row>
    <row r="235">
      <c r="A235" s="14" t="s">
        <v>2469</v>
      </c>
      <c r="B235" s="14" t="s">
        <v>2470</v>
      </c>
      <c r="C235" s="12">
        <f>HYPERLINK("http://www.tykhe.ventures","www.tykhe.ventures")</f>
      </c>
      <c r="D235" s="14" t="s">
        <v>1984</v>
      </c>
      <c r="E235" s="14" t="s">
        <v>2471</v>
      </c>
      <c r="F235" s="14" t="s">
        <v>2472</v>
      </c>
      <c r="G235" s="14" t="s">
        <v>50</v>
      </c>
      <c r="H235" s="14" t="s">
        <v>2473</v>
      </c>
      <c r="I235" s="16">
        <v>2</v>
      </c>
      <c r="J235" s="16">
        <v>36</v>
      </c>
      <c r="K235" s="16">
        <v>28</v>
      </c>
      <c r="L235" s="15" t="s">
        <v>33</v>
      </c>
      <c r="M235" s="14" t="s">
        <v>2474</v>
      </c>
      <c r="N235" s="14" t="s">
        <v>2475</v>
      </c>
      <c r="O235" s="14" t="s">
        <v>2476</v>
      </c>
      <c r="P235" s="14" t="s">
        <v>2477</v>
      </c>
      <c r="Q235" s="14" t="s">
        <v>2478</v>
      </c>
      <c r="R235" s="14" t="s">
        <v>1481</v>
      </c>
      <c r="S235" s="15" t="s">
        <v>2479</v>
      </c>
      <c r="T235" s="14" t="s">
        <v>115</v>
      </c>
      <c r="U235" s="15" t="s">
        <v>33</v>
      </c>
      <c r="V235" s="14" t="s">
        <v>2480</v>
      </c>
      <c r="W235" s="12">
        <f>HYPERLINK("https://my.pitchbook.com?p=66571-12P","View People Online")</f>
      </c>
    </row>
    <row r="236">
      <c r="A236" s="10" t="s">
        <v>2481</v>
      </c>
      <c r="B236" s="10" t="s">
        <v>2482</v>
      </c>
      <c r="C236" s="13">
        <f>HYPERLINK("http://www.tmrw.in","www.tmrw.in")</f>
      </c>
      <c r="D236" s="10" t="s">
        <v>1984</v>
      </c>
      <c r="E236" s="10" t="s">
        <v>2483</v>
      </c>
      <c r="F236" s="10" t="s">
        <v>2484</v>
      </c>
      <c r="G236" s="10" t="s">
        <v>870</v>
      </c>
      <c r="H236" s="10" t="s">
        <v>2485</v>
      </c>
      <c r="I236" s="9">
        <v>2</v>
      </c>
      <c r="J236" s="9">
        <v>8</v>
      </c>
      <c r="K236" s="9">
        <v>5</v>
      </c>
      <c r="L236" s="11" t="s">
        <v>2486</v>
      </c>
      <c r="M236" s="10" t="s">
        <v>2487</v>
      </c>
      <c r="N236" s="10" t="s">
        <v>1330</v>
      </c>
      <c r="O236" s="10" t="s">
        <v>2488</v>
      </c>
      <c r="P236" s="10" t="s">
        <v>2489</v>
      </c>
      <c r="Q236" s="10" t="s">
        <v>1333</v>
      </c>
      <c r="R236" s="10" t="s">
        <v>1334</v>
      </c>
      <c r="S236" s="11" t="s">
        <v>2490</v>
      </c>
      <c r="T236" s="10" t="s">
        <v>115</v>
      </c>
      <c r="U236" s="11" t="s">
        <v>2491</v>
      </c>
      <c r="V236" s="10" t="s">
        <v>2492</v>
      </c>
      <c r="W236" s="13">
        <f>HYPERLINK("https://my.pitchbook.com?p=138608-65P","View People Online")</f>
      </c>
    </row>
    <row r="237">
      <c r="A237" s="14" t="s">
        <v>2493</v>
      </c>
      <c r="B237" s="14" t="s">
        <v>2494</v>
      </c>
      <c r="C237" s="12">
        <f>HYPERLINK("http://www.a91partners.com","www.a91partners.com")</f>
      </c>
      <c r="D237" s="14" t="s">
        <v>1984</v>
      </c>
      <c r="E237" s="14" t="s">
        <v>2495</v>
      </c>
      <c r="F237" s="14" t="s">
        <v>2496</v>
      </c>
      <c r="G237" s="14" t="s">
        <v>268</v>
      </c>
      <c r="H237" s="14" t="s">
        <v>1987</v>
      </c>
      <c r="I237" s="16">
        <v>4</v>
      </c>
      <c r="J237" s="16">
        <v>10</v>
      </c>
      <c r="K237" s="16">
        <v>4</v>
      </c>
      <c r="L237" s="15" t="s">
        <v>1988</v>
      </c>
      <c r="M237" s="14" t="s">
        <v>2497</v>
      </c>
      <c r="N237" s="14" t="s">
        <v>1330</v>
      </c>
      <c r="O237" s="14" t="s">
        <v>1990</v>
      </c>
      <c r="P237" s="14" t="s">
        <v>1991</v>
      </c>
      <c r="Q237" s="14" t="s">
        <v>1333</v>
      </c>
      <c r="R237" s="14" t="s">
        <v>1334</v>
      </c>
      <c r="S237" s="15" t="s">
        <v>1992</v>
      </c>
      <c r="T237" s="14" t="s">
        <v>115</v>
      </c>
      <c r="U237" s="15" t="s">
        <v>33</v>
      </c>
      <c r="V237" s="14" t="s">
        <v>2498</v>
      </c>
      <c r="W237" s="12">
        <f>HYPERLINK("https://my.pitchbook.com?p=125602-93P","View People Online")</f>
      </c>
    </row>
    <row r="238">
      <c r="A238" s="10" t="s">
        <v>2499</v>
      </c>
      <c r="B238" s="10" t="s">
        <v>2500</v>
      </c>
      <c r="C238" s="13">
        <f>HYPERLINK("http://www.hsgcap.com","www.hsgcap.com")</f>
      </c>
      <c r="D238" s="10" t="s">
        <v>1984</v>
      </c>
      <c r="E238" s="10" t="s">
        <v>2501</v>
      </c>
      <c r="F238" s="10" t="s">
        <v>2502</v>
      </c>
      <c r="G238" s="10" t="s">
        <v>268</v>
      </c>
      <c r="H238" s="10" t="s">
        <v>2119</v>
      </c>
      <c r="I238" s="9">
        <v>2</v>
      </c>
      <c r="J238" s="9">
        <v>33</v>
      </c>
      <c r="K238" s="9">
        <v>26</v>
      </c>
      <c r="L238" s="11" t="s">
        <v>2503</v>
      </c>
      <c r="M238" s="10" t="s">
        <v>2504</v>
      </c>
      <c r="N238" s="10" t="s">
        <v>1899</v>
      </c>
      <c r="O238" s="10" t="s">
        <v>2505</v>
      </c>
      <c r="P238" s="10" t="s">
        <v>2506</v>
      </c>
      <c r="Q238" s="10" t="s">
        <v>1902</v>
      </c>
      <c r="R238" s="10" t="s">
        <v>33</v>
      </c>
      <c r="S238" s="11" t="s">
        <v>2507</v>
      </c>
      <c r="T238" s="10" t="s">
        <v>1785</v>
      </c>
      <c r="U238" s="11" t="s">
        <v>33</v>
      </c>
      <c r="V238" s="10" t="s">
        <v>2508</v>
      </c>
      <c r="W238" s="13">
        <f>HYPERLINK("https://my.pitchbook.com?p=125616-34P","View People Online")</f>
      </c>
    </row>
    <row r="239">
      <c r="A239" s="14" t="s">
        <v>2509</v>
      </c>
      <c r="B239" s="14" t="s">
        <v>2510</v>
      </c>
      <c r="C239" s="12">
        <f>HYPERLINK("http://www.elevarequity.com","www.elevarequity.com")</f>
      </c>
      <c r="D239" s="14" t="s">
        <v>1984</v>
      </c>
      <c r="E239" s="14" t="s">
        <v>2511</v>
      </c>
      <c r="F239" s="14" t="s">
        <v>2512</v>
      </c>
      <c r="G239" s="14" t="s">
        <v>2513</v>
      </c>
      <c r="H239" s="14" t="s">
        <v>2514</v>
      </c>
      <c r="I239" s="16">
        <v>2</v>
      </c>
      <c r="J239" s="16">
        <v>5</v>
      </c>
      <c r="K239" s="16">
        <v>1</v>
      </c>
      <c r="L239" s="15" t="s">
        <v>2515</v>
      </c>
      <c r="M239" s="14" t="s">
        <v>33</v>
      </c>
      <c r="N239" s="14" t="s">
        <v>1647</v>
      </c>
      <c r="O239" s="14" t="s">
        <v>2516</v>
      </c>
      <c r="P239" s="14" t="s">
        <v>410</v>
      </c>
      <c r="Q239" s="14" t="s">
        <v>1650</v>
      </c>
      <c r="R239" s="14" t="s">
        <v>70</v>
      </c>
      <c r="S239" s="15" t="s">
        <v>1651</v>
      </c>
      <c r="T239" s="14" t="s">
        <v>44</v>
      </c>
      <c r="U239" s="15" t="s">
        <v>33</v>
      </c>
      <c r="V239" s="14" t="s">
        <v>2517</v>
      </c>
      <c r="W239" s="12">
        <f>HYPERLINK("https://my.pitchbook.com?p=46783-45P","View People Online")</f>
      </c>
    </row>
    <row r="240">
      <c r="A240" s="10" t="s">
        <v>2518</v>
      </c>
      <c r="B240" s="10" t="s">
        <v>2519</v>
      </c>
      <c r="C240" s="13">
        <f>HYPERLINK("http://www.grix.vc","www.grix.vc")</f>
      </c>
      <c r="D240" s="10" t="s">
        <v>1984</v>
      </c>
      <c r="E240" s="10" t="s">
        <v>2520</v>
      </c>
      <c r="F240" s="10" t="s">
        <v>2521</v>
      </c>
      <c r="G240" s="10" t="s">
        <v>579</v>
      </c>
      <c r="H240" s="10" t="s">
        <v>2522</v>
      </c>
      <c r="I240" s="9">
        <v>3</v>
      </c>
      <c r="J240" s="9">
        <v>19</v>
      </c>
      <c r="K240" s="9">
        <v>9</v>
      </c>
      <c r="L240" s="11" t="s">
        <v>33</v>
      </c>
      <c r="M240" s="10" t="s">
        <v>33</v>
      </c>
      <c r="N240" s="10" t="s">
        <v>2523</v>
      </c>
      <c r="O240" s="10" t="s">
        <v>33</v>
      </c>
      <c r="P240" s="10" t="s">
        <v>33</v>
      </c>
      <c r="Q240" s="10" t="s">
        <v>2524</v>
      </c>
      <c r="R240" s="10" t="s">
        <v>2525</v>
      </c>
      <c r="S240" s="11" t="s">
        <v>33</v>
      </c>
      <c r="T240" s="10" t="s">
        <v>44</v>
      </c>
      <c r="U240" s="11" t="s">
        <v>33</v>
      </c>
      <c r="V240" s="10" t="s">
        <v>2526</v>
      </c>
      <c r="W240" s="13">
        <f>HYPERLINK("https://my.pitchbook.com?p=163330-93P","View People Online")</f>
      </c>
    </row>
    <row r="241">
      <c r="A241" s="14" t="s">
        <v>2527</v>
      </c>
      <c r="B241" s="14" t="s">
        <v>2528</v>
      </c>
      <c r="C241" s="12">
        <f>HYPERLINK("http://sequoiacap.com","sequoiacap.com")</f>
      </c>
      <c r="D241" s="14" t="s">
        <v>1984</v>
      </c>
      <c r="E241" s="14" t="s">
        <v>1472</v>
      </c>
      <c r="F241" s="14" t="s">
        <v>1361</v>
      </c>
      <c r="G241" s="14" t="s">
        <v>2036</v>
      </c>
      <c r="H241" s="14" t="s">
        <v>2010</v>
      </c>
      <c r="I241" s="16">
        <v>5</v>
      </c>
      <c r="J241" s="16">
        <v>17</v>
      </c>
      <c r="K241" s="16">
        <v>10</v>
      </c>
      <c r="L241" s="15" t="s">
        <v>1351</v>
      </c>
      <c r="M241" s="14" t="s">
        <v>2529</v>
      </c>
      <c r="N241" s="14" t="s">
        <v>422</v>
      </c>
      <c r="O241" s="14" t="s">
        <v>423</v>
      </c>
      <c r="P241" s="14" t="s">
        <v>424</v>
      </c>
      <c r="Q241" s="14" t="s">
        <v>425</v>
      </c>
      <c r="R241" s="14" t="s">
        <v>42</v>
      </c>
      <c r="S241" s="15" t="s">
        <v>2012</v>
      </c>
      <c r="T241" s="14" t="s">
        <v>44</v>
      </c>
      <c r="U241" s="15" t="s">
        <v>2013</v>
      </c>
      <c r="V241" s="14" t="s">
        <v>2530</v>
      </c>
      <c r="W241" s="12">
        <f>HYPERLINK("https://my.pitchbook.com?p=71954-92P","View People Online")</f>
      </c>
    </row>
    <row r="242">
      <c r="A242" s="10" t="s">
        <v>2531</v>
      </c>
      <c r="B242" s="10" t="s">
        <v>2532</v>
      </c>
      <c r="C242" s="13">
        <f>HYPERLINK("http://www.peakbridge.vc","www.peakbridge.vc")</f>
      </c>
      <c r="D242" s="10" t="s">
        <v>1984</v>
      </c>
      <c r="E242" s="10" t="s">
        <v>2533</v>
      </c>
      <c r="F242" s="10" t="s">
        <v>2534</v>
      </c>
      <c r="G242" s="10" t="s">
        <v>2535</v>
      </c>
      <c r="H242" s="10" t="s">
        <v>2536</v>
      </c>
      <c r="I242" s="9">
        <v>2</v>
      </c>
      <c r="J242" s="9">
        <v>5</v>
      </c>
      <c r="K242" s="9">
        <v>1</v>
      </c>
      <c r="L242" s="11" t="s">
        <v>2537</v>
      </c>
      <c r="M242" s="10" t="s">
        <v>2538</v>
      </c>
      <c r="N242" s="10" t="s">
        <v>2244</v>
      </c>
      <c r="O242" s="10" t="s">
        <v>2539</v>
      </c>
      <c r="P242" s="10" t="s">
        <v>33</v>
      </c>
      <c r="Q242" s="10" t="s">
        <v>2247</v>
      </c>
      <c r="R242" s="10" t="s">
        <v>33</v>
      </c>
      <c r="S242" s="11" t="s">
        <v>33</v>
      </c>
      <c r="T242" s="10" t="s">
        <v>1797</v>
      </c>
      <c r="U242" s="11" t="s">
        <v>33</v>
      </c>
      <c r="V242" s="10" t="s">
        <v>2540</v>
      </c>
      <c r="W242" s="13">
        <f>HYPERLINK("https://my.pitchbook.com?p=85620-97P","View People Online")</f>
      </c>
    </row>
    <row r="243">
      <c r="A243" s="14" t="s">
        <v>2541</v>
      </c>
      <c r="B243" s="14" t="s">
        <v>2542</v>
      </c>
      <c r="C243" s="12">
        <f>HYPERLINK("http://www.fprimecapital.com","www.fprimecapital.com")</f>
      </c>
      <c r="D243" s="14" t="s">
        <v>1984</v>
      </c>
      <c r="E243" s="14" t="s">
        <v>2543</v>
      </c>
      <c r="F243" s="14" t="s">
        <v>2544</v>
      </c>
      <c r="G243" s="14" t="s">
        <v>2545</v>
      </c>
      <c r="H243" s="14" t="s">
        <v>2546</v>
      </c>
      <c r="I243" s="16">
        <v>1</v>
      </c>
      <c r="J243" s="16">
        <v>7</v>
      </c>
      <c r="K243" s="16">
        <v>4</v>
      </c>
      <c r="L243" s="15" t="s">
        <v>2547</v>
      </c>
      <c r="M243" s="14" t="s">
        <v>2548</v>
      </c>
      <c r="N243" s="14" t="s">
        <v>80</v>
      </c>
      <c r="O243" s="14" t="s">
        <v>2549</v>
      </c>
      <c r="P243" s="14" t="s">
        <v>2550</v>
      </c>
      <c r="Q243" s="14" t="s">
        <v>82</v>
      </c>
      <c r="R243" s="14" t="s">
        <v>83</v>
      </c>
      <c r="S243" s="15" t="s">
        <v>962</v>
      </c>
      <c r="T243" s="14" t="s">
        <v>44</v>
      </c>
      <c r="U243" s="15" t="s">
        <v>33</v>
      </c>
      <c r="V243" s="14" t="s">
        <v>2551</v>
      </c>
      <c r="W243" s="12">
        <f>HYPERLINK("https://my.pitchbook.com?p=204608-80P","View People Online")</f>
      </c>
    </row>
    <row r="244">
      <c r="A244" s="10" t="s">
        <v>2552</v>
      </c>
      <c r="B244" s="10" t="s">
        <v>2553</v>
      </c>
      <c r="C244" s="13">
        <f>HYPERLINK("http://sequoiacap.com","sequoiacap.com")</f>
      </c>
      <c r="D244" s="10" t="s">
        <v>1984</v>
      </c>
      <c r="E244" s="10" t="s">
        <v>2554</v>
      </c>
      <c r="F244" s="10" t="s">
        <v>2555</v>
      </c>
      <c r="G244" s="10" t="s">
        <v>2144</v>
      </c>
      <c r="H244" s="10" t="s">
        <v>2010</v>
      </c>
      <c r="I244" s="9">
        <v>13</v>
      </c>
      <c r="J244" s="9">
        <v>132</v>
      </c>
      <c r="K244" s="9">
        <v>83</v>
      </c>
      <c r="L244" s="11" t="s">
        <v>1351</v>
      </c>
      <c r="M244" s="10" t="s">
        <v>2556</v>
      </c>
      <c r="N244" s="10" t="s">
        <v>422</v>
      </c>
      <c r="O244" s="10" t="s">
        <v>423</v>
      </c>
      <c r="P244" s="10" t="s">
        <v>424</v>
      </c>
      <c r="Q244" s="10" t="s">
        <v>425</v>
      </c>
      <c r="R244" s="10" t="s">
        <v>42</v>
      </c>
      <c r="S244" s="11" t="s">
        <v>2012</v>
      </c>
      <c r="T244" s="10" t="s">
        <v>44</v>
      </c>
      <c r="U244" s="11" t="s">
        <v>2013</v>
      </c>
      <c r="V244" s="10" t="s">
        <v>2557</v>
      </c>
      <c r="W244" s="13">
        <f>HYPERLINK("https://my.pitchbook.com?p=13958-74P","View People Online")</f>
      </c>
    </row>
    <row r="245">
      <c r="A245" s="14" t="s">
        <v>2558</v>
      </c>
      <c r="B245" s="14" t="s">
        <v>2559</v>
      </c>
      <c r="C245" s="12">
        <f t="shared" si="2" ref="C245:C246">HYPERLINK("http://www.peakxv.com","www.peakxv.com")</f>
      </c>
      <c r="D245" s="14" t="s">
        <v>1984</v>
      </c>
      <c r="E245" s="14" t="s">
        <v>2495</v>
      </c>
      <c r="F245" s="14" t="s">
        <v>2560</v>
      </c>
      <c r="G245" s="14" t="s">
        <v>1998</v>
      </c>
      <c r="H245" s="14" t="s">
        <v>1999</v>
      </c>
      <c r="I245" s="16">
        <v>4</v>
      </c>
      <c r="J245" s="16">
        <v>13</v>
      </c>
      <c r="K245" s="16">
        <v>8</v>
      </c>
      <c r="L245" s="15" t="s">
        <v>33</v>
      </c>
      <c r="M245" s="14" t="s">
        <v>2561</v>
      </c>
      <c r="N245" s="14" t="s">
        <v>133</v>
      </c>
      <c r="O245" s="14" t="s">
        <v>2044</v>
      </c>
      <c r="P245" s="14" t="s">
        <v>2045</v>
      </c>
      <c r="Q245" s="14" t="s">
        <v>136</v>
      </c>
      <c r="R245" s="14" t="s">
        <v>113</v>
      </c>
      <c r="S245" s="15" t="s">
        <v>1134</v>
      </c>
      <c r="T245" s="14" t="s">
        <v>115</v>
      </c>
      <c r="U245" s="15" t="s">
        <v>33</v>
      </c>
      <c r="V245" s="14" t="s">
        <v>2562</v>
      </c>
      <c r="W245" s="12">
        <f>HYPERLINK("https://my.pitchbook.com?p=125603-47P","View People Online")</f>
      </c>
    </row>
    <row r="246">
      <c r="A246" s="10" t="s">
        <v>2563</v>
      </c>
      <c r="B246" s="10" t="s">
        <v>2564</v>
      </c>
      <c r="C246" s="13">
        <f t="shared" si="2"/>
      </c>
      <c r="D246" s="10" t="s">
        <v>1984</v>
      </c>
      <c r="E246" s="10" t="s">
        <v>2565</v>
      </c>
      <c r="F246" s="10" t="s">
        <v>2566</v>
      </c>
      <c r="G246" s="10" t="s">
        <v>1998</v>
      </c>
      <c r="H246" s="10" t="s">
        <v>1999</v>
      </c>
      <c r="I246" s="9">
        <v>6</v>
      </c>
      <c r="J246" s="9">
        <v>33</v>
      </c>
      <c r="K246" s="9">
        <v>20</v>
      </c>
      <c r="L246" s="11" t="s">
        <v>472</v>
      </c>
      <c r="M246" s="10" t="s">
        <v>2567</v>
      </c>
      <c r="N246" s="10" t="s">
        <v>133</v>
      </c>
      <c r="O246" s="10" t="s">
        <v>2044</v>
      </c>
      <c r="P246" s="10" t="s">
        <v>2045</v>
      </c>
      <c r="Q246" s="10" t="s">
        <v>136</v>
      </c>
      <c r="R246" s="10" t="s">
        <v>113</v>
      </c>
      <c r="S246" s="11" t="s">
        <v>1134</v>
      </c>
      <c r="T246" s="10" t="s">
        <v>115</v>
      </c>
      <c r="U246" s="11" t="s">
        <v>33</v>
      </c>
      <c r="V246" s="10" t="s">
        <v>2568</v>
      </c>
      <c r="W246" s="13">
        <f>HYPERLINK("https://my.pitchbook.com?p=58691-35P","View People Online")</f>
      </c>
    </row>
    <row r="247">
      <c r="A247" s="14" t="s">
        <v>2569</v>
      </c>
      <c r="B247" s="14" t="s">
        <v>2570</v>
      </c>
      <c r="C247" s="12">
        <f>HYPERLINK("http://www.accel.com","www.accel.com")</f>
      </c>
      <c r="D247" s="14" t="s">
        <v>1984</v>
      </c>
      <c r="E247" s="14" t="s">
        <v>2571</v>
      </c>
      <c r="F247" s="14" t="s">
        <v>2572</v>
      </c>
      <c r="G247" s="14" t="s">
        <v>268</v>
      </c>
      <c r="H247" s="14" t="s">
        <v>2573</v>
      </c>
      <c r="I247" s="16">
        <v>11</v>
      </c>
      <c r="J247" s="16">
        <v>135</v>
      </c>
      <c r="K247" s="16">
        <v>75</v>
      </c>
      <c r="L247" s="15" t="s">
        <v>2574</v>
      </c>
      <c r="M247" s="14" t="s">
        <v>2575</v>
      </c>
      <c r="N247" s="14" t="s">
        <v>40</v>
      </c>
      <c r="O247" s="14" t="s">
        <v>2576</v>
      </c>
      <c r="P247" s="14" t="s">
        <v>33</v>
      </c>
      <c r="Q247" s="14" t="s">
        <v>41</v>
      </c>
      <c r="R247" s="14" t="s">
        <v>42</v>
      </c>
      <c r="S247" s="15" t="s">
        <v>2386</v>
      </c>
      <c r="T247" s="14" t="s">
        <v>44</v>
      </c>
      <c r="U247" s="15" t="s">
        <v>33</v>
      </c>
      <c r="V247" s="14" t="s">
        <v>2577</v>
      </c>
      <c r="W247" s="12">
        <f>HYPERLINK("https://my.pitchbook.com?p=13958-29P","View People Online")</f>
      </c>
    </row>
    <row r="248">
      <c r="A248" s="10" t="s">
        <v>2578</v>
      </c>
      <c r="B248" s="10" t="s">
        <v>2579</v>
      </c>
      <c r="C248" s="13">
        <f>HYPERLINK("http://www.speedinvest.com","www.speedinvest.com")</f>
      </c>
      <c r="D248" s="10" t="s">
        <v>1984</v>
      </c>
      <c r="E248" s="10" t="s">
        <v>1448</v>
      </c>
      <c r="F248" s="10" t="s">
        <v>2572</v>
      </c>
      <c r="G248" s="10" t="s">
        <v>2580</v>
      </c>
      <c r="H248" s="10" t="s">
        <v>2581</v>
      </c>
      <c r="I248" s="9">
        <v>1</v>
      </c>
      <c r="J248" s="9">
        <v>14</v>
      </c>
      <c r="K248" s="9">
        <v>9</v>
      </c>
      <c r="L248" s="11" t="s">
        <v>2582</v>
      </c>
      <c r="M248" s="10" t="s">
        <v>2583</v>
      </c>
      <c r="N248" s="10" t="s">
        <v>2584</v>
      </c>
      <c r="O248" s="10" t="s">
        <v>2585</v>
      </c>
      <c r="P248" s="10" t="s">
        <v>2586</v>
      </c>
      <c r="Q248" s="10" t="s">
        <v>2587</v>
      </c>
      <c r="R248" s="10" t="s">
        <v>33</v>
      </c>
      <c r="S248" s="11" t="s">
        <v>2588</v>
      </c>
      <c r="T248" s="10" t="s">
        <v>2589</v>
      </c>
      <c r="U248" s="11" t="s">
        <v>33</v>
      </c>
      <c r="V248" s="10" t="s">
        <v>2590</v>
      </c>
      <c r="W248" s="13">
        <f>HYPERLINK("https://my.pitchbook.com?p=222945-58P","View People Online")</f>
      </c>
    </row>
    <row r="249">
      <c r="A249" s="14" t="s">
        <v>2591</v>
      </c>
      <c r="B249" s="14" t="s">
        <v>2592</v>
      </c>
      <c r="C249" s="12">
        <f>HYPERLINK("http://www.unusual.vc","www.unusual.vc")</f>
      </c>
      <c r="D249" s="14" t="s">
        <v>1984</v>
      </c>
      <c r="E249" s="14" t="s">
        <v>2593</v>
      </c>
      <c r="F249" s="14" t="s">
        <v>2594</v>
      </c>
      <c r="G249" s="14" t="s">
        <v>716</v>
      </c>
      <c r="H249" s="14" t="s">
        <v>2595</v>
      </c>
      <c r="I249" s="16">
        <v>5</v>
      </c>
      <c r="J249" s="16">
        <v>21</v>
      </c>
      <c r="K249" s="16">
        <v>13</v>
      </c>
      <c r="L249" s="15" t="s">
        <v>2596</v>
      </c>
      <c r="M249" s="14" t="s">
        <v>2597</v>
      </c>
      <c r="N249" s="14" t="s">
        <v>422</v>
      </c>
      <c r="O249" s="14" t="s">
        <v>2598</v>
      </c>
      <c r="P249" s="14" t="s">
        <v>2599</v>
      </c>
      <c r="Q249" s="14" t="s">
        <v>425</v>
      </c>
      <c r="R249" s="14" t="s">
        <v>42</v>
      </c>
      <c r="S249" s="15" t="s">
        <v>426</v>
      </c>
      <c r="T249" s="14" t="s">
        <v>44</v>
      </c>
      <c r="U249" s="15" t="s">
        <v>33</v>
      </c>
      <c r="V249" s="14" t="s">
        <v>2600</v>
      </c>
      <c r="W249" s="12">
        <f>HYPERLINK("https://my.pitchbook.com?p=62569-90P","View People Online")</f>
      </c>
    </row>
    <row r="250">
      <c r="A250" s="10" t="s">
        <v>2601</v>
      </c>
      <c r="B250" s="10" t="s">
        <v>2602</v>
      </c>
      <c r="C250" s="13">
        <f t="shared" si="3" ref="C250:C251">HYPERLINK("http://www.peakxv.com","www.peakxv.com")</f>
      </c>
      <c r="D250" s="10" t="s">
        <v>1984</v>
      </c>
      <c r="E250" s="10" t="s">
        <v>1448</v>
      </c>
      <c r="F250" s="10" t="s">
        <v>2603</v>
      </c>
      <c r="G250" s="10" t="s">
        <v>1998</v>
      </c>
      <c r="H250" s="10" t="s">
        <v>1999</v>
      </c>
      <c r="I250" s="9">
        <v>9</v>
      </c>
      <c r="J250" s="9">
        <v>78</v>
      </c>
      <c r="K250" s="9">
        <v>60</v>
      </c>
      <c r="L250" s="11" t="s">
        <v>33</v>
      </c>
      <c r="M250" s="10" t="s">
        <v>2604</v>
      </c>
      <c r="N250" s="10" t="s">
        <v>133</v>
      </c>
      <c r="O250" s="10" t="s">
        <v>2044</v>
      </c>
      <c r="P250" s="10" t="s">
        <v>2045</v>
      </c>
      <c r="Q250" s="10" t="s">
        <v>136</v>
      </c>
      <c r="R250" s="10" t="s">
        <v>113</v>
      </c>
      <c r="S250" s="11" t="s">
        <v>1134</v>
      </c>
      <c r="T250" s="10" t="s">
        <v>115</v>
      </c>
      <c r="U250" s="11" t="s">
        <v>33</v>
      </c>
      <c r="V250" s="10" t="s">
        <v>2605</v>
      </c>
      <c r="W250" s="13">
        <f>HYPERLINK("https://my.pitchbook.com?p=36563-05P","View People Online")</f>
      </c>
    </row>
    <row r="251">
      <c r="A251" s="14" t="s">
        <v>2606</v>
      </c>
      <c r="B251" s="14" t="s">
        <v>2607</v>
      </c>
      <c r="C251" s="12">
        <f t="shared" si="3"/>
      </c>
      <c r="D251" s="14" t="s">
        <v>1984</v>
      </c>
      <c r="E251" s="14" t="s">
        <v>2608</v>
      </c>
      <c r="F251" s="14" t="s">
        <v>2609</v>
      </c>
      <c r="G251" s="14" t="s">
        <v>1998</v>
      </c>
      <c r="H251" s="14" t="s">
        <v>1999</v>
      </c>
      <c r="I251" s="16">
        <v>13</v>
      </c>
      <c r="J251" s="16">
        <v>57</v>
      </c>
      <c r="K251" s="16">
        <v>36</v>
      </c>
      <c r="L251" s="15" t="s">
        <v>33</v>
      </c>
      <c r="M251" s="14" t="s">
        <v>2610</v>
      </c>
      <c r="N251" s="14" t="s">
        <v>133</v>
      </c>
      <c r="O251" s="14" t="s">
        <v>2044</v>
      </c>
      <c r="P251" s="14" t="s">
        <v>2045</v>
      </c>
      <c r="Q251" s="14" t="s">
        <v>136</v>
      </c>
      <c r="R251" s="14" t="s">
        <v>113</v>
      </c>
      <c r="S251" s="15" t="s">
        <v>1134</v>
      </c>
      <c r="T251" s="14" t="s">
        <v>115</v>
      </c>
      <c r="U251" s="15" t="s">
        <v>33</v>
      </c>
      <c r="V251" s="14" t="s">
        <v>2611</v>
      </c>
      <c r="W251" s="12">
        <f>HYPERLINK("https://my.pitchbook.com?p=43444-72P","View People Online")</f>
      </c>
    </row>
    <row r="252">
      <c r="A252" s="10" t="s">
        <v>2612</v>
      </c>
      <c r="B252" s="10" t="s">
        <v>2613</v>
      </c>
      <c r="C252" s="13">
        <f>HYPERLINK("http://www.granitehill.net","www.granitehill.net")</f>
      </c>
      <c r="D252" s="10" t="s">
        <v>1984</v>
      </c>
      <c r="E252" s="10" t="s">
        <v>2614</v>
      </c>
      <c r="F252" s="10" t="s">
        <v>2609</v>
      </c>
      <c r="G252" s="10" t="s">
        <v>2615</v>
      </c>
      <c r="H252" s="10" t="s">
        <v>2616</v>
      </c>
      <c r="I252" s="9">
        <v>3</v>
      </c>
      <c r="J252" s="9">
        <v>14</v>
      </c>
      <c r="K252" s="9">
        <v>8</v>
      </c>
      <c r="L252" s="11" t="s">
        <v>2617</v>
      </c>
      <c r="M252" s="10" t="s">
        <v>2618</v>
      </c>
      <c r="N252" s="10" t="s">
        <v>40</v>
      </c>
      <c r="O252" s="10" t="s">
        <v>2619</v>
      </c>
      <c r="P252" s="10" t="s">
        <v>732</v>
      </c>
      <c r="Q252" s="10" t="s">
        <v>41</v>
      </c>
      <c r="R252" s="10" t="s">
        <v>42</v>
      </c>
      <c r="S252" s="11" t="s">
        <v>2620</v>
      </c>
      <c r="T252" s="10" t="s">
        <v>44</v>
      </c>
      <c r="U252" s="11" t="s">
        <v>33</v>
      </c>
      <c r="V252" s="10" t="s">
        <v>2621</v>
      </c>
      <c r="W252" s="13">
        <f>HYPERLINK("https://my.pitchbook.com?p=52723-90P","View People Online")</f>
      </c>
    </row>
    <row r="253">
      <c r="A253" s="14" t="s">
        <v>2622</v>
      </c>
      <c r="B253" s="14" t="s">
        <v>2623</v>
      </c>
      <c r="C253" s="12">
        <f t="shared" si="4" ref="C253:C254">HYPERLINK("http://sequoiacap.com","sequoiacap.com")</f>
      </c>
      <c r="D253" s="14" t="s">
        <v>1984</v>
      </c>
      <c r="E253" s="14" t="s">
        <v>2624</v>
      </c>
      <c r="F253" s="14" t="s">
        <v>2625</v>
      </c>
      <c r="G253" s="14" t="s">
        <v>2009</v>
      </c>
      <c r="H253" s="14" t="s">
        <v>2010</v>
      </c>
      <c r="I253" s="16">
        <v>6</v>
      </c>
      <c r="J253" s="16">
        <v>41</v>
      </c>
      <c r="K253" s="16">
        <v>30</v>
      </c>
      <c r="L253" s="15" t="s">
        <v>1351</v>
      </c>
      <c r="M253" s="14" t="s">
        <v>2626</v>
      </c>
      <c r="N253" s="14" t="s">
        <v>422</v>
      </c>
      <c r="O253" s="14" t="s">
        <v>423</v>
      </c>
      <c r="P253" s="14" t="s">
        <v>424</v>
      </c>
      <c r="Q253" s="14" t="s">
        <v>425</v>
      </c>
      <c r="R253" s="14" t="s">
        <v>42</v>
      </c>
      <c r="S253" s="15" t="s">
        <v>2012</v>
      </c>
      <c r="T253" s="14" t="s">
        <v>44</v>
      </c>
      <c r="U253" s="15" t="s">
        <v>2013</v>
      </c>
      <c r="V253" s="14" t="s">
        <v>2627</v>
      </c>
      <c r="W253" s="12">
        <f>HYPERLINK("https://my.pitchbook.com?p=102838-42P","View People Online")</f>
      </c>
    </row>
    <row r="254">
      <c r="A254" s="10" t="s">
        <v>2628</v>
      </c>
      <c r="B254" s="10" t="s">
        <v>2629</v>
      </c>
      <c r="C254" s="13">
        <f t="shared" si="4"/>
      </c>
      <c r="D254" s="10" t="s">
        <v>1984</v>
      </c>
      <c r="E254" s="10" t="s">
        <v>2630</v>
      </c>
      <c r="F254" s="10" t="s">
        <v>2631</v>
      </c>
      <c r="G254" s="10" t="s">
        <v>2632</v>
      </c>
      <c r="H254" s="10" t="s">
        <v>2010</v>
      </c>
      <c r="I254" s="9">
        <v>7</v>
      </c>
      <c r="J254" s="9">
        <v>50</v>
      </c>
      <c r="K254" s="9">
        <v>36</v>
      </c>
      <c r="L254" s="11" t="s">
        <v>1351</v>
      </c>
      <c r="M254" s="10" t="s">
        <v>2633</v>
      </c>
      <c r="N254" s="10" t="s">
        <v>422</v>
      </c>
      <c r="O254" s="10" t="s">
        <v>423</v>
      </c>
      <c r="P254" s="10" t="s">
        <v>424</v>
      </c>
      <c r="Q254" s="10" t="s">
        <v>425</v>
      </c>
      <c r="R254" s="10" t="s">
        <v>42</v>
      </c>
      <c r="S254" s="11" t="s">
        <v>2012</v>
      </c>
      <c r="T254" s="10" t="s">
        <v>44</v>
      </c>
      <c r="U254" s="11" t="s">
        <v>2013</v>
      </c>
      <c r="V254" s="10" t="s">
        <v>2634</v>
      </c>
      <c r="W254" s="13">
        <f>HYPERLINK("https://my.pitchbook.com?p=13957-03P","View People Online")</f>
      </c>
    </row>
    <row r="255">
      <c r="A255" s="14" t="s">
        <v>2635</v>
      </c>
      <c r="B255" s="14" t="s">
        <v>2636</v>
      </c>
      <c r="C255" s="12">
        <f>HYPERLINK("http://www.spero.vc","www.spero.vc")</f>
      </c>
      <c r="D255" s="14" t="s">
        <v>1984</v>
      </c>
      <c r="E255" s="14" t="s">
        <v>2637</v>
      </c>
      <c r="F255" s="14" t="s">
        <v>2638</v>
      </c>
      <c r="G255" s="14" t="s">
        <v>50</v>
      </c>
      <c r="H255" s="14" t="s">
        <v>2639</v>
      </c>
      <c r="I255" s="16">
        <v>4</v>
      </c>
      <c r="J255" s="16">
        <v>29</v>
      </c>
      <c r="K255" s="16">
        <v>21</v>
      </c>
      <c r="L255" s="15" t="s">
        <v>2640</v>
      </c>
      <c r="M255" s="14" t="s">
        <v>2641</v>
      </c>
      <c r="N255" s="14" t="s">
        <v>2642</v>
      </c>
      <c r="O255" s="14" t="s">
        <v>2643</v>
      </c>
      <c r="P255" s="14" t="s">
        <v>2644</v>
      </c>
      <c r="Q255" s="14" t="s">
        <v>2645</v>
      </c>
      <c r="R255" s="14" t="s">
        <v>42</v>
      </c>
      <c r="S255" s="15" t="s">
        <v>2646</v>
      </c>
      <c r="T255" s="14" t="s">
        <v>44</v>
      </c>
      <c r="U255" s="15" t="s">
        <v>33</v>
      </c>
      <c r="V255" s="14" t="s">
        <v>2647</v>
      </c>
      <c r="W255" s="12">
        <f>HYPERLINK("https://my.pitchbook.com?p=88798-15P","View People Online")</f>
      </c>
    </row>
    <row r="256">
      <c r="A256" s="10" t="s">
        <v>2648</v>
      </c>
      <c r="B256" s="10" t="s">
        <v>2649</v>
      </c>
      <c r="C256" s="13">
        <f t="shared" si="5" ref="C256:C257">HYPERLINK("http://sequoiacap.com","sequoiacap.com")</f>
      </c>
      <c r="D256" s="10" t="s">
        <v>1984</v>
      </c>
      <c r="E256" s="10" t="s">
        <v>2390</v>
      </c>
      <c r="F256" s="10" t="s">
        <v>2650</v>
      </c>
      <c r="G256" s="10" t="s">
        <v>2036</v>
      </c>
      <c r="H256" s="10" t="s">
        <v>2010</v>
      </c>
      <c r="I256" s="9">
        <v>7</v>
      </c>
      <c r="J256" s="9">
        <v>21</v>
      </c>
      <c r="K256" s="9">
        <v>13</v>
      </c>
      <c r="L256" s="11" t="s">
        <v>1351</v>
      </c>
      <c r="M256" s="10" t="s">
        <v>2651</v>
      </c>
      <c r="N256" s="10" t="s">
        <v>422</v>
      </c>
      <c r="O256" s="10" t="s">
        <v>423</v>
      </c>
      <c r="P256" s="10" t="s">
        <v>424</v>
      </c>
      <c r="Q256" s="10" t="s">
        <v>425</v>
      </c>
      <c r="R256" s="10" t="s">
        <v>42</v>
      </c>
      <c r="S256" s="11" t="s">
        <v>2012</v>
      </c>
      <c r="T256" s="10" t="s">
        <v>44</v>
      </c>
      <c r="U256" s="11" t="s">
        <v>2013</v>
      </c>
      <c r="V256" s="10" t="s">
        <v>2652</v>
      </c>
      <c r="W256" s="13">
        <f>HYPERLINK("https://my.pitchbook.com?p=194221-81P","View People Online")</f>
      </c>
    </row>
    <row r="257">
      <c r="A257" s="14" t="s">
        <v>2653</v>
      </c>
      <c r="B257" s="14" t="s">
        <v>2654</v>
      </c>
      <c r="C257" s="12">
        <f t="shared" si="5"/>
      </c>
      <c r="D257" s="14" t="s">
        <v>1984</v>
      </c>
      <c r="E257" s="14" t="s">
        <v>2655</v>
      </c>
      <c r="F257" s="14" t="s">
        <v>2656</v>
      </c>
      <c r="G257" s="14" t="s">
        <v>2657</v>
      </c>
      <c r="H257" s="14" t="s">
        <v>2010</v>
      </c>
      <c r="I257" s="16">
        <v>5</v>
      </c>
      <c r="J257" s="16">
        <v>26</v>
      </c>
      <c r="K257" s="16">
        <v>18</v>
      </c>
      <c r="L257" s="15" t="s">
        <v>1351</v>
      </c>
      <c r="M257" s="14" t="s">
        <v>2658</v>
      </c>
      <c r="N257" s="14" t="s">
        <v>422</v>
      </c>
      <c r="O257" s="14" t="s">
        <v>423</v>
      </c>
      <c r="P257" s="14" t="s">
        <v>424</v>
      </c>
      <c r="Q257" s="14" t="s">
        <v>425</v>
      </c>
      <c r="R257" s="14" t="s">
        <v>42</v>
      </c>
      <c r="S257" s="15" t="s">
        <v>2012</v>
      </c>
      <c r="T257" s="14" t="s">
        <v>44</v>
      </c>
      <c r="U257" s="15" t="s">
        <v>2013</v>
      </c>
      <c r="V257" s="14" t="s">
        <v>2659</v>
      </c>
      <c r="W257" s="12">
        <f>HYPERLINK("https://my.pitchbook.com?p=125610-85P","View People Online")</f>
      </c>
    </row>
    <row r="258">
      <c r="A258" s="10" t="s">
        <v>2660</v>
      </c>
      <c r="B258" s="10" t="s">
        <v>2661</v>
      </c>
      <c r="C258" s="13">
        <f>HYPERLINK("http://www.lsvp.com","www.lsvp.com")</f>
      </c>
      <c r="D258" s="10" t="s">
        <v>1984</v>
      </c>
      <c r="E258" s="10" t="s">
        <v>2662</v>
      </c>
      <c r="F258" s="10" t="s">
        <v>2663</v>
      </c>
      <c r="G258" s="10" t="s">
        <v>268</v>
      </c>
      <c r="H258" s="10" t="s">
        <v>2664</v>
      </c>
      <c r="I258" s="9">
        <v>5</v>
      </c>
      <c r="J258" s="9">
        <v>27</v>
      </c>
      <c r="K258" s="9">
        <v>17</v>
      </c>
      <c r="L258" s="11" t="s">
        <v>2665</v>
      </c>
      <c r="M258" s="10" t="s">
        <v>2666</v>
      </c>
      <c r="N258" s="10" t="s">
        <v>2244</v>
      </c>
      <c r="O258" s="10" t="s">
        <v>2667</v>
      </c>
      <c r="P258" s="10" t="s">
        <v>2668</v>
      </c>
      <c r="Q258" s="10" t="s">
        <v>2247</v>
      </c>
      <c r="R258" s="10" t="s">
        <v>33</v>
      </c>
      <c r="S258" s="11" t="s">
        <v>2669</v>
      </c>
      <c r="T258" s="10" t="s">
        <v>1797</v>
      </c>
      <c r="U258" s="11" t="s">
        <v>33</v>
      </c>
      <c r="V258" s="10" t="s">
        <v>2670</v>
      </c>
      <c r="W258" s="13">
        <f>HYPERLINK("https://my.pitchbook.com?p=58627-72P","View People Online")</f>
      </c>
    </row>
    <row r="259">
      <c r="A259" s="14" t="s">
        <v>2671</v>
      </c>
      <c r="B259" s="14" t="s">
        <v>2672</v>
      </c>
      <c r="C259" s="12">
        <f>HYPERLINK("http://www.peakxv.com","www.peakxv.com")</f>
      </c>
      <c r="D259" s="14" t="s">
        <v>1984</v>
      </c>
      <c r="E259" s="14" t="s">
        <v>2673</v>
      </c>
      <c r="F259" s="14" t="s">
        <v>2674</v>
      </c>
      <c r="G259" s="14" t="s">
        <v>1998</v>
      </c>
      <c r="H259" s="14" t="s">
        <v>1999</v>
      </c>
      <c r="I259" s="16">
        <v>3</v>
      </c>
      <c r="J259" s="16">
        <v>14</v>
      </c>
      <c r="K259" s="16">
        <v>9</v>
      </c>
      <c r="L259" s="15" t="s">
        <v>33</v>
      </c>
      <c r="M259" s="14" t="s">
        <v>2675</v>
      </c>
      <c r="N259" s="14" t="s">
        <v>133</v>
      </c>
      <c r="O259" s="14" t="s">
        <v>2044</v>
      </c>
      <c r="P259" s="14" t="s">
        <v>2045</v>
      </c>
      <c r="Q259" s="14" t="s">
        <v>136</v>
      </c>
      <c r="R259" s="14" t="s">
        <v>113</v>
      </c>
      <c r="S259" s="15" t="s">
        <v>1134</v>
      </c>
      <c r="T259" s="14" t="s">
        <v>115</v>
      </c>
      <c r="U259" s="15" t="s">
        <v>33</v>
      </c>
      <c r="V259" s="14" t="s">
        <v>2676</v>
      </c>
      <c r="W259" s="12">
        <f>HYPERLINK("https://my.pitchbook.com?p=58695-31P","View People Online")</f>
      </c>
    </row>
    <row r="260">
      <c r="A260" s="10" t="s">
        <v>2677</v>
      </c>
      <c r="B260" s="10" t="s">
        <v>2678</v>
      </c>
      <c r="C260" s="13">
        <f>HYPERLINK("http://www.pivotnorth.com","www.pivotnorth.com")</f>
      </c>
      <c r="D260" s="10" t="s">
        <v>1984</v>
      </c>
      <c r="E260" s="10" t="s">
        <v>924</v>
      </c>
      <c r="F260" s="10" t="s">
        <v>1540</v>
      </c>
      <c r="G260" s="10" t="s">
        <v>579</v>
      </c>
      <c r="H260" s="10" t="s">
        <v>2679</v>
      </c>
      <c r="I260" s="9">
        <v>14</v>
      </c>
      <c r="J260" s="9">
        <v>96</v>
      </c>
      <c r="K260" s="9">
        <v>69</v>
      </c>
      <c r="L260" s="11" t="s">
        <v>2680</v>
      </c>
      <c r="M260" s="10" t="s">
        <v>2681</v>
      </c>
      <c r="N260" s="10" t="s">
        <v>2682</v>
      </c>
      <c r="O260" s="10" t="s">
        <v>2683</v>
      </c>
      <c r="P260" s="10" t="s">
        <v>33</v>
      </c>
      <c r="Q260" s="10" t="s">
        <v>2684</v>
      </c>
      <c r="R260" s="10" t="s">
        <v>42</v>
      </c>
      <c r="S260" s="11" t="s">
        <v>2685</v>
      </c>
      <c r="T260" s="10" t="s">
        <v>44</v>
      </c>
      <c r="U260" s="11" t="s">
        <v>2680</v>
      </c>
      <c r="V260" s="10" t="s">
        <v>2686</v>
      </c>
      <c r="W260" s="13">
        <f>HYPERLINK("https://my.pitchbook.com?p=14085-73P","View People Online")</f>
      </c>
    </row>
    <row r="261">
      <c r="A261" s="14" t="s">
        <v>2687</v>
      </c>
      <c r="B261" s="14" t="s">
        <v>2688</v>
      </c>
      <c r="C261" s="12">
        <f>HYPERLINK("http://www.a91partners.com","www.a91partners.com")</f>
      </c>
      <c r="D261" s="14" t="s">
        <v>1984</v>
      </c>
      <c r="E261" s="14" t="s">
        <v>2689</v>
      </c>
      <c r="F261" s="14" t="s">
        <v>2690</v>
      </c>
      <c r="G261" s="14" t="s">
        <v>716</v>
      </c>
      <c r="H261" s="14" t="s">
        <v>1987</v>
      </c>
      <c r="I261" s="16">
        <v>5</v>
      </c>
      <c r="J261" s="16">
        <v>12</v>
      </c>
      <c r="K261" s="16">
        <v>4</v>
      </c>
      <c r="L261" s="15" t="s">
        <v>2691</v>
      </c>
      <c r="M261" s="14" t="s">
        <v>2692</v>
      </c>
      <c r="N261" s="14" t="s">
        <v>1330</v>
      </c>
      <c r="O261" s="14" t="s">
        <v>1990</v>
      </c>
      <c r="P261" s="14" t="s">
        <v>1991</v>
      </c>
      <c r="Q261" s="14" t="s">
        <v>1333</v>
      </c>
      <c r="R261" s="14" t="s">
        <v>1334</v>
      </c>
      <c r="S261" s="15" t="s">
        <v>1992</v>
      </c>
      <c r="T261" s="14" t="s">
        <v>115</v>
      </c>
      <c r="U261" s="15" t="s">
        <v>33</v>
      </c>
      <c r="V261" s="14" t="s">
        <v>2693</v>
      </c>
      <c r="W261" s="12">
        <f>HYPERLINK("https://my.pitchbook.com?p=36563-14P","View People Online")</f>
      </c>
    </row>
    <row r="262">
      <c r="A262" s="10" t="s">
        <v>2694</v>
      </c>
      <c r="B262" s="10" t="s">
        <v>2695</v>
      </c>
      <c r="C262" s="10" t="s">
        <v>33</v>
      </c>
      <c r="D262" s="10" t="s">
        <v>1984</v>
      </c>
      <c r="E262" s="10" t="s">
        <v>2696</v>
      </c>
      <c r="F262" s="10" t="s">
        <v>2697</v>
      </c>
      <c r="G262" s="10" t="s">
        <v>268</v>
      </c>
      <c r="H262" s="10" t="s">
        <v>2698</v>
      </c>
      <c r="I262" s="9">
        <v>1</v>
      </c>
      <c r="J262" s="9">
        <v>12</v>
      </c>
      <c r="K262" s="9">
        <v>5</v>
      </c>
      <c r="L262" s="11" t="s">
        <v>2699</v>
      </c>
      <c r="M262" s="10" t="s">
        <v>2700</v>
      </c>
      <c r="N262" s="10" t="s">
        <v>286</v>
      </c>
      <c r="O262" s="10" t="s">
        <v>2701</v>
      </c>
      <c r="P262" s="10" t="s">
        <v>584</v>
      </c>
      <c r="Q262" s="10" t="s">
        <v>288</v>
      </c>
      <c r="R262" s="10" t="s">
        <v>42</v>
      </c>
      <c r="S262" s="11" t="s">
        <v>289</v>
      </c>
      <c r="T262" s="10" t="s">
        <v>44</v>
      </c>
      <c r="U262" s="11" t="s">
        <v>33</v>
      </c>
      <c r="V262" s="10" t="s">
        <v>2702</v>
      </c>
      <c r="W262" s="13">
        <f>HYPERLINK("https://my.pitchbook.com?p=220097-98P","View People Online")</f>
      </c>
    </row>
    <row r="263">
      <c r="A263" s="14" t="s">
        <v>2703</v>
      </c>
      <c r="B263" s="14" t="s">
        <v>2704</v>
      </c>
      <c r="C263" s="12">
        <f>HYPERLINK("http://sequoiacap.com","sequoiacap.com")</f>
      </c>
      <c r="D263" s="14" t="s">
        <v>1984</v>
      </c>
      <c r="E263" s="14" t="s">
        <v>2705</v>
      </c>
      <c r="F263" s="14" t="s">
        <v>120</v>
      </c>
      <c r="G263" s="14" t="s">
        <v>2009</v>
      </c>
      <c r="H263" s="14" t="s">
        <v>2010</v>
      </c>
      <c r="I263" s="16">
        <v>6</v>
      </c>
      <c r="J263" s="16">
        <v>71</v>
      </c>
      <c r="K263" s="16">
        <v>48</v>
      </c>
      <c r="L263" s="15" t="s">
        <v>1351</v>
      </c>
      <c r="M263" s="14" t="s">
        <v>2706</v>
      </c>
      <c r="N263" s="14" t="s">
        <v>422</v>
      </c>
      <c r="O263" s="14" t="s">
        <v>423</v>
      </c>
      <c r="P263" s="14" t="s">
        <v>424</v>
      </c>
      <c r="Q263" s="14" t="s">
        <v>425</v>
      </c>
      <c r="R263" s="14" t="s">
        <v>42</v>
      </c>
      <c r="S263" s="15" t="s">
        <v>2012</v>
      </c>
      <c r="T263" s="14" t="s">
        <v>44</v>
      </c>
      <c r="U263" s="15" t="s">
        <v>2013</v>
      </c>
      <c r="V263" s="14" t="s">
        <v>2707</v>
      </c>
      <c r="W263" s="12">
        <f>HYPERLINK("https://my.pitchbook.com?p=348094-90P","View People Online")</f>
      </c>
    </row>
    <row r="264">
      <c r="A264" s="10" t="s">
        <v>2708</v>
      </c>
      <c r="B264" s="10" t="s">
        <v>2709</v>
      </c>
      <c r="C264" s="13">
        <f>HYPERLINK("http://www.nextfrontiercapital.com","www.nextfrontiercapital.com")</f>
      </c>
      <c r="D264" s="10" t="s">
        <v>1984</v>
      </c>
      <c r="E264" s="10" t="s">
        <v>2710</v>
      </c>
      <c r="F264" s="10" t="s">
        <v>120</v>
      </c>
      <c r="G264" s="10" t="s">
        <v>50</v>
      </c>
      <c r="H264" s="10" t="s">
        <v>2711</v>
      </c>
      <c r="I264" s="9">
        <v>6</v>
      </c>
      <c r="J264" s="9">
        <v>49</v>
      </c>
      <c r="K264" s="9">
        <v>38</v>
      </c>
      <c r="L264" s="11" t="s">
        <v>2712</v>
      </c>
      <c r="M264" s="10" t="s">
        <v>2713</v>
      </c>
      <c r="N264" s="10" t="s">
        <v>2714</v>
      </c>
      <c r="O264" s="10" t="s">
        <v>2715</v>
      </c>
      <c r="P264" s="10" t="s">
        <v>2404</v>
      </c>
      <c r="Q264" s="10" t="s">
        <v>2716</v>
      </c>
      <c r="R264" s="10" t="s">
        <v>2406</v>
      </c>
      <c r="S264" s="11" t="s">
        <v>2717</v>
      </c>
      <c r="T264" s="10" t="s">
        <v>44</v>
      </c>
      <c r="U264" s="11" t="s">
        <v>2718</v>
      </c>
      <c r="V264" s="10" t="s">
        <v>2719</v>
      </c>
      <c r="W264" s="13">
        <f>HYPERLINK("https://my.pitchbook.com?p=35749-99P","View People Online")</f>
      </c>
    </row>
    <row r="265">
      <c r="A265" s="14" t="s">
        <v>2720</v>
      </c>
      <c r="B265" s="14" t="s">
        <v>2721</v>
      </c>
      <c r="C265" s="12">
        <f>HYPERLINK("http://www.insignia.vc","www.insignia.vc")</f>
      </c>
      <c r="D265" s="14" t="s">
        <v>1984</v>
      </c>
      <c r="E265" s="14" t="s">
        <v>2722</v>
      </c>
      <c r="F265" s="14" t="s">
        <v>2723</v>
      </c>
      <c r="G265" s="14" t="s">
        <v>2428</v>
      </c>
      <c r="H265" s="14" t="s">
        <v>2724</v>
      </c>
      <c r="I265" s="16">
        <v>10</v>
      </c>
      <c r="J265" s="16">
        <v>49</v>
      </c>
      <c r="K265" s="16">
        <v>35</v>
      </c>
      <c r="L265" s="15" t="s">
        <v>2725</v>
      </c>
      <c r="M265" s="14" t="s">
        <v>2726</v>
      </c>
      <c r="N265" s="14" t="s">
        <v>53</v>
      </c>
      <c r="O265" s="14" t="s">
        <v>2727</v>
      </c>
      <c r="P265" s="14" t="s">
        <v>2728</v>
      </c>
      <c r="Q265" s="14" t="s">
        <v>56</v>
      </c>
      <c r="R265" s="14" t="s">
        <v>33</v>
      </c>
      <c r="S265" s="15" t="s">
        <v>2729</v>
      </c>
      <c r="T265" s="14" t="s">
        <v>56</v>
      </c>
      <c r="U265" s="15" t="s">
        <v>33</v>
      </c>
      <c r="V265" s="14" t="s">
        <v>2730</v>
      </c>
      <c r="W265" s="12">
        <f>HYPERLINK("https://my.pitchbook.com?p=42415-39P","View People Online")</f>
      </c>
    </row>
    <row r="266">
      <c r="A266" s="10" t="s">
        <v>2731</v>
      </c>
      <c r="B266" s="10" t="s">
        <v>1907</v>
      </c>
      <c r="C266" s="13">
        <f>HYPERLINK("http://sequoiacap.com","sequoiacap.com")</f>
      </c>
      <c r="D266" s="10" t="s">
        <v>1984</v>
      </c>
      <c r="E266" s="10" t="s">
        <v>1908</v>
      </c>
      <c r="F266" s="10" t="s">
        <v>1909</v>
      </c>
      <c r="G266" s="10" t="s">
        <v>268</v>
      </c>
      <c r="H266" s="10" t="s">
        <v>2010</v>
      </c>
      <c r="I266" s="9">
        <v>3</v>
      </c>
      <c r="J266" s="9">
        <v>13</v>
      </c>
      <c r="K266" s="9">
        <v>7</v>
      </c>
      <c r="L266" s="11" t="s">
        <v>1351</v>
      </c>
      <c r="M266" s="10" t="s">
        <v>2732</v>
      </c>
      <c r="N266" s="10" t="s">
        <v>422</v>
      </c>
      <c r="O266" s="10" t="s">
        <v>423</v>
      </c>
      <c r="P266" s="10" t="s">
        <v>424</v>
      </c>
      <c r="Q266" s="10" t="s">
        <v>425</v>
      </c>
      <c r="R266" s="10" t="s">
        <v>42</v>
      </c>
      <c r="S266" s="11" t="s">
        <v>2012</v>
      </c>
      <c r="T266" s="10" t="s">
        <v>44</v>
      </c>
      <c r="U266" s="11" t="s">
        <v>2013</v>
      </c>
      <c r="V266" s="10" t="s">
        <v>2733</v>
      </c>
      <c r="W266" s="13">
        <f>HYPERLINK("https://my.pitchbook.com?p=46398-52P","View People Online")</f>
      </c>
    </row>
    <row r="267">
      <c r="A267" s="14" t="s">
        <v>2734</v>
      </c>
      <c r="B267" s="14" t="s">
        <v>2735</v>
      </c>
      <c r="C267" s="12">
        <f>HYPERLINK("http://www.hsgcap.com","www.hsgcap.com")</f>
      </c>
      <c r="D267" s="14" t="s">
        <v>1984</v>
      </c>
      <c r="E267" s="14" t="s">
        <v>2736</v>
      </c>
      <c r="F267" s="14" t="s">
        <v>2737</v>
      </c>
      <c r="G267" s="14" t="s">
        <v>268</v>
      </c>
      <c r="H267" s="14" t="s">
        <v>2738</v>
      </c>
      <c r="I267" s="16">
        <v>2</v>
      </c>
      <c r="J267" s="16">
        <v>17</v>
      </c>
      <c r="K267" s="16">
        <v>13</v>
      </c>
      <c r="L267" s="15" t="s">
        <v>2739</v>
      </c>
      <c r="M267" s="14" t="s">
        <v>33</v>
      </c>
      <c r="N267" s="14" t="s">
        <v>797</v>
      </c>
      <c r="O267" s="14" t="s">
        <v>2740</v>
      </c>
      <c r="P267" s="14" t="s">
        <v>2741</v>
      </c>
      <c r="Q267" s="14" t="s">
        <v>800</v>
      </c>
      <c r="R267" s="14" t="s">
        <v>801</v>
      </c>
      <c r="S267" s="15" t="s">
        <v>2742</v>
      </c>
      <c r="T267" s="14" t="s">
        <v>180</v>
      </c>
      <c r="U267" s="15" t="s">
        <v>33</v>
      </c>
      <c r="V267" s="14" t="s">
        <v>2743</v>
      </c>
      <c r="W267" s="12">
        <f>HYPERLINK("https://my.pitchbook.com?p=36561-43P","View People Online")</f>
      </c>
    </row>
    <row r="268">
      <c r="A268" s="10" t="s">
        <v>2744</v>
      </c>
      <c r="B268" s="10" t="s">
        <v>2745</v>
      </c>
      <c r="C268" s="13">
        <f>HYPERLINK("http://www.qimingvc.com","www.qimingvc.com")</f>
      </c>
      <c r="D268" s="10" t="s">
        <v>1984</v>
      </c>
      <c r="E268" s="10" t="s">
        <v>2333</v>
      </c>
      <c r="F268" s="10" t="s">
        <v>2746</v>
      </c>
      <c r="G268" s="10" t="s">
        <v>544</v>
      </c>
      <c r="H268" s="10" t="s">
        <v>2323</v>
      </c>
      <c r="I268" s="9">
        <v>14</v>
      </c>
      <c r="J268" s="9">
        <v>50</v>
      </c>
      <c r="K268" s="9">
        <v>26</v>
      </c>
      <c r="L268" s="11" t="s">
        <v>2747</v>
      </c>
      <c r="M268" s="10" t="s">
        <v>2748</v>
      </c>
      <c r="N268" s="10" t="s">
        <v>1805</v>
      </c>
      <c r="O268" s="10" t="s">
        <v>2749</v>
      </c>
      <c r="P268" s="10" t="s">
        <v>2750</v>
      </c>
      <c r="Q268" s="10" t="s">
        <v>1808</v>
      </c>
      <c r="R268" s="10" t="s">
        <v>33</v>
      </c>
      <c r="S268" s="11" t="s">
        <v>2751</v>
      </c>
      <c r="T268" s="10" t="s">
        <v>1785</v>
      </c>
      <c r="U268" s="11" t="s">
        <v>2752</v>
      </c>
      <c r="V268" s="10" t="s">
        <v>2753</v>
      </c>
      <c r="W268" s="13">
        <f>HYPERLINK("https://my.pitchbook.com?p=56719-09P","View People Online")</f>
      </c>
    </row>
    <row r="269">
      <c r="A269" s="14" t="s">
        <v>2754</v>
      </c>
      <c r="B269" s="14" t="s">
        <v>2755</v>
      </c>
      <c r="C269" s="12">
        <f>HYPERLINK("http://www.360.one","www.360.one")</f>
      </c>
      <c r="D269" s="14" t="s">
        <v>2756</v>
      </c>
      <c r="E269" s="14" t="s">
        <v>1472</v>
      </c>
      <c r="F269" s="14" t="s">
        <v>2757</v>
      </c>
      <c r="G269" s="14" t="s">
        <v>1823</v>
      </c>
      <c r="H269" s="14" t="s">
        <v>2758</v>
      </c>
      <c r="I269" s="16">
        <v>5</v>
      </c>
      <c r="J269" s="16">
        <v>6</v>
      </c>
      <c r="K269" s="16">
        <v>1</v>
      </c>
      <c r="L269" s="15" t="s">
        <v>2759</v>
      </c>
      <c r="M269" s="14" t="s">
        <v>33</v>
      </c>
      <c r="N269" s="14" t="s">
        <v>1330</v>
      </c>
      <c r="O269" s="14" t="s">
        <v>2760</v>
      </c>
      <c r="P269" s="14" t="s">
        <v>2761</v>
      </c>
      <c r="Q269" s="14" t="s">
        <v>1333</v>
      </c>
      <c r="R269" s="14" t="s">
        <v>1334</v>
      </c>
      <c r="S269" s="15" t="s">
        <v>1335</v>
      </c>
      <c r="T269" s="14" t="s">
        <v>115</v>
      </c>
      <c r="U269" s="15" t="s">
        <v>33</v>
      </c>
      <c r="V269" s="14" t="s">
        <v>2762</v>
      </c>
      <c r="W269" s="12">
        <f>HYPERLINK("https://my.pitchbook.com?p=261008-74P","View People Online")</f>
      </c>
    </row>
    <row r="271">
      <c r="A271" s="17" t="s">
        <v>2763</v>
      </c>
    </row>
  </sheetData>
  <mergeCells count="1">
    <mergeCell ref="B6:D6"/>
  </mergeCells>
  <hyperlinks>
    <hyperlink ref="B5" r:id="rId1" display="https://my.pitchbook.com/?pcc=1218627-2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18" t="s">
        <v>2764</v>
      </c>
    </row>
    <row r="3">
      <c r="A3" s="19" t="s">
        <v>2765</v>
      </c>
    </row>
    <row r="4">
      <c r="A4" s="21" t="s">
        <v>2766</v>
      </c>
    </row>
    <row r="6">
      <c r="A6" s="19" t="s">
        <v>2767</v>
      </c>
      <c r="C6" s="21" t="s">
        <v>2768</v>
      </c>
      <c r="E6" s="19" t="s">
        <v>2769</v>
      </c>
    </row>
    <row r="8">
      <c r="A8" s="19" t="s">
        <v>2770</v>
      </c>
    </row>
    <row r="9">
      <c r="A9" s="22" t="s">
        <v>2771</v>
      </c>
      <c r="B9" s="19" t="s">
        <v>2772</v>
      </c>
    </row>
    <row r="10">
      <c r="A10" s="22" t="s">
        <v>2773</v>
      </c>
      <c r="B10" s="19" t="s">
        <v>2774</v>
      </c>
    </row>
    <row r="11">
      <c r="A11" s="22" t="s">
        <v>2775</v>
      </c>
      <c r="B11" s="19" t="s">
        <v>2776</v>
      </c>
    </row>
    <row r="13">
      <c r="A13" s="19" t="s">
        <v>2777</v>
      </c>
      <c r="B13" s="21" t="s">
        <v>2766</v>
      </c>
    </row>
    <row r="15">
      <c r="A15" s="17" t="s">
        <v>2763</v>
      </c>
    </row>
  </sheetData>
  <sheetProtection algorithmName="SHA-512" hashValue="TlrTmB/22LanPFb7nkj4iXdszARYH+p/zuhsth/Ki24TO4pgwbrXhXVMo+uCu3vQlbedT8qlmlepbevWKYZ7mg==" saltValue="hDMeeX7apAtHsUHsymfgVA=="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