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defaultThemeVersion="166925"/>
  <workbookProtection/>
  <bookViews>
    <workbookView xWindow="0" yWindow="0" windowWidth="14370" windowHeight="9585" tabRatio="500"/>
  </bookViews>
  <sheets>
    <sheet name="Data" sheetId="2" r:id="rId1"/>
    <sheet name="Sheet2" sheetId="3" state="veryHidden" r:id="rId2"/>
    <sheet name="Disclaimer" sheetId="4" r:id="rId3"/>
  </sheets>
  <calcPr calcId="0"/>
</workbook>
</file>

<file path=xl/sharedStrings.xml><?xml version="1.0" encoding="utf-8"?>
<sst xmlns="http://schemas.openxmlformats.org/spreadsheetml/2006/main" count="10221" uniqueCount="10221">
  <si>
    <t>Downloaded on:</t>
  </si>
  <si>
    <t>Created for:</t>
  </si>
  <si>
    <t>Safa Amirbayat, M&amp;G Investments</t>
  </si>
  <si>
    <t>Search Link:</t>
  </si>
  <si>
    <t>https://my.pitchbook.com/?pcc=1234047-16</t>
  </si>
  <si>
    <t>Search Criteria:</t>
  </si>
  <si>
    <t xml:space="preserve">Biography: “Private Office of Sheikh Saeed bin Ahmed Al Maktoum” OR “Seed Group” OR “Hisham Al Gurg” OR “Private Office of Sheikh Ahmed Dalmook Al Maktoum” OR “Sheikh Ahmed Dalmook Al Maktoum” OR “Private Office of Sheikh Ahmed Bin Faisal Al Qassimi” OR “Royal Office of Sheikh Ahmed Bin Faisal Al Qassimi” OR “AHQ Group” OR “Private Office of Sheikh Juma Bin Maktoum Juma Al Maktoum” OR “Private Office of Sheikh Mohamed Bin Ahmed Bin Hamdan Al Nahyan” OR “Private Office of Sheikh Abdulaziz bin Duaij bin Khalifa Al Khalifa” OR “Zabeel Investments” OR “Zabeel Capital” OR “Faisal Rashed Bujesaim” OR “Shamal Holding” OR “Shamal” OR “Abdulla Binhabtoor” OR “Qatar Luxury Group” OR “QLG” OR “Qatar Foundation” OR “Sheikha Moza bint Nasser” OR “Guinevere Enterprises Ltd” OR “Sansa Suisse SA” OR “Victoria Loraine” OR “Du​chy of Lancaster” OR “Privy Purse” OR “Keeper of the Privy Purse” OR “Sir Michael Stevens” OR “James Chalmers” OR “Duchy of Cornwall” OR “Prince of Wales” OR “Prince William” OR “Duchy Council” OR “Alastair Martin” OR “Will Bax” OR “LGT Group” OR “LGT Bank” OR “Princely House of Liechtenstein” OR “Prince Hans Adam II” OR “Prince Hans-Adam II” OR “Prince Alois of Liechtenstein” OR “Prince Maximilian of Liechtenstein” OR “Prince Max of Liechtenstein” OR “The Liechtenstein Group” OR “Johannes Meran” OR “Tatjana Lattorff” OR “Al Mada” OR “SNI” OR “SIGER” OR “King Mohammed VI” OR “Mounir Majidi” OR “Hassan Ouriagli”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Hamad bin Abdullah Al Thani” OR “Sheikh Joaan bin Hamad Al Thani” OR “Mohammed Al Kubaisi” OR “Royal Group” OR “Sheikh Tahnoun bin Zayed” OR “Mohamed Al Suwaidi” OR “International Holding Company” OR “IHC” OR “Syed Basar Shueb” OR “Hamad Abdulla Al Shamsi” OR “Chimera Investment” OR “Seif Fikry” OR “Lunate” OR “G42” OR “Peng Xiao” OR “Abu Dhabi United Group” OR “ADUG” OR “Sheikh Mansour bin Zayed” OR “Khaldoon Al Mubarak” OR “Zabeel Investments” OR “Zabeel Capital” OR “Sheikh Hamdan bin Mohammed” OR “Faisal Rashed Bujesaim” OR “Shamal Holding” OR “Abdulla Binhabtoor” OR “Arada” OR “Sheikh Sultan bin Ahmed Al Qasimi” OR “Ahmed Alkhoshaibi” OR “Ajman Holding” OR “Sheikh Ammar bin Humaid Al Nuaimi” OR “Privy Purse Bureau” OR “Crown Property Bureau” OR “King Maha Vajiralongkorn” OR “Satitpong Sukvimol” OR “Tibiyo Taka Ngwane” OR “King Mswati III” OR “Absalom Themba Dlamini” OR “Guinevere Enterprises Ltd” OR “Sansa Suisse SA” OR “Victoria Loraine” OR “Capital Investment International” OR “Loomington Investments Ltd” OR “WestShore Finance Limited” OR “Desroches Island Ltd” OR “Desroches Island Holdings Ltd” OR “Duchy of Lancaster” OR “Privy Purse” OR “Keeper of the Privy Purse” OR “James Chalmers” OR “Sir Michael Stevens” OR “Alastair Martin” OR “Sonia Tolaney” OR “Duchy of Cornwall” OR “Prince of Wales” OR “Prince William” OR “Duchy Council” OR “Will Bax” OR “LGT Group” OR “LGT Bank” OR “Princely House of Liechtenstein” OR “Prince Hans Adam II” OR “Prince Hans-Adam II” OR “Prince Alois of Liechtenstein” OR “Prince Maximilian of Liechtenstein” OR “Prince Max of Liechtenstein” OR “The Liechtenstein Group” OR “Johannes Meran” OR “Constantin Liechtenstein” OR “Tatjana Lattorff” OR “Al Mada” OR “SNI” OR “SIGER” OR “King Mohammed VI” OR “Mounir Majidi” OR “Hassan Ouriagli”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Abdullah bin Khalifa Al Thani” OR “Sheikh Hamad bin Abdullah Al Thani” OR “Mohammed Al Kubaisi” OR “Royal Group” OR “Sheikh Tahnoun bin Zayed” OR “International Holding Company” OR “IHC” OR “Syed Basar Shueb” OR “Hamad Abdulla Al Shamsi” OR “Chimera Investment” OR “Seif Fikry” OR “Lunate” OR “G42” OR “Peng Xiao” OR “Abu Dhabi United Group” OR “ADUG” OR “Sheikh Mansour bin Zayed” OR “Khaldoon Al Mubarak” OR “Shamal Holding” OR “Abdulla Binhabtoor” OR “Arada” OR “Sheikh Sultan bin Ahmed Al Qasimi” OR “Ahmed Alkhoshaibi” OR “Ajman Holding” OR “Sheikh Ammar bin Humaid Al Nuaimi” OR “Privy Purse Bureau” OR “Crown Property Bureau” OR “King Maha Vajiralongkorn” OR “Satitpong Sukvimol” OR “Tibiyo Taka Ngwane” OR “King Mswati III” OR “Absalom Themba Dlamini” OR “Guinevere Enterprises Ltd” OR “Sansa Suisse SA” OR “Victoria Loraine” OR “King Abdullah II” OR “Duchy of Lancaster” OR “Privy Purse” OR “Keeper of the Privy Purse” OR “Sir Michael Stevens” OR “Michael Stevens” OR “King Charles III” OR “Duchy of Cornwall” OR “Prince of Wales” OR “Prince William” OR “Duchy Council” OR “Alastair Martin” OR “LGT Group” OR “LGT Bank” OR “LGT Private Banking” OR “Princely House of Liechtenstein” OR “Prince Hans Adam II” OR “Prince Hans-Adam II” OR “Prince Alois of Liechtenstein” OR “Prince Maximilian of Liechtenstein” OR “Prince Max of Liechtenstein” OR “The Liechtenstein Group” OR “Al Mada” OR “SNI” OR “SIGER” OR “King Mohammed VI” OR “Mounir Majidi” OR “Hassan Bouhemou”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Hamad bin Abdullah Al Thani” OR “Sheikh Joaan bin Hamad Al Thani” OR “Royal Group” OR “Sheikh Tahnoun bin Zayed” OR “Mohamed Al Suwaidi” OR “International Holding Company” OR “IHC” OR “Syed Basar Shueb” OR “Hamad Abdulla Al Shamsi” OR “Chimera Investment” OR “Seif Fikry” OR “Lunate” OR “G42” OR “Peng Xiao” OR “Abu Dhabi United Group” OR “ADUG” OR “Sheikh Mansour bin Zayed” OR “Khaldoon Al Mubarak” OR “Arada” OR “Sheikh Sultan bin Ahmed Al Qasimi” OR “Prince Khaled bin Alwaleed” OR “Ahmed Alkhoshaibi” OR “Ajman Holding” OR “Sheikh Ammar bin Humaid Al Nuaimi” OR “Privy Purse Bureau” OR “Crown Property Bureau” OR “King Maha Vajiralongkorn” OR “Satitpong Sukvimol” OR “Tibiyo Taka Ngwane” OR “King Mswati III” OR “Themba Dlamini” OR “Shamal Holding” OR “Abdulla Binhabtoor”; Include Former Positions; Include Active Positions; </t>
  </si>
  <si>
    <t>Search Result Columns</t>
  </si>
  <si>
    <t>Person ID</t>
  </si>
  <si>
    <t>People</t>
  </si>
  <si>
    <t>Asset Class</t>
  </si>
  <si>
    <t>Primary Company</t>
  </si>
  <si>
    <t>Primary Company Type</t>
  </si>
  <si>
    <t>Last Name</t>
  </si>
  <si>
    <t>First Name</t>
  </si>
  <si>
    <t>Primary Company Website</t>
  </si>
  <si>
    <t>Primary Position</t>
  </si>
  <si>
    <t>Board Seats</t>
  </si>
  <si>
    <t>Roles</t>
  </si>
  <si>
    <t>Deal Roles</t>
  </si>
  <si>
    <t>Phone</t>
  </si>
  <si>
    <t>Email</t>
  </si>
  <si>
    <t>Location</t>
  </si>
  <si>
    <t>Address Line 1</t>
  </si>
  <si>
    <t>Address Line 2</t>
  </si>
  <si>
    <t>City</t>
  </si>
  <si>
    <t>State/Province</t>
  </si>
  <si>
    <t>Post Code</t>
  </si>
  <si>
    <t>Country/Territory/Region</t>
  </si>
  <si>
    <t>Fax</t>
  </si>
  <si>
    <t>Biography</t>
  </si>
  <si>
    <t>View People Online</t>
  </si>
  <si>
    <t>208814-86P</t>
  </si>
  <si>
    <t>Saj Huq</t>
  </si>
  <si>
    <t/>
  </si>
  <si>
    <t>Plexal</t>
  </si>
  <si>
    <t>Accelerator/Incubator</t>
  </si>
  <si>
    <t>Huq</t>
  </si>
  <si>
    <t>Saj</t>
  </si>
  <si>
    <t>www.plexal.com</t>
  </si>
  <si>
    <t>Chief Commercial Officer</t>
  </si>
  <si>
    <t>+44 (0)20 3909 7763</t>
  </si>
  <si>
    <t>saj@plexal.com</t>
  </si>
  <si>
    <t>London, United Kingdom</t>
  </si>
  <si>
    <t>Queen Elizabeth Olympic Park, The Press Centre</t>
  </si>
  <si>
    <t>Here East 14 East Bay Lane</t>
  </si>
  <si>
    <t>London</t>
  </si>
  <si>
    <t>England</t>
  </si>
  <si>
    <t>E15 2GW</t>
  </si>
  <si>
    <t>United Kingdom</t>
  </si>
  <si>
    <t>Mr. Saj Huq serves as Chief Commercial Officer at Plexal. He served as Chief Commercial Officer at the London Office for Rapid Cybersecurity Advancement. He leads Plexal's Innovation team and specializes in building collaborative ecosystems between startups, government, industry, and academia to solve strategic challenges. He has extensive experience working with startups at the intersection of national security and emerging technologies, and leading high-profile global initiatives, including LORCA and the NCSC Innovation Partnership. He is a member of HMG's National Cyber Advisory Board, chaired by the Chancellor of the Duchy of Lancaster, and his previous roles include an eclectic mix of consulting, startup, and military experience.</t>
  </si>
  <si>
    <t>177244-12P</t>
  </si>
  <si>
    <t>Sheikha Mozah</t>
  </si>
  <si>
    <t>WISE (Doha)</t>
  </si>
  <si>
    <t>Mozah</t>
  </si>
  <si>
    <t>Sheikha</t>
  </si>
  <si>
    <t>wise-qatar.org</t>
  </si>
  <si>
    <t>Founder</t>
  </si>
  <si>
    <t>smozah@wise-qatar.org</t>
  </si>
  <si>
    <t>Doha, Qatar</t>
  </si>
  <si>
    <t>ThinkBay, Qatar Foundation - Education City</t>
  </si>
  <si>
    <t>P.O. Box 5825</t>
  </si>
  <si>
    <t>Doha</t>
  </si>
  <si>
    <t>5825</t>
  </si>
  <si>
    <t>Qatar</t>
  </si>
  <si>
    <t>Ms. Sheikha Mozah is the Founder of WISE. Ms. Mozah owned Qatar Luxury Group.</t>
  </si>
  <si>
    <t>83427-58P</t>
  </si>
  <si>
    <t>Vijay Reddy Ph.D</t>
  </si>
  <si>
    <t>SciGenom Labs (Former)</t>
  </si>
  <si>
    <t>Reddy</t>
  </si>
  <si>
    <t>Vijay</t>
  </si>
  <si>
    <t>www.scigenom.com</t>
  </si>
  <si>
    <t>Chief Scientific Officer, Agricultural Genomics</t>
  </si>
  <si>
    <t>Dr. Vijay Reddy served as Chief Scientific Officer, Agricultural Genomics at SciGenom Labs. He holds a Doctorate Degree in Rice Functional Genomics from University of Hyderabad. His expertise includes genomics, molecular biology, molecular genetics, bioinformatics and applied aspects of agricultural research for crop improvement. He has worked at various levels with Vibha Seed Group like DGM, General Manager and Sr. General Manager. His contribution includes establishment of various divisions in biotechnology like Molecular Diagnostics, Marker Assisted Selections, Candidate Gene Identification, Gene Cloning, Construct development, Genetic Transformation etc. More than 150 Markers have been established by him, which are being extensively utilized in various breeding programs and more than 30 commercial hybrids were developed using these technologies. He was instrumental in attracting several funding bodies like DBT, USAID in collaboration with CIMMYT, ACPFG, ICRISAT in his earlier organization. He has more than 7 years of experience in Biotechnology. He also serves as the Chief Scientific Officer at AgriGenome, Agricultural Genomics.</t>
  </si>
  <si>
    <t>135614-80P</t>
  </si>
  <si>
    <t>Bert Orlov</t>
  </si>
  <si>
    <t>EisnerAmper</t>
  </si>
  <si>
    <t>Accounting/Auditor</t>
  </si>
  <si>
    <t>Orlov</t>
  </si>
  <si>
    <t>Bert</t>
  </si>
  <si>
    <t>www.eisneramper.com</t>
  </si>
  <si>
    <t>Managing Director, Health Care Consulting Group</t>
  </si>
  <si>
    <t>+1 (212) 324-2297</t>
  </si>
  <si>
    <t>bert.orlov@eisneramper.com</t>
  </si>
  <si>
    <t>New York, NY</t>
  </si>
  <si>
    <t>733 Third Avenue</t>
  </si>
  <si>
    <t>New York</t>
  </si>
  <si>
    <t>10017</t>
  </si>
  <si>
    <t>United States</t>
  </si>
  <si>
    <t>Mr. Bert Orlov serves as Managing Director of, Health Care Consulting Group at EisnerAmper. He has 25 years of experience as a management consultant in the industry. He specializes in strategy, transactions, operations, and project management for physician groups and hospital systems, as well as not-for-profits. He also has experience with ambulatory surgery centers (ASCs) and in evaluating investment opportunities for individuals and firms. Previously, Bert was a Partner in the boutique firm of Integrated Healthcare (IHC). His work at IHC included valuations and deal structuring for acquisitions of radiation therapy and general radiology practices by hospitals; joint venture launches and ASC acquisitions; turn-around efforts for physician groups, hospital physician practices, and nursing homes, as well as community-based not-for-profit primary care; creation of new physician groups in the community; and, development of hospital employment models of physicians. Bert began his career in health care with APM Management Consultants, focusing on strategy for hospitals and academic medical centers and physician-hospital linkages. Thereafter, he was Director of Operations for the Healthcare Business Process Outsourcing, a division of Computer Sciences Corporation (NYSE: CSC). This division served managed care plans with a full-service back office solution, based on proprietary software. Bert has been published in books and articles. He collaborated with the University of Pennsylvania faculty on strategy for primary care practices. He has co-authored an article in Becker's concerning market transformation in Westchester County, New York.</t>
  </si>
  <si>
    <t>75993-40P</t>
  </si>
  <si>
    <t>Bill Thomas</t>
  </si>
  <si>
    <t>KPMG</t>
  </si>
  <si>
    <t>Thomas</t>
  </si>
  <si>
    <t>Bill</t>
  </si>
  <si>
    <t>www.kpmg.com</t>
  </si>
  <si>
    <t>Global Chairman &amp; Chief Executive Officer</t>
  </si>
  <si>
    <t>+1 (416) 777-8144</t>
  </si>
  <si>
    <t>thomasb@kpmg.co.uk</t>
  </si>
  <si>
    <t>Amsterdam, Netherlands</t>
  </si>
  <si>
    <t>Laan van Langerhuize 1</t>
  </si>
  <si>
    <t>Amsterdam</t>
  </si>
  <si>
    <t>1186 DS</t>
  </si>
  <si>
    <t>Netherlands</t>
  </si>
  <si>
    <t>Mr. Bill Thomas serves as Chief Executive Officer AND Global Chairman at KPMG. He leads and supports people focused on delivering exceptional services to clients throughout the world in many countries. Ensuring everyone at KPMG lives up to and abides by the values that have made KPMG the trusted partner of the business community. He has more than a decade of executive-level leadership experience and previously served as Chairman of KPMG's Americas region, and as CEO and Senior Partner of KPMG in Canada. During each stage of his career, he has propelled the firm's global strategy throughout local, regional, and international geographies, always pairing pragmatism and creativity to deliver concrete results. While Chairman of KPMG's Americas region, He oversaw dramatic efficiency gains across borders, and similarly, as CEO of KPMG in Canada, He reshaped the Canadian firm's culture and rallied the firm to embrace a new direction. He was awarded the Queen Elizabeth II Diamond Jubilee Medal and named a Catalyst Canada Honours Champion in recognition of his leadership in building a diverse and inclusive culture. He strongly believes that businesses can empower positive change and play a role in strengthening the communities they serve. He is a member of the International Integrated Reporting Council (IIRC), Business Roundtable, International Business Council, and His Royal Highness The Prince of Wales Sustainable Markets Council.</t>
  </si>
  <si>
    <t>194159-80P</t>
  </si>
  <si>
    <t>Gregory Hyde</t>
  </si>
  <si>
    <t>Squire &amp; Company</t>
  </si>
  <si>
    <t>Hyde</t>
  </si>
  <si>
    <t>Gregory</t>
  </si>
  <si>
    <t>www.squire.com</t>
  </si>
  <si>
    <t>Partner</t>
  </si>
  <si>
    <t>+1 (385) 215-2814</t>
  </si>
  <si>
    <t>gregh@squire.com</t>
  </si>
  <si>
    <t>Orem, UT</t>
  </si>
  <si>
    <t>1329 South 800 East</t>
  </si>
  <si>
    <t>Orem</t>
  </si>
  <si>
    <t>Utah</t>
  </si>
  <si>
    <t>84097</t>
  </si>
  <si>
    <t>+1 (801) 226-7739</t>
  </si>
  <si>
    <t>Mr. Gregory Hyde serves as Partner at Squire &amp; Company. Mr. Hyde was with PRPR from 2001 to 2018, prior to its merger with Squire. Previously, He was with Deloitte &amp; Touche in Seattle and Salt Lake City. His practice focuses on Federal and state individual and business tax planning and compliance; estate and gift planning and compliance; and charitable and fiduciary income tax planning and compliance. He serves a number of closely-held businesses and their owners, executives and professionals, and high-net worth and high-income individuals. HE has extensive experience with employee stock options. He is an educational speaker to employee groups, and assists numerous option holders with related tax and financial planning, and income tax reporting. He is the past president of the Salt Lake Estate Planning Council, has served on the boards of the IHC Foundation for Homecare and Hospice and Primary Children's Medical Center Planned Giving Committee, and volunteers in various other community and youth organizations. He received his Bachelor of Science and Masters' of Accountancy degrees from Brigham Young University in 1997.</t>
  </si>
  <si>
    <t>375952-87P</t>
  </si>
  <si>
    <t>Harry Parikh</t>
  </si>
  <si>
    <t>BDO India</t>
  </si>
  <si>
    <t>Parikh</t>
  </si>
  <si>
    <t>Harry</t>
  </si>
  <si>
    <t>www.bdo.in</t>
  </si>
  <si>
    <t>Partner in M&amp;A Tax and Regulatory</t>
  </si>
  <si>
    <t>harryparikh@bdo.in</t>
  </si>
  <si>
    <t>Mumbai, India</t>
  </si>
  <si>
    <t>The Ruby, Level 8/9, North West Wing</t>
  </si>
  <si>
    <t>Senapati Bapat Marg, Dadar West</t>
  </si>
  <si>
    <t>Mumbai</t>
  </si>
  <si>
    <t>Maharashtra</t>
  </si>
  <si>
    <t>400028</t>
  </si>
  <si>
    <t>India</t>
  </si>
  <si>
    <t>Mr. Harry Parikh serves as Partner in M&amp;A Tax and Regulatory at BDO India. He has over 17 years of expertise in guiding Indian and multinational clients through transaction tax-related matters. His extensive experience includes advising on various direct tax and cross-border tax issues. Harry's advisory services encompass buy-side and sell-side transactions, comprehensive restructurings, deal structuring (including negotiation), global restructuring, international holding company structures, fund structuring, and more.</t>
  </si>
  <si>
    <t>181162-09P</t>
  </si>
  <si>
    <t>James Chalmers</t>
  </si>
  <si>
    <t>PricewaterhouseCoopers (Former)</t>
  </si>
  <si>
    <t>Chalmers</t>
  </si>
  <si>
    <t>James</t>
  </si>
  <si>
    <t>www.pwc.com</t>
  </si>
  <si>
    <t>Global Assurance Leader</t>
  </si>
  <si>
    <t>Mr. James Chalmers served as Global Assurance Leader at PwC. He took an appointment that he took up on 2 January 2018. In this role, he focuses on further building the PwC network's assurance capabilities and solutions for clients across the globe with particular emphasis on reinforcing trust and confidence in decision-making information, underpinned by quality and insight. James has held various senior management roles in PwC. He was a member of the UK Assurance Leadership from 2002 to 2008 before being appointed to the UK Board in 2008, initially as Head of Strategy and then from 2011 to 2016 as Head of Assurance. In 2013, he became Head of Assurance for EMEA. He has been a member of Global Assurance Leadership since 2011. With over 20 years of experience as a partner, James has worked across many parts of PwC, C, providing multinational audit, acquisition due diligence, and IPO services. This client experience includes leading PwC's global relationships with major listed and SEC-registered clients. He has also had extended secondments to a multi-national banking group providing leveraged finance to private equity transactions and in the healthcare sector, where he worked on a large international merger.</t>
  </si>
  <si>
    <t>175646-08P</t>
  </si>
  <si>
    <t>Paul Gurman</t>
  </si>
  <si>
    <t>Gross Mendelsohn &amp; Associates</t>
  </si>
  <si>
    <t>Gurman</t>
  </si>
  <si>
    <t>Paul</t>
  </si>
  <si>
    <t>www.gma-cpa.com</t>
  </si>
  <si>
    <t>Consultant</t>
  </si>
  <si>
    <t>+1 (703) 591-7200</t>
  </si>
  <si>
    <t>p.gurman@gma-cpa.com</t>
  </si>
  <si>
    <t>Baltimore, MD</t>
  </si>
  <si>
    <t>1801 Porter Street</t>
  </si>
  <si>
    <t>Suite 500</t>
  </si>
  <si>
    <t>Baltimore</t>
  </si>
  <si>
    <t>Maryland</t>
  </si>
  <si>
    <t>21230</t>
  </si>
  <si>
    <t>+1 (410) 752-5042</t>
  </si>
  <si>
    <t>Mr. Paul Gurman serves as Consultant at Gross Mendelsohn &amp; Associates. Mr. Gurman founded and served as Partner at Gurman &amp; Company. He specializes in merger and acquisition planning, sophisticated tax planning, as well as auditing, and business growth consulting for nonprofits and government contractors. He is the CEO and chairman of the Harry &amp; Zoe Poole Foundation Inc. and the past treasurer of SCAN (Stop Child Abuse Now). In addition, he is the past treasurer of the Prince William Regional Chamber of Commerce and the past president of the Prince William Symphony. He holds BS (Bachelor of Science) degree in Accounting from Indiana University.</t>
  </si>
  <si>
    <t>147645-46P</t>
  </si>
  <si>
    <t>Ronald Dreskin</t>
  </si>
  <si>
    <t>Dreskin</t>
  </si>
  <si>
    <t>Ronald</t>
  </si>
  <si>
    <t>Partner &amp; Interim Chief Executive Officer</t>
  </si>
  <si>
    <t>+1 (212) 324-2295</t>
  </si>
  <si>
    <t>ronald.dreskin@eisneramper.com</t>
  </si>
  <si>
    <t>Stamford, CT</t>
  </si>
  <si>
    <t>243 Tresser Boulevard</t>
  </si>
  <si>
    <t>17th Floor</t>
  </si>
  <si>
    <t>Stamford</t>
  </si>
  <si>
    <t>Connecticut</t>
  </si>
  <si>
    <t>06901</t>
  </si>
  <si>
    <t>Mr. Ronald Dreskin serves as Partner &amp; Interim Chief Executive Officer of the Health Care Services Group at EisnerAmper. He served as Principal of Health Care Services at EisnerAmper. With over 30 years of experience in the field, he provides strategic and operations support services to multi-hospital systems, physician groups, faculty practices, ancillary providers (such as surgery centers and imaging centers), as well as entrepreneurial ventures. Conducting transactions (M&amp;A, JVs, and start-ups) is a specialty. Before joining EisnerAmper, he founded Integrated Healthcare (IHC) in 1996 to provide top-flight consulting services to hospitals and physicians. Recently, he has developed collaboration models for physician groups and hospitals (including employment, physician services agreements, and co-management arrangements), as well as deals in radiology, radiation therapy, and ambulatory surgery. He draws on his vast experience from Columbia Presbyterian Medical Center, where he served as CFO. Then, he took leadership of its 340-bed Allen Community Hospital. He has served on numerous healthcare boards. He led a town-sponsored nursing home from bankruptcy and guided a multi-service provider in an underserved community. He serves as Interim Chief Executive Officer at St Christopher's Healthcare Hospital. he served asInterim System Chief Executive OfficerHahnemann University Hospital</t>
  </si>
  <si>
    <t>274418-47P</t>
  </si>
  <si>
    <t>Yelena Talmazan</t>
  </si>
  <si>
    <t>DLA (New Jersey) (Former)</t>
  </si>
  <si>
    <t>Talmazan</t>
  </si>
  <si>
    <t>Yelena</t>
  </si>
  <si>
    <t>www.dlallc.com</t>
  </si>
  <si>
    <t>Managing Director - Internal Audit</t>
  </si>
  <si>
    <t>Ms. Yelena Talmazan served as Managing Director - Internal Audit at David Landau &amp; Associates. She is a part of the Internal Audit department, where she manages client relationships and internal audit, Sarbanes-Oxley ("SOX") compliance and other consulting services for her clients. She is a seasoned audit and business executive with over 23 years of experience, the majority spent in the financial services, consumer business and technologies industries directing and managing Internal Audits, Internal Controls and SOX Compliance programs. Prior to joining DLA, she served as the Head of Audit, Americas at TP ICAP and Director, Internal Audit - Financial Services at KPMG. While in the industry, she directed and managed Internal Audit, Internal Controls and Sarbanes-Oxley Compliance programs. Her experience includes risk and management consulting, where she delivered and managed internal and external audit services for large multinational organizations, including building and strengthening internal audit functions, IPO readiness and implementation of SOX, Internal Controls Over Financial Reporting ("ICOFR") and Intermediate Holding Company ("IHC") compliance programs. She also supervised audit quality assessment reviews and staffing assessments, integrated and ITGC audits and regulatory compliance engagements. She managed high-profile audit relationships with the audit committees and executive teams and provided enterprise risk management ("ERM") independent assurance services.</t>
  </si>
  <si>
    <t>211078-99P</t>
  </si>
  <si>
    <t>Andrew Noyons</t>
  </si>
  <si>
    <t>Salica Investments</t>
  </si>
  <si>
    <t>Acquirer</t>
  </si>
  <si>
    <t>Noyons</t>
  </si>
  <si>
    <t>Andrew</t>
  </si>
  <si>
    <t>www.salicainvestments.com</t>
  </si>
  <si>
    <t>Managing Partner</t>
  </si>
  <si>
    <t>+44 (0)20 3327 4861</t>
  </si>
  <si>
    <t>anoyons@salicainvest.com</t>
  </si>
  <si>
    <t>111 Buckingham Palace Road</t>
  </si>
  <si>
    <t>SW1W 0SR</t>
  </si>
  <si>
    <t>Mr. Andrew Noyons serves as Managing Partner at Salica Investments. Mr. Noyons is responsible for distribution and capital raising team. Prior to Hambro Perks, he was in the public side of Equity Capital Markets at Goldman Sachs where he was responsible for the distribution of multiple European initial public offerings including the landmark Siemens Healthineers transaction, Europe's largest public offering in over 10 years. Prior to Goldman Sachs, he was in the institutional equities division at Morgan Stanley. Before joining financial services, He was a Captain in the British Army completing tours of Bosnia and Afghanistan with the Welsh Guards and the Parachute Regiment before serving as Equerry to HRH The Prince of Wales from 2008 to 2009. He is a graduate of Durham University with a degree in Modern History and a Degree from Stonyhurst College.</t>
  </si>
  <si>
    <t>435762-82P</t>
  </si>
  <si>
    <t>Dame Cleverdon</t>
  </si>
  <si>
    <t>National Lottery Community Fund</t>
  </si>
  <si>
    <t>Cleverdon</t>
  </si>
  <si>
    <t>Dame</t>
  </si>
  <si>
    <t>www.tnlcommunityfund.org.uk</t>
  </si>
  <si>
    <t>Chair of the Board</t>
  </si>
  <si>
    <t>+44 (0)28 9568 0143</t>
  </si>
  <si>
    <t>Birmingham, United Kingdom</t>
  </si>
  <si>
    <t>3 Embassy Drive</t>
  </si>
  <si>
    <t>Edgbaston</t>
  </si>
  <si>
    <t>Birmingham</t>
  </si>
  <si>
    <t>B15 1TR</t>
  </si>
  <si>
    <t>+44 (0)20 7211 1750</t>
  </si>
  <si>
    <t>Ms. Dame Cleverdon serves as Chair of the Board at the National Lottery Community Fund. Ms. Cleverdon has previously chaired Teach First, the National Literacy Trust, and Place Matters - all charities working to tackle inequality in those communities that experience the greatest poverty, disadvantage, and discrimination. She chairs the National Statistician's Committee on Inclusive Data and sits on the EMCCA Inclusive Growth Commission. She is a Co-founder of the # iWill movement supporting young people in social action through volunteering, campaigning, and advocacy. She has served as Board Trustee for the Fair Education Alliance, The Careers and Enterprise Company, the Youth Futures Foundation, Teach for All, and as Patron of Right to Succeed. She began her career with The Industrial Society and served as Chief Executive of Business in the Community for seventeen years before working for the then Prince of Wales as her Special Adviser to the Prince's Charities.</t>
  </si>
  <si>
    <t>341916-67P</t>
  </si>
  <si>
    <t>David Mair</t>
  </si>
  <si>
    <t>International Hospital Management</t>
  </si>
  <si>
    <t>Mair</t>
  </si>
  <si>
    <t>David</t>
  </si>
  <si>
    <t>www.internationalhospitalcorp.com</t>
  </si>
  <si>
    <t>Senior Vice President of Business Development</t>
  </si>
  <si>
    <t>+1 (469) 731-1800</t>
  </si>
  <si>
    <t>dmair@internationalhospitalcorp.com</t>
  </si>
  <si>
    <t>Frisco, TX</t>
  </si>
  <si>
    <t>2600 Dallas Parkway</t>
  </si>
  <si>
    <t>Suite 350</t>
  </si>
  <si>
    <t>Frisco</t>
  </si>
  <si>
    <t>Texas</t>
  </si>
  <si>
    <t>75034</t>
  </si>
  <si>
    <t>Mr. David Mair serves as Senior Vice President of Business Development at International Hospital Management. He is the newest member of the International Hospital executive team, joining the company as Senior Vice President responsible for business development and international patient programs in 2018. He brings a rich experience to IHC from more than 30 years of working with people seeking medical care solutions outside their home communities. He is a recognized international health medical care risk management, benefits, and insurance executive. He is the founding partner of Soter Healthcare, a global healthcare firm that designs and delivers global medical care, risk management, and insurance solutions for individuals and organizations. At Soter Healthcare, he designed benefit plans and direct contract arrangements for employer groups taking advantage of a global network of hospitals. He brings the blend of international destination healthcare experience, cost control, financial relief, and access to medical centers of excellence to his current role with IHC. He began his executive career with the United States Olympic Committee, where he designed and directed the USOC's health insurance program for America's Olympic athletes for more than a decade. During his tenure, he was responsible for assisting athletes to locate and access medical care around the world. He was involved with the insurance plan for athletes in seven Olympic Games and more than 100 international championship events. He is a former President of the Risk &amp; Insurance Management Society and the Nonprofit Risk Management Center. He is also a published author and accomplished speaker. He testified before Congress and state legislatures on health and risk management issues and speaks at conferences around the world. His comments have appeared in The Economist, the New York Times, the Washington Post, and National Public Radio and have been heard on radio stations in the US, Canada, and the United Kingdom.</t>
  </si>
  <si>
    <t>360827-74P</t>
  </si>
  <si>
    <t>Elias Sahyoun</t>
  </si>
  <si>
    <t>Virtuzone</t>
  </si>
  <si>
    <t>Sahyoun</t>
  </si>
  <si>
    <t>Elias</t>
  </si>
  <si>
    <t>www.virtuzone.com</t>
  </si>
  <si>
    <t>Chief Financial Officer</t>
  </si>
  <si>
    <t>+971 (0)4 457 8200</t>
  </si>
  <si>
    <t>Dubai, United Arab Emirates</t>
  </si>
  <si>
    <t>Al Saaha Office Building B, Office 404</t>
  </si>
  <si>
    <t>Souk Al Bahar Old Town Island, Burj Khalifa District</t>
  </si>
  <si>
    <t>Dubai</t>
  </si>
  <si>
    <t>United Arab Emirates</t>
  </si>
  <si>
    <t>Mr. Elias Sahyoun serves as the Chief Financial Officer at Virtuzone. He served as Corporate Finance Director at Transmed. Previously, he served as Assistant Head of Investment Banking at IBL Investment Bank, Director of Business Development at Corporate Finance House, Vice President at Zabeel Capital, Investment Manager at Zabeel Investments, Senior Financial Analyst at TECOM Investments and Senior Auditor at Deloitte.</t>
  </si>
  <si>
    <t>341917-39P</t>
  </si>
  <si>
    <t>Gary Wood Ph.D</t>
  </si>
  <si>
    <t>Wood</t>
  </si>
  <si>
    <t>Gary</t>
  </si>
  <si>
    <t>Co-Founder &amp; Executive Chairman</t>
  </si>
  <si>
    <t>gwood@internationalhospitalcorp.com</t>
  </si>
  <si>
    <t>Dr. Gary Wood is a Co-Founder and serves as Executive Chairman at International Hospital Management. In addition to his activities for IHC, he is the President and CEO of Concorde Companies, a group of investment management and financial advisory enterprises with activities in marketable securities and venture capital, which he founded in 1981. He is also the President and Chairman of the Board of OmniMed, a venture capital investment firm specializing in healthcare industries. He serves on the Boards of Directors of several private companies associated with Concorde Companies. A sixth-generation Texan, he received his bachelor's and master's degrees in electrical engineering from Texas Tech University and went on to receive only the third interdisciplinary Ph.D. awarded by Tech, emphasizing law, business, and statistics in 1977. At the master's level, he specialized in biomedical instrumentation. He was named a Distinguished Graduate in Engineering in 1993. In 1994, he received the Allan J. McDonald International Entrepreneur of the Year Award from the Society of International Business Fellows. He is a director of several private companies and is also active in civic and charitable organizations in Dallas. He is currently a member of the Endowment Foundation Investment Committee and Advisory Board for the Children's Oncology Service of Texas (aka Ronald McDonald House), a board member of Leader Formation International, an International Christian Leadership Development Mission, and a member of Executive Committee of SIBF. In February 2005, he completed six years serving on the board of the Parkland Health and Hospital System (Dallas County Hospital District), where he served on the Pension Investment oversight committee. He has twice served as chairman (in 1988 and 1999) of the Society of International Business Fellows, a leadership organization consisting of 1400 senior business executive level, government officials, and NGO members in four regional networks in 45 countries, where he is a distinguished member. He was the founder and initial chairman of The Health Industry Council (1988-1998) in the Dallas Ft. Worth region, a nine-county industry promoter, and advocacy organization in North Texas, and he served as a board member for the Baylor Medical Research Institute from 1987 to 2000.</t>
  </si>
  <si>
    <t>73468-81P</t>
  </si>
  <si>
    <t>John Stephen</t>
  </si>
  <si>
    <t>Max Crowdfund (Former)</t>
  </si>
  <si>
    <t>Stephen</t>
  </si>
  <si>
    <t>John</t>
  </si>
  <si>
    <t>www.maxcrowdfund.com</t>
  </si>
  <si>
    <t>Director</t>
  </si>
  <si>
    <t>Mr. John Stephen served as Director at Max Property Group. He is a Fellow of the Royal Institution of Chartered Surveyors and former Chairman of the English business of real estate advisers, Jones Lang LaSalle. He is a Trustee of the Portman Estate, a Director of the Colville Estate and of Evans Property Group, and an adviser to Exemplar properties and Bonhams fine art auctioneers and valuers. He is a school governor and a property advisor to the Duchy of Cornwall.</t>
  </si>
  <si>
    <t>341916-31P</t>
  </si>
  <si>
    <t>Leonardo Lopez</t>
  </si>
  <si>
    <t>Lopez</t>
  </si>
  <si>
    <t>Leonardo</t>
  </si>
  <si>
    <t>llopez@internationalhospitalcorp.com</t>
  </si>
  <si>
    <t>Mr. Leonardo Lopez serves as Chief Financial Officer at International Hospital Management. He is leading the corporation's international finance and IT practices. He joined IHC in 2007 as Director of Finance at Hospital CIMA Hermosillo in Mexico and later led the company's regional finance function for Mexican operations before being appointed CFO in 2017. Prior to joining IHC, he served with world-leading institutions such as KPMG and Citigroup in the financial services industry, as well as with Private Equity companies in the manufacturing industry, doing business across North and Latin America and Europe. His responsibilities have included leadership roles in international management, strategy development, transactions structuring and execution, financial management, investment advisory, global accounting, and operations turnaround, among others. He holds an MBA in International Management and Global Finance from Thunderbird, The School of Global Management, and a BS in Accounting and Finance from "Tecnológico de Monterrey" (ITESM) in Mexico. He participates in various civic and charitable organizations.</t>
  </si>
  <si>
    <t>65780-29P</t>
  </si>
  <si>
    <t>Liu Xuewu</t>
  </si>
  <si>
    <t>Rongshi International Holding Company</t>
  </si>
  <si>
    <t>Xuewu</t>
  </si>
  <si>
    <t>Liu</t>
  </si>
  <si>
    <t>General Manager</t>
  </si>
  <si>
    <t>Mr. Liu Xuewu serves as General Manager at Rongshi International Holding Company.</t>
  </si>
  <si>
    <t>432982-09P</t>
  </si>
  <si>
    <t>Michael Stevens MD</t>
  </si>
  <si>
    <t>West Virginia United Health System</t>
  </si>
  <si>
    <t>Stevens</t>
  </si>
  <si>
    <t>Michael</t>
  </si>
  <si>
    <t>wvumedicine.org</t>
  </si>
  <si>
    <t>Chief Quality Officer</t>
  </si>
  <si>
    <t>Dr. Michael Stevens serves as Chief Quality Officer at West Virginia United Health System.</t>
  </si>
  <si>
    <t>448983-55P</t>
  </si>
  <si>
    <t>Niko Kuronen</t>
  </si>
  <si>
    <t>G42 Services</t>
  </si>
  <si>
    <t>Kuronen</t>
  </si>
  <si>
    <t>Niko</t>
  </si>
  <si>
    <t>www.g42services.fi</t>
  </si>
  <si>
    <t>Chief Executive Officer &amp; Managing Director</t>
  </si>
  <si>
    <t>+358 (0)44 742 4242</t>
  </si>
  <si>
    <t>niko@g42services.fi</t>
  </si>
  <si>
    <t>Liperi, Finland</t>
  </si>
  <si>
    <t>Lamb Coin 910</t>
  </si>
  <si>
    <t>Liperi</t>
  </si>
  <si>
    <t>83100</t>
  </si>
  <si>
    <t>Finland</t>
  </si>
  <si>
    <t>Mr. Niko Kuronen serves as Chief Executive Officer and Managing Director at G42 Services.</t>
  </si>
  <si>
    <t>302924-44P</t>
  </si>
  <si>
    <t>Ravi Deol</t>
  </si>
  <si>
    <t>Inbrew Breweries</t>
  </si>
  <si>
    <t>Deol</t>
  </si>
  <si>
    <t>Ravi</t>
  </si>
  <si>
    <t>www.inbrew.com</t>
  </si>
  <si>
    <t>Chairman &amp; Owner</t>
  </si>
  <si>
    <t>ravi.deol@inbrew.com</t>
  </si>
  <si>
    <t>New Delhi, India</t>
  </si>
  <si>
    <t>406 Kusal Bazar</t>
  </si>
  <si>
    <t>32-33 Nehru Place</t>
  </si>
  <si>
    <t>New Delhi</t>
  </si>
  <si>
    <t>110019</t>
  </si>
  <si>
    <t>Mr. Ravi Deol serves as Chairman &amp; Owner at Inbrew Breweries. He is a serial entrepreneur with a reputation for establishing several pioneering businesses globally. Erstwhile Chairman and co-owner of Adelie Foods, London. Previously In 2007, he launched Special Purpose Acquisition Vehicle (SPAC) - India Hospitality Corp. (IHC), a consumer-focused platform that raised $175mm on London's Alternate Investment Market (AIM). IHC in turn acquired a portfolio of operating Food and Hospitality businesses in India. These included SkyGourmet (Air Catering), Mars Restaurants (restaurant brands), and Gordon House (boutique hotels). SkyGourmet under his leadership, before long became India's largest catering company and was bought out by the global market leader, Swiss giant Gategroup AG in 2011. In 2006, he created India's first global retail joint-venture between Bharti and Wal-Mart. This broke new ground for global retail giants entering then restricted the Indian retail market. He is eponymous as the 'coffee man of India'. In a pioneering attempt, he founded Barista Coffee in late 1999. The orange Barista cafés rapidly became iconic retail landmarks across India. Barista was popularly referred to as India's Starbucks. For the first time, aspiring Indian consumers experienced café bars, thus drawing them to high streets. After rapid scale and enormous success, Barista was acquired by Tata Beverages in 2005 and was later owned by Lavazza S.p.A. of Italy. Earlier in his professional working career, he held various senior-level global positions with Coca-Cola and Wipro Consumer Products. In 2002, he won the prestigious 'Ernst &amp; Young Entrepreneur of the year award. He is an alumnus of London Business School and a member of the Young President Organization.</t>
  </si>
  <si>
    <t>164605-96P</t>
  </si>
  <si>
    <t>Rebecca Barnes</t>
  </si>
  <si>
    <t>Prince William Living</t>
  </si>
  <si>
    <t>Barnes</t>
  </si>
  <si>
    <t>Rebecca</t>
  </si>
  <si>
    <t>www.princewilliamliving.com</t>
  </si>
  <si>
    <t>Publisher</t>
  </si>
  <si>
    <t>rbarnes@princewilliamliving.com</t>
  </si>
  <si>
    <t>Ms. Rebecca Barnes serves as Publisher at Prince William Living. Rebecca is also a volunteer for the OWL Volunteer Fire Department, where she serves as a liaison to elected officials and acts as the Public Information Officer during major incidents. Rebecca studied at Northern Virginia Community College in Woodbridge, Virginia. She continued her education at George Mason University, studying History and Secondary Education.</t>
  </si>
  <si>
    <t>251899-93P</t>
  </si>
  <si>
    <t>Sarah Vibert</t>
  </si>
  <si>
    <t>National Council for Voluntary Organisations</t>
  </si>
  <si>
    <t>Vibert</t>
  </si>
  <si>
    <t>Sarah</t>
  </si>
  <si>
    <t>www.ncvo.org.uk</t>
  </si>
  <si>
    <t>Chief Executive Officer</t>
  </si>
  <si>
    <t>sarah.vibert@ncvo.org.uk</t>
  </si>
  <si>
    <t>8 All Saints Street</t>
  </si>
  <si>
    <t>N1 9RL</t>
  </si>
  <si>
    <t>Ms. Sarah Vibert serves as Chief Executive Officer at National Council for Voluntary Organisations. Sarah joined NCVO in January 2020 as director of membership and engagement before becoming chief executive. She's held a number of leadership roles in the voluntary sector, most recently as chief executive of the umbrella charity The Neurological Alliance. Sarah also spent time in senior management roles at Epilepsy Society and In Kind Direct, as well as previously working for (then) HRH the Prince of Wales. She started her career in local government management, including working for the Mayor of London. Sarah is a trustee at Trussell Trust.</t>
  </si>
  <si>
    <t>386368-39P</t>
  </si>
  <si>
    <t>Shahid Jamal</t>
  </si>
  <si>
    <t>Shamal Media Services</t>
  </si>
  <si>
    <t>Jamal</t>
  </si>
  <si>
    <t>Shahid</t>
  </si>
  <si>
    <t>www.shamal.net</t>
  </si>
  <si>
    <t>Founder &amp; Managing Director</t>
  </si>
  <si>
    <t>+971 (0)6 554 4949</t>
  </si>
  <si>
    <t>sjamal@shamal.net</t>
  </si>
  <si>
    <t>Sharjah, United Arab Emirates</t>
  </si>
  <si>
    <t>P.O.Box 20212</t>
  </si>
  <si>
    <t>Al Uroba Street</t>
  </si>
  <si>
    <t>Sharjah</t>
  </si>
  <si>
    <t>20212</t>
  </si>
  <si>
    <t>+971 (0)6 554 2992</t>
  </si>
  <si>
    <t>Mr. Shahid Jamal is the Founder and serves as Managing Director at Shamal Media Services.</t>
  </si>
  <si>
    <t>65257-48P</t>
  </si>
  <si>
    <t>Jeffrey Smedsrud</t>
  </si>
  <si>
    <t>Angel (individual)</t>
  </si>
  <si>
    <t>Smedsrud</t>
  </si>
  <si>
    <t>Jeffrey</t>
  </si>
  <si>
    <t>Angel Investor</t>
  </si>
  <si>
    <t>Mr. Jeffrey Smedsrud is an Angel Investor. Mr. Smedsrud co-founded and served as Chief Executive Officer at Pivot Health. He is a Co-Founder of Healthcare.com. He is a results-oriented leader who has built and grown companies from back-of-envelope ideas to multi-million dollar, profitable and scalable entities with a focus on health insurance and other consumer-centric business models. He is a serial entrepreneur who has started several businesses - four of which have been acquired by publicly traded companies. Creative thinker who has been a presenter at dozens of national trade conventions. Active marathon runner and member of Seven Continents Club - one of only 200 or so individuals to run a marathon on all seven continents. Cancer survivor, charity activist and motivational speaker. Previously, Jeff helped create and grow the fully-insured segment at The IHC Group (NYSE:IHC) from $0 to nearly $300 million in revenue in seven years. He led AMIC (NASDAQ:AMIC) to significant direct-to-consumer growth and national recognition.</t>
  </si>
  <si>
    <t>48098-17P</t>
  </si>
  <si>
    <t>Peter Kuttel</t>
  </si>
  <si>
    <t>Kuttel</t>
  </si>
  <si>
    <t>Peter</t>
  </si>
  <si>
    <t>+1 (206) 281-7777</t>
  </si>
  <si>
    <t>Seattle, WA</t>
  </si>
  <si>
    <t>1752 Northwest Market Street</t>
  </si>
  <si>
    <t>Suite 733</t>
  </si>
  <si>
    <t>Seattle</t>
  </si>
  <si>
    <t>Washington</t>
  </si>
  <si>
    <t>98107</t>
  </si>
  <si>
    <t>Mr. Peter Kuttel Co-Founded and served as Principal at Bear &amp; Wolf Salmon Company. He also is an Angel Investor. Mr. Kuttel served as a Board Member at Seattle Bank. Mr. Kuttel joined the board in 2011. In 1989 Mr. Kuttel co-founded Victor Seafoods, a privately owned seafood harvesting and processing company focusing on pollock, cod and crab resources in Alaska. He served as its President and CEO from 1991 until the business was sold in 1999. In 2008 the company was acquired by Trident Seafoods. Mr. Kuttel was a stockholder, and served on the board of, Trident Seafoods until 2010. Mr. Kuttel also served on the board of the Prince William Sound Aquaculture Association from 2004 to 2007. He currently focuses on private equity investments for his family. Mr. Kuttel has a BA in Finance from the University Of San Diego. Mr. Kuttel also serves as Board Member at Illumagear.</t>
  </si>
  <si>
    <t>112457-53P</t>
  </si>
  <si>
    <t>Abdul Al-Halabi</t>
  </si>
  <si>
    <t>Embassy Capital</t>
  </si>
  <si>
    <t>Asset Manager</t>
  </si>
  <si>
    <t>Al-Halabi</t>
  </si>
  <si>
    <t>Abdul</t>
  </si>
  <si>
    <t>www.embassy-capital.com</t>
  </si>
  <si>
    <t>Managing Director</t>
  </si>
  <si>
    <t>+971506564110</t>
  </si>
  <si>
    <t>abdulwahab@embassy-capital.com</t>
  </si>
  <si>
    <t>Gate Village 6, Office 503</t>
  </si>
  <si>
    <t>Trade Center DIFC</t>
  </si>
  <si>
    <t>Mr. Abdul Al-Halabi serves as Managing Director at Embassy Capital. He also serves as Financial &amp; Investment Advisor at Seed Group. He also serves as Independent Director at Silkhaus. Earlier, he served as Chief Executive Officer at Global Investment House. He also serves as Director at Global Investment House. He has over 19 years of experience in the fields of executive management, corporate financial and advisory with focus on restructuring, M&amp;A and valuations. He started his career with KPMG in London working on debt advisory services and restructuring before returning to Dubai as a COO of Dubailand and has been CEO of Dubai Properties Group and other entities in the Dubai Holding portfolio. For two years, he was a partner at KPMG Dubai co-heading the transaction and restructuring unit in the UAE and Oman whilst still being involved with Meraas on an advisory basis. He returned to Meraas full time in 2013. Mr Al Halabi is also on the board of Dubai Parks and Resorts, a DFM listed entity, Emirates REIT, a NASDAQ Dubai listed entity and several other private enterprises related to Meraas. Mr. Al-Halabi holds a degree in Economics from London School of Economics, and is a Fellow of the Institute of Chartered Accountants in England and Wales. He served as an Advisor at Global Ventures (Dubai).</t>
  </si>
  <si>
    <t>418470-13P</t>
  </si>
  <si>
    <t>Ahmed Altanani</t>
  </si>
  <si>
    <t>Private Equity</t>
  </si>
  <si>
    <t>Lunate</t>
  </si>
  <si>
    <t>Altanani</t>
  </si>
  <si>
    <t>Ahmed</t>
  </si>
  <si>
    <t>www.lunate.com</t>
  </si>
  <si>
    <t>Director, Private Equity</t>
  </si>
  <si>
    <t>+971 (0)2 877 8896</t>
  </si>
  <si>
    <t>aaltanani@lunate.com</t>
  </si>
  <si>
    <t>Abu Dhabi, United Arab Emirates</t>
  </si>
  <si>
    <t>12th Floor Al Maryah Tower</t>
  </si>
  <si>
    <t>Abu Dhabi Global Market Square, Al Maryah Island</t>
  </si>
  <si>
    <t>Abu Dhabi</t>
  </si>
  <si>
    <t>Mr. Ahmed Altanani serves as Director, Private Equity at Lunate. He is a Director in Lunate's private equity team, responsible for contributing to the execution of the firm's private equity direct investments strategy. He brings over 22 years of experience to the firm. Prior to Lunate, He served as an Investments Director in ADQ's alternative investments and M&amp;A team, where he led several strategic and financial investments for ADQ in the food and agriculture, financial services, life sciences, and energy transition sectors. Before joining ADQ, He gained almost two decades of investing, operating, and restructuring experience in private equity and industry across developed and growth markets. He holds an MBA from London Business School.</t>
  </si>
  <si>
    <t>418521-16P</t>
  </si>
  <si>
    <t>Ahmed Khalil</t>
  </si>
  <si>
    <t>Khalil</t>
  </si>
  <si>
    <t>Partner &amp; Head of Information Technology</t>
  </si>
  <si>
    <t>akhalil@lunate.com</t>
  </si>
  <si>
    <t>Mr. Ahmed Khalil serves as Partner &amp; Head of Information Technology at Lunate. He oversees cybersecurity and digital strategies. Prior to Lunate, He worked at EFG Hermes, managing IT across 11 countries. He holds a Bachelor of Business Management from Helwan University, Cairo, Egypt, and is pursuing an Executive Certification in Technology and Operations from MIT.</t>
  </si>
  <si>
    <t>418517-92P</t>
  </si>
  <si>
    <t>Al Mawji</t>
  </si>
  <si>
    <t>Mawji</t>
  </si>
  <si>
    <t>Al</t>
  </si>
  <si>
    <t>Director &amp; Head of Internal Audit</t>
  </si>
  <si>
    <t>amawji@lunate.com</t>
  </si>
  <si>
    <t>Mr. Al Mawji serves as Director &amp; Head of Internal Audit at Lunate. He is responsible for leading Lunate's internal audit and assurance strategies. He brings 25 years of experience to the firm. Prior to Lunate, Al spent 10 years as Chief Internal Auditor at Brookfield Asset Management, based out of New York and London. He is a Chartered member of the Institute for Internal Auditors.</t>
  </si>
  <si>
    <t>418475-44P</t>
  </si>
  <si>
    <t>Alain Bacos</t>
  </si>
  <si>
    <t>Bacos</t>
  </si>
  <si>
    <t>Alain</t>
  </si>
  <si>
    <t>Director, Finance</t>
  </si>
  <si>
    <t>abacos@lunate.com</t>
  </si>
  <si>
    <t>Mr. Alain Bacos serves as Director of Finance at Lunate. He oversees overall financial planning, processes and strategy development. He brings over 13 years of experience to the firm. Prior to Lunate, he was Head of Finance at Chimera Capital. He holds a Bachelor's degree in International Business from Kingston University.</t>
  </si>
  <si>
    <t>77336-20P</t>
  </si>
  <si>
    <t>Alex Borer</t>
  </si>
  <si>
    <t>LGT Capital Partners (Former)</t>
  </si>
  <si>
    <t>Borer</t>
  </si>
  <si>
    <t>Alex</t>
  </si>
  <si>
    <t>www.lgtcp.com</t>
  </si>
  <si>
    <t>Mr. Alex Borer served as a Partner at LGT Capital Partners. He is responsible for the firm's Liquid Markets activities. The team is responsible for multi-asset and multi-alternative funds, sustainable fixed-income and equity funds, liquid multi-manager funds, and institutional mandates, as well as asset allocation and research. He first joined LGT at LGT Bank, where he worked from 1992 to 2001 as an equity portfolio manager and head of portfolio management. After, he was a Partner at Trinova Invest before re-joining LGT in 2005 as head of investment coordination within LGT Bank. He moved to LGT Capital Partners in 2007 as an equity portfolio manager responsible for the Asia and Japan region and co-responsible for the USA. In 2008, he joined the Multi-Asset portfolio management team and began heading the team in 2010, before taking on the role of Co-Head of Liquid Markets in 2021. He holds a federal diploma in banking and finance from the Swiss Bankers Association and is a CFA Charterholder</t>
  </si>
  <si>
    <t>77334-76P</t>
  </si>
  <si>
    <t>Alex Durrer Ph.D</t>
  </si>
  <si>
    <t>Durrer</t>
  </si>
  <si>
    <t>Principal and Head of Economic Research</t>
  </si>
  <si>
    <t>Dr. Alex Durrer served as Principal and Head of Economic Research at LGT Capital Partners. He is responsible for Economic Research at LGT Capital Partners in Pfaeffikon, Switzerland. Before joining the firm in 2001, he spent a decade with Swiss Re Group in Zurich and New York as an economist and financial officer in the areas of Economic Research &amp; Consulting, Financial Products, and Corporate Financial Management. As chief economist at LGT Group and a Liquid Market Committee member, he is instrumental in determining the LGT Capital Partners investment policy. He is responsible for the economic research publications "Investorama" and "Beacon". He has also been in charge of writing and presenting market assessments, as well as the LGT economic and market outlook for over 15 years. He received his Ph.D. in Economics and Business Administration from the University of St. Gallen (HSG).</t>
  </si>
  <si>
    <t>418517-02P</t>
  </si>
  <si>
    <t>Alexander Mills</t>
  </si>
  <si>
    <t>Mills</t>
  </si>
  <si>
    <t>Alexander</t>
  </si>
  <si>
    <t>Partner &amp; Co-Head of Credit</t>
  </si>
  <si>
    <t>amills@lunate.com</t>
  </si>
  <si>
    <t>Mr. Alexander Mills serves as Partner &amp; Co-Head of Credit at Lunate. He is responsible for direct and co-investments across credit strategies. Prior to Lunate, He held senior positions at ADG and ADIC where he focused primarily on financial services and credit strategies. He is a Chartered Accountant (ICAS, UK) and has a Master's degree in Engineering from the Buenos Aires Institute of Technology.</t>
  </si>
  <si>
    <t>418481-38P</t>
  </si>
  <si>
    <t>Alexander Zhuravlev</t>
  </si>
  <si>
    <t>Zhuravlev</t>
  </si>
  <si>
    <t>azhuravlev@lunate.com</t>
  </si>
  <si>
    <t>Mr. Alexander Zhuravlev serves as Director, Private Equity at Lunate. He is focusing on direct and co-investments in the private equity team. He has over 16 years of experience in private equity and asset management across the healthcare, pharmaceutical, consumer, and infrastructure sectors. Prior to Lunate, He held leadership positions in RDIF and Chimera Investment. He holds an Executive MBA from INSEAD.</t>
  </si>
  <si>
    <t>209960-11P</t>
  </si>
  <si>
    <t>Alok Elias</t>
  </si>
  <si>
    <t>Alok</t>
  </si>
  <si>
    <t>Principal, Private Equity</t>
  </si>
  <si>
    <t>aelias@lunate.com</t>
  </si>
  <si>
    <t>Mr. Alok Elias serves as Principal, Private Equity at Lunate. He is responsible for executing private equity direct and co-investments, as well as select public investments. He has over 10 years of experience. Prior to Lunate, Alok held positions at ADQ, Standard Chartered Private Equity and The Abraaj Group. Alok holds a Master's degree in Management from the University of London and a Bachelor of Arts in Economics from the University of Delhi.</t>
  </si>
  <si>
    <t>418447-27P</t>
  </si>
  <si>
    <t>Amer Al Ameri</t>
  </si>
  <si>
    <t>Venture Capital</t>
  </si>
  <si>
    <t>Al Ameri</t>
  </si>
  <si>
    <t>Amer</t>
  </si>
  <si>
    <t>Partner and Head of Venture Capital</t>
  </si>
  <si>
    <t>aalameri@lunate.com</t>
  </si>
  <si>
    <t>Mr. Amer Al Ameri serves as Partner and Head of Venture Capital at Lunate. He is an experienced investment professional, having served as Head of Venture Capital &amp; Technology at ADQ. He has extensive expertise in the technology industry and is a board member at several leading technology companies. He is a CFA Charterholder and holds an MBA from the University of Oxford.</t>
  </si>
  <si>
    <t>339176-80P</t>
  </si>
  <si>
    <t>Andre Forsterling</t>
  </si>
  <si>
    <t>Forsterling</t>
  </si>
  <si>
    <t>Andre</t>
  </si>
  <si>
    <t>Director &amp; Co-Head of Private Equity Funds</t>
  </si>
  <si>
    <t>aforsterling@lunate.com</t>
  </si>
  <si>
    <t>Mr. Andre Forsterling serves as Director &amp; Co-Head of Private Equity Funds at Lunate Capital. Mr. Andre served as Executive, Private Equity at Abu Dhabi Growth Fund. His responsible for executing the firm's private equity fund-of-funds investment strategy. He brings over 17 years of experience to the firm. Prior to Lunate, he held senior positions at ADG and the UAE's General Pension and Social Security Authority, where he helped establish the private equity, private credit, infrastructure, and real estate portfolios. He also worked at Auda International and MEAG in Germany. Andre holds a joint Master's degree in Business Administration and Computer Engineering from the Technical University of Berlin.</t>
  </si>
  <si>
    <t>418479-22P</t>
  </si>
  <si>
    <t>Andrew Chvatal</t>
  </si>
  <si>
    <t>Chvatal</t>
  </si>
  <si>
    <t>Partner &amp; Head of Legal</t>
  </si>
  <si>
    <t>achvatal@lunate.com</t>
  </si>
  <si>
    <t>Mr. Andrew Chvatal serves as Partner &amp; Head of Legal at Lunate. He oversees all legal matters pertaining to Lunate's investment activities. He brings over 20 years of experience to the firm. Prior to Lunate, He served as the Chief Legal Officer of ADG. Previously, he held senior roles at an emerging markets private equity firm, as well as at leading law firms in New York, specializing in leveraged buyouts and other private equity transactions. He holds a Bachelor's degree from Boston University and a JD from Georgetown University.</t>
  </si>
  <si>
    <t>418445-65P</t>
  </si>
  <si>
    <t>Ankit Agarwal</t>
  </si>
  <si>
    <t>Agarwal</t>
  </si>
  <si>
    <t>Ankit</t>
  </si>
  <si>
    <t>Principal, Partnerships</t>
  </si>
  <si>
    <t>aagarwal@lunate.com</t>
  </si>
  <si>
    <t>Mr. Ankit Agarwal serves as Principal, Partnerships at Lunate. He is responsible for establishing and managing strategic partnerships on behalf of the firm. He was a Vice President of the venture capital team at Chimera Capital. He previously worked in BDA Partners' investment banking team. He holds a Bachelor's degree in Economics from the University of Warwick.</t>
  </si>
  <si>
    <t>418478-32P</t>
  </si>
  <si>
    <t>Anup Cherian</t>
  </si>
  <si>
    <t>Cherian</t>
  </si>
  <si>
    <t>Anup</t>
  </si>
  <si>
    <t>Partner &amp; Director of Compliance</t>
  </si>
  <si>
    <t>acherian@lunate.com</t>
  </si>
  <si>
    <t>Mr. Anup Cherian serves as Partner &amp; Director of Compliance at Lunate. He plays a key role in managing the firm's global compliance, fund launches and regulatory requirements. He has over 15 years of experience in compliance, anti-money laundering (AML) and fund administration. Prior to Lunate, He held senior roles at Chimera Capital, Afkar Capital and Northern Trust. He is a Certified AML Specialist and holds a Bachelor's degree in Business Administration from Bangalore University.</t>
  </si>
  <si>
    <t>418526-11P</t>
  </si>
  <si>
    <t>Aseem Gupta</t>
  </si>
  <si>
    <t>Gupta</t>
  </si>
  <si>
    <t>Aseem</t>
  </si>
  <si>
    <t>agupta@lunate.com</t>
  </si>
  <si>
    <t>Mr. Aseem Gupta serves as Director, Private Equity at Lunate. He is responsible for executing the firm's private equity direct investments strategy. He brings over 19 years of experience to the firm. Prior to Lunate, He held roles at ADQ, Waha Capital, and Deutsche Bank. He holds a Bachelor's degree in Computer Engineering from Purdue University and an MBA from the Jones Graduate School of Business at Rice University.</t>
  </si>
  <si>
    <t>138671-47P</t>
  </si>
  <si>
    <t>Ayman Anwar</t>
  </si>
  <si>
    <t>Anwar</t>
  </si>
  <si>
    <t>Ayman</t>
  </si>
  <si>
    <t>Senior Principal, Private Equity</t>
  </si>
  <si>
    <t>aanwar@lunate.com</t>
  </si>
  <si>
    <t>Mr. Ayman Anwar served as a Board Member at Amoun Pharmaceutical Company. He also serves as Senior Principal, Private Equity at Lunate. Mr. Ayman Anwar served as Director of advisory at Perella Weinberg Partners. Prior to joining Perella Weinberg Partners in 2011, Mr. Anwar was an Associate at Akanar Partners, where he was primarily focused on M&amp;A assignments in Egypt and across the MENA region. His work at Perella Weinberg Partners mainly consists of M&amp;A assignments across various sectors, including financial institutions and industrials. Mr. Anwar received a Bachelor of Commerce from the John Molson School of Business at Concordia University.</t>
  </si>
  <si>
    <t>418515-49P</t>
  </si>
  <si>
    <t>Aziz Moolji</t>
  </si>
  <si>
    <t>Moolji</t>
  </si>
  <si>
    <t>Aziz</t>
  </si>
  <si>
    <t>Senior Partner, Direct &amp; Co-Investments &amp; Member of the Investment Committee</t>
  </si>
  <si>
    <t>amoolji@lunate.com</t>
  </si>
  <si>
    <t>Mr. Aziz Moolji serves as Senior Partner, Direct &amp; Co-Investments &amp; Member of the Investment Committee at Lunate. He is also a member of the firm's Investment Committee. He began his career at Goldman Sachs and has over 25 years of experience in private equity and investment banking. Prior to joining Lunate, he was an Executive Director in the M&amp;A and alternatives team at ADQ. He holds dual Bachelor of Science degrees in Electrical Engineering and Management from MIT and an MBA from the Wharton School, University of Pennsylvania.</t>
  </si>
  <si>
    <t>418494-61P</t>
  </si>
  <si>
    <t>Bo Zhao</t>
  </si>
  <si>
    <t>Zhao</t>
  </si>
  <si>
    <t>Bo</t>
  </si>
  <si>
    <t>Senior Principal, Venture Capital</t>
  </si>
  <si>
    <t>bzhao@lunate.com</t>
  </si>
  <si>
    <t>Mr. Bo Zhao serves as Senior Principal of Venture Capital at Lunate. He is a member of Lunate's venture capital team, responsible for direct investments in venture and growth stage technology. Prior to Lunate, He spent over a decade working in private equity, venture capital, and M&amp;A in New York, London, and the Middle East at leading investment firms, including ADQ and PIF. He holds an MBA from Columbia Business School and is a CFA charterholder.</t>
  </si>
  <si>
    <t>418519-09P</t>
  </si>
  <si>
    <t>Caesar Maasry</t>
  </si>
  <si>
    <t>Maasry</t>
  </si>
  <si>
    <t>Caesar</t>
  </si>
  <si>
    <t>Director &amp; Head of Investment Research</t>
  </si>
  <si>
    <t>cmaasry@lunate.com</t>
  </si>
  <si>
    <t>Mr. Caesar Maasry serves as Director &amp; Head of Investment Research at Lunate. He brings close to 20 years of experience to the firm. Prior to joining Lunate, He led emerging market and cross-asset research at Goldman Sachs in New York. He is also a regular contributor to CNBC's Squawk Box and Bloomberg's Daybreak programs. He holds a Bachelor of Arts and Bachelor of Science in International Studies and Economics with a concentration in Finance, respectively, from The University of Pennsylvania and The Wharton School of the University of Pennsylvania.</t>
  </si>
  <si>
    <t>418472-29P</t>
  </si>
  <si>
    <t>Carolyn Ang</t>
  </si>
  <si>
    <t>Ang</t>
  </si>
  <si>
    <t>Carolyn</t>
  </si>
  <si>
    <t>Director, Legal</t>
  </si>
  <si>
    <t>cang@lunate.com</t>
  </si>
  <si>
    <t>Ms. Carolyn Ang serves as Director of Legal at Lunate. She brings more than 18 years of experience to the firm. She works with the private equity team on M&amp;A transactions across a range of sectors and jurisdictions. Prior to Lunate, She worked on M&amp;A at several top-tier international firms across Singapore, the UK, and the Middle East. Carolyn has a Bachelor of Arts and Social Sciences in Political Science and European Studies from the National University of Singapore and a Bachelor of Laws. She is qualified to practice law in England, Wales and Singapore.</t>
  </si>
  <si>
    <t>448225-03P</t>
  </si>
  <si>
    <t>Chye Guan</t>
  </si>
  <si>
    <t>Quantum Asset Management (Singapore)</t>
  </si>
  <si>
    <t>Guan</t>
  </si>
  <si>
    <t>Chye</t>
  </si>
  <si>
    <t>quantumasset.com</t>
  </si>
  <si>
    <t>Executive Director &amp; Portfolio Manager</t>
  </si>
  <si>
    <t>+65 6396 7997</t>
  </si>
  <si>
    <t>cguan@quantumasset.com</t>
  </si>
  <si>
    <t>Singapore, Singapore</t>
  </si>
  <si>
    <t>60 Paya Lebar Road</t>
  </si>
  <si>
    <t>Number 05-12 Paya Lebar Square</t>
  </si>
  <si>
    <t>Singapore</t>
  </si>
  <si>
    <t>409051</t>
  </si>
  <si>
    <t>Mr. Chye Guan serves as Executive Director at Quantum Asset Management. He has more than 25 years of wealth management experience, Chye Guan is well versed in treasury products, with experiences in National Discount Co. and Bankers Trust Company in 1986 and 1988 respectively. In 1991, he became a Director of Swiss Bank Corporation, and was responsible for advising and managing private clients' portfolios. Between 1994 and 2014, Chye Guan was Head of Private Banking in ABN AMRO, JP Morgan, HSBC, Barclays, Royal Bank of Canada and LGT Bank, providing wealth management and advisory solutions to Asian high net worth and ultra-high net worth clients. He holds a Bachelor of Arts (Hons) in Economics from the University of Calgary in Canada.</t>
  </si>
  <si>
    <t>78789-70P</t>
  </si>
  <si>
    <t>Clelia Zacharias</t>
  </si>
  <si>
    <t>LGT Capital Partners</t>
  </si>
  <si>
    <t>Zacharias</t>
  </si>
  <si>
    <t>Clelia</t>
  </si>
  <si>
    <t>Principal</t>
  </si>
  <si>
    <t>+41 (0)58 261 8000</t>
  </si>
  <si>
    <t>clelia.zacharias@lgtcp.com</t>
  </si>
  <si>
    <t>Pfaeffikon, Switzerland</t>
  </si>
  <si>
    <t>Schuetzenstrasse, 6</t>
  </si>
  <si>
    <t>Post Office Box CH-8808</t>
  </si>
  <si>
    <t>Pfaeffikon</t>
  </si>
  <si>
    <t>8808</t>
  </si>
  <si>
    <t>Switzerland</t>
  </si>
  <si>
    <t>Ms. Clelia Zacharias serves as Principal at LGT Capital Partners. She served as Executive Director, LGT Capital Partners at LGT Group. She was previously working as a Associate at AlpInvest Partners.</t>
  </si>
  <si>
    <t>35481-43P</t>
  </si>
  <si>
    <t>Daniel Rauti</t>
  </si>
  <si>
    <t>Rauti</t>
  </si>
  <si>
    <t>Daniel</t>
  </si>
  <si>
    <t>+852 3841 7888</t>
  </si>
  <si>
    <t>drauti@lgt.com</t>
  </si>
  <si>
    <t>Hong Kong, Hong Kong</t>
  </si>
  <si>
    <t>Suite 4203, 43rd Floor, Two Exchange Square</t>
  </si>
  <si>
    <t>8 Connaught Place Central, GPO Box 13398</t>
  </si>
  <si>
    <t>Hong Kong</t>
  </si>
  <si>
    <t>13398</t>
  </si>
  <si>
    <t>Mr. Daniel Rauti serves as Partner at LGT Capital Partners. He joined LGT Bank in 1989 and completed an extensive three-year bank training program. Mr. Rauti later left for further studies at the University of Applied Sciences in Chur, Switzerland, specializing in Banking and Finance. He rejoined LGT Group in Hong Kong in 1999 as a portfolio manager responsible for Asia-based clients. In that function he was involved extensively in developing LGT's alternative investment business in the region. Mr. Rauti is a Chartered Financial Analyst (CFA)</t>
  </si>
  <si>
    <t>172995-85P</t>
  </si>
  <si>
    <t>Eric Janowak</t>
  </si>
  <si>
    <t>Janowak</t>
  </si>
  <si>
    <t>Eric</t>
  </si>
  <si>
    <t>Director &amp; Head of Tax</t>
  </si>
  <si>
    <t>ejanowak@lunate.com</t>
  </si>
  <si>
    <t>Mr. Eric Janowak serves as Director &amp; Head of Tax at Lunate. He brings over 19 years of experience to the firm. Prior to Lunate, He was a Managing Director with KPMG US in New York and London, where he focused on tax structuring for asset managers and sovereign investors. Prior to KPMG, he was in-house tax counsel at Ares Management in Los Angeles, the Abu Dhabi Investment Authority, and Bank of America Merrill Lynch in London. He holds a Bachelor of Business Administration in Finance from the University of Wisconsin-Madison and a JD from Marquette University Law School. He is a U.S.-qualified attorney and a member of the State Bar of Wisconsin.</t>
  </si>
  <si>
    <t>466387-75P</t>
  </si>
  <si>
    <t>Faisal Al Thani</t>
  </si>
  <si>
    <t>Qatar Investment Authority</t>
  </si>
  <si>
    <t>Al Thani</t>
  </si>
  <si>
    <t>Faisal</t>
  </si>
  <si>
    <t>www.qia.qa</t>
  </si>
  <si>
    <t>Member of the Board</t>
  </si>
  <si>
    <t>+974 44995919</t>
  </si>
  <si>
    <t>Ooredoo Tower, Building 14, Dafna Street, Street 801, Al Dafna District, Zone 61</t>
  </si>
  <si>
    <t>Po Box 23224</t>
  </si>
  <si>
    <t>+974 4995991</t>
  </si>
  <si>
    <t>Mr. Faisal Al Thani serves as a Member of the Board at Qatar Investment Authority. His Excellency holds several prominent roles in Qatar, including being a member of the Supreme Council for Economic Affairs and Investment, the National Planning Council, and a member of the Supreme Committee for the Preparation of the Third National Development Strategy. Additionally, His Excellency is the Chairman of the Qatar Financial Centre Authority and Chairman of the Advisory Board for the Investment Promotion Agency. He also serves as the Chairman of Ooredoo Group and Lesha Bank and is a member of the Board of Directors of Qatar Airways Group and Qatar Insurance Company. Throughout his career, His Excellency served as the Chief Investment Officer for Asia and Africa at the Qatar Investment Authority, as well as several other leadership roles, including Chief Investment Officer at the Qatar Foundation Endowment from 2014 - 2017. He also played a key role in managing investments at the Qatar Central Bank from 2010 - 2014. He has also served as Chairman of the Qatar Banking Studies and Business Administration Secondary School and as Vice Chairman of Vodafone Qatar between 2013 - 2016. In addition, he has been a board member for several prominent organizations, including Ahlibank, Qatari Diar Real Estate Investment Company, Nakilat, Bharti Airtel, and Siemens Qatar. He holds a Bachelor's degree in Business Administration from Marymount University in the United States of America and an Executive Master's in Business Administration from HEC Paris.</t>
  </si>
  <si>
    <t>418476-61P</t>
  </si>
  <si>
    <t>Faris Badri</t>
  </si>
  <si>
    <t>Badri</t>
  </si>
  <si>
    <t>Faris</t>
  </si>
  <si>
    <t>fbadri@lunate.com</t>
  </si>
  <si>
    <t>Mr. Faris Badri serves as Principal, Private Equity at Lunate. His current work experience includes a role at Lunate, focusing on buy-side activities and portfolio management. Past work experience involves positions at ADQ and PwC, specializing in transaction advisory. Education qualification includes a Bachelor of Business Administration from the American University in Dubai and CFA Charterholder status.</t>
  </si>
  <si>
    <t>223725-43P</t>
  </si>
  <si>
    <t>Fran Lee</t>
  </si>
  <si>
    <t>Lee</t>
  </si>
  <si>
    <t>Fran</t>
  </si>
  <si>
    <t>Associate Director</t>
  </si>
  <si>
    <t>+41 (0)55 415 9600</t>
  </si>
  <si>
    <t>fran.lee@lgtcp.com</t>
  </si>
  <si>
    <t>Mr. Fran Lee serves as Associate Director at LGT Capital Partners. Mr. Lee served as a Senior Analyst at LGT Group.</t>
  </si>
  <si>
    <t>399527-56P</t>
  </si>
  <si>
    <t>Francisco Loranca</t>
  </si>
  <si>
    <t>Loranca</t>
  </si>
  <si>
    <t>Francisco</t>
  </si>
  <si>
    <t>floranca@lunate.com</t>
  </si>
  <si>
    <t>Mr. Francisco Loranca serves as Senior Principal, Venture Capital at Lunate Capital. He serves as Board Member at Salmon. He is responsible for executing the firm's direct investments in venture capital and growth. Prior to Lunate, Francisco was a Senior Investment Manager at Prosus, specializing in fintech investments globally in growth and venture capital. Francisco has also worked as an investment banker in the Financial Institutions Group at Credit Suisse. He holds an MBA from INSEAD.</t>
  </si>
  <si>
    <t>418528-54P</t>
  </si>
  <si>
    <t>Hadi Al Rashid</t>
  </si>
  <si>
    <t>Al Rashid</t>
  </si>
  <si>
    <t>Hadi</t>
  </si>
  <si>
    <t>halrashid@lunate.com</t>
  </si>
  <si>
    <t>Hadi Al Rashid serves as Principal, Private Equity at Lunate. He focuses on growth and buyout investments. Previously, He worked in the technology investment banking team at Deutsche Bank in San Francisco. He holds a Bachelor of Science in Electrical Engineering from the University of Waterloo in Canada and an MBA from the University of Virginia's Darden School of Business.</t>
  </si>
  <si>
    <t>418514-50P</t>
  </si>
  <si>
    <t>Hariganesh Muralidharan</t>
  </si>
  <si>
    <t>Muralidharan</t>
  </si>
  <si>
    <t>Hariganesh</t>
  </si>
  <si>
    <t>hmuralidharan@lunate.com</t>
  </si>
  <si>
    <t>Mr. Hariganesh Muralidharan serves as Principal, Private Equity at Lunate. He is responsible for executing the firm's private equity direct investment strategy. Prior to Lunate, he gained over 12 years of experience in positions at Chimera Capital, Abu Dhabi Ports, KPMG, and PWC. He holds a Bachelor of Commerce from the University of Madras and a Leadership Certification from London Business School. He is a Chartered Accountant.</t>
  </si>
  <si>
    <t>418531-15P</t>
  </si>
  <si>
    <t>Ilias Catsaros</t>
  </si>
  <si>
    <t>Catsaros</t>
  </si>
  <si>
    <t>Ilias</t>
  </si>
  <si>
    <t>Director &amp; Head of Communications</t>
  </si>
  <si>
    <t>icatsaros@lunate.com</t>
  </si>
  <si>
    <t>Mr. Ilias Catsaros serves as Director &amp; Head of Communications at Lunate. He is responsible for Lunate's communications strategy, overseeing media relations, digital and social media, internal communications, and events and sponsorships. Before joining Lunate, He worked at BNP Paribas for close to two decades, most recently as Head of Marketing &amp; Communications Americas, based in New York. He started his career as a media relations and investor relations consultant in London. He has a Bachelor's degree in Human Sciences from Oxford University, a Master's degree in Finance from London Business School, and an MBA from Warwick Business School.</t>
  </si>
  <si>
    <t>87276-61P</t>
  </si>
  <si>
    <t>Jack Macdowell Jr.</t>
  </si>
  <si>
    <t>The Palisades Group</t>
  </si>
  <si>
    <t>Macdowell</t>
  </si>
  <si>
    <t>Jack</t>
  </si>
  <si>
    <t>www.palisades.us.com</t>
  </si>
  <si>
    <t>Chief Investment Officer</t>
  </si>
  <si>
    <t>+1 (512) 361-2023</t>
  </si>
  <si>
    <t>jmacdowell@palisades.us.com</t>
  </si>
  <si>
    <t>Austin, TX</t>
  </si>
  <si>
    <t>401 South 1st Street</t>
  </si>
  <si>
    <t>Suite 850</t>
  </si>
  <si>
    <t>Austin</t>
  </si>
  <si>
    <t>78704</t>
  </si>
  <si>
    <t>Mr. Jack Macdowell serves as Managing Member &amp; Chief Investment Officer at The Palisades Group. He serves as Chief Investment Officer at Chimera Investment. He has over 15 years of experience in investment management and trading mortgage-backed and asset-backed securities. Before forming Palisades, from July 2009 to August 2012, he served as the chief investment officer at Carrington Capital Management, where he oversaw the teams responsible for investment strategies, quantitative analysis, mortgage credit analytics, valuation, trading, and risk management of residential mortgages. Before joining Carrington Capital Management, he was responsible for analyzing and trading mortgage-backed securities ("MBS") and asset-backed securities ("ABS") at Old Hill Partners from March 2008 to July 2009. Before joining Old Hill Partners, he served as Principal and Head of Capital Markets, Structuring, and Analytics at Carrington Capital Management, where he was responsible for the firm's mortgage credit analytics, securitization activities related to more than $23 billion in acquired residential mortgage loans, and related portfolio hedges. From September 2001 through January 2005, he served as a Vice President in the Asset Securitization Group at RBC Capital Markets. He worked in the Asset Securitization Group at Credit Suisse First Boston from July 2000 through September 2001. He is a holder of the right to use the Chartered Financial Analyst® designation and graduated from the University of Texas at Austin with a Bachelor of Business Administration degree in Finance. He is a member of the CFA Institute, CFA Society of Austin, CFA Society New York, and CFA Society Los Angeles. He serves as an Independent Trustee to Vertical Capital Income Fund, and NYSE-listed closed-end fund.</t>
  </si>
  <si>
    <t>418505-68P</t>
  </si>
  <si>
    <t>Jack Simkin</t>
  </si>
  <si>
    <t>Simkin</t>
  </si>
  <si>
    <t>Director &amp; Head of Talent Acquisition</t>
  </si>
  <si>
    <t>jsimkin@lunate.com</t>
  </si>
  <si>
    <t>Mr. Jack Simkin serves as Director &amp; Head of Talent Acquisition at Lunate. He is responsible for leading hiring across all the firm's functions and geographies. Prior to Lunate, He was a Managing Director at an executive search firm focused on alternative investments. He holds a Bachelor's degree in Business Management and Sports Science from Brunel University.</t>
  </si>
  <si>
    <t>267889-06P</t>
  </si>
  <si>
    <t>Jason Loveless</t>
  </si>
  <si>
    <t>Loveless</t>
  </si>
  <si>
    <t>Jason</t>
  </si>
  <si>
    <t>Senior Partner, Operations</t>
  </si>
  <si>
    <t>jloveless@lunate.com</t>
  </si>
  <si>
    <t>Mr. Jason Loveless serves as Senior Partner, Operations at Lunate. He is responsible for overseeing finance, tax, treasury, fund operations, compliance, and risk. He has over 24 years of experience in asset management, including nine years with Northern Trust, followed by roles at several asset management firms. He is a member of the Association of Certified Chartered Accountants (ACCA).</t>
  </si>
  <si>
    <t>18193-78P</t>
  </si>
  <si>
    <t>John Varley</t>
  </si>
  <si>
    <t>BlackRock (Former)</t>
  </si>
  <si>
    <t>Varley</t>
  </si>
  <si>
    <t>www.blackrock.com</t>
  </si>
  <si>
    <t>Board Member</t>
  </si>
  <si>
    <t>John, a British citizen, has significant banking experience having spent 28 years with Barclays PLC, most notably as chief executive of the Group from 2004 until 2010. Johnâ€™s extensive board-level experience makes him an effective senior independent director and his financial services experience complements the balance of skills on the board. During his career with Barclays, he held several senior positions, including chairman of the Asset Management division, group finance director and deputy chief executive. Prior to joining Barclays, John worked as a solicitor. External appointments (current and recent): Director of Barclays PLC and Barclays Bank PLC from 1998 until 2010, non-executive director of BlackRock Inc. since 2009, non-executive director and senior independent director of AstraZeneca plc from 2006 and 2012 respectively until April 2015, chairman of Marie Curie since 2011, chairman of Employment for Excluded Groups since 2006 and trustee of the Prince of Wales Charitable Foundation since 2011.</t>
  </si>
  <si>
    <t>399309-94P</t>
  </si>
  <si>
    <t>Joseph Cha</t>
  </si>
  <si>
    <t>Cha</t>
  </si>
  <si>
    <t>Joseph</t>
  </si>
  <si>
    <t>Senior Partner, Fund Investments &amp; Partnerships and Member of Investment Committee</t>
  </si>
  <si>
    <t>jcha@lunate.com</t>
  </si>
  <si>
    <t>Mr. Joseph Cha serves as Senior Partner, Fund Investments &amp; Partnerships and Member of Investment Committee at Lunate Capital.</t>
  </si>
  <si>
    <t>243780-13P</t>
  </si>
  <si>
    <t>Karim Radwan</t>
  </si>
  <si>
    <t>Radwan</t>
  </si>
  <si>
    <t>Karim</t>
  </si>
  <si>
    <t>Partner &amp; Head of Strategic Partnerships</t>
  </si>
  <si>
    <t>kradwan@lunate.com</t>
  </si>
  <si>
    <t>Mr. Karim Radwan serves as Partner &amp; Head of Strategic Partnerships at Lunate. Mr. Radwan serves as Head of Fund Investments at ALTÉRRA. Mr. Radwan is responsible for developing key relationships across various asset classes. Prior to Lunate, he served as Chief Investment Officer of Chimera Capital and Executive Director of MENA Investments at RIMCO. He brings over 22 years of experience to the firm, including senior regional positions in corporate and investment banking. He holds an MBA from London Business School.</t>
  </si>
  <si>
    <t>418496-05P</t>
  </si>
  <si>
    <t>Katarina Vitkova</t>
  </si>
  <si>
    <t>Vitkova</t>
  </si>
  <si>
    <t>Katarina</t>
  </si>
  <si>
    <t>Principal, Fund Investments</t>
  </si>
  <si>
    <t>kvitkova@lunate.com</t>
  </si>
  <si>
    <t>Ms. Katarina Vitkova serves as Principal, Fund Investments at Lunate. She is responsible for executing the firm's private equity funds investment strategy. Prior to Lunate, She was an Investment Manager at ADQ and a Vice President at Delta Partners, a specialized TMT advisory and investment firm. She holds a Master's degree in International Management from ESADE and a Bachelor's degree from Bocconi University.</t>
  </si>
  <si>
    <t>418498-12P</t>
  </si>
  <si>
    <t>Kateryna Taousse</t>
  </si>
  <si>
    <t>Taousse</t>
  </si>
  <si>
    <t>Kateryna</t>
  </si>
  <si>
    <t>Partner &amp; Head of Credit Funds</t>
  </si>
  <si>
    <t>ktaousse@lunate.com</t>
  </si>
  <si>
    <t>Ms. Kateryna Taousse serves as Partner &amp; Head of Credit Funds at Lunate. Ms. Taousse oversees the firm's credit fund investments. With almost 20 years of experience, She has held several senior positions, including Head of Credit Hedge Fund Manager Research within the equities and active investments department at Abu Dhabi Investment Council. Previously, she worked at Pacific Alternative Asset Management. She holds a Bachelor of Arts in Economics from Bryn Mawr College and an MBA from the Stanford Graduate School of Business.</t>
  </si>
  <si>
    <t>31303-09P</t>
  </si>
  <si>
    <t>Kathryn Matthews</t>
  </si>
  <si>
    <t>VinaCapital (Vietnam) (Former)</t>
  </si>
  <si>
    <t>Matthews</t>
  </si>
  <si>
    <t>Kathryn</t>
  </si>
  <si>
    <t>www.vinacapital.sg</t>
  </si>
  <si>
    <t>Ms. Kathryn Matthews serves as a Non-Executive Director at VinaCapital Group. She has spent her entire career in investment management, most recently as chief investment officer, Asia Pacific (ex Japan) for Fidelity International. Prior to that, she held senior appointments with William M Mercer, AXA Investment Managers, Santander Global Advisers, and Baring Asset Management. She is a non-executive director of Aperam S.A., J P Morgan Chinese Investment Trust Plc, Montanaro UK Smaller Companies Investment Trust Plc, and BT Investments Limited. She is on the board of trustees of the Nuffield Trust and is a non-executive member of the Council of the Duchy of Lancaster. She retired as a non-executive director of Hermes Fund Managers Limited in January 2017. She is chairman of the group risk committee.</t>
  </si>
  <si>
    <t>261403-39P</t>
  </si>
  <si>
    <t>Khalifa Al Suwaidi</t>
  </si>
  <si>
    <t>Al Suwaidi</t>
  </si>
  <si>
    <t>Khalifa</t>
  </si>
  <si>
    <t>Co-Founder, Managing Partner, Board Member &amp; Member of Investment Committee and Supervisory Committee</t>
  </si>
  <si>
    <t>Mr. Khalifa Al Suwaidi is a Co-Founder and serves as Managing Partner, Board Member &amp; Member of the Investment Committee and Supervisory Committee at Lunate. Mr. Al Suwaidi serves as Chief Executive Officer at Abu Dhabi Growth Fund. He serves as Vice Chairman at Abu Dhabi Ports. He also served as Director General - Investment Affairs at Abu Dhabi Retirement Pensions &amp; Benefits Fund. He also serves as Vice Chairman, Non-Executive and Board Member at Abu Dhabi National Energy Company. He holds a bachelor's degree in business administration, majoring in marketing, from California State University in the United States and has an executive master's in business administration with distinction from Zayed University.</t>
  </si>
  <si>
    <t>446936-77P</t>
  </si>
  <si>
    <t>Leena Niazi</t>
  </si>
  <si>
    <t>Niazi</t>
  </si>
  <si>
    <t>Leena</t>
  </si>
  <si>
    <t>lniazi@lunate.com</t>
  </si>
  <si>
    <t>Ms. Leena Niazi serves as Associate Director at Lunate.</t>
  </si>
  <si>
    <t>77334-40P</t>
  </si>
  <si>
    <t>Marcel Dillier</t>
  </si>
  <si>
    <t>Dillier</t>
  </si>
  <si>
    <t>Marcel</t>
  </si>
  <si>
    <t>marcel.dillier@lgt.com</t>
  </si>
  <si>
    <t>Mr. Marcel Dillier serves as a Partner at LGT Capital Partners. Before joining the firm in 2006, he gained extensive experience in banking, including research, asset structuring, and sales at UBS in Zurich and London for over 14 years. At LGT Capital Partners, he mainly takes care of the business relationship with LGT Bank. He provides professional and discreet advice to meet the needs of high-net-worth and institutional investors. He obtained large mandates from international institutions. Further, he is a product specialist for the Princely Strategy. He holds an MA in Business Administration from the University of Zurich and is a CFA Charterholder</t>
  </si>
  <si>
    <t>418533-76P</t>
  </si>
  <si>
    <t>Matthew Holland</t>
  </si>
  <si>
    <t>Holland</t>
  </si>
  <si>
    <t>Matthew</t>
  </si>
  <si>
    <t>Director &amp; Head of Treasury &amp; Capital Markets</t>
  </si>
  <si>
    <t>mholland@lunate.com</t>
  </si>
  <si>
    <t>Mr. Matthew Holland serves as Director &amp; Head of Treasury &amp; Capital Markets at Lunate. He brings more than 20 years of experience to the firm. He is responsible for overseeing treasury operations, cash and liquidity management, financial risk management, and capital markets and funding activities. Prior to Lunate, He held senior positions at ADQ, Mubadala, and Citigroup in both Australia and the UK. He holds a Bachelor's degree in Economics from La Trobe University, Melbourne, and a Graduate Diploma in Applied Finance &amp; Investment from the Securities Institute of Australia.</t>
  </si>
  <si>
    <t>418443-40P</t>
  </si>
  <si>
    <t>Mazhar Abid</t>
  </si>
  <si>
    <t>Abid</t>
  </si>
  <si>
    <t>Mazhar</t>
  </si>
  <si>
    <t>Partner and Head of Finance</t>
  </si>
  <si>
    <t>mabid@lunate.com</t>
  </si>
  <si>
    <t>Mr. Mazhar Abid serves as Partner and Head of Finance at Lunate. He is responsible for overseeing the firm's financial and regulatory reporting, budgeting, and financial risk management. He brings over 20 years of experience to the firm. Before Lunate, he served as Chief Financial Officer at Chimera Capital and was Group CFO at Tawazun Group. He is a Chartered Accountant from the Institute of Chartered Accountants of Pakistan.</t>
  </si>
  <si>
    <t>418527-01P</t>
  </si>
  <si>
    <t>Mohamed Hafez</t>
  </si>
  <si>
    <t>Hafez</t>
  </si>
  <si>
    <t>Mohamed</t>
  </si>
  <si>
    <t>Partner &amp; Head of Capital Markets</t>
  </si>
  <si>
    <t>mhafez@lunate.com</t>
  </si>
  <si>
    <t>Mr. Mohamed Hafez serves as Partner &amp; Head of Capital Markets at Lunate. He oversees the promotion of ETFs and the overall rigor of Lunate's ETF ecosystem. He brings more than 18 years of experience to the firm. Prior to Lunate, He held senior positions at Chimera Capital, EFG-Hermes, Union National Bank, and Al Rajhi Capital. He holds a Bachelor of Arts in Business from the American University in Cairo.</t>
  </si>
  <si>
    <t>168750-46P</t>
  </si>
  <si>
    <t>Mohammed AlMualla</t>
  </si>
  <si>
    <t>Amwal (Asset Management) (Former)</t>
  </si>
  <si>
    <t>AlMualla</t>
  </si>
  <si>
    <t>Mohammed</t>
  </si>
  <si>
    <t>www.amwalqa.com</t>
  </si>
  <si>
    <t>Vice President</t>
  </si>
  <si>
    <t>Mr. Mohammed AlMualla served as Vice President at Amwal. He has over 12 years of experience in local Retail Banks and Swiss European Banks. Prior joining Amwal, Mohammed was a Relationship Manager at LGT Bank AG in Bahrain. He has also worked for TAIB Bank Bahrain and with HSBC Bank. He has an MBA from McMaster University Canada.</t>
  </si>
  <si>
    <t>418474-36P</t>
  </si>
  <si>
    <t>Mridul Ashok</t>
  </si>
  <si>
    <t>Ashok</t>
  </si>
  <si>
    <t>Mridul</t>
  </si>
  <si>
    <t>Partner &amp; Director of Investment Operations</t>
  </si>
  <si>
    <t>mashok@lunate.com</t>
  </si>
  <si>
    <t>Mr. Mridul Ashok serves as Partner &amp; Director of Investment Operations at Lunate. He is responsible for managing the firm's private and public investment operations. He brings over 15 years of experience to the firm. Prior to Lunate, he held senior positions at Chimera Capital and Northern Trust. He holds an MBA from Bangalore University.</t>
  </si>
  <si>
    <t>293068-18P</t>
  </si>
  <si>
    <t>Murtaza Hussain</t>
  </si>
  <si>
    <t>Hussain</t>
  </si>
  <si>
    <t>Murtaza</t>
  </si>
  <si>
    <t>Co-Founder, Managing Partner, Board Member &amp; Member of Investment Committee &amp; Supervisory Committee</t>
  </si>
  <si>
    <t>mhussain@lunate.com</t>
  </si>
  <si>
    <t>Mr. Murtaza Hussain is a Co-Founder and serves as Managing Partner, Board Member &amp; Member of Investment Committee &amp; Supervisory Committee at Lunate. Mr. Murtaza Hussain served as Chief Investment Officer - Alternative Investments and Merger &amp; Acquisition at ADQ.</t>
  </si>
  <si>
    <t>399633-85P</t>
  </si>
  <si>
    <t>Nabeel Qadir</t>
  </si>
  <si>
    <t>Qadir</t>
  </si>
  <si>
    <t>Nabeel</t>
  </si>
  <si>
    <t>Senior Partner, Strategy &amp; Investment Committee Member</t>
  </si>
  <si>
    <t>nqadir@lunate.com</t>
  </si>
  <si>
    <t>Mr. Nabeel Qadir serves as Senior Partner, Strategy &amp; Investment Committee Member at Lunate. He brings over 21 years of experience to the firm. He is responsible for Lunate's strategy, including investment strategy and client solutions. Prior to joining Lunate, he served as Chief Strategy Officer of the Abu Dhabi Growth Fund, helping manage more than $35 billion in assets primarily across private market strategies. Previously, he worked on the buy-side and sell-side across global private and public markets in M&amp;A, investment management, and investment research. In addition to his role as Senior Partner at Lunate, he serves as a Non-executive Director of Emirates Steel Arkan. He holds a Bachelor's degree in Business from York University, Toronto, and is a CFA charterholder.</t>
  </si>
  <si>
    <t>418497-49P</t>
  </si>
  <si>
    <t>Nader Toutoungi</t>
  </si>
  <si>
    <t>Toutoungi</t>
  </si>
  <si>
    <t>Nader</t>
  </si>
  <si>
    <t>ntoutoungi@lunate.com</t>
  </si>
  <si>
    <t>Mr. Nader Toutoungi serves as Principal, Private Equity at Lunate. He is responsible for executing the firm's private equity investment strategy. He brings over 10 years of experience to the firm. Prior to Lunate, he held roles at ADQ, CI Capital, and IFC, working in buy side, investment banking, and development finance. He holds a Bachelor of Business Administration from the American University in Cairo.</t>
  </si>
  <si>
    <t>418506-94P</t>
  </si>
  <si>
    <t>Naheed Sheikh</t>
  </si>
  <si>
    <t>Sheikh</t>
  </si>
  <si>
    <t>Naheed</t>
  </si>
  <si>
    <t>Partner &amp; Head of Human Capital Operations</t>
  </si>
  <si>
    <t>nsheikh@lunate.com</t>
  </si>
  <si>
    <t>Ms. Naheed Sheikh serves as Partner &amp; Head of Human Capital Operations at Lunate. She is responsible for providing operational and strategic support to achieve business objectives. She brings over 20 years of experience to the firm. Prior to Lunate, she held senior strategic human capital roles at prominent firms, including Anglo-Gulf Trade Bank, HUB71 and Abu Dhabi Financial Group, as well as PwC in Qatar and Canada. She holds a Bachelor's degree in Human Resources from Sheridan College and a Bachelor's degree in Statistics and Economics from Lahore College for Women University.</t>
  </si>
  <si>
    <t>418518-46P</t>
  </si>
  <si>
    <t>Naush Malik</t>
  </si>
  <si>
    <t>Malik</t>
  </si>
  <si>
    <t>Naush</t>
  </si>
  <si>
    <t>nmalik@lunate.com</t>
  </si>
  <si>
    <t>Mr. Naush Malik serves as Partner &amp; Co-Head of Credit at Lunate. He is responsible for direct and co-investments across credit strategies. Prior to Lunate, He built and led lending businesses at Chimera Capital, First Abu Dhabi Bank, and SCB Principal Finance. He began his 22-year leveraged finance career at CSFB in London and New York. He holds an MBA from INSEAD and a Bachelor's degree in Engineering from Imperial College London.</t>
  </si>
  <si>
    <t>71283-43P</t>
  </si>
  <si>
    <t>Nils Hagerstal</t>
  </si>
  <si>
    <t>Hagerstal</t>
  </si>
  <si>
    <t>Nils</t>
  </si>
  <si>
    <t>Director, Partnerships</t>
  </si>
  <si>
    <t>nhagerstal@lunate.com</t>
  </si>
  <si>
    <t>Mr. Nils Hagerstal serves as Director, Partnerships at Lunate Capital. He is responsible for the firm's GP stakes strategy. He brings over 17 years of experience to the firm. Prior to Lunate, Nils worked at a number of private equity funds in London and Abu Dhabi, having started his career at Rothschild and Merrill Lynch. Nils holds a Master's degree from EDHEC Business School.Mr. Nils Hagerstal served as Senior Investment Manager at ADQ. He served as Vice President at Blue Water Energy. His responsibilities include financial modeling, due diligence, execution, and monitoring. Before joining Blue Water Energy, he was an Associate at Terra Firma Capital Partners. Before Terra Firma, he was an Associate in the Corporate Finance &amp; Restructuring group at Bank of America Merrill Lynch. He started his career in Paris as an Investment Banking Analyst at Rothschild &amp; Cie. He holds an MSc. degree from EDHEC Business School in France.</t>
  </si>
  <si>
    <t>34486-39P</t>
  </si>
  <si>
    <t>Oliver Butler</t>
  </si>
  <si>
    <t>Butler</t>
  </si>
  <si>
    <t>Oliver</t>
  </si>
  <si>
    <t>obutler@lunate.com</t>
  </si>
  <si>
    <t>Mr. Oliver Butler serves as Director of Private Equity at Lunate. He is responsible for executing the firm's private equity direct investments strategy. He has over 18 years of experience in private equity, private equity-backed businesses, and M&amp;A. Prior to Lunate, he was Chief Strategy Officer at Moneycorp, a private equity-backed international payments specialist. Previously, he was a Senior Principal at Carlyle. He holds a Master of Arts in Natural Sciences from Cambridge University.</t>
  </si>
  <si>
    <t>373959-10P</t>
  </si>
  <si>
    <t>Omar Mehanna</t>
  </si>
  <si>
    <t>Mehanna</t>
  </si>
  <si>
    <t>Omar</t>
  </si>
  <si>
    <t>Director, Client Solutions</t>
  </si>
  <si>
    <t>+971 (0)2 401 0603</t>
  </si>
  <si>
    <t>omehanna@lunate.com</t>
  </si>
  <si>
    <t>Mr. Omar Mehanna serves as Director, Client Solutions at Lunate. Mr. Mehanna is responsible for raising third party capital. Prior to Lunate, he held senior positions at ADQ, Abu Dhabi Investment Office, NBAD, HSBC, and Bank of America in the UAE and London. He holds a Master of Science in Management from RCSI, Ireland and a Bachelor of Science in Econometrics and Mathematical Economics from the London School of Economics. He is a Chartered Accountant, having qualified from PwC London.</t>
  </si>
  <si>
    <t>278420-50P</t>
  </si>
  <si>
    <t>Patrice Schuetz</t>
  </si>
  <si>
    <t>Schuetz</t>
  </si>
  <si>
    <t>Patrice</t>
  </si>
  <si>
    <t>Chief Financial Officer &amp; Senior Partner</t>
  </si>
  <si>
    <t>pschuetz@lunate.com</t>
  </si>
  <si>
    <t>Mr. Patrice Schuetz serves as Partner &amp; Group Chief Financial Officer at Antin Infrastructure Partners. He is responsible for the firm's financial oversight and leading its finance, treasury and tax functions. He brings over 20 years of experience in finance and leadership to the firm. Prior to joining Lunate, he was a Partner and Group CFO at Antin Infrastructure Partners. Earlier in his career, he served as Executive Director at Morgan Stanley, leading investment banking coverage for asset and wealth management across EMEA, and held finance and accounting roles at ABB Group. He holds a Master's degree in Finance from the University of St. Gallen and a Bachelor's degree in Business Administration from the University of Applied Sciences in Zurich. He completed further executive education at Harvard Business School.</t>
  </si>
  <si>
    <t>215865-46P</t>
  </si>
  <si>
    <t>Patrick Ferrari</t>
  </si>
  <si>
    <t>Woodman Asset Management</t>
  </si>
  <si>
    <t>Ferrari</t>
  </si>
  <si>
    <t>Patrick</t>
  </si>
  <si>
    <t>www.woodman.ch</t>
  </si>
  <si>
    <t>Chief Executive Officer, Board Member &amp; Member of the Executive Committee</t>
  </si>
  <si>
    <t>+41 (0)41 725 0404</t>
  </si>
  <si>
    <t>patrick.ferrari@woodman.ch</t>
  </si>
  <si>
    <t>Zug, Switzerland</t>
  </si>
  <si>
    <t>Poststrasse 26</t>
  </si>
  <si>
    <t>Zug</t>
  </si>
  <si>
    <t>6300</t>
  </si>
  <si>
    <t>Mr. Patrick Ferrari serves as Chief Executive Officer, Board Member &amp; Member of the Executive Committee at Woodman Asset Management. Before joining Woodman, Patrick was the Head of Legal for Investment Funds and distribution Private Banking at Credit Suisse AG in Zurich. His previous positions include Head of Legal and Compliance at OCLANER Asset Management Pte Ltd, a Singapore Multi-Family Office, and Member of the Management Committee and Head of Legal and Compliance at LGT Bank (Singapore) Ltd. Patrick holds a master's degree in law from the University of Zurich and is admitted to the Swiss bar.</t>
  </si>
  <si>
    <t>418512-70P</t>
  </si>
  <si>
    <t>Paul Nauss</t>
  </si>
  <si>
    <t>Nauss</t>
  </si>
  <si>
    <t>Partner &amp; Head of Compliance</t>
  </si>
  <si>
    <t>pnauss@lunate.com</t>
  </si>
  <si>
    <t>Mr. Paul Nauss serves as Partner &amp; Head of Compliance at Lunate. He is responsible for the oversight and management of the firm's compliance and regulatory matters. He brings over 20 years of experience to the firm. Prior to Lunate, he held senior positions in New York, London, Tokyo, and Abu Dhabi, in leading firms, including Abu Dhabi Growth Fund, Carlson Capital, Goldman Sachs, and the Abu Dhabi Investment Authority. He holds a Bachelor's degree in Political Science from West Virginia University.</t>
  </si>
  <si>
    <t>200149-21P</t>
  </si>
  <si>
    <t>Peter Howley</t>
  </si>
  <si>
    <t>Howley</t>
  </si>
  <si>
    <t>Senior Partner &amp; Chief Legal Officer</t>
  </si>
  <si>
    <t>phowley@lunate.com</t>
  </si>
  <si>
    <t>Mr. Peter Howley serves as Senior Partner &amp; Chief Legal Officer at Lunate. Bringing over 20 years of experience to the firm. He oversees all aspects of Lunate's legal and company secretarial functions. Prior to Lunate, He held senior positions, in-house and in private practice, including General Counsel at ADQ and General Counsel and Company Secretary at Waha Capital. He is admitted as a solicitor in England and Wales, holds a certificate in legal practice from Nottingham Law School, and an LLB in law with European Law from the University of Leeds</t>
  </si>
  <si>
    <t>48688-48P</t>
  </si>
  <si>
    <t>Phillip Colebatch</t>
  </si>
  <si>
    <t>Man Group (Former)</t>
  </si>
  <si>
    <t>Colebatch</t>
  </si>
  <si>
    <t>Phillip</t>
  </si>
  <si>
    <t>www.man.com</t>
  </si>
  <si>
    <t>Senior Independent Director &amp; Chairman, Remuneration Committee</t>
  </si>
  <si>
    <t>Mr. Phillip Colebatch served as Senior Independent Director &amp; Chairman, Remuneration Committee at Man Group. He was appointed to the Board as a non-executive director in September 2007. Prior to joining the Board he was a member of the Executive Boards of Swiss Reinsurance Company and Credit Suisse Group. Phillip is a non-executive director of Lend Lease Corporation and is on the Boards of Trustees of the LGT Group Foundation and the Prince of Liechtenstein Foundation.</t>
  </si>
  <si>
    <t>79888-42P</t>
  </si>
  <si>
    <t>Raphael Paglia</t>
  </si>
  <si>
    <t>Paglia</t>
  </si>
  <si>
    <t>Raphael</t>
  </si>
  <si>
    <t>Executive Director</t>
  </si>
  <si>
    <t>raphael.paglia@lgt.com</t>
  </si>
  <si>
    <t>Mr. Raphael Paglia serves as an Executive Director at LGT Capital Partners. He also served as the Executive, Communications at LGT Group.</t>
  </si>
  <si>
    <t>14664-52P</t>
  </si>
  <si>
    <t>Roberto Paganoni Ph.D</t>
  </si>
  <si>
    <t>Paganoni</t>
  </si>
  <si>
    <t>Roberto</t>
  </si>
  <si>
    <t>Chief Executive Officer &amp; Member of the Executive Committee</t>
  </si>
  <si>
    <t>roberto.paganoni@lgtcp.com</t>
  </si>
  <si>
    <t>Dr. Roberto Paganoni serves as Chief Executive Officer, and Member of the Executive Committee at LGT Capital Partners. He also serves as Chief Executive Officer, LGT Capital Partners &amp; Member of the Senior Management Board at LGT Group. He joined LGT Group in 1997 to form the Alternative Investments Group, which is now LGT Capital Partners Ltd. Prior to joining LGT Group, he worked at McKinsey &amp; Company in 1989, where he managed international projects in the areas of industrial goods, airlines, telecommunications, and financial services. He has been based in Zurich since 1993. He completed his mechanical engineering studies at the Technical University of Aachen, Germany. He received a Ph.D. in Business Administration from the University of St. Gallen (HSG), where he also lectures part-time.</t>
  </si>
  <si>
    <t>59323-51P</t>
  </si>
  <si>
    <t>Roger Hilty</t>
  </si>
  <si>
    <t>Hilty</t>
  </si>
  <si>
    <t>Roger</t>
  </si>
  <si>
    <t>roger.hilty@lgtcp.com</t>
  </si>
  <si>
    <t>Mr. Roger Hilty serves as a Partner at LGT Capital Partners. He joined the firm in September 2004 from LGT Bank AG, where he started his career in January 2000 in the Trading/Treasury division. From 2000 to 2004, his responsibilities involved activities in equity, fixed-income, currency and commodity exchange-traded and OTC products as well as the processing of transactions for Asian, European, and US markets. He was also involved in business management projects for the Trading/Treasury group. He holds a Bachelor's degree in Business Administration and an MBA in Finance from the University of Liechtenstein.</t>
  </si>
  <si>
    <t>108705-70P</t>
  </si>
  <si>
    <t>Rupert Carington</t>
  </si>
  <si>
    <t>Carington</t>
  </si>
  <si>
    <t>Rupert</t>
  </si>
  <si>
    <t>Non-Executive Chairman (Independent)</t>
  </si>
  <si>
    <t>Mr. Rupert Carington served as Non-Executive Chairman (Independent) at VinaCapital Group. Mr. Carington has run his own financial advisory business since leaving Morgan Grenfell &amp; Co. Ltd., the merchant bank, after a 17 year career, including a period as Chief Executive of the Hong Kong office with responsibility for China. He is currently Chairman of Schroder AsiaPacific Fund Plc. He also sits on a number of boards and advisory boards of companies throughout Asia, Europe, North America, and the Middle East including those of SETE Technical Services, Alger Associates Inc., and Abdul Latif Jameel Co. Ltd. He is International Adviser to LGT Group Foundation. Mr. Carington's past directorships have included acting as Chairman of the Korea Asia Fund, Chairman of the Schroder Emerging Countries Fund, a Director of the Fleming Natural Resources Investment Trust and the JP Morgan Fleming Smaller Companies Investment Trust plc.</t>
  </si>
  <si>
    <t>460873-27P</t>
  </si>
  <si>
    <t>Ryan Ye</t>
  </si>
  <si>
    <t>Ye</t>
  </si>
  <si>
    <t>Ryan</t>
  </si>
  <si>
    <t>Senior Principal, Real Assets Funds</t>
  </si>
  <si>
    <t>rye@lunate.com</t>
  </si>
  <si>
    <t>Mr. Ryan Ye serves as Senior Principal, Real Assets Funds at Lunate. Mr. Ye leads the firm's global real estate and infrastructure fund investment strategy. Prior to joining Lunate, Ryan was an Executive Director at Goldman Sachs Alternatives in Hong Kong, where he led real estate investments across the capital structure, and held positions at Blackstone, CPPIB and J.P. Morgan where he worked on real estate transactions across Asia Pacific. Ryan holds a Bachelor of Arts in International Studies and German Studies, and Bachelor of Science Economics with a concentration in Finance, respectively, from College of Arts &amp; Sciences and The Wharton School of the University of Pennsylvania.</t>
  </si>
  <si>
    <t>418499-20P</t>
  </si>
  <si>
    <t>Sanjay Surana</t>
  </si>
  <si>
    <t>Surana</t>
  </si>
  <si>
    <t>Sanjay</t>
  </si>
  <si>
    <t>ssurana@lunate.com</t>
  </si>
  <si>
    <t>Mr. Sanjay Surana serves as Principal, Private Equity at Lunate. He is responsible for executing buyouts, private equity, and growth investments. Before joining Lunate, he worked at ADG, the International Finance Corporation, and Premji Invest. He worked in offices across Hong Kong, Washington DC, and India, focusing on developed and Asian markets. He holds an MBA from London Business School and is a CFA charterholder.</t>
  </si>
  <si>
    <t>81865-90P</t>
  </si>
  <si>
    <t>Seif Fikry</t>
  </si>
  <si>
    <t>Fikry</t>
  </si>
  <si>
    <t>Seif</t>
  </si>
  <si>
    <t>sfikry@lunate.com</t>
  </si>
  <si>
    <t>Mr. Seif Fikry is a Co-Founder and serves as Managing Partner, Board Member &amp; Member of Investment Committee &amp; Supervisory Committee at Lunate. Mr. Fikry served as Chief Executive Officer &amp; Board Member at Chimera Capital. He served as the Chief Executive Officer, Lower Gulf Cooperation Countries at EFG-Hermes. He is responsible for the entire EFG Hermes platform except for Saudi Arabia. He previously served as Managing Director and Head of Securities Brokerage in the UAE and Oman. He has spearheaded the Firm's brokerage business in the Lower GCC for the past nine years, making it the number-one regional broker. He joined in February 1997 and has held a number of key positions within the Financial Brokerage Group (FBG), the firm's institutional brokerage arm, including Head of the Institutional Desk. He boasts over 17 years of experience in the equities market. He holds a Bachelor of Arts degree in Economics from the American University in Cairo in 1993.</t>
  </si>
  <si>
    <t>30347-56P</t>
  </si>
  <si>
    <t>Sheikh Maktoum Hasher bin Maktoum</t>
  </si>
  <si>
    <t>SHUAA Capital (Former)</t>
  </si>
  <si>
    <t>Maktoum Hasher bin Maktoum</t>
  </si>
  <si>
    <t>www.shuaa.com</t>
  </si>
  <si>
    <t>Executive Chairman</t>
  </si>
  <si>
    <t>Mr. Maktoum Hasher bin Maktoum serves as an Executive Chairman at Shuaa Capital. He is the Executive Chairman of SHUAA Capital and the Chairman of Dubai International Holding Company, a private investment firm with extensive experience in natural resources, mining, traditional and renewable energy. His Highness is also a founding investor of Virgin Megastores in the UAE and the founder of A1 Grand Prix in 2001. His Highness graduated with a Bachelor of Science degree in Business Administration in Finance. He has been recognised for his leadership qualities on a number of occasions, including being named "CEO of the Year" by CEO Middle East in 2009 and "Young Global Leader of 2007" by the World Economic Forum.</t>
  </si>
  <si>
    <t>418532-77P</t>
  </si>
  <si>
    <t>Sherif Elhalawany</t>
  </si>
  <si>
    <t>Elhalawany</t>
  </si>
  <si>
    <t>Sherif</t>
  </si>
  <si>
    <t>Director &amp; Head of Information Security</t>
  </si>
  <si>
    <t>selhalawany@lunate.com</t>
  </si>
  <si>
    <t>Mr. Sherif Elhalawany serves as Director &amp; Head of Information Security at Lunate. He oversees information and cyber security. Prior to Lunate, He worked for leading financial institutions, including the Egyptian Stock Exchange and CIB Egypt. He is an alumnus of IMD University and holds a Bachelor of Commerce from Ain Shams University.</t>
  </si>
  <si>
    <t>83512-45P</t>
  </si>
  <si>
    <t>Sherif Salem</t>
  </si>
  <si>
    <t>Salem</t>
  </si>
  <si>
    <t>Partner &amp; Head of Public Markets</t>
  </si>
  <si>
    <t>ssalem@lunate.com</t>
  </si>
  <si>
    <t>Mr. Sherif Salem serves as Partner &amp; Head of Public Markets at Lunate. He oversees the firm's ETF business. Prior to Lunate, He acquired more than 20 years of investment experience at EFG-Hermes, National Bank of Abu Dhabi and Invest AD. He holds a Master's degree from Henley Business School and a Bachelor's degree in Economics from the American University in Cairo.</t>
  </si>
  <si>
    <t>418476-97P</t>
  </si>
  <si>
    <t>Silvia Barbarino</t>
  </si>
  <si>
    <t>Barbarino</t>
  </si>
  <si>
    <t>Silvia</t>
  </si>
  <si>
    <t>sbarbarino@lunate.com</t>
  </si>
  <si>
    <t>Ms. Silvia Barbarino serves as Principal of private Equity at Lunate. She is responsible for executing the firm's private equity direct investment strategy. Prior to Lunate, She worked in investment banking at Bank of America. She holds a Master's degree in Finance from Bocconi University.</t>
  </si>
  <si>
    <t>77335-66P</t>
  </si>
  <si>
    <t>Stephan Kind</t>
  </si>
  <si>
    <t>Kind</t>
  </si>
  <si>
    <t>Stephan</t>
  </si>
  <si>
    <t>stephan.kind@lgtcp.com</t>
  </si>
  <si>
    <t>Mr. Stephan Kind serves as a Partner at LGT Capital Partners. Mr. Kind is responsible for the firm's Liquid Markets activities. For more than fifteen years, he has been responsible for the portfolio management of the LGT Endowment fund. Mr. Kind started at LGT Group in August 1994 and joined LGT Capital Partners in October 2001. He spent a brief spell in LGT Bank's Hong Kong office and started in the portfolio management team for the LGT Endowment fund in 2005. From 2005 to 2013, he was also responsible for selecting and monitoring external managers in particular in the area of emerging markets equities. Mr. Kind holds the Swiss Federal Diploma for Experts in Finance and Investments (AZEK) and is a Certified International Wealth Manager (CIWM). He received a BSc in Business Administration from the University of Applied Science (HTW) in Chur, Switzerland.</t>
  </si>
  <si>
    <t>418468-69P</t>
  </si>
  <si>
    <t>Sultan Al Marzooqi</t>
  </si>
  <si>
    <t>Al Marzooqi</t>
  </si>
  <si>
    <t>Sultan</t>
  </si>
  <si>
    <t>Director, Fund Finance</t>
  </si>
  <si>
    <t>salmarzooqi@lunate.com</t>
  </si>
  <si>
    <t>Mr. Sultan Al Marzooqi serves as Director of Fund Finance at Lunate. He is a Director in Lunate's fund finance team where he leads finance funding and operation activities. He has over 13 years of work experience. Prior to Lunate, He held senior roles at ADQ, Mubadala, and ADNOC. He holds an MBA from the Canadian University in Dubai.</t>
  </si>
  <si>
    <t>454607-47P</t>
  </si>
  <si>
    <t>Thomas Verling</t>
  </si>
  <si>
    <t>SABA Asset Management</t>
  </si>
  <si>
    <t>Verling</t>
  </si>
  <si>
    <t>www.saba7am.ch</t>
  </si>
  <si>
    <t>Partner, Investment Specialist &amp; Portfolio Manager</t>
  </si>
  <si>
    <t>+41 (0)44 533 4010</t>
  </si>
  <si>
    <t>Zurich, Switzerland</t>
  </si>
  <si>
    <t>Gartenstrasse 23</t>
  </si>
  <si>
    <t>Zurich</t>
  </si>
  <si>
    <t>91074</t>
  </si>
  <si>
    <t>+41 (0)44 533 4011</t>
  </si>
  <si>
    <t>Mr. Thomas Verling serves as a Partner at SABA Asset Management. Certified EFFAS Financial Analyst. He acts as the Investment Specialist and Portfolio Manager of SABA and started his career with LGT Bank in Vaduz, Liechtenstein as an Equity Trader. Before joining UBS in 2002 he was Deputy Head Trading at Swissfirst Bank (Liechtenstein) AG for 4 years. At UBS he was a Portfolio Manager and Investment Consultant for 13 years. In May 2016 he has been appointed member of the Board of Directors of the social security fund of Liechtenstein.</t>
  </si>
  <si>
    <t>14665-06P</t>
  </si>
  <si>
    <t>Thomas Weber Ph.D</t>
  </si>
  <si>
    <t>Weber</t>
  </si>
  <si>
    <t>tweber@lgt.com</t>
  </si>
  <si>
    <t>Dr. Thomas Weber serves as Managing Partner at LGT Capital Partners. After working in Switzerland as a management consultant, he joined LGT Bank in Liechtenstein in 1989 as an Assistant to the Chairman and Project Manager. In 1991, he moved to the Portfolio Management Division as Head of Methods and Marketing. In this function, he was responsible for improving and developing the investment process, launching new investment products as well as managing a portion of the global equities portfolio. In 1996, he co-founded LGT's third-party hedge fund activities. He completed his intermediate examination in business administration at the University of Cologne and received an MBA in Finance from Georgia State University in 1986 (which he earned as a Fulbright Scholar). In 1989, he obtained a Ph.D. in Business Administration from the University of St. Gallen (HSG) Switzerland.</t>
  </si>
  <si>
    <t>399429-01P</t>
  </si>
  <si>
    <t>Timothy Huijts</t>
  </si>
  <si>
    <t>Huijts</t>
  </si>
  <si>
    <t>Timothy</t>
  </si>
  <si>
    <t>Director and Co-Head of Private Equity Funds</t>
  </si>
  <si>
    <t>thuijts@lunate.com</t>
  </si>
  <si>
    <t>Mr. Timothy Huijts serves as Director and Co-Head of Private Equity Funds at Lunate Capital. Prior to Lunate, Tim held various roles at ADG and the Abu Dhabi Investment Authority, spending a total of nine years in Abu Dhabi before joining Lunate. Tim holds a joint Master of Science and Management degree from the Rotterdam School of Management.</t>
  </si>
  <si>
    <t>149865-58P</t>
  </si>
  <si>
    <t>Turki Almadhi</t>
  </si>
  <si>
    <t>Turki Almadhi Ventures</t>
  </si>
  <si>
    <t>Almadhi</t>
  </si>
  <si>
    <t>Turki</t>
  </si>
  <si>
    <t>turkialmadhi.com</t>
  </si>
  <si>
    <t>Founder &amp; Chief Executive Officer</t>
  </si>
  <si>
    <t>+1 (888) 240-0808</t>
  </si>
  <si>
    <t>ta@turkialmadhi.com</t>
  </si>
  <si>
    <t>140 Broadway</t>
  </si>
  <si>
    <t>50th Floor Suite 5040</t>
  </si>
  <si>
    <t>10005</t>
  </si>
  <si>
    <t>Mr. Turki Almadhi is the Founder and serves as a Chief Executive Officer at Turki Almadhi Ventures. Previously, he served as a Executive Director at Kingdom Holding Company.</t>
  </si>
  <si>
    <t>418521-97P</t>
  </si>
  <si>
    <t>Vani Kalai</t>
  </si>
  <si>
    <t>Kalai</t>
  </si>
  <si>
    <t>Vani</t>
  </si>
  <si>
    <t>Head of Human Capital</t>
  </si>
  <si>
    <t>vkalai@lunate.com</t>
  </si>
  <si>
    <t>Ms. Vani Kalai serves as Head of Human Capital at Lunate. Ms. Kalai worked in various financial services firms such as Bank Vontobel, PIMCO, Bank of New York Mellon, Russell Investments, Goldman Sachs, and Barclays Capital based in Singapore, London, New York, and Seattle. Her experience spans investment banking, asset management, wealth management, and private equity. She holds a Bachelor of Commerce with a double major in Human Resources and Industrial Relations from Curtin University.</t>
  </si>
  <si>
    <t>459943-66P</t>
  </si>
  <si>
    <t>Victoria Di Xiao</t>
  </si>
  <si>
    <t>Di Xiao</t>
  </si>
  <si>
    <t>Victoria</t>
  </si>
  <si>
    <t>Senior Associate</t>
  </si>
  <si>
    <t>vxiao@lunate.com</t>
  </si>
  <si>
    <t>Ms. Victoria Di Xiao serves as Senior Associate at Lunate.</t>
  </si>
  <si>
    <t>207385-12P</t>
  </si>
  <si>
    <t>Wael Al Hashimi</t>
  </si>
  <si>
    <t>Al Hashimi</t>
  </si>
  <si>
    <t>Wael</t>
  </si>
  <si>
    <t>Partner &amp; Co-Head of Private Equity</t>
  </si>
  <si>
    <t>walhashimi@lunate.com</t>
  </si>
  <si>
    <t>Mr. Wael Al Hashimi serves as Partner &amp; Co-Head of Private Equity at Lunate. He served as Board Member at Acino. He served as Director of Merger &amp; Acquisition, Alternative Investments at ADQ. He served as Principal at Alcazar Capital. He is a Principal, with 9 years of experience in private equity, and was previously a Director at Dubai International Capital. He holds a Bachelor's degree in Mathematics with Business Management from Queen Mary University of London and an MBA in International Business from the American Intercontinental University of London</t>
  </si>
  <si>
    <t>340477-30P</t>
  </si>
  <si>
    <t>Wicky Meyer</t>
  </si>
  <si>
    <t>Tramondo Investment Partners</t>
  </si>
  <si>
    <t>Meyer</t>
  </si>
  <si>
    <t>Wicky</t>
  </si>
  <si>
    <t>www.tramondo.ch</t>
  </si>
  <si>
    <t>Chief Operating Officer &amp; Member of the Executive Board.</t>
  </si>
  <si>
    <t>+41 (0)41 710 7676</t>
  </si>
  <si>
    <t>wicky.meyer@tramondo.ch</t>
  </si>
  <si>
    <t>Unter Altstadt 10</t>
  </si>
  <si>
    <t>6302</t>
  </si>
  <si>
    <t>Mr. Wicky Meyer serves as Chief Operating Officer &amp; Member of the Executive Board. at Tramondo Investment Partners. Since the founding of the Swiss-Hedge Capital AG asset management company in 2004, he has been a partner and Chief Operating Officer, and from 2013 Chief Executive Officer. The asset management regulated by FINMA was later sold to an international holding company in Luxembourg. He began his career at Deutsche Bank AG in Zurich, where he held various positions, most recently as a stock trader for Swiss equities. He holds a Master of Business Administration from the University of Bedfordshire</t>
  </si>
  <si>
    <t>453198-07P</t>
  </si>
  <si>
    <t>Yazan Mustafa</t>
  </si>
  <si>
    <t>Mandeleo</t>
  </si>
  <si>
    <t>Mustafa</t>
  </si>
  <si>
    <t>Yazan</t>
  </si>
  <si>
    <t>mandeleo.co.uk</t>
  </si>
  <si>
    <t>Partner, Investments</t>
  </si>
  <si>
    <t>+44 (0)73 7556 0823</t>
  </si>
  <si>
    <t>yazan@mandeleo.co.uk</t>
  </si>
  <si>
    <t>66 Prescot Street</t>
  </si>
  <si>
    <t>E1 8NN</t>
  </si>
  <si>
    <t>Mr. Yazan Mustafa serves as Partner, Investments at Mandeleo. He is responsible for managing all aspects of the investment process, including screening, due diligence, structuring, negotiations, closing, and portfolio management. He also co-leads the Animal Health strategy with a focus on buy &amp; build. He spent 6 years at The Abraaj Group (US$13 billion AuM), beginning as an intern and most recently as an Associate Director. He spent the initial two years learning the technical aspects of private equity including accounting, modeling, and content production as part of a graduate program. The latter four years were spent as an intrapreneur - supporting new investment &amp; fundraising initiatives across the firm including: i) integrating Aureos Capital post-acquisition and establishing four new funds which collectively raised US$1.8 billion, ii) establishing the firm's presence in the US including an office &amp; team in New York, and raising c. US$800 million from first-time investors, and iii) establishing the Growth Markets Health Fund, an impact investment strategy which raised US$1 billion, and the acquisition and integration of 3 hospital groups in East Africa (US$150 million). Prior to Mandeleo, he spent two years consulting fund managers LGT Group (London/Zurich) &amp; RF Capital (Sydney/Dubai) to help build their new investment initiatives, as well as several SMEs across the Middle East to develop growth strategies and raise funds. He has a BA in International Affairs and International Economics from The George Washington University.</t>
  </si>
  <si>
    <t>418524-40P</t>
  </si>
  <si>
    <t>Yousry Kassem</t>
  </si>
  <si>
    <t>Kassem</t>
  </si>
  <si>
    <t>Yousry</t>
  </si>
  <si>
    <t>Partner &amp; Head of Trading</t>
  </si>
  <si>
    <t>ykassem@lunate.com</t>
  </si>
  <si>
    <t>Mr. Yousry Kassem serves as Partner &amp; Head of Trading at Lunate. He is responsible for building the firm's trading capabilities and executing trades across markets and asset classes. He brings more than 18 years of experience to the firm. Prior to Lunate, He was Head of Trading at Chimera Capital, having spent many years in financial services roles at EFG Hermes, Al Ramz Capital, and Mashreq Bank. He holds an Executive MBA from Bradford University's School of Management.</t>
  </si>
  <si>
    <t>418508-38P</t>
  </si>
  <si>
    <t>Zirajuddin Shahabuddin</t>
  </si>
  <si>
    <t>Shahabuddin</t>
  </si>
  <si>
    <t>Zirajuddin</t>
  </si>
  <si>
    <t>zshahabuddin@lunate.com</t>
  </si>
  <si>
    <t>Mr. Zirajuddin Shahabuddin serves as Director, Finance at Lunate. He oversees FP&amp;A, management reporting, policies, finance change management, and the IFRS desk. Prior to Lunate, He acquired 20 years of experience in financial services, alternative assets, and M&amp;A, working at ADG, Atlas Mara, Investcorp, and KPMG. He holds a Bachelor's degree in Accounting from the University of Madras and is an FCCA holder.</t>
  </si>
  <si>
    <t>168749-38P</t>
  </si>
  <si>
    <t>Khalid Almana</t>
  </si>
  <si>
    <t>Qatar Development Bank</t>
  </si>
  <si>
    <t>Banking Institution</t>
  </si>
  <si>
    <t>Almana</t>
  </si>
  <si>
    <t>Khalid</t>
  </si>
  <si>
    <t>www.qdb.qa</t>
  </si>
  <si>
    <t>Vice President of Enterprise Development</t>
  </si>
  <si>
    <t>+974 44300000</t>
  </si>
  <si>
    <t>kalmana@qdb.qa</t>
  </si>
  <si>
    <t>Grand Hamad Street</t>
  </si>
  <si>
    <t>Post Office Box 22789</t>
  </si>
  <si>
    <t>+974 44316613</t>
  </si>
  <si>
    <t>Mr. Khalid Almana serves as Vice President of Enterprise Development at Qatar Development Bank. He previously held leadership positions at Royal Dutch Shell and Qatar Foundation. He held international positions in Washington DC and The Hague. Mr. Al-Mana holds a BSc in Finance from King Fahad University of Petroleum and Minerals and has received specialized diplomas from London Business School and the Brookings Institute. He is currently a Board Member-elect at the Middle East Leadership Association (MELA), Chairman of Alshams Advanced Lighting Technologies, and Board Member of ELAN. He holds an MBA from HEC Paris and a BS (Bachelor of Science) from King Fahad University of Petroleum and Minerals.</t>
  </si>
  <si>
    <t>12087-55P</t>
  </si>
  <si>
    <t>Howard Kessler</t>
  </si>
  <si>
    <t>Onboard Partners (Former)</t>
  </si>
  <si>
    <t>Business Intermediary</t>
  </si>
  <si>
    <t>Kessler</t>
  </si>
  <si>
    <t>Howard</t>
  </si>
  <si>
    <t>www.onboardpartners.com</t>
  </si>
  <si>
    <t>Founder, Chairman &amp; Chief Executive Officer</t>
  </si>
  <si>
    <t>howard.kessler@kessler.com</t>
  </si>
  <si>
    <t>Mr. Howard Kessler founded and served as Chairman &amp; Chief Executive Officer at The Kessler Group. A leading innovator in the financial services industry and a consummate dealmaker, Howard Kessler pioneered the concept of the affinity credit card with MBNA in 1982. Howard has spent the ensuing decades building businesses focused on delivering win-win solutions to the most critical problems faced by senior executives in retail financial services. Deals and partnership programs created by Howard have literally reshaped the landscape of the payments industry- resulting in the creation of billions of dollars in value for shareholders. Howard has been at the forefront of innovation in credit cards and has developed concepts and techniques that have been exported to financial services firms around the world. As a lifelong entrepreneur, Howard excels in the relentless pursuit of out-of-the-box answers to intractable problems, especially in deal making and in the crafting of alternative solutions in "workout" situations. This unique combination of tenacity and creativity has made him a trusted advisor to the most senior leaders in the fields of politics and financial services, and these relationships give him unparalleled insight into the strategic objectives and needs of major financial institutions. Howard and his wife, Michele, are active philanthropists supporting a wide range of national and global causes, such as the William J. Clinton Foundation, the American Red Cross, the American Ireland Fund, the Dana-Farber Cancer Institute, the Prince of Wales Trust and Partners HealthCare, a not-for-profit, integrated healthcare system founded by Brigham and Women's Hospital and Massachusetts General Hospital. Howard has been the recipient of numerous public service awards, including the United Way Emerging Corporate Philanthropist Award, the Red Cross Lifetime Achievement Award, the Palm Beach Police Foundation Award for Community Service and the Carolyn and Peter Lynch Award for entrepreneurs who have made a significant difference in the lives of children. He is a recipient of the Ellis Island Medal of Honor.</t>
  </si>
  <si>
    <t>64590-58P</t>
  </si>
  <si>
    <t>Glenn Johnstone</t>
  </si>
  <si>
    <t>Lesha Bank</t>
  </si>
  <si>
    <t>Commercial Bank</t>
  </si>
  <si>
    <t>Johnstone</t>
  </si>
  <si>
    <t>Glenn</t>
  </si>
  <si>
    <t>www.leshabank.com</t>
  </si>
  <si>
    <t>+974 44483333</t>
  </si>
  <si>
    <t>glenn.johnstone@leshabank.com</t>
  </si>
  <si>
    <t>Suhail Bin Hamad Street Number 29</t>
  </si>
  <si>
    <t>Al Sadd, Post Office Box 28028</t>
  </si>
  <si>
    <t>Mr. Glenn Johnstone serves as Chief Investment Officer at Lesha Bank. Mr. Glenn Johnstone served as Principal, Direct Investments at Qatar Foundation Endowment. Previously, he served as an Executive Director at Goldman Sachs.</t>
  </si>
  <si>
    <t>178131-79P</t>
  </si>
  <si>
    <t>H.E. Khaldoon Al Mubarak</t>
  </si>
  <si>
    <t>First Abu Dhabi Bank (Former)</t>
  </si>
  <si>
    <t>Al Mubarak</t>
  </si>
  <si>
    <t>H.E. Khaldoon</t>
  </si>
  <si>
    <t>www.bankfab.com</t>
  </si>
  <si>
    <t>Chairman, Board Management Committee</t>
  </si>
  <si>
    <t>Mr. H.E. Khaldoon Al Mubarak served as Chairman, Board Management Committee at First Abu Dhabi Bank.</t>
  </si>
  <si>
    <t>79619-14P</t>
  </si>
  <si>
    <t>Hans Goetti</t>
  </si>
  <si>
    <t>Banque Internationale à Luxembourg (Former)</t>
  </si>
  <si>
    <t>Goetti</t>
  </si>
  <si>
    <t>Hans</t>
  </si>
  <si>
    <t>www.bil.com</t>
  </si>
  <si>
    <t>Chief Strategist Middle East &amp; Asia &amp; Head, Investments</t>
  </si>
  <si>
    <t>Mr. Hans Goetti served as Chief Strategist Middle East &amp; Asia &amp; Head, Investments at Banque Internationale à Luxembourg. He previously served as Chief Investment Officer at Finaport. Prior to assuming the role of Chief Investment Officer of the Finaport Group, Hans Goetti acted as Chief Investment Officer Asia at LGT Bank Singapore, Head of Research Services Group at Citi Private Bank and Senior Portfolio Manager at Citigroup Aset Management in Singapore. Before becoming a resident of Singapore in 1996, Hans worked as a financial analyst and investment advisor in Zurich and Geneva. Among other tasks, he built a new portfolio management department for a Japanese bank in Zurich. Hans acts as a Certified Financial Analyst of the New York Institute of Finance and holds a degree from Zurich Business School.</t>
  </si>
  <si>
    <t>456295-33P</t>
  </si>
  <si>
    <t>Jo Kenrick</t>
  </si>
  <si>
    <t>The Co-operative Bank</t>
  </si>
  <si>
    <t>Kenrick</t>
  </si>
  <si>
    <t>Jo</t>
  </si>
  <si>
    <t>www.co-operativebank.co.uk</t>
  </si>
  <si>
    <t>Chairman of the Board</t>
  </si>
  <si>
    <t>+44 (0)34 5721 2212</t>
  </si>
  <si>
    <t>Manchester, United Kingdom</t>
  </si>
  <si>
    <t>1 Balloon Street</t>
  </si>
  <si>
    <t>Manchester</t>
  </si>
  <si>
    <t>M4 4BE</t>
  </si>
  <si>
    <t>Ms. Jo Kenrick serves as Chairman of the Board at The Co-operative Bank. She also serves on the Values &amp; Ethics and Nomination Committees. Ms. Kenrick is an experienced Non-Executive Director who has worked across multiple sectors in her executive and non-executive careers. Her early career included roles at Mars Confectionery, Pepsi and Asda, followed by executive roles at Wilson Connolly (a large national housebuilder), Camelot Group plc (operators of the National Lottery), B&amp;Q plc and Homebase Ltd. She was also CEO of Start, a Prince of Wales charitable initiative. She has held previous non-executive roles at Principality Building Society and Safestore Self-Storage Ltd, and was the former Chair of PayM and of the Current Account Switch Service for Pay.uk. She is also Senior Independent Director and Remuneration Committee Chair for Welsh Water, Remuneration Committee Chair for Sirius Real Estate, and Consumer Duty Champion for Vitality Health and Life Insurance.</t>
  </si>
  <si>
    <t>417647-53P</t>
  </si>
  <si>
    <t>Joop Hessels</t>
  </si>
  <si>
    <t>ABN AMRO Bank</t>
  </si>
  <si>
    <t>Hessels</t>
  </si>
  <si>
    <t>Joop</t>
  </si>
  <si>
    <t>www.abnamro.com</t>
  </si>
  <si>
    <t>Executive Director and Head of Sustainable Markets</t>
  </si>
  <si>
    <t>+31 (0)10 241 1720</t>
  </si>
  <si>
    <t>joop.hessels@nl.abnamro.com</t>
  </si>
  <si>
    <t>Gustav Mahlerlaan 10</t>
  </si>
  <si>
    <t>1082 PP</t>
  </si>
  <si>
    <t>Mr. Joop Hessels serves as Executive Director and Head of Sustainable Markets at ABN AMRO Bank. In his current role as head of Green Bonds, he structured and arranged ABN AMRO's award-winning green bond program and supports the further development of sustainable markets via the development of the world's first sustainable shipping loan for Anthony Veder and CBI-certified OVG green real estate loan. He is supporting several FIG and Corporate issuers like DKB, Berlin Hyp, SEB, and TenneT as a green bond advisor. He is a Founding Member of the GRESB Green Bond working group and represents ABN AMRO as a Member of the Green Bond Principles. He is an active member of the Energy Efficient Mortgage Action Plan and the European Green Securities steering committee. Prior to his focus on Sustainable Finance, he worked for many years as FIG DCM origination at ABN AMRO and ING. He holds a Master of Business Administration from the University of Groningen and is based in Amsterdam and attended the Prince of Wales Business and Sustainability Programme of the Cambridge Institute for Sustainability Leadership.</t>
  </si>
  <si>
    <t>90341-92P</t>
  </si>
  <si>
    <t>José Maté</t>
  </si>
  <si>
    <t>Tressis</t>
  </si>
  <si>
    <t>Maté</t>
  </si>
  <si>
    <t>José</t>
  </si>
  <si>
    <t>www.tressis.com</t>
  </si>
  <si>
    <t>Founding Partner &amp; Chief Executive Officer</t>
  </si>
  <si>
    <t>+34 91 702 0274</t>
  </si>
  <si>
    <t>jose.mate@tressis.com</t>
  </si>
  <si>
    <t>Madrid, Spain</t>
  </si>
  <si>
    <t>Jorge Manrique, 12</t>
  </si>
  <si>
    <t>Madrid</t>
  </si>
  <si>
    <t>28006</t>
  </si>
  <si>
    <t>Spain</t>
  </si>
  <si>
    <t>Mr. José Maté is a Co-Founding Partner and serves as Chief Executive Officer at Tressis. Mr. Maté serves as Executive - Management Team at Arada Capital Partners. Until May 2000, he was Director General of BSN BANIF. Experience in Marketing, Products, Analysis, and Commercial areas. He began his career as an investment analyst at Banco Banif in 1988. He has held the positions of Director of Analysis, Director of Financial Innovation, Product Director, Commercial Director, and Director of Marketing and Products at Banco Banif, BSN Private Banking</t>
  </si>
  <si>
    <t>61034-05P</t>
  </si>
  <si>
    <t>Mounir El Majidi</t>
  </si>
  <si>
    <t>Attijariwafa Bank (Former)</t>
  </si>
  <si>
    <t>El Majidi</t>
  </si>
  <si>
    <t>Mounir</t>
  </si>
  <si>
    <t>www.attijariwafabank.com.eg</t>
  </si>
  <si>
    <t>Director of Representative SIGER</t>
  </si>
  <si>
    <t>Mr. Mounir El Majidi served as Director of Representative SIGER at Attijariwafa Bank.</t>
  </si>
  <si>
    <t>89503-93P</t>
  </si>
  <si>
    <t>Muad Al Osaimi</t>
  </si>
  <si>
    <t>Kuwait Finance House</t>
  </si>
  <si>
    <t>Al Osaimi</t>
  </si>
  <si>
    <t>Muad</t>
  </si>
  <si>
    <t>www.kfh.com</t>
  </si>
  <si>
    <t>Chairman &amp; Board Member</t>
  </si>
  <si>
    <t>+965 2244 5050</t>
  </si>
  <si>
    <t>alosaimi@kfh.com</t>
  </si>
  <si>
    <t>Kuwait City, Kuwait</t>
  </si>
  <si>
    <t>AlMirqab Area</t>
  </si>
  <si>
    <t>Abdulla Al-Mubarak Street</t>
  </si>
  <si>
    <t>Kuwait City</t>
  </si>
  <si>
    <t>13110</t>
  </si>
  <si>
    <t>Kuwait</t>
  </si>
  <si>
    <t>+965 2240 9414</t>
  </si>
  <si>
    <t>Mr. Muad Saud Al-Osaimi Board Member since 2014 Member of the Board Executive Committee, the Board Audit and Compliance Committee and the Board Investment Committee Mr. Al-Osaimi earned his BSc in Finance from George Mason University in the US in 2001. Mr. Al-Osaimi has served as a non-executive board member at Ahli United Bank in Bahrain since 2023 and Chairman of Kuwait Finance House (Malaysia) Berhad since 2017. He has also been a board member of numerous companies including Kuwait Gate Holding Company from 2004 to 2014, Kuwait Financial Center Company from 2008 to 2011 and Al-Raya International Holding Company from 2005 to 2009. Mr. Al-Osaimi has held the position of CEO of Faiha International Real Estate Company since 2017. He previously held the position of Deputy General Manager of Global Retail Company from 2003 to 2020. Additionally, he completed an 18-month specialized training program for graduates at Kuwait Investment Authority (KIA) in 2001 and worked in the Investment Department of Aayan Leasing and Investment Company in 2002.</t>
  </si>
  <si>
    <t>285620-14P</t>
  </si>
  <si>
    <t>Satitpong Sukvimol</t>
  </si>
  <si>
    <t>Siam Commercial Bank</t>
  </si>
  <si>
    <t>Sukvimol</t>
  </si>
  <si>
    <t>Satitpong</t>
  </si>
  <si>
    <t>www.scb.co.th</t>
  </si>
  <si>
    <t>Board Member &amp; Member of the Corporate Social Responsibility Committee</t>
  </si>
  <si>
    <t>+66 (0)2 7222222</t>
  </si>
  <si>
    <t>Bangkok, Thailand</t>
  </si>
  <si>
    <t>9 Ratchadaphisek Road</t>
  </si>
  <si>
    <t>Chatuchak Subdistrict, Chatuchak District</t>
  </si>
  <si>
    <t>Bangkok</t>
  </si>
  <si>
    <t>10900</t>
  </si>
  <si>
    <t>Thailand</t>
  </si>
  <si>
    <t>Mr. Satitpong Sukvimol serves as Board Member &amp; Member of the Corporate Social Responsibility Committee at Siam Commercial Bank. He serves as a Chairman of the Board &amp; Member of the CSR Committee for Sustainable Development at Siam Cement Public Company. He was appointed as Grand Chamberlain and Private Secretary to His Royal Highness the Crown Prince during 2012-2016 and as Private Secretary to His Majesty King Maha Vajiralongkorn and Grand Chamberlain, Bureau of the Royal Household during 2017-2018. In addition to his positions as Director and Member of the Corporate Social Responsibility Committee of the Bank, he is presently Private Secretary to His Majesty King Maha Vajiralongkorn and Lord Chamberlain, Bureau of the Royal Household; Chairman and Director-General, The Crown Property Bureau; Trustee of H.M. Private Property, H.M. Private Property Office; President Courtier; Board Chairman and Member of the Governance and Nomination Committee of Siam Cement PCL; and Chairman of CPB Equity Co. Ltd. and its groups of companies as being assigned. He received a Bachelor of Arts Degree in mass communication from Chiang Mai University.</t>
  </si>
  <si>
    <t>153698-14P</t>
  </si>
  <si>
    <t>William Waldegrave</t>
  </si>
  <si>
    <t>Coutts &amp; Co (Former)</t>
  </si>
  <si>
    <t>Waldegrave</t>
  </si>
  <si>
    <t>William</t>
  </si>
  <si>
    <t>www.coutts.com</t>
  </si>
  <si>
    <t>Chairman of the Board of Directors</t>
  </si>
  <si>
    <t>Mr. William Waldegrave served as Chairman of the Board of Directors at Coutts &amp; Co. He served as Chancellor at the University of Reading. He was educated at Eton College, Corpus Christi College, Oxford, and Harvard. Having worked in the Central Policy Review Staff in the Cabinet Office between 1971 and 1973, he became Political Secretary to the Prime Minister, Edward Heath. After a spell working in the industry for GEC Ltd, he was elected to the House of Commons as a Member of Parliament for Bristol West in 1979. He was made a Minister in 1981, and served continuously until 1997, including terms as Minister of State at the Department of the Environment, and at the Foreign Office. At the Cabinet level, he served as Secretary of State for Health, Chancellor of the Duchy of Lancaster, Minister of Agriculture, and Chief Secretary to the Treasury.</t>
  </si>
  <si>
    <t>107842-78P</t>
  </si>
  <si>
    <t>Lord Waldegrave</t>
  </si>
  <si>
    <t>Eton College Employees (1972) Pension and Life Assurance Scheme</t>
  </si>
  <si>
    <t>Corporate Pension</t>
  </si>
  <si>
    <t>Lord</t>
  </si>
  <si>
    <t>Provost</t>
  </si>
  <si>
    <t>+44 (0)17 5337 0100</t>
  </si>
  <si>
    <t>Windsor, United Kingdom</t>
  </si>
  <si>
    <t>Berkshire</t>
  </si>
  <si>
    <t>Windsor</t>
  </si>
  <si>
    <t>SL4 6DW</t>
  </si>
  <si>
    <t>Hon. Lord Waldegrave serves as Provost at Eton College Employees (1972) Pension and Life Assurance Scheme. He serves as Chairman of the Royal Bank of Scotland (Coutts' International business). Between 1990 and 1997 he held the Cabinet posts of Secretary of State for Health, Secretary of State for Agriculture, Chancellor of the Duchy of Lancaster, and Chief Secretary to the Treasury. He is a director of several companies.</t>
  </si>
  <si>
    <t>244844-38P</t>
  </si>
  <si>
    <t>Constantin Koenigsegg</t>
  </si>
  <si>
    <t>Vorwerk Ventures</t>
  </si>
  <si>
    <t>Corporate Venture Capital</t>
  </si>
  <si>
    <t>Koenigsegg</t>
  </si>
  <si>
    <t>Constantin</t>
  </si>
  <si>
    <t>www.vorwerkventures.com</t>
  </si>
  <si>
    <t>Investment Manager</t>
  </si>
  <si>
    <t>+49 (0)15 2049 1960 7</t>
  </si>
  <si>
    <t>constantin.koenigsegg@vorwerkventures.com</t>
  </si>
  <si>
    <t>Berlin, Germany</t>
  </si>
  <si>
    <t>Charlottenstraße 43</t>
  </si>
  <si>
    <t>Berlin</t>
  </si>
  <si>
    <t>10117</t>
  </si>
  <si>
    <t>Germany</t>
  </si>
  <si>
    <t>Mr. Constantin Koenigsegg serves as Investment Manager at Vorwerk Ventures. Prior, Mr. Koenigsegg was part of the investment team at the early stage of VC Project A, focusing on early-stage B2B topics in Europe and more specifically the Nordics. During his business development time at the digital health startup Careship, he had hands-on operational exposure to growing a business at speed. Before jumping into the startup ecosystem, he gained his first experience in finance in Private Banking and Asset Management at LGT Group in Hong Kong and later in M&amp;A at the global construction firm CPB Contractors in Sydney. He holds a bachelor's degree in Sociology, Politics, and Economics from Zeppelin University.</t>
  </si>
  <si>
    <t>125899-12P</t>
  </si>
  <si>
    <t>Abdalla Alsaid</t>
  </si>
  <si>
    <t>Abdulkadir Al Muhaidib and Sons (Former)</t>
  </si>
  <si>
    <t>Direct Investment</t>
  </si>
  <si>
    <t>Alsaid</t>
  </si>
  <si>
    <t>Abdalla</t>
  </si>
  <si>
    <t>muhaidib.com</t>
  </si>
  <si>
    <t>Corporate Communications Director</t>
  </si>
  <si>
    <t>abdalla.alsaid@muhaidib.com</t>
  </si>
  <si>
    <t>Mr. Abdalla Alsaid serves as Corporate Communications Director at Abdulkadir Al Muhaidib and Sons. He has 17 years of experience in branding, advertising and marketing communications, beginning his career with the international agency DDB in its Bahrain office, where he was responsible for accounts such as Volkswagen AG, Zamil Air Conditioners and Gulf Air. In 2004 he set up and ran the 3Points advertising agency's Riyadh office, developing brand strategies and identities for, among others, Petro Rabigh, Sipchem, Nas Air, Kingdom Real Estate, Zamil Industrial Investment, ACWA Holding, King Abdullah City for Atomic and Renewable Energy, and SAGIA. He also managed marketing communications for leading Saudi organizations such as STC, the tourism authority, Almarai, Prince Salman Center for Disability Research, the Disabled Children Association, ACWA Power, SAGIA and Kingdom Holding Company. Abdalla has a BSc in Industrial Management.</t>
  </si>
  <si>
    <t>264897-01P</t>
  </si>
  <si>
    <t>Qingbiao Zhen</t>
  </si>
  <si>
    <t>Royal Group China (Former)</t>
  </si>
  <si>
    <t>Zhen</t>
  </si>
  <si>
    <t>Qingbiao</t>
  </si>
  <si>
    <t>www.hjsoo.com</t>
  </si>
  <si>
    <t>Mr. Qingbiao Zhen served as Chief Executive Officer at Royal Group China.</t>
  </si>
  <si>
    <t>443095-93P</t>
  </si>
  <si>
    <t>Ahmad Hawamdeh</t>
  </si>
  <si>
    <t>King Abdullah II Fund for Development</t>
  </si>
  <si>
    <t>Economic Development Agency</t>
  </si>
  <si>
    <t>Hawamdeh</t>
  </si>
  <si>
    <t>Ahmad</t>
  </si>
  <si>
    <t>www.kafd.jo</t>
  </si>
  <si>
    <t>Trustee</t>
  </si>
  <si>
    <t>+962 (0)62221220</t>
  </si>
  <si>
    <t>Amman, Jordan</t>
  </si>
  <si>
    <t>King Hussein Business Park - Building Number 7</t>
  </si>
  <si>
    <t>Amman</t>
  </si>
  <si>
    <t>11185</t>
  </si>
  <si>
    <t>Jordan</t>
  </si>
  <si>
    <t>+962 (0)62223033</t>
  </si>
  <si>
    <t>Mr. Ahmad Hawamdeh serves as Trustee at King Abdullah II Fund for Development.</t>
  </si>
  <si>
    <t>59234-59P</t>
  </si>
  <si>
    <t>Alaa Batayneh</t>
  </si>
  <si>
    <t>King Abdullah II Fund for Development (Former)</t>
  </si>
  <si>
    <t>Batayneh</t>
  </si>
  <si>
    <t>Alaa</t>
  </si>
  <si>
    <t>Chairman, Board of Trustees</t>
  </si>
  <si>
    <t>Mr. Alaa Batayneh served as Board Member at Arab Bank. He served as Chairman of the Board of Trustees at King Abdullah II Fund for Development. He served as the Board Member at Kingdom Electricity.</t>
  </si>
  <si>
    <t>443095-84P</t>
  </si>
  <si>
    <t>Atef Tal</t>
  </si>
  <si>
    <t>Tal</t>
  </si>
  <si>
    <t>Atef</t>
  </si>
  <si>
    <t>Mr. Atef Tal serves as Trustee at King Abdullah II Fund for Development.</t>
  </si>
  <si>
    <t>343522-81P</t>
  </si>
  <si>
    <t>Ayman Hatahet</t>
  </si>
  <si>
    <t>Hatahet</t>
  </si>
  <si>
    <t>Mr. Ayman Hatahet served as Trustee at King Abdullah II Fund for Development.</t>
  </si>
  <si>
    <t>343522-72P</t>
  </si>
  <si>
    <t>Bishr Baker</t>
  </si>
  <si>
    <t>Baker</t>
  </si>
  <si>
    <t>Bishr</t>
  </si>
  <si>
    <t>Mr. Bishr Baker served as Trustee at King Abdullah II Fund for Development.</t>
  </si>
  <si>
    <t>443095-57P</t>
  </si>
  <si>
    <t>Haditha Khraisha</t>
  </si>
  <si>
    <t>Khraisha</t>
  </si>
  <si>
    <t>Haditha</t>
  </si>
  <si>
    <t>Chairman of the Board of Trustees</t>
  </si>
  <si>
    <t>Mr. Haditha Khraisha serves as Chairman of the Board of Trustees at King Abdullah II Fund for Development.</t>
  </si>
  <si>
    <t>153262-81P</t>
  </si>
  <si>
    <t>Imad Fakhoury</t>
  </si>
  <si>
    <t>Fakhoury</t>
  </si>
  <si>
    <t>Imad</t>
  </si>
  <si>
    <t>Mr. Imad Fakhoury served as Chairman of the Board at King Abdullah II Fund for Development. He has also been serving as Chairperson of King Abdullah II Fund for Development since October 2014. Prior to that, Minister Fakhoury was a Senator in Jordanian parliament ordinary session of 2014/2015. From 2011 to 2014, he served as Chief of Staff/Director of Office of His Majesty King Abdullah II at the Royal Hashemite Court. Between 2009 and 2011, he served as Minister of Public Sector Development and Minister of State for Mega Projects. He also chaired two ministerial cabinet committees (Public Sector Development Committee and Infrastructure &amp; Mega Projects Committee) in addition to chairing the Civil Service Council and the National Training Institute.</t>
  </si>
  <si>
    <t>443096-11P</t>
  </si>
  <si>
    <t>Lana Sakka</t>
  </si>
  <si>
    <t>Sakka</t>
  </si>
  <si>
    <t>Lana</t>
  </si>
  <si>
    <t>Mr. Lana Sakka serves as Trustee at King Abdullah II Fund for Development.</t>
  </si>
  <si>
    <t>327229-57P</t>
  </si>
  <si>
    <t>Mohammed Al-Thani</t>
  </si>
  <si>
    <t>Investment Promotion Agency Qatar</t>
  </si>
  <si>
    <t>Al-Thani</t>
  </si>
  <si>
    <t>www.invest.qa</t>
  </si>
  <si>
    <t>Member of the Advisory Board</t>
  </si>
  <si>
    <t>+974 44967505</t>
  </si>
  <si>
    <t>Tornado Tower, 13th Floor</t>
  </si>
  <si>
    <t>P.O. Box 11381</t>
  </si>
  <si>
    <t>+974 44967676</t>
  </si>
  <si>
    <t>Mr. Mohammed Al-Thani serves as Member of the Advisory Board at Investment Promotion Agency Qatar. Mr. Al-Thani previously worked within the Investments Team at Qatar Foundation Endowment, as one of its founding members. Early on in his career Sheikh Mohammed was seconded to Goldman Sachs working for the Asset Management team. Subsequently, appointed to the Qatar Foundation Endowment's Strategy Committee in partnership with Goldman Sachs. He holds an Executive MBA from HEC Paris and a Bachelor's degree in Business Administration from George Washington University.</t>
  </si>
  <si>
    <t>119916-46P</t>
  </si>
  <si>
    <t>Mowaffaq Hanandeh Ph.D</t>
  </si>
  <si>
    <t>Hanandeh</t>
  </si>
  <si>
    <t>Mowaffaq</t>
  </si>
  <si>
    <t>Chief Financial Officer &amp; Chief Accounting Officer</t>
  </si>
  <si>
    <t>Dr. Mowaffaq Hanandeh served as Chief Financial Officer at King Abdullah II Fund for Development.</t>
  </si>
  <si>
    <t>343522-54P</t>
  </si>
  <si>
    <t>Musa Saket</t>
  </si>
  <si>
    <t>Saket</t>
  </si>
  <si>
    <t>Musa</t>
  </si>
  <si>
    <t>Mr. Musa Saket served as Trustee at King Abdullah II Fund for Development.</t>
  </si>
  <si>
    <t>443096-02P</t>
  </si>
  <si>
    <t>Nael Husami</t>
  </si>
  <si>
    <t>Husami</t>
  </si>
  <si>
    <t>Nael</t>
  </si>
  <si>
    <t>Mr. Nael Husami serves as Trustee at King Abdullah II Fund for Development.</t>
  </si>
  <si>
    <t>286908-49P</t>
  </si>
  <si>
    <t>Nasser Lozi</t>
  </si>
  <si>
    <t>Lozi</t>
  </si>
  <si>
    <t>Nasser</t>
  </si>
  <si>
    <t>Mr. Nasser Lozi served as Chairman of the Board of Trustees at King Abdullah II Fund for Development. Mr. Lozi also served as Chairman at Jordan Kuwait Bank. He has a degree in Civil Engineering from the University of Texas, Austin.</t>
  </si>
  <si>
    <t>394615-45P</t>
  </si>
  <si>
    <t>Nour Jarrar</t>
  </si>
  <si>
    <t>Jarrar</t>
  </si>
  <si>
    <t>Nour</t>
  </si>
  <si>
    <t>Ms. Nour Jarrar served as Trustee at King Abdullah II Fund for Development.</t>
  </si>
  <si>
    <t>394213-42P</t>
  </si>
  <si>
    <t>Rick Siger</t>
  </si>
  <si>
    <t>Pennsylvania Department of Community and Economic Development</t>
  </si>
  <si>
    <t>Siger</t>
  </si>
  <si>
    <t>Rick</t>
  </si>
  <si>
    <t>dced.pa.gov</t>
  </si>
  <si>
    <t>Secretary, Department of Community and Economic Development</t>
  </si>
  <si>
    <t>+1 (866) 466-3972</t>
  </si>
  <si>
    <t>rsiger@dced.pa.gov</t>
  </si>
  <si>
    <t>Harrisburg, PA</t>
  </si>
  <si>
    <t>Commonwealth Keystone Building</t>
  </si>
  <si>
    <t>400 North Street, 4th Floor</t>
  </si>
  <si>
    <t>Harrisburg</t>
  </si>
  <si>
    <t>Pennsylvania</t>
  </si>
  <si>
    <t>17120-0225</t>
  </si>
  <si>
    <t>Mr. Rick Siger serves as Secretary, Department of Community and Economic Development at the Pennsylvania Department of Community and Economic Development. He serves as a Board Member at Ben Franklin Technology Development Authority. Before his current role, He served as Chief of Staff and Senior Advisor to the President at Carnegie Mellon University (CMU) in Pittsburgh and led CMU's growth strategy at Hazelwood Green, a former Pittsburgh industrial site re-envisioned as a new model for economic development and translational research. He served President Barack Obama for more than seven years in multiple roles, including as Chief of Staff at the White House Office of Science and Technology Policy (OSTP) and Deputy Chief of Staff at the Department of Commerce. He also worked as former Governor Tim Kaine's Deputy Secretary of Commerce and Trade in the Commonwealth of Virginia. He holds a B.A. in political science from Columbia University.</t>
  </si>
  <si>
    <t>94445-83P</t>
  </si>
  <si>
    <t>Alan Milburn</t>
  </si>
  <si>
    <t>Lancaster University Endowment</t>
  </si>
  <si>
    <t>Endowment</t>
  </si>
  <si>
    <t>Milburn</t>
  </si>
  <si>
    <t>Alan</t>
  </si>
  <si>
    <t>Chancellor</t>
  </si>
  <si>
    <t>Lancaster, United Kingdom</t>
  </si>
  <si>
    <t>Lancaster University</t>
  </si>
  <si>
    <t>Lancaster</t>
  </si>
  <si>
    <t>LA1 4YW</t>
  </si>
  <si>
    <t>Mr. Alan Milburn serves as Chancellor at Lancaster University. The former Labour MP for Darlington (1992 to 2010) currently chairs the European Advisory Board for Bridgepoint (a private equity group) and runs his own consultancy, advising governments worldwide. He is also involved in a variety of charitable projects as diverse as working with Tony Blair in Africa, to acting as a trustee for Yorkshire Sculpture Park. Following his graduation with a 2.1 degree, he went to Newcastle University to do a PhD, but did not complete it because he became "ensnared" by left-wing politics. He ran a radical bookshop, became active in the Trade Union movement and took a leading role in a campaign to save Sunderland's shipbuilding industry. He eventually won the Darlington seat next to Tony Blair's Sedgefield constituency in 1992 and was immediately identified as one of the Labour party's modernisers. He went on to serve within the UK Government as Chief Secretary to the Treasury, Secretary of State for Health (1999 and 2003 ) and as Chancellor of the Duchy of Lancaster, before his unexpected resignation from party politics in 2010, to 'spend more time with his family'. As he says: "I loved my time in politics, but I did 18 years of it and I knew that it was my time to go. I did not want to be in Opposition again and I am now of an age when I can choose." His time in politics has been marked by his energetic commitment to Tony Blair's Modernisation agenda, particularly during his time as Secretary of State for Health, when he was responsible for pushing through hundreds of PFI schemes. His more recent focus has been on social mobility. In 2009, Alan Milburn chaired a governmental commission, the Panel on Fair Access to the Professions. Its report recommended improvements in social mobility by acting at every life stage - school, university, internship and recruitment. This work continues as chair of the newly created Commission on Social Mobility and Child Poverty.</t>
  </si>
  <si>
    <t>64589-41P</t>
  </si>
  <si>
    <t>Atehar Mir</t>
  </si>
  <si>
    <t>Qatar Foundation Endowment (Former)</t>
  </si>
  <si>
    <t>Mir</t>
  </si>
  <si>
    <t>Atehar</t>
  </si>
  <si>
    <t>www.qf.org.qa</t>
  </si>
  <si>
    <t>+974 44768877</t>
  </si>
  <si>
    <t>amir@qfe.org.qa</t>
  </si>
  <si>
    <t>Mr. Mir Atehar served as Chief Financial Officer at Qatar Foundation.</t>
  </si>
  <si>
    <t>64590-04P</t>
  </si>
  <si>
    <t>Benjamin Willer</t>
  </si>
  <si>
    <t>Qatar Foundation Endowment</t>
  </si>
  <si>
    <t>Willer</t>
  </si>
  <si>
    <t>Benjamin</t>
  </si>
  <si>
    <t>Director, External Investments</t>
  </si>
  <si>
    <t>+974 44540000</t>
  </si>
  <si>
    <t>Al Rayyan, Qatar</t>
  </si>
  <si>
    <t>Al Rayyan</t>
  </si>
  <si>
    <t>+974 44541047</t>
  </si>
  <si>
    <t>Mr. Benjamin Willer serves as Director, External Investments at Qatar Foundation Endowment. Previously he served as a Vice President, UK Investment Banking (M&amp;A) at Citi.</t>
  </si>
  <si>
    <t>417739-87P</t>
  </si>
  <si>
    <t>Claudia Costin Ph.D</t>
  </si>
  <si>
    <t>Costin</t>
  </si>
  <si>
    <t>Claudia</t>
  </si>
  <si>
    <t>Dr. Claudia Costin serves as Board Member at Qatar Foundation Endowment. Until 2018, Costin was a visiting Professor at the Harvard School of Education. Prior to founding CEIPE, she was a Senior Director for Global Education at the World Bank. Before joining the World Bank, Costin served as Secretary of Education of Rio de Janeiro, Brazil. Her former positions include Secretary of State of Culture at São Paulo and Federal Minister for Public Administration and State Reform. She has also held academic positions at the Catholic University of São Paulo, Getulio Vargas Foundation in Sao Paulo, INSPER Institute of Education and Research, and École Nationale d'Administration Publique in Québec.</t>
  </si>
  <si>
    <t>204724-81P</t>
  </si>
  <si>
    <t>Emir Sheikh Al Thani</t>
  </si>
  <si>
    <t>Emir Sheikh</t>
  </si>
  <si>
    <t>Co-Founder</t>
  </si>
  <si>
    <t>Mr. Emir Sheikh Al Thani is a Co-Founder of Qatar Foundation Endowment.</t>
  </si>
  <si>
    <t>397689-94P</t>
  </si>
  <si>
    <t>Faleh Al-Nasr</t>
  </si>
  <si>
    <t>Al-Nasr</t>
  </si>
  <si>
    <t>Faleh</t>
  </si>
  <si>
    <t>fa@qf.org.qa</t>
  </si>
  <si>
    <t>Mr. Faleh Al-Nasr serves as Chief Investment Officer at Qatar Foundation Endowment.</t>
  </si>
  <si>
    <t>417732-76P</t>
  </si>
  <si>
    <t>Ghanim Al-Ibrahim</t>
  </si>
  <si>
    <t>Al-Ibrahim</t>
  </si>
  <si>
    <t>Ghanim</t>
  </si>
  <si>
    <t>Chief Operating Officer</t>
  </si>
  <si>
    <t>ga@qf.org.qa</t>
  </si>
  <si>
    <t>Mr. Ghanim Al-Ibrahim serves as Chief Operating Officer at Qatar Foundation Endowment. He is a certified project manager whose professional career spans 25 years of diversified experience in oil and gas, mega infrastructure, and mixed-use real estate developments with particular experience in managing large programs and mega projects. He is an objective-oriented leader and has strategic ability, social intelligence, commercial acumen, and independent mindset that enables him to deliver fast-track projects and drive changes.</t>
  </si>
  <si>
    <t>57712-15P</t>
  </si>
  <si>
    <t>Ikhlaq Sidhu Ph.D</t>
  </si>
  <si>
    <t>Sidhu</t>
  </si>
  <si>
    <t>Ikhlaq</t>
  </si>
  <si>
    <t>Dr. Ikhlaq Sidhu serves as a Board Member at Qatar Foundation Endowment. He served as a Venture Partner at Xfund. He served as Venture Advisor and Information Technology at ONSET Ventures. He is the Chief Scientist for the Fung Institute for Engineering Leadership in the College of Engineering at UC Berkeley and has been the primary architect of its T-shaped curriculum and applied research program. He joined UC Berkeley in 2005 as the founding Director of UC Berkeley's highly successful Center for Entrepreneurship &amp; Technology, which has grown to become the cornerstone of the Fung Institute. He received recognition as the 2009 Emerging Area Professor of Industrial Engineering and Operations Research at UC Berkeley for his contribution to this new research and teaching area. He brings valuable insight to the Berkeley community by building connections between teaching and current innovation topics within Silicon Valley. Within the industry, he has established new businesses and developed new technologies at U.S. Robotics Corporation, 3Com Corporation, and Cambia Networks. He was 3Com's "Inventor of the Year" in 1999 and has been granted over 60 US Patents in networking technology, IP telephony, and PDA functionality. Technology and intellectual property from his work have been cross-licensed to Palm Computing, 3Com, and UT Starcom. He also designed hardware for the first generation of laser printers at Hewlett-Packard. He received his bachelor's degree in Electrical and Computer Engineering from the University of Illinois at Urbana-Champaign, and his master's degree and doctorate in Electrical Engineering from Northwestern University.</t>
  </si>
  <si>
    <t>38677-24P</t>
  </si>
  <si>
    <t>Jim Keating</t>
  </si>
  <si>
    <t>Keating</t>
  </si>
  <si>
    <t>Jim</t>
  </si>
  <si>
    <t>QF Research Division</t>
  </si>
  <si>
    <t>Mr. Jim Keating served as a QF Research Division at Qatar Foundation Endowment. Previously, he served as a Senior Associate at IllinoisVENTURES. He brings a combination of chemistry and materials science expertise to the firm. He assists the firm in assessing new investment opportunities as well as managing existing portfolio companies. Prior to Illinois Ventures, Jim was an Analytical Chemist at Abbott Laboratories, working extensively with R&amp;D and new product development. From there he served as an Analytical Consultant to a trust management partnership contributing grant monies for cancer research to worldwide organizations. Jim then joined a start-up consulting firm providing design and analysis services for companies looking to bring the latest technology into their design and manufacturing processes. He holds dual bachelor's degrees in Biology and Chemistry from Valparaiso University, an MS in Materials Science and Engineering from the University of Texas, and an MBA from the University of Illinois at Urbana-Champaign.</t>
  </si>
  <si>
    <t>185235-22P</t>
  </si>
  <si>
    <t>John McEntire</t>
  </si>
  <si>
    <t>McEntire</t>
  </si>
  <si>
    <t>Director, Intellectual Property Commercialization</t>
  </si>
  <si>
    <t>+974 44768804</t>
  </si>
  <si>
    <t>Mr. John McEntire served as Director, Intellectual Property Commercialization at Qatar Foundation.</t>
  </si>
  <si>
    <t>129094-93P</t>
  </si>
  <si>
    <t>Leslie Ferrar</t>
  </si>
  <si>
    <t>Durham University Endowment</t>
  </si>
  <si>
    <t>Ferrar</t>
  </si>
  <si>
    <t>Leslie</t>
  </si>
  <si>
    <t>Deputy Chairwoman of the Council</t>
  </si>
  <si>
    <t>+44 (0)19 1334 2000</t>
  </si>
  <si>
    <t>Durham, United Kingdom</t>
  </si>
  <si>
    <t>The Palatine Centre</t>
  </si>
  <si>
    <t>Durham University, Stockton Road</t>
  </si>
  <si>
    <t>Durham</t>
  </si>
  <si>
    <t>DH1 3LE</t>
  </si>
  <si>
    <t>Ms. Leslie Ferrar serves as Deputy Chairwoman of the Council at Durham University. She joined the Council as a lay member in November 2020. She studied Chemistry at Durham and joined what is now the accountancy firm KPMG. She qualified in 1979, joined the tax department, and became a partner in 1988. In 2005, she became Treasurer to HRH The Prince of Wales and The Duchess of Cornwall. She acts as an adviser and has worked with several not-for-profit organizations, including Digby Stuart College and Roehampton University, Woldingham School, Breakthrough Breast Cancer, and The Queen's Commonwealth Trust.</t>
  </si>
  <si>
    <t>417736-63P</t>
  </si>
  <si>
    <t>Machaille Al Naimi</t>
  </si>
  <si>
    <t>Al Naimi</t>
  </si>
  <si>
    <t>Machaille</t>
  </si>
  <si>
    <t>Executive Officer of the Vice Chairperson and Chief Executive Officer Office</t>
  </si>
  <si>
    <t>mhalnaimi@qf.org.qa</t>
  </si>
  <si>
    <t>Mr. Machaille Al Naimi serves as Executive Officer of the Vice Chairperson and Chief Executive Officer at Qatar Foundation Endowment. She began her career as an attorney at Patton Boggs, a US law firm where she advised both local and international clients. She later joined ExxonMobil Qatar Inc. as Legal Counsel, supporting Qatar Petroleum Joint-Venture projects with RasGas, Laffan Refinery, and Al Khaleej Gas. She also has experience working with the Ministry of Foreign Affairs on the United Nations Framework Convention on Climate Change (COP 18/CMP 8). As the Chief Legal Counsel and Advisor to the President, she has represented Qatar at multiple negotiations and engagements with global institutions, such as the United Nations Office in New York, the United Nations Secretariat in Bonn, the World Bank, MEF, the White House, and others. She holds a Masters (MSc) in International Business Management from the University of Surrey in the United Kingdom and a Masters (LLM) in International Business Economic Law from Georgetown University in the United States. She also holds an undergraduate degree (LLB) in English law and French law from the University of Surrey in the United Kingdom and Sorbonne University in France and is a qualified attorney certified by the New York Bar.</t>
  </si>
  <si>
    <t>322258-60P</t>
  </si>
  <si>
    <t>Mahmoud ElAchi</t>
  </si>
  <si>
    <t>ElAchi</t>
  </si>
  <si>
    <t>Mahmoud</t>
  </si>
  <si>
    <t>Mr. Mahmoud ElAchi served as Head of Innovation at Qatar Foundation Endowment.</t>
  </si>
  <si>
    <t>204728-50P</t>
  </si>
  <si>
    <t>Michael Mitchell</t>
  </si>
  <si>
    <t>Mitchell</t>
  </si>
  <si>
    <t>General Counsel</t>
  </si>
  <si>
    <t>mmitchell@qf.org.qa</t>
  </si>
  <si>
    <t>Mr. Michael Mitchell serves as General Counsel at Qatar Foundation Endowment.</t>
  </si>
  <si>
    <t>417738-61P</t>
  </si>
  <si>
    <t>Omran Al-Kuwari Ph.D</t>
  </si>
  <si>
    <t>Al-Kuwari</t>
  </si>
  <si>
    <t>Omran</t>
  </si>
  <si>
    <t>Mr. Omran Al-Kuwari serves as Chief Executive Officer at Qatar Foundation Endowment. Prior to joining Qatar Foundation International, he held several key leadership positions in various organizations such as Qatargas, GreenGulf, and Qatar Foundation. Dr. Al-Kuwari graduated from The George Washington University in Washington DC, obtained an MBA from City University London, and holds a Ph.D. from the Institute for Sustainable Resources at University College of London.</t>
  </si>
  <si>
    <t>149328-37P</t>
  </si>
  <si>
    <t>Rashid Al-Naimi</t>
  </si>
  <si>
    <t>Al-Naimi</t>
  </si>
  <si>
    <t>Rashid</t>
  </si>
  <si>
    <t>Chief Executive Officer of Investments</t>
  </si>
  <si>
    <t>ralnaimi@qf.org.qa</t>
  </si>
  <si>
    <t>Mr. Rashid Al-Naimi serves as Chief Executive Officer of Investments at Qatar Foundation. He was previously Vice President of Administration, with the overall responsibility for managing all the administrative and operational functions of Qatar Foundation, its staff and its partner organizations, including the shared services areas of Finance, Procurement, Information Technology, Human Resources, Support Services, Business Improvement and Quality Management Systems. He was responsible for developing the ongoing strategy and implementation of all QF's initiatives, working closely with the management team and the Board of Directors to ensure that QF continues to build capacity for Qatar in the key areas of Education, Science and Research, and Community Development. He has been instrumental in creating a platform of innovation within QF, helping to foster a culture of quality and excellence aimed at unlocking the full potential of its staff whilst seeking to maximize shareholder value. Mr Al-Naimi has also frequently represented QF in the media and at numerous launch events. His career has developed over the past 20 years. He is a natural leader and has maintained roles in Senior Management for nearly a decade. Prior to joining Qatar Foundation, Mr Al-Naimi was the Manager of Human Resources for the Qatar energy company RasGas Company Limited. Mr Al-Naimi was responsible for maintaining human capital numbers as the plant executed a major program to increase margins by doubling production and fixing head-count. He is also the residing Chairman for Mazaya Qatar, MEEZA and Gulf Bridge International (GBI). He is also a Board Member representing Qatar Foundation across a number of companies including Vodafone Qatar. He has a Bachelor of Science in Economics from Indiana State University, USA and continues to drive for personal and professional excellence.</t>
  </si>
  <si>
    <t>54186-94P</t>
  </si>
  <si>
    <t>Saad Muhannadi</t>
  </si>
  <si>
    <t>Muhannadi</t>
  </si>
  <si>
    <t>Saad</t>
  </si>
  <si>
    <t>Mr. Saad Muhannadi serves as Board of Trustee &amp; Board of Director at Qatar Foundation Endowment. His previous role was the Vice President for Capital Projects and Facilities Management and during the last 15 years, he led the development of the required Qatar Foundation's infrastructure to achieve Qatar's goal of transforming itself from a carbon-based to a knowledge-based economy. Engineer Saad Ebrahim Al Muhannadi was responsible for planning, design, construction and maintenance of all Qatar Foundation buildings and supporting infrastructure in QF's 15 million square meter campus as well as ensuring a healthy and safe living and working environment. Engineer Saad Ebrahim Al Muhannadi and his team played a crucial role in developing the infrastructure not only for QF but also for other related projects such as Al Shaqab, the region's premier equine education resource center, Qatar Science &amp; Technology Park and Qatar Leadership Academy. The department is responsible for ensuring that each project is completed to the highest standards, both architecturally and environmentally. Holding a B.Arch. from the University of Miami, Florida in USA, Engineer Saad Ebrahim Al Muhannadi started his career with the Ministry of Municipality and Agriculture as Head of Design Development, then to an Assistant Manager of the Landmark West Bay development and finally he became the Chief of the Planning Unit. After that, Engineer Saad Ebrahim Al Muhannadi became one of the founding members of QF when he joined the Foundation in 1995 as Project Manager for Capital Projects before being promoted to Assistant Director, Director and then, in 2005, to his previous role as Vice President of Capital Projects and Facilities Management. Engineer Saad Ebrahim Al Muhannadi is also a founding member of the Board of Directors at Msheireb Properties, and on the subsidiary companies at QF.</t>
  </si>
  <si>
    <t>185234-14P</t>
  </si>
  <si>
    <t>Salman Al-Thani</t>
  </si>
  <si>
    <t>Salman</t>
  </si>
  <si>
    <t>Mr. Salman Al-Thani served as Chief Financial Officer at Qatar Foundation Endowment.</t>
  </si>
  <si>
    <t>379974-88P</t>
  </si>
  <si>
    <t>Sara Al Thani</t>
  </si>
  <si>
    <t>Sara</t>
  </si>
  <si>
    <t>Manager, Creative Studio</t>
  </si>
  <si>
    <t>+974 40572</t>
  </si>
  <si>
    <t>Ms. Sara Al Thani serves as Manager, Creative Studio at Qatar Foundation Endowment.</t>
  </si>
  <si>
    <t>260778-07P</t>
  </si>
  <si>
    <t>Sheikh Salman Al-Thani</t>
  </si>
  <si>
    <t>Sheikh Salman</t>
  </si>
  <si>
    <t>sa@qf.org.qa</t>
  </si>
  <si>
    <t>Mr. Sheikh Salman Al-Thani serves as Chief Financial Officer at Qatar Foundation Endowment.</t>
  </si>
  <si>
    <t>185234-32P</t>
  </si>
  <si>
    <t>Sheikha Hind Al Thani</t>
  </si>
  <si>
    <t>Sheikha Hind</t>
  </si>
  <si>
    <t>Chief Executive Officer &amp; Vice Chairwoman</t>
  </si>
  <si>
    <t>salthani@qf.org.qa</t>
  </si>
  <si>
    <t>Ms. Sheikha Hind Al Thani serves as Chief Executive Officer &amp; Vice Chairwoman at Qatar Foundation. She has also served as Vice Chairperson and Chairperson of the Executive Committee of the Supreme Education Council (now the Ministry of Education and Higher Education), and as a member of the Governing Council of Interpeace, an international organization dedicated to developing innovative solutions to building peace.</t>
  </si>
  <si>
    <t>63431-38P</t>
  </si>
  <si>
    <t>Sheikha Moza Nasser</t>
  </si>
  <si>
    <t>Sheikha Moza</t>
  </si>
  <si>
    <t>Co-Founder &amp; Chairperson</t>
  </si>
  <si>
    <t>+974 66688486</t>
  </si>
  <si>
    <t>snasser@qf.org.qa</t>
  </si>
  <si>
    <t>Ms. Sheikha Moza Nasser is a Co-Founder and serves as Chairperson at Qatar Foundation Endowment. She has been actively engaged in education and other social reforms in Qatar for many years and has played a major role in spearheading national and international development projects. In addition to her work at Qatar Foundation, she served as the Vice Chair of the Supreme Council of Health from 2009-2014 and as the Vice Chair of the Supreme Education Council from 2006-2012. In these roles, she helped enact major top-down reforms of Qatar's public schools and healthcare system. More recently, she chairs Sidra Medicine, a new training and research hospital that opened its doors in 2016 and is set to become a leading institution for women's and children's specialty care. Internationally, she launched Education Above All (EAA) in 2012 global initiative that aims to foster development and generate a global movement, with a particular focus on areas affected by poverty, conflict, and disaster, the needs of children, and the empowerment of youth and women. She also launched the Silatech initiative in 2008 to address the growing challenge of youth employment in the Middle East and North Africa, which followed her appointment by the Secretary General of the UN as an Alliance of Civilizations (AOC) Ambassador. She also plays an active role with the UN to support global education. She was appointed as a United Nations (UN) Advocate for the Sustainable Development Goals in 2016 and was previously a member of the UN Millennium Development Goals Advocacy Group with a special emphasis on Goal 2-universal primary education. She serves as a UNESCO Special Envoy for Basic and Higher Education, through which she launched multiple projects including the International Fund for Higher Education in Iraq. In 2012, she was appointed as a Steering Committee Member of the UN Secretary-General's Global Education First Initiative. The initiative aims to put every child in school, improve the quality of learning, and foster global citizenship. Among her many honors are the Carnegie Medal of Philanthropy and the George Bush Award for Excellence in Public Service. In 2009, she was inducted into the Academie des Beaux Arts de l'Institut de France. In 2007, she was presented the prestigious Chatham House Award for her contributions to improving international relations. She holds a Master of Arts (MA) in Public Policy in Islam from Hamad Bin Khalifa University's College of Islamic Studies and graduated from Qatar University with a degree in sociology. She has also been awarded honorary doctorates from Virginia Commonwealth University, Texas A&amp;M University, Carnegie Mellon University, Imperial College London, and Georgetown University.</t>
  </si>
  <si>
    <t>447988-78P</t>
  </si>
  <si>
    <t>Yousif Al-Naama</t>
  </si>
  <si>
    <t>Al-Naama</t>
  </si>
  <si>
    <t>Yousif</t>
  </si>
  <si>
    <t>Mr. Yousif Al-Naama serves as Chief Executive Officer at Qatar Foundation Endowment.</t>
  </si>
  <si>
    <t>323873-38P</t>
  </si>
  <si>
    <t>Eric Kennedy</t>
  </si>
  <si>
    <t>Octogone Gestion</t>
  </si>
  <si>
    <t>Family Office</t>
  </si>
  <si>
    <t>Kennedy</t>
  </si>
  <si>
    <t>www.octogone.ch</t>
  </si>
  <si>
    <t>Portfolio Manager</t>
  </si>
  <si>
    <t>+41 (0)22 320 3232</t>
  </si>
  <si>
    <t>ek@octogone.ch</t>
  </si>
  <si>
    <t>Geneva, Switzerland</t>
  </si>
  <si>
    <t>Rue De-Candolle 26</t>
  </si>
  <si>
    <t>Geneva</t>
  </si>
  <si>
    <t>1205</t>
  </si>
  <si>
    <t>+41 (0)22 320 3336</t>
  </si>
  <si>
    <t>Mr. Eric Kennedy serves as Portfolio Manager at Octogone. He started his career in 2004 at Clariden Bank, Zurich. He also worked at LGT Group for the LATAM department in Zurich. He holds a Banking &amp; Finance Degree from Kalaidos University of Applied Sciences.</t>
  </si>
  <si>
    <t>281714-95P</t>
  </si>
  <si>
    <t>Juan Gonzalez</t>
  </si>
  <si>
    <t>Gonzalez</t>
  </si>
  <si>
    <t>Juan</t>
  </si>
  <si>
    <t>juan.gonzalez@octogone.ch</t>
  </si>
  <si>
    <t>Mr. Juan Gonzalez serves as Portfolio Manager at Octogone. Prior to that, he worked from 2012 to 2020 as a Relationship Manager at LGT Bank (Suisse) SA, covering high and ultra-high net worth European clients. He started his career in 2007 at bank Clariden Leu Ltd as a Junior Relationship Manager. He holds a master in International Relations from the Graduate Institute of International and Development Studies in Geneva and is a Certified Wealth Management Advisor (SAQ - CWMA).</t>
  </si>
  <si>
    <t>323645-23P</t>
  </si>
  <si>
    <t>Alexander Jilla</t>
  </si>
  <si>
    <t>LGT Group (Former)</t>
  </si>
  <si>
    <t>Family Office (Multi)</t>
  </si>
  <si>
    <t>Jilla</t>
  </si>
  <si>
    <t>www.lgt.com</t>
  </si>
  <si>
    <t>+19173240629</t>
  </si>
  <si>
    <t>alexander.jilla@lgt.com</t>
  </si>
  <si>
    <t>Mr. Alexander Jilla serves as Executive Director at LGT Group.</t>
  </si>
  <si>
    <t>35475-67P</t>
  </si>
  <si>
    <t>André Lagger</t>
  </si>
  <si>
    <t>Lagger</t>
  </si>
  <si>
    <t>André</t>
  </si>
  <si>
    <t>+44 (0)20 3207 8000</t>
  </si>
  <si>
    <t>andre.lagger@lgt.com</t>
  </si>
  <si>
    <t>14 Cornhill</t>
  </si>
  <si>
    <t>EC3V 3NR</t>
  </si>
  <si>
    <t>+44 (0)20 3207 8001</t>
  </si>
  <si>
    <t>Dr. André Lagger serves as Managing Partner, Chief Executive Officer, Co-Founder of LGT Capital Partners, and Member of the Private Equity Global Investment Committee at LGT Group. He also serves on the Executive Committee. He also serves as a Board Member at LGT Wealth Management. He holds a degree in Business Administration and Economics and has a doctorate from the University of Berne.</t>
  </si>
  <si>
    <t>165192-31P</t>
  </si>
  <si>
    <t>Andrea Ferch</t>
  </si>
  <si>
    <t>Ferch</t>
  </si>
  <si>
    <t>Andrea</t>
  </si>
  <si>
    <t>Head of Fund Research, LGT Bank</t>
  </si>
  <si>
    <t>Ms. Andrea Ferch served as Head of Fund Research, LGT Bank at LGT Group.</t>
  </si>
  <si>
    <t>200886-94P</t>
  </si>
  <si>
    <t>Anke Bridge</t>
  </si>
  <si>
    <t>LGT Group</t>
  </si>
  <si>
    <t>Bridge</t>
  </si>
  <si>
    <t>Anke</t>
  </si>
  <si>
    <t>Chief Executive Officer, LGT Bank Switzerland</t>
  </si>
  <si>
    <t>+423 235 1122</t>
  </si>
  <si>
    <t>anke.bridge-haux@lgt.com</t>
  </si>
  <si>
    <t>Vaduz, Liechtenstein</t>
  </si>
  <si>
    <t>Herrengasse 12</t>
  </si>
  <si>
    <t>Vaduz</t>
  </si>
  <si>
    <t>9490</t>
  </si>
  <si>
    <t>Liechtenstein</t>
  </si>
  <si>
    <t>Ms. Anke Bridge serves as Chief Executive Officer, Switzerland at LGT Group. She served as Investment Committee Member at Credit Suisse Entrepreneur Capital. She is Head Digitalization &amp; Products and a Member of the Executive Board of Credit Suisse (Switzerland) Ltd. and the Swiss Universal Bank Management Committee. Digitalization &amp; Products is responsible for the development of digital solutions for clients as well as the development of digital solutions and processes for the bank's internal business operations. She holds a Master in Finance and Economics from the University of St. Gallen and completed the General Management Program (GMP) at Harvard Business School, Boston.</t>
  </si>
  <si>
    <t>269749-90P</t>
  </si>
  <si>
    <t>Candice Phok</t>
  </si>
  <si>
    <t>Phok</t>
  </si>
  <si>
    <t>Candice</t>
  </si>
  <si>
    <t>Ms. Candice Phok served as Private Debt Analyst, LGT Capital Partners at LGT Group.</t>
  </si>
  <si>
    <t>161329-51P</t>
  </si>
  <si>
    <t>Conrad Meyer</t>
  </si>
  <si>
    <t>Conrad</t>
  </si>
  <si>
    <t>Dr. Conrad Meyer serves as Board Member at LGT Group. Dr. Meyer served as Board Member at Jacobs Holding. He holds Master's in Economics from University of Zurich and also is a Doctorate in Economics.</t>
  </si>
  <si>
    <t>78015-25P</t>
  </si>
  <si>
    <t>David Ong</t>
  </si>
  <si>
    <t>Ong</t>
  </si>
  <si>
    <t>Managing Director - Private Banking und Asset Management</t>
  </si>
  <si>
    <t>Mr. David Ong served as Managing Director - Private Banking und Asset Management at LGT Group. Ong served as Managing Director and Senior Advisor at Julius Baer Group. He previously served at Citi, Calyon Investment Bank and HSBC.</t>
  </si>
  <si>
    <t>466525-63P</t>
  </si>
  <si>
    <t>Dewi Fabbri</t>
  </si>
  <si>
    <t>Fabbri</t>
  </si>
  <si>
    <t>Dewi</t>
  </si>
  <si>
    <t>Head of Branding, Digital and Corporate Communications, APAC</t>
  </si>
  <si>
    <t>dewi.fabbri@lgt.com</t>
  </si>
  <si>
    <t>Ms. Dewi Fabbri serves as Head of Branding, Digital and Corporate Communications, APAC at LGT Group. Ms. Fabbri holds a Master of Arts in Global Studies from the University of Adelaide, earned in 2012, and a Bachelor of Arts in Political Science and Government from the same university, completed in 2010.</t>
  </si>
  <si>
    <t>257496-94P</t>
  </si>
  <si>
    <t>Hubertus Liechtenstein</t>
  </si>
  <si>
    <t>Hubertus</t>
  </si>
  <si>
    <t>Mr. Hubertus Liechtenstein serves as Board Member at LGT Group.</t>
  </si>
  <si>
    <t>348768-46P</t>
  </si>
  <si>
    <t>Ingo Zima</t>
  </si>
  <si>
    <t>Zima</t>
  </si>
  <si>
    <t>Ingo</t>
  </si>
  <si>
    <t>ingo.zima@lgt.com</t>
  </si>
  <si>
    <t>Mr. Ingo Zima serves as Managing Director &amp; Investment Advisor, LGT Private Banking at LGT Group.</t>
  </si>
  <si>
    <t>193681-72P</t>
  </si>
  <si>
    <t>Joël Rochat</t>
  </si>
  <si>
    <t>Onyx Wealth Management (Former)</t>
  </si>
  <si>
    <t>Rochat</t>
  </si>
  <si>
    <t>Joël</t>
  </si>
  <si>
    <t>Mr. Joël Rochat served as a Partner at Onyx Wealth Management. After five years with Paribas Bank Switzerland as a wealth manager, Joël joined Pictet &amp; Cie where he stayed ten years. Notably, he opened and was the Managing Director of the French branch of Pictet in Paris. He was later the Managing Director of LGT Bank (Princely Bank of Liechtenstein) in Geneva and Lausanne.</t>
  </si>
  <si>
    <t>273307-06P</t>
  </si>
  <si>
    <t>K.B. Chandrasekar</t>
  </si>
  <si>
    <t>Chandrasekar</t>
  </si>
  <si>
    <t>K.B.</t>
  </si>
  <si>
    <t>Mr. K.B. Chandrasekar served as a Board Member at LGT Group. He completed his B.Comm from Loyola College in 1970 and his MBA from the University of Madras in 1973.</t>
  </si>
  <si>
    <t>273306-43P</t>
  </si>
  <si>
    <t>Mark Jordy</t>
  </si>
  <si>
    <t>Jordy</t>
  </si>
  <si>
    <t>Mark</t>
  </si>
  <si>
    <t>mjordy@lgtcp.com</t>
  </si>
  <si>
    <t>Mr. Mark Jordy serves as Board Member at LGT Group. Mr. Jordy serves as Chairman at LGT Capital Partners.</t>
  </si>
  <si>
    <t>396356-77P</t>
  </si>
  <si>
    <t>Markus Lumpert</t>
  </si>
  <si>
    <t>Portas Capital</t>
  </si>
  <si>
    <t>Lumpert</t>
  </si>
  <si>
    <t>Markus</t>
  </si>
  <si>
    <t>portascapital.com</t>
  </si>
  <si>
    <t>+41 (0)44 226 1600</t>
  </si>
  <si>
    <t>markus.lumpert@portascapital.com</t>
  </si>
  <si>
    <t>Utoquai 39</t>
  </si>
  <si>
    <t>8008</t>
  </si>
  <si>
    <t>Mr. Markus Lumpert serves as a Partner at Portas Capital. He began his career as a Junior Portfolio Manager with the Swiss Volksbank in Zurich. Then he worked 7 years for the J. Henry Schroder Bank AG, Zurich, first as a Junior and later as a Senior Portfolio Manager and Investment Advisor, and a further 3 years at the equally renowned LGT Bank in Liechtenstein, Zurich, in the same function. For 14 years he was in charge at the J. Safra Sarasin AG, Zurich, as a Senior Portfolio Manager and Investment Advisor for national and international private clients and headed most recently the Department IAEZ / External Asset Managers in the rank of an Executive Director.</t>
  </si>
  <si>
    <t>35475-13P</t>
  </si>
  <si>
    <t>Maximilian Liechtenstein</t>
  </si>
  <si>
    <t>Maximilian</t>
  </si>
  <si>
    <t>Chairman of the Foundation Board</t>
  </si>
  <si>
    <t>+1 (212) 336-0650</t>
  </si>
  <si>
    <t>1133 Avenue of the Americas</t>
  </si>
  <si>
    <t>30th Floor</t>
  </si>
  <si>
    <t>10036</t>
  </si>
  <si>
    <t>+1 (212) 336-0699</t>
  </si>
  <si>
    <t>Mr. Maximilian Liechtenstein serves as Chairman of the Foundation Board at LGT Group. He as Board Member at Wefox. He holds an MBA degree from Harvard Business School and a Bachelor's degree from European Business School.</t>
  </si>
  <si>
    <t>256381-93P</t>
  </si>
  <si>
    <t>Michael Bürge</t>
  </si>
  <si>
    <t>Bürge</t>
  </si>
  <si>
    <t>Mr. Michael Bürge serves as Chief Financial Officer at LGT Group. He serves as a Board Member at LGT Crestone Wealth Management. After completing a commercial apprenticeship and gaining initial professional experience in roles at the Zurich-based private bank Vontobel, he joined LGT Bank in Liechtenstein in Vaduz in 1991. In 2001, he was appointed as a member of the Executive Board of LGT Financial Services and in 2005, as Head of Group Controlling &amp; Accounting of LGT Group. He pursued his undergraduate degree in Business Administration, followed by a postgraduate Executive Master of Financial Planning and Consulting, both part-time while working. He holds a Degree in Economics and Business Administration and a Master's degree in Financial Planning and Consulting.</t>
  </si>
  <si>
    <t>162567-73P</t>
  </si>
  <si>
    <t>Michael Hua</t>
  </si>
  <si>
    <t>Hua</t>
  </si>
  <si>
    <t>+1 (659) 369-5899</t>
  </si>
  <si>
    <t>michael.hua@lgt.com</t>
  </si>
  <si>
    <t>Mr. Michael Hua serves as Managing Director at LGT Group. He served as Business Head (Malaysia, Thailand and Vietnam) at HSBC Private Bank.</t>
  </si>
  <si>
    <t>32673-07P</t>
  </si>
  <si>
    <t>Michel Malo</t>
  </si>
  <si>
    <t>Ocean Capital Investments</t>
  </si>
  <si>
    <t>Malo</t>
  </si>
  <si>
    <t>Michel</t>
  </si>
  <si>
    <t>oceancapital.ca</t>
  </si>
  <si>
    <t>Vice President of Investments</t>
  </si>
  <si>
    <t>+1 (506) 632-2000</t>
  </si>
  <si>
    <t>mmalo@oceancapital.ca</t>
  </si>
  <si>
    <t>Saint John, Canada</t>
  </si>
  <si>
    <t>55 Union Street</t>
  </si>
  <si>
    <t>Suite 710</t>
  </si>
  <si>
    <t>Saint John</t>
  </si>
  <si>
    <t>New Brunswick</t>
  </si>
  <si>
    <t>E2L 5B7</t>
  </si>
  <si>
    <t>Canada</t>
  </si>
  <si>
    <t>Mr. Michel Malo serves as Vice President of Investments at Ocean Capital Investments. Mr. Malo served as Chief Investment Officer at Newfoundland and Labrador Public Service Pension Plan. Mr. Malo served as Vice President for Investments at CN Investment Division. Previously, he served as Head of Asset Allocation and Risk Management for Qatar Foundation Endowment. He previously served as Managing Director of Investment Strategy for the University of Toronto.</t>
  </si>
  <si>
    <t>404741-89P</t>
  </si>
  <si>
    <t>Michel Yigit</t>
  </si>
  <si>
    <t>Yigit</t>
  </si>
  <si>
    <t>Head External Asset Managers Switzerland and Board Member</t>
  </si>
  <si>
    <t>michel.yigit@lgt.com</t>
  </si>
  <si>
    <t>Mr. Michel Yigit serves as Head External Asset Managers Switzerland and Board Member at LGT Group.</t>
  </si>
  <si>
    <t>35476-12P</t>
  </si>
  <si>
    <t>Olivier de Perregaux</t>
  </si>
  <si>
    <t>de Perregaux</t>
  </si>
  <si>
    <t>Olivier</t>
  </si>
  <si>
    <t>Chief Executive Officer, LGT Private Banking &amp; Member of the Senior Management Board</t>
  </si>
  <si>
    <t>olivier.deperregaux@lgt.com</t>
  </si>
  <si>
    <t>Mr. Olivier de Perregaux serves as Chief Executive Officer of LGT Private Banking and Member of the Senior Management Board at LGT Group. He serves as a Board Member at LGT Wealth India. He serves as Chairman at LGT Crestone Wealth Management. He has been CEO of LGT Private Banking since 2021. From 1997 to 1999, he was Senior Transaction Manager and Head of Strategic Marketing for Center Solutions at Zurich Financial Services in Zurich. He has been CFO of LGT Group since 1999. After completing his degree in business administration at the University of St.Gallen, he worked as a consultant with McKinsey &amp; Co. in Zurich and New York from 1988 to 1996.</t>
  </si>
  <si>
    <t>296259-67P</t>
  </si>
  <si>
    <t>Oyvin Furustol</t>
  </si>
  <si>
    <t>Furustol</t>
  </si>
  <si>
    <t>Oyvin</t>
  </si>
  <si>
    <t>Senior Investment Advisor</t>
  </si>
  <si>
    <t>oyvin.furustol@lgt.com</t>
  </si>
  <si>
    <t>Mr. Oyvin Furustol serves as Senior Investment Advisor at LGT Group.</t>
  </si>
  <si>
    <t>83726-74P</t>
  </si>
  <si>
    <t>Philipp Liechtenstein</t>
  </si>
  <si>
    <t>Philipp</t>
  </si>
  <si>
    <t>Chairman, Foundation Board &amp; Board Member of the Human Resources Nomination Committee</t>
  </si>
  <si>
    <t>Mr. Philipp Liechtenstein served as Chairman, Foundation Board &amp; Board Member of the Human Resources Nomination Committee at LGT Group.</t>
  </si>
  <si>
    <t>114829-48P</t>
  </si>
  <si>
    <t>Dr. Phillip Colebatch served as Board Member at LGT Group.</t>
  </si>
  <si>
    <t>438072-40P</t>
  </si>
  <si>
    <t>Rashmi Vaswani</t>
  </si>
  <si>
    <t>Farro Capital</t>
  </si>
  <si>
    <t>Vaswani</t>
  </si>
  <si>
    <t>Rashmi</t>
  </si>
  <si>
    <t>www.farrocapital.com</t>
  </si>
  <si>
    <t>Managing Director &amp; Relationship Manager</t>
  </si>
  <si>
    <t>+65 6539 9975</t>
  </si>
  <si>
    <t>rashmi.vaswani@farrocapital.com</t>
  </si>
  <si>
    <t>3 Phillip Street, Suite 08-01</t>
  </si>
  <si>
    <t>Royal Group Building</t>
  </si>
  <si>
    <t>048693</t>
  </si>
  <si>
    <t>Ms. Rashmi Vaswani serves as Managing Director &amp; Relationship Manager at Farro Capital. She has been a successful private banker for over 22 years. She was a Managing Director at LGT Bank and UBP (Union Bancaire Privée) focused on managing ultra-high net worth clients. She previously worked at Citi bank and Standard Chartered.</t>
  </si>
  <si>
    <t>61962-58P</t>
  </si>
  <si>
    <t>Silvio Ackermann</t>
  </si>
  <si>
    <t>Financial Partners FP</t>
  </si>
  <si>
    <t>Ackermann</t>
  </si>
  <si>
    <t>Silvio</t>
  </si>
  <si>
    <t>www.fpltd.net</t>
  </si>
  <si>
    <t>+423 236 3900</t>
  </si>
  <si>
    <t>silvio.ackermann@fpltd.net</t>
  </si>
  <si>
    <t>Städtle 28</t>
  </si>
  <si>
    <t>+423 236 3901</t>
  </si>
  <si>
    <t>Mr. Silvio Ackermann serves as Board Member at Financial Partners FP. Previously, he served as Managing Director at LGT Bank in Liechtenstein. He did Executive Master's in Financial Planning and Consulting</t>
  </si>
  <si>
    <t>193182-31P</t>
  </si>
  <si>
    <t>Stephanie Meili</t>
  </si>
  <si>
    <t>Hedge Fund, Infrastructure, Natural Resources, Private Debt, Private Equity, Real Estate, Venture Capital</t>
  </si>
  <si>
    <t>Meili</t>
  </si>
  <si>
    <t>Stephanie</t>
  </si>
  <si>
    <t>Senior Private Markets Advisor, Europe</t>
  </si>
  <si>
    <t>stephanie.meili@lgt.com</t>
  </si>
  <si>
    <t>Ms. Stephanie Meili serves as Senior Private Markets Advisor Europe at LGT Group. She served as Head of Private Markets at Cape Capital.</t>
  </si>
  <si>
    <t>35475-85P</t>
  </si>
  <si>
    <t>Thomas Piske</t>
  </si>
  <si>
    <t>Piske</t>
  </si>
  <si>
    <t>Mr. Thomas Piske serves as Board Member at LGT Group. Mr. Piske served as a Board Member at LGT Crestone Wealth Management. He has been a member of the Foundation Board of LGT Group Foundation since 2021. From 2009 to 2020 he was CEO of LGT Private Banking. After completing his studies in economics at the University of Innsbruck, he joined LGT Bank in Liechtenstein Ltd. in Vaduz in 1986. In 1998, he became a member of the General Management and in 2001 was appointed President of the General Management of LGT Bank Liechtenstein as well as CEO of Private Banking Europe. He is an Austrian national. He was Chairman of the Liechtenstein Bankers Association between 2004 and 2006. He earned a Bachelor's degree from Bundeshandelsakademie Feldkirch business school in 1981 and a Master's degree in Economics from the University of Innsbruck in 1987.</t>
  </si>
  <si>
    <t>296257-33P</t>
  </si>
  <si>
    <t>Yago Del Villar</t>
  </si>
  <si>
    <t>Del Villar</t>
  </si>
  <si>
    <t>Yago</t>
  </si>
  <si>
    <t>Managing Director and Global Head of Offer Management</t>
  </si>
  <si>
    <t>ydelvillar@lgt.com</t>
  </si>
  <si>
    <t>Mr. Yago Del Villar serves as Managing Director and Global Head of Offer Management at LGT Group. Mr. Del Villar holds BBA from Autonomous University of Madrid.</t>
  </si>
  <si>
    <t>213331-78P</t>
  </si>
  <si>
    <t>Ahmed Said</t>
  </si>
  <si>
    <t>The Private Office of Sheikh Saeed bin Ahmed Al Maktoum</t>
  </si>
  <si>
    <t>Family Office (Single)</t>
  </si>
  <si>
    <t>Said</t>
  </si>
  <si>
    <t>Venture Partner, GCI Investments- Family VC</t>
  </si>
  <si>
    <t>+971 (0)4 325 2444</t>
  </si>
  <si>
    <t>ahmed@the-private-office.com</t>
  </si>
  <si>
    <t>17 Sheikh Zayed Road</t>
  </si>
  <si>
    <t>+971 (0)4 385 8333</t>
  </si>
  <si>
    <t>Mr. Ahmed Said serves as Venture Partner, GCI Investments- Family VC at The Private Office of Sheikh Saeed bin Ahmed Al Maktoum.</t>
  </si>
  <si>
    <t>251639-83P</t>
  </si>
  <si>
    <t>Arya Hubban</t>
  </si>
  <si>
    <t>The Private Office of Sheikh Saeed bin Ahmed Al Maktoum (Former)</t>
  </si>
  <si>
    <t>Hubban</t>
  </si>
  <si>
    <t>Arya</t>
  </si>
  <si>
    <t>Senior Manager, International Ventures</t>
  </si>
  <si>
    <t>arya@seedgroup.com</t>
  </si>
  <si>
    <t>Ms. Arya Hubban served as Senior Manager, International Ventures at The Private Office of Sheikh Saeed bin Ahmed Al Maktoum. After spending nearly a decade working in business development, relationship management, and strategic partnerships, she knows what truly drives conversions and business growth. With a bachelor's degree in Business Management, she has worked with partners in the healthcare, aerospace, e-commerce, retail, and education spaces, being instrumental in identifying synergies between our partners' offerings and the opportunities in the region to support their international expansion.</t>
  </si>
  <si>
    <t>288160-03P</t>
  </si>
  <si>
    <t>Avinash Mansabdar</t>
  </si>
  <si>
    <t>Mansabdar</t>
  </si>
  <si>
    <t>Avinash</t>
  </si>
  <si>
    <t>Senior Finance Director</t>
  </si>
  <si>
    <t>+971562727777</t>
  </si>
  <si>
    <t>avinash@the-private-office.com</t>
  </si>
  <si>
    <t>Mr. Avinash Mansabdar serves as Senior Finance Director at The Private Office of Sheikh Saeed bin Ahmed Al Maktoum.</t>
  </si>
  <si>
    <t>213357-43P</t>
  </si>
  <si>
    <t>Hisham Al Gurg</t>
  </si>
  <si>
    <t>Al Gurg</t>
  </si>
  <si>
    <t>Hisham</t>
  </si>
  <si>
    <t>hisham@the-private-office.com</t>
  </si>
  <si>
    <t>Mr. Hisham Al Gurg serves as Chief Executive Officer at The Private Office of Sheikh Saeed bin Ahmed Al Maktoum. He is the Co-Founder and serves as Chief Executive Officer at The Seed Group. Presently, he is managing the private investments and strategic partnerships activities of Sheikh Saeed Al Maktoum. He is also the CEO of Al Fajer Investments &amp; Development, an investment division of Al Fajer Enterprises, a holding group of companies owned by His Highness Sheikh Hasher Al Maktoum. Both Sheikhs are members of the Royal family of Dubai. He is also the UAE sponsor of the Chinese petroleum giant "Sinopec Petroleum". Sinopec Petroleum is one of the largest energy corporations in the world, headquartered in Beijing. Hisham holds a computer science bachelor's degree from Southwest Texas State University.</t>
  </si>
  <si>
    <t>61767-28P</t>
  </si>
  <si>
    <t>Victoria Loraine</t>
  </si>
  <si>
    <t>Khalij Fiduciaire (Former)</t>
  </si>
  <si>
    <t>Loraine</t>
  </si>
  <si>
    <t>www.kfsuisse.com</t>
  </si>
  <si>
    <t>Owner &amp; Secretary</t>
  </si>
  <si>
    <t>Ms. Victoria Loraine was the Owner and served as Secretary at Khalij Fiduciaire.</t>
  </si>
  <si>
    <t>306631-63P</t>
  </si>
  <si>
    <t>Yusuf Latif</t>
  </si>
  <si>
    <t>Latif</t>
  </si>
  <si>
    <t>Yusuf</t>
  </si>
  <si>
    <t>yusuf@the-private-office.com</t>
  </si>
  <si>
    <t>Mr. Yusuf Latif serves as Senior Manager, International Ventures at The Private Office of Sheikh Saeed bin Ahmed Al Maktoum. He holds a Master's in International Business Management &amp; Law.</t>
  </si>
  <si>
    <t>158124-16P</t>
  </si>
  <si>
    <t>Laurent Lavigne du Cadet</t>
  </si>
  <si>
    <t>Interlink Capital Strategies (Former)</t>
  </si>
  <si>
    <t>Financing Advisory</t>
  </si>
  <si>
    <t>Lavigne du Cadet</t>
  </si>
  <si>
    <t>Laurent</t>
  </si>
  <si>
    <t>www.interlinkdc.com</t>
  </si>
  <si>
    <t>Director - Europe</t>
  </si>
  <si>
    <t>Mr. Laurent Lavigne du Cadet served as Director - Europe at Interlink Capital Strategies. He is an international banker and former CEO with more than 20 years in international business experience. He has been the CEO of several global investment companies, a fund manager and has raised more than US$3 billion of equity and US$5 billion in debt during his career. He is a specialist in the energy and power sectors and has led the financing of numerous power plant projects all over the world, particularly in Central Asia, Africa and the Middle East. Laurent is considered as a world class expert in Islamic Finance. Laurent was recently Senior Adviser at Dentons US LLP, and Deputy CEO of Taylor-DeJongh, a leading US investment banking firm specialized in the financing of major energy and infrastructure projects. Before joining Taylor-DeJongh, Laurent was CEO of Amwal, a leading Qatari Investment bank controlled by QIA, QNB, Qatar Foundation and the Royal Family of Qatar. During this period, in 2008, Laurent led several multi billion dollars project financing for Qatar Gas, Qatar Petroleum, and other international oil companies. Laurent organized as well the structuring and raising of a US$227 million Sharia compliant mezzanine fund to finance a quasi-equity tranche for the completion of the financing of an energy project. Laurent has been a Managing Director at Dubai Islamic Bank, one of the leading Islamic banks. During this period, he was the Fund Manager of the Dubai Global Energy Fund, an energy MENA and Africa private equity fund.</t>
  </si>
  <si>
    <t>244662-13P</t>
  </si>
  <si>
    <t>Lorenzo Zambon</t>
  </si>
  <si>
    <t>Cleon Capital</t>
  </si>
  <si>
    <t>Zambon</t>
  </si>
  <si>
    <t>Lorenzo</t>
  </si>
  <si>
    <t>cleoncapital.com</t>
  </si>
  <si>
    <t>lz@cleoncapital.com</t>
  </si>
  <si>
    <t>C. de Serrano, 76</t>
  </si>
  <si>
    <t>5º izquierda</t>
  </si>
  <si>
    <t>Mr. Lorenzo Zambon serves as Non-executive Director at Labomar. He serves as Partner at Cleon Capital He graduated in Business Economics from the Luigi Bocconi University (Milan) in 1999. He began his professional career with the asset management firm Lazard, in Milan and London, where he rose through the ranks working on mergers and acquisitions (sales, acquisitions, partnerships, mergers, and debt restructuring) for Italian and international institutional clients, including private equity funds and publicly traded corporations in a range of industries, such as real estate, banking, and insurance. He worked for Mayhoola for Investments, an investment entity based in Qatar, from 2013 to 2018, where he was responsible for the research and execution of new investments by the group, including the creation and management of the related investment holding companies in Luxembourg and Italy. On behalf of Mayhoola for Investments, he was a non-executive member of the board of directors of Valentino Fashion Group. (now Valentino) from 2013 to 2017, and he was a non-executive member of the board of directors of Forall Confezioni from 2014 to 2017. Since 2019, he has been a partner at Cleon Capital, an independent investment firm with offices in Spain and Italy, which selects and structures strategic and operational private equity investments in partnership with a select group of private and institutional investors and family offices, both domestic and international.</t>
  </si>
  <si>
    <t>373731-76P</t>
  </si>
  <si>
    <t>Natalie Rowland</t>
  </si>
  <si>
    <t>Gerald Eve (Former)</t>
  </si>
  <si>
    <t>Rowland</t>
  </si>
  <si>
    <t>Natalie</t>
  </si>
  <si>
    <t>www.geraldeve.com</t>
  </si>
  <si>
    <t>+44 (0)20 7333 6220</t>
  </si>
  <si>
    <t>Ms. Natalie Rowland served as Partner at Gerald Eve. As a Partner in the London-based Planning and Development team, she brings 17 years of experience as a Chartered Town Planner. Specializing in both strategic planning and property-specific advice, her focus is on complex mixed-use, heritage, and regeneration schemes in Central London. Additionally, she holds the position of chair of The Women's Network at Gerald Eve. Her expertise lies in navigating the intricacies of heritage assets in sensitive Central London environments, including within the setting of the World Heritage Site, adaptation of Grade I and II* listed buildings, and demolition in conservation areas. With considerable experience in advising and managing the full planning application process, she collaborates with large, multi-disciplinary teams on long-term complex projects to achieve client objectives. She actively engages with the development plan process for her clients and has experience in appeal and inquiry work. Her client portfolio is balanced and varied, including leading commercial and residential developers, estates, institutions, investors, and private clients. Key clients include Landsec, The Crown Estate, Mitsubishi Estate London, Morgan Capital, W.RE, Art-Invest RE, Museum of London, King Edward VII Hospital, Duchy of Lancaster, Amano Group, and the Ambassador Theatre Group.</t>
  </si>
  <si>
    <t>249759-73P</t>
  </si>
  <si>
    <t>Prakkhyat Sharma</t>
  </si>
  <si>
    <t>SNI Capital</t>
  </si>
  <si>
    <t>Sharma</t>
  </si>
  <si>
    <t>Prakkhyat</t>
  </si>
  <si>
    <t>www.snicapitaladvisors.com</t>
  </si>
  <si>
    <t>+91 (0)11 4352 8764</t>
  </si>
  <si>
    <t>ps@snicapitaladvisors.com</t>
  </si>
  <si>
    <t>4805/24, IIIrd Floor</t>
  </si>
  <si>
    <t>Bharat Ram Road, Darya Ganj</t>
  </si>
  <si>
    <t>110002</t>
  </si>
  <si>
    <t>+91 (0)11 2328 8003</t>
  </si>
  <si>
    <t>Mr. Prakkhyat Sharma serves as Executive Director at SNI Capital. Mr. Sharma is a Multi-Talented Business Strategist, with 30 years of International &amp; Domestic Business experience. He has provided strategic expertise for the consolidation and expansion of business in sectors ranging from Plastics Packaging to Textiles, Commodities Trading, Media, Infrastructure Projects, and Financial Services. Currently holds responsibilities as Director in the Media Business House, Falcon Media, which publishes internationally acclaimed Magazines called Enertia and also Markenomy. Every year Awards under the aegis of these Brands felicitate Awardees which include Public, State, and Private Enterprises along with outstanding personalities that drive them. As the Executive Director of Ikratos Solargie Pvt Ltd, has entered different MOU with States to set up 1000 MW of Renew projects in the Country. Secretary and Trustee of the Board at Global Cancer Mission. Other than conducting weekly camps in rural areas in Maharashtra, to ensure cancer prevention checks, the NGO plans to set up Hospitals at different locations pan India, with the first coming at Ahmednagar, Maharashtra. Is the Hon. Advisor for Trade, Finance, and Infrastructure to the Indo-China Economic and Cultural Council, the first apex body to form an alliance with Chinese counterparts, more than 10 years ago.</t>
  </si>
  <si>
    <t>249762-88P</t>
  </si>
  <si>
    <t>Puneet Marwah</t>
  </si>
  <si>
    <t>Marwah</t>
  </si>
  <si>
    <t>Puneet</t>
  </si>
  <si>
    <t>pm@snicapitaladvisors.com</t>
  </si>
  <si>
    <t>Mr. Puneet Marwah serves as Executive Director at SNI Capital. Mr. Marwah, has over 15 years of experience in financial structuring and advisory. Puneet S. Marwah has demonstrated a strong track record in the areas of Private Placement of Equities, Corporate Debt Funding, arranging Inter Corporate Finance &amp; Advisory, Structured Finance, Private Equity Advisory, Advising on Mergers &amp; Acquisitions, Arrangement of Finance through Strategic Investors, Offshore Structuring, Valuation &amp; Business Modelling, Real Estate Advisory, and Promoter Funding. In 2011, he co-founded the firm 'Nascent Solutions', a profitable venture. He has a proven record of being a versatile professional, a strong team player with sharp leadership skills combined with the ability to work simultaneously on multiple projects and meet stringent deadlines while working with companies of high repute like IL&amp;FS, HSBC, and Religare. Being an Executive Director of 'Riqueza Capital Group', Puneet has responsibility for Group's Capital Market Advisory vertical. Riqueza Capital is a leading financial/business consulting firm having a strong global presence directly or indirectly through its network partners &amp; associates.</t>
  </si>
  <si>
    <t>235162-54P</t>
  </si>
  <si>
    <t>Shammi Khanna</t>
  </si>
  <si>
    <t>SNI Capital (Former)</t>
  </si>
  <si>
    <t>Khanna</t>
  </si>
  <si>
    <t>Shammi</t>
  </si>
  <si>
    <t>Mr. Shammi Khanna served as Partner at SNI Capital.</t>
  </si>
  <si>
    <t>318293-20P</t>
  </si>
  <si>
    <t>Tony O'Sullivan</t>
  </si>
  <si>
    <t>Pollination Global Holdings</t>
  </si>
  <si>
    <t>O'Sullivan</t>
  </si>
  <si>
    <t>Tony</t>
  </si>
  <si>
    <t>www.pollinationgroup.com</t>
  </si>
  <si>
    <t>+44 (0)20 3355 1556</t>
  </si>
  <si>
    <t>tony.osullivan@pollinationgroup.com</t>
  </si>
  <si>
    <t>Level 2, 43 Whitfield Street</t>
  </si>
  <si>
    <t>W1T 4HD</t>
  </si>
  <si>
    <t>Mr. Tony O'Sullivan is a Co-Founder &amp; serves as Chairman at Pollination Group. ; a leading climate change advisory and investment firm, accelerating the transition to a net zero, nature-positive future. He is based in London. At the invitation of His Majesty King Charles III, in his former role as His Royal Highness The Prince of Wales, he was appointed Chair of the Natural Capital Investment Alliance (NCIA) Taskforce in October 2022. The NCIA was formed in recognition of the need to mobilize investment in nature-based economic opportunities. In 2005, he founded O'Sullivan Partners, which became a leading investment bank in Australia, with offices in Sydney, Melbourne, and Brisbane. In 2012, O'Sullivan Partners was acquired by pre-eminent Wall Street firm, Lazard Frères &amp; Co, chaired at the time in Australia by its former Prime Minister, the Honourable Paul Keating. Prior to establishing O'Sullivan Partners, he was a London-based merchant banker. His earlier career included being General Counsel, for several years, at a globally significant nickel and cobalt refinery.</t>
  </si>
  <si>
    <t>235178-29P</t>
  </si>
  <si>
    <t>Vivek Jain</t>
  </si>
  <si>
    <t>Jain</t>
  </si>
  <si>
    <t>Vivek</t>
  </si>
  <si>
    <t>Mr. Vivek Jain served as Managing Director at SNI Capital. Mr. Jain has experience of over 25 years of in International Business, Mergers Acquisitions and Corporate Finance. Mr. Jain previously spearheaded the operations Of Vaishali Group as Managing Director</t>
  </si>
  <si>
    <t>262689-22P</t>
  </si>
  <si>
    <t>Willa Sheridan</t>
  </si>
  <si>
    <t>U.S. Capital Wealth</t>
  </si>
  <si>
    <t>Sheridan</t>
  </si>
  <si>
    <t>Willa</t>
  </si>
  <si>
    <t>www.uscwealth.com</t>
  </si>
  <si>
    <t>+1 (713) 366-0500</t>
  </si>
  <si>
    <t>wsheridan@uscwealth.com</t>
  </si>
  <si>
    <t>Houston, TX</t>
  </si>
  <si>
    <t>4444 Westheimer Road</t>
  </si>
  <si>
    <t>Suite G500</t>
  </si>
  <si>
    <t>Houston</t>
  </si>
  <si>
    <t>77027</t>
  </si>
  <si>
    <t>Ms. Willa Sheridan serves as Chief Operating Officer at U.S. Capital Wealth. She served as Chief Operating Officer at Legacy One. She joined in 2018, providing oversight of the daily operations at the Firm and continued enhancement of our people, processes, and technology. She is focused on providing clients with best-in-class solutions and services. She has a decade of experience working in the financial services industry across SEC Registered Investment Advisors managing individual accounts and commingled vehicles, as well as serving at publicly traded companies. She has a focus on operations, corporate communication, business development, and client service. She also serves as the Chief Operating Officer at Piton Investment Management, a SEC Registered RIA providing customized fixed-income asset management. Before joining Piton in 2015, she ran Investor Relations for three publicly traded mortgage REITs, Annaly Capital Management, Inc. (NYSE: NLY), Chimera Investment Corp. (NYSE: CIM), and Crexus Investment Corporation (Formerly NYSE: CXS) where she worked closely to provide support and information to individual investors as well as institutional investors and sell-side research analysts. She served as an associate on the Strategy and Capital Markets team at Annaly and was responsible for internal and external corporate communication. She received her B.A. in Communications and Marketing from Loyola University Maryland.</t>
  </si>
  <si>
    <t>198630-82P</t>
  </si>
  <si>
    <t>Alan Reid</t>
  </si>
  <si>
    <t>Duchy of Lancaster (Former)</t>
  </si>
  <si>
    <t>Foundation</t>
  </si>
  <si>
    <t>Reid</t>
  </si>
  <si>
    <t>www.duchyoflancaster.co.uk</t>
  </si>
  <si>
    <t>Chairman of the Council</t>
  </si>
  <si>
    <t>Mr. Alan Reid served as Chairman of the Council at Duchy of Lancaster. He was formerly the Keeper of the Privy Purse and Treasurer to The Queen from 2002 to 2017.</t>
  </si>
  <si>
    <t>428207-05P</t>
  </si>
  <si>
    <t>Alastair Martin</t>
  </si>
  <si>
    <t>Duchy of Lancaster</t>
  </si>
  <si>
    <t>Martin</t>
  </si>
  <si>
    <t>Alastair</t>
  </si>
  <si>
    <t>Clerk of the Council, Chief Executive, Keeper of the Records &amp; Surveyor General</t>
  </si>
  <si>
    <t>+44 (0)20 7269 1700</t>
  </si>
  <si>
    <t>amartin@duchyoflancaster.co.uk</t>
  </si>
  <si>
    <t>Burleigh House</t>
  </si>
  <si>
    <t>355-359 Strand</t>
  </si>
  <si>
    <t>WC2R 0HS</t>
  </si>
  <si>
    <t>Mr. Alastair Martin serves as Clerk of the Council, Chief Executive, Keeper of the Records &amp; Surveyor General at the Duchy of Lancaster.</t>
  </si>
  <si>
    <t>428208-04P</t>
  </si>
  <si>
    <t>Alistair Elliott</t>
  </si>
  <si>
    <t>Elliott</t>
  </si>
  <si>
    <t>Alistair</t>
  </si>
  <si>
    <t>Council Member</t>
  </si>
  <si>
    <t>Mr. Alistair Elliott serves as a Council Member at the Duchy of Lancaster. An experienced professional with over 40 years of experience in the commercial property sector, he was formerly a Senior Partner and Chair of the Executive Board at Knight Frank.</t>
  </si>
  <si>
    <t>385887-52P</t>
  </si>
  <si>
    <t>Chitra Ganesh</t>
  </si>
  <si>
    <t>Joan Mitchell Foundation</t>
  </si>
  <si>
    <t>Ganesh</t>
  </si>
  <si>
    <t>Chitra</t>
  </si>
  <si>
    <t>joanmitchellfoundation.org</t>
  </si>
  <si>
    <t>+1 (212) 524-0100</t>
  </si>
  <si>
    <t>137 West 25th Street</t>
  </si>
  <si>
    <t>2nd Floor</t>
  </si>
  <si>
    <t>10001</t>
  </si>
  <si>
    <t>Ms. Chitra Ganesh serves as Board Member at Joan Mitchell Foundation. Across a twenty-year practice, She has developed an expansive body of work rooted in drawing and painting, which has evolved to encompass animations, wall drawings, collages, computer generated imagery, video, and sculpture. Through studies in literature, semiotics, queer theory, science fiction, and historical and mythic texts, Her attempts to reconcile representations of femininity, sexuality, and power absent from the artistic and literary canons. She often draws on visual forms from the South Asian subcontinent, including mythology, comics, and graphic art, and is currently negotiating her relationship to some of these images with the rise of right wing Hindu fundamentalism in India. Her work has been widely exhibited in the United States and internationally, including solo shows at Brooklyn Museum, NY; MoMA PS1, NY; The Kitchen, NY; The Rubin Museum of Art, NY; The Andy Warhol Museum, PA; Gothenburg Kunsthalle, Sweden; and Times Square, NY. Her work has also been exhibited in important group exhibitions at The Walker Art Center, MN; the Baltimore Museum of Art, MD; The Queens Museum of Art, NY; The Asia Society, NY; The Bronx Museum, NY; The Contemporary Arts Museum, Houston, TX; the Berkeley Art Museum and Pacific Film Archive, CA; the Museum of Contemporary Art San Diego, CA; the Boca Raton Museum of Art, FL; the Hayward Gallery, London, UK; Saatchi Museum, London, UK: Fondazione Sandretto Re Rebaudengo, Italy; Instituto Valenciano de Arte Moderno, Italy; the ZKM Center for Art and Media, Germany; Göteborgs Konsthall, Germany; Arthotek Kunstverein, Göttingen, Germany; the Museum of Contemporary Art, Shanghai, China; the Gwangju Contemporary Arts Centre, Korea; the Prince of Wales Museum, Mumbai, India; Indira Gandhi National Centre for Arts, New Delhi, India; Devi Art Foundation, India; the Kochi Biennial, India; and the Dhaka Art Summit, Bangladesh, among others. Her work is represented in the collections of the Museum of Modern Art, NY; San Francisco Museum of Modern Art, CA; the Whitney Museum of American Art, NY; The Brooklyn Museum, NY; The Art Institute of Chicago, IL; Smithsonian American Art Museum, Washington, DC; The Ford Foundation, NY; University of Michigan Museum of Art, MI; The Pennsylvania Academy of Fine Arts, PA; the Devi Art Foundation, India; Kiran Nadar Museum, Delhi, India; the Ishara Foundation, Dubai; the Saatchi Collection, London, UK; the Tai Kwun Foundation, Hong Kong; and Deutsche Bank, among others. She is the recipient of fellowships and awards from numerous foundations and organizations, including the New York Foundation for the Arts, Printed Matter, the Art Matters Foundation, the John Simon Guggenheim Memorial Foundation, the Joan Mitchell Foundation, the Lewis Center for the Arts at Princeton University, the Pollock Krasner Foundation, and the Ford Foundation. Her experience working with artist-centered organizations is rooted in the queer and South Asian communities, including serving on the Board of Directors of the South Asian Women's Creative Collective (1998-2004) and as a member of SLAAAP! Sexually Liberated Asian Artist Activist People (1999-2002). She currently serves on the Board of Governors at the Skowhegan School for Painting and Sculpture (since 2003). She received a BA in Art-Semiotics and Comparative Literature from Brown University, Providence, RI in 1996. She attended the Skowhegan School of Painting and Sculpture in 2001 and received her MFA in Visual Arts from Columbia University, NY in 2002.</t>
  </si>
  <si>
    <t>55688-05P</t>
  </si>
  <si>
    <t>Chris Adcock</t>
  </si>
  <si>
    <t>Adcock</t>
  </si>
  <si>
    <t>Chris</t>
  </si>
  <si>
    <t>Chief Finance Officer and Board Member</t>
  </si>
  <si>
    <t>Mr. Chris Adcock served as Chief Finance Officer and Board Member at Duchy of Lancaster. Previously he served at Boeder and Memorex Telex. Chris is our Chief Finance Officer with additional responsibility for the management of the financial portfolio who also runs Lancaster Castle and our Holiday Cottage portfolio. Chris joined the Duchy in 2003 and became an Executive Member of the Duchy Council in 2007.</t>
  </si>
  <si>
    <t>198631-09P</t>
  </si>
  <si>
    <t>David Lidington</t>
  </si>
  <si>
    <t>Lidington</t>
  </si>
  <si>
    <t>Hon. David Lidington served as Chancellor at Duchy of Lancaster.</t>
  </si>
  <si>
    <t>415766-35P</t>
  </si>
  <si>
    <t>Heeren Patel</t>
  </si>
  <si>
    <t>King Charles III Charitable Fund</t>
  </si>
  <si>
    <t>Patel</t>
  </si>
  <si>
    <t>Heeren</t>
  </si>
  <si>
    <t>www.pwcf.org.uk</t>
  </si>
  <si>
    <t>Head of Finance</t>
  </si>
  <si>
    <t>heeren.patel@kccf.org.uk</t>
  </si>
  <si>
    <t>3 Orchard Place</t>
  </si>
  <si>
    <t>Broadway</t>
  </si>
  <si>
    <t>SW1H 0BF</t>
  </si>
  <si>
    <t>Mr. Heeren Patel serves as Head of Finance at The Prince of Wales's Charitable Foundation. He has responsibility for the charity's finance function working closely with key stakeholders including HMRC and statutory auditors. He is also seconded part-time to The Royal Countryside Fund and its subsidiary, Countryside Fund Trading Ltd as Head of Finance. Before joining the Fund in 2021, he worked as a Certified Chartered Accountant within the household of the former Prince of Wales and the former Duchess of Cornwall for almost a decade. He has a BSc in Accounting &amp; Finance from the University of Kent.</t>
  </si>
  <si>
    <t>382987-27P</t>
  </si>
  <si>
    <t>Hugh Bruce-Watt</t>
  </si>
  <si>
    <t>Bruce-Watt</t>
  </si>
  <si>
    <t>Hugh</t>
  </si>
  <si>
    <t>General Counsel &amp; Solicitor for the Affairs</t>
  </si>
  <si>
    <t>hbruce-watt@duchyoflancaster.co.uk</t>
  </si>
  <si>
    <t>Mr. Hugh Bruce-Watt serves as General Counsel &amp; Solicitor for the Affairs at the Duchy of Lancaster. He provides legal advice and assistance to the Duchy team. He has over 30 years of experience in commercial property law and joined the Duchy in March 2019.</t>
  </si>
  <si>
    <t>383021-56P</t>
  </si>
  <si>
    <t>Hugh Bullock</t>
  </si>
  <si>
    <t>Bullock</t>
  </si>
  <si>
    <t>Mr. Hugh Bullock served as Council Member at Duchy of Lancaster. He is the former Chairman of Gerald Eve LLP, Chartered Surveyors and Property Consultants. He is also a Trustee of the Imperial War Museums and chairs the Estates Advisory Committee.</t>
  </si>
  <si>
    <t>423321-58P</t>
  </si>
  <si>
    <t>Jean Oglesby</t>
  </si>
  <si>
    <t>Oglesby Charitable Trust</t>
  </si>
  <si>
    <t>Oglesby</t>
  </si>
  <si>
    <t>Jean</t>
  </si>
  <si>
    <t>oglesbycharitabletrust.org.uk</t>
  </si>
  <si>
    <t>Co-Founder &amp; Trustee</t>
  </si>
  <si>
    <t>jean.oglesby@oglesbycharitabletrust.org.uk</t>
  </si>
  <si>
    <t>Union, Albert Square</t>
  </si>
  <si>
    <t>M2 6LW</t>
  </si>
  <si>
    <t>Ms. Jean Oglesby is the Co-Founder &amp; serves as Trustee at Oglesby Charitable Trust. She has longstanding experience in philanthropy, having been involved in charitable work since the mid-60s. In 2000, She , along with her late husband Michael, set up the Oglesby Charitable Trust, supporting a variety of local organizations in education, medical research, the arts and social inequalities. As a result of this, She and Michael both received the Prince of Wales Medal for Arts Philanthropy in November 2011, and in 2016 she was awarded a CBE for services to Philanthropy in the North West.</t>
  </si>
  <si>
    <t>16304-05P</t>
  </si>
  <si>
    <t>John Studzinski</t>
  </si>
  <si>
    <t>J. Paul Getty Trust</t>
  </si>
  <si>
    <t>Studzinski</t>
  </si>
  <si>
    <t>www.getty.edu</t>
  </si>
  <si>
    <t>Member of the Board of Trustees</t>
  </si>
  <si>
    <t>+1 (714) 524-7216</t>
  </si>
  <si>
    <t>Los Angeles, CA</t>
  </si>
  <si>
    <t>1200 Getty Center Drive 401</t>
  </si>
  <si>
    <t>Los Angeles</t>
  </si>
  <si>
    <t>California</t>
  </si>
  <si>
    <t>90049-1642</t>
  </si>
  <si>
    <t>+1 (310) 440-7703</t>
  </si>
  <si>
    <t>Mr. John Studzinski serves as Member of the Board of Trustees at J. Paul Getty Trust. He formerly served as Senior Managing Director &amp; Vice Chairman of investor Relations and Business Development at The Blackstone Group. He was previously the Global Head of Blackstone Advisory Partners as well. Mr. Studzinski joined Blackstone in 2006 as Global Head of Blackstone Advisory Partners, which he ran for a decade. A graduate of Bowdoin College, he also has an MBA from the University of Chicago. He joined Morgan Stanley in New York in 1980 and since then has spent much of his career in London, where he served as Head of European Investment Banking and Deputy Chairman of Morgan Stanley International before moving to HSBC in 2003 as a member of the Group Management Board. Mr. Studzinski is a Non-Executive Director of the Home Office of the UK Government and serves as Chair of the Risk, Audit, and Compliance Committee in addition to chairing the Prime Minister's Business Against Modern Slavery initiative. He is the Founder and Chairman of the Genesis Foundation, a UK-based charitable foundation that nurtures the careers of outstanding young artists, and Chairman of Create London. Mr. Studzinski serves on the U.S. boards of The J. Paul Getty Trust, Scholars at Risk, Tate Americas Foundation, Signature Theatre, and the Foundation for Art and Preservation in Embassies (FAPE). He is the Director Emeritus of Human Rights Watch and is Co-founder and Chair of the Arise Foundation, which partners with local networks to stop human trafficking. Mr. Studzinski is also Vice Chairman of The Atlantic Council and a member of The Council on Foreign Relations. Mr. Studzinski holds the Papal honors of Knight of the Order of St. Gregory and Knight Commander of Saint Sylvester and in 2004 was awarded the Beacon Prize for Philanthropy. He received the Prince of Wales Medal for Arts Philanthropy and the Prince of Wales Ambassador Award for his work with the homeless. In 2007 Mr. Studzinski was voted Banker of the Year by The Bank of England. In 2008, the Queen's New Year's Honours List named him Commander of the British Empire (CBE) for services to the Arts and Charity.</t>
  </si>
  <si>
    <t>382986-82P</t>
  </si>
  <si>
    <t>Jonathan Murrin</t>
  </si>
  <si>
    <t>Murrin</t>
  </si>
  <si>
    <t>Jonathan</t>
  </si>
  <si>
    <t>Chief Finance Officer</t>
  </si>
  <si>
    <t>jmurrin@duchyoflancaster.co.uk</t>
  </si>
  <si>
    <t>Mr. Jonathan Murrin serves as Chief Finance Officer at Duchy of Lancaster. He is a Chartered Accountant with over 20 years experience in the property sector.</t>
  </si>
  <si>
    <t>246027-79P</t>
  </si>
  <si>
    <t>Kristin Rechberger</t>
  </si>
  <si>
    <t>Rechberger</t>
  </si>
  <si>
    <t>Kristin</t>
  </si>
  <si>
    <t>Ms. Kristin Rechberger serves as Trustee at King Charles III Charitable Fund. She serves as Trustee at The Prince of Wales's Charitable Foundation. She served as Advisor at Fynd Ocean Ventures. She focuses on investments to restore nature. She serves as Advisory Board Member at Ocean 14 Capital.</t>
  </si>
  <si>
    <t>55689-76P</t>
  </si>
  <si>
    <t>Lord Shuttleworth</t>
  </si>
  <si>
    <t>Shuttleworth</t>
  </si>
  <si>
    <t>Mr. Lord Shuttleworth served as the chairman of Council at Duchy of Lancaster.</t>
  </si>
  <si>
    <t>90257-41P</t>
  </si>
  <si>
    <t>Mark Hudson</t>
  </si>
  <si>
    <t>Hudson</t>
  </si>
  <si>
    <t>Mr. Mark Hudson served as Chairman of the Council at Duchy of Lancaster. He is a former President of the Country Land and Business Association and also a former Chairman of the Game and Wildlife Conservation Trust. He is currently Chairman of NWF Group Plc and continues to champion innovative agricultural businesses in all that he does.</t>
  </si>
  <si>
    <t>90257-05P</t>
  </si>
  <si>
    <t>Michael Andrews</t>
  </si>
  <si>
    <t>Andrews</t>
  </si>
  <si>
    <t>Head of Commercial</t>
  </si>
  <si>
    <t>Mr. Michael Andrews served as Head of Commercial at Duchy of Lancaster. He manages the Urban Survey. He has over 30 years' experience in the commercial property sector having previously worked for CBRE, DTZ and Canmoor Asset Management. Mike joined the Duchy in March 2014.</t>
  </si>
  <si>
    <t>95406-13P</t>
  </si>
  <si>
    <t>Michael Reksulak Ph.D</t>
  </si>
  <si>
    <t>Melton Foundation (Former)</t>
  </si>
  <si>
    <t>Reksulak</t>
  </si>
  <si>
    <t>meltonfoundation.org</t>
  </si>
  <si>
    <t>Dr. Michael Reksulak serves as Chair of the Board at Melton Foundation. Previously a Research Fellow at the Max Planck Institute for Economics (Germany), as well as a Program Director (Economics) and Senior Economist at the National Science Foundation (USA), he is currently the Director for Social Sciences, Arts and Humanities at the Qatar Foundation / Qatar National Research Fund in Doha, Qatar. Michael has also served as a soldier in several peacekeeping missions. A graduate of Friedrich Schiller University and the University of Kent at Canterbury, he holds a Ph.D. from the University of Mississippi.</t>
  </si>
  <si>
    <t>383020-39P</t>
  </si>
  <si>
    <t>Michael Stevens</t>
  </si>
  <si>
    <t>Receiver General &amp; Council Member</t>
  </si>
  <si>
    <t>Mr. Michael Stevens serves as Receiver General &amp; Council Member at the Duchy of Lancaster. As Keeper of the Privy Purse and Treasurer to Her Late Majesty Queen Elizabeth II, he has been Receiver General of the Duchy of Lancaster since January 2018.</t>
  </si>
  <si>
    <t>371289-70P</t>
  </si>
  <si>
    <t>Michael Stevens Ph.D</t>
  </si>
  <si>
    <t>Otago Community Trust</t>
  </si>
  <si>
    <t>www.oct.org.nz</t>
  </si>
  <si>
    <t>+64 (0)3 479 0994</t>
  </si>
  <si>
    <t>Dunedin, New Zealand</t>
  </si>
  <si>
    <t>Level 2, Community Trust House</t>
  </si>
  <si>
    <t>Cnr Moray Place &amp; Filleul Street, PO Box 5751</t>
  </si>
  <si>
    <t>Dunedin</t>
  </si>
  <si>
    <t>9054</t>
  </si>
  <si>
    <t>New Zealand</t>
  </si>
  <si>
    <t>+64 (0)3 477 1869</t>
  </si>
  <si>
    <t>Dr. Michael Stevens serves as a Trustee at Otago Community Trust. He was raised in Bluff but has whakapapa throughout southern Te Waipounamu, including the greater Dunedin area. Published widely on Kāi Tahu history, he lectured at Otago before establishing himself as an independent historian. His principal clients include Te Rūnanga o Ngāi Tahu and Murihiku Regeneration. His work with the Ngāi Tahu Archive includes contributing to the award-winning Tāngata Ngāi Tahu biography series. He was appointed as a trustee of the Otago Community Trust in August 2020 and is grateful for the opportunity to serve the region's diverse communities and institutions. He attended Southland Boys' High School before studying at the University of Otago between 1999 and 2009. Predominantly Dunedin-based since 2004, he holds an LLB and BA (Hons) majoring in History, and a PhD in History.</t>
  </si>
  <si>
    <t>140002-66P</t>
  </si>
  <si>
    <t>Murray Broadbelt</t>
  </si>
  <si>
    <t>Foundation North (Former)</t>
  </si>
  <si>
    <t>Broadbelt</t>
  </si>
  <si>
    <t>Murray</t>
  </si>
  <si>
    <t>www.foundationnorth.org.nz</t>
  </si>
  <si>
    <t>Mr. Murray Broadbelt served as a Trustee at Foundation North. In 2002 he set up Employer Services, an employment relations and employment law consultancy business advising employers throughout Northland and New Zealand. He is also a mediator and an accredited panel member of Leader NZ. He serves on the Lottery Northland Distribution Committee and was a member of Scouting NZ for several years, holding various leadership appointments and warrants including members of its National Executive Committee and National Council. He remains a member of the Scout Youth Foundation. He has also served on the Government's inaugural Consultative Committee on Youth Affairs and the Youth Advisory Committee. He has been a member of the Whangarei Advisory Board of the Prince of Wales Trust and is currently on the Board of the Northland Chamber of Commerce.</t>
  </si>
  <si>
    <t>55688-41P</t>
  </si>
  <si>
    <t>Nathan Thompson</t>
  </si>
  <si>
    <t>Thompson</t>
  </si>
  <si>
    <t>Nathan</t>
  </si>
  <si>
    <t>Chief Executive and Clerk of the Council</t>
  </si>
  <si>
    <t>Mr. Nathan Thompson served as Chief Executive and Clerk of the Council at the Duchy of Lancaster. He is responsible to Her Majesty for the good order of the Duchy of Lancaster. He is also the Chairman of the Management Board. He is a trained Chartered Surveyor with 25 years of property experience having previously worked for MEPC, JER Partners, and Forth Ports and joined the Duchy in August 2013.</t>
  </si>
  <si>
    <t>415765-54P</t>
  </si>
  <si>
    <t>Nikki Jeffery</t>
  </si>
  <si>
    <t>Jeffery</t>
  </si>
  <si>
    <t>Nikki</t>
  </si>
  <si>
    <t>nikki.jeffery@kccf.org.uk</t>
  </si>
  <si>
    <t>Ms. Nikki Jeffery serves as Executive Director at King Charles III Charitable Fund. Ms. Nikki is responsible for the day to day leadership of the Fund and is passionate about driving positive social change through the Fund's grant making and subsidiaries. Joining in 2022, Nikki brings over 20 years senior leadership experience in the not-for-profit sector. She has worked extensively in the UK and internationally, inspiring and leading social change with multidisciplinary and multicultural teams. Nikki brings strong financial and commercial acumen, having qualified as a Chartered Accountant at Deloitte UK at the beginning of her career. She was awarded a Clore Social Fellowship in 2013 and is currently a Trustee of Carers Support West Sussex.</t>
  </si>
  <si>
    <t>336269-08P</t>
  </si>
  <si>
    <t>Oliver Dowden</t>
  </si>
  <si>
    <t>Dowden</t>
  </si>
  <si>
    <t>Mr. Oliver Dowden served as Chancellor at Duchy of Lancaster.</t>
  </si>
  <si>
    <t>428202-46P</t>
  </si>
  <si>
    <t>Pat McFadden</t>
  </si>
  <si>
    <t>McFadden</t>
  </si>
  <si>
    <t>Pat</t>
  </si>
  <si>
    <t>Mr. Pat McFadden serves as Chancellor at Duchy of Lancaster.</t>
  </si>
  <si>
    <t>98037-64P</t>
  </si>
  <si>
    <t>Seth Walker</t>
  </si>
  <si>
    <t>The Russell Family Foundation (Former)</t>
  </si>
  <si>
    <t>Walker</t>
  </si>
  <si>
    <t>Seth</t>
  </si>
  <si>
    <t>www.trff.org</t>
  </si>
  <si>
    <t>Programs Director</t>
  </si>
  <si>
    <t>Mr. Seth Walker served as Programs Director at The Russell Family Foundation. Seth joined the foundation in April 2014. He is responsible for the foundation's program-related grantmaking and community engagement efforts. His daily work includes supporting the organization's programs staff, facilitating greater partnership and innovation within the foundation's grantee ranks, and supporting grantees with communications efforts that improve efficacy and impact. He is always in search of fresh ideas and welcomes yours. Before joining the foundation, Seth spent many years at Intel Corporation, taught at the University of Oregon, and served in a variety of consulting and nonprofit roles. He is also a narrative nonfiction writer (Milkweed Editions, publisher) and nonprofit board member/volunteer (Crag Law Center, Prince William Sound Science Center, TEDxPortland).</t>
  </si>
  <si>
    <t>405172-18P</t>
  </si>
  <si>
    <t>Simon Shorey</t>
  </si>
  <si>
    <t>Youth Foundation of Jersey City</t>
  </si>
  <si>
    <t>Shorey</t>
  </si>
  <si>
    <t>Simon</t>
  </si>
  <si>
    <t>www.youthfoundationofjerseycity.org</t>
  </si>
  <si>
    <t>+1 (201) 435-4325</t>
  </si>
  <si>
    <t>Jersey City, NJ</t>
  </si>
  <si>
    <t>201 Montgomery Street</t>
  </si>
  <si>
    <t>Suite 261</t>
  </si>
  <si>
    <t>Jersey City</t>
  </si>
  <si>
    <t>New Jersey</t>
  </si>
  <si>
    <t>07302</t>
  </si>
  <si>
    <t>Mr. Simon Shorey serves as Board Member at Youth Foundation of Jersey City. Born and raised in England, where he gained an honors degree in Management from the University of Reading, Berkshire, he began his career as a consultant business and asset valuer, working for major clients including BP, British Gas and the billion dollar Duchy of Cornwall estate of HRH The Prince of Wales. He has devised, designed, implemented and led multi-tiered global organizations, including the Irish American Arts Awards, which gained recognition at Head of State level, and GeneAfrica, Inc., which introduced ground-breaking genealogical genomic concepts to the African-American community. He also worked with the Pereira family owned and operated Rioguarda Group of risk mitigation companies, which operated in six of the states of Brazil for three decades until they were sold off in the 2000's. He has been co-founder of Liberty Voiceovers, and has been involved in Jersey City community affairs for many years, serving on the 'I Love Jersey City Public Schools' Committee, linking the business community with the public schools' system, as an active volunteer with the Community Emergency Response Team and and also as president of the disaster resilience based 501c3 non-profit, Resilient JC. He also serves as a member of the specialist rapid responder team for the Center for Technology and Environmental Health, deploying at short notice anywhere in the United States to major HAZMAT incidents.</t>
  </si>
  <si>
    <t>383020-93P</t>
  </si>
  <si>
    <t>Sonia Tolaney</t>
  </si>
  <si>
    <t>Tolaney</t>
  </si>
  <si>
    <t>Sonia</t>
  </si>
  <si>
    <t>Attorney General &amp; Council Member</t>
  </si>
  <si>
    <t>Ms. Sonia Tolaney serves as Attorney General &amp; Council Member at the Duchy of Lancaster.</t>
  </si>
  <si>
    <t>90256-06P</t>
  </si>
  <si>
    <t>Timothy Crow</t>
  </si>
  <si>
    <t>Crow</t>
  </si>
  <si>
    <t>Solicitor</t>
  </si>
  <si>
    <t>Mr. Timothy Crow served as Solicitor at Duchy of Lancaster. He was responsible for providing legal advice and assistance to the Duchy team, liaison with our external legal advisers and he oversees Duchy appointments and ceremonial responsibilities. Tim qualified as a solicitor in 1980 and joined the Duchy in June 2011 from the Church Commissioners where he was Deputy Official Solicitor.</t>
  </si>
  <si>
    <t>73824-31P</t>
  </si>
  <si>
    <t>Vartan Gregorian Ph.D</t>
  </si>
  <si>
    <t>Carnegie Corporation of New York (Former)</t>
  </si>
  <si>
    <t>Gregorian</t>
  </si>
  <si>
    <t>Vartan</t>
  </si>
  <si>
    <t>www.carnegie.org</t>
  </si>
  <si>
    <t>vg@carnegie.org</t>
  </si>
  <si>
    <t>Dr. Vartan Gregorian serves as Trustee at Carnegie Corporation Of New York. He also served as the President at Carnegie Corporation Of New York. He was the twelfth president of Carnegie Corporation of New York, a grant-making institution founded by Andrew Carnegie in 1911. Prior to his current position, which he assumed in June 1997, Gregorian served for nine years as the sixteenth president of Brown University. He received his elementary education in Iran and his secondary education in Lebanon. In 1956 he entered Stanford University, where he majored in history and the humanities, graduating with honors in 1958. He was awarded a Ph.D. in history and humanities from Stanford in 1964. Gregorian has taught European and Middle Eastern history at San Francisco State College, the University of California at Los Angeles, and the University of Texas at Austin. In 1972 he joined the University of Pennsylvania faculty and was appointed Tarzian Professor of History and professor of South Asian history. He was founding dean of the Faculty of Arts and Sciences at the University of Pennsylvania in 1974 and four years later became its twenty-third provost until 1981. For eight years (1981-1989), Gregorian served as the president of the New York Public Library, an institution with a network of four research libraries and eighty-three circulating libraries. In 1989 he was appointed president of Brown University. Gregorian is the author of The Road to Home: My Life And Times, Islam: A Mosaic, Not A Monolith, and The Emergence of Modern Afghanistan, 1880-1946. A Phi Beta Kappa and a Ford Foundation Foreign Area Training Fellow, he is a recipient of numerous fellowships, including those from the John Simon Guggenheim Foundation, the American Council of Learned Societies, the Social Science Research Council, and the American Philosophical Society. He is a Fellow of the American Academy of Arts and Sciences and the American Philosophical Society. In 1969, he received the Danforth Foundation's E.H. Harbison Distinguished Teaching Award. He serves on the boards of the Institute for Advanced Study, and the National September 11th Memorial and Museum. He served on the boards of the J. Paul Getty Trust, the Aga Khan University, the Qatar Foundation, the McGraw-Hill Companies, Brandeis University, Human Rights Watch, The Museum of Modern Art, and the Bill and Melinda Gates Foundation. He has been decorated by the French, Italian, Austrian and Portuguese governments. His numerous civic and academic honors include over sixty honorary degrees, including those from Brown, Dartmouth, Drew, Johns Hopkins, University of Pennsylvania, the Jewish Theological Seminary, the City University of New York, Rutgers, Tufts, New York University, University of Aberdeen, the Juilliard School, the University of Illinois at Urbana-Champaign, Fordham University, San Francisco State University, University of Notre Dame, Carnegie Mellon University, and most recently, Keio University, University of Miami, and the University of St. Andrews. In 1986, Gregorian was awarded the Ellis Island Medal of Honor and in 1989 the American Academy and the Institute of Arts and Letters' Gold Medal for Service to the Arts. In 1998, President Clinton awarded him the National Humanities Medal. In 2004, President Bush awarded him the Presidential Medal of Freedom, the nation's highest civil award. In 2009, President Obama appointed him to the White House Fellowships Commission. He has been honored by various cultural and professional associations, including the Urban League, the League of Women Voters, the Players Club, PEN-American Center, Literacy Volunteers of New York, the American Institute of Architects, and the Charles A. Dana Foundation. He has been honored by the city and state of New York, the states of Massachusetts, Texas, Pennsylvania, and Rhode Island, and the cities of Fresno, Austin, Providence, and San Francisco.</t>
  </si>
  <si>
    <t>77817-97P</t>
  </si>
  <si>
    <t>Heinz Nipp</t>
  </si>
  <si>
    <t>Castle Private Equity</t>
  </si>
  <si>
    <t>Fund of Funds</t>
  </si>
  <si>
    <t>Nipp</t>
  </si>
  <si>
    <t>Heinz</t>
  </si>
  <si>
    <t>www.castlepe.com</t>
  </si>
  <si>
    <t>Board Member &amp; Chairman of Remuneration Committee</t>
  </si>
  <si>
    <t>+41 (0)58 261 8258</t>
  </si>
  <si>
    <t>Schuetzenstrasse 6</t>
  </si>
  <si>
    <t>MR. Heinz Nipp serves as Member of the Investment Committee at Seed X Liechtenstein .Mr. Heinz Nipp serves as Board Member &amp; Chairman of Remuneration Committee at Castle Private Equity. He completed a banking apprenticeship and training as a financial analyst which was later followed by executive management studies at Stanford University. Prior to joining LGT Bank in Liechtenstein in 1982, Mr. Nipp spent several years abroad to gain practical banking experience. He was the CEO of LGT Bank in Liechtenstein until 1 January 2001 when he was appointed member of the group executive committee of Liechtenstein Global Trust, now known as LGT Group Foundation. In October 2006, Heinz Nipp was appointed executive chairman of wealth management Asia of LGT Group Foundation. He retired from his functions at LGT in 2008. He was elected to the board in 1997 and was re-elected at the general meeting held on 15 May 2013 for a term ending at the 2014 annual shareholders' meeting.</t>
  </si>
  <si>
    <t>50636-98P</t>
  </si>
  <si>
    <t>Konrad Bächinger Ph.D</t>
  </si>
  <si>
    <t>Bächinger</t>
  </si>
  <si>
    <t>Konrad</t>
  </si>
  <si>
    <t>Deputy Chairman</t>
  </si>
  <si>
    <t>Dr. Konrad Bächinger serves as Deputy Chairman at Castle Private Equity. Dr. Bächinger received a Ph.D. in law from the University of Zurich. He was admitted to the bar in 1977. He subsequently acted as legal counsel for the St. Gallische Creditanstalt and as head of the legal department of Adolph Saurer AG. In 1984, he joined LGT Bank in Liechtenstein as general counsel. In 1989 he was appointed managing director and head of legal matters and project department. In 1990 he became a member of the bank's executive board, heading commercial banking and legal matters. In 1998 he became chief executive officer of LGT Capital Management. In April 2001 Dr. Bächinger was appointed to the group executive committee of Liechtenstein Global Trust, now known as LGT Group Foundation.</t>
  </si>
  <si>
    <t>177215-77P</t>
  </si>
  <si>
    <t>Crown Premium Private Equity Technology Venture (Former)</t>
  </si>
  <si>
    <t>Executive</t>
  </si>
  <si>
    <t>Dr. Konrad Bächinger served as an Executive at Crown Premium Private Equity Technology Venture. He qualified as a Doctor of Law from Zurich University and was admitted to the Swiss Courts in 1977. He joined LGT Bank in Liechtenstein in 1984. From 1998 to 2001 He was the chief executive officer of LGT Capital Management. From April 2001 to September 2006. Dr. Bächinger was a member of the group executive committee of Liechtenstein Global Trust (known as LGT Group Foundation since April 2001). Dr. Bächinger retired from his offices within LGT Group before the end of 2010.</t>
  </si>
  <si>
    <t>446349-88P</t>
  </si>
  <si>
    <t>Marc Oetiker</t>
  </si>
  <si>
    <t>Private Debt</t>
  </si>
  <si>
    <t>StepStone Group</t>
  </si>
  <si>
    <t>Oetiker</t>
  </si>
  <si>
    <t>Marc</t>
  </si>
  <si>
    <t>www.stepstonegroup.com</t>
  </si>
  <si>
    <t>+41 (0)44 226 5252</t>
  </si>
  <si>
    <t>marc.oetiker@stepstonegroup.com</t>
  </si>
  <si>
    <t>Klausstrasse 4</t>
  </si>
  <si>
    <t>Mr. Marc Oetiker serves as Vice President at StepStone Group. Mr. Oetiker is a member of the private debt team. Before StepStone, Mr. Oetiker completed an internship in Investment Communications at LGT Private Banking and an internship in Process Development and Support at Swissmedic. Mr. Oetiker received his MA in Banking &amp; Finance at the University of St. Gallen, Switzerland, and his BSc in Business and Economics at the University of Basel, Switzerland.</t>
  </si>
  <si>
    <t>438741-10P</t>
  </si>
  <si>
    <t>U.K. Department of Health &amp; Social Care</t>
  </si>
  <si>
    <t>Government</t>
  </si>
  <si>
    <t>Leader of the Board</t>
  </si>
  <si>
    <t>+44 (0)30 0790 4007</t>
  </si>
  <si>
    <t>39 Victoria Street</t>
  </si>
  <si>
    <t>SW1H 0EU</t>
  </si>
  <si>
    <t>+44 (0)11 5902 3202</t>
  </si>
  <si>
    <t>Mr. Alan Milburn serves as Leader of the Board at the U.K. Department of Health &amp; Social Care. He was a Member of Parliament from 1992 to 2010. He served as Chief Secretary to the Treasury from 1998 to 1999, Secretary of State for Health from 1999 to 2003, and Chancellor of the Duchy of Lancaster from 2004 to 2005. He was the independent reviewer on Social Mobility and Child Poverty under the coalition government and became chair of the Social Mobility and Child Poverty Commission between 2012 and 2017. He is currently Chancellor of Lancaster University, chair of the Social Mobility Foundation, and runs his own consultancy firm AM Strategy Ltd.</t>
  </si>
  <si>
    <t>241684-66P</t>
  </si>
  <si>
    <t>Corey Stewart</t>
  </si>
  <si>
    <t>Prince William County Economic Development</t>
  </si>
  <si>
    <t>Stewart</t>
  </si>
  <si>
    <t>Corey</t>
  </si>
  <si>
    <t>www.pwcded.org</t>
  </si>
  <si>
    <t>Co-Owner</t>
  </si>
  <si>
    <t>+1 (703) 792-5500</t>
  </si>
  <si>
    <t>corey_s@pwcecondev.org</t>
  </si>
  <si>
    <t>VA</t>
  </si>
  <si>
    <t>13575 Heathcote Boulevard</t>
  </si>
  <si>
    <t>Suite 240, Gainesville</t>
  </si>
  <si>
    <t>Virginia</t>
  </si>
  <si>
    <t>20155</t>
  </si>
  <si>
    <t>Mr. Corey Stewart is a Co-Owner of Prince William County.</t>
  </si>
  <si>
    <t>197405-47P</t>
  </si>
  <si>
    <t>Jeff Kaczmarek</t>
  </si>
  <si>
    <t>Prince William County Economic Development (Former)</t>
  </si>
  <si>
    <t>Kaczmarek</t>
  </si>
  <si>
    <t>Jeff</t>
  </si>
  <si>
    <t>Mr. Jeff Kaczmarek served as Executive Director at Prince William County.</t>
  </si>
  <si>
    <t>296651-80P</t>
  </si>
  <si>
    <t>King Mohammed</t>
  </si>
  <si>
    <t>Government of Morocco (Former)</t>
  </si>
  <si>
    <t>King</t>
  </si>
  <si>
    <t>Mr. King Mohammed VI served as Executive at Government of Morocco.</t>
  </si>
  <si>
    <t>440824-33P</t>
  </si>
  <si>
    <t>Joshua Puls</t>
  </si>
  <si>
    <t>The Department of Premier and Cabinet (DPC)</t>
  </si>
  <si>
    <t>Government Agency</t>
  </si>
  <si>
    <t>Puls</t>
  </si>
  <si>
    <t>Joshua</t>
  </si>
  <si>
    <t>dpc.vic.gov.au</t>
  </si>
  <si>
    <t>Deputy Secretary, Justice and Public Administration &amp; Board Member</t>
  </si>
  <si>
    <t>+61 (0)3 9651 5111</t>
  </si>
  <si>
    <t>Melbourne, Australia</t>
  </si>
  <si>
    <t>1 Treasury Place</t>
  </si>
  <si>
    <t>Melbourne</t>
  </si>
  <si>
    <t>3002</t>
  </si>
  <si>
    <t>Australia</t>
  </si>
  <si>
    <t>Mr. Joshua Puls serves as Deputy Secretary, Justice and Public Administration &amp; Board Member at The Department of Premier and Cabinet (DPC). Mr. Puls's previous role in the Victorian Government was Official Secretary to the Governor of Victoria between 2016 and 2022. Prior to this appointment, he was Executive Director of the Cabinet Office in DPC, after having overseen the Anzac Centenary for the Victorian Public Service (VPS) as Director of DPC's Veterans Branch. Mr. Puls's list of professional achievements also includes being the first Australian to hold the position of Assistant Private Secretary (Commonwealth) to TRH The Prince of Wales and The Duchess of Cornwall (now TM The King and Queen Camilla), based at Clarence House in London. Before joining the VPS, Mr. Puls was Special Adviser to the Vice-Chancellor of the Australian Catholic University and Executive Officer of ACU's Institute of Legal Studies. He holds qualifications in law, arts, education, and theology as well as the degree of Executive Master of Public Administration from the Australia and New Zealand School of Government and the University of Melbourne. He has a Certificate IV in Teaching English to Speakers of Other Languages and is a Graduate of the Australian Institute of Company Directors. Queen Elizabeth II made Mr. Puls a Member of the Royal Victorian Order in the Queen's Birthday Honours list in 2016.</t>
  </si>
  <si>
    <t>178229-71P</t>
  </si>
  <si>
    <t>Michelle Ogburn</t>
  </si>
  <si>
    <t>Henrico County Public Schools System (Former)</t>
  </si>
  <si>
    <t>Ogburn</t>
  </si>
  <si>
    <t>Michelle</t>
  </si>
  <si>
    <t>www.henricoschools.us</t>
  </si>
  <si>
    <t>Ms. Michelle Ogburn served as Board Member at Henrico County Public Schools System. She represents the Three Chopt District, and in January 2016 became chair of the Henrico School Board. Mrs. Ogburn graduated from Longwood College with degrees in elementary education and history education. She has been a teacher for more than 20 years in pre-K, second, fifth, and sixth grades in Charleston, West Virginia, and in the Virginia counties of Culpeper, Prince William, Fairfax, and Henrico. Mrs. Ogburn was an intervention teacher at Henrico County's Short Pump Elementary School for seven years prior to her election to the School Board. She has been an active PTA board member at Short Pump Elementary School, Short Pump and Pocahontas middle schools, and Deep Run High School. Mrs. Ogburn has also been an active community volunteer with several youth sports associations, school-based sports booster organizations, the Salvation Army Angel Tree program, and her neighborhood homeowner's association.</t>
  </si>
  <si>
    <t>250561-00P</t>
  </si>
  <si>
    <t>Steve Barclay</t>
  </si>
  <si>
    <t>HM Treasury</t>
  </si>
  <si>
    <t>Barclay</t>
  </si>
  <si>
    <t>Steve</t>
  </si>
  <si>
    <t>hmtreasury.gov.uk</t>
  </si>
  <si>
    <t>Secretary of State for Environment, Food and Rural Affairs</t>
  </si>
  <si>
    <t>+44 (0)20 7270 5000</t>
  </si>
  <si>
    <t>steve.barclay@hmtreasury.gov.uk</t>
  </si>
  <si>
    <t>The Correspondence and Enquiry Unit</t>
  </si>
  <si>
    <t>1 Horse Guards Road</t>
  </si>
  <si>
    <t>SW1A 2HQ</t>
  </si>
  <si>
    <t>Mr. Steve Barclay serves as Secretary of State for Environment, Food and Rural Affairs at HM Treasury. He was previously Secretary of State for Health and Social Care between 25 October 2022 and 13 November 2023. He held the same role between 5 July 2022 and 6 September 2022. He was previously appointed Chancellor of the Duchy of Lancaster and Minister for the Cabinet Office between 15 September 2021 and July 2022. He was previously Chief Secretary to the Treasury from 13 February 2020 to 15 September 2021 and Secretary of State for Exiting the European Union from 16 November 2018 to 31 January 2020 and Minister of State for the Department of Health and Social Care from January to November 2018. Steve was also Economic Secretary to the Treasury from June 2017 to January 2018. He served as a Government Whip (Lord Commissioner of HM Treasury) from July 2016 to June 2017. He was elected Conservative MP for North East Cambridgeshire in May 2010. He studied law at the College of Law, Chester.</t>
  </si>
  <si>
    <t>463121-02P</t>
  </si>
  <si>
    <t>Steve Desroches</t>
  </si>
  <si>
    <t>City of Ottawa</t>
  </si>
  <si>
    <t>Desroches</t>
  </si>
  <si>
    <t>ottawa.ca</t>
  </si>
  <si>
    <t>Councillor and Deputy Mayor</t>
  </si>
  <si>
    <t>+1 (613) 580-2751</t>
  </si>
  <si>
    <t>steve.desroches@ottawa.ca</t>
  </si>
  <si>
    <t>Ottawa, Canada</t>
  </si>
  <si>
    <t>110 Laurier Avenue West</t>
  </si>
  <si>
    <t>Ottawa</t>
  </si>
  <si>
    <t>Ontario</t>
  </si>
  <si>
    <t>K1P 1J1</t>
  </si>
  <si>
    <t>+1 (613) 580-2761</t>
  </si>
  <si>
    <t>Mr. Steve Desroches serves as Councillor and Deputy Mayor at the City of Ottawa. He was first elected to City Council in 2006 for the Gloucester-South Nepean ward and was re-elected in 2010. He honoured his pledge to his community and family not to seek a third term in 2014. He was successful in returning to the City Council in 2022. During his time at City Hall, Councillor Desroches delivered a number of key infrastructure projects to serve the rapid residential growth in south Ottawa, including upgraded roads and cycling lanes, new parks and transit park-and-rides. Under his leadership, Findlay Creek's largest central park, Diamond Jubilee Park, was opened. He also championed the construction of the Vimy Memorial Bridge, which has helped improve transit connections and support local businesses. From his first days in office, he rallied for the construction of a north-south rapid transit rail network. He has helped build a clean and green city by planting over 10,000 trees in the ward and by acquiring and protecting the ward's first large urban woodlot. He is a career federal public servant within several departments, including Agriculture and Agriculture-Food Canada, the Privy Council Office and the Canadian Food Inspection Agency. He was awarded the Diamond Jubilee Medal in 2012 for his local community service. In 2015, he was awarded the Minister of Veterans Affairs Commendation for his work to honour and support veterans. He was also the recipient of the Sovereign's Medal for Volunteers in 2018 for his extensive community and not-for-profit volunteerism. In 2024, he was awarded the King Charles III Coronation Medal. He recently served on the Ottawa Region Métis Council and the St-John Ambulance Ontario Council. He holds an MA (History) from the University of Ottawa and an MA (Public Administration) from Carleton University. In 2014, he was awarded the Bissett Alumni Award for Distinctive Contributions to the Public Sector by Carleton University's School of Public Policy and Administration.</t>
  </si>
  <si>
    <t>271909-63P</t>
  </si>
  <si>
    <t>Christian Quintero</t>
  </si>
  <si>
    <t>DaGrosa Capital Partners</t>
  </si>
  <si>
    <t>Growth/Expansion</t>
  </si>
  <si>
    <t>Quintero</t>
  </si>
  <si>
    <t>Christian</t>
  </si>
  <si>
    <t>www.dagrosacp.com</t>
  </si>
  <si>
    <t>Senior Partner</t>
  </si>
  <si>
    <t>+974 3300 8877</t>
  </si>
  <si>
    <t>cquintero@dagrosacp.com</t>
  </si>
  <si>
    <t>Coral Gables, FL</t>
  </si>
  <si>
    <t>3011 Ponce De Leon Boulevard</t>
  </si>
  <si>
    <t>Suite 1420</t>
  </si>
  <si>
    <t>Coral Gables</t>
  </si>
  <si>
    <t>Florida</t>
  </si>
  <si>
    <t>33134</t>
  </si>
  <si>
    <t>Mr. Christian Quintero serves as Senior Partner at DaGrosa Capital Partners. He serves as Chairman at Tero Holding. At DCP, he is primarily responsible for real estate development. Prior to joining DCP, he built more than $7 billion in commercial, hospitality, infrastructure, mixed-use, residential, retail, and stadium projects in the Middle East and United States. In addition to his 20+ years in real estate development, he spent over a decade investing as Chairman and Founder of Tero Holding. Prior to DCP, he was the Senior Project Manager on the Qatar Foundation Stadium that hosted matches during the 2022 FIFA World Cup QatarTM . Additionally, he played a pivotal role in the project management of the 8 stadiums and more than 32 training sites built for the tournament. He was the Project Manager of the bid committee that won the rights to host the 2022 FIFA WorldCupQatarTM . Prior to his role on the Qatar 2022 Bid Committee, he served as Principal at Design Management Construction Consulting; Client Representative at MB Development; Project Manager at Borges + Associates; Project Coordinator at GVP Structural Engineers; and Superintendent at Intercoastal Contracting.</t>
  </si>
  <si>
    <t>331165-99P</t>
  </si>
  <si>
    <t>Imane Sahib</t>
  </si>
  <si>
    <t>InfraVia Capital Partners</t>
  </si>
  <si>
    <t>Sahib</t>
  </si>
  <si>
    <t>Imane</t>
  </si>
  <si>
    <t>www.infraviacapital.com</t>
  </si>
  <si>
    <t>Executive, Investor Relations</t>
  </si>
  <si>
    <t>+33 (0)1 85 73 69 65</t>
  </si>
  <si>
    <t>isahib@infraviacapital.com</t>
  </si>
  <si>
    <t>Paris, France</t>
  </si>
  <si>
    <t>42, rue Washington</t>
  </si>
  <si>
    <t>Paris</t>
  </si>
  <si>
    <t>75008</t>
  </si>
  <si>
    <t>France</t>
  </si>
  <si>
    <t>Ms. Imane Sahib serves as an Executive, Investor Relations at InfraVia Capital Partners. Ms. Sahib has a solid track record in both investment and transaction advisory through her experiences at Credit Suisse and Al Mada. She spent two years at Al Mada within the investment team and three years at Credit Suisse advising both corporate clients as well as financial sponsors on various M&amp;A transactions. Throughout these years, she worked with a wide range of clients and gained experience in several different sectors including Transportation and Utilities. She graduated from EMLYON Business School.</t>
  </si>
  <si>
    <t>442048-78P</t>
  </si>
  <si>
    <t>Jeanne Schläfli</t>
  </si>
  <si>
    <t>Helvetica Capital</t>
  </si>
  <si>
    <t>Schläfli</t>
  </si>
  <si>
    <t>Jeanne</t>
  </si>
  <si>
    <t>www.helvetica-capital.ch</t>
  </si>
  <si>
    <t>Investment Associate</t>
  </si>
  <si>
    <t>+41 (0)55 511 2020</t>
  </si>
  <si>
    <t>Nüschelerstrasse 1</t>
  </si>
  <si>
    <t>8001</t>
  </si>
  <si>
    <t>Ms. Jeanne Schläfli serves as Investment Associate at Helvetica Capital. Previously, she worked for three years at EY Switzerland in M&amp;A advisory mainly for Swiss SMEs and was also involved in financial due diligence. She gained further professional experience in the hotel industry in Switzerland and abroad as well as at LGT Bank. She holds a Bachelor of Science in International Hospitality Management from the Ecole hôteliere de Lausanne as well as a Bachelor of Arts in Business Administration and a Master of Arts in Accounting &amp; Corporate Finance from the University of St. Gallen (HSG).</t>
  </si>
  <si>
    <t>46258-39P</t>
  </si>
  <si>
    <t>John Coghlin JD</t>
  </si>
  <si>
    <t>HealthCor Partners Management (Former)</t>
  </si>
  <si>
    <t>Coghlin</t>
  </si>
  <si>
    <t>www.healthcorpartners.com</t>
  </si>
  <si>
    <t>General Counsel &amp; Chief Compliance Officer</t>
  </si>
  <si>
    <t>Mr. Coghlin served as General Counsel and Chief Compliance Officer at HealthCor Management. He joined the HealthCor Group in July 2007. Mr. Coghlin advises the HealthCor Group on deal structures, transactional documentation, regulatory compliance, and day-to-day legal and risk management issues. Prior to joining HealthCor Group, Mr. Coghlin served as a Senior Vice President of Citizens Financial Group. Prior to joining CFG, Mr. Coghlin served in a variety of capacities in the Legal and Private Equity sectors. Mr. Coghlin began his career in 1991 as an associate at Rogers &amp; Wells where he practiced corporate law focusing on cross-border finance. Mr. Coghlin left the law firm in 1994 to become general counsel of a private international holding company and from there served as a principal at CIBC Capital Partners and MMC Capital.</t>
  </si>
  <si>
    <t>341182-00P</t>
  </si>
  <si>
    <t>Murray Harrington</t>
  </si>
  <si>
    <t>Genesis Capital (New Zealand)</t>
  </si>
  <si>
    <t>Harrington</t>
  </si>
  <si>
    <t>genesiscapital.nz</t>
  </si>
  <si>
    <t>+64 (0)2 194 6780</t>
  </si>
  <si>
    <t>murray@genesiscapital.nz</t>
  </si>
  <si>
    <t>Christchurch, New Zealand</t>
  </si>
  <si>
    <t>Regus - Awly Building</t>
  </si>
  <si>
    <t>Level 1, 287 - 293 Durham Street</t>
  </si>
  <si>
    <t>Christchurch</t>
  </si>
  <si>
    <t>8013</t>
  </si>
  <si>
    <t>Mr. Murray Harrington serves as Executive Director at Genesis Capital. Prior to joining Genesis, he was a Partner of PwC for 13 years. More recently he was the successful turnaround CEO of a technology company for a two-year period. He has or has had ownership interests in a wide range of private or private equity backed companies over a twenty-year period. He has also had a six year period working internationally in the oil and gas industry. He has a keen interest in governance, is currently NZ VP and a Director of Chartered Accountants Australia and New Zealand, a Director of IHC NZ and CORDE and is founding Chair of the recently developed Opuke Hot Pool complex in Methven. He currently sits on the Audit and Risk Committee of the NZ Infrastructure Commission.</t>
  </si>
  <si>
    <t>225161-74P</t>
  </si>
  <si>
    <t>R Venkataramanan</t>
  </si>
  <si>
    <t>Blue Ashva Capital</t>
  </si>
  <si>
    <t>Venkataramanan</t>
  </si>
  <si>
    <t>R</t>
  </si>
  <si>
    <t>www.blueashvacapital.com</t>
  </si>
  <si>
    <t>Advisor</t>
  </si>
  <si>
    <t>Level 24, CapitaGreen</t>
  </si>
  <si>
    <t>138 Market Street</t>
  </si>
  <si>
    <t>048946</t>
  </si>
  <si>
    <t>Mr. R Venkataramanan serves as Advisor at Blue Ashva Capital. He is an independent consultant and a venture capital advisor. His current assignment is with Reliance Industries, India's largest private sector company wherein he is engaged as an Advisor in establishing social enterprises, especially in the areas of Healthcare and Agriculture. Venkat till recently was the Managing Trustee of the Tata Trusts and was responsible for the operations, oversight, and co-ordination between the various Tata Trusts The Tata Trusts are public charities and are the principal shareholder of Tata Sons, the parent company of the Tata Group, India's largest conglomerate. In his role as the Principal Executive Officer of the Tata Trusts, Venkat was engaged in redefining the Tata Trusts' strategic approach to make it relevant and responsive to the current needs of society while remaining within the mandate established by the Settlors. He till recently was directly overseeing three large initiatives within the Trusts viz "Lakhpati Kisan - a program that aims to significantly enhance rural prosperity in underprivileged and deprived communities, redefining Cancer Care across the country and the nutrition project. He has over 23 years of business and operations experience in the areas of finance, business support, and strategy. From early 2007 to the end of 2012, he was Executive Assistant to Mr. Ratan N. Tata, the former Chairman of the Tata Group. He continues to support Mr. Tata in the office of the Chairman Emeritus, Tata Sons. During his stint in the Chairman's office of Tata Sons, Venkat was part of several significant projects including the Tata Motors acquisition of Jaguar Land Rover, the launch of the small car Nano, the creation of several Joint Ventures, responses in operating companies during the financial crisis, etc., and was also privy to several leadership transitions and change management processes in the Tata Group. On behalf of the Chairman, he was the key point person to several entities in India and abroad. Before his association with Mr. Tata, Venkat was Head of Business Support at the Qatar Foundation, a not-for-profit entity engaged in Education, Science, and Community development based in Doha, wherein he played a key role in establishing partnerships with several leading US universities.</t>
  </si>
  <si>
    <t>50754-52P</t>
  </si>
  <si>
    <t>Saâd Bendidi</t>
  </si>
  <si>
    <t>Mediterrania Capital Partners</t>
  </si>
  <si>
    <t>Bendidi</t>
  </si>
  <si>
    <t>Saâd</t>
  </si>
  <si>
    <t>www.mcapitalp.com</t>
  </si>
  <si>
    <t>Senior Partner, Chairman, and Member of the Investment Committee</t>
  </si>
  <si>
    <t>+225 04 646442</t>
  </si>
  <si>
    <t>sbendidi@mcapitalp.com</t>
  </si>
  <si>
    <t>Abidjan, Ivory Coast</t>
  </si>
  <si>
    <t>Immeuble ATTA</t>
  </si>
  <si>
    <t>Rue Lecoeur Le Plateau</t>
  </si>
  <si>
    <t>Abidjan</t>
  </si>
  <si>
    <t>17 BP 487</t>
  </si>
  <si>
    <t>Ivory Coast</t>
  </si>
  <si>
    <t>Mr. Saâd Bendidi serves as Senior Partner, Chairman, and Member of the Investment Committee at Mediterrania Capital Partners. He holds an Engineering degree from the Ecole Centrale de Paris, a Master's degree from Sciences-Po Paris, and a degree from HEC Paris. Before joining MCP, he held several leading positions in various sectors, including Director of the Department of Strategy and Planification of the former Wafabank (1985-1987), Managing Director of Magetex and CIB (1988-1992) and of the Moroccan Fund " Moussahama "(1992-1997). He was also Chairman of Meditelecom (1999 -2005), Vice President of Finance.com (2001- 2005), and Director of Participations and Investments of BMCE Bank (1997-2000). From 2005 to 2008, he was the Chairman of the ONA Group and administrator of ONA International, SNI, Attijari Wafabank, Managem, Centrale Laitière, Cosumar, Lesieur, Nareva, Optorg, Marjane, Acima, Bimo, Sonasid, Lafarge Maroc, CIMR, AttijariBank, Manatrade and CBAO. He is currently Chairman of CNIA Saada (Saham) a leading insurance company in Africa and he holds the position of Non-Executive Chairman of HWM, the exclusive distributor of Haworth, Figueras, Bontempi, and SitLand in Morocco, Algeria, and Tunisia. He also acts as an independent board member of several companies. He has acquired extended knowledge of the Maghreb region's economic landscape through his experience in various positions. He has a large network of entrepreneurs and key players in the Maghreb region and Africa, strong investment and managerial experience in highly competitive markets at different levels, and relevant exposure to various industries, in particular Telecoms, Dairy industry, and Banking. He is currently a member of the Board of two of MC I portfolio companies: CIM Haier, Bitaka, and First Telecom.</t>
  </si>
  <si>
    <t>283230-91P</t>
  </si>
  <si>
    <t>Cyrill Mathis</t>
  </si>
  <si>
    <t>Entrepreneur Partners (Asset Management)</t>
  </si>
  <si>
    <t>Hedge Fund</t>
  </si>
  <si>
    <t>Mathis</t>
  </si>
  <si>
    <t>Cyrill</t>
  </si>
  <si>
    <t>www.enpa.ch</t>
  </si>
  <si>
    <t>Partner &amp; Senior Client Advisor</t>
  </si>
  <si>
    <t>+41 (0)44 488 4034</t>
  </si>
  <si>
    <t>cyrill.mathis@enpa.ch</t>
  </si>
  <si>
    <t>Seestrasse 356</t>
  </si>
  <si>
    <t>Postfach</t>
  </si>
  <si>
    <t>8038</t>
  </si>
  <si>
    <t>Mr. Cyrill Mathis serves as Partner &amp; Senior Client Advisor at Entrepreneur Partners (Zurich). During his career, he worked in various functions in Private Banking at LGT Bank Ltd. in Liechtenstein and Hong Kong, most recently as a Senior Relationship Manager looking after very high net worth individuals, families and foundations. Cyrill Mathis holds a Bachelor of Science FHO in Business Administration specializing in BankAssurance from the University of Applied Sciences HTW Chur, Switzerland. He is a Certified International Wealth Manager (CIWM®) and an ESG Client Advisor (AZEK).</t>
  </si>
  <si>
    <t>313170-67P</t>
  </si>
  <si>
    <t>Heinz Gotschmann</t>
  </si>
  <si>
    <t>LHG Capital Management</t>
  </si>
  <si>
    <t>Gotschmann</t>
  </si>
  <si>
    <t>www.lhgcm.com</t>
  </si>
  <si>
    <t>Principal, Co-Chief Executive Officer (Europe) &amp; Senior Partner</t>
  </si>
  <si>
    <t>+41 (0)44 551 4581</t>
  </si>
  <si>
    <t>heinz@lhgcm.com</t>
  </si>
  <si>
    <t>Zürich, Switzerland</t>
  </si>
  <si>
    <t>Bahnhofquai 11</t>
  </si>
  <si>
    <t>Bahnhofplatz 1</t>
  </si>
  <si>
    <t>Zürich</t>
  </si>
  <si>
    <t>Mr. Heinz Gotschmann serves as Principal, Co-Chief Executive Officer (Europe) &amp; Senior Partner at LHG Capital Management. He currently serves as the Company's Co-CEO and a member of the Senior Management team, advising many of LHG's strategic relationships. Based out of our Zürich office, he is responsible for developing and managing our client and commercial strategies across Europe. Prior to joining LHG, Mr. Götschmann spent 20 years in senior roles in wealth management at UBS, Credit Suisse and LGT Bank. Mr. Götschmann founded Höhe Trust AG in 2017, a Zürich-based Multi-Family Office that serves ultra-high-net-worth clients across Switzerland and Western Europe. Mr. Götschmann is a Zürich local and is fluent in German, English and French. He also holds an MBA degree from ETH Zürich</t>
  </si>
  <si>
    <t>274297-06P</t>
  </si>
  <si>
    <t>Luis Ott</t>
  </si>
  <si>
    <t>Independent Fund Management</t>
  </si>
  <si>
    <t>Ott</t>
  </si>
  <si>
    <t>Luis</t>
  </si>
  <si>
    <t>ifmfunds.com/default.aspx</t>
  </si>
  <si>
    <t>+423 235 0450</t>
  </si>
  <si>
    <t>lott@ifm.li</t>
  </si>
  <si>
    <t>Schaan, Liechtenstein</t>
  </si>
  <si>
    <t>Landstrasse 30</t>
  </si>
  <si>
    <t>Schaan</t>
  </si>
  <si>
    <t>9494</t>
  </si>
  <si>
    <t>+423 235 0451</t>
  </si>
  <si>
    <t>Mr. Luis Ott serves as Managing Director at Independent Fund Management. He also serves as Partner and Non-Executive Director at Quorus Asset Management. He also serves as a Partner &amp; Board Member at Principal Asset Management. He has a comprehensive background in banking acquired with the LGT Bank in Liechtenstein Aktiengesellschaft. After completion of his training, he started his professional career as a trader with Banque Romande in Geneva. He later joined Deutsche Bank Capital Markets in London, where he traded derivative instruments at the rank of a senior manager. He then worked for Crédit Lyonnais Euro-Securities in London as a senior derivative instruments trader. He was also a sales trader with Gerrard &amp; National in London and later a sales trader in the rank of an Assistant Director with Roderick Sutherland &amp; Partners in Edinburgh. He holds a Swiss degree in financial analysis and portfolio management; he is a Certified European Financial Analyst. He has 20 years of experience in the investment business.</t>
  </si>
  <si>
    <t>435192-76P</t>
  </si>
  <si>
    <t>AG Capital (South Africa)</t>
  </si>
  <si>
    <t>www.agcapital.co.za</t>
  </si>
  <si>
    <t>Portfolio Manager &amp; Equities Day Trader Executive</t>
  </si>
  <si>
    <t>+27 (0)21 401 8900</t>
  </si>
  <si>
    <t>michaels@agcapital.co.za</t>
  </si>
  <si>
    <t>Cape Town, South Africa</t>
  </si>
  <si>
    <t>Office 201, 2nd Floor</t>
  </si>
  <si>
    <t>27 Somerset Road, Greenpoint</t>
  </si>
  <si>
    <t>Cape Town</t>
  </si>
  <si>
    <t>8005</t>
  </si>
  <si>
    <t>South Africa</t>
  </si>
  <si>
    <t>Mr. Michael Stevens serves as a Portfolio Manager &amp; Equities Day Trader Executive at AG Capital (South Africa).</t>
  </si>
  <si>
    <t>163590-94P</t>
  </si>
  <si>
    <t>Simon Casutt</t>
  </si>
  <si>
    <t>ISPartners Investment Solutions (Former)</t>
  </si>
  <si>
    <t>Casutt</t>
  </si>
  <si>
    <t>www.isp.capital</t>
  </si>
  <si>
    <t>Chief Compliance Officer</t>
  </si>
  <si>
    <t>Mr. Simon Casutt served as Chief Compliance Officer at ISPartners Investment Solutions. Mr. Casutt's background is in compliance and risk management. After undergraduate studies in politics at the University of Zurich, he worked as a Junior Portfolio Manager at VZ VermögensZentrum in Zurich from 2007 to 2008. From 2008-2012, he worked as a Compliance Officer at LGT Bank, and until 2013, he was a Senior Compliance Analyst at Royal Bank of Canada (RBC). In 2013, he joined Bank Vontobel's asset management and performed several functions in risk and financial management. He obtained the Diploma of Advanced Studies Hochschule Luzern/FHZ in Compliance Management in 2016. Mr. Casutt joined ISPartners in August 2015 as Chief Compliance Officer (CCO).</t>
  </si>
  <si>
    <t>163183-51P</t>
  </si>
  <si>
    <t>Harry Djanogly</t>
  </si>
  <si>
    <t>High-net-worth investor</t>
  </si>
  <si>
    <t>Djanogly</t>
  </si>
  <si>
    <t>www.harrydjanogly.co.uk</t>
  </si>
  <si>
    <t>Nottingham, United Kingdom</t>
  </si>
  <si>
    <t>Nottingham</t>
  </si>
  <si>
    <t>Mr. Harry Djanogly is an Angel Investor. Mr. Djanogly is a British textile manufacturer with a particular interest in Art and Education. In 1936, his family made Nottingham their home where he has sponsored the Djanogly City Academy, the Djanogly Gallery at the University of Nottingham and much more. In 1983 he was awarded Commander of the British Empire and in 1993 he was invested as Knight Batchelor. In 2014, he and Lady Djanogly received the Prince of Wales Medal for Arts Philanthropy.</t>
  </si>
  <si>
    <t>245849-86P</t>
  </si>
  <si>
    <t>Lina Noureddin Ph.D</t>
  </si>
  <si>
    <t>Lamar Holding</t>
  </si>
  <si>
    <t>Holding Company</t>
  </si>
  <si>
    <t>Noureddin</t>
  </si>
  <si>
    <t>Lina</t>
  </si>
  <si>
    <t>lamar-holding.com</t>
  </si>
  <si>
    <t>Founder, Chief Executive Officer &amp; Managing Director</t>
  </si>
  <si>
    <t>lina@lamar-holding.com</t>
  </si>
  <si>
    <t>Seef, Bahrain</t>
  </si>
  <si>
    <t>Office 152, Building 398, Road 2806</t>
  </si>
  <si>
    <t>Millennium Tower</t>
  </si>
  <si>
    <t>Seef</t>
  </si>
  <si>
    <t>Bahrain</t>
  </si>
  <si>
    <t>Dr. Lina Noureddin is the Founder and serves as Chief Executive Officer &amp; Managing Director at Lamar Holding. As the Managing Director and Chief Executive Officer of Lamar Holding, Dr. Lina is a key member of the company's executive committee and leads the development vertical of the organization. She is responsible for the critical task of driving Lamar Holding's global expansion efforts, overseeing the development and execution of the company's strategic plans and operational initiatives. Dr. Lina is a highly proficient C-suite executive with over 20 years of experience in financial, economic, and management consulting. Her extensive knowledge and expertise have enabled her to progress into leadership positions, including the role of Secretary General for the Economic Consultative Council in the Royal Hashemite Court of Jordan, Vice President of the Social Security Corporation under the guidance of His Majesty King Abdullah II, and Director of the Jordan Education Initiative under the patronage and chair of Queen Rania Al Abdullah. Dr. Lina's vast experience and proficiency in these domains have established her as a respected leader and valuable asset to any organization.As she currently leads Lamar Holding, Dr. Lina collaborates in close partnerships with key clients such as Saudi Aramco, government entities, and major international funds. Her leadership has resulted in the organization's reinforced upstream leadership position, as it continues to expand its reach in delivering Public-Private-Partnership infrastructure projects across Saudi Arabia and the GCC region. Under her guidance, Lamar Holding's strategic initiatives and operational plans have enabled the company to achieve sustained growth and success in all regions. In addition, Dr. Lina possesses significant expertise in joint ventures, having steered Lamar Holding through various lucrative joint ventures and extended partnerships with influential government stakeholders throughout the GCC region. Dr. Lina obtained a bachelor's degree in chemistry from the University of Jordan, followed by a master's degree in financial markets and a PhD Degree in finance, both from the University of Banking and Financial Sciences in Jordan.</t>
  </si>
  <si>
    <t>185584-15P</t>
  </si>
  <si>
    <t>Lord Strathclyde</t>
  </si>
  <si>
    <t>Hampden Group</t>
  </si>
  <si>
    <t>Strathclyde</t>
  </si>
  <si>
    <t>www.hampden.co.uk</t>
  </si>
  <si>
    <t>Chairman</t>
  </si>
  <si>
    <t>+44 (0)20 7863 6500</t>
  </si>
  <si>
    <t>lord.strathclyde@hampden.co.uk</t>
  </si>
  <si>
    <t>40 Gracechurch Street</t>
  </si>
  <si>
    <t>EC3V 0BT</t>
  </si>
  <si>
    <t>Mr. Lord Strathclyde serves as Chairman at Hampden Group. He serves as an Advisory Board Member at Abercross Holdings. He has almost 30 years of senior government experience in the UK. He entered the House of Lords in 1986, becoming Minister for Tourism in 1989. Between 1990 and 1992 he was Minister for Agriculture and Fisheries in the Scottish Office. In 1995, Tom was sworn in as a member of the Privy Council which advises Her Majesty the Queen. In 1998 he was appointed as Leader of the House of Lords for the Conservative Party. Under his leadership, the House of Lords Act 1999 passed and he was elected as one of the 92 hereditary peers to remain in the House of Lords. He won Channel 4 Peer of the Year 2000, and Spectator Peer of the Year 2004. Mr. Strathclyde became Leader of the House of Lords and Chancellor of the Duchy of Lancaster, with a seat in the Cabinet in May 2010. On 7 January 2013, Mr. Strathclyde announced that he would be stepping down as Leader of the House of Lords and resigning from the Cabinet to pursue a second business career. He has served on the Boards of the Scottish Mortgage Investment Fund, Marketform, Hampden Agencies Ltd, and other businesses.</t>
  </si>
  <si>
    <t>244547-83P</t>
  </si>
  <si>
    <t>Mohammad Ramahi</t>
  </si>
  <si>
    <t>Al Faisal Holding</t>
  </si>
  <si>
    <t>Ramahi</t>
  </si>
  <si>
    <t>Mohammad</t>
  </si>
  <si>
    <t>www.alfaisalholding.com</t>
  </si>
  <si>
    <t>Group Chief Financial Officer &amp; Board Member</t>
  </si>
  <si>
    <t>+974 44223830</t>
  </si>
  <si>
    <t>22nd Floor, City Tower</t>
  </si>
  <si>
    <t>West Bay</t>
  </si>
  <si>
    <t>22466</t>
  </si>
  <si>
    <t>+974 44223800</t>
  </si>
  <si>
    <t>Mr. Mohammad Ramahi serves as Group Chief Financial Officer &amp; Board Member at Al Faisal Holding.</t>
  </si>
  <si>
    <t>323553-52P</t>
  </si>
  <si>
    <t>Neak Meng</t>
  </si>
  <si>
    <t>Royal Group Cambodia</t>
  </si>
  <si>
    <t>Meng</t>
  </si>
  <si>
    <t>Neak</t>
  </si>
  <si>
    <t>www.royalgroup.com.kh</t>
  </si>
  <si>
    <t>Chief Executive Officer &amp; Chairman</t>
  </si>
  <si>
    <t>Phnom Penh, Cambodia</t>
  </si>
  <si>
    <t>246 Monivong Boulevard</t>
  </si>
  <si>
    <t>Phnom Penh</t>
  </si>
  <si>
    <t>Cambodia</t>
  </si>
  <si>
    <t>Mr. Neak Meng serves as Chief Executive Officer &amp; Chairman at Royal Group Cambodia.</t>
  </si>
  <si>
    <t>419885-83P</t>
  </si>
  <si>
    <t>Rafay Mushtaq</t>
  </si>
  <si>
    <t>Mushtaq</t>
  </si>
  <si>
    <t>Rafay</t>
  </si>
  <si>
    <t>Investment Analyst, Mergers and Acquisitions (Private Equity/Venture Capital</t>
  </si>
  <si>
    <t>Mr. Rafay Mushtaq serves as Investment Analyst, Mergers and Acquisitions (Private Equity/Venture Capital at Al Faisal Holding.</t>
  </si>
  <si>
    <t>149521-51P</t>
  </si>
  <si>
    <t>Sheikh Faisal Bin Qassim Al Thani</t>
  </si>
  <si>
    <t>Bin Qassim Al Thani</t>
  </si>
  <si>
    <t>Sheikh Faisal</t>
  </si>
  <si>
    <t>Founder &amp; Chairman</t>
  </si>
  <si>
    <t>Mr. Sheikh Faisal Bin Qassim Al Thani is the Founder and serves as Chairman at Al Faisal Holding. Mr. Bin Qassim Al Thani also serves as Chairman of True Smile Works Dental Network.</t>
  </si>
  <si>
    <t>335519-20P</t>
  </si>
  <si>
    <t>Eduardo Padron Ph.D</t>
  </si>
  <si>
    <t>Human Capital Development</t>
  </si>
  <si>
    <t>Impact Investing</t>
  </si>
  <si>
    <t>Padron</t>
  </si>
  <si>
    <t>Eduardo</t>
  </si>
  <si>
    <t>www.thehumancapital.dev</t>
  </si>
  <si>
    <t>Executive, Impact Investments Strategy</t>
  </si>
  <si>
    <t>Chicago, IL</t>
  </si>
  <si>
    <t>676 North Michigan Avenue</t>
  </si>
  <si>
    <t>Suite 4000</t>
  </si>
  <si>
    <t>Chicago</t>
  </si>
  <si>
    <t>Illinois</t>
  </si>
  <si>
    <t>60611</t>
  </si>
  <si>
    <t>Dr. Eduardo Padron serves as Executive, Impact Investments Strategy at Human Capital Development. He is the President Emeritus of Miami Dade College (MDC), having served as its President for almost 25 years. He is credited with elevating MDC, the largest degree granting institution in America, into a position of national prominence among the best and most recognized U.S. colleges and universities. An economist by training, he earned his Ph.D. from the University of Florida. In 2018, he was elected a Fellow of the American Academy of Arts &amp; Sciences, one of America's oldest and most prestigious organizations. In 2016, President Barack Obama awarded him the Presidential Medal of Freedom, the highest civilian honor in the U.S., for being a prominent national voice for access and inclusion in higher education. In 2020 the Florida Council of 100 awarded him the "2020 Grand Floridian" Prize. In 2009, TIME magazine included him on the list of "The 10 Best College Presidents." In 2010, Florida Trend magazine placed him on the cover of its inaugural "Floridian of the Year" issue. In 2011, The Washington Post named him one of the eight most influential college presidents in the U.S. Also in 2011, he was awarded the prestigious 2011 Carnegie Corporation Centennial Academic Leadership Award. In 2012, he received the Citizen Service Award from Voices for National Service, the coveted TIAA Hesburgh Award for Leadership Excellence, and the Aspen Institute Ascend Fellowship. In 2015, he was inducted into the U.S. News &amp; World Report STEM Hall of Fame. He was awarded the Harry Truman Award from the American Association of Community Colleges. His energetic leadership extends to many of the nation's leading organizations. He is the past chair of the board of directors of the American Council on Education (ACE) and is a past chair of the board of the Association of American Colleges and Universities (AAC&amp;U) and former chair of the Business Higher Education Forum (BHEF). During his career, he has been selected to serve on posts of national prominence by five American presidents. Internationally, President his accomplishments have been recognized by numerous nations and organizations including the Republic of France, which named him Commandeur in the Ordre des Palmes Académiques; the Republic of Argentina, which awarded him the Order of San Martin; Spain's King Juan Carlos II, who bestowed upon him the Order of Queen Isabella; Spain's Prince and Princess of Asturias, Felipe and Letizia, who presented him with the Juan Ponce de Leon 500th Anniversary award; Morocco's King Mohammed VI, who appointed him Honorary Consul in Florida of the Kingdom of Morocco in 2016, and the Amicus Poloniae from the Republic of Poland. His pace-setting work at Miami Dade College has been hailed as a model of innovation in higher education. He is credited with engineering a culture of success that has produced impressive results in student access, retention, graduation, and overall achievement. MDC enrolls and graduates more minorities than any other institution in the United States, including the largest numbers of Hispanics and African-Americans. Under his leadership, Miami Dade College has received national recognition for its longstanding involvement with its urban community, its catalytic effect for social and economic change, and the marked difference the College has made in student access and success through pace-setting initiatives. He has served on several national commissions including Aspen Institute, Council on Foreign Relations, Woodrow Wilson Foundation, Knight Foundation, Ford Foundation, Mellon Foundation, Century Foundation, National Science Foundation, National Governors Association, American Bar Association, Lumina Foundation, and others. He currently serves on the boards of the Council on Foreign Relations; Urban Institute; Spencer Foundation; Education Trust; ACT; College Promise (Chair); National Commission on Inclusive Capitalism; Dream.US; Concordia Leadership Council; Milken Center for Advancing the American Dream and World Strategic Forum (Chair). In past years he has held leadership positions on the boards of the Federal Reserve Board of Atlanta, Miami Branch (past Chair); the Carnegie Foundation for the Advancement of Teaching; Achieving the Dream; Hispanic Association of Colleges &amp; Universities (Chair); the Kennedy Center for the Performing Arts; the White House Commission on Educational Excellence; Campus Compact; Congressional Hispanic Caucus Institute; The College Board; and the White House/Congressional Commission of the National Museum of the American Latino. He is the recipient of numerous honorary doctorates and prestigious awards.</t>
  </si>
  <si>
    <t>237882-34P</t>
  </si>
  <si>
    <t>Katerina Kimmorley</t>
  </si>
  <si>
    <t>Boundless</t>
  </si>
  <si>
    <t>Kimmorley</t>
  </si>
  <si>
    <t>Katerina</t>
  </si>
  <si>
    <t>www.boundless.earth</t>
  </si>
  <si>
    <t>Head of Commercial and Investments</t>
  </si>
  <si>
    <t>kkimmorley@boundless.earth</t>
  </si>
  <si>
    <t>Ms. Katerina Kimmorley serves as Head of Commercial and Investments at Boundless. Ms. Kimmorley served as Board Member at Allume Energy. She served as Investment Committee Member, Climate Tech Fund at Investible. She was a Chevening Scholar at the London School of Economics where she studied Environmental Economics and Climate Change. Katerina is an international advocate for climate finance and was recognised in the Australian Financial Review's 100 Women of Influence. She was the London School of Economics Entrepreneur of the Year and was awarded the Prince of Wales Young Sustainability Entrepreneur Prize.</t>
  </si>
  <si>
    <t>72633-88P</t>
  </si>
  <si>
    <t>Katharina Sommerrock Ph.D</t>
  </si>
  <si>
    <t>Lightrock</t>
  </si>
  <si>
    <t>Sommerrock</t>
  </si>
  <si>
    <t>Katharina</t>
  </si>
  <si>
    <t>www.lightrock.com</t>
  </si>
  <si>
    <t>Head of Investor Relations</t>
  </si>
  <si>
    <t>katharina@lightrock.com</t>
  </si>
  <si>
    <t>Gartenstrasse 19</t>
  </si>
  <si>
    <t>8002</t>
  </si>
  <si>
    <t>Dr. Katharina Sommerrock serves as Head of Investor Relations at Lightrock. She is fascinated by the leverage capital, markets, innovation, and entrepreneurs can have in solving global challenges. She has also held positions at LGT Group in sustainable and impact investing. Before joining LGT, she was a project leader at Bain &amp; Company, focused on financial services, private equity, and social impact. In 2009, she received a Ph.D. for her dissertation on entrepreneurship. She holds a Master's in International Business Administration from the University of Eichstätt-Ingolstadt. She loves spending time with her family in the mountains or on the water, alternates between high-intensity training and a yoga mat, and never has enough time to read.</t>
  </si>
  <si>
    <t>395231-59P</t>
  </si>
  <si>
    <t>Min Sung Park Ph.D</t>
  </si>
  <si>
    <t>Infusion 51a</t>
  </si>
  <si>
    <t>Park</t>
  </si>
  <si>
    <t>Min Sung</t>
  </si>
  <si>
    <t>www.infusion51a.com</t>
  </si>
  <si>
    <t>+1 (312) 265-6700</t>
  </si>
  <si>
    <t>227 West Monroe</t>
  </si>
  <si>
    <t>Suite 2100</t>
  </si>
  <si>
    <t>60606</t>
  </si>
  <si>
    <t>Dr. Min Sung Park serves as an Advisor at Infusion 51a. He serves as CSO at Sanimed Group, IHC and is the Founding Director, UAE National Genome Program. He holds a Ph.D. (Doctor of Philosophy) degree.</t>
  </si>
  <si>
    <t>114828-67P</t>
  </si>
  <si>
    <t>Rodolfo Bogni Ph.D</t>
  </si>
  <si>
    <t>Lightrock (Former)</t>
  </si>
  <si>
    <t>Bogni</t>
  </si>
  <si>
    <t>Rodolfo</t>
  </si>
  <si>
    <t>Dr. Rodolfo Bogni served as a Board Member at Lightrock. Dr. Bogni served as a Board Member and at LGT Group Stallergenes. He is Chairman of Northill UK, a director of Waypoint Capital Holdings, and a trustee of the Prince of Liechtenstein Foundation. He is also a member of the Governing Council of the CSFI (Centre for the Study of Financial Innovation), a member of the Advisory Board of Oxford Analytica, and of the Council of Shakespeare's Globe Theatre. He holds a Ph.D. (Doctor of Philosophy) in Economics and Business Administration from Bocconi University.</t>
  </si>
  <si>
    <t>356482-72P</t>
  </si>
  <si>
    <t>Elizabeth Buchanan</t>
  </si>
  <si>
    <t>NFU Mutual (Former)</t>
  </si>
  <si>
    <t>Insurance Company</t>
  </si>
  <si>
    <t>Buchanan</t>
  </si>
  <si>
    <t>Elizabeth</t>
  </si>
  <si>
    <t>www.nfumutual.co.uk</t>
  </si>
  <si>
    <t>Non-Executive Director</t>
  </si>
  <si>
    <t>Ms. Elizabeth Buchanan served as Non-Executive Director at The National Farmers' Union Mutual Insurance Society. She is a Special Adviser to Waitrose, Saputo UK, and McDonald's. She is a Fellow of the Royal Agriculture Societies, Vice President of the Rare Breeds Survival Trust, President of The South of England Agricultural Society, Senior Associate of the Cambridge Institute of Sustainability Leadership and Trustee of the Smith School for Enterprise and the Environment at Oxford University. She also sits on the BBC Rural Affairs Committee, is a Trustee of the Prince's Countryside Fund and also manages her family's 300-acre organic livestock farm. Until March 2023 she was a non-executive Board member of DEFRA and until December 2009 Elizabeth was the Private Secretary to His Majesty The King, then The Prince of Wales, and previously served as a Press Secretary to former Prime Minister Lady Thatcher.</t>
  </si>
  <si>
    <t>304275-16P</t>
  </si>
  <si>
    <t>Haya Almana</t>
  </si>
  <si>
    <t>Qatar Insurance Company (Former)</t>
  </si>
  <si>
    <t>Haya</t>
  </si>
  <si>
    <t>www.qic.online</t>
  </si>
  <si>
    <t>Group Chief Administrative Officer</t>
  </si>
  <si>
    <t>Ms. Haya Almana served as Group Chief Administrative Officer at Qatar Insurance Company. She is a graduate of the Higher Education Commission (HEC) of Paris Master in Strategic Business Unit Management. Most recently she was with Aspire Foundation and Qatar Foundation, bringing with her many years of major experience in Human Resource, Marketing, Training &amp; Development, Facility Management, Business Support and Communications &amp; Public Relations. She has been awarded an UK Associate Professional from Chartered Institute of Personnel and Development (CIPD).</t>
  </si>
  <si>
    <t>257856-49P</t>
  </si>
  <si>
    <t>Doris Di Marzio</t>
  </si>
  <si>
    <t>PLEXUS Investments</t>
  </si>
  <si>
    <t>Investment Advisor</t>
  </si>
  <si>
    <t>Di Marzio</t>
  </si>
  <si>
    <t>Doris</t>
  </si>
  <si>
    <t>plexusinvestments.com</t>
  </si>
  <si>
    <t>+423 375 0402</t>
  </si>
  <si>
    <t>d.dimarzio@plexusinvestments.com</t>
  </si>
  <si>
    <t>Ruggell, Liechtenstein</t>
  </si>
  <si>
    <t>Industriering 10</t>
  </si>
  <si>
    <t>Ruggell</t>
  </si>
  <si>
    <t>9491</t>
  </si>
  <si>
    <t>+423 375 0405</t>
  </si>
  <si>
    <t>Ms. Doris Di Marzio serves as Managing Partner at PLEXUS Investments. Before she joined PLEXUS, she spent twelve years working in various investment roles at LGT Capital Partners and in the Marketing department of the LGT Group.</t>
  </si>
  <si>
    <t>322250-59P</t>
  </si>
  <si>
    <t>Rupesh Madlani</t>
  </si>
  <si>
    <t>Bankers without Boundaries</t>
  </si>
  <si>
    <t>Investment Bank</t>
  </si>
  <si>
    <t>Madlani</t>
  </si>
  <si>
    <t>Rupesh</t>
  </si>
  <si>
    <t>www.bwb.earth</t>
  </si>
  <si>
    <t>Chief Executive Officer, Global Head of Sustainable AI &amp; Digital Finance and Board Member, Member of the Executive Committee</t>
  </si>
  <si>
    <t>+44 (0)20 7030 4174</t>
  </si>
  <si>
    <t>rupesh.madlani@bwbuk.org</t>
  </si>
  <si>
    <t>119 Marylebone Road</t>
  </si>
  <si>
    <t>NW1 5PU</t>
  </si>
  <si>
    <t>Mr. Rupesh Madlani serves as Chief Executive Officer, Global Head of Sustainable AI &amp; Digital Finance and Board Member, Member of the Executive Committee at Bankers without Boundaries. Prior to this, Mr. Madlani worked at PwC in the corporate finance practice. He is a chartered accountant and Freeman of the City of London. He is an expert reviewer in various publications with the World Economic Forum, the OECD, the Prince of Wales Sustainability unit, and the United Nations relating sustainable development.</t>
  </si>
  <si>
    <t>423627-04P</t>
  </si>
  <si>
    <t>Wolfgang Eisl</t>
  </si>
  <si>
    <t>LGT Bank Austria</t>
  </si>
  <si>
    <t>Eisl</t>
  </si>
  <si>
    <t>Wolfgang</t>
  </si>
  <si>
    <t>www.lgt.at</t>
  </si>
  <si>
    <t>+43 (0)1 505 4298</t>
  </si>
  <si>
    <t>wolfgang.eisl@lgt.com</t>
  </si>
  <si>
    <t>Vienna, Austria</t>
  </si>
  <si>
    <t>Wiedner Hauptstrasse 63, A-1045</t>
  </si>
  <si>
    <t>Vienna</t>
  </si>
  <si>
    <t>Austria</t>
  </si>
  <si>
    <t>+43 (0)1 505 4474</t>
  </si>
  <si>
    <t>Mr. Wolfgang Eisl serves as Chief Executive Officer at LGT Bank Austria.</t>
  </si>
  <si>
    <t>140764-69P</t>
  </si>
  <si>
    <t>Jacqueline Leung</t>
  </si>
  <si>
    <t>Sun Hung Kai &amp; Company</t>
  </si>
  <si>
    <t>Leung</t>
  </si>
  <si>
    <t>Jacqueline</t>
  </si>
  <si>
    <t>www.shkco.com</t>
  </si>
  <si>
    <t>+852 3748 2888</t>
  </si>
  <si>
    <t>42nd Floor., Lee Garden One</t>
  </si>
  <si>
    <t>33 Hysan Avenue, Causeway Bay</t>
  </si>
  <si>
    <t>+852 3748 2877</t>
  </si>
  <si>
    <t>Ms. Jacqueline Leung serves as Board Member at Sun Hung Kai &amp; Company. She was appointed as an Independent Non-Executive Director of the Company on 1 November 2014. Ms. Leung is currently the president and managing director of Leighton Investments Limited and Leighton Textiles Company Limited. She was with Deloitte Touche Tohmatsu from February 2001 to August 2014. Prior to that, she worked at the mergers and acquisitions department of Oppenheimer &amp; Co. Inc. in New York City. Ms. Leung is an active community leader and volunteer and has served as a member of the Vetting Committee for the Allocation of Sites and Start-up Loan for Post-secondary Education Providers under the Education Bureau of the Government of HKSAR since 2010. Over the years, she held various positions in charitable organizations in Hong Kong, such as the fundraising chairman for the Hong Kong Cancer Fund and a director at Po Leung Kuk. On 1 January 2016, she was appointed as a member of the Exchange Fund Advisory Committee (EFAC) Financial Infrastructure Sub- Committee of the Hong Kong Monetary Authority and on 1 April 2017, she was appointed as a member of the Hospital Governing Committee of Prince of Wales Hospital. Ms. Leung holds a Bachelor of Arts Degree in Economics and a Bachelor of Science Degree with honours in Engineering from Brown University in the United States.</t>
  </si>
  <si>
    <t>178054-21P</t>
  </si>
  <si>
    <t>Jean Ergas</t>
  </si>
  <si>
    <t>Tigress Financial Partners</t>
  </si>
  <si>
    <t>Ergas</t>
  </si>
  <si>
    <t>www.tigressfp.com</t>
  </si>
  <si>
    <t>Chief Economist</t>
  </si>
  <si>
    <t>+1 (646) 780-8906</t>
  </si>
  <si>
    <t>jergas@tigressfp.com</t>
  </si>
  <si>
    <t>410 Park Avenue</t>
  </si>
  <si>
    <t>12th Floor</t>
  </si>
  <si>
    <t>10022</t>
  </si>
  <si>
    <t>Mr. Jean Ergas serves as Chief Economist at Tigress Financial Partners. He produces Macro-Economic analysis, including currency, interest rate, political, trade, counterparty, credit risk and asset allocation strategy. He has over 20 years' experience in global finance and risk management in which he has both held senior positions in the corporate world as well as advising sophisticated global investors. He is a specialist in energy/commodities, global capital markets and insurance/reinsurance. Prior to Tigress, he worked for the A.M. Best Company as an Assistant Vice President in the Global Financial Services Group, at Swiss Bank Corporation in the capital markets group, raising financing for sovereign and non-sovereign borrowers at ENI, as the Assistant to the Managing Director of Hydrocarbons International Holding Company in Zurich, as well as the Credit Risk Manager of Enichem International in Zurich.</t>
  </si>
  <si>
    <t>15253-03P</t>
  </si>
  <si>
    <t>Jonathan Knee JD</t>
  </si>
  <si>
    <t>Evercore Group</t>
  </si>
  <si>
    <t>Knee</t>
  </si>
  <si>
    <t>www.evercore.com</t>
  </si>
  <si>
    <t>Senior Advisor, Investment Banking and Strategic Advisory</t>
  </si>
  <si>
    <t>+1 (212) 857-3100</t>
  </si>
  <si>
    <t>knee@evercore.com</t>
  </si>
  <si>
    <t>55 East 52nd Street</t>
  </si>
  <si>
    <t>10055</t>
  </si>
  <si>
    <t>Mr. Jonathan Knee serves as Senior Advisor, Investment Banking and Strategic Advisory at Evercore Group. Mr. Knee is a senior advisor in the firm's strategic advisory practice, with over 25 years of relevant experience. Mr. Knee is also the Michael T. Fries Professor of Media and Technology at Columbia Business School. Notable transactions/clients include advising S&amp;P Global on its acquisitions of SNL Financial and The Climate Service and its sale of McGraw-Hill Construction, McGraw-Hill Education, Businessweek, and S&amp;P Securities Evaluations; Nasdaq on its acquisition of Verafin and its sale of BWise and PR Solutions; the Scripps family on the sale of SNI Networks to Discovery, the merger of the broadcast operations of The E.W. Scripps Co. and Journal Communications, the spin/merge of their corresponding newspaper operations and the purchase of ION Media; Hearst on its multiple investments in Fitch; and Advance on its acquisitions of Turnitin and Examsoft and its sale of 1010data. Prior to joining Evercore, Mr. Knee was managing director and co-head of the media group at Morgan Stanley. He was previously publishing sector head in the communications, media and entertainment group at Goldman, Sachs &amp; Co. He is a member of the Council on Foreign Relations and serves on the boards of directors of the National Women's Law Center and New Alternatives for Children. Mr. Knee holds a J.D. from Yale University, an MBA from Stanford University, an M.Sc. from Trinity College Dublin, and a B.A. from Boston University.</t>
  </si>
  <si>
    <t>58939-57P</t>
  </si>
  <si>
    <t>Michael Phipps</t>
  </si>
  <si>
    <t>RBC Capital Markets (Former)</t>
  </si>
  <si>
    <t>Phipps</t>
  </si>
  <si>
    <t>www.rbccm.com</t>
  </si>
  <si>
    <t>Director, Building Products &amp; Homebuilding Investment Banking</t>
  </si>
  <si>
    <t>Mr. Michael Phipps served as Director, Building Products &amp; Homebuilding Investment Banking at RBC Capital Markets. He also serves as the Director of Strategy and Business Development for Accelerated Oil Technologies, an oil and gas joint venture with KKR. Prior to Centerboard, Mr. Phipps was a Vice President at Goldman Sachs &amp; Co. within the Investment Banking Division covering the Industrials and Natural Resources sectors. Before joining Goldman, he was an Associate at Bank of America Merrill Lynch focused on the Chemicals sector. He has executed over $50 billion of M&amp;A and capital raising assignments, including the acquisition of Royal Group Technologies by Georgia Gulf and the sale of Solo Cup to Dart Container Corporation. Mr. Phipps received a Bachelor of Science summa cum laude in economics and political science from Vanderbilt University in 2005.</t>
  </si>
  <si>
    <t>74670-49P</t>
  </si>
  <si>
    <t>David A. Noyes &amp; Company (Former)</t>
  </si>
  <si>
    <t>www.danoyes.com</t>
  </si>
  <si>
    <t>Senior Vice President &amp; Wealth Advisor</t>
  </si>
  <si>
    <t>+1 (317) 633-1706</t>
  </si>
  <si>
    <t>Mr. R. Michael Stevens serves as Senior Vice President &amp; Wealth Advisor at David A. Noyes &amp; Company. He believes that the key to working in financial services is to understand, to serve and to advise the most important asset of all; the client. He joined the firm over 25 years ago.</t>
  </si>
  <si>
    <t>231769-81P</t>
  </si>
  <si>
    <t>Incapital (Former)</t>
  </si>
  <si>
    <t>www.incapital.com</t>
  </si>
  <si>
    <t>Managing Director, Preferred Securities Sales &amp; Trading</t>
  </si>
  <si>
    <t>Mr. Michael Stevens served as Managing Director, Preferred Securities Sales &amp; Trading at Incapital.</t>
  </si>
  <si>
    <t>79237-00P</t>
  </si>
  <si>
    <t>Nadim Azar</t>
  </si>
  <si>
    <t>QInvest</t>
  </si>
  <si>
    <t>Azar</t>
  </si>
  <si>
    <t>Nadim</t>
  </si>
  <si>
    <t>www.qinvest.com</t>
  </si>
  <si>
    <t>+974 44056666</t>
  </si>
  <si>
    <t>Tornado Tower, 39th Floor, West Bay</t>
  </si>
  <si>
    <t>26222</t>
  </si>
  <si>
    <t>+974 44448446</t>
  </si>
  <si>
    <t>Mr. Nadim Azar serves as Director at QInvest. Mr. Azar joined in 2011 and was a key member of the team which built the QMAP platform. He is responsible for building a range of quantitative fund valuation and risk monitoring models. Prior to joining QInvest, Nadim had spent time with both Credit Suisse and Merrill Lynch as an intern where he studied different financial products they offer and helped to build diversified multi asset class portfolios. Nadim has experience in the project management where he worked for 3 years as a project engineer for MIDMAC, a subsidiary of QIPCO. During his time there his key focus was on estimation and project management and was involved in the development of some key projects, such as the Texas A&amp;M University in Qatar. Nadim holds an MSc in Advanced Finance from IE Business School, Madrid. He also holds a Bachelor of Engineering degree from the American University of Beirut. He has completed the CISI IFQ Certificate in Islamic Finance.</t>
  </si>
  <si>
    <t>142172-65P</t>
  </si>
  <si>
    <t>Nicholas Klein</t>
  </si>
  <si>
    <t>Raymond James Financial (Former)</t>
  </si>
  <si>
    <t>Klein</t>
  </si>
  <si>
    <t>Nicholas</t>
  </si>
  <si>
    <t>www.raymondjames.com</t>
  </si>
  <si>
    <t>Succession and Acquisition Associate</t>
  </si>
  <si>
    <t>Mr. Nicholas Klein served as Succession and Acquisition Associate at Raymond James Financial. Previously he was a Staffing Manager at SNI Companies.</t>
  </si>
  <si>
    <t>181654-39P</t>
  </si>
  <si>
    <t>Toma Ziegler</t>
  </si>
  <si>
    <t>Perella Weinberg Partners (Former)</t>
  </si>
  <si>
    <t>Ziegler</t>
  </si>
  <si>
    <t>Toma</t>
  </si>
  <si>
    <t>www.pwpartners.com</t>
  </si>
  <si>
    <t>Director, Advisory</t>
  </si>
  <si>
    <t>Mr. Toma Ziegler served as Director, Advisory at Perella Weinberg Partners. He focuses on advising clients in the Consumer and Retail sectors. Mr. Ziegler has more than six years of investment banking experience assisting companies on a wide range of strategic matters. During his tenure at Perella Weinberg Partners, he has advised Majid Al Futtaim on the acquisition of Retail Arabia; Mayhoola on the acquisition of Balmain; and Mondelez/Jacobs Douwe Egberts on its disposal of Carte Noire. Prior to joining Perella Weinberg Partners in October of 2014, Mr. Ziegler was at Lazard (Paris) from 2012 to 2014, where he began his career as an Analyst. At Lazard, he actively worked with clients in the Business Services, Gaming, Energy and Building Materials industries. Mr. Ziegler earned a Master in Business from ESCP Europe and a Master in Law from Evry University.</t>
  </si>
  <si>
    <t>318077-74P</t>
  </si>
  <si>
    <t>Tommaso Lillo</t>
  </si>
  <si>
    <t>Houlihan Lokey</t>
  </si>
  <si>
    <t>Lillo</t>
  </si>
  <si>
    <t>Tommaso</t>
  </si>
  <si>
    <t>www.hl.com</t>
  </si>
  <si>
    <t>Managing Director, Consumer Group</t>
  </si>
  <si>
    <t>+39 02 8733 1489</t>
  </si>
  <si>
    <t>tlillo@hl.com</t>
  </si>
  <si>
    <t>Milan, Italy</t>
  </si>
  <si>
    <t>Corso Giacomo Matteotti, 5</t>
  </si>
  <si>
    <t>Milan</t>
  </si>
  <si>
    <t>20121</t>
  </si>
  <si>
    <t>Italy</t>
  </si>
  <si>
    <t>Mr. Tommaso Lillo serves as Managing Director, Consumer Group at Houlihan Lokey. Mr. Lillo has advised numerous European companies across various sectors on M&amp;A transactions, complex equity and debt capital raises, and financial restructurings. Previously, Mr. Lillo was a Director at Leonardo &amp; Co., which entered into a joint venture with Houlihan Lokey in Italy and now operates under the Houlihan Lokey brand. Prior to joining Leonardo &amp; Co., he worked at Capitalia S.p.A. in the M&amp;A department (now merged into UniCredit Group). Mr. Lillo actively collaborates with LUISS Guido Carli University on its Real Estate Finance course and with UniVertis on its Master's program for Financial Analysts. In the past five years at Houlihan Lokey, Mr. Lillo has advised on more than 30 transactions in the food and beverage sector, including the sales of Nutkao to Teralys (Al Mada), Dolciaria Acquaviva to Vandemoortele Group, Hi-Food to CSM Ingredients (Investindustrial), Parker Food to Investindustrial, and Eat Natural to Ferrero, as well as the acquisitions of Salpa &amp; Cherubini by Apheon and Fox's by Ferrero. Mr. Lillo holds a degree in Economics from LUISS Guido Carli University in Rome.</t>
  </si>
  <si>
    <t>248006-71P</t>
  </si>
  <si>
    <t>Adam Ladjadj</t>
  </si>
  <si>
    <t>The Private Office Of His Highness Sheikh Hamdan Bin Mohammed Al Nahayan (Former)</t>
  </si>
  <si>
    <t>Investor</t>
  </si>
  <si>
    <t>Ladjadj</t>
  </si>
  <si>
    <t>Adam</t>
  </si>
  <si>
    <t>thesheikhoffice.com</t>
  </si>
  <si>
    <t>Mr. Adam Ladjadj served as Chief Investment Officer at The Private Office Of His Highness Sheikh Hamdan Bin Mohammed Al Nahayan. Mr. Adam Ladjadj Co-Founded and served as the Executive Chairman at The Private Investment Group. Holding a number of key positions throughout the world as a Board Member, Director, and CIO, he drove the Investment arm of the company with tenacity and strategy.</t>
  </si>
  <si>
    <t>371462-32P</t>
  </si>
  <si>
    <t>Amnat Jiramanimai</t>
  </si>
  <si>
    <t>The Crown Property Bureau</t>
  </si>
  <si>
    <t>Jiramanimai</t>
  </si>
  <si>
    <t>Amnat</t>
  </si>
  <si>
    <t>www.crownproperty.or.th</t>
  </si>
  <si>
    <t>+66 (0)2 7877777</t>
  </si>
  <si>
    <t>Number 173, Nakhon Ratchasima Road</t>
  </si>
  <si>
    <t>Dusit Subdistrict</t>
  </si>
  <si>
    <t>10300</t>
  </si>
  <si>
    <t>Mr. Amnat Jiramanimai serves as Board Member at The Crown Property Bureau.</t>
  </si>
  <si>
    <t>184072-15P</t>
  </si>
  <si>
    <t>Clemens Gregor Ph.D</t>
  </si>
  <si>
    <t>Finad Group</t>
  </si>
  <si>
    <t>Gregor</t>
  </si>
  <si>
    <t>Clemens</t>
  </si>
  <si>
    <t>www.finad.com</t>
  </si>
  <si>
    <t>Senior Partner, Shareholder, and Managing Partner</t>
  </si>
  <si>
    <t>+41 (0)44 209 7013</t>
  </si>
  <si>
    <t>cgregor@finad.com</t>
  </si>
  <si>
    <t>Talstrasse 58</t>
  </si>
  <si>
    <t>+41 (0)44 209 7011</t>
  </si>
  <si>
    <t>Dr. Clemens Gregor serves as Senior Partner, Shareholder, and Managing Partner at Finad Group. He was born in 1962 and grew up in Frankfurt am Main and Vienna. In 1987, he successfully trained as a commodities trader at Metallgesellschaft and worked for several years as the CEO of a private, globally active trading house. With two partners, he founded his own commodities trading house, based in Vienna. After thirteen years as a trader, he sold his firm and entered the private banking field. For two years, he looked after private endowments and high-net-worth clients at Constantia Privatbank in Vienna. Afterward, he moved to UBS in Zurich, where he was responsible for the key client division for high net worth individuals in Austria and Central Europe. In 2006, he took up the post of Managing Director at LGT Bank in Liechtenstein. In this position, he was responsible for southern Europe and emerging markets sectors and managed 80 staff across five different sites. He has been a managing partner at Finad since 2009. He went to school in Vienna, gained his doctorate in law and a degree in law at the University of Vienna in 1984, and subsequently worked as a management consultant at Arthur Andersen in Frankfurt.</t>
  </si>
  <si>
    <t>193075-57P</t>
  </si>
  <si>
    <t>David Gibson-Moore</t>
  </si>
  <si>
    <t>Dalma Capital</t>
  </si>
  <si>
    <t>Gibson-Moore</t>
  </si>
  <si>
    <t>www.dalmacapital.com</t>
  </si>
  <si>
    <t>+971 (0)4 427 8772</t>
  </si>
  <si>
    <t>ICD Brookfield Place</t>
  </si>
  <si>
    <t>Dubai International Financial Centre</t>
  </si>
  <si>
    <t>9361</t>
  </si>
  <si>
    <t>Mr. David Gibson-Moore serves as Director at Dalma Capital. He served as Advisor at Sarwa. He is President and CEO of Gulf Analytica. He is additionally Senior Advisor to the LGT Group Foundation, Member of Global Advisory Board of LGT Capital Partners and Managing Director of Stentor Resources, Biarritz Limited and Grosvenor Properties. He has had a career in corporate finance, investment banking and private equity. He was Chief Executive Officer of LGT Bank covering the GCC countries and before that Managing Director and CEO Middle East for the Robeco Group with responsibility for institutional asset management business in the GCC region. He was previously 15 years with JP Morgan Chase where he was Chairman of the Boards of the bank in Switzerland, Luxembourg and Jersey and Swiss country manager. In addition, he was also responsible for business development for Global Investment Banking based in New York.</t>
  </si>
  <si>
    <t>374545-90P</t>
  </si>
  <si>
    <t>Davide Lazzarotto</t>
  </si>
  <si>
    <t>KTS Capital Management (Former)</t>
  </si>
  <si>
    <t>Lazzarotto</t>
  </si>
  <si>
    <t>Davide</t>
  </si>
  <si>
    <t>www.ktscapital.ch</t>
  </si>
  <si>
    <t>Chief Office Manager</t>
  </si>
  <si>
    <t>Mr. Davide Lazzarotto served as Chief Office Manager at KTS Capital Management. In 2011, Davide accepted a new challenge as a Relationship Manager for the Intermediary Desk at LGT Bank AG, Vaduz, Liechtenstein. In his role as Vice Director, he gained a great deal of experience in finding various investment solutions for his clients.</t>
  </si>
  <si>
    <t>371461-33P</t>
  </si>
  <si>
    <t>Kasem Wattanachai</t>
  </si>
  <si>
    <t>The Crown Property Bureau (Former)</t>
  </si>
  <si>
    <t>Wattanachai</t>
  </si>
  <si>
    <t>Kasem</t>
  </si>
  <si>
    <t>Mr. Kasem Wattanachai served as Board Member at The Crown Property Bureau.</t>
  </si>
  <si>
    <t>15116-68P</t>
  </si>
  <si>
    <t>Khaldoon Al Mubarak</t>
  </si>
  <si>
    <t>Private Equity, Real Estate, Venture Capital</t>
  </si>
  <si>
    <t>Mubadala Investment Company</t>
  </si>
  <si>
    <t>Khaldoon</t>
  </si>
  <si>
    <t>www.mubadala.com</t>
  </si>
  <si>
    <t>Group Chief Executive Officer, Managing Director, Board Member, &amp; Member of the Investment Committee</t>
  </si>
  <si>
    <t>+971 (0)2 413 0000</t>
  </si>
  <si>
    <t>kalmubarak@mubadala.ae</t>
  </si>
  <si>
    <t>Al Mamoura A Building</t>
  </si>
  <si>
    <t>45005</t>
  </si>
  <si>
    <t>+971 (0)2 413 0001</t>
  </si>
  <si>
    <t>Mr. Khaldoon Al Mubarak serves as Group Chief Executive Officer, Managing Director, Board Member, &amp; Member of the Investment Committee at Mubadala Investment Company. Mr. Al Mubarak serves as Vice Chairman of the Board and Member of the Executive, Nomination and Remuneration Committee at MGX. He also serves as Chairman of Nawah Energy Company. He also serves as Chairman of the Executive Affairs Authority. He has led the company's significant evolution for two decades. In addition to his commercial responsibilities, he holds several UAE Government and Abu Dhabi Government responsibilities, including being a member of the Abu Dhabi Executive Council since 2006; a Founding Member of Abu Dhabi's Supreme Council for Financial and Economic Affairs; Presidential Special Envoy to China since 2018; and Founding Chairman of the Executive Affairs Authority, which provides strategic policy advice to His Highness Sheikh Mohamed bin Zayed Al Nahyan, President of the United Arab Emirates. He is the Chairman at Aldar Properties. He served as the Chief Executive Officer at Aldar Properties. He is the Chairman of the Abu Dhabi Executive Affairs Authority, which provides strategic policy advice to the Chairman of the Abu Dhabi Executive Council, of which he is also a member. He is Chairman of the Emirates Nuclear Energy Corporation, Abu Dhabi Motorsports Management, the Abu Dhabi Media Zone Authority, and Emirates Aluminum (EMAL). He is also Deputy Chairman of the Urban Planning Council, a member of the Abu Dhabi Council for Economic Development, and a board member of First Gulf Bank, Ferrari Spa, Group 42, and ALDAR Properties. He is also a member of the New York University Board of Trustees. Mr. Al Mubarak holds a degree in Economics and Finance from Tufts University, Boston, USA.</t>
  </si>
  <si>
    <t>371461-78P</t>
  </si>
  <si>
    <t>Krit Kanchanakunchorn</t>
  </si>
  <si>
    <t>Kanchanakunchorn</t>
  </si>
  <si>
    <t>Krit</t>
  </si>
  <si>
    <t>Mr. Krit Kanchanakunchorn served as Board Member at The Crown Property Bureau.</t>
  </si>
  <si>
    <t>453494-71P</t>
  </si>
  <si>
    <t>Nikolaus Nicolaus</t>
  </si>
  <si>
    <t>Kronos Advisory</t>
  </si>
  <si>
    <t>Nicolaus</t>
  </si>
  <si>
    <t>Nikolaus</t>
  </si>
  <si>
    <t>kronos-fo.com</t>
  </si>
  <si>
    <t>Founder and Partner</t>
  </si>
  <si>
    <t>+43 (0)6 765 2119 45</t>
  </si>
  <si>
    <t>nicolaus@kronos-fo.com</t>
  </si>
  <si>
    <t>Tuchlauben 14/11</t>
  </si>
  <si>
    <t>1010</t>
  </si>
  <si>
    <t>+43 (0)1 909 4404 99</t>
  </si>
  <si>
    <t>Mr. Nikolaus Nicolaus is the Founder and serves as Partner at Kronos Advisory. He is a trained banker and business economist and has worked in international banking since 1997. After completing his training at Deutsche Bank in Munich, he worked for many years in Frankfurt in the Quandt family's family office and in asset management for international corporations. He has lived in Austria with his family for over 13 years and has held various senior relationship positions in international private banking at Credit Suisse and for almost nine years at LGT Bank Austria. Nikolaus is a partner and co-founder of KRONOS &amp; Partner Family Office GmbH.</t>
  </si>
  <si>
    <t>256353-31P</t>
  </si>
  <si>
    <t>Sal Rabbani</t>
  </si>
  <si>
    <t>Ciel Capital</t>
  </si>
  <si>
    <t>Rabbani</t>
  </si>
  <si>
    <t>Sal</t>
  </si>
  <si>
    <t>www.cielcapital.ca</t>
  </si>
  <si>
    <t>+1 (416) 676-5577</t>
  </si>
  <si>
    <t>sal.rabbani@bdc.ca</t>
  </si>
  <si>
    <t>Toronto, Canada</t>
  </si>
  <si>
    <t>2 Bloor Street West</t>
  </si>
  <si>
    <t>Suite 2006</t>
  </si>
  <si>
    <t>Toronto</t>
  </si>
  <si>
    <t>M4W 3E2</t>
  </si>
  <si>
    <t>Mr. Sal Rabbani serves as Partner at Ciel Capital. He served as Managing Partner, Advisory Services at Business Development Bank of Canada. He focuses on firm-wide governance, investment themes, and supporting portfolio companies' evolution into national champions. He brings over two decades of experience in professional services, entrepreneurship, and public leadership to CIEL's investment approach. Prior to CIEL, he spent his career in transaction advisory at a global professional services firm and as a senior development banker, advising over 1,000 Canadian businesses on growth, succession, and transformation. His work spanned multiple sectors with a deep focus on strengthening small and medium-sized enterprises across Canada. He is the Immediate Past Chair of the Board of Directors of the Empire Club of Canada, recognized as the first two-term President and Chair in the institution's 121-year history. He previously served on the Toronto District School Board and was awarded the King Charles III Coronation Medal in 2025 for his service to Canada. He holds a Bachelor of Business Administration from the Schulich School of Business at York University.</t>
  </si>
  <si>
    <t>331895-80P</t>
  </si>
  <si>
    <t>Salem Salmeen</t>
  </si>
  <si>
    <t>The Private Office Of His Highness Sheikh Hamdan Bin Mohammed Al Nahayan</t>
  </si>
  <si>
    <t>Salmeen</t>
  </si>
  <si>
    <t>+971 (0)2 222 2436</t>
  </si>
  <si>
    <t>P O Box: 111191</t>
  </si>
  <si>
    <t>Mr. Salem Salmeen serves as Chief Executive Officer &amp; Chairman at The Private Office Of His Highness Sheikh Hamdan Bin Mohammed Al Nahayan.</t>
  </si>
  <si>
    <t>323471-35P</t>
  </si>
  <si>
    <t>SCG Chemicals</t>
  </si>
  <si>
    <t>www.scgchemicals.com</t>
  </si>
  <si>
    <t>+66 (0)2 5861111</t>
  </si>
  <si>
    <t>ssukvimon@scgchemicals.com</t>
  </si>
  <si>
    <t>1 Siam Cement Road, Bangsue</t>
  </si>
  <si>
    <t>10800</t>
  </si>
  <si>
    <t>+66 (0)2 5865561</t>
  </si>
  <si>
    <t>Mr. Satitpong Sukvimol serves as Chairman of the Board at SCG Chemicals. He holds a BA in Mass Communication from Chiang Mai University.</t>
  </si>
  <si>
    <t>371460-70P</t>
  </si>
  <si>
    <t>Director General</t>
  </si>
  <si>
    <t>ssukvimol@crownproperty.or.th</t>
  </si>
  <si>
    <t>Mr. Satitpong Sukvimol serves as Director General at The Crown Property Bureau.</t>
  </si>
  <si>
    <t>331894-72P</t>
  </si>
  <si>
    <t>Sheikh Hamdan Al Nahayan</t>
  </si>
  <si>
    <t>Al Nahayan</t>
  </si>
  <si>
    <t>Sheikh Hamdan</t>
  </si>
  <si>
    <t>Mr. Sheikh Hamdan Al Nahayan is the Founder of The Private Office Of His Highness Sheikh Hamdan Bin Mohammed Al Nahayan. He is known for his active participation in national and social events, his keenness to preserve the heritage of the UAE, and his support for all events and heritage events. has a unique style that is based on providing a framework for transforming the idea into a great business, through all phases of establishment, growth and financing in an efficient and unconventional manner, while maintaining continuity in order to gain profit and achieve financial independence through the development of an emerging company that creates familiarity, positive impression on customers, suppliers and investors. He is keen to use the unique ideas and projects, which will move the wheel of development by entering into partnership with several leading international companies and attract these companies to the UAE. The efforts of him, through his special office, which includes a distinguished administrative staff that supervises all its work from management to design and development, as all employees in the office are highly qualified and experienced including the legal dept. and specialists in the field of investment, development, and strategic studies, are crowned with success in supporting diverse sectors, in various areas, such as support more than one company in the construction industry, several real estate companies, health care projects, more than three food manufacturing projects, advertising companies, international banks and investment companies, about three companies in the entertainment industry, services sector, and other sectors, such as retail, technology, manufacturing and energy. He has always been keen on his presence in events that are interested in entrepreneurship, in search of local and international talent. He has the passion and aspiration for pioneering work and facing difficulties. He continues to seek the promising entrepreneurial opportunities in the UAE market, where competition has increased in the presence of foreign investment companies.</t>
  </si>
  <si>
    <t>331874-11P</t>
  </si>
  <si>
    <t>Somchai Kanchanamanee</t>
  </si>
  <si>
    <t>Kanchanamanee</t>
  </si>
  <si>
    <t>Somchai</t>
  </si>
  <si>
    <t>Mr. Somchai Kanchanamanee serves as Board Member at The Crown Property Bureau. Mr. Kanchanamanee serves as Board Member &amp; Member of the CSR Committee for Sustainable Development at Siam Cement Group. He holds a Bachelor's in Political Science from Chiang Mai University.</t>
  </si>
  <si>
    <t>371460-97P</t>
  </si>
  <si>
    <t>Thamnithi Wanichthanom</t>
  </si>
  <si>
    <t>Wanichthanom</t>
  </si>
  <si>
    <t>Thamnithi</t>
  </si>
  <si>
    <t>Senior Deputy Director &amp; Board Member</t>
  </si>
  <si>
    <t>Mr. Thamnithi Wanichthanom serves as Senior Deputy Director &amp; Board Member at The Crown Property Bureau.</t>
  </si>
  <si>
    <t>106194-79P</t>
  </si>
  <si>
    <t>Allan Serrano JD</t>
  </si>
  <si>
    <t>Gordon Feinblatt</t>
  </si>
  <si>
    <t>Law Firm</t>
  </si>
  <si>
    <t>Serrano</t>
  </si>
  <si>
    <t>Allan</t>
  </si>
  <si>
    <t>www.gfrlaw.com</t>
  </si>
  <si>
    <t>Executive, Legal</t>
  </si>
  <si>
    <t>+1 (410) 576-4154</t>
  </si>
  <si>
    <t>aserrano@gfrlaw.com</t>
  </si>
  <si>
    <t>233 East Redwood Street</t>
  </si>
  <si>
    <t>21202</t>
  </si>
  <si>
    <t>+1 (410) 576-4034</t>
  </si>
  <si>
    <t>Mr. Allan Serrano serves as Attorney &amp; Executive, Personal Injury Practice Group at Gordon Feinblatt. He received his Bachelor of Arts from Duke University and his Juris Doctorate from Washington University in St. Louis School of Law. While in law school, Allan was a member of the Civil Justice Clinic and served as President of the Latino American Law Student Association. Allan also served as an Associate Editor for the Washington University Journal of Law and Policy. Allan works with both personal injury cases and worker's compensation cases. He enjoys his role as an advocate and litigator who ensures that clients are fairly compensated for damages, pain, suffering, and losses that result from traumatic accidents caused by the negligence of others. Allan focuses his practice on clients who have suffered losses in Virginia, including Fairfax County, Arlington, Prince William, Loudoun, and the City of Alexandria. Prior to law school, Allan worked for three years as a compliance specialist advising international companies on compliance with regulations from the FDA, USDA, and other government agencies.</t>
  </si>
  <si>
    <t>377465-86P</t>
  </si>
  <si>
    <t>David Heems</t>
  </si>
  <si>
    <t>Houthoff</t>
  </si>
  <si>
    <t>Heems</t>
  </si>
  <si>
    <t>www.houthoff.com</t>
  </si>
  <si>
    <t>Partner &amp; Advocaat</t>
  </si>
  <si>
    <t>+31 (0)20 605 6952</t>
  </si>
  <si>
    <t>d.heems@houthoff.com</t>
  </si>
  <si>
    <t>Gustav Mahlerplein 50</t>
  </si>
  <si>
    <t>1082 MA</t>
  </si>
  <si>
    <t>Mr. David Heems serves as Partner &amp; Advocaat at Houthoff. He has a broad dispute resolution practice with a focus on commercial, finance, and insolvency litigation, including proceedings about directors' liability and annual accounts proceedings. He is regularly involved in cross-border restructurings, such as the litigation concerning Dümmen Orange, Steinhoff, Royal IHC, Oi, and OSX.</t>
  </si>
  <si>
    <t>220009-69P</t>
  </si>
  <si>
    <t>David Hunt</t>
  </si>
  <si>
    <t>DAC Beachcroft</t>
  </si>
  <si>
    <t>Hunt</t>
  </si>
  <si>
    <t>www.dacbeachcroft.com</t>
  </si>
  <si>
    <t>Partner &amp; Chairman of the Financial Services Division</t>
  </si>
  <si>
    <t>+44 (0)20 7894 6066</t>
  </si>
  <si>
    <t>lordhunt@dacbeachcroft.com</t>
  </si>
  <si>
    <t>25 Walbrook</t>
  </si>
  <si>
    <t>EC4N 8AF</t>
  </si>
  <si>
    <t>+44 (0)20 7831 6630</t>
  </si>
  <si>
    <t>Mr. David Hunt serves as Partner &amp; Chairman of the Financial Services Division at DAC Beachcroft. He served as Board Member at Global Risk Partners. He joined the firm in 1965 and became a partner in 1969. He specializes in regulation and spent much of 2009 conducting an independent review of legal services regulation on behalf of the Law Society of England and Wales. He was also instructed by the Commerce and Industry Department of the States of Guernsey to review both insurance and banking on the island. In 2008 he completed a successful independent review of the Financial Ombudsman Service. In recent years he also led the legal teams on the ABI's Raising Standards Initiative, the establishment of the PPIAB, the creation of AIFA, and the setting up of the Pensions Advisers Support system. He was awarded the MBE in 1973 and elected Member of Parliament for Wirral from 1976-83 and then Wirral West 1983-97. He has been a member of the Privy Council since 1990. From 1979-95 he was a member of the UK government, including Cabinet posts as Secretary of State for Wales, Secretary of State for Employment and Chancellor of the Duchy of Lancaster. He was Treasurer of the Queen's Household from 1987-89. He stepped down from the Cabinet after five years in July 1995 to become a senior partner.</t>
  </si>
  <si>
    <t>34698-43P</t>
  </si>
  <si>
    <t>David Wales JD</t>
  </si>
  <si>
    <t>Jones Day (Former)</t>
  </si>
  <si>
    <t>Wales</t>
  </si>
  <si>
    <t>www.jonesday.com</t>
  </si>
  <si>
    <t>Mr. David Wales served as Partner at Jones Day. He is the practice leader for Jones Day's worldwide Antitrust &amp; Competition Law Practice and has extensive antitrust experience in both the private and public sectors. He represents foreign and domestic clients in a wide range of industries on all aspects of antitrust, including mergers and acquisitions, criminal grand jury investigations, dominant firm conduct, distribution arrangements, licensing, and competitor collaborations. Dave has the unique experience of serving as a senior official in both U.S. antitrust agencies. He spent three years at the Federal Trade Commission and, from 2008 to 2009, oversaw all of the agency's antitrust enforcement as acting director of the Bureau of Competition. Dave was involved with many industries at the FTC, including pharmaceuticals, health care, energy, chemicals, defense, retail, consumer products, and high-technology. Major matters handled during his tenure included Whole Foods' acquisition of Wild Oats, CCC's acquisition of Mitchell, lawsuits against Cephalon and Solvay Pharmaceuticals for exclusion payment agreements, and Inova's acquisition of Prince William Hospital.</t>
  </si>
  <si>
    <t>416338-93P</t>
  </si>
  <si>
    <t>John Guarin JD</t>
  </si>
  <si>
    <t>DLA Piper</t>
  </si>
  <si>
    <t>Guarin</t>
  </si>
  <si>
    <t>www.dlapiper.com</t>
  </si>
  <si>
    <t>+1 (718) 679-7471</t>
  </si>
  <si>
    <t>john.guarin@dlapiper.com</t>
  </si>
  <si>
    <t>1251 Avenue of the Americas</t>
  </si>
  <si>
    <t>10020-1104</t>
  </si>
  <si>
    <t>+1 (212) 335-4501</t>
  </si>
  <si>
    <t>Mr. John Guarin serves as Managing Director at DLA Piper. He advises these companies on setting up international holding company structures; IP migration; regional operation headquarters; offshore procurement centers; nearshoring; legal entity elimination projects (liquidations, mergers, strike-offs); and/or review and realignment of supply chain structures.</t>
  </si>
  <si>
    <t>72812-53P</t>
  </si>
  <si>
    <t>Kenneth Fraser</t>
  </si>
  <si>
    <t>Dentons Hamilton Harrison &amp; Matthews (Former)</t>
  </si>
  <si>
    <t>Fraser</t>
  </si>
  <si>
    <t>Kenneth</t>
  </si>
  <si>
    <t>www.dentonshhm.com</t>
  </si>
  <si>
    <t>Partner &amp; Head of Litigation &amp; Senior Counsel</t>
  </si>
  <si>
    <t>Mr. Kenneth Fraser served as Partner &amp; Head of Litigation &amp; Senior Counsel at Dentons Hamilton Harrison &amp; Matthews. Mr. Fraser specializes in commercial litigation, particularly banking and insurance in the High Court, Court of Appeal, and Supreme Court. He holds Degree from Prince of Wales School in Nairobi.</t>
  </si>
  <si>
    <t>366342-76P</t>
  </si>
  <si>
    <t>Leen Al-Alam</t>
  </si>
  <si>
    <t>Duane Morris</t>
  </si>
  <si>
    <t>Al-Alam</t>
  </si>
  <si>
    <t>Leen</t>
  </si>
  <si>
    <t>www.duanemorris.com</t>
  </si>
  <si>
    <t>Partner, Associate Corporate &amp; Attorney</t>
  </si>
  <si>
    <t>+1 (215) 979-1880</t>
  </si>
  <si>
    <t>lalalami@duanemorris.com</t>
  </si>
  <si>
    <t>Philadelphia, PA</t>
  </si>
  <si>
    <t>30 South 17th Street</t>
  </si>
  <si>
    <t>Philadelphia</t>
  </si>
  <si>
    <t>19103-4196</t>
  </si>
  <si>
    <t>+1 (215) 827-5581</t>
  </si>
  <si>
    <t>Ms. Leen Al-Alam serves as Partner, Associate Corporate &amp; Attorney at Duane Morris. She advises private equity and corporate clients in a variety of transactions, both domestic and cross-border, including mergers and acquisitions, divestitures, and joint ventures, as well as in general corporate governance matters. Her clients span a wide range of industries, including technology, chemicals, mining, healthcare, and life sciences. Prior to becoming an attorney, Ms. Al-Alami served as a communications analyst and strategist in the Office of King Abdullah II of Jordan. She also served as a project manager for government communications in the Executive Council of the Government of Dubai, as well as a press and information officer for the European Union Delegation to Jordan. In these capacities, Ms. Al-Alami devised and helped execute communications strategies in connection with foreign visits and milestones, oversaw press-related matters, and advised on crisis response strategies and issues involving policy and political landscape. Ms. Al-Alami is a 2013 graduate of the University of Pennsylvania Carey Law School, where she was associate editor of the Journal of Business Law. She holds a B.A., cum laude, and an M.A., both from Harvard University. She is a native speaker of English and Arabic and is fluent in French and conversational in Hebrew.</t>
  </si>
  <si>
    <t>347674-42P</t>
  </si>
  <si>
    <t>Magdalena Wielgosz</t>
  </si>
  <si>
    <t>KWKR (Former)</t>
  </si>
  <si>
    <t>Wielgosz</t>
  </si>
  <si>
    <t>Magdalena</t>
  </si>
  <si>
    <t>www.kwkr.pl</t>
  </si>
  <si>
    <t>Junior associate</t>
  </si>
  <si>
    <t>Ms. Magdalena Wielgosz served as a Junior associate at KWKR. She has drafted submissions in litigation concerning real properties, business cases (cases for damages for unpaid dividend, cases for revocation of a resolution of the general meeting, claims for damages against a brokerage house offering bonds, claims of a company's creditor vis-a-vis the management board under Article 299 of the Polish Code of Commercial Companies and Partnerships), labor law (employee claims for unpaid remuneration), inheritance law, cases concerning violations of personality rights, and in administrative proceedings concerning real properties drafted and submitted reports on concentration of enterprises to the President of the Polish Office of --Competition and Consumer Protection taken part in due diligence reviews concerning real property law, labor law, civil law, and administrative law taken part in a due diligence review of a large international holding company that concerned personal data protection developed, as part of day-to-day advisory to the Law Firm's clients, procedures in terms of monitoring the financial liquidity of enterprises, drafted legal opinions in terms of labor law (limiting the employer's costs of employment during the COVID-19 pandemic) and insurance law (application of the Polish Law on Insurance Distribution to a courier company offering parcel insurance), as well as contracts, terms and conditions of provision of electronic services, teleworking regulations, and legal information concerning CHF loans drafted, at the Students Legal Advice Bureau, a legal opinion with respect to the obligations of an enterprise operating in the form of an online intermediation platform, considering the provisions of the Polish Law on the Provision of Electronic Services, international jurisdiction, and the governing law, and an opinion concerning the cancellation of co-ownership of real property, as well as submissions in court and enforcement cases Professional qualifications and licenses</t>
  </si>
  <si>
    <t>68808-07P</t>
  </si>
  <si>
    <t>Cripps (Former)</t>
  </si>
  <si>
    <t>www.cripps.co.uk</t>
  </si>
  <si>
    <t>Mr. Michael Stevens served as a Consultant at Cripps.</t>
  </si>
  <si>
    <t>416076-76P</t>
  </si>
  <si>
    <t>Michael Stevens JD</t>
  </si>
  <si>
    <t>Alston &amp; Bird</t>
  </si>
  <si>
    <t>www.alston.com</t>
  </si>
  <si>
    <t>+1 (404) 881-7970</t>
  </si>
  <si>
    <t>mike.stevens@alston.com</t>
  </si>
  <si>
    <t>Atlanta, GA</t>
  </si>
  <si>
    <t>One Atlantic Center, 1201 West Peachtree Street</t>
  </si>
  <si>
    <t>Suite 4900</t>
  </si>
  <si>
    <t>Atlanta</t>
  </si>
  <si>
    <t>Georgia</t>
  </si>
  <si>
    <t>30309</t>
  </si>
  <si>
    <t>+1 (404) 881-7777</t>
  </si>
  <si>
    <t>Mr. Michael Stevens serves as Partner at Alston &amp; Bird. He has extensive experience with compensation issues in M&amp;A and other corporate transactions.</t>
  </si>
  <si>
    <t>437736-25P</t>
  </si>
  <si>
    <t>ArentFox Schiff</t>
  </si>
  <si>
    <t>www.afslaw.com</t>
  </si>
  <si>
    <t>+1 (202) 857-6382</t>
  </si>
  <si>
    <t>michael.stevens@afslaw.com</t>
  </si>
  <si>
    <t>Washington, DC</t>
  </si>
  <si>
    <t>1717 K Street, NorthWest</t>
  </si>
  <si>
    <t>District of Columbia</t>
  </si>
  <si>
    <t>20006</t>
  </si>
  <si>
    <t>+1 (202) 857-6395</t>
  </si>
  <si>
    <t>Mr. Michael Stevens serves as a Partner at ArentFox Schiff. He has experience in a variety of industries, including technology, real estate, health care, professional services, education, publishing, television, communications, nonprofit organizations, government contracts, automobile, hospitality and leisure, sports and entertainment, food products, fashion and retail, parking, building services, and manufacturing. He represents clients in both the private and public sectors.</t>
  </si>
  <si>
    <t>77528-71P</t>
  </si>
  <si>
    <t>Samer Sarkis</t>
  </si>
  <si>
    <t>Eversheds Sutherland</t>
  </si>
  <si>
    <t>Sarkis</t>
  </si>
  <si>
    <t>Samer</t>
  </si>
  <si>
    <t>www.eversheds-sutherland.com</t>
  </si>
  <si>
    <t>+974 44025905</t>
  </si>
  <si>
    <t>ss@konexoglobal.com</t>
  </si>
  <si>
    <t>Qatar Financial Centre, PO Box 24148</t>
  </si>
  <si>
    <t>Office 1201, 12th floor, QFC Tower Diplomatic Area, West Bay</t>
  </si>
  <si>
    <t>+974 66812889</t>
  </si>
  <si>
    <t>Mr. Samer Sarkis serves as Partner at Eversheds Sutherland. He served as Senior Associate at Eversheds International. Samer advises on employment, real estate, and corporate and commercial matters with particular emphasis on mergers and acquisitions, joint ventures, restructuring, company incorporation, funds, IPOs, and listings. He also has significant experience advising banks and financial institutions on their corporate and security documents as well as industrial and manufacturing companies on their licensing and incorporation process. Samer previously advised: Barwa Bank on its proposed IPO and listing; Barwa Bank on its simultaneous acquisition of the First Finance Company (listed company), The First Investor and First Leasing Company; Qatar Investment Authority on their US$ 1bn joint venture with NYSE Euronext in respect of Qatar Exchange and its restructuring; Al Khalij Commercial Bank on the merger with International Bank of Qatar; and the existing shareholders of Bawabat Al Shamal Real Estate, including Qatar Islamic Bank and Aqar Real Estate Investment, on a joint venture with Al Futtaim to construct a US$1.6bn state-of-the-art entertainment and retail complex in Qatar.</t>
  </si>
  <si>
    <t>163607-68P</t>
  </si>
  <si>
    <t>Chris Carsley</t>
  </si>
  <si>
    <t>Kirkland Capital Group</t>
  </si>
  <si>
    <t>Lender</t>
  </si>
  <si>
    <t>Carsley</t>
  </si>
  <si>
    <t>www.kirklandcapitalgroup.com</t>
  </si>
  <si>
    <t>Managing Partner &amp; Chief Investment Officer</t>
  </si>
  <si>
    <t>+1 (425) 999-3269</t>
  </si>
  <si>
    <t>chris@kirklandcapitalgroup.com</t>
  </si>
  <si>
    <t>Sumner, WA</t>
  </si>
  <si>
    <t>15127 Main Street East</t>
  </si>
  <si>
    <t>Unit 104-519</t>
  </si>
  <si>
    <t>Sumner</t>
  </si>
  <si>
    <t>98390</t>
  </si>
  <si>
    <t>Mr. Chris Carsley serves as Managing Partner, and Chief Investment Officer, at Kirkland Capital Group. He is the Founding Member &amp; serves as Managing Partner at Arch River Capital. He serves as a Partner at Liquid River Capital. He co-leads the finance structuring and heads the capital partnership strategies of the Fund including regulatory and reporting compliance practices with the various outside advisors of the Fund. Previously, he was Managing Director of Bluewater Global Ltd., an international holding company. He brings over 25 years of experience in business operations efficiency, enterprise valuation and due diligence practices, corporate and venture finance, regulatory compliance, portfolio management, arbitrage trading, and hedging. Before co-founding ARC, He was an active execution trader for futures, options, and OTC-based trades at Paloma Securities (2000-2008). He was also a senior hedge fund security and finance team member, assisting in trade strategies, margin treatment, and short coverage transactions. He earned his Chartered Financial Analyst (CFA) designation in 1998, Chartered Alternative Investment Analyst in 2011, and holds a BBA from the University of Portland.</t>
  </si>
  <si>
    <t>128511-55P</t>
  </si>
  <si>
    <t>James Donnelly</t>
  </si>
  <si>
    <t>Herio Capital (Former)</t>
  </si>
  <si>
    <t>Donnelly</t>
  </si>
  <si>
    <t>www.heriocapital.com</t>
  </si>
  <si>
    <t>Underwriter, Risk</t>
  </si>
  <si>
    <t>Mr. James Donnelly served as Underwriter, Risk at Herio Capital. James was responsible for underwriting, credit analysis, due diligence, and structuring loan offers via Herio Insight. James also assisted in managing the firm's offshore development team. Before coming to Herio, James worked as an Underwriting Support Specialist at IHC Risk Solutions, an insurance company. He has a Bachelor's of Business Administration degree in Business Economics from Loyola University.</t>
  </si>
  <si>
    <t>61143-04P</t>
  </si>
  <si>
    <t>Michael Peat</t>
  </si>
  <si>
    <t>CQS (UK)</t>
  </si>
  <si>
    <t>Peat</t>
  </si>
  <si>
    <t>www.cqs.com</t>
  </si>
  <si>
    <t>Chairman of the Board of Directors, Board Engagement Committee, Board Engagement Committee, and Audit &amp; Risk Committee</t>
  </si>
  <si>
    <t>+852 3920 8600</t>
  </si>
  <si>
    <t>m-p@cqs.com</t>
  </si>
  <si>
    <t>3305 AIA Tower</t>
  </si>
  <si>
    <t>183 Electric Road, North Point</t>
  </si>
  <si>
    <t>Mr. Michael Peat served as Chairman of the Board of Directors, Board Engagement Committee, Board Engagement Committee, and Audit &amp; Risk Committee at CQS (UK). Senior non-executive director of Evraz plc, non-executive chairman of GEMS Education, and non-executive director of Arbuthnot Latham &amp; Co Ltd. He previously held various senior positions in the Royal Household, including Keeper of the Privy Purse and Treasurer to The Queen, Receiver General of The Duchy of Lancaster, Principal Private Secretary to The Prince of Wales and Duchess of Cornwall, and Chairman of The Prince's Charities Foundation. He joined the Royal Household in 1993 after initially working on secondment from KPMG, where he had conducted a consultancy study on the management and finances of the Royal Household in 1986-87. He retired from the Royal Household in 2011. Earlier in his career, he became a partner at KPMG in 1985. He studied law at Trinity College, Oxford, where he is now an Honorary Fellow. He also qualified as a Chartered Accountant with Peat, Marwick, Mitchell's London office and attended business school at INSEAD in France. He received the 2018 Outstanding Achievement Award from the Institute of Chartered Accountants in England and Wales. He holds a degree in Law from Trinity College, as well as an MA and an MBA.</t>
  </si>
  <si>
    <t>241437-88P</t>
  </si>
  <si>
    <t>Richard Steer</t>
  </si>
  <si>
    <t>Gleeds Corporate Services</t>
  </si>
  <si>
    <t>Steer</t>
  </si>
  <si>
    <t>Richard</t>
  </si>
  <si>
    <t>www.gleeds.com</t>
  </si>
  <si>
    <t>+44 (0)20 7631 7000</t>
  </si>
  <si>
    <t>95 New Cavendish Street</t>
  </si>
  <si>
    <t>W1W 6XF</t>
  </si>
  <si>
    <t>Mr. Richard Steer serves as Chairman at Gleeds. Richard worked in Oman and Egypt before returning to the UK to set up Gleeds' overseas operations in the Far East, America and Europe. His growth strategy has seen both new offices and new markets for Gleeds, with a focus on providing services for all stages of the property lifecycle. Maintaining close contact with clients in new regions or those facing unique challenges, Richard strongly believes that as an independent business, Gleeds is able to provide clients with the best quality advice.
Richard is passionate about design, education and the environment and under his direction, Gleeds works closely with third party organizations such as the RIBA, RICS and CIOB, as well as local and national governments to help drive change in the construction industry. Richard has hosted events with senior key figures such as HRH Prince of Wales, Frank Gehry, Lord Richard Rogers, Lord Norman Foster, Kevin McCloud and Boris Johnson.</t>
  </si>
  <si>
    <t>141880-42P</t>
  </si>
  <si>
    <t>Stefan Orlowski</t>
  </si>
  <si>
    <t>LeasePlan (Former)</t>
  </si>
  <si>
    <t>Orlowski</t>
  </si>
  <si>
    <t>Stefan</t>
  </si>
  <si>
    <t>www.leaseplan.com</t>
  </si>
  <si>
    <t>Member of Supervisory Board &amp; Chairman of the Risk Committee</t>
  </si>
  <si>
    <t>Mr. Stefan Orlowski served as Member of the Supervisory Board &amp; Chairman of the Risk Committee at LeasePlan. He has over 20 years' experience in global and local brand and portfolio management, as well as commercial fields such as sales and distribution. After beginning his career as an attorney in Australia with Arthur Robinson &amp; Hedderwicks, Mr Orlowski has spent the majority of his career with various affiliates of Heineken N.V., including as regional president of the Americas in New York City and a member of the executive committee until 2015. In 2015, he moved to a European role with Heineken and currently is based in London, England. Mr Orlowski currently serves as a member of the Supervisory Board of Żywiec S.A (a Polish brewer controlled by Heineken), where he was previously employed as a vice-president, and as a member of the Supervisory Board of Brauw Holding International GmbH &amp; Co KgaA. Previous board positions include roles as Vice-Chairman of Compañía Cervecería Costa Rica, Director of Compañía Cervecería de Colombia, and Chairman of the Marketplace Committee for Business in the Community, a charity under the patronage of the Prince of Wales.</t>
  </si>
  <si>
    <t>155415-52P</t>
  </si>
  <si>
    <t>Ugo Fiaccadori</t>
  </si>
  <si>
    <t>RiverRock European Capital Partners</t>
  </si>
  <si>
    <t>Fiaccadori</t>
  </si>
  <si>
    <t>Ugo</t>
  </si>
  <si>
    <t>www.riverrock.eu</t>
  </si>
  <si>
    <t>Advisor, RiverRock Italian Hybrid Capital Fund</t>
  </si>
  <si>
    <t>+44 (0)20 7842 7650</t>
  </si>
  <si>
    <t>ufiaccadori@riverrock.eu</t>
  </si>
  <si>
    <t>35-38 New Bridge Street</t>
  </si>
  <si>
    <t>EC4V 6BW</t>
  </si>
  <si>
    <t>Mr. Ugo Fiaccadori serves as Advisor, RiverRock Italian Hybrid Capital Fund at RiverRock European Capital Partners. He has 15 years' experience in strategic consulting, most of which with Bain Italy as Associate Partner, member of the Private Equity WW practice and responsible for the boating industry. As a strategic consultant, he has extensively assisted PE firms both in the acquisition phase carrying out over 70 business due diligences in several different industries, and in the post-acquisition phase; furthermore for Italian SME's clients he has performed strategic plans, portfolio management and organization deployments, performance improvements, business plans and project/programme management projects. Furthermore, he has 10 years' management experience in SME's such as FIAR, Santavaleria, Bertram Yacht as Executive VP and Board Member, Selle Royal Group as General Manager. He received a MBA from SDA Bocconi, a MSc in Aerospace Engineering from Politecnico di Milano. He is a Licensed Engineer in Italy and FSA registered in UK.</t>
  </si>
  <si>
    <t>39967-30P</t>
  </si>
  <si>
    <t>Georg Pfister</t>
  </si>
  <si>
    <t>Kieger (Former)</t>
  </si>
  <si>
    <t>LP Consultants</t>
  </si>
  <si>
    <t>Pfister</t>
  </si>
  <si>
    <t>Georg</t>
  </si>
  <si>
    <t>www.kieger.com</t>
  </si>
  <si>
    <t>Chief Operating Officer &amp; Board of Director</t>
  </si>
  <si>
    <t>Mr. Georg Pfister served as Chief Operating Officer &amp; Board of Director at Kieger. He is responsible for Operations which includes Fund Administration, Data Management and IT &amp; Security, has 16 years experience in the financial industry. After working for Winterthur-Versicherungen and Credit Suisse Private Banking (Management Accounting), he moved to LGT Group where he held the positions of Funds Services Team Leader and Deputy General Manager of the LGT fund companies. Georg Pfister is a Swiss certified Expert for Accounting and Controlling (Swiss federal diploma) as well as a Swiss certified Specialist for Fiduciary Business (Swiss federal certificate).</t>
  </si>
  <si>
    <t>184207-51P</t>
  </si>
  <si>
    <t>James Berkeley</t>
  </si>
  <si>
    <t>Ellice Consulting Group</t>
  </si>
  <si>
    <t>Management Consultants</t>
  </si>
  <si>
    <t>Berkeley</t>
  </si>
  <si>
    <t>www.elliceconsulting.com</t>
  </si>
  <si>
    <t>+44 (0)20 3440 5072</t>
  </si>
  <si>
    <t>james@elliceconsulting.com</t>
  </si>
  <si>
    <t>4 Devonshire Street</t>
  </si>
  <si>
    <t>W1W 5DT</t>
  </si>
  <si>
    <t>+44 (0)20 3440 5001</t>
  </si>
  <si>
    <t>Mr. James Berkeley is the Founder and serves as Managing Director at Ellice Consulting Group. Mr. Berkeley is a consultant, coach, and speaker, who helps executives and organizations dramatically improve their operating performance in high-growth markets. He has helped organizations such as Travelers, AON, Jiangtai Insurance Brokers, Now Health, CKE Restaurants, Hilton Worldwide, Carlson, Ericsson AB, Caesars Entertainment Corporation, ConAgra Foods, ASIMCO Technologies, Zabeel Investments and more than 30 other leading organizations profitably grow and expand.</t>
  </si>
  <si>
    <t>409112-74P</t>
  </si>
  <si>
    <t>Reizmann</t>
  </si>
  <si>
    <t>www.reizmann.com</t>
  </si>
  <si>
    <t>mstevens@reizmann.com</t>
  </si>
  <si>
    <t>Mr. Michael Stevens serves as Chief Executive Officer at Reizmann.</t>
  </si>
  <si>
    <t>114311-98P</t>
  </si>
  <si>
    <t>Roberta Cleary</t>
  </si>
  <si>
    <t>Fort Dearborn Partners</t>
  </si>
  <si>
    <t>Cleary</t>
  </si>
  <si>
    <t>Roberta</t>
  </si>
  <si>
    <t>www.fortdearbornpartners.com</t>
  </si>
  <si>
    <t>Marketing Director</t>
  </si>
  <si>
    <t>+1 (312) 683-3746</t>
  </si>
  <si>
    <t>roberta@fortdearbornpartners.com</t>
  </si>
  <si>
    <t>190 South LaSalle Street</t>
  </si>
  <si>
    <t>Suite 1650</t>
  </si>
  <si>
    <t>60603</t>
  </si>
  <si>
    <t>+1 (312) 201-1415</t>
  </si>
  <si>
    <t>Ms. Roberta Cleary serves as Marketing Director at Fort Dearborn Partners. She has over 30 years of business and sales experience. She was in the packaging field in outside sales for the duration of her career and grew her account base from zero to over $2 million in revenue. She was awarded "Woman of the Year" by Women in Management and "All-Around Sales Person of the Year" from The Royal Group, a corrugated box manufacturer. Roberta received her B.S. with Honors from DePaul University. She currently sits on the President's Club Advisory Council at DePaul University.</t>
  </si>
  <si>
    <t>134798-59P</t>
  </si>
  <si>
    <t>Ryan Gramm</t>
  </si>
  <si>
    <t>SolomonEdwardsGroup (Former)</t>
  </si>
  <si>
    <t>Gramm</t>
  </si>
  <si>
    <t>www.solomonedwards.com</t>
  </si>
  <si>
    <t>Vice President, Business Development</t>
  </si>
  <si>
    <t>Mr. Ryan Gramm served as Vice President, Business Development at SolomonEdwardsGroup. Previously, he served as Director, Business Development at Riveron Consulting. Previously, he served as a Business Development Manager at Advaion. He s responsible for practice development and relationship management at Riveron. With almost 20 years of experience, he brings depth of expertise in project and asset management in accounting and technology. Ryan's solution oriented practice pairs seamlessly with the team of intelligent people at Riveron to help serve a diverse base of growing clients. He has performed numerous engagements assisting clients preparing for Merger &amp; Acquisition activity or an IPO, as well as, restructuring and implementing growth strategies for companies experiencing hyper-growth. His industry experience includes technology, manufacturing, retail and financial services. Ryan earned a Bachelor of Business Administration degree, with a concentration in Marketing, from James Madison University's College of Business. Prior to joining Riveron, he was a Business Development Director at Advaion. He has also served as a Managing Director for SNI Companies and Business Development Manager for Experis.</t>
  </si>
  <si>
    <t>253567-90P</t>
  </si>
  <si>
    <t>Saadia Slaoui-Bennani</t>
  </si>
  <si>
    <t>Valyans Consulting</t>
  </si>
  <si>
    <t>Slaoui-Bennani</t>
  </si>
  <si>
    <t>Saadia</t>
  </si>
  <si>
    <t>www.valyans.com</t>
  </si>
  <si>
    <t>Chief Executive Officer &amp; President</t>
  </si>
  <si>
    <t>+212 (0)522957400</t>
  </si>
  <si>
    <t>saadia.slaoui-bennani@valyans.com</t>
  </si>
  <si>
    <t>Casablanca, Morocco</t>
  </si>
  <si>
    <t>37, Boulevard Abdellatif Ben Kaddour</t>
  </si>
  <si>
    <t>Casablanca</t>
  </si>
  <si>
    <t>Morocco</t>
  </si>
  <si>
    <t>+212 (0)522390239</t>
  </si>
  <si>
    <t>Ms. Saadia Slaoui-Bennani serves as Chief Executive Officer &amp; President at Valyans Consulting. A graduate of ESSEC, she joined Valyans Consulting more than 19 years ago as a consultant. After many years of experience in the consulting profession, she was appointed Associate Director in 2006 and then Deputy Managing Director in 2012. She has held the position of President and CEO of the firm since January 2018. She has led several missions, particularly in the field of strategy. She has thus participated in the development of strategic plans for large national companies. She has also contributed to the definition of sectoral strategies on behalf of the Public Sector (Tourism, Construction, IMM, National Education, etc.). She has also worked on the development strategies of large companies and their operationalization, particularly on an African scale, which has given her a detailed knowledge of the challenges of the continent. She was appointed in 2019 by His Majesty King Mohammed VI as a member of the Special Commission on the Development Model (CSMD). In addition to her professional responsibilities, She is Vice-President of the CGEM and President of the "Responsible and Citizen Enterprises" Commission. As part of her commitment, she is also President of the Al Ikram Association, a recognized public utility association working in the field of education and professional integration.</t>
  </si>
  <si>
    <t>332436-25P</t>
  </si>
  <si>
    <t>Seddik Fihri</t>
  </si>
  <si>
    <t>Boston Consulting Group</t>
  </si>
  <si>
    <t>Fihri</t>
  </si>
  <si>
    <t>Seddik</t>
  </si>
  <si>
    <t>www.bcg.com</t>
  </si>
  <si>
    <t>Managing Director &amp; Partner</t>
  </si>
  <si>
    <t>+212 (0)529023049</t>
  </si>
  <si>
    <t>sf@bcg.com</t>
  </si>
  <si>
    <t>104 Boulevard Abdellatif Ben Kaddour</t>
  </si>
  <si>
    <t>20050</t>
  </si>
  <si>
    <t>Mr. Seddik Fihri serves as Managing Director &amp; Partner at Boston Consulting Group. He is based in Casablanca, where he supports many major private equity firms, principal investors, multinationals, and pan-African companies. Before joining BCG in 2011, Mr. Fihri held different positions within the Kuwait Investment Authority, the Moroccan conglomerate ONA-SNI (now Al Mada), and PwC.</t>
  </si>
  <si>
    <t>286340-59P</t>
  </si>
  <si>
    <t>Valerie Perlowitz</t>
  </si>
  <si>
    <t>International Holding Company Virginia</t>
  </si>
  <si>
    <t>Perlowitz</t>
  </si>
  <si>
    <t>Valerie</t>
  </si>
  <si>
    <t>www.ihc.us.com</t>
  </si>
  <si>
    <t>Founding Partner</t>
  </si>
  <si>
    <t>+1 (703) 591-6817</t>
  </si>
  <si>
    <t>Fairfax, VA</t>
  </si>
  <si>
    <t>12210 Fairfax Towne Center</t>
  </si>
  <si>
    <t>Suite 918</t>
  </si>
  <si>
    <t>Fairfax</t>
  </si>
  <si>
    <t>22033-2877</t>
  </si>
  <si>
    <t>Ms. Valerie Perlowitz served as Partner, Chief Strategy, and Business Development Officer at Cyber Capital Partners. She brings more than thirty years of expertise in the oversight, development, and management of public and private companies including start-ups, turn-arounds, growth, maturity, and exiting. She brings both technical and management experiences to bear with degrees in Electrical, Computer, and Cybersecurity, and an MBA from Harvard University. She has been the CEO/Founding Partner of International Holding Company, a management consulting firm, Senior Vice President and Director, ATS Corporation, an Information technology company, Chairman, CEO, and President of Reliable Integration Services, a cybersecurity and information technology company. Prior experience was as a technologist for various companies including AT&amp;T, IBM, Sikorsky Aircraft, and the MITRE Corporation. She holds her M.S. in Engineering, Cybersecurity, Policy and Compliance from George Washington University, B.S. in Electrical and Computer Engineering from Northeastern University where she is a member of the Corporation and is an alumnus of the Harvard Business School (EMBA/OPM).</t>
  </si>
  <si>
    <t>445958-83P</t>
  </si>
  <si>
    <t>Andrew Sullivan</t>
  </si>
  <si>
    <t>Royal Group Funds</t>
  </si>
  <si>
    <t>Money Management Firm</t>
  </si>
  <si>
    <t>Sullivan</t>
  </si>
  <si>
    <t>royalgroupfunds.com.kh</t>
  </si>
  <si>
    <t>andrew.sullivan@royalgroupfunds.com.kh</t>
  </si>
  <si>
    <t>Kingdom of Cambodia, Cambodia</t>
  </si>
  <si>
    <t>Kingdom of Cambodia</t>
  </si>
  <si>
    <t>Mr. Andrew Sullivan serves as Executive at Royal Group Funds.</t>
  </si>
  <si>
    <t>138531-52P</t>
  </si>
  <si>
    <t>Christoph Bachmann</t>
  </si>
  <si>
    <t>Schroders Capital</t>
  </si>
  <si>
    <t>Bachmann</t>
  </si>
  <si>
    <t>Christoph</t>
  </si>
  <si>
    <t>www.schroderscapital.com</t>
  </si>
  <si>
    <t>Client Director, Private Equity</t>
  </si>
  <si>
    <t>+41 (0)58 445 5558</t>
  </si>
  <si>
    <t>christoph.bachmann@schroderadveq.com</t>
  </si>
  <si>
    <t>Affolternstrasse 56</t>
  </si>
  <si>
    <t>8050</t>
  </si>
  <si>
    <t>Mr. Christoph Bachmann serves as Client Director, Private Equity at Schroders Capital. Before joining Adveq in early 2012, he worked as an advisor for Key Client Solutions and as a relationship manager at Clariden Leu. From 2007 to 2010, he was a relationship manager at LGT Bank, responsible mainly for Swiss private banking clients. Before that, he worked in the Strategic Business Development department at SIX Swiss Exchange. He holds an Executive MBA from the University of St. Gallen (HSG), Switzerland.</t>
  </si>
  <si>
    <t>89972-38P</t>
  </si>
  <si>
    <t>Hamad Al Humaidi</t>
  </si>
  <si>
    <t>National Investments Company</t>
  </si>
  <si>
    <t>Al Humaidi</t>
  </si>
  <si>
    <t>Hamad</t>
  </si>
  <si>
    <t>www.nic.com.kw</t>
  </si>
  <si>
    <t>Chief Executive Officer Consultant, Investments</t>
  </si>
  <si>
    <t>+965 2226 6666</t>
  </si>
  <si>
    <t>hamadh@nic.com.kw</t>
  </si>
  <si>
    <t>Al Khaleejia Complex</t>
  </si>
  <si>
    <t>13117 Jaber Al Mubarak Street Sharq</t>
  </si>
  <si>
    <t>13117</t>
  </si>
  <si>
    <t>Mr. Hamad Al Humaidi serves as the Chief Executive Officer Consultant, Investments at National Investments Company. He graduated in 1999 with a BBA in Finance from Seattle University, Washington, USA. He has started his career as a Financial Analyst in the Research Department at NIC. On the other hand, he has served in several key positions and has been involved in many key decision-making activities. He has played a leading role in developing many of NIC's investment products, including Investment portfolios, establishing &amp; managing investment funds, which are Al Wataniya, Al Safwa, Al Darij, Zajil, Mawarid, and Al Mada fund. Previously, he was a board member of First Education Company (2009-2012) and Boubyan International Holding Company (2004-2016), Gulf Investment House (2011-2014), and First Investment Company (2014-2018)</t>
  </si>
  <si>
    <t>228980-17P</t>
  </si>
  <si>
    <t>Jill May</t>
  </si>
  <si>
    <t>Ruffer Investment Company (Former)</t>
  </si>
  <si>
    <t>May</t>
  </si>
  <si>
    <t>Jill</t>
  </si>
  <si>
    <t>ruffer.co.uk</t>
  </si>
  <si>
    <t>Ms. Jill May serves as Non-executive Director at JPMorgan Claverhouse Investment Trust. She is a Council Member atthe Duchy of Lancaster. She also served as a Board Member at Alpha FMC and Ruffer. She has had 24 years of experience in investment banking, 13 years in mergers and acquisitions with SG Warburg, and 11 years as a Managing Director at UBS, where Ms. May was responsible for Cross Business Strategy. She is a Panel Member of the Competition and Markets Authority and a non-executive Director of the Institute of Chartered Accountants (ICAEW).</t>
  </si>
  <si>
    <t>88887-16P</t>
  </si>
  <si>
    <t>Dave Worthington</t>
  </si>
  <si>
    <t>Verco Advisory Services</t>
  </si>
  <si>
    <t>Other Consultant Type</t>
  </si>
  <si>
    <t>Worthington</t>
  </si>
  <si>
    <t>Dave</t>
  </si>
  <si>
    <t>www.vercoglobal.com</t>
  </si>
  <si>
    <t>Managing Director &amp; Board Member</t>
  </si>
  <si>
    <t>+44 (0)20 3598 9770</t>
  </si>
  <si>
    <t>dave.worthington@vercoglobal.com</t>
  </si>
  <si>
    <t>Metal Box Factory (U327)</t>
  </si>
  <si>
    <t>30 Great Guildford Street</t>
  </si>
  <si>
    <t>SE1 0HS</t>
  </si>
  <si>
    <t>Mr. Dave Worthington serves as Managing Director &amp; Board Member at Verco Advisory Services. Dave is a leading advisor on organisational carbon management, building integrated renewables, energy services and sustainable building design providing input to low carbon building policy development via work for DECC and the Zero Carbon Hub. He is also involved in the manufacturing and industrial sectors advising multi-national clients on energy services and FM procurement as well as supply chain carbon reduction. Dave is on the Institute of Mechanical Engineers' Renewable Power Committee, the UK-GBC's Policy Committee, the Zero Carbon Hub's Energy Working Group, and is a regular speaker on the CRC, zero carbon buildings, and energy efficiency in non-domestic buildings. Recent projects include; working with British Land since early 2009 on the management of their CRC liabilities as well as a district energy study for Broadgate Estates; the provision of strategy advice on energy and climate change to Crest Nicholson and the Duchy of Cornwall; the assessment of low carbon potential in the public sector in England for DECC, the development of a Low Carbon Workplace standard for the Carbon Trust; and technical and financial businesses planning for various renewable energy projects. He has also worked on a number of projects for clients in China and South East Asia including the Jinshan One Planet Community, a zero carbon 5,000+ mixed-use project near Guangzhou in southern China.</t>
  </si>
  <si>
    <t>40413-70P</t>
  </si>
  <si>
    <t>Eric Keen</t>
  </si>
  <si>
    <t>HDR</t>
  </si>
  <si>
    <t>Keen</t>
  </si>
  <si>
    <t>www.hdrinc.com</t>
  </si>
  <si>
    <t>+1 (402) 399-1000</t>
  </si>
  <si>
    <t>Omaha, NE</t>
  </si>
  <si>
    <t>1917 South 67th Street</t>
  </si>
  <si>
    <t>Omaha</t>
  </si>
  <si>
    <t>Nebraska</t>
  </si>
  <si>
    <t>68106-2973</t>
  </si>
  <si>
    <t>Mr. Eric Keen serves as Chairman at HDR. Mr. Eric became CEO in 2017 after previously serving as president and chief operating officer and engineering company president. As CEO, he led the company through eight acquisitions and oversaw continuous revenue growth and the addition of more than 2,600 employees. A civil engineer by training, Eric has spent his career helping develop and deliver some of the United States' most notable transportation infrastructure projects, including the Whittier Access project in Prince William Sound, Alaska; the Legacy Parkway project in Salt Lake City, Utah; the Arthur Ravenel Jr. Bridge in Charleston, South Carolina; and the world-renowned Hoover Dam Bypass. Eric joined us in 1993 in our Alaska office, where he became involved with major public-private and design-build projects and developed a passion for the use of alternative contracting methods. He was instrumental in establishing the firm's transportation alternative delivery practice, which has since been involved in many high-profile projects such as the Oregon Bridge Delivery Program and the I-69 P3 Project in Indiana. In 2004, Eric was named the transportation business group director. Under his leadership, the transportation practice grew its planning, program management, design-build and management consulting services to complement an already strong design practice. A graduate of the University of Iowa, Eric is active in many professional and civic groups. In 2012, he led the creation of the HDR Foundation, an employee-funded and administered charitable giving organization that benefits the communities where the firm's employees live and work by supporting activities that align with the company's values and areas of expertise.</t>
  </si>
  <si>
    <t>29080-36P</t>
  </si>
  <si>
    <t>Thomas Hugger</t>
  </si>
  <si>
    <t>Asia Frontier Capital</t>
  </si>
  <si>
    <t>Other Private Equity</t>
  </si>
  <si>
    <t>Hugger</t>
  </si>
  <si>
    <t>www.asiafrontiercapital.com</t>
  </si>
  <si>
    <t>Founder, Director, Fund Manager, Chief Executive Officer</t>
  </si>
  <si>
    <t>+852 3904 1015</t>
  </si>
  <si>
    <t>th@asiafrontiercapital.com</t>
  </si>
  <si>
    <t>1805, 18/F, Hing Yip Commercial Centre</t>
  </si>
  <si>
    <t>272-284 Des Voeux Road Central</t>
  </si>
  <si>
    <t>999077</t>
  </si>
  <si>
    <t>+852 3904 1017</t>
  </si>
  <si>
    <t>Mr. Thomas Hugger is the Founder &amp; serves as Director, Fund Manager, Chief Executive Officer at Asia Frontier Capital. Mr. Hugger has spent 27 years in private banking where he specialized in managing portfolios of listed and unlisted equities. He has been investing in Asian and African Frontier Markets since 1993. He is the former Managing Partner, CFO &amp; COO of Leopard Capital; and was previously a Managing Director and Head of Portfolio Management at LGT Bank in Hong Kong. He also held senior investment positions at Bank Julius Baer in Zurich and Hong Kong. Mr. Hugger was the founding shareholder of one of the largest brokerage companies in Bangladesh. He is also a Certified Financial Investment Analyst (CFIA) and Investment Adviser (Switzerland) and a Certified European Federation of Financial Analysts Societies (EFFAS) Financial Analyst.</t>
  </si>
  <si>
    <t>399094-48P</t>
  </si>
  <si>
    <t>Abdulmajeed Alhaqbani</t>
  </si>
  <si>
    <t>Kingdom Holding Company</t>
  </si>
  <si>
    <t>PE/Buyout</t>
  </si>
  <si>
    <t>Alhaqbani</t>
  </si>
  <si>
    <t>Abdulmajeed</t>
  </si>
  <si>
    <t>kingdom.com.sa</t>
  </si>
  <si>
    <t>+966 (0)11 211 1111</t>
  </si>
  <si>
    <t>Riyadh, Saudi Arabia</t>
  </si>
  <si>
    <t>Riyadh</t>
  </si>
  <si>
    <t>11321</t>
  </si>
  <si>
    <t>Saudi Arabia</t>
  </si>
  <si>
    <t>+966 (0)11 211 1112</t>
  </si>
  <si>
    <t>Mr. Abdulmajeed Alhaqbani serves as a Board Member at Kingdom Holding Company. He graduated from King Fahd University of Petroleum and Minerals with Bachelor degree in Finance in 2004, in addition to several specialized courses in accounting, credit and financial analysis, risk analysis and asset management. During his career he managed the Assets in the local investment port- folio for the Public Investment Fund in 2018, as well as numerous leading positions in banks, private sector of local and international origins, including Vice Chairman of Qassim Cement Co. between 2019 and 2020. He held several positions at HSBC Saudi Arabia, including: General Manager for Asset Management Dept. between 2016 and 2018, and Head of Investment at the Asset Dept. between 2016 and 2017, Head of the Procurement Research between 2014 and 2016, Senior Research Analyst between 2012 and 2014, and Director of Equity Research between 2008 and 2012. He also worked as a Senior Credit Analyst at the Saudi Industrial Development Fund between 2005 and 2008.</t>
  </si>
  <si>
    <t>71373-25P</t>
  </si>
  <si>
    <t>Adel Al Sayed</t>
  </si>
  <si>
    <t>Kingdom Holding Company (Former)</t>
  </si>
  <si>
    <t>Al Sayed</t>
  </si>
  <si>
    <t>Adel</t>
  </si>
  <si>
    <t>Executive Director, International and Private Equity</t>
  </si>
  <si>
    <t>Dr. Adel Al Sayed served as Executive Director, International and Private Equity at Kingdom Holding Company. He has more than 25 years of experience in financial advisory, asset management and private equity investments. His last position was the CEO of United Gulf Investment Corporation (UGIC) a Bahrain-listed Company focused on promoting and investing in industrial projects in the Gulf region. He previously worked for Kuwait-based Gulf Investment Corporation (GIC), which is one of the largest and oldest private equity players in the region owned by the GCC countries, where he was responsible for all business development activities in the six GCC countries, and he played a key role in managing and exiting all of GIC's direct investments in Saudi Arabia.</t>
  </si>
  <si>
    <t>351885-61P</t>
  </si>
  <si>
    <t>Adel Alabdulsalam</t>
  </si>
  <si>
    <t>Alabdulsalam</t>
  </si>
  <si>
    <t>Executive Director, Finance and Administration &amp; Board Member</t>
  </si>
  <si>
    <t>adel@kingdom.com.sa</t>
  </si>
  <si>
    <t>Mr. Adel Alabdulsalam serves as Executive Director, Finance and Administration &amp; Board Member at Kingdom Holding Company. He is a multidiscipline professional with vast experience in Finance, corporate governance, information systems, strategy, and business development, and has a track record of accomplishments over his 20 years of working experience in local and international conglomerates. He holds a bachelor's degree in accounting and a Master's in Business Administration with honors.</t>
  </si>
  <si>
    <t>243412-84P</t>
  </si>
  <si>
    <t>Ahmed Al Dehaim</t>
  </si>
  <si>
    <t>Chimera Capital (Former)</t>
  </si>
  <si>
    <t>Al Dehaim</t>
  </si>
  <si>
    <t>www.chimerainvestment.com</t>
  </si>
  <si>
    <t>Mr. Ahmed Al Dehaim served as Director at Chimera Investments. Mr. Al Dehaim has a wealth of experience working in the public and private sectors, having previously worked in portfolios including private equity and real estate investments. His professional career is composed of working in the Crown Prince's Court and at Royal Group. Mr. Al Dehaim is also currently a Board Member in Nshama. He holds an MSc in Economics and Public Policy from University College London and an MSc in Economics and International Relations from SOAS University of London.</t>
  </si>
  <si>
    <t>341216-38P</t>
  </si>
  <si>
    <t>Ahmed Halawany</t>
  </si>
  <si>
    <t>SIGMA Capital Holding</t>
  </si>
  <si>
    <t>Halawany</t>
  </si>
  <si>
    <t>sigma-cap.com</t>
  </si>
  <si>
    <t>+20 (0)23 3355 353</t>
  </si>
  <si>
    <t>Giza, Egypt</t>
  </si>
  <si>
    <t>37 Gameat El Dowal El Arabeya Street</t>
  </si>
  <si>
    <t>Mohandessin</t>
  </si>
  <si>
    <t>Giza</t>
  </si>
  <si>
    <t>12411</t>
  </si>
  <si>
    <t>Egypt</t>
  </si>
  <si>
    <t>+20 (0)23 3352 727</t>
  </si>
  <si>
    <t>Mr. Ahmed Halawany serves as Board Member at SIGMA Capital Holding. Mr. Halawany is the Executive Director for Private Equity at Kingdom Holding, one of the largest private investment companies in the world. Prior to his current position, he has served as Executive Director for Al-Azizia Commercial Investments, one of Kingdom Holdings' companies. His previous work experiences include the World Bank as well as Procter and Gamble. Halawany is an alumnus of the McDonough School of Business at Georgetown University.</t>
  </si>
  <si>
    <t>109323-91P</t>
  </si>
  <si>
    <t>Al Waheed</t>
  </si>
  <si>
    <t>Waheed</t>
  </si>
  <si>
    <t>Mr. Al Waheed serves as the Chief Executive Officer at Kingdom Holding Company.</t>
  </si>
  <si>
    <t>52188-94P</t>
  </si>
  <si>
    <t>Bridgepoint Group (UK) (Former)</t>
  </si>
  <si>
    <t>www.bridgepointgroup.com</t>
  </si>
  <si>
    <t>Chairman, Advisory Board</t>
  </si>
  <si>
    <t>+44 (0)20 7034 3500</t>
  </si>
  <si>
    <t>Mr. Alan Milburn served as Chairman of the Advisory Board Member at Bridgepoint Advisers. He was a member of the UK Parliament for the Labour Party from 1992 to 2010. He served for five years in the Cabinet, firstly as Chief Secretary to the Treasury from 1998 to 1999 and subsequently as Secretary of State for Health from 1999 to 2003. He was also Chancellor of the Duchy of Lancaster from 2004 to 2005. He is the Chair of the UK Government's Social Mobility and Child Poverty Commission. He serves as a Board advisor to Mars Incorporated and chairs PwC's UK Health Industries Oversight board. He is Chancellor of Lancaster University. He sits on the board of Bridgepoint portfolio company Diaverum AB and is a Board member of Apos Therapy.</t>
  </si>
  <si>
    <t>127626-58P</t>
  </si>
  <si>
    <t>Alexander Kempe Cañal de Orozco</t>
  </si>
  <si>
    <t>37celsius Capital Partners</t>
  </si>
  <si>
    <t>Kempe Cañal de Orozco</t>
  </si>
  <si>
    <t>www.37celsiuscapital.com</t>
  </si>
  <si>
    <t>Founder &amp; President</t>
  </si>
  <si>
    <t>+1 (262) 424-5192</t>
  </si>
  <si>
    <t>alexander@37celsiuscapital.com</t>
  </si>
  <si>
    <t>Milwaukee, WI</t>
  </si>
  <si>
    <t>309 North Water Street</t>
  </si>
  <si>
    <t>Milwaukee</t>
  </si>
  <si>
    <t>Wisconsin</t>
  </si>
  <si>
    <t>53202</t>
  </si>
  <si>
    <t>+1 (414) 755-7798</t>
  </si>
  <si>
    <t>Mr. Alexander Kempe is the Founder and serves as a President at 37celsius Capital Partners. He is the Founder and serves as Chief Executive Officer, President &amp; Manager at Novir. He also served as Advisory Board Member at VasoGnosis. He spent eighteen years working for GE, the last fourteen years of which were with GE Healthcare (GEHC) in a number of Strategic, Operational, and Financial leadership positions in the U.S. and Europe. He is the former Director of Strategic Alliances &amp; VP of Home Health at GEHC and, during 2010-2014, drove the development of a new segment (Home Health) through the creation of a Joint Venture between GEHC and Intel Health (Care Innovations $250 million). Additionally, he managed GEHC's investment portfolio (20 companies / $500 million) and created the office of External Funding, securing a contract with Qatar Foundation in 2013. Based on his extensive industry relationships and strong strategic and operational expertise, Mr. Kempe will focus on deal sourcing for 37celsius and business expansion and integration of its portfolio companies. He served as Board Member and Member Advisory Board at Genia.</t>
  </si>
  <si>
    <t>53449-84P</t>
  </si>
  <si>
    <t>Alwaleed al Saud</t>
  </si>
  <si>
    <t>al Saud</t>
  </si>
  <si>
    <t>Alwaleed</t>
  </si>
  <si>
    <t>Founder &amp; Chairman of the Board of Directors</t>
  </si>
  <si>
    <t>alwaleed@kingdom.com.sa</t>
  </si>
  <si>
    <t>Mr. Alwaleed al Saud is the Founder and serves as Chairman of the Board of Directors at Kingdom Holding Company. He serves as Chairman at Rotana Holding. He earned BS degree in Business Administration from Menlo College in 1979 and Master's in Social Sciences from Syracuse University in 1985.</t>
  </si>
  <si>
    <t>55925-56P</t>
  </si>
  <si>
    <t>Bassim Hokimi</t>
  </si>
  <si>
    <t>Atlamed</t>
  </si>
  <si>
    <t>Hokimi</t>
  </si>
  <si>
    <t>Bassim</t>
  </si>
  <si>
    <t>www.atlamed.ma</t>
  </si>
  <si>
    <t>Co-Founder, Chief Executive Officer, President and Shareholder</t>
  </si>
  <si>
    <t>+212 (0)522234453</t>
  </si>
  <si>
    <t>17, Rue Saria Ibnou Zounaim</t>
  </si>
  <si>
    <t>Quartier Palmier</t>
  </si>
  <si>
    <t>20100</t>
  </si>
  <si>
    <t>+212 (0)522234462</t>
  </si>
  <si>
    <t>Mr. Bassim Hokimi is a Co-Founder &amp; Shareholder and serves as Chief Executive Officer and President at Atlamed. He also serves as Board Member at Sofrenor. He is a graduate of Ecole Polytechnique Paris, Telecom Paris and Stanford University. A graduate of École Polytechnique Paris, Télécom Paris and Stanford University, he has more than 35 years of experience in operations, consulting and finance. Bassim Jaï Hokimi is a director of various large companies (AL MADA, MANAGEM, SMI, WANA CORP-INWI), former director of Bank-Al-Maghrib and former Chairman of the SNI/ONA group (AL MADA).</t>
  </si>
  <si>
    <t>33720-67P</t>
  </si>
  <si>
    <t>Cees J. de Bruin</t>
  </si>
  <si>
    <t>Charterhouse Equity Partners (Former)</t>
  </si>
  <si>
    <t>J. de Bruin</t>
  </si>
  <si>
    <t>Cees</t>
  </si>
  <si>
    <t>www.charterhouseequity.com</t>
  </si>
  <si>
    <t>Operating Partner</t>
  </si>
  <si>
    <t>Mr. Cees J. de Bruin served as Operating Partner at Charterhouse Equity Partners. Mr. Cees de Bruin is the Founder of Indofin Group. He is a graduate from the Erasmus University of Rotterdam, as well as a chartered accountant. He started his career at IHC Holland, an engineering and construction company for the dredging and offshore industry. Subsequently he joined Heerema, an offshore construction company.</t>
  </si>
  <si>
    <t>48745-81P</t>
  </si>
  <si>
    <t>Christopher Howes</t>
  </si>
  <si>
    <t>Marcol Group (Former)</t>
  </si>
  <si>
    <t>Howes</t>
  </si>
  <si>
    <t>Christopher</t>
  </si>
  <si>
    <t>www.marcol.com</t>
  </si>
  <si>
    <t>Mr. Christopher Howes served as Board Member at Marcol Group. Mr. Howes previously served as an advisor to Three Delta. He was formerly Chief Executive of the Crown Estate for the UK, an appointment made by the Queen. He is currently an advisor to Barclays Capital, a member of the Advisory Board of Barclays Private Bank, Director of the Howard de Walden Estate and a member of HRH The Prince of Wales Council. A fellow of the Royal Institution of Chartered Surveyors and an honorary fellow of the Royal Institute of British Architects, Sir Christopher has many other business, academic and charitable interests. He remained Non-Executive Director of Compco when it was de-listed by Marcol in 2003.</t>
  </si>
  <si>
    <t>72636-22P</t>
  </si>
  <si>
    <t>Deanna Zhang</t>
  </si>
  <si>
    <t>Circularity Capital</t>
  </si>
  <si>
    <t>Zhang</t>
  </si>
  <si>
    <t>Deanna</t>
  </si>
  <si>
    <t>www.circularitycapital.com</t>
  </si>
  <si>
    <t>Investment Director</t>
  </si>
  <si>
    <t>+44 (0)13 1564 0370</t>
  </si>
  <si>
    <t>deanna.zhang@circularitycapital.com</t>
  </si>
  <si>
    <t>Edinburgh, United Kingdom</t>
  </si>
  <si>
    <t>Randolph House</t>
  </si>
  <si>
    <t>4 Charlotte Lane</t>
  </si>
  <si>
    <t>Edinburgh</t>
  </si>
  <si>
    <t>Scotland</t>
  </si>
  <si>
    <t>EH2 4QZ</t>
  </si>
  <si>
    <t>Ms. Deanna Zhang serves as Investment Director at Circularity Capital. She served as Vice President at L-GAM Advisers. Prior to joining L-GAM, she was an Investment Manager with LGT Impact Ventures, the growth capital and social finance arm of LGT Group, where she managed and executed investments in Latin America. Before that, she was a management consultant at the Boston Consulting Group, working across the firm's Southeast Asia, Munich, and Dubai offices in the automotive, consumer, telecommunications, energy, healthcare, and public sectors. She holds an MBA from the Wharton School of Business, an MPA/ID from Harvard University, and a dual BA degree in Human Biology and International Relations from Stanford University in the United States.</t>
  </si>
  <si>
    <t>92993-95P</t>
  </si>
  <si>
    <t>Dominic Picone</t>
  </si>
  <si>
    <t>TPG</t>
  </si>
  <si>
    <t>Picone</t>
  </si>
  <si>
    <t>Dominic</t>
  </si>
  <si>
    <t>www.tpg.com</t>
  </si>
  <si>
    <t>Partner, Managing Director &amp; Co-Head of Southeast Asia</t>
  </si>
  <si>
    <t>+65 6390 5000</t>
  </si>
  <si>
    <t>djpicone@tpg.com</t>
  </si>
  <si>
    <t>83 Clemenceau Avenue</t>
  </si>
  <si>
    <t>Number 11-01 UE Square</t>
  </si>
  <si>
    <t>239920</t>
  </si>
  <si>
    <t>+65 6390 5001</t>
  </si>
  <si>
    <t>Mr. Dominic Picone serves as Partner &amp; Co-Head of Southeast Asia at TPG Capital. Mr. Picone serves as a Board Member &amp; Member of the Risk Committee, the Nominating Committee, and the Remuneration Committee at Singapore Life. Mr. Picone served as Board Member at PropertyGuru. Mr. Picone serves a Commissioner at PT BFI Finance Indonesia. He serves as a Partner, Managing Director &amp; Co-Head of Southeast Asia at TPG, based in Singapore. Dominic has lived and worked in Asia since joining the firm in 2005 and his involvement with current and past TPG portfolio companies includes XCL Education, Apollo Towers, Grand Royal Group, 8990 (Deca Homes), BFI Finance, and Bank BTPN. n in Melbourne. He holds a Bachelor of Commerce (Honours) and a Bachelor of Laws from the University of Melbourne.</t>
  </si>
  <si>
    <t>382085-20P</t>
  </si>
  <si>
    <t>Driss Bennani</t>
  </si>
  <si>
    <t>Fipar Holding</t>
  </si>
  <si>
    <t>Bennani</t>
  </si>
  <si>
    <t>Driss</t>
  </si>
  <si>
    <t>www.fipar.ma</t>
  </si>
  <si>
    <t>Deputy Director</t>
  </si>
  <si>
    <t>+212 (0)530693010</t>
  </si>
  <si>
    <t>Rabat, Morocco</t>
  </si>
  <si>
    <t>Mahaj Ryad Center, Business 7Building</t>
  </si>
  <si>
    <t>3rd floor, Hay Riad</t>
  </si>
  <si>
    <t>Rabat</t>
  </si>
  <si>
    <t>10100</t>
  </si>
  <si>
    <t>+212 (0)530693030</t>
  </si>
  <si>
    <t>Mr. Driss Bennani serves as Deputy Director at Fipar Holding. Since March 2020, he has been Senior Investment Director at CDG Invest in charge of the Fipar-Holding fund. In this capacity, he holds director positions and is a member of strategic and audit committees in several portfolio companies. He has nearly 25 years of professional experience in finance, investment and development. After a 6-year career in audit and corporate finance at PWC and 2 years in Private Equity at the Attijariwafa Bank Group, he held financial and development management positions in multi-business group holding companies (Somed and Al Mada) from 2006 to 2011. He then joined a private Moroccan group operating in the microfinance and financial services sectors, where he held various general management positions and governance bodies for 8 years. He is a graduate of Paris Dauphine University and holds the French chartered accountant diploma.</t>
  </si>
  <si>
    <t>369153-55P</t>
  </si>
  <si>
    <t>Egon Durban</t>
  </si>
  <si>
    <t>Silver Lake</t>
  </si>
  <si>
    <t>Durban</t>
  </si>
  <si>
    <t>Egon</t>
  </si>
  <si>
    <t>www.silverlake.com</t>
  </si>
  <si>
    <t>Founding Principal, Co-Chief Executive Officer &amp; Managing Partner</t>
  </si>
  <si>
    <t>+1 (650) 233-8120</t>
  </si>
  <si>
    <t>egon.durban@silverlake.com</t>
  </si>
  <si>
    <t>Menlo Park, CA</t>
  </si>
  <si>
    <t>2775 Sand Hill Road</t>
  </si>
  <si>
    <t>Suite 100</t>
  </si>
  <si>
    <t>Menlo Park</t>
  </si>
  <si>
    <t>94025</t>
  </si>
  <si>
    <t>Mr. Egon Durban is a Founding Principal &amp; serves as Co-Chief Executive Officer &amp; Managing Partner at Silver Lake. Mr. Durban serves as Board Member at Verily Life Sciences and Dell Technologies. He serves as Board Member at Qualtrics. He joined Silver Lake in 1999 as a Founding Principal. He serves as Chairman of the Board of Directors of Endeavor Group Holdings. Mr. Durban served as Board Member at G42. He also served on the board of directors of City Football Group, Group 42, Motorola Solutions, Qualtrics, Unity Software, and Waymo. He currently serves on the Business Council and Business Roundtable. Before Silver Lake, he worked in Morgan Stanley's Investment Banking Division. Previously, he served on the board of MultiPlan, Pivotal Software, SecureWorks, Twitter, UFC, VMware, and Skype, where he was Chairman of the operating committee, and served on the supervisory board and operating committee of NXP. He graduated from Georgetown University with a B.S.B.A. in Finance.</t>
  </si>
  <si>
    <t>338198-05P</t>
  </si>
  <si>
    <t>Evangelos Papadopoulos</t>
  </si>
  <si>
    <t>Ominvest</t>
  </si>
  <si>
    <t>Papadopoulos</t>
  </si>
  <si>
    <t>Evangelos</t>
  </si>
  <si>
    <t>ominvest.com</t>
  </si>
  <si>
    <t>+968 24769500</t>
  </si>
  <si>
    <t>Muscat, Oman</t>
  </si>
  <si>
    <t>Ominvest Business Center, Madinat Al Erfaan, Muscat Hills, Block Number 9993</t>
  </si>
  <si>
    <t>Building Number 95, Seventh Floor</t>
  </si>
  <si>
    <t>Muscat</t>
  </si>
  <si>
    <t>Oman</t>
  </si>
  <si>
    <t>+968 24707519</t>
  </si>
  <si>
    <t>Mr. Evangelos Papadopoulos serves as a Board Member and Member of the Nomination, Remuneration, and Executive Committee at Oman International Development and Investment Company. Evangelos. He is currently the Head of Investments at AlManar Financial Investments SPC and has more than 10 years of experience in management consulting and finance. Since 2019, he has been working as an investment professional responsible for establishing, implementing, and managing investment strategies in line with investment committee visions regarding asset allocation, risk thresholds, and expected returns. Following his tenure at Royal Group LLC as an investment manager, he joined the Omani investment firm AlManar Financial Investments SPC as Head of Investments. In his current role, he is responsible for all investments that are a combination of traditional asset classes and alternatives. He holds a Bachelor's Degree in Economics and a Master's Degree in Finance from the Athens University of Economics and Business. He also holds a Master's Degree in Business Administration from Cornell University.</t>
  </si>
  <si>
    <t>264459-16P</t>
  </si>
  <si>
    <t>Franz Schall</t>
  </si>
  <si>
    <t>Liechtenstein Group</t>
  </si>
  <si>
    <t>Schall</t>
  </si>
  <si>
    <t>Franz</t>
  </si>
  <si>
    <t>www.lgroup.com</t>
  </si>
  <si>
    <t>+43 (0)6 604 0950 32</t>
  </si>
  <si>
    <t>f.schall@lgroup.com</t>
  </si>
  <si>
    <t>Bankgasse 9</t>
  </si>
  <si>
    <t>Mr. Franz Schall currently serves as Investment Manager at Liechtenstein Group. Mr.Schall is responsible for analyzing and evaluating new investments, conducting due diligence processes, and preparing and developing business plans for companies and investments of the Liechtenstein Group. Previously, he worked for the pan-European investment broker Kepler Cheuvreux, the private bank M.M. Warburg &amp; CO, as well as the consulting &amp; auditing firm Deloitte. He holds a Master in Management (MSc) from the Vienna University of Economics and Business Administration.</t>
  </si>
  <si>
    <t>51017-41P</t>
  </si>
  <si>
    <t>Hans Haumer Ph.D</t>
  </si>
  <si>
    <t>LPC Capital Partners (Former)</t>
  </si>
  <si>
    <t>Haumer</t>
  </si>
  <si>
    <t>www.lpc-capital.com</t>
  </si>
  <si>
    <t>Dr. Hans Haumer served as Senior Partner at LPC Capital Partners. He has years of experience in the financial sector and as CEO of three decades of financial institutions. Haumer Hans started his career at First Bank and as an economist at the IMF. From 1977 to 1989, he directed the first bank and then took over as CEO in the same position of the line Girozentrale to 1994. From 1980 to 1998, Dr. Haumer served as a director of LGT Bank in Liechtenstein, most recently as President. In 1997, he founded Capital Life, an innovative life insurance based in Liechtenstein, which he sold ten years later with success in Swiss Life. In 2006, he was a cornerstone investor in the first private equity fund of LPC, where he was a senior partner in 2009. Dr. Haumer has numerous Supervisory Board and member of the boards, including in the Financial Market Authority of Liechtenstein. He has published numerous articles and speeches and published five books on business, management and ethics. Hans Haumer studied in Vienna and Tübingen law, economics and social sciences.</t>
  </si>
  <si>
    <t>434344-96P</t>
  </si>
  <si>
    <t>Hassan Ouriagli</t>
  </si>
  <si>
    <t>Al Mada</t>
  </si>
  <si>
    <t>Ouriagli</t>
  </si>
  <si>
    <t>Hassan</t>
  </si>
  <si>
    <t>www.almada.ma</t>
  </si>
  <si>
    <t>+212 (0)529432100</t>
  </si>
  <si>
    <t>h.ouriagli@almada.ma</t>
  </si>
  <si>
    <t>60, rue d'Alger</t>
  </si>
  <si>
    <t>20070</t>
  </si>
  <si>
    <t>Mr. Hassan Ouriagli serves as Chief Executive Officer and Chairman at Al Mada. He serves as a Board Member at Optorg.</t>
  </si>
  <si>
    <t>349439-86P</t>
  </si>
  <si>
    <t>Hisham Al Habib</t>
  </si>
  <si>
    <t>Al Habib</t>
  </si>
  <si>
    <t>Independent Board Member</t>
  </si>
  <si>
    <t>hsa@kingdom.com.sa</t>
  </si>
  <si>
    <t>Mr. Hisham Al Habib serves as Independent Board Member at Kingdom Holding Company. He is the Deputy Chairman of Business Development and Executive Board Member of Dr. Suleiman Al Habib Medical Group. He was the Director of Business Development at Dr. Sulaiman Al Habib Medical Group, a board member of Asala Holding Company, a member of the Health Committee, Riyadh Chamber of Commerce, a member of the National Committee of Hospitals, and a member of Tharwat Foundation as family businesses since 2009. He holds a bachelor's degree in finance in Business Administration, from the American University of Sharjah.</t>
  </si>
  <si>
    <t>232531-48P</t>
  </si>
  <si>
    <t>Injaz Al-Maghrib</t>
  </si>
  <si>
    <t>Al Mada (Former)</t>
  </si>
  <si>
    <t>Al-Maghrib</t>
  </si>
  <si>
    <t>Injaz</t>
  </si>
  <si>
    <t>Mr. Injaz Al-Maghrib served as Executive at Al Mada. Al Mada is the strategic reference partner and founding member of the association Injaz Al-Maghrib. Founded in 2007, Injaz Al-Maghrib, a recognized public utility association, has set itself the mission of contributing to the emergence of a new generation of entrepreneurs. To this end, it involves voluntary corporate executives in public educational establishments, from college to university, to run training programs in entrepreneurship.</t>
  </si>
  <si>
    <t>324914-41P</t>
  </si>
  <si>
    <t>Jacobo Blanquer</t>
  </si>
  <si>
    <t>Arada Capital Partners</t>
  </si>
  <si>
    <t>Blanquer</t>
  </si>
  <si>
    <t>Jacobo</t>
  </si>
  <si>
    <t>www.aradacp.com</t>
  </si>
  <si>
    <t>jblanquer@aradacp.com</t>
  </si>
  <si>
    <t>Calle de Núñez de Balboa, 120</t>
  </si>
  <si>
    <t>Mr. Jacobo Blanquer serves as an Executive at Arada Capital Partners. He serves as CEO at Tressis Gestion SGIIC.</t>
  </si>
  <si>
    <t>14099-05P</t>
  </si>
  <si>
    <t>James Holland Jr.</t>
  </si>
  <si>
    <t>Trinity Hunt Partners (Former)</t>
  </si>
  <si>
    <t>www.trinityhunt.com</t>
  </si>
  <si>
    <t>+1 (214) 720-1600</t>
  </si>
  <si>
    <t>Mr. James Holland formerly served as Partner at Trinity Hunt Partners. He has served as President and CEO of Unity Hunt and Hunt Capital Group since 1991 and is a Principal at Easton Hunt Capital Partners. Mr. Holland is currently a Director of two public companies as well as several private companies. Mr. Holland has served on over 80 Board of Directors during his career. Previously, Mr. Holland was chairman and CEO of Nedinco, a large diversified, international holding company involved in investments, computer software, technical consulting, retail and real estate management services. Prior to joining Nedinco, he was President and Director of KSA Industries, a private, diversified company involved in entertainment, health care, retail, energy and investment businesses. Mr. Holland began his career with Booz-Allen &amp; Hamilton, Inc., a major management consulting firm, where he was a principal in the mergers and acquisitions practice. He received a B.S. in Chemical Engineering from Oklahoma State University with honors and an M.B.A from the Graduate School of Industrial Administration of Carnegie Mellon University with honors.</t>
  </si>
  <si>
    <t>16930-18P</t>
  </si>
  <si>
    <t>James Leigh-Pemberton</t>
  </si>
  <si>
    <t>RIT Capital Partners (Former)</t>
  </si>
  <si>
    <t>Leigh-Pemberton</t>
  </si>
  <si>
    <t>www.ritcap.com</t>
  </si>
  <si>
    <t>Chairman of the Nominations Committee &amp; Member of the Conflicts Committee, of the Remuneration Committee and of the Valuation Committee</t>
  </si>
  <si>
    <t>Mr. James Leigh-Pemberton serves as Chairman of the Nominations Committee &amp; Member of the Conflicts Committee, of the Remuneration Committee, and of the Valuation Committee at RIT Capital Partners. He also serves as a Board Member at CAF Nominees. He also serves as Chairman of the Council at the Duchy of Lancaster. He joined UK Financial Investments (UKFI) in October 2013 as Chief Executive, and in January 201,4 he was appointed Executive Chairman. On 1 April 2016, he became the Non-Executive Chairman of UKFI. Following the merger of UKFI and UK Government Investments (UKGI), he became Deputy Chairman of UKGI. Before joining UKFI, he was Managing Director and Chief Executive Officer of Credit Suisse in the UK, based in London. In this role, he was responsible for developing the Bank's client relationships in Private Banking, Investment Banking, and Asset Management in the UK. He was also a member of the Credit Suisse Europe, Middle East &amp; Africa (EMEA) Operating Committee. He joined Credit Suisse First Boston (CSFB) in 1994. Prior to joining CSFB, he was a Director of S.G. Warburg Securities, where he worked for 15 years. In the 2019 New Year Honours List, he received a knighthood for services to financial services, British industry, and government. He previously served as an independent non-executive Director of RIT from 2004 to 2013. He served as the Director of Shepherd Neame Limited until September 2016.</t>
  </si>
  <si>
    <t>448379-20P</t>
  </si>
  <si>
    <t>Jason Barnes</t>
  </si>
  <si>
    <t>Chugach Alaska Corporation</t>
  </si>
  <si>
    <t>www.chugach.com</t>
  </si>
  <si>
    <t>Board of Director</t>
  </si>
  <si>
    <t>+1 (907) 563-8866</t>
  </si>
  <si>
    <t>Anchorage, AK</t>
  </si>
  <si>
    <t>3800 Centerpoint Drive</t>
  </si>
  <si>
    <t>Suite 1200</t>
  </si>
  <si>
    <t>Anchorage</t>
  </si>
  <si>
    <t>Alaska</t>
  </si>
  <si>
    <t>99503</t>
  </si>
  <si>
    <t>+1 (907) 563-8402</t>
  </si>
  <si>
    <t>Mr. Jason Barnes serves as Board of Director at Chugach Alaska Corporation. He has served on the Chugach Board of Directors since 2024. He resides in Cordova and works for the Native Village of Eyak as a Non-Clinical Social Worker and serves as President/Director of Prince William Sound Living Inc.</t>
  </si>
  <si>
    <t>324912-70P</t>
  </si>
  <si>
    <t>Javier Puig</t>
  </si>
  <si>
    <t>Puig</t>
  </si>
  <si>
    <t>Javier</t>
  </si>
  <si>
    <t>Investor &amp; Advisory Partner</t>
  </si>
  <si>
    <t>Mr. Javier Puig serves as an Investor &amp; Advisory Partner at Arada Capital Partners. He has 12 years experience in the generation and coordination of M&amp;A transactions and in the technical analysis thereof; and in strategic consultancy. He holds an MBA from IESE.</t>
  </si>
  <si>
    <t>13166-38P</t>
  </si>
  <si>
    <t>Johannes Meran</t>
  </si>
  <si>
    <t>Motion Equity Partners (Former)</t>
  </si>
  <si>
    <t>Meran</t>
  </si>
  <si>
    <t>Johannes</t>
  </si>
  <si>
    <t>www.motionequitypartners.com</t>
  </si>
  <si>
    <t>Mr. Johannes Meran served as Partner at Motion Equity Partners.</t>
  </si>
  <si>
    <t>55865-35P</t>
  </si>
  <si>
    <t>Jon Nieman</t>
  </si>
  <si>
    <t>NewSpace Capital</t>
  </si>
  <si>
    <t>Nieman</t>
  </si>
  <si>
    <t>Jon</t>
  </si>
  <si>
    <t>www.newspace.capital</t>
  </si>
  <si>
    <t>+352 00 35 22 84 88 54 5</t>
  </si>
  <si>
    <t>Luxembourg, Luxembourg</t>
  </si>
  <si>
    <t>412F route dEsch</t>
  </si>
  <si>
    <t>Luxembourg</t>
  </si>
  <si>
    <t>1471</t>
  </si>
  <si>
    <t>Mr. Jon Nieman serves as Board Member at NewSpace Capital. He served as Head of Private Equity of the Investment Management Division at Saudi Aramco. Previously, he served as a Managing Director at Redline Partners LLC. He serves as Senior Vice President and Head of Investments at G42, where he leads corporate investments, mergers and acquisitions, business development, and strategic partnerships. With over 30 years of experience in private market investments across a range of industries and asset classes, he has a long-standing track record of building and managing high-value portfolios. Before joining G42, he held senior roles at prominent institutions including the Abu Dhabi Investment Authority, Saudi Aramco, and State Street. Across these positions, he was instrumental in establishing new investment categories and managing multi-billion dollar portfolios. He began exploring AI-powered private market investing in 2014, positioning himself at the forefront of innovation in the field. In 2025, he joined the Board of NewSpace Capital Partners as a non-executive member. He holds an MBA from the University of North Carolina's Kenan-Flagler Business School and a BBA in Finance from Eastern Michigan University.</t>
  </si>
  <si>
    <t>266864-05P</t>
  </si>
  <si>
    <t>Jorge Fernandez Vidal Ph.D</t>
  </si>
  <si>
    <t>Fernandez Vidal</t>
  </si>
  <si>
    <t>Jorge</t>
  </si>
  <si>
    <t>Managing Director (Agriculture &amp; Food)</t>
  </si>
  <si>
    <t>+43 (0)1 997 1770 0</t>
  </si>
  <si>
    <t>j.fernandez.vidal@lgroup.com</t>
  </si>
  <si>
    <t>Dr. Jorge Fernandez Vidal serves as Managing Director at Liechtenstein Group. He serves as a Board Member at PowerPollen and Acclym. He joined the Liechtenstein Group in 2021 and is the Managing Director of the Agriculture &amp; Food portfolio. He is a member of the Boards of Directors of the portfolio companies Parelmo, Agritask, NTG/Green Universe Agriculture, N-Drip, PowerPollen, and Valle del Guadiana. He is also an Adjunct Professor of Strategy at IE Business School in Madrid. Prior to joining the Liechtenstein Group, he was Senior Vice President at McKinsey &amp; Co., led the business transformation efforts of two multinationals, and worked as an investment professional at the European Investment Bank and LeapFrog Investments. He holds a Bachelor of Commerce from the University College of Cork, a Bachelor of Science in Applied Accounting from Oxford Brookes University, a Master's degree in Strategic Studies from the University of Santiago de Compostela, an MBA from INSEAD, and a PhD in Business Economics of the University of Alicante.</t>
  </si>
  <si>
    <t>308427-49P</t>
  </si>
  <si>
    <t>Juan Hornedo</t>
  </si>
  <si>
    <t>Sherpa Capital (Madrid)</t>
  </si>
  <si>
    <t>Hornedo</t>
  </si>
  <si>
    <t>www.sherpacapital.es</t>
  </si>
  <si>
    <t>Director of Investments</t>
  </si>
  <si>
    <t>+34 90 270 2526</t>
  </si>
  <si>
    <t>jhornedo@sherpacapital.es</t>
  </si>
  <si>
    <t>C / Serrano 21</t>
  </si>
  <si>
    <t>55, 2</t>
  </si>
  <si>
    <t>Mr. Juan Hornedo serves as Director of Investments at Sherpa Capital. He also serves as an Advisory Team Member at Arada Capital Partners.</t>
  </si>
  <si>
    <t>79362-10P</t>
  </si>
  <si>
    <t>K. B. Chandrasekar</t>
  </si>
  <si>
    <t>Asiabridge Capital (Former)</t>
  </si>
  <si>
    <t>K. B.</t>
  </si>
  <si>
    <t>www.asiabridgecapital.com</t>
  </si>
  <si>
    <t>Mr. K. B. Chandrasekar founded and served as Chief Executive Officer at Asiabridge Capital. Mr. Chandrasekar founded the firm in 2007. Previously, he served as a Senior Adviser, Asia Pacific at McKinsey &amp; Company, Inc from 2006 to 2010. From 1999, he took over responsibility for Corporate Strategy and Development at HSBC Asia in which role he lead managed many acquisitions and strategic investments including China. In 1994, Mr. Chandrasekar was appointed Chief Operating Officer of Group Private Banking at HSBC's International Private Banking and Trust business and also served as Group Head of Asset and Liability Management covering over 70 countries. He joined HSBC Group in 1978, where he held many senior positions including Senior Manager Corporate Banking; Head of IT, India and Global Head of Asset and Liability Management based in Hong Kong and London. Prior to this, Mr. Chandrasekar served at Tata Group in India for a few years. He is a Member of the Board of Trustees of LGT Group. He is a Member of the Association of Corporate Treasurers, UK. Mr. Chandrasekar is a Member of the Asian Regional Advisory Board of Aviva plc. He is also a Member of the Association of Corporate Treasurers, United Kingdom. He received a Certificate in Managing Corporate Control and Planning from Harvard University. Mr. Chandrasekar received an M.B.A. from the University of Madras and B.Com. from Loyola College.</t>
  </si>
  <si>
    <t>166029-94P</t>
  </si>
  <si>
    <t>Khalid Abdullah Al-Souhem Ph.D</t>
  </si>
  <si>
    <t>Abdullah Al-Souhem</t>
  </si>
  <si>
    <t>Deputy Chairman &amp; Independent Board Member</t>
  </si>
  <si>
    <t>Dr. Khalid Abdullah Al-Souhem served as Deputy Chairman &amp; Independent Board Member at Kingdom Holding Company. Dr. Khaled Al Souhem, is a member of the Company's Board of Directors. He was born in 1959. In 1996, he earned a Ph.D. in human resources administration from the University of Wales (Cardiff, UK). He also received a higher diploma in Social Sciences from the same university in 1993, as well as a degree in Communications from King Saud University, Saudi Arabia, in 1986.</t>
  </si>
  <si>
    <t>241959-88P</t>
  </si>
  <si>
    <t>Lama Al Sulaiman Ph.D</t>
  </si>
  <si>
    <t>Al Sulaiman</t>
  </si>
  <si>
    <t>Lama</t>
  </si>
  <si>
    <t>Independent Board Member Deputy Chairman of the Board of Directors</t>
  </si>
  <si>
    <t>Dr. Lama Al Sulaiman serves as Independent Board Member Deputy Chairman of the Board of Directors at Kingdom Holding Company. She is a Shareholder and a Board Member of Rolaco Holdings, KSA and LUX, and a board member of the committee for the development of Jabal Al Laith. Currently she is a member of Coutts Bank advisory board, UK, and before that she was a board member of Club Med, France, and a former board member of Foras Investment, Saudi Arabia. This year 2021, she joined the Saudi Tennis Federation as a board member and was a board member of Saudi General Entertainment Authority between 2016 and 2021. For the past 10 years, she has been actively involved in a wide range of non-profit organizations in KSA, where she led the Saudi delegation at ILO to represent the Employers group and participated in L20 and B20 in France, Mexico, Turkey, Australia, Germany, and Argentina. A member of the B20 Executive Committee hosted in Saudi Arabia, and now she is a member of the Employment and Education Task Force. She is an advisory board member of Effat University and was a member of the fundraising campaign board at King's College London. She was the vice-chair and a Board Member of the Jeddah Chamber of Commerce in Jeddah, Saudi Arabia, and she was a board member of the Khadijah Bint Khuwailed Lobbying Center for Women. She holds a PhD in health and nutrition from King's College of London.</t>
  </si>
  <si>
    <t>418496-95P</t>
  </si>
  <si>
    <t>Lipin Unnikrishnan</t>
  </si>
  <si>
    <t>Chimera Capital</t>
  </si>
  <si>
    <t>Unnikrishnan</t>
  </si>
  <si>
    <t>Lipin</t>
  </si>
  <si>
    <t>Financial Director</t>
  </si>
  <si>
    <t>+971 (0)2 885 6666</t>
  </si>
  <si>
    <t>l.unnikrishnan@chimerainvestment.com</t>
  </si>
  <si>
    <t>Office 410, Royal Group Headquarters Building</t>
  </si>
  <si>
    <t>Khalifa Park, PO Box 3190</t>
  </si>
  <si>
    <t>Mr. Lipin Unnikrishnan serves as Financial Director at Chimera Capital. He served as Director, Finance at Lunate. He is responsible for proprietary investments. Prior to Lunate, he was the Head of Finance at Chimera Capital. He is a Fellow Chartered Accountant and holds an Executive MBA from the Indian School of Management &amp; Studies.</t>
  </si>
  <si>
    <t>51642-82P</t>
  </si>
  <si>
    <t>Lorenzo Dávila Domecq</t>
  </si>
  <si>
    <t>Dávila Domecq</t>
  </si>
  <si>
    <t>Advisory Team Member</t>
  </si>
  <si>
    <t>Mr. Lorenzo Dávila Domecq serves as an Advisory Team Member at Arada Capital Partners. He served as a partner at Candor Equity. He served as Director at Realza Capital. He joined Realza Capital in May 2010. He previously worked as an Investment Analyst of Thesan Capital, a Private Equity firm focused on special situations (restructurings &amp; turnarounds) in Spain. Prior to that, he worked as an Analyst in Private Equity (currently Trilantic Capital Partners) and Leveraged Finance divisions of Lehman Brothers in London. He holds a double degree in Law (2005) and Business Administration (2006) from Universidad Pontificia Comillas (ICADE) in Madrid. He earlier served as a Board Member at Grupo Plénido, Quimi Romar, and Gestión Tributaria Territorial as well as a Board Observer with Quimi Romar.</t>
  </si>
  <si>
    <t>243412-21P</t>
  </si>
  <si>
    <t>Majed Odeh</t>
  </si>
  <si>
    <t>Odeh</t>
  </si>
  <si>
    <t>Majed</t>
  </si>
  <si>
    <t>Mr. Majed Odeh served as Director at Chimera Capital. As Group CFO of Royal Group, He oversees the company's financials and is responsible for its strategic and business financing activities. Prior to joining Royal Group, He worked with PricewaterhouseCoopers as a Director. He holds an MBA with a concentration in Accounting and Finance from Southwest Missouri State University in the US.</t>
  </si>
  <si>
    <t>108879-22P</t>
  </si>
  <si>
    <t>Maria Osyka</t>
  </si>
  <si>
    <t>NCH Capital</t>
  </si>
  <si>
    <t>Osyka</t>
  </si>
  <si>
    <t>Maria</t>
  </si>
  <si>
    <t>www.nchcapital.com</t>
  </si>
  <si>
    <t>Director of Agriculture Investments, AgroProsperis</t>
  </si>
  <si>
    <t>+380 (0)44 390 57 21</t>
  </si>
  <si>
    <t>Kyiv, Ukraine</t>
  </si>
  <si>
    <t>27-T Degtyarevskaya Street</t>
  </si>
  <si>
    <t>Kyiv</t>
  </si>
  <si>
    <t>04119</t>
  </si>
  <si>
    <t>Ukraine</t>
  </si>
  <si>
    <t>Ms. Maria Osyka serves as Director of Agriculture Investments, AgroProsperis at NCH Capital. She joined NCH in 2007. She is responsible for managing NCH's agribusiness portfolio and for identifying new investment opportunities in Ukraine. Prior to NCH, She was the Ukraine Country Manager for Monsanto Europe, the international agribusiness company. In this capacity, she led new market initiatives, company mergers, restructurings, financial reporting, and strategic planning for several business lines, while establishing long-term partnerships with Ukrainian agricultural authorities, including the Ministry of Agriculture. She has also worked with HELM AG and May Seed Group as a management consultant, leading their sales and marketing efforts. She received an MA in Economics from Central European University in Prague and an MBA from Goizueta Business School at Emory University.</t>
  </si>
  <si>
    <t>257432-59P</t>
  </si>
  <si>
    <t>Mark Bezos</t>
  </si>
  <si>
    <t>HighPost Capital</t>
  </si>
  <si>
    <t>Bezos</t>
  </si>
  <si>
    <t>www.highpost.com</t>
  </si>
  <si>
    <t>Co-Founder, Partner, Chairman of ESG Committee, Investment Committee Member, &amp; Director of Management Company</t>
  </si>
  <si>
    <t>mark@highpost.com</t>
  </si>
  <si>
    <t>650 Madison Avenue</t>
  </si>
  <si>
    <t>25th Floor</t>
  </si>
  <si>
    <t>Mr. Mark Bezos is a Co-Founder and serves as Partner, Chairman of the ESG Committee, Investment Committee Member, &amp; Director of Management Company at HighPost Capital. He serves as a Board Member at Robin Hood Foundation. He started his career at global redoubtable agencies such as DDB, Saatchi &amp; Saatchi, and Lintas. In 1999, at the age of 29, he chose to start his marketing firm in the highly competitive arena of NYC - Bezos/Nathanson Marketing Group (BNmg). Despite the dot-com recession, under his leadership BNmg was able to compete for and win business, establishing itself as an award-winning marketing boutique. The agency focused on brands in consumer categories such as airlines (Swiss, Sabena), hotels (Ramada, Howard Johnsons, Travelodge), spirits (Johnnie Walker, Talisker, Cardhu), fashion retail (KemoSabe), and others. Mr. Bezos was able to successfully sell the agency to an international holding company in 2006. He serves as Board Member at Spotter.</t>
  </si>
  <si>
    <t>291154-69P</t>
  </si>
  <si>
    <t>Mehdi Guedira</t>
  </si>
  <si>
    <t>Guedira</t>
  </si>
  <si>
    <t>Mehdi</t>
  </si>
  <si>
    <t>m.guedira@almada.ma</t>
  </si>
  <si>
    <t>Mr. Mehdi Guedira serves as Investment Manager at Al Mada.</t>
  </si>
  <si>
    <t>343032-22P</t>
  </si>
  <si>
    <t>Mirian Massoud</t>
  </si>
  <si>
    <t>Massoud</t>
  </si>
  <si>
    <t>Mirian</t>
  </si>
  <si>
    <t>Head, Private Equity</t>
  </si>
  <si>
    <t>Ms. Mirian Massoud serves as Head of Private Equity at Chimera Capital. She also served as a Non-Executive Board Member at Beltone Financial Holding. She also serves as Partner &amp; Co-Head of Private Equity at Lunate. She is responsible for investing third-party capital across various private equity strategies globally. She has over 17 years of experience in private equity and investment management. Prior to Lunate, she held senior positions at Chimera Capital and Waha Capital. She holds an MBA from INSEAD and a Bachelor's degree in Economics from the American University of Beirut. She serves as Head of Private Equity and Board Member at ChimHaeres.</t>
  </si>
  <si>
    <t>80417-89P</t>
  </si>
  <si>
    <t>Mohamed Fahmy</t>
  </si>
  <si>
    <t>Fahmy</t>
  </si>
  <si>
    <t>Mr. Mohamed Fahmy served as Chief Financial Officer at Kingdom Holding Company. He is highly accomplished with 18 years of progressive track record of achievements in leading initiatives that enhance financial performance and productivity. He began his career in Cairo in Corporate Banking in 1995 with Commercial International Bank. After receiving the Chase Manhattan Bank's Credit Training Program, he graduated as a Senior Credit Analyst where he worked for 2 years in the corporate banking department. In 1998, he moved on to work in Investment Banking for a combined period of 10 years working for major Egyptian / international institutions such as Flemings CIIC, EFG Hermes, and Doha Bank. In 2005 he became the Head of Investment Banking for Calyon in Egypt where he launched Calyon's investment banking operations and worked on various mergers and acquisitions of local/regional companies. Over his 10 years as an investment banker, he worked on various capital market and M&amp;A transactions worth over US$4 billion. During this period he completed Calyon's formal investment banking training course. His career moves progressed further when he joined Palm Hills Developments as CFO where he assisted in negotiating the sale of a 10% stake in the company to Goldman Sachs resulting in a US$ 120 million deal and raising a total of LE 1.3 billion syndicated debt and equity financing for the company. He also was instrumental in the process of taking the company public raising US$320 million in equity and listing the company both on the Egyptian and London stock exchanges. Following Palm Hills, he joined as Group CFO for Hassan Allam Holding and Pioneers Holdings. Among his academic achievements, which included an MSc. in International Securities Investment &amp; Banking from Reading University in England, he was awarded the Chevening scholarship offered by the British Council in Egypt to study towards a Master's degree in England as well as receiving a Fulbright Scholarship to complete the Program on Investment Appraisal and Management from Harvard University.</t>
  </si>
  <si>
    <t>258250-69P</t>
  </si>
  <si>
    <t>Mohammed Al Haj</t>
  </si>
  <si>
    <t>Mubarak &amp; Brothers Investments</t>
  </si>
  <si>
    <t>Al Haj</t>
  </si>
  <si>
    <t>www.mbiuae.com</t>
  </si>
  <si>
    <t>+971 (0)2 495 0999</t>
  </si>
  <si>
    <t>malhaj@mbiuae.com</t>
  </si>
  <si>
    <t>PO Box 60300</t>
  </si>
  <si>
    <t>+971 (0)2 444 5711</t>
  </si>
  <si>
    <t>Mr. Mohammed Al Haj serves as Chief Executive Officer at Mubarak &amp; Brothers Investments. Previously Mr. Al Haj served as the GM of the OBS Group. He is on the board of Ajman Holding, Universal Paints &amp; Chemical Industries and Capital Club, and is also a member of the Service Council in Abu Dhabi Chamber of Commerce.</t>
  </si>
  <si>
    <t>313468-93P</t>
  </si>
  <si>
    <t>Moritz Assmann</t>
  </si>
  <si>
    <t>Liechtenstein Group (Former)</t>
  </si>
  <si>
    <t>Assmann</t>
  </si>
  <si>
    <t>Moritz</t>
  </si>
  <si>
    <t>Mr. Moritz Assmann served as an Investment Associate at Liechtenstein Group. He joined the Liechtenstein Group in 2022. As part of the investment team, he is responsible for analyzing and evaluating new investments, conducting due diligence processes, and preparing and developing business plans for companies and investments of the Liechtenstein Group. Previously, he worked for APL Europe in Munich as well as for several years for Bank of America in Frankfurt. He holds a Bachelor of Science in Business Administration with a specialization in Finance &amp; Accounting from the Vienna University of Economics and Business Administration.</t>
  </si>
  <si>
    <t>399101-32P</t>
  </si>
  <si>
    <t>Nada Alateegi</t>
  </si>
  <si>
    <t>Alateegi</t>
  </si>
  <si>
    <t>Nada</t>
  </si>
  <si>
    <t>Executive Director for Domestic Investment &amp; Board Member</t>
  </si>
  <si>
    <t>Mrs. Nada Alateegi serves as Executive Director for Domestic Investment &amp; Board Member at Kingdom Holding Company. She is the Chief Executive Officer of Kingdom Investment and Development. Previously, she was the General Manager of Kingdom Centre and has ranked the Top 20 Saudi and Gulf Businesswomen.</t>
  </si>
  <si>
    <t>405175-33P</t>
  </si>
  <si>
    <t>Nasser Al Misnad</t>
  </si>
  <si>
    <t>Qatari Investors Group</t>
  </si>
  <si>
    <t>Al Misnad</t>
  </si>
  <si>
    <t>qatariinvestors.com</t>
  </si>
  <si>
    <t>+974 44747000</t>
  </si>
  <si>
    <t>Qatari Investors Group QIG Tower</t>
  </si>
  <si>
    <t>Lusail, 1st Floor, Zone Number 69, Street No: 303</t>
  </si>
  <si>
    <t>+974 44860976</t>
  </si>
  <si>
    <t>Mr. Nasser Al Misnad serves as Board Member at Qatari Investors Group. He holds a Bachelor in Business Administration from University of La Verne, State of California, USA in year 2019. He currently holds the following positions; Board Member of Qatari Investors Group (Q.P.S.C.), representing Al Misnad Company LLC, Board Member of Vodafone Qatar, representing Vodafone and Qatar Foundation LLC. Additionally, he worked for three years at Barzan Holding in the field of strategic procurement.</t>
  </si>
  <si>
    <t>67975-93P</t>
  </si>
  <si>
    <t>Nicholas Hofgren</t>
  </si>
  <si>
    <t>TLG Capital (Former)</t>
  </si>
  <si>
    <t>Hofgren</t>
  </si>
  <si>
    <t>www.tlgcapital.com</t>
  </si>
  <si>
    <t>Advisory Board Director</t>
  </si>
  <si>
    <t>Mr. Nicholas Hofgren served as Advisory Board Director at TLG Capital. Mr. Hofgren served as Advisor at Kingsley Capital Partners. Mr. Hofgren is a partner of Tangent Ventures, a business focused on creating value within the Tangent Group of Companies, which generates approximately $2 Bn each year through energy related manufacturing and service businesses. In 2008, Nick co-founded WHP, a private equity fund raising business with a focus on emerging strategies and emerging markets based in Dubai, London and New York. Nick was previously a Managing Director at Brunswick Capital where he helped the business form and capitalise the largest independent freight car leasing business in Russia. Nick joined Brunswick in 2004 having headed the EMEA Private Fund Group at JP Morgan Chase. He was responsible for founding and building the team that capitalised private equity funds worth billions of US dollars. Prior to JP Morgan Chase, Nick created a direct investment business in Russia focused on the roll-up of assets in Oil and Gas equipment and automobile parts. Nick sits on the board of Prince Street Capital Management, a leading hedge fund that invests in frontier markets and FOTW, a leading UK business in the streaming media sector. He is on the development committee of The Prince's Teaching Institute (PTI), an education charity founded by HRH The Prince of Wales.</t>
  </si>
  <si>
    <t>284157-73P</t>
  </si>
  <si>
    <t>Nico Weber</t>
  </si>
  <si>
    <t>Lone Star Funds</t>
  </si>
  <si>
    <t>Nico</t>
  </si>
  <si>
    <t>www.lonestarfunds.com</t>
  </si>
  <si>
    <t>Managing Director, Commercial Real Estate Origination Europe</t>
  </si>
  <si>
    <t>+44 (0)20 7616 6800</t>
  </si>
  <si>
    <t>nweber@lonestarfunds.com</t>
  </si>
  <si>
    <t>12 Queen Anne Street</t>
  </si>
  <si>
    <t>W1G 9LF</t>
  </si>
  <si>
    <t>Mr. Nico Weber serves as Managing Director, Commercial Real Estate Origination Europe at Lone Star Funds. Mr. Nico Weber served as Managing Director, Investment &amp; Asset Management at Henderson Park Capital. He has 19 years of experience investing in and delivering real estate projects in both principal and advisory roles in the UK, Europe, Middle East and Australia. Between 2014 and 2016 he was at Valad Europe, a pan European investment and asset manager with c.€5 billion assets under management, managing all separate account opportunistic investments across the UK, continental Europe and the Nordics. Prior to Valad, he was a Director responsible for business development at Manhattan Loft Corporation, a leading central London hotel and residential investor and developer and a Development Manager for the Royal Group, a group of major real estate firms controlled by a member of the Abu Dhabi Royal family, responsible for new acquisitions and delivery of major commercial projects internationally. He started his career as an Account Manager at ANZ Bank, Sydney in the Real Estate and Construction Finance division. He holds a Bachelor of Property from the University of Auckland, New Zealand.</t>
  </si>
  <si>
    <t>32371-57P</t>
  </si>
  <si>
    <t>Omar Laalej</t>
  </si>
  <si>
    <t>Laalej</t>
  </si>
  <si>
    <t>o.laalej@almada.ma</t>
  </si>
  <si>
    <t>Mr. Omar Laalej serves as Managing Director at Al Mada. He serves as Managing Director at Al Mada Ventures. Previously, he served as Senior Manager at Africinvest. He joined AfricInvest with over seven years of international experience in the private equity sector. As an Analyst at Graham Partners, a leveraged buy-out firm focused on acquiring middle-market manufacturing businesses, he sourced and evaluated new investment opportunities and provided ongoing support and supervision for several of Graham Partners' portfolio companies. After two years at Graham, he joined VWR International (NASDAQ: VWR) - a former Madison Dearborn Partners portfolio company - which is a laboratory supplier and distributor with worldwide sales of over $4.3 billion in 2014. At VWR, he was an M&amp;A Strategist managing all aspects of the acquisition process. In 2012, he moved to San Francisco for a Finance Manager position at Elo Touch Solutions, a Gores Group portfolio company that designs, develops, and manufactures touch products and technologies for the industrial, medical, retail, hospitality, transportation, and automotive sectors. After three years in Silicon Valley and a stint spent consulting another Gores Group portfolio company, the Tweddle Group, he joined AfricInvest as a Senior Investment Manager. He earned his B.A. with a double major in finance and accounting from Drexel University, where he was Captain of the Men's Varsity Tennis Team. He was born and raised in Morocco, where he was a member of the Moroccan Davis Cup Team.</t>
  </si>
  <si>
    <t>260224-12P</t>
  </si>
  <si>
    <t>Ouafaa GHAOUAT</t>
  </si>
  <si>
    <t>GHAOUAT</t>
  </si>
  <si>
    <t>Ouafaa</t>
  </si>
  <si>
    <t>Mr. Ouafaa GHAOUAT served as Manager at Al Mada.</t>
  </si>
  <si>
    <t>171074-71P</t>
  </si>
  <si>
    <t>Paul Adams</t>
  </si>
  <si>
    <t>Oriens Capital (Former)</t>
  </si>
  <si>
    <t>Adams</t>
  </si>
  <si>
    <t>www.orienscapital.co.nz</t>
  </si>
  <si>
    <t>Investment Manager Board Member</t>
  </si>
  <si>
    <t>Mr. Paul Adams served as Investment Manager Board Member at Oriens Capital. Paul Adams CNZM, is a civil engineer based in Tauranga and Managing Director of Carrus, one of the largest private land development companies in New Zealand. He is a founding director and life member of Priority One (a Tauranga business development entity), a trustee of Te Kura (NZ Correspondence School), a Director of Kordia, a member of NZ Initiative and a Chartered Fellow of the Institute of Directors. He is also closely involved with the philanthropic sector, including IHC, Riding for the Disabled and Waipuna Hospice.</t>
  </si>
  <si>
    <t>339168-88P</t>
  </si>
  <si>
    <t>Paul Colangelo</t>
  </si>
  <si>
    <t>Mill Point Capital (Former)</t>
  </si>
  <si>
    <t>Colangelo</t>
  </si>
  <si>
    <t>www.millpoint.com</t>
  </si>
  <si>
    <t>Mr. Paul Colangelo served as Advisor at Mill Point Capital. He currently serves as the Chief Executive Officer of Avenu Insights &amp; Analytics ("Avenu") and as the Vice Chairman of Vehicle Management Solutions. With a track record as a trusted advisor at the state and local levels, He leads the operations, strategy, and growth of Avenu. He previously served as President and Chief Operating Officer at Library Systems &amp; Services, as well as President of Appriss, where his strategic vision led to the portfolio revenue growth and diversification. Before Appriss, He served as Vice President of Convergys Global Business Unit, managing client services programs in government, automotive and transportation markets. As part of his ongoing commitment to serving state and local communities nationwide, he serves as an active member on the Blessings in a Backpack, and Vice Chairman, Prince William County Service Authority Board of Directors. He earned a B.A. from Seton Hall University.</t>
  </si>
  <si>
    <t>415157-41P</t>
  </si>
  <si>
    <t>Ramón Carranza</t>
  </si>
  <si>
    <t>Carranza</t>
  </si>
  <si>
    <t>Ramón</t>
  </si>
  <si>
    <t>Mr. Ramón Carranza serves as an Advisory team at Arada Capital Partners. +9 years of international experience in Financial Restructuring and Private Equity. Extensive experience in the design and structuring of corporate purchase operations Experience in the evaluation, implementation and supervision of investment opportunities</t>
  </si>
  <si>
    <t>166028-59P</t>
  </si>
  <si>
    <t>Rasha El-Hoshan</t>
  </si>
  <si>
    <t>El-Hoshan</t>
  </si>
  <si>
    <t>Rasha</t>
  </si>
  <si>
    <t>Ms. Rasha El-Hoshan served as Board Member at Kingdom Holding Company. She joined Kingdom Holding Company on January 30, 2012, as an independent board member and a member of KHC's audit committee. She is the General Manager of El-Hoshan Furniture, she is also an executive committee member and a board member of El-Hoshan Group. Eng. She holds an M.S in interior design from Pratt Institute in New York and received her Bachelor in Political Science - Middle East from The American University in Washington, DC.</t>
  </si>
  <si>
    <t>54187-03P</t>
  </si>
  <si>
    <t>Mr. Rashid Al-Naimi serves as Board Member at Qatari Investors Group. He served as the Chief Executive Officer at Qatar Foundation. In 2015, he was honored by the Arab Economic Forum with the "Achievement in Leadership Award". In his previous role as Vice President of Administration at Qatar Foundation, he managed the Shared Services Organization in Qatar Foundation that included the Finance, Human Resources, Business Process Improvement, Information Technology, Procurement, and Support Services Directorates. Prior to joining Qatar Foundation, He was the Human Resources Manager at RasGas Company Limited.</t>
  </si>
  <si>
    <t>399098-17P</t>
  </si>
  <si>
    <t>Reem Asaad</t>
  </si>
  <si>
    <t>Asaad</t>
  </si>
  <si>
    <t>Reem</t>
  </si>
  <si>
    <t>Ms. Reem Asaad serves as an Independent Board Member at Kingdom Holding Company. She has seventeen years of experience in Financial Management &amp; Invest Funds with many published articles in economics. She has worked in the Financial &amp; Investment sector for the development of product investment and individual investment management. She lectured on Finance &amp; Financial Markets at Dar Alhekmah University. In 2017, she joined Maaden Co., as the first Saudi lady to chair the Shareholders Relations. Currently, she chairs the Shareholders Relations in Al-Taaunia Co. She is also passionate about financial and investment awareness for Arabic speakers in 'Reem's Advice' on Twitter. She has participated in many events as a spokesperson in international forums and conferences on women's financial empowerment.</t>
  </si>
  <si>
    <t>42216-58P</t>
  </si>
  <si>
    <t>Runa Alam</t>
  </si>
  <si>
    <t>Development Partners International</t>
  </si>
  <si>
    <t>Alam</t>
  </si>
  <si>
    <t>Runa</t>
  </si>
  <si>
    <t>www.dpi-llp.com</t>
  </si>
  <si>
    <t>Co-Founder, Partner &amp; Chief Executive Officer</t>
  </si>
  <si>
    <t>+44 (0)20 7349 5030</t>
  </si>
  <si>
    <t>runa@dpi-llp.com</t>
  </si>
  <si>
    <t>2nd Floor Jubilee House</t>
  </si>
  <si>
    <t>2 Jubilee Place</t>
  </si>
  <si>
    <t>SW3 3TQ</t>
  </si>
  <si>
    <t>Ms. Runa Alam is a Co-Founder and serves as Partner &amp; Chief Executive Officer at Development Partners International. She serves as Board Member at CARE Enterprises. She also served as a Board Member at AVCA. She serves as a Board Member at Cooperative For Assistance And Relief Everywhere. She served as a Board Member at Food Concepts. She has 29 years of investment banking, emerging market entrepreneurship and private equity experience. Before DPI, She was CEO of KZAM, a joint venture between Zephyr Management of New York and Kingdom Holding Company, which managed PAIP-PCAP, sponsored by the International Finance Corporation and the Commonwealth Secretariat. She also acted as CEO of ZMAIF (known as the New Africa Fund before Zephyr Management took over the management in 2000 and her involvement), sponsored by the Overseas Private Investment Corporation, where she helped implement a successful turnaround of the fund. She was formerly a director of the AIG Africa Infrastructure Fund, managed by Emerging Market Partnership in Washington, and has "on-the-ground" management experience in emerging markets having founded and managed both Peregrine Bangladesh and Union Capital Bangladesh in the 1990s. She started her career in New York working for investment banks including Morgan Stanley and Merrill Lynch in mergers and acquisitions and corporate and tax-exempt finance. She serves on the Eaton Towers Holding LLP, ETW Africa Holdings UK Limited, Guaranty Trust Assurance plc and Touax Africa SAS boards of directors, and has previously served on the Liberty Star Consumer Holdings (Proprietary) Limited, United Bank of Africa plc, Letshego Holdings Limited and Celtel boards of directors. She is Chair of the African Venture Capital Association and a member of the Emerging Market Private Equity Association advisory board and its Africa Council. She is also a member of the Millennium Promise's UK board and is on the advisory board of The Tony Elumelu Foundation. She sits on the advisory council of Princeton University's Woodrow Wilson School for Public and International Affairs, her Alma Mater. She holds a BA in International and Developmental Economics from Princeton University and an MBA from the Harvard Business School. She was also a Harry S. Truman Congressional Scholar.</t>
  </si>
  <si>
    <t>53573-14P</t>
  </si>
  <si>
    <t>Shahm Al-Wir JD</t>
  </si>
  <si>
    <t>Foursan Group</t>
  </si>
  <si>
    <t>Al-Wir</t>
  </si>
  <si>
    <t>Shahm</t>
  </si>
  <si>
    <t>www.4san.com</t>
  </si>
  <si>
    <t>+962 (0)65624562</t>
  </si>
  <si>
    <t>shahm@4san.com</t>
  </si>
  <si>
    <t>1 Rafiq Al-Hariri Avenue</t>
  </si>
  <si>
    <t>7th Floor, Abdali</t>
  </si>
  <si>
    <t>11814</t>
  </si>
  <si>
    <t>+962 (0)65526489</t>
  </si>
  <si>
    <t>Mr. Shahm Al-Wir serves as the partner of Foursan Group. He serves as Board Member at Siniora Food Industries. He serves as Board Member at Jo Academy. He also served as Board Member at Jordan Dubai Islamic Bank. He served as Board Member at Zalatimo Sweets. Prior to joining Foursan, he was with Debevoise &amp; Plimpton in New York, a leading global law firm, having spent six years focusing on US and Middle Eastern mergers and acquisitions and capital markets transactional and advisory work. He is a Member of the Economic Policies Council chaired by His Majesty King Abdullah II of Jordan. He is also a Director of the Central Bank of Jordan. He is a Director of Foursan Capital Partners I and Siniora Food Industries and a Trustee of the Amman Baccalaureate School, the King Hussein Cancer Foundation and the Shoman Foundation. He is an attorney admitted to the New York Bar. He received a Juris Doctorate in Law from the University of Virginia School of Law and a Bachelor of Arts in Government, magna cum laude, from Harvard University.</t>
  </si>
  <si>
    <t>38117-89P</t>
  </si>
  <si>
    <t>Sheikh Mansour Al Nahyan</t>
  </si>
  <si>
    <t>Abu Dhabi United Group</t>
  </si>
  <si>
    <t>Al Nahyan</t>
  </si>
  <si>
    <t>Sheikh Mansour</t>
  </si>
  <si>
    <t>Owner</t>
  </si>
  <si>
    <t>+971 (0)2 417 6611</t>
  </si>
  <si>
    <t>salnahyan@mubadala.com</t>
  </si>
  <si>
    <t>PO Box 5524</t>
  </si>
  <si>
    <t>Mr. Sheikh Mansour Al Nahyan is the Owner of Abu Dhabi United Group. Mr. Al Nahyan served as Chairman of the Board of Directors at International Petroleum Investment Company. He serves as Chairman of the Board at Mubadala Investment Company. He also served as a Board Member of the Abu Dhabi Investment Council. He is also the Deputy Prime Minister and Minister of Presidential Affairs of the UAE. As Chairman of the Board, he heads the Board of Directors which is responsible for overseeing the affairs of the Emirates Investment Authority. He serves as Chairman of Mubadala Investment Company. He also serves as the Chairman of the Board of Directors at the Abu Dhabi Fund for Development.</t>
  </si>
  <si>
    <t>74057-77P</t>
  </si>
  <si>
    <t>Sheri Buretta</t>
  </si>
  <si>
    <t>Buretta</t>
  </si>
  <si>
    <t>Sheri</t>
  </si>
  <si>
    <t>Chairwoman of the board</t>
  </si>
  <si>
    <t>Ms. Sheri Buretta serves as Chairwoman of the board at Chugach Alaska Corporation. She has served as Chugach's full-time chair for 15 years. In addition, Sheri served as Vice Chairwoman, Board of Regents at Alaska Federation of Natives, Alaskans Standing Together, Tatitlek Corporation, Foraker Group governance board, and ROSSIA (Russian Orthodox Sacred Sites in Alaska) &amp; University of Alaska Fairbanks Endowment. Sheri was born in Anchorage, Alaska, and her family is from the Native Village of Tatitlek located in the Prince William Sound. Sheri holds an accounting degree from the University of Alaska and a business degree from Gulf Coast Community College in Florida. She has previously served on the Prince William Sound Regional Citizens Advisory Council, the Exxon Valdez Oil Spill Public Advisory Group, and Anchorage's Sister City Commission, as well as co-chaired the transition team for former Anchorage Mayor Mark Begich. She is also the Vice Chairwoman, Board of Regents of the University of Alaska Fairbanks.</t>
  </si>
  <si>
    <t>466213-33P</t>
  </si>
  <si>
    <t>Slobodan Djukic</t>
  </si>
  <si>
    <t>Oak Valley Capital</t>
  </si>
  <si>
    <t>Djukic</t>
  </si>
  <si>
    <t>Slobodan</t>
  </si>
  <si>
    <t>oakvalleycap.com</t>
  </si>
  <si>
    <t>slobodan@oakvalleycap.com</t>
  </si>
  <si>
    <t>Phoenix, AZ</t>
  </si>
  <si>
    <t>Phoenix</t>
  </si>
  <si>
    <t>Arizona</t>
  </si>
  <si>
    <t>85016</t>
  </si>
  <si>
    <t>Mr. Slobodan Djukic serves as Investment Manager at Oak Valley Capital. He began his career as an Analyst at Ernst &amp; Young and Merrill Lynch Global Principal Investments in Southeast Europe before serving as a Senior Manager at Zabeel Investments in Dubai.</t>
  </si>
  <si>
    <t>28583-38P</t>
  </si>
  <si>
    <t>Sofiane Lahmar</t>
  </si>
  <si>
    <t>Lahmar</t>
  </si>
  <si>
    <t>Sofiane</t>
  </si>
  <si>
    <t>slahmar@dpi-llp.com</t>
  </si>
  <si>
    <t>Mr. Sofiane Lahmar serves as a Partner at Development Partners International. He also served as an Advisory Board Member at Farlap Capital and KELIX Bio. He also serves as Executive Chairman at Biopharm (Algeria). He joined DPI in April 2010 and has extensive finance experience spanning private equity investing, M&amp;A investment banking and options trading. Prior to joining DPI, he was a Partner and co-Chief Investment Officer at Kingdom Zephyr Africa Management, a Pan-African private equity investment firm majority-owned by Kingdom Holding Company, the investment vehicle of HRH Prince Alwaleed bin Talal bin Abdulaziz Alsaud, a member of the Saudi Royal family and international investor. Prior to joining KZAM in 2005, he was a Vice President in the M&amp;A group at JP Morgan in New York, where he helped advise on over US$25 billion worth of M&amp;A transactions. He started his career on the foreign exchange options trading desk of FleetBoston in Boston. He currently serves and has served on the boards and board committees of the companies in which he has invested. He was named as one of the Financial News 100 Rising Stars in 2008, as one of the Africa Private Equity Managers of the Year by Jeune Afrique in 2010, and as one of the Africa Leaders of Tomorrow by Jeune Afrique in 2013. He holds an MA in International Economics &amp; Finance from Brandeis University's International Business School (Boston) and a Maitrise in Management from Dauphine University (Paris).</t>
  </si>
  <si>
    <t>324915-94P</t>
  </si>
  <si>
    <t>Sonsoles Santamaría</t>
  </si>
  <si>
    <t>Santamaría</t>
  </si>
  <si>
    <t>Sonsoles</t>
  </si>
  <si>
    <t>ssantamaria@aradacp.com</t>
  </si>
  <si>
    <t>Ms. Sonsoles Santamaría serves as Executive at Arada Capital Partners. She is a Chief Business Officer and founding partner of Tressis.</t>
  </si>
  <si>
    <t>383728-33P</t>
  </si>
  <si>
    <t>Stefan Mühlemann</t>
  </si>
  <si>
    <t>SWISE (Former)</t>
  </si>
  <si>
    <t>Mühlemann</t>
  </si>
  <si>
    <t>www.swise.com</t>
  </si>
  <si>
    <t>+41 (0)58 510 0000</t>
  </si>
  <si>
    <t>Mühlebachstrasse 162-164</t>
  </si>
  <si>
    <t>Mr. Stefan Mühlemann serves as Board Member at Radicant. He has worked for Schweizerischer Bankverein and LGT Group in Switzerland and abroad and is a Serial entrepreneur in finance and tech. He has dome MBA from Tuck School of Business at Dartmouth and London Business School. He is also Member of the Board of Directors of Swiss Fintech AG and enshift AG, Advisory Board at Found Global AG and Expert Council Digitalisation Canton Graubünden</t>
  </si>
  <si>
    <t>166029-85P</t>
  </si>
  <si>
    <t>Taher Mohammed</t>
  </si>
  <si>
    <t>Taher</t>
  </si>
  <si>
    <t>Mr. Taher Mohammad Omar Agueel serves as Independent Board Member at Kingdom Holding Company. He holds Bachelor and Master's degrees in industrial engineering from the University of Texas, USA (having received his master's degree in 1984).</t>
  </si>
  <si>
    <t>259922-71P</t>
  </si>
  <si>
    <t>Talal Al Kaissi</t>
  </si>
  <si>
    <t>Al Kaissi</t>
  </si>
  <si>
    <t>Talal</t>
  </si>
  <si>
    <t>Advisor &amp; Non-Executive Board Member</t>
  </si>
  <si>
    <t>Mr. Talal Al Kaissi serves as Advisor &amp; Non-Executive Board Member at NewSpace Capital. Mr. Al Kaissi joined G42 after 2 years at the UAE Space Agency as an Advisor to the Director General on Strategic Projects. Among several duties, one of his core functions was supporting the activation of the UAE Space Agency Investment Promotion Plan, and the development of a holistic national space economy with an emphasis on attracting space startups and investments to the UAE. Additionally, he provided strategic support to both the Policy &amp; Regulatory Directorate, as well as Space Missions Management Directorate. He also serves as the UAE representative to the World Economic Forum Council on Space Technology. Prior to his role at the Agency, he served at the UAE Embassy in Washington DC for nine years as a Senior Advisor for Commercial Affairs at the UAE Trade &amp; Commercial Office and also led US/UAE Space Affairs. The role entailed bilateral trade policy and commercial issues to advance the UAE's interests in the US and attract FDI into the UAE. On the Space Affairs front, he worked closely with the UAE Space Agency to put together a Framework Agreement with NASA and build ties with US government stakeholders, Academia, and Industry. He also worked in the Energy sector at KBR where he led Business Development efforts for the GCC region in the downstream petrochemical segment and was based between Houston (USA), Dubai (UAE), and Khobar (Saudi Arabia). He graduated from California State University in Long Beach with a Bachelor of Science in International Business in 2006. He also holds an executive certification from the International Space University. He serves as a Board Member at Takalam Online Counseling.</t>
  </si>
  <si>
    <t>80417-62P</t>
  </si>
  <si>
    <t>Talal Al Maiman</t>
  </si>
  <si>
    <t>Al Maiman</t>
  </si>
  <si>
    <t>Chief Executive Officer &amp; Board Member</t>
  </si>
  <si>
    <t>Mr. Talal Al Maiman serves as Chief Executive Officer &amp; Board Member at Kingdom Holding Company. He also serves as Chairman of the Board at Five Capital. He also serves as Vice Chairman at Banque Saudi Fransi. He joined in 1996, and he holds the responsibility of overseeing KHC's investment and operations, as well as identifying future private and public investment opportunities locally, regionally, and globally. In addition to sitting on the Board of Directors of KHC as well as being a member of the Investment Committee and Chairman of the Board of all domestic subsidiaries, he is also a Board Member and Executive Committee Member of National Industrialization Company, a multi-billion dollar publicly listed petrochemical diversified investment company, a Board Member and Executive Committee member of NAS Holding, a leading aviation company which owns NAS Jet (ex. NetJet Middle East) and NAS Airlines, one of the leading regional low-cost carrier. He also serves as a Chairman of the Board of Kingdom Real Estate Investment Company ("KRED"), the domestic arm of KHC as well as Chairman of Kingdom Investment and Development Company ("KIDC"), a newly formed closed joint-stock company with oversee assets in excess of USD 1 billion and as Chairman of Five Capital Fund I, a newly formed private equity fund with lead sponsors KHC and the investment arm of the French Sovereign Fund, CDC International Capital ("CDC") in addition of being a Board Member of Five Capital Advisors (DIFC), a regulated investment advisory firm jointly owned with CDC. He has served previously as a Board Member of Savola, a multi-billion industrial and retail listed company, and Saudi Research and Marketing Group, a leading listed media company in the MENA region. Prior to joining KHC, He was Director of Information Systems at the Saudi Arabian Monetary Agency (1986-1996) and Director of Operations and Maintenance at the Saudi Arabian Ministry of Interior (1979-1986). He holds a BS in Electrical Engineering from the University of Evansville and has completed an Executive Management Program at Harvard Business School. In 2009, he completed his MBA at the University of Liverpool.</t>
  </si>
  <si>
    <t>166681-18P</t>
  </si>
  <si>
    <t>Tamim Jabr</t>
  </si>
  <si>
    <t>Jabr</t>
  </si>
  <si>
    <t>Tamim</t>
  </si>
  <si>
    <t>Chief Investment Officer &amp; Board Member</t>
  </si>
  <si>
    <t>tj@deezer.com</t>
  </si>
  <si>
    <t>Mr. Tamim Jabr serves as Chief Investment Officer and Board Member at Kingdom Holding Company. He also serves as Board Member at Deezer. He has been the Executive Director of International Investments at Kingdom Holding Company and a member of its Investment Committee since 2019. Prior to that, he spent 16 years at Deutsche Bank in a number of senior leadership positions, including as Chief Executive Officer of Deutsche Securities Saudi Arabia and Head of Corporate &amp; Investment Banking. He is also a Board Member of Five Capital, a joint venture between Kingdom Holding and Bpi France. He holds a BA degree from Emerson College and a Master's degree from Boston University. He serves as Board Member at Five Capital.</t>
  </si>
  <si>
    <t>422690-50P</t>
  </si>
  <si>
    <t>Tatjana Lattorff</t>
  </si>
  <si>
    <t>Lattorff</t>
  </si>
  <si>
    <t>Tatjana</t>
  </si>
  <si>
    <t>Board Member &amp; Chairwoman of the Supervisory Board</t>
  </si>
  <si>
    <t>t.lattorff@lgroup.com</t>
  </si>
  <si>
    <t>Ms. Tatjana Lattorff serves as Board Member &amp; Chairwoman of the Supervisory Board at Liechtenstein Group. She is the CEO of the Prince Liechtenstein Philanthropy Foundation and has been involved for several years in various advisory boards of European educational initiatives, including the European Advisory Council of Teach for All, Sindbad Austria, Teach for Austria, and Hobby Lobby. Additionally, she is the President of the Board of Trustees of the Prince Franz Josef Foundation and Princess Gina Foundation in Liechtenstein. She holds a Master's degree in Business Administration from the European Business School (EBS) Madrid.</t>
  </si>
  <si>
    <t>446603-32P</t>
  </si>
  <si>
    <t>Thomas Galbraith</t>
  </si>
  <si>
    <t>Shield Group (Montana)</t>
  </si>
  <si>
    <t>Galbraith</t>
  </si>
  <si>
    <t>shieldgrouplp.com</t>
  </si>
  <si>
    <t>Advisory Board Member</t>
  </si>
  <si>
    <t>Bigfork, MT</t>
  </si>
  <si>
    <t>12090 MT-83</t>
  </si>
  <si>
    <t>Bigfork</t>
  </si>
  <si>
    <t>Montana</t>
  </si>
  <si>
    <t>59911</t>
  </si>
  <si>
    <t>Mr. Thomas Galbraith serves as Advisory Board Member at Shield Group. He is a long serving member of Parliament and was Leader of the House of Lords and Chancellor of the Duchy of Lancaster until January 2013. Under his leadership, the House of Lords Act 1999 passed reforming its operation. Under the Act, he was elected by other peers as one of the 92 hereditary peers to remain in the House of Lords. He then became a Director on Supervisory Board of Trafigura Beheer BV, Trafigura Group PTE Ltd. and related hedge fund manager Galena Asset Management. He has served as a longtime member of Lloyd's of London, and an Advisor to the AECOM Corporation. He plays an active role with SG|Capital and its captive insurance activities.</t>
  </si>
  <si>
    <t>52021-99P</t>
  </si>
  <si>
    <t>Tijs Akkerman</t>
  </si>
  <si>
    <t>Nordian Capital Partners</t>
  </si>
  <si>
    <t>Akkerman</t>
  </si>
  <si>
    <t>Tijs</t>
  </si>
  <si>
    <t>www.nordian.nl</t>
  </si>
  <si>
    <t>Partner, Investment Partner &amp; Managing Partner</t>
  </si>
  <si>
    <t>+31 (0)20 751 8550</t>
  </si>
  <si>
    <t>tijs.akkerman@nordian.nl</t>
  </si>
  <si>
    <t>Amstel Building, 9th Floor</t>
  </si>
  <si>
    <t>Prins Bernhardplein 200</t>
  </si>
  <si>
    <t>1097 JB</t>
  </si>
  <si>
    <t>Mr. Tijs Akkerman serves as Partner, Investment Partner &amp; Managing Partner at Nordian Capital Partners. Mr. Akkerman is responsible for the investments in IHC Merwede, Delta Wines, Inter Access and Orffa. After a traineeship at ABN Amro Corporate Finance, he started beginning 2005 as a M&amp;A advisor at Rabo Securities Corporate Advisory. In 2006 Mr. Akkerman worked temporarily for Rabobank International M&amp;A in New York. Mr. Akkerman holds a degree in Economics from the University of Groningen.</t>
  </si>
  <si>
    <t>80066-44P</t>
  </si>
  <si>
    <t>Viral Patel</t>
  </si>
  <si>
    <t>Blackstone</t>
  </si>
  <si>
    <t>Viral</t>
  </si>
  <si>
    <t>www.blackstone.com</t>
  </si>
  <si>
    <t>Fund Manager &amp; Senior Managing Director, BX Private Equity Strategies - New York</t>
  </si>
  <si>
    <t>+1 (212) 503-2100</t>
  </si>
  <si>
    <t>viral.patel@blackstone.com</t>
  </si>
  <si>
    <t>345 Park Avenue</t>
  </si>
  <si>
    <t>10154</t>
  </si>
  <si>
    <t>+1 (212) 503-6930</t>
  </si>
  <si>
    <t>Mr. Viral Patel serves as Fund Manager &amp; Senior Managing Director, BX Private Equity Strategies - New York at Blackstone. Mr. Patel serves as a Board Member at Hidrovias do Brasil. He serves as a Board Member at Blue Yonder (Arizona). He serves as a Board Member at Sema4. He also serves as Senior Managing Director, Chief Executive Officer of Blackstone Private Equity Strategies, and Member of the Investment Committee at Blackstone. He served as a Board Member at GeneDx Holding. Since joining Blackstone in 2005, he has focused on structured finance transactions across several industries including financial institutions, consumers, media, and healthcare. Select advisory clients include Bank Of America, Digital Cinema Implementation Partners, Cineplex Entertainment, Empire Theatres, GIC, Qatar Foundation, Morgan Stanley, AIG, Kraf,t and the New York Public Asset Fund. Before joining Blackstone, he was a Credit Suisse and Donaldson, Lufkin, and Jenrette Structured Products businesses member. He graduated magna cum laude from Cornell University with a B.S. in Operations Research and Industrial Engineering. He also serves as a Board Member at Sema4 and FireEye, Inc. He served as a Board Member at PennEngineering and JDA Software Group.</t>
  </si>
  <si>
    <t>133067-17P</t>
  </si>
  <si>
    <t>Yacine Mancer</t>
  </si>
  <si>
    <t>Lexington Partners (Former)</t>
  </si>
  <si>
    <t>Mancer</t>
  </si>
  <si>
    <t>Yacine</t>
  </si>
  <si>
    <t>www.lexingtonpartners.com</t>
  </si>
  <si>
    <t>+44 (0)20 7399 3940</t>
  </si>
  <si>
    <t>Mr. Yacine Mancer serves as Principal at Lexington Partners. He served as Principal, Investor Relations at BC Partners. He formerly served as Senior Investor Relations Manager at Ardian. Prior to joining Ardian, He worked for two years within Al Faisal Holding in Doha, Qatar. He is primarily engaged in the firm's fundraising efforts and closely involved in the firm's relationships with investors in the Middle East. Moreover, he also worked for two years within investment banks in Paris and London. He graduated from the University of Paris Dauphine with a masters in finance</t>
  </si>
  <si>
    <t>60776-11P</t>
  </si>
  <si>
    <t>Campbell Lutyens (Former)</t>
  </si>
  <si>
    <t>Placement Agent (Fundraising)</t>
  </si>
  <si>
    <t>www.campbell-lutyens.com</t>
  </si>
  <si>
    <t>Mr. James Chalmers served as Vice President at Campbell Lutyens. James is a member of the Campbell Lutyens secondary advisory team. Prior to joining Campbell Lutyens, James worked as an analyst in the Advisory and M&amp;A division of DVB Bank, part of the DZ Bank Group. James holds a Bachelor of Science degree in Mathematics from the University of Warwick.</t>
  </si>
  <si>
    <t>63455-59P</t>
  </si>
  <si>
    <t>James Larner</t>
  </si>
  <si>
    <t>Threadmark (Former)</t>
  </si>
  <si>
    <t>Larner</t>
  </si>
  <si>
    <t>www.threadmark.com</t>
  </si>
  <si>
    <t>Associate</t>
  </si>
  <si>
    <t>James Larner served as Associate at Threadmark. He joined Threadmark in 2013 from J.P. Morgan. As a Vice President in the Private Bank, he had responsibility for business development, capital raising and relationship management across a broad client base. Whilst at J.P. Morgan, James was actively involved in raising capital for numerous funds including mezzanine, energy, real estate, sector focused buyout, mid market buyout and distressed debt. He joined J.P. Morgan from a family office where he held a business strategy and project management role. Prior to this James spent five years serving as an officer in the British Army's Welsh Guards. During this time he deployed on operations to Iraq and Kosovo, and he latterly served as an Equerry to HRH the Prince of Wales. James holds a Bachelor of Laws degree from the University of Birmingham, an MBA from Warwick Business School.</t>
  </si>
  <si>
    <t>298933-93P</t>
  </si>
  <si>
    <t>Westly House Partners</t>
  </si>
  <si>
    <t>www.westlyhouse.com</t>
  </si>
  <si>
    <t>+1 (646) 331-0410</t>
  </si>
  <si>
    <t>nhofgren@westlyhouse.com</t>
  </si>
  <si>
    <t>230 Park Avenue</t>
  </si>
  <si>
    <t>Suite 1560</t>
  </si>
  <si>
    <t>10169</t>
  </si>
  <si>
    <t>Mr. Nicholas Hofgren serves as Partner at Westly House Partners. He is a Co-Founder and serves as Chief Financial Officer at Quoherent. Prior to forming WHP, he had held the position of Managing Director at Brunswick Capital. He started his career by joining the launch of an investment bank in Miami and Lima. There he restructured eleven companies over five years in the FMCG, transportation, communications, and manufacturing sectors. Later he was hired by Bank of America to develop a new business, which was sold to JP Morgan Chase, heading EMEA and building a platform for raising private equity and real estate funds. He was hired as Managing Director in 2004 at Brunswick Capital (UBS), during which time he formed businesses for the shareholders including freight stock leasing and property development. He was hired as CIO of Immo Industry Group in 2007 where he led the formation of private funds and the building of new logistics facilities for leading companies across Europe. He was a partner of Tangent Ventures from 2008-2013, advising on restructuring a portfolio of nine companies including the world leader in electrical submersible pumps for oil extraction and the regional leader in gas pipeline valves. He has been a board member since 2010 of Prince Street Group funds, a leading frontier markets hedge fund manager with ~$1.1B assets under management. Since 2011 he has been a member of the development committee of the Prince's Teaching Institute, a charity organized by the Prince of Wales. He is a founder in Westly House, which secured the sale of a significant European wind farm. He is the founder of GFG Group Limited, GFG Limited and GFG Fund PCC Limited, which he grew to ~$500M of assets under management between 2014 and 2019. He has successfully led several MiFID main board securitizations at GFG. He was CEO and Chairman of Vordere plc for three years from 2016 to 2019, where he grew AUM from ~$1.5M to ~$150M (100x growth) and grew AUM per share by 260% via 13 acquisitions. He earned a bachelor of arts from Emory University in 1991. He earned his graduate degree in hyperinflationary finance from IESA in 1994. He studied at Columbia University, transferring to Emory University to complete a BA double major. He earned his post-graduate degree in Hyper-inflationary Finance from IESA.</t>
  </si>
  <si>
    <t>449199-46P</t>
  </si>
  <si>
    <t>Rayan Hasan</t>
  </si>
  <si>
    <t>FGS Global</t>
  </si>
  <si>
    <t>PR Firm</t>
  </si>
  <si>
    <t>Hasan</t>
  </si>
  <si>
    <t>Rayan</t>
  </si>
  <si>
    <t>www.fgsglobal.com</t>
  </si>
  <si>
    <t>+971 (0)4 442 6034</t>
  </si>
  <si>
    <t>rayan.hasan@fgsglobal.com</t>
  </si>
  <si>
    <t>Business Central Towers 48th Floor, Tower A</t>
  </si>
  <si>
    <t>P.O Box 11548</t>
  </si>
  <si>
    <t>Mr. Rayan Hasan serves as Managing Director at FGS Global. A graduate of the University of Jordan, King Abdullah II School of Information Technology, he holds a degree in Business Information Systems. He is a father of two and lives with his family in Dubai.</t>
  </si>
  <si>
    <t>459612-91P</t>
  </si>
  <si>
    <t>A. Fahd bin Nafl</t>
  </si>
  <si>
    <t>Al-Hilal Club</t>
  </si>
  <si>
    <t>Private Company</t>
  </si>
  <si>
    <t>bin Nafl</t>
  </si>
  <si>
    <t>A. Fahd</t>
  </si>
  <si>
    <t>www.alhilal.com</t>
  </si>
  <si>
    <t>+966 (0)11 431 2222</t>
  </si>
  <si>
    <t>Imam Abu Hanifa</t>
  </si>
  <si>
    <t>12971</t>
  </si>
  <si>
    <t>Mr. A. Fahd bin Nafl serves as Chairman of the Board of Directors at Al-Hilal Club. He chaired the Al-Hilal Club Board of Directors from 2019 to 2023, before being nominated as Chairman of the Al-Hilal Club Sports Members Foundation. In addition, he has served as a member of the Board of Directors for several local and international companies. His professional journey also includes holding various leadership positions at Kingdom Holding Company, culminating in his role as Executive Director of Business Development. He completed his Bachelor's in Business Administration and Entrepreneurship from the University of Miami, USA.</t>
  </si>
  <si>
    <t>59797-18P</t>
  </si>
  <si>
    <t>A. Kips</t>
  </si>
  <si>
    <t>Royal IHC (Former)</t>
  </si>
  <si>
    <t>Kips</t>
  </si>
  <si>
    <t>A.</t>
  </si>
  <si>
    <t>www.royalihc.com</t>
  </si>
  <si>
    <t>Mr. A. E. Kips served as Board Member of IHC Merwede.</t>
  </si>
  <si>
    <t>286015-42P</t>
  </si>
  <si>
    <t>Abdul Manaf</t>
  </si>
  <si>
    <t>Easysoft Technologies</t>
  </si>
  <si>
    <t>Manaf</t>
  </si>
  <si>
    <t>easysoftindia.com</t>
  </si>
  <si>
    <t>Co-Founder &amp; Chief Executive Officer</t>
  </si>
  <si>
    <t>+91 (0)90 3715 2055</t>
  </si>
  <si>
    <t>manaf@easysoftindia.com</t>
  </si>
  <si>
    <t>Kochi, India</t>
  </si>
  <si>
    <t>5th Floor, Chakolas Heights, Seaport Airport Road</t>
  </si>
  <si>
    <t>Near Infopark South Gate, Chittethukara, Kakkanad</t>
  </si>
  <si>
    <t>Kochi</t>
  </si>
  <si>
    <t>Kerala</t>
  </si>
  <si>
    <t>682037</t>
  </si>
  <si>
    <t>Mr. Abdul Manaf is a Co-Founder and serves as Chief Executive Officer at Easysoft Technologies. As a hardcore fan of Bill Gates, Mr. Manaf started the dreams of building something great in future when he was doing his higher secondary education in 2002 and with inspiration from Microsoft, he named his future company as "Easysoft". It was not just a wild dream, but o ne, which would define the very objective of his life in years to come. In 2005 Easysoft becoming a real life business when Manaf and his class-mate Shamal Chandran started with freelance static web designing services, which led to them eventually dropping out of their course and starting Easysoft Technologies in 2006. In 2009, he started the association with Padma Shri Mammootty for re-designing his official website and this association turned into a lifetime partnership. In 2012 Abdul Manaf co-founded "Movie Gear" with Mammootty, a digital marketing company with prime focus on celebrity management and films. Over the next years MovieGear worked with various superstars like Dulquer Salmaan, Fahadh Faasil, Nivin Pauly, Unni Mukundan, Dileep, Jayasurya etc. From 2009 onwards, Abdul Manaf working as the Social Media Manager to Mammootty. From 2012, he started working with Facebook India officials as a strategic partner in public contents, he worked with all the celebrities, politicians, media companies from Kerala as their Social Media Consultant.</t>
  </si>
  <si>
    <t>434482-57P</t>
  </si>
  <si>
    <t>Abdulelah Alatabani</t>
  </si>
  <si>
    <t>Seed Group (Business and IT Services)</t>
  </si>
  <si>
    <t>Alatabani</t>
  </si>
  <si>
    <t>Abdulelah</t>
  </si>
  <si>
    <t>www.seedgroup-sa.com</t>
  </si>
  <si>
    <t>+966 (0)11 216 0034</t>
  </si>
  <si>
    <t>Office 260, Floor 5, Tower B</t>
  </si>
  <si>
    <t>Al Mousa Center, Ollaya Street</t>
  </si>
  <si>
    <t>Mr. Abdulelah Alatabani serves as Chief Executive Officer at Seed Group.</t>
  </si>
  <si>
    <t>320509-90P</t>
  </si>
  <si>
    <t>Abdullah Yousef Al-Babtain</t>
  </si>
  <si>
    <t>Al-Themar International Holding Company (Former)</t>
  </si>
  <si>
    <t>Al-Babtain</t>
  </si>
  <si>
    <t>Abdullah Yousef</t>
  </si>
  <si>
    <t>www.althemar.net</t>
  </si>
  <si>
    <t>Chief Executive Officer &amp; Vice Chairman</t>
  </si>
  <si>
    <t>Mr. Abdullah Yousef Al-Babtain served as Chief Executive Officer &amp; Vice Chairman at Al-Themar International Holding Company.</t>
  </si>
  <si>
    <t>159034-06P</t>
  </si>
  <si>
    <t>Abigail McElhinny Ph.D</t>
  </si>
  <si>
    <t>AOA Dx</t>
  </si>
  <si>
    <t>McElhinny</t>
  </si>
  <si>
    <t>Abigail</t>
  </si>
  <si>
    <t>www.aoadx.com</t>
  </si>
  <si>
    <t>Chief Scientific Officer</t>
  </si>
  <si>
    <t>+1 (617) 903-0350</t>
  </si>
  <si>
    <t>abigail.mcelhinny@aoadx.com</t>
  </si>
  <si>
    <t>Denver, CO</t>
  </si>
  <si>
    <t>6860 Broadway</t>
  </si>
  <si>
    <t>Denver</t>
  </si>
  <si>
    <t>Colorado</t>
  </si>
  <si>
    <t>80221</t>
  </si>
  <si>
    <t>Dr. Abigail McElhinny serves as Chief Scientific Officer at AOA Dx. She is an experienced leader in bringing together science, technology, teams and product development processes to launch complex diagnostic assay systems that make an impact in the field of oncology For close to two decades, she has led R&amp;D teams across the continuum from the earliest phases of research and technology transfer, through regulatory submission and approval of products focused on improving the lives of patients with cancer. These technologies include global launches of immunohistochemistry (IHC)-based assays used to select patients for various targeted-therapies (companion diagnostics); next generation sequencing (NGS)- based panels and associated bioinformatics software for molecular profiling of tumor tissue and liquid biopsies; and multi-omic assays with machine learning (ML) for the early detection of cancer signals in the blood from otherwise healthy individuals. She specializes in leading diverse, cross-functional teams to also include manufacturing scale-up, clinical validation, and on-market support She received her PhD at Northeastern University in Boston, followed by post- doctoral fellowships at the University of Arizona focused on understanding the molecular assembly of muscle proteins during development. She is passionate about helping to build capabilities in R&amp;D, manufacturing, data science and bioinformatics/software engineering and seeing teams achieve shared goals.</t>
  </si>
  <si>
    <t>447218-47P</t>
  </si>
  <si>
    <t>Adam Latimer</t>
  </si>
  <si>
    <t>Intercounty</t>
  </si>
  <si>
    <t>Latimer</t>
  </si>
  <si>
    <t>www.intercounty.co.uk</t>
  </si>
  <si>
    <t>adamlatimer@intercounty.co.uk</t>
  </si>
  <si>
    <t>Bishop's Stortford, United Kingdom</t>
  </si>
  <si>
    <t>21 North Street</t>
  </si>
  <si>
    <t>Bishop's Stortford</t>
  </si>
  <si>
    <t>CM23 2LD</t>
  </si>
  <si>
    <t>Mr. Adam Latimer serves as Managing Director at Intercounty. He brings experience from previous roles at Purplebricks.com, Simpson &amp; Partners Estate Agents and HARRISON MURRAY ESTATE AGENTS LIMITED. Adam Latimer holds a 1999 - 2002 Prince William Upper School, Oundle. With a robust skill set that includes Property Management, Negotiation, Leadership, Strategic Planning, Investment Properties and more.</t>
  </si>
  <si>
    <t>403677-64P</t>
  </si>
  <si>
    <t>Adel Alsayed Ph.D</t>
  </si>
  <si>
    <t>Pinnacle Capital (Financial Services)</t>
  </si>
  <si>
    <t>Alsayed</t>
  </si>
  <si>
    <t>www.pinnacle.sa</t>
  </si>
  <si>
    <t>Co-Founder, Chief Executive Officer, Managing Partner &amp; Board Member</t>
  </si>
  <si>
    <t>+966 (0)11 236 0097</t>
  </si>
  <si>
    <t>Masharik Tower, 4th Floor</t>
  </si>
  <si>
    <t>King Fahad Road, Al Motamaraat District</t>
  </si>
  <si>
    <t>11433</t>
  </si>
  <si>
    <t>Dr. Adel Alsayed is a Co-Founder and serves as Chief Executive Officer, Managing Partner and Board Member at Pinnacle Capital. Dr. Alsayed holds a BSc. in Civil Engineering from King Fahad University of Petroleum &amp; Minerals, an MSc. in Engineering Management from Milwaukee School of Engineering, and a Ph.D. in finance from George Washington University. He has more than 27 years of experience in financial advisory, asset management, and private equity investments. His latest position at Kingdom Holding involved managing a private equity portfolio of over $9b that included investments in the banking, technology, and entertainment sectors. Before that, he was the CEO of a Bahrain-listed industrial investment company operating in Saudi Arabia; investments included sectors such as steel, paints, and downstream petrochemicals. Throughout his career, he held senior positions in several leading financial institutions including Samba Financial Group, Bahrain International Bank, Gulf Investment Corporation, and the World Bank. His experience also includes establishing and managing private equity funds targeting the US and Africa, as well as M&amp;A advisory projects in the Kingdom.</t>
  </si>
  <si>
    <t>67435-84P</t>
  </si>
  <si>
    <t>Adel Mustafawi</t>
  </si>
  <si>
    <t>Qatar Luxury Group (Former)</t>
  </si>
  <si>
    <t>Mustafawi</t>
  </si>
  <si>
    <t>www.qatarluxurygroup.com</t>
  </si>
  <si>
    <t>Director &amp; Member of the Executive Committee</t>
  </si>
  <si>
    <t>Mr. Adel Mustafawi served as Director and Member of the Executive Committee at Qatar Luxury Group.</t>
  </si>
  <si>
    <t>197053-57P</t>
  </si>
  <si>
    <t>Ahmed Alkhoshaibi</t>
  </si>
  <si>
    <t>Arada Developments</t>
  </si>
  <si>
    <t>Alkhoshaibi</t>
  </si>
  <si>
    <t>www.arada.com</t>
  </si>
  <si>
    <t>+971 (0)8 002 7232</t>
  </si>
  <si>
    <t>Festival Tower, 19th Floor</t>
  </si>
  <si>
    <t>Dubai Festival City</t>
  </si>
  <si>
    <t>Mr. Ahmed Alkhoshaibi serves as Chief Executive Officer at Arada Developments. He also serves as a Vice Chairman at Raimondi Cranes. He serves as Group Chief Executive Officer at KBW Investments. As Group Chief Executive Officer of Arada, he is responsible for all aspects of corporate performance, including the execution of a successful long-term strategy, as well as planning, development, marketing and sales, all of which have added considerable shareholder value. In the short space of time since the company was launched, he has also been responsible for the recruitment of a 1,500-strong team of real estate professionals, each of whom have extensive experience in this field. He is also Group Chief Executive Officer of KBW Investments, founded by HRH Prince Khaled bin Alwaleed Bin Talal. Prior to the formation of Arada, he managed and orchestrated several profitable exits in a number of industries with operations that varied in size and scale. Prior to KBW Investments, he masterminded the successful conceptualization, planning, construction, sales and delivery of a series of residential and mixed-use communities in Sydney, Australia. With practical leadership and executive experience across a number of sectors, his educational background includes a degree in business finance together with an executive MBA.</t>
  </si>
  <si>
    <t>395673-67P</t>
  </si>
  <si>
    <t>Ahmed Ayman</t>
  </si>
  <si>
    <t>W Motors Automotive Group Holding</t>
  </si>
  <si>
    <t>www.wmotors.ae</t>
  </si>
  <si>
    <t>Head of Business Development</t>
  </si>
  <si>
    <t>+971 (0)4 259 0405</t>
  </si>
  <si>
    <t>ahmedayman@wmotors.ae</t>
  </si>
  <si>
    <t>Dubai Silicon Oasis</t>
  </si>
  <si>
    <t>Mr. Ahmed Ayman serves as Head of Business Development at W Motors. He served as Business Development Manager at W Motors. He served as Senior Manager of International Ventures at The Private Office of Sheikh Saeed bin Ahmed Al Maktoum. He was a Co-Founder and served as Chief Operating Officer at Mont8. He served as Regional Manager at Biopipe. He was a Co-Founder and served as Events Director at Illuminated Events. He served as Account and Activation Director at MMG Eventz. He served as an Engineering Trainee at IGS Foundation Contracting. He served as Account Manager at MMG Eventz. He served as a Freelancer in the Marketing &amp; Advertisement industry. He holds a Bachelor's Degree in Civil Engineering from the American University of Sharjah.</t>
  </si>
  <si>
    <t>334111-06P</t>
  </si>
  <si>
    <t>Ahmed Nawasrah</t>
  </si>
  <si>
    <t>Khareta</t>
  </si>
  <si>
    <t>Nawasrah</t>
  </si>
  <si>
    <t>www.khareta.com</t>
  </si>
  <si>
    <t>+962 (0)98216171</t>
  </si>
  <si>
    <t>ahmed.nawasrah@khareta.com</t>
  </si>
  <si>
    <t>King Hussein Business Park</t>
  </si>
  <si>
    <t>11855</t>
  </si>
  <si>
    <t>Mr. Ahmed Nawasrah is a Co-Founder and serves as Chief Executive Officer at Khareta. he served as Chief Commercial Officer at Mawdoo3. He is a co-founder and CEO of Salma AI starting in August 2021. In the past, Ahmed held positions at Emerson Automation Solutions, where they served as a Sales Leader - Energy Solutions International - Middle East &amp; Africa from May 2016 to May 2018, and as a Corporate Strategic Planning Manager from June 2013 to May 2016. Before joining Emerson, they worked at King Abdullah II Design and Development Bureau (KADDB), where they were an AICSR Project Manager from July 2007 to June 2010, and an Electrical and Electronics Design Unit Supervisor from August 2008 to November 2008. Earlier in their career, Ahmed founded and managed Al-Baheth Electronic Center from April 2004 to August 2008. Ahmed Nawasrah obtained a Master's degree in Business Administration (MBA) with a focus on Operations and Technology Management from the Questrom School of Business at Boston University. Before this, they pursued a Master's degree in Computer Engineering from Jami'at Al-Ulum wa Al-Tiknolojia Al-Urdunia. Ahmed also holds a Bachelor's degree in Electrical Engineering from Al Jami'at Al-Hashimiyyah. Their education journey began at The Jubilee Institute, where they studied for three years, although the specific degree and field of study during that time were unspecified.</t>
  </si>
  <si>
    <t>329326-84P</t>
  </si>
  <si>
    <t>Alan Flax</t>
  </si>
  <si>
    <t>Southern Ophthalmology</t>
  </si>
  <si>
    <t>Flax</t>
  </si>
  <si>
    <t>www.southernophthalmology.com.au</t>
  </si>
  <si>
    <t>Founding Partner &amp; Ophthalmologist</t>
  </si>
  <si>
    <t>+61 (0)2 9587 8585</t>
  </si>
  <si>
    <t>aflax@southernophthalmology.com.au</t>
  </si>
  <si>
    <t>Kogarah, Australia</t>
  </si>
  <si>
    <t>Level 2, 4 Belgrave Street</t>
  </si>
  <si>
    <t>Suite 2A</t>
  </si>
  <si>
    <t>Kogarah</t>
  </si>
  <si>
    <t>New South Wales</t>
  </si>
  <si>
    <t>2217</t>
  </si>
  <si>
    <t>+61 (0)2 9587 8279</t>
  </si>
  <si>
    <t>Dr. Alan Flax is a Founding Partner and serves as Ophthalmologist at Southern Ophthalmology. Dr Flax is a comprehensive eye specialist with special interests in refractive cataract surgery, glaucoma and diabetic eye disease. He is a medical graduate of the University of the Witwatersrand, Johannesburg, South Africa and has a Master of Business Administration (MBA) Degree from the Graduate School of Business, University of Cape Town. Prior to specializing in Ophthalmology at the Department of Ophthalmology, the University of NSW at Prince of Wales, St George and Sutherland Hospitals, Dr. Flax held numerous senior management positions in public and private hospitals in South Africa and Australia. He remains actively involved in teaching. He was involved in the establishment of the Outback Eye Service and was the project coordinator of NSW's first teleophthalmology program.</t>
  </si>
  <si>
    <t>58849-39P</t>
  </si>
  <si>
    <t>Flexitricity</t>
  </si>
  <si>
    <t>www.flexitricity.com</t>
  </si>
  <si>
    <t>Founder, Chief Strategy Officer &amp; Managing Director</t>
  </si>
  <si>
    <t>+44 (0)13 1221 8100</t>
  </si>
  <si>
    <t>alastair@flexitricity.com</t>
  </si>
  <si>
    <t>102 West Port</t>
  </si>
  <si>
    <t>EH3 9DN</t>
  </si>
  <si>
    <t>+44 (0)13 1629 9375</t>
  </si>
  <si>
    <t>Dr. Alastair Martin is the Founder and serves as Chief Strategy Officer and Managing Director at Flexitricity. Alastair is a professional energy engineer with experience ranging from gigawatt-scale coal and nuclear power stations, through industrial energy efficiency, to very small embedded wind, solar and hydro generators. He founded Flexitricity to enable small generators and energy users to improve their own financial position while reducing the environmental impact of the power generation industry.</t>
  </si>
  <si>
    <t>104395-24P</t>
  </si>
  <si>
    <t>UK Demand Response Association (Former)</t>
  </si>
  <si>
    <t>www.ukdra.com</t>
  </si>
  <si>
    <t>Mr. Alastair Martin Co-Founded UK Demand Response Association.</t>
  </si>
  <si>
    <t>262943-65P</t>
  </si>
  <si>
    <t>Alberto Carlana</t>
  </si>
  <si>
    <t>Selle Royal Group</t>
  </si>
  <si>
    <t>Carlana</t>
  </si>
  <si>
    <t>Alberto</t>
  </si>
  <si>
    <t>www.selleroyalgroup.com</t>
  </si>
  <si>
    <t>Group Information Technology Director</t>
  </si>
  <si>
    <t>+39 04 4446 1100</t>
  </si>
  <si>
    <t>a.carlana@selleroyal.com</t>
  </si>
  <si>
    <t>Pozzoleone, Italy</t>
  </si>
  <si>
    <t>Via Vittorio Emanuele, 119</t>
  </si>
  <si>
    <t>Pozzoleone</t>
  </si>
  <si>
    <t>Vicenza</t>
  </si>
  <si>
    <t>36050</t>
  </si>
  <si>
    <t>Mr. Alberto Carlana serves as Group Information Technology Director at Selle Royal Group. He previously served as Chief Technology Officer at the company.</t>
  </si>
  <si>
    <t>262943-02P</t>
  </si>
  <si>
    <t>Alberto Pat</t>
  </si>
  <si>
    <t>Group Finance Director</t>
  </si>
  <si>
    <t>a.pat@selleroyal.com</t>
  </si>
  <si>
    <t>Mr. Alberto Pat serves as Group Finance Director at Selle Royal Group. He previously served as Group Finance Director at the company.</t>
  </si>
  <si>
    <t>118976-50P</t>
  </si>
  <si>
    <t>Alex Johnston</t>
  </si>
  <si>
    <t>Amphio (Former)</t>
  </si>
  <si>
    <t>Johnston</t>
  </si>
  <si>
    <t>www.amphio.co</t>
  </si>
  <si>
    <t>Chief Marketing Officer</t>
  </si>
  <si>
    <t>Mr. Alex Johnston served as Chief Marketing Officer at Amphio. He works across the business, leading the commercial strategy of the company to ensure that Touchpress continues to be at one with the digital market place. Previously, he was an Executive Vice President at Omnicom, a leading international holding company for marketing service agencies whose global clients include Apple and PepsiCo. Alex is currently a Director at Freud Communications, which he co-founded and worked as Creative Director for many years.</t>
  </si>
  <si>
    <t>93900-16P</t>
  </si>
  <si>
    <t>Alexander Johnston</t>
  </si>
  <si>
    <t>Qiktionary</t>
  </si>
  <si>
    <t>www.qiktionary.com</t>
  </si>
  <si>
    <t>Co-Founder &amp; Board Member</t>
  </si>
  <si>
    <t>alex_j@qiktionary.com</t>
  </si>
  <si>
    <t>Leiston, United Kingdom</t>
  </si>
  <si>
    <t>Fishers Farm Abbey Lane</t>
  </si>
  <si>
    <t>Theberton</t>
  </si>
  <si>
    <t>Leiston</t>
  </si>
  <si>
    <t>IP16 4TE</t>
  </si>
  <si>
    <t>Mr. Alexander Johnston is a Co-Founder &amp; serves as Board member at Qiktionary. He founded and served as Chief Executive Officer at Sound Circles. He serves as Board Member at World Wide Web Foundation. He has recently re-joined Freud Communications as a Director. Previously, he was an Executive Vice President at Omnicom, a leading international holding company for advertising and marketing service agencies whose global clients include Apple, MacDonalds and PepsiCo. At Omnicom, he advised on digital and earned media strategies for clients and managed digital incubation initiatives. Prior to joining Omnicom in 2010, Mr. Johnston was a senior communications advisor to PepsiCo. From 2005 to 2008, he was the Managing Partner and Founder of Fleming Media, a rights and media acquisition fund backed by the Fleming family. Mr. Johnston was a co-founder of Freud Communications, where he was Creative Director for many years.</t>
  </si>
  <si>
    <t>140666-68P</t>
  </si>
  <si>
    <t>Alexander van Noort</t>
  </si>
  <si>
    <t>van Noort</t>
  </si>
  <si>
    <t>Mr. Alexander van Noort served as Chief Operating Officer at Royal IHC. He is responsible for daily operations in the fields of Mission Equipment, Shipbuilding and Services. Prior to his appointment at IHC, Van Noort worked in various positions at Schlumberger.</t>
  </si>
  <si>
    <t>214334-20P</t>
  </si>
  <si>
    <t>Alexandre Micheloud</t>
  </si>
  <si>
    <t>UHCS Constructions</t>
  </si>
  <si>
    <t>Micheloud</t>
  </si>
  <si>
    <t>Alexandre</t>
  </si>
  <si>
    <t>uhcs.swiss</t>
  </si>
  <si>
    <t>+41 (0)78 609 9883</t>
  </si>
  <si>
    <t>alexandre.micheloud@capecapital.com</t>
  </si>
  <si>
    <t>Sion, Switzerland</t>
  </si>
  <si>
    <t>Fondation the Ark</t>
  </si>
  <si>
    <t>Rue de lIndustrie 17</t>
  </si>
  <si>
    <t>Sion</t>
  </si>
  <si>
    <t>1950</t>
  </si>
  <si>
    <t>Mr. Alexandre Micheloud is a Co-Founder of Ustinov Hoffmann Construction System. Mr. Micheloud joined Cape Capital in March 2022 as an Impact Investment Specialist. Previously he worked for 3 years as a Project Manager at a Single Family Office, building impact-first initiatives and ventures, and advising on impact investing opportunities. Prior to that, he interned at the Ellen MacArthur Foundation and LGT Bank. He serves as an Executive at Ustinov Hoffmann Construction System.</t>
  </si>
  <si>
    <t>418797-55P</t>
  </si>
  <si>
    <t>Ali Dalloul</t>
  </si>
  <si>
    <t>Group 42 Holding</t>
  </si>
  <si>
    <t>Dalloul</t>
  </si>
  <si>
    <t>Ali</t>
  </si>
  <si>
    <t>www.g42.ai</t>
  </si>
  <si>
    <t>Group Chief Strategy Officer</t>
  </si>
  <si>
    <t>ali.dalloul@g42.ai</t>
  </si>
  <si>
    <t>Capital Gate,12 Floor</t>
  </si>
  <si>
    <t>Al Khaleej Al Arabi Street</t>
  </si>
  <si>
    <t>Mr. Ali Dalloul serves as Group Chief Strategy Officer at G42. Mr. Dalloul is a seasoned American technology executive. With three decades of leading and delivering cloud and Al programs at Microsoft, Dalloul brings an exceptional track record that aligns with G42's strategic objectives to drive growth globally. Dalloul, who previously served as Microsoft Vice President of Azure Al Customer Experience Engineering, brings a wealth of operating experience in Al commercialization, enterprise adoption, and product strategy.</t>
  </si>
  <si>
    <t>281493-82P</t>
  </si>
  <si>
    <t>Allan Kirkman</t>
  </si>
  <si>
    <t>The IHC Group (Former)</t>
  </si>
  <si>
    <t>Kirkman</t>
  </si>
  <si>
    <t>www.ihcgroup.com</t>
  </si>
  <si>
    <t>Mr. Allan Kirkman serves as Board Member at The IHC Group. Allan C. Kirkman, For more than the past five years, a member of each of the Audit Committee and the Compensation Committee of IHC and Chairman of the Compensation Committee of IHC; for more than the five years prior to his retirement in October 2005, Executive Vice President of Mellon Bank, N.A., a national bank.</t>
  </si>
  <si>
    <t>194547-70P</t>
  </si>
  <si>
    <t>Allen Gown MD</t>
  </si>
  <si>
    <t>PhenoPath (Former)</t>
  </si>
  <si>
    <t>Gown</t>
  </si>
  <si>
    <t>Allen</t>
  </si>
  <si>
    <t>www.phenopath.com</t>
  </si>
  <si>
    <t>Founder, Principal &amp; Associate Medical Director</t>
  </si>
  <si>
    <t>Dr. Allen Gown Founded &amp; served as Principal &amp; Associate Medical Director at PhenoPath. He received his MD from the Albert Einstein College of Medicine of Yeshiva University, Bronx, NY in 1975, and then completed his Pathology Residency as well as Pathology Fellowship training at the University of Washington, Seattle, the latter under the aegis of Dr. Earl Benditt. Dr. Gown rose through the ranks to full Professor of Pathology and served as attending pathologist at the University of Washington Medical Center, where he developed and directed the immunohistochemistry (IHC) laboratory. In 1997, Dr. Gown left the University of Washington to found PhenoPath, which has grown to become an internationally renowned specialty pathology reference laboratory. Currently, Medical Director and Chief Pathologist at PhenoPath, Dr. Gown is a pathologist-scientist recognized as one of the world's leading experts in the diagnostic and research applications of IHC. He has developed numerous clinically important monoclonal antibodies employed in IHC laboratories around the world (HMB-45, OSCAR, etc.). Dr. Gown is a member of the editorial boards of many of the major pathology journals. He is a Clinical Professor of Pathology at the University of British Columbia, Vancouver, BC, and an Affiliate Investigator in the Clinical Research Division of the Fred Hutchinson Cancer Research Center, Seattle, WA. Dr. Gown continues to be at the forefront of clinical investigative studies employing IHC and other modalities with over 300 peer-reviewed publications and as a frequent presenter at national and international conferences.</t>
  </si>
  <si>
    <t>406308-61P</t>
  </si>
  <si>
    <t>Alphonse Ateba Noa</t>
  </si>
  <si>
    <t>Inter'Activ Consulting</t>
  </si>
  <si>
    <t>Ateba Noa</t>
  </si>
  <si>
    <t>Alphonse</t>
  </si>
  <si>
    <t>www.interactivconsulting.com</t>
  </si>
  <si>
    <t>Founder, Managing Partner &amp; Head of Mission</t>
  </si>
  <si>
    <t>anoa@interactivconsulting.com</t>
  </si>
  <si>
    <t>Yaounde, Cameroon</t>
  </si>
  <si>
    <t>Derrière Usine Bastos</t>
  </si>
  <si>
    <t>Yaounde</t>
  </si>
  <si>
    <t>16257</t>
  </si>
  <si>
    <t>Cameroon</t>
  </si>
  <si>
    <t>Mr. Alphonse Ateba Noa is the Founder and serves as Managing Partner &amp; Head of Mission at Inter'Activ Consulting. With a 25-year career, Mr. Ateba Noa regularly carries out consulting missions in marketing , communication and digital for entities such as UNICEF, UNDP, FAO, UNCTAD, the European Union, GIZ, ECCAS, CEMAC, WHO, AfDB, Expertise France, etc. He is also associated with professional teaching in several schools and training institutes in the fields of communication , marketing and digital in Cameroon. He was successively Head of Communication for the Multisectoral AIDS Control Program (World Bank Project in Cameroon), and Head of the Communication and Public Relations Division at SNI. He holds a Master's degree in Marketing Management and Commercial Strategy from HEC-Paris , a European Master's degree in Communication Management, specializing in Advertising Strategies and Digital Communication, and a Diploma in Information and Communication Sciences and Techniques, specializing in Journalism. Since 2010, he has been managing INTER'ACTIV CONSULTING, a consulting agency specializing in communication for development.</t>
  </si>
  <si>
    <t>443150-56P</t>
  </si>
  <si>
    <t>Alvin Christian</t>
  </si>
  <si>
    <t>Pertamedika IHC</t>
  </si>
  <si>
    <t>Alvin</t>
  </si>
  <si>
    <t>www.pertamedika.co.id</t>
  </si>
  <si>
    <t>Director of Finance and Risk Management &amp; Board Member</t>
  </si>
  <si>
    <t>+62 (0)21 721 9001</t>
  </si>
  <si>
    <t>alvin.christian@pertamedika.co.id</t>
  </si>
  <si>
    <t>South Jakarta, Indonesia</t>
  </si>
  <si>
    <t>Jalan Kyimaja Number 43 Kebayoran Baru</t>
  </si>
  <si>
    <t>South Jakarta</t>
  </si>
  <si>
    <t>12120</t>
  </si>
  <si>
    <t>Indonesia</t>
  </si>
  <si>
    <t>Mr. Alvin Christian serves as Director of Finance and Risk Management &amp; Board Member at Pertamedika IHC. Previously, he served as Managing Director, Regional Head of Service - Asia Pacific, TMF Group. He is a graduate of Bachelor of Science in Business Administration from Northeastern University and Master of Science in Financial Economics from Boston University.</t>
  </si>
  <si>
    <t>326598-49P</t>
  </si>
  <si>
    <t>Amin Qureshi</t>
  </si>
  <si>
    <t>Sawaeed</t>
  </si>
  <si>
    <t>Qureshi</t>
  </si>
  <si>
    <t>Amin</t>
  </si>
  <si>
    <t>www.sawaeedholding.com</t>
  </si>
  <si>
    <t>+971 (0)2 559 4444</t>
  </si>
  <si>
    <t>amin.qureshi@sawaeedholding.com</t>
  </si>
  <si>
    <t>11th street, ICAD III, M40 Mussafah</t>
  </si>
  <si>
    <t>Mr. Amin Qureshi serves as Chief Financial Officer at Sawaeed.Mr. Qureshi is a finance professional with over 20 years of experience spanning diversified verticals, include manufacturing, distribution, investments, banking and financial services. He has worked with large companies of international repute namely ExxonMobil, Procter &amp; Gamble, Pakistan Stock Exchange, Royal Group UAE and Reem Finance in various regions such as Pakistan, Central Asia and Middle East. He holds a Bachelor's Degree in Commerce as well as a professional qualification, Cost &amp; Management Accountant (CMA) and is a Chartered Financial Analyst - CFA Charter-holder.</t>
  </si>
  <si>
    <t>399972-07P</t>
  </si>
  <si>
    <t>Amit Arora</t>
  </si>
  <si>
    <t>Arora</t>
  </si>
  <si>
    <t>Amit</t>
  </si>
  <si>
    <t>a.arora@arada.com</t>
  </si>
  <si>
    <t>Mr. Amit Arora serves as Chief Operating Officer at Arada Developments. As Chief Operating Officer, HE =oversees Arada's Hospitality and Entertainment division, which incorporates a number of rapidly growing segments including wellness, hospitality, F&amp;B and events. He is also responsible for all Arada's new non-residential business. He is a hospitality professional with nearly three decades of experience in the hospitality industry across the UAE, Germany and USA. Prior to joining Arada, He was Chief Operating Officer at Erth Abu Dhabi, formerly known as the Armed Forces Officers Club &amp; Hotel where he provided strategic direction and leadership to the group's diverse portfolio, covering Hotels, Recreation Clubs, Catering, Hospitality and Restaurants division, and played a pivotal role in bringing École Ducasse, the world's premier culinary institution, to Abu Dhabi. He has also served as Chief Executive Officer, Hospitality at FIVE Holdings, where he was instrumental in establishing the hotel division for the group, and as Chief Sales and Marketing Officer at Emaar Hospitality Group where he spearheaded the development and launch of three distinctive brands: The Address Hotels and Resorts, Armani Hotels and Resorts, and Vida Hotels. His 15-year journey with The Ritz-Carlton Hotel Company included senior executive roles in global locations, including Boston, Berlin, and Dubai. His final assignment involved serving as Multi Property General Manager of The Ritz-Carlton properties in Ras Al Khaimah. He is a graduate of the International College of Hotel Management at Modul University in Austria.</t>
  </si>
  <si>
    <t>179893-63P</t>
  </si>
  <si>
    <t>Amit Kaushal</t>
  </si>
  <si>
    <t>Dubai Holding</t>
  </si>
  <si>
    <t>Kaushal</t>
  </si>
  <si>
    <t>www.dubaiholding.com</t>
  </si>
  <si>
    <t>Group Chief Executive Officer</t>
  </si>
  <si>
    <t>+971 (0)4 540 0400</t>
  </si>
  <si>
    <t>a.kaushal@dubaiholding.com</t>
  </si>
  <si>
    <t>Umm Suqeim Road</t>
  </si>
  <si>
    <t>PO Box 66000</t>
  </si>
  <si>
    <t>+971 (0)4 362 2091</t>
  </si>
  <si>
    <t>Mr. Amit Kaushal serves as Group Chief Executive Officer at Dubai Holding. He also serves as a Council Member at The British University in Dubai. He was appointed as the Group Chief Executive Officer of Dubai Holding in February 2018. Since then, he has led the Group's operations in 13 countries across various sectors, including real estate, hospitality, media, retail, leisure, and entertainment. During his tenure, he has led several transformational initiatives that have helped spur sustainable economic growth through diversification and investments in strategic partnerships in the UAE and internationally. These included the successful listings of TECOM Group (TECOM), the Group's operator of business districts;,and Emirates Central Cooling Systems Corporation (Empower), the world's largest district cooling service provider, on the Dubai Financial Market in 2022. Other key initiatives included the integration into Dubai Holding of Meraas, a world-class real estate master developer, and the creation of significant strategic partnerships with leading UAE and global corporations - the more recent ones including joint ventures with leading global alternative asset manager Brookfield Asset Management and leading UAE real estate developer and manager Aldar Properties, and a transaction with Emaar Properties, which resulted in Dubai Holding becoming the second largest shareholder in that listed entity. He has also been instrumental in strengthening Dubai Holding's position as a global leader in the luxury hospitality market through strategic acquisitions of flagship properties such as The Westin-Paris Vendome (France), Le Richemond (Switzerland), and Capri Palace (Italy). In addition to his executive leadership of the Group, he serves on the boards and committees of several regional and international organizations. His current board involvements include non-executive directorships on TECOM, Empower, and Azadea Group, one of the region's largest international lifestyle retailers. He also serves on the Advisory Board of Warwick Business School, a leading Russell Group university in the UK. He is also a member of TECOM's and Empower's respective Audit and Risk Committees and Azadea's and TECOM's respective Nomination and Remuneration Committees. He also chairs the Executive Committee of Shamal Holding, a diversified investment company. He has strong experience in financial services, having spent more than a decade in the earlier years of his career with leading investment banks in London and Dubai, where he worked for Goldman Sachs, UBS, and Deutsche Bank across transaction advisory, structuring, and capital markets disciplines. He holds a Master of Philosophy degree in Finance from the University of Cambridge (UK) and a BSc (First Class Hons.) in Mathematics, Operational Research, Statistics, and Economics from the University of Warwick (UK).</t>
  </si>
  <si>
    <t>81355-42P</t>
  </si>
  <si>
    <t>Anders Björe</t>
  </si>
  <si>
    <t>Marine Jet Power (Former)</t>
  </si>
  <si>
    <t>Björe</t>
  </si>
  <si>
    <t>Anders</t>
  </si>
  <si>
    <t>www.marinejetpower.com</t>
  </si>
  <si>
    <t>+46 (0)70 52 89 96 4</t>
  </si>
  <si>
    <t>Mr. Anders Björe is the Owner of Arada and also serves as its CEO. He serves as Chief Financial Officer at Marine Jet Power.</t>
  </si>
  <si>
    <t>142214-95P</t>
  </si>
  <si>
    <t>Andre Jansen</t>
  </si>
  <si>
    <t>innoForce (Former)</t>
  </si>
  <si>
    <t>Jansen</t>
  </si>
  <si>
    <t>innoforce.com</t>
  </si>
  <si>
    <t>Mr. Andre Jansen was the Owner at innoForce. He served as Director Owner (DGA) at IHC Vremac Cylinders.</t>
  </si>
  <si>
    <t>262943-92P</t>
  </si>
  <si>
    <t>Andrea Cecchinato</t>
  </si>
  <si>
    <t>Selle Royal Group (Former)</t>
  </si>
  <si>
    <t>Cecchinato</t>
  </si>
  <si>
    <t>Operations Director, Chief Operating Officer &amp; Chief Information Officer</t>
  </si>
  <si>
    <t>Mr. Andrea Cecchinato served as Operations Director, Chief Operating Officer &amp; Chief Information Officer at Selle Royal Group.</t>
  </si>
  <si>
    <t>191328-58P</t>
  </si>
  <si>
    <t>Andrea Mollica</t>
  </si>
  <si>
    <t>Royal Group</t>
  </si>
  <si>
    <t>Mollica</t>
  </si>
  <si>
    <t>www.royalgroupuae.com</t>
  </si>
  <si>
    <t>+971 (0)2 811 1111</t>
  </si>
  <si>
    <t>andrea.mollica@royalgroupuae.com</t>
  </si>
  <si>
    <t>PO Box 5151</t>
  </si>
  <si>
    <t>+971 (0)2 811 1112</t>
  </si>
  <si>
    <t>Mr. Andrea Mollica serves as Director at Royal Group. He served as Non-Executive Board Member at Beltone Financial Holding.</t>
  </si>
  <si>
    <t>363437-11P</t>
  </si>
  <si>
    <t>Andreas Braeuer</t>
  </si>
  <si>
    <t>Braeuer</t>
  </si>
  <si>
    <t>Andreas</t>
  </si>
  <si>
    <t>andreas.braeuer@royalgroupuae.com</t>
  </si>
  <si>
    <t>Mr. Andreas Braeuer serves as Chief Operating Officer at Royal Group. Mr. Braeuer previously served as Chief Operating Officer at PKF The Consulting House. He served as a Tourism Planning and Development Teacher at American College of Management and Technology. He served as Corporate Director, Sales and Resident Manager at Valamar - All You Can Holiday.</t>
  </si>
  <si>
    <t>121144-33P</t>
  </si>
  <si>
    <t>Andreas Insam</t>
  </si>
  <si>
    <t>leadXpro</t>
  </si>
  <si>
    <t>Insam</t>
  </si>
  <si>
    <t>www.leadxpro.com</t>
  </si>
  <si>
    <t>+41 (0)79 770 9724</t>
  </si>
  <si>
    <t>Villigen, Switzerland</t>
  </si>
  <si>
    <t>PARK innovAARE</t>
  </si>
  <si>
    <t>Villigen</t>
  </si>
  <si>
    <t>5234</t>
  </si>
  <si>
    <t>Dr. Andreas Insam serves as Board Member at leadXpro. Dr. Andreas Insam served as Executive at INSAM FAMILIENSTIFTUNG. Dr. Andreas Insam served as Chief Executive Officer at Bendura Bank. He was previously a long-standing member of the Board of Managers of LGT Bank in Liechtenstein (Frankfurt) GmbH, responsible for the Institutional Sales division. After he obtained his doctorate in Business Administration, he served as Research Assistant at the University of Innsbruck's Institute of Mathematics and Statistics, and later became Assistant to the Executive Board of LGT Bank in Liechtenstein. Andreas Insam has been a lecturer and examiner at the University of Liechtenstein and at the University of Innsbruck for many years.</t>
  </si>
  <si>
    <t>341834-86P</t>
  </si>
  <si>
    <t>Andrei Morozov</t>
  </si>
  <si>
    <t>Simlabs</t>
  </si>
  <si>
    <t>Morozov</t>
  </si>
  <si>
    <t>Andrei</t>
  </si>
  <si>
    <t>www.sim-labs.com</t>
  </si>
  <si>
    <t>mz@sim-labs.com</t>
  </si>
  <si>
    <t>336 Smith Street</t>
  </si>
  <si>
    <t>Number 05-301, New Bridge Centre</t>
  </si>
  <si>
    <t>050336</t>
  </si>
  <si>
    <t>Mr. Andrei Morozov serves as Chief Executive Officer at Lunate Games. Mr. Andrei Morozov is a Co-Founder and serves as Chief Executive Officer at Simlabs.</t>
  </si>
  <si>
    <t>116563-33P</t>
  </si>
  <si>
    <t>Andrew Baker</t>
  </si>
  <si>
    <t>Primrose's Kitchen</t>
  </si>
  <si>
    <t>www.primroseskitchen.com</t>
  </si>
  <si>
    <t>Chairman &amp; Shareholder</t>
  </si>
  <si>
    <t>+44 (0)14 6241 9400</t>
  </si>
  <si>
    <t>andrew@primroseskitchen.com</t>
  </si>
  <si>
    <t>Hitchin, United Kingdom</t>
  </si>
  <si>
    <t>49 Knowl Piece</t>
  </si>
  <si>
    <t>Herts</t>
  </si>
  <si>
    <t>Hitchin</t>
  </si>
  <si>
    <t>SG4 0TY</t>
  </si>
  <si>
    <t>Mr. Andrew Baker serves as Chairman and Shareholder at Primrose's Kitchen. He served as Member, Advisory Council at Trilantic Europe. Mr. Baker is the Chairman at Highland Fine Cheeses. He has worked in the global food industry since 1982. He has held senior executive positions with Cadbury Schweppes, Tate &amp; Lyle, and Premier Brands, managing businesses in India, Middle East, France, Netherlands, Canada and throughout Africa. In the UK, Baker spent four years working for HRH The Prince of Wales, as CEO of Duchy Originals, an organic foods company, and as Director of the Prince's Social Enterprises. More recently, he became the first non-family CEO of Bettys &amp; Taylors of Harrogate. Baker was a member of the board of MW Brands, Trilantic's former portfolio company, and currently chairs two-family food businesses in the UK, as well as a charity in Kenya.</t>
  </si>
  <si>
    <t>77134-06P</t>
  </si>
  <si>
    <t>Andrew Herrick</t>
  </si>
  <si>
    <t>Intense Cycles (Former)</t>
  </si>
  <si>
    <t>Herrick</t>
  </si>
  <si>
    <t>www.intensecycles.com</t>
  </si>
  <si>
    <t>Mr. Andrew Herrick served as Chief Executive Officer at Intense Cycles. He also served as an Operating partner and Advisor at VO2 Partners. He also served as Board Member at HLC. He is a Director of Italian cycling products conglomerate Selle Royal Group and runs Selle Royal North America, including the CrankBrothers, Fi'zi:k, Selle Royal and Brooks brands. Andrew previously ran bicycle components firm CrankBrothers; was an officer at Schwinn/GT with global responsibility for the GT brand and founded bicycle tools firm Pedros, which was acquired in 1997 by Swix Sport AS of Norway.</t>
  </si>
  <si>
    <t>457789-51P</t>
  </si>
  <si>
    <t>Andy Du Ph.D</t>
  </si>
  <si>
    <t>TrustAI</t>
  </si>
  <si>
    <t>Du</t>
  </si>
  <si>
    <t>Andy</t>
  </si>
  <si>
    <t>www.gettrust.ai</t>
  </si>
  <si>
    <t>San Francisco, CA</t>
  </si>
  <si>
    <t>49 Powell Street</t>
  </si>
  <si>
    <t>San Francisco</t>
  </si>
  <si>
    <t>94102</t>
  </si>
  <si>
    <t>Dr. Andy Du serves as Chief Operating Officer at TrustAI. He co-founded &amp; served as Chief Operating Officer at StarCross. He secured UAE G42 partnership. Also. he directed NSA-funded project, published at ACM CCS.</t>
  </si>
  <si>
    <t>358014-97P</t>
  </si>
  <si>
    <t>Andy Gunawardena</t>
  </si>
  <si>
    <t>CUvids</t>
  </si>
  <si>
    <t>Gunawardena</t>
  </si>
  <si>
    <t>www.cubits.ai</t>
  </si>
  <si>
    <t>Princeton, NJ</t>
  </si>
  <si>
    <t>100 Overlook Center</t>
  </si>
  <si>
    <t>Princeton</t>
  </si>
  <si>
    <t>08540</t>
  </si>
  <si>
    <t>Dr. Andy Gunawardena is the Founder of CUvids. Dr. Gunawardena is a faculty member in the department of computer science at Princeton University. He served as an Associate Teaching Professor of Computer Science at Carnegie Mellon University from 1998-2013 and is now a courtesy faculty at CMU. He is a long time advocate of technology in education and the application of the principles of learning sciences to teaching and learning. He is the co-author of two college textbooks in computational linear algebra published by Springer-Verlag and Thompson Brooks-Cole and is the author and co-author of over 45 research articles. His textbooks have been translated into other languages. He is the co-creator of Classroom Salon, a platform to increase student engagement through annotations and analytics. He has received over US$ 1 million in funding from NSF, Qatar Foundation, Hewlett Packard, Microsoft, Google and many other foundations. His many honors include: leadership in technology award from HP, service award from Jesse Jones institute, ACM appreciation award from ACM houston chapter, and Exceptional achievement award (highest honor given to Sri Lankan expatriate) from Sri Lanka foundation. He was also a founding fellow of HP Catalyst Institute in 2010. From 2010-2013, he co-led the HP's measuring learning consortium, a multi-million dollar effort to introduce data driven learning. He is the principle inventor of US Patent 10,061,756 sponsored by Carnegie Mellon University and is the principle inventor of Princeton University based patent- machine assisted segmentation of video collections. He is currently the stream editor for learning analytics at the International Journal of innovation in online education. He typically teaches courses in data science, computer algorithms, discrete structures, systems programming, data science and pen-based computing. His research interests include technology in education, learning sciences and Human Computer Interaction.</t>
  </si>
  <si>
    <t>263811-34P</t>
  </si>
  <si>
    <t>Ann Flaherty</t>
  </si>
  <si>
    <t>Solar for Schools</t>
  </si>
  <si>
    <t>Flaherty</t>
  </si>
  <si>
    <t>Ann</t>
  </si>
  <si>
    <t>www.solarforschools.co.uk</t>
  </si>
  <si>
    <t>Co-Founder, Board Member &amp; UK Director</t>
  </si>
  <si>
    <t>+44 (0)79 4624 5556</t>
  </si>
  <si>
    <t>ann@solarforschools.co.uk</t>
  </si>
  <si>
    <t>Essex, United Kingdom</t>
  </si>
  <si>
    <t>Falcon House 3 King Street</t>
  </si>
  <si>
    <t>Castle Hedingham Halstead</t>
  </si>
  <si>
    <t>Essex</t>
  </si>
  <si>
    <t>CO9 3ER</t>
  </si>
  <si>
    <t>Ms. Ann Flaherty is a Co-Founder and serves as Board Member &amp; UK Director at Solar for Schools. Ann is a successful marketing and communications manager with a focus in recent years on solar power for the schools market. She is passionate that the children who will inherit our world have an opportunity to shape and fashion their world and Solar for Schools helps them do just that. With an MSc in Sustainable Development from the Centre for Environmental Studies and a background in media, journalism, event management, communications and marketing, she has co-created some amazing education focused projects for young people that have included working with HRH The Prince of Wales Rainforest Project and HISTORY's The People Speak with the actor Colin Firth. Within the renewable solar power sector, she has championed education charities to work with commercial organizations so schools are able to embrace the programmes that offer them all (irrespective of their financial circumstances) an opportunity to incorporate renewable power into their energy mix.</t>
  </si>
  <si>
    <t>86068-09P</t>
  </si>
  <si>
    <t>Anne Horstmann Ph.D</t>
  </si>
  <si>
    <t>Aurora Diagnostics (Former)</t>
  </si>
  <si>
    <t>Horstmann</t>
  </si>
  <si>
    <t>Anne</t>
  </si>
  <si>
    <t>www.auroradx.com</t>
  </si>
  <si>
    <t>Vice President of Laboratory Operations</t>
  </si>
  <si>
    <t>Dr. Anne Horstmann served as Vice President of Laboratory Operations at Aurora Diagnostics. Her responsibilities encompass overseeing Aurora's 22 laboratory locations' operations, safety programs, purchasing, process improvements, standardization, and quality control programs to maintain Aurora's high standards of laboratory excellence. Prior to joining Aurora Diagnostics, Dr. Horstmann served as Laboratory Manager, Laboratory of Dermatopathology, Port Washington, NY; Histology Supervisor, New York University Medical Center, New York City, NY; Histotechnologist/IHC, Memorial Sloan Kettering Cancer Center, New York City, NY; Medical Laboratory Technician, Lab Corp, Plainview, NY. She earned a Ph.D. in health administration/management at Walden University, Minneapolis, MN; a Master of Public Administration (MPA) in health care administration at Long Island University -specializing in health systems finance, and a Bachelor of Business Administration (BBA) at Hofstra University.</t>
  </si>
  <si>
    <t>417953-80P</t>
  </si>
  <si>
    <t>Anne Stockbridge</t>
  </si>
  <si>
    <t>Family Priority</t>
  </si>
  <si>
    <t>Stockbridge</t>
  </si>
  <si>
    <t>www.familypriority.com</t>
  </si>
  <si>
    <t>Founder, Owner &amp; Executive Director</t>
  </si>
  <si>
    <t>+1 (804) 912-1338</t>
  </si>
  <si>
    <t>Richmond, VA</t>
  </si>
  <si>
    <t>7400 Beaufont Springs</t>
  </si>
  <si>
    <t>Richmond</t>
  </si>
  <si>
    <t>23225</t>
  </si>
  <si>
    <t>Ms. Anne Stockbridge is the Founder and Owner and serves as Executive Director at Family Priority. She has worked for many years as a medical-surgical, psychiatric, and community nurse. She is a licensed Registered Nurse with a bachelor's degree in nursing from George Mason University and a master's degree in counseling and psychological services from Marymount University. Anne has worked as a mental health therapist, workshop presenter, and public speaker at The Women's Center and The Center for Counseling and Development. After providing intensive in-home services as a counselor, supervisor, and director in Fairfax, Loudoun, Prince William, and Arlington counties, She developed and currently manages Family Priority LLC, which provides intensive in-home counseling services to at-risk youth and their families and Applied Behavior Analysis (ABA) services to children diagnosed with Autism Spectrum Disorders, intellectual disabilities, and other emotional /behavioral disorders.</t>
  </si>
  <si>
    <t>348542-02P</t>
  </si>
  <si>
    <t>Anthony Perkins</t>
  </si>
  <si>
    <t>Smart Axiata Company</t>
  </si>
  <si>
    <t>Perkins</t>
  </si>
  <si>
    <t>Anthony</t>
  </si>
  <si>
    <t>www.smart.com.kh</t>
  </si>
  <si>
    <t>Chief Digital Services Officer</t>
  </si>
  <si>
    <t>+855 (0)10 201 000</t>
  </si>
  <si>
    <t>Number 464A Monivong Boulevard</t>
  </si>
  <si>
    <t>Sangkat Tonle Bassac, Khan Chamkarmorn</t>
  </si>
  <si>
    <t>Mr. Anthony Perkins serves as Chief Digital Services Officer at Smart Axiata Company. Anthony joined Smart Axiata in late 2016. Prior to joining Smart, he worked at Cambodian conglomerate Royal Group for a year, and before that, he was Chief Executive Officer of the Cambodian specialized bank Wing. He is a long-term resident of Cambodia, living in the country since 2008.
After starting in the technology department at Wing, Anthony eventually rose to the position of Chief Operating Officer before becoming Chief Executive Officer shortly after the takeover of Wing by Royal Group from ANZ. He would go on to lead the company to the top of the mobile money industry in Cambodia.
Born in the United Kingdom, Anthony worked in London for 11 years, holding various positions at blue-chip financial institutions such as Barclays, Aon, Bank of New York Europe, IBM Global Services, Royal Bank of Scotland and JP Morgan Cazenove. He graduated from the University of Greenwich with a Bachelor of Science (Hons) degree in Computer Science in 1997.</t>
  </si>
  <si>
    <t>193236-40P</t>
  </si>
  <si>
    <t>Anthony Quartararo</t>
  </si>
  <si>
    <t>Fulcrum ( Business/Productivity Software)</t>
  </si>
  <si>
    <t>Quartararo</t>
  </si>
  <si>
    <t>www.fulcrumapp.com</t>
  </si>
  <si>
    <t>+1 (415) 256-8000</t>
  </si>
  <si>
    <t>548 Market Street</t>
  </si>
  <si>
    <t>PMB 14914</t>
  </si>
  <si>
    <t>94104-5401</t>
  </si>
  <si>
    <t>Mr. Anthony Quartararo serves as Board Member at Fulcrum ( Business/Productivity Software). Mr. Quartararo serves as Board Member at PlaceFund. He worked for a number of companies before starting SNI, each of them leveraging some aspect of geospatial technology, where he learned some important lessons about management, shared vision, and making a difference. He graduated from Bloomsburg University in Pennsylvania with a Bachelor's Degree in Geography/GIS and went to Portland State University in Portland, OR, for his Masters in GIS/Urban Planning.</t>
  </si>
  <si>
    <t>413279-83P</t>
  </si>
  <si>
    <t>Antony Lau</t>
  </si>
  <si>
    <t>Guardian Medical Solutions</t>
  </si>
  <si>
    <t>Lau</t>
  </si>
  <si>
    <t>Antony</t>
  </si>
  <si>
    <t>www.guardianmedicalsolutions.com</t>
  </si>
  <si>
    <t>Sydney, Australia</t>
  </si>
  <si>
    <t>Suite 2</t>
  </si>
  <si>
    <t>Level 5/56 Pitt Street</t>
  </si>
  <si>
    <t>Sydney</t>
  </si>
  <si>
    <t>2000</t>
  </si>
  <si>
    <t>Dr. Antony Lau serves as Board Member at Guardian Medical Solutions. He is an interventional cardiologist who treats all forms of heart disease, performing complex coronary interventional procedures. He is a senior staff specialist and interventional cardiologist at the Prince of Wales Hospital. He has visiting rights at Eastern Heart Clinic, Mater and North Shore Private Hospitals, and Northern Beaches Hospital. He is a conjoint senior lecturer at the Faculty of Medicine UNSW. Dr Lau is a research scholar who's currently researching the use of new diagnostic tools in coronary artery disease.</t>
  </si>
  <si>
    <t>168719-50P</t>
  </si>
  <si>
    <t>Ariano Fernandes</t>
  </si>
  <si>
    <t>Fernandes</t>
  </si>
  <si>
    <t>Ariano</t>
  </si>
  <si>
    <t>ariano.fernandes@royalihc.com</t>
  </si>
  <si>
    <t>Mr. Ariano Fernandes served as Regional Director, Sales Team at Royal IHC.</t>
  </si>
  <si>
    <t>154809-91P</t>
  </si>
  <si>
    <t>Arie Vergunst</t>
  </si>
  <si>
    <t>Steel Protection Group</t>
  </si>
  <si>
    <t>Vergunst</t>
  </si>
  <si>
    <t>Arie</t>
  </si>
  <si>
    <t>www.steelprotection.nl</t>
  </si>
  <si>
    <t>+31 (0)16 245 5552</t>
  </si>
  <si>
    <t>avergunst@steelprotection.nl</t>
  </si>
  <si>
    <t>Oosterhout, Netherlands</t>
  </si>
  <si>
    <t>Post Office Box 63</t>
  </si>
  <si>
    <t>Oosterhout</t>
  </si>
  <si>
    <t>4900 AB</t>
  </si>
  <si>
    <t>+31 (0)16 245 4889</t>
  </si>
  <si>
    <t>Mr. Arie Vergunst serves as Managing Director at Steel Protection Group. He served as Chief Financial Officer and Board Member at Royal IHC. He has worked at IHC since June 2007 and joined the board in October 2016. In 2015, he has been Cluster Controller for Mission Equipment. Previously, he managed the Group Control department of IHC.</t>
  </si>
  <si>
    <t>59797-27P</t>
  </si>
  <si>
    <t>Arjan Klijnsoon</t>
  </si>
  <si>
    <t>Klijnsoon</t>
  </si>
  <si>
    <t>Arjan</t>
  </si>
  <si>
    <t>Director Projects</t>
  </si>
  <si>
    <t>Mr. Arjan Klijnsoon served as Director Projects at Royal IHC.</t>
  </si>
  <si>
    <t>333852-67P</t>
  </si>
  <si>
    <t>Asep Rohmat</t>
  </si>
  <si>
    <t>Rohmat</t>
  </si>
  <si>
    <t>Asep</t>
  </si>
  <si>
    <t>Director of Human Resources and Procurement &amp; Board Member</t>
  </si>
  <si>
    <t>rohmat@pertamedika.co.id</t>
  </si>
  <si>
    <t>Dr. Asep Rohmat serves as Director of Human Resources and Procurement &amp; Board Member at Pertamedika IHC. He graduated from the School of Medicine at the University of Indonesia (1991), completed the School of Internal Medicine Specialist at the Faculty of Medicine, University of Indonesia (2003), and continued his Gastroenterology education at the Faculty of the University of Indonesia (2014).</t>
  </si>
  <si>
    <t>321091-84P</t>
  </si>
  <si>
    <t>Ashish Koshy</t>
  </si>
  <si>
    <t>G42 Healthcare (Former)</t>
  </si>
  <si>
    <t>Koshy</t>
  </si>
  <si>
    <t>Ashish</t>
  </si>
  <si>
    <t>www.g42healthcare.ai</t>
  </si>
  <si>
    <t>Chief Executive Officer &amp; Founder</t>
  </si>
  <si>
    <t>Mr. Ashish Koshy founded and served as Chief Executive Officer at G42 Healthcare. He served as Group Chief Operating Officer at M42. He is Chairman of the Board at Malaffi - the Abu Dhabi Health Information Exchange. Under his leadership, G42 Healthcare has accelerated from a rapidly growing start-up to becoming a leader in the region's healthcare ecosystem within a short span, recognized for its world-class infrastructure, flagship initiatives across advanced diagnostics, omics, digital health, pharma, and environmental sciences, continually building on business excellence and innovation. He has been instrumental in the merger with Mubadala Health, which has now resulted in the creation of M42, an integrated healthcare powerhouse company with more than 20,000 employees and more than 450 facilities in 24 countries. He has been directing multi-stakeholder large-scale national programs and strategic partnerships that have significantly augmented commercial and societal impact. For his leadership, he has been recognized by Forbes in 2022 and 2023 as one of the Top 100 Healthcare Leaders in the Middle East, for leading a multifaceted, growing organization with disruptive next-generation solutions. Prior to joining G42 Healthcare, he held senior roles as the Deputy General Manager - Technology Development &amp; Innovation at Reliance Jio and Technology Planning at Ooredoo. He holds an MBA from Alliance Manchester Business School and an MSc in Computer Networks from Middlesex University, UK.</t>
  </si>
  <si>
    <t>462374-20P</t>
  </si>
  <si>
    <t>Ashling Dudley</t>
  </si>
  <si>
    <t>The Prince Of Wales Hotel</t>
  </si>
  <si>
    <t>Dudley</t>
  </si>
  <si>
    <t>Ashling</t>
  </si>
  <si>
    <t>www.theprinceofwales.ie</t>
  </si>
  <si>
    <t>+353 (0)90 647 6666</t>
  </si>
  <si>
    <t>Athlone, Ireland</t>
  </si>
  <si>
    <t>Church Street</t>
  </si>
  <si>
    <t>Athlone Company, Westmeath</t>
  </si>
  <si>
    <t>Athlone</t>
  </si>
  <si>
    <t>N37 T2PO</t>
  </si>
  <si>
    <t>Ireland</t>
  </si>
  <si>
    <t>Ms. Ashling Dudley serves as Chief Operating Officer at The Prince Of Wales Hotel. She brings experience from previous roles at The Prince of Wales Hotel, Athlone, and The Callanan Hotel group. Ashling Dudley holds a Galway-Mayo Institute of Technology.</t>
  </si>
  <si>
    <t>443149-93P</t>
  </si>
  <si>
    <t>Ashok Bajpai</t>
  </si>
  <si>
    <t>Bajpai</t>
  </si>
  <si>
    <t>Chief Transformation Officer, Director of Transformation &amp; Board Member</t>
  </si>
  <si>
    <t>ashok.bajpai@pertamedika.co.id</t>
  </si>
  <si>
    <t>Mr. Ashok Bajpai serves as Chief Transformation Officer, Director of Transformation &amp; Board Member at Pertamedika IHC. Previously, he served as Group Head of Operational Strategy at IHH Healthcare and has over 30 years of experience working for multinational companies and the Government of India. He holds a Bachelor of Arts in Economics with an Associate Degree in Statistics and Computer Science from The George Washington University and a Master of Business Administration specializing in Finance from the University of Virginia Darden School of Business.</t>
  </si>
  <si>
    <t>100969-21P</t>
  </si>
  <si>
    <t>Aymeric Puech</t>
  </si>
  <si>
    <t>SmartGrains (Former)</t>
  </si>
  <si>
    <t>Puech</t>
  </si>
  <si>
    <t>Aymeric</t>
  </si>
  <si>
    <t>www.smartgrains.com</t>
  </si>
  <si>
    <t>Co-Founder &amp; Head, Operations</t>
  </si>
  <si>
    <t>Mr. Aymeric Puech serves as DG Adjoint at SNI Editions. He was a Co-Founded and served as the Head, Operations at SmartGrains. He is a graduate of Civil Engineering and Science Po, Aymeric went through finance (Rothschild), computers (IBM, France Telecom) and strategy consulting. He is responsible for the proper implementation of projects undertaken by the company to its customers.</t>
  </si>
  <si>
    <t>169362-73P</t>
  </si>
  <si>
    <t>Bader Abdullah Al-Darwish</t>
  </si>
  <si>
    <t>Al-Darwish</t>
  </si>
  <si>
    <t>Bader Abdullah</t>
  </si>
  <si>
    <t>Mr. Bader Abdullah Al-Darwish served as Board Member at Qatar Luxury Group.</t>
  </si>
  <si>
    <t>262932-76P</t>
  </si>
  <si>
    <t>Barbara Bigolin</t>
  </si>
  <si>
    <t>Bigolin</t>
  </si>
  <si>
    <t>Barbara</t>
  </si>
  <si>
    <t>Co-Owner, President &amp; Chief Executive Officer</t>
  </si>
  <si>
    <t>b.bigolin@selleroyal.com</t>
  </si>
  <si>
    <t>Ms. Barbara Bigolin is a Co-Owner and serves as President and Chief Executive Officer at Selle Royal Group. Previously she served as Chairwoman at the company.</t>
  </si>
  <si>
    <t>233171-74P</t>
  </si>
  <si>
    <t>Bárbara Rolón Ph.D</t>
  </si>
  <si>
    <t>Polybion</t>
  </si>
  <si>
    <t>Rolón</t>
  </si>
  <si>
    <t>Bárbara</t>
  </si>
  <si>
    <t>www.polybion.bio</t>
  </si>
  <si>
    <t>Co-Founder &amp; Quality Director</t>
  </si>
  <si>
    <t>+52 (01)46 2215 1847</t>
  </si>
  <si>
    <t>Irapuato, Mexico</t>
  </si>
  <si>
    <t>Avenue Las Águilas 315, San Miguelito</t>
  </si>
  <si>
    <t>Irapuato</t>
  </si>
  <si>
    <t>Guanajuato</t>
  </si>
  <si>
    <t>36510</t>
  </si>
  <si>
    <t>Mexico</t>
  </si>
  <si>
    <t>Dr. Bárbara Rolón is a Co-Founder and serves as Quality Director of Polybion. Dr. Rolón served as Board Member at Polybion. She is an Industrial Chemist, graduated from the Chemistry Faculty of the University of Guanajuato. She obtained a Master's degree in Inorganic Chemistry with a specialty in Solid Complexes Chemistry, in the Faculty of Chemistry of the University of Guanajuato, and a PhD degree, with a specialty in Materials Science, in the Faculty of Sciences of the Autonomous University of Mexico (UNAM). Since 1981, she carries out teaching and research work at the University of Guanajuato, where she has served as, Head of the Chemistry Laboratory from 1981 to 2007 and Head of the Materials Laboratory from 1985 to date, in the Engineering Division of the Irapuato-Salamanca Campus. She has obtained national and international awards and has also published 57 articles in high impact international magazines and 3 national peer-reviewed journals; Also, she has participated in over 35 prestigious international congresses and 15 national congresses, she has directed 42 bachelor's theses, 18 master's and 4 doctorate theses. In recent years, she has worked on projects related to the production of new materials for various applications and has collaborated in research projects related to the industry, generating new materials. She currently holds the Desirable Profile Recognition granted by SEP and she is Level I in the National System of Researchers (SNI) in addition to belonging to the CONACYT Energy network.</t>
  </si>
  <si>
    <t>174843-28P</t>
  </si>
  <si>
    <t>Benson Ajayi</t>
  </si>
  <si>
    <t>Mixta Real Estate</t>
  </si>
  <si>
    <t>Ajayi</t>
  </si>
  <si>
    <t>Benson</t>
  </si>
  <si>
    <t>www.mixtafrica.com</t>
  </si>
  <si>
    <t>Chief Financial Officer &amp; Board Member</t>
  </si>
  <si>
    <t>+234 (0)1 270 1653</t>
  </si>
  <si>
    <t>b.ajayi@mixtafrica.com</t>
  </si>
  <si>
    <t>Lagos, Nigeria</t>
  </si>
  <si>
    <t>8. Kasumu Ekemode Street off Saka Tinubu</t>
  </si>
  <si>
    <t>Victoria Island</t>
  </si>
  <si>
    <t>Lagos</t>
  </si>
  <si>
    <t>Nigeria</t>
  </si>
  <si>
    <t>Mr. Benson Ajayi serves as Chief Financial Officer and Board Member at Mixta Africa. Prior to this, he worked with the Lekki Concession Company Limited, where he served as the Head of Finance for six years, before becoming the Acting Executive Director (Finance) and eventually the Acting Managing Director/CEO. Benson has also worked in various capacities in Michael Stevens &amp; Associates, UAC of Nigeria Plc and NCR Nigeria Limited. He holds a BSc in Geography and an MBA in Financial Management from the Obafemi Awolowo University.</t>
  </si>
  <si>
    <t>404532-91P</t>
  </si>
  <si>
    <t>Bert Jan ter Riet</t>
  </si>
  <si>
    <t>Royal IHC</t>
  </si>
  <si>
    <t>Jan ter Riet</t>
  </si>
  <si>
    <t>+31 (0)88 015 2535</t>
  </si>
  <si>
    <t>b.riet@royalihc.com</t>
  </si>
  <si>
    <t>Kinderdijk, Netherlands</t>
  </si>
  <si>
    <t>Post Office Box 3</t>
  </si>
  <si>
    <t>Kinderdijk</t>
  </si>
  <si>
    <t>2960 AA</t>
  </si>
  <si>
    <t>Mr. Bert Jan ter Riet serves as Chief Operating Officer at Royal IHC.</t>
  </si>
  <si>
    <t>219640-33P</t>
  </si>
  <si>
    <t>Bill Dollins</t>
  </si>
  <si>
    <t>Fulcrum ( Business/Productivity Software) (Former)</t>
  </si>
  <si>
    <t>Dollins</t>
  </si>
  <si>
    <t>Chief Information Officer</t>
  </si>
  <si>
    <t>Mr. Bill Dollins served as Chief Information Officer at Fulcrum. As the Chief Information Officer at Spatial Networks, overseeing a multi-product team of software developers and data engineers, and ensuring SNI's technology portfolio supports operations across the company. Prior to joining SNI in 2017, Bill worked at Zekiah Technologies, where he built numerous tools to help with critical infrastructure protection, disaster response, and civil support. He also built several analytical tools to help with modeling behaviors of infrastructures such as switched telecommunications, commercial rail networks, and the petroleum/oil/lubricants infrastructure. Bill graduated from the University of Maryland Baltimore County with a Bachelor of Science in Information Systems and views software development as a creative outlet rather than an engineering activity.</t>
  </si>
  <si>
    <t>268840-36P</t>
  </si>
  <si>
    <t>Bill Hutzler</t>
  </si>
  <si>
    <t>Prince William Ice Center</t>
  </si>
  <si>
    <t>Hutzler</t>
  </si>
  <si>
    <t>innovativesportsva.com</t>
  </si>
  <si>
    <t>Owner &amp; Chief Executive Officer</t>
  </si>
  <si>
    <t>+1 (703) 730-8423</t>
  </si>
  <si>
    <t>bhutzler@pwice.com</t>
  </si>
  <si>
    <t>Woodbridge, VA</t>
  </si>
  <si>
    <t>5180 Dale Boulevard</t>
  </si>
  <si>
    <t>Woodbridge</t>
  </si>
  <si>
    <t>22193</t>
  </si>
  <si>
    <t>Mr. Bill Hutzler is the Owner and serves as Chief Executive Officer at Prince William Ice Center.</t>
  </si>
  <si>
    <t>112893-13P</t>
  </si>
  <si>
    <t>Bill Price</t>
  </si>
  <si>
    <t>Albiorex International Holding Company (Former)</t>
  </si>
  <si>
    <t>Price</t>
  </si>
  <si>
    <t>www.albiorex.com</t>
  </si>
  <si>
    <t>Mr. Bill Price served as Chief Financial Officer at Albiorex International Holding Company.</t>
  </si>
  <si>
    <t>327024-46P</t>
  </si>
  <si>
    <t>Blake Smith</t>
  </si>
  <si>
    <t>Smith Engineering (Consulting Services) (Former)</t>
  </si>
  <si>
    <t>Smith</t>
  </si>
  <si>
    <t>Blake</t>
  </si>
  <si>
    <t>www.smithengineeringva.com</t>
  </si>
  <si>
    <t>Mr. Blake Smith was the Founder &amp; served as President at Smith Engineering (Consulting Services). Mr. Smith founded SMITH Engineering in October 2008 and continues his vision of excellence with the steady and strategic growth of the firm. He is an active member of the Northern Virginia Building Industry Association (NVBIA) and has contributed to the work of NVBIA's Fairfax, Loudoun and Prince William councils. Mr. Smith is also a member of the National Association of Home Builders (NAHB). From 2008 to 2011, Mr. Smith served on the Executive Board of Directors of the Engineers and Surveyors Institute (ESI), serving as Chairman in 2010. He remains active as a Designated Plans Examiner (DPE) in Fairfax and Loudoun Counties and continues to sit on the ESI Board of Directors. Throughout his career, Mr. Smith has participated on many local industry committees, including the Board-appointed Facilities Standards Manual (FSM) Committee in Loudoun County.</t>
  </si>
  <si>
    <t>197430-40P</t>
  </si>
  <si>
    <t>Bob McIlvaine</t>
  </si>
  <si>
    <t>The Royal Group (Former)</t>
  </si>
  <si>
    <t>McIlvaine</t>
  </si>
  <si>
    <t>Bob</t>
  </si>
  <si>
    <t>www.teamtrg.com</t>
  </si>
  <si>
    <t>bmcilvaine@teamtrg.com</t>
  </si>
  <si>
    <t>Mr. Bob McIlvaine served as Chief Executive Officer at The Royal Group.</t>
  </si>
  <si>
    <t>243791-38P</t>
  </si>
  <si>
    <t>Boudewijn Wentink</t>
  </si>
  <si>
    <t>Wentink</t>
  </si>
  <si>
    <t>Boudewijn</t>
  </si>
  <si>
    <t>Mr. Boudewijn Wentink serves as Board Member at Royal IHC.</t>
  </si>
  <si>
    <t>403156-90P</t>
  </si>
  <si>
    <t>Brad Bielawski</t>
  </si>
  <si>
    <t>The IHC Group</t>
  </si>
  <si>
    <t>Bielawski</t>
  </si>
  <si>
    <t>Brad</t>
  </si>
  <si>
    <t>Vice President &amp; Chief Information Security Officer</t>
  </si>
  <si>
    <t>+1 (203) 358-8000</t>
  </si>
  <si>
    <t>brad.bielawski@ihcgroup.com</t>
  </si>
  <si>
    <t>96 Cummings Point Road</t>
  </si>
  <si>
    <t>06902</t>
  </si>
  <si>
    <t>Mr. Brad Bielawski serves as Vice President &amp; Chief Information Security Officer at The IHC Group.</t>
  </si>
  <si>
    <t>445059-82P</t>
  </si>
  <si>
    <t>Independence Pet Group</t>
  </si>
  <si>
    <t>www.independencepetgroup.com</t>
  </si>
  <si>
    <t>Chief Information Security Officer</t>
  </si>
  <si>
    <t>Scottsdale, AZ</t>
  </si>
  <si>
    <t>11333 North Scottsdale Road</t>
  </si>
  <si>
    <t>Suite 160</t>
  </si>
  <si>
    <t>Scottsdale</t>
  </si>
  <si>
    <t>85254</t>
  </si>
  <si>
    <t>Mr. Brad Bielawski serves as Chief Information Security Officer at Independence Pet Group. He is a seasoned information security professional with extensive experience in leadership roles. He previously held various senior positions at The IHC Group, including VP and Chief Information Security Officer, as well as IT Security &amp; Audit Manager. Earlier in his career, roles included IT Manager at Madison National Life, Network Administrator at Standard Security Life Insurance Company of New York, and IT Consultant at Advantech Consulting. He also worked as a Network Representative at Progressive Insurance and a Claims Adjuster at The Hartford. He earned a Bachelor of Arts degree in Psychology from the University of Connecticut.</t>
  </si>
  <si>
    <t>335270-89P</t>
  </si>
  <si>
    <t>Brad Neufeld</t>
  </si>
  <si>
    <t>Dynacare Healthcare Services</t>
  </si>
  <si>
    <t>Neufeld</t>
  </si>
  <si>
    <t>www.dynacare.ca</t>
  </si>
  <si>
    <t>Chief Privacy Officer and Vice President of Legal</t>
  </si>
  <si>
    <t>+1 (800) 565-5721</t>
  </si>
  <si>
    <t>neufeldb@dynacare.ca</t>
  </si>
  <si>
    <t>Brampton, Canada</t>
  </si>
  <si>
    <t>115 Midair Court</t>
  </si>
  <si>
    <t>Brampton</t>
  </si>
  <si>
    <t>L6T 5M3</t>
  </si>
  <si>
    <t>+1 (905) 790-3412</t>
  </si>
  <si>
    <t>Mr. Brad Neufeld serves as Chief Privacy Officer and Vice President of Legal at Dynacare. He joined Dynacare in 2007 and was appointed to his current position in 2008 bringing with him extensive experience in corporate law, regulatory compliance and litigation roles across several industries. He was called to the Bar in Ontario in 2002 and began his legal career in private practice at a large boutique law firm in Toronto. Prior to joining Dynacare, He served as corporate counsel to Telus Communications, Royal Group Technologies Ltd. and Zurich Insurance Company. In addition to a Bachelor of Commerce degree from McGill University, He also holds a Bachelor of Laws degree and a Master of Business Administration degree from the University of Windsor.</t>
  </si>
  <si>
    <t>278330-32P</t>
  </si>
  <si>
    <t>Brad Smith</t>
  </si>
  <si>
    <t>Mr. Brad Smith serves as Board Member at G42. Mr. Brad Smith serves as President at Microsoft.</t>
  </si>
  <si>
    <t>59796-82P</t>
  </si>
  <si>
    <t>Bram Roelse</t>
  </si>
  <si>
    <t>Roelse</t>
  </si>
  <si>
    <t>Bram</t>
  </si>
  <si>
    <t>Mr. Bram Roelse served as Chief Executive Officer at Royal IHC. In this role, Mr Roelse has used his in-depth knowledge and experience to determine and roll out the IHC2020 strategy under difficult market conditions. The Supervisory Board is extremely grateful for this and his enormous contribution to IHC over the past 16 years.</t>
  </si>
  <si>
    <t>73341-28P</t>
  </si>
  <si>
    <t>Brenda Dvorak</t>
  </si>
  <si>
    <t>SNI Companies</t>
  </si>
  <si>
    <t>Dvorak</t>
  </si>
  <si>
    <t>Brenda</t>
  </si>
  <si>
    <t>www.snicompanies.com</t>
  </si>
  <si>
    <t>Division Director</t>
  </si>
  <si>
    <t>+1 (877) 875-4764</t>
  </si>
  <si>
    <t>bdvorak@snicompanies.com</t>
  </si>
  <si>
    <t>Jacksonville, FL</t>
  </si>
  <si>
    <t>7751 Belfort Parkway</t>
  </si>
  <si>
    <t>Suite 150</t>
  </si>
  <si>
    <t>Jacksonville</t>
  </si>
  <si>
    <t>32256</t>
  </si>
  <si>
    <t>+1 (515) 222-6360</t>
  </si>
  <si>
    <t>Ms. Brenda Dvorak serves as Division Director at SNI Companies.</t>
  </si>
  <si>
    <t>246376-45P</t>
  </si>
  <si>
    <t>Brian Pearson</t>
  </si>
  <si>
    <t>American Benefits Exchange</t>
  </si>
  <si>
    <t>Pearson</t>
  </si>
  <si>
    <t>Brian</t>
  </si>
  <si>
    <t>www.thinkabx.com</t>
  </si>
  <si>
    <t>Founder, Chief Executive Officer &amp; President</t>
  </si>
  <si>
    <t>+1 (512) 582-6031</t>
  </si>
  <si>
    <t>8911 North Capital of Texas Highway</t>
  </si>
  <si>
    <t>Suite 1105</t>
  </si>
  <si>
    <t>78759</t>
  </si>
  <si>
    <t>Mr. Brian Pearson is the Founder and serves as Chief Executive Officer &amp; President at American Benefits Exchange. Mr. Pearson has served in multiple capacities in the insurance industry for nearly 30 years. Prior to joining the executive leadership team, he owned and operated Pearson &amp; Associates which specialized in servicing active duty military members worldwide until joining Madison National Life Insurance Company, Inc. in 2000 as National Sales Manager. In 2004 he was promoted to Vice President and Director of Agencies and eventually became a SVP and Chief Marketing Officer. Mr. Pearson lead the development of specialty markets for Madison National Life which included military, federal and state government employees while overseeing the distribution of insurance and annuity products, which supplement existing government benefit plans. In addition, special emphasis on final expense and marketing to school teachers and small businesses. In 2008, he founded the IHC Financial Group, Inc. which is an IMO and a wholly owned subsidiary of Madison National Life Insurance Company. In 2016, Mr. Pearson along with an executive team of investors purchased IHC Financial Group, Inc. and re-branded the firm as the American Benefits Exchange, LLC where he now serves as President &amp; CEO. While serving in this capacity, he is responsible for recruiting, training and overseeing licensed field agents across the United States and directs the development of relationships with various insurance carriers, government personnel, unions, associations and employee organizations. In addition to his executive leadership at American Benefits Exchange, he serves as Auxiliary Coach with the Round Rock Express, AAA Affiliate of the Texas Rangers Baseball Club and is an active Board Member at Celebration Church. He received his Bachelor of Arts (BA) degree in Pre-Law Studies at the University of Cincinnati in 1990.</t>
  </si>
  <si>
    <t>406770-04P</t>
  </si>
  <si>
    <t>Brijesh Shah</t>
  </si>
  <si>
    <t>APM Capital</t>
  </si>
  <si>
    <t>Shah</t>
  </si>
  <si>
    <t>Brijesh</t>
  </si>
  <si>
    <t>www.apmcapital.ae</t>
  </si>
  <si>
    <t>Chief Financial Officer &amp; Chief Operating Officer</t>
  </si>
  <si>
    <t>+971 (0)2 675 9440</t>
  </si>
  <si>
    <t>brijesh@apmcapital.ae</t>
  </si>
  <si>
    <t>Office Number 1009, Floor 10, Al Khatem Tower</t>
  </si>
  <si>
    <t>Mr. Brijesh Shah serves as Chief Financial Officer &amp; Chief Operating Officer at APM Capital. He has worked extensively with regulated firms across the UAE's Onshore and Offshore Financial Free Zones, including DIFC/DFSA, ADGM/FSRA, and DMCC/SCA. His expertise spans finance, compliance/AML, market operations, regulatory reporting, investment banking, trading strategies, and tax planning. He has held senior roles at Aarna Capital, Finior Capital, PhillipCapital, Capital Investment International, MF Global, Moneycare DMCC, SS&amp;C GlobeOp, and Rushabh Management Services Pvt. Ltd, and K N Shah &amp; Associates. He demonstrates strong leadership, process enhancement, and risk mitigation capabilities, with proficiency in financial tools like MS Excel. He holds an MBA from Coventry University, a Securities &amp; Investment Operations Certificate (UAE) from CISI - London, a Securities Intermediation Compliance Officer certification from NISM-India, a CA from ICAI, a Diploma in Business Finance from ICFAI, and multiple certifications from NCFM and ICAI in mutual funds, derivatives, commodities, and investment strategies.</t>
  </si>
  <si>
    <t>333851-68P</t>
  </si>
  <si>
    <t>Budi Legowo</t>
  </si>
  <si>
    <t>Pertamedika IHC (Former)</t>
  </si>
  <si>
    <t>Legowo</t>
  </si>
  <si>
    <t>Budi</t>
  </si>
  <si>
    <t>Chief Financial Officer, Director of Finance &amp; Board Member</t>
  </si>
  <si>
    <t>Mr. Budi Legowo served as Chief Financial Officer, Director of Finance &amp; Risk Management and Board Member at Pertamedika IHC. He served as Managing Director of Finance and Accounting &amp; Board Member at Siloam International Hospitals.</t>
  </si>
  <si>
    <t>228450-07P</t>
  </si>
  <si>
    <t>Carl Harrell MD</t>
  </si>
  <si>
    <t>Regener-Eyes</t>
  </si>
  <si>
    <t>Harrell</t>
  </si>
  <si>
    <t>Carl</t>
  </si>
  <si>
    <t>www.regenereyes.com</t>
  </si>
  <si>
    <t>Co-Founder, Co-Chief Executive Officer, Chairman &amp; Chief Medical Officer</t>
  </si>
  <si>
    <t>+1 (727) 781-0818</t>
  </si>
  <si>
    <t>Palm Harbor, FL</t>
  </si>
  <si>
    <t>34170 US Highway</t>
  </si>
  <si>
    <t>19 North</t>
  </si>
  <si>
    <t>Palm Harbor</t>
  </si>
  <si>
    <t>34684</t>
  </si>
  <si>
    <t>Dr. Carl Harrell is the Founder and serves as Chief Executive Officer, Chairman &amp; CMO of Regener-Eyes. He founded and served as Chairman, Chief Medical Officer, and Chief Executive Officer at Albiorex International Holding Company. He has worked for over 30 years to become a pioneer and visionary in the field of regenerative medicine where his discoveries and patented platform technologies in the study of Type III human collagen, stem cells, pericytes, and novel bioengineered placental-derived biomaterials have led to the developments of first in class clinically proven regenerative medicine therapies. Dr. Harrell started his career as a research scientist at Emory University, studying immunology. He was recruited after medical school by Dr. Michael E DeBakey, the Father of Cardiovascular Surgery, to study at the largest medical center in the world, the Texas Medical Center. He did his general surgery and plastic surgery training there as well as ran a large burn and wound unit at the Michael E. DeBakey VA. Dr. Harrell also did a research fellowship in regenerative medicine where he developed the first patented regenerative human Type III Human collagen dermal filler. He is a Board Certified Plastic Surgeon and a member of ASPS and ASAPS. Dr. Harrell has co-authored numerous scientific papers and books about regenerative medicine and has lectured extensively in the US and Internationally. He also has multiple issued novel patents in the field of regenerative medicine. Dr. Harrell was nominated for the Nobel Peace Prize for his medical missionary work in Central America.</t>
  </si>
  <si>
    <t>100904-41P</t>
  </si>
  <si>
    <t>Carlos Belmonte Ph.D</t>
  </si>
  <si>
    <t>Innerva Pharmaceuticals</t>
  </si>
  <si>
    <t>Belmonte</t>
  </si>
  <si>
    <t>Carlos</t>
  </si>
  <si>
    <t>www.innervapharma.com</t>
  </si>
  <si>
    <t>Co-Founder &amp; Advisor</t>
  </si>
  <si>
    <t>cbelmonte@innervapharma.com</t>
  </si>
  <si>
    <t>Barcelona, Spain</t>
  </si>
  <si>
    <t>Parc Científic de Barcelona</t>
  </si>
  <si>
    <t>Baldiri Reixac, 4</t>
  </si>
  <si>
    <t>Barcelona</t>
  </si>
  <si>
    <t>08028</t>
  </si>
  <si>
    <t>Dr. Carlos Belmonte is a Co-Founder and serves as Advisor at Innerva Pharmaceuticals. Dr. Belmonte co-founded Avizorex Pharma. He obtained his MD and PhD degrees at the University of Madrid, Spain. He is presently a Professor of Human Physiology at the Medical School, University Miguel Hernandez and a senior researcher at the Neurosciences Institute of Alicante. He is ex-President of the International Brain Research Organization, a member of the Academia Europaea and of the National Academy of Sciences of Spain and Doctor Honoris Causa of the University of Castilla la Mancha. He has been Director of the Department of Physiology and Vice-dean at the Medical School, University of Valladolid and served as Vice President for Academic Affairs and as Dean of the Medical School at the University of Alicante upon its foundation. He created and directed the Department of Physiology at the University of Alicante and in 1990 the Institute of Neurosciences, a Joint Center of the National Research Council (CSIC) and the University Miguel Hernandez, which he directed continuously until his voluntary resignation in 2007. He has been a Visiting Professor at the Universities of Harvard and Utah, an Adjunct Professor of Ophthalmology at the University of Utah, the Eye Research Institute of the Retina Foundation and a Visiting Scientist at the Prince of Wales Medical Research Institute of New South Wales University in Australia. Professor Carlos Belmonte has been awarded in Spain with the National Research Award "Rey Jaime I", the National Prize for Biology and Biomedicine "Severo Ochoa" and the National Award in Medicine "Gregorio Marañón" among others and the Endre Balazs Prize of the International Society for Eye Research, the European Vision Award of the European Vision Institute, Special Honoree of the ARVO Foundation for his outstanding contribution to vision and ophthalmology. He is an internationally recognized expert in neurosciences, particularly in ocular innervation and pain and is the author of more than 150 scientific articles and 20 book chapters.</t>
  </si>
  <si>
    <t>459763-39P</t>
  </si>
  <si>
    <t>Carlos Flores</t>
  </si>
  <si>
    <t>Uncle Nearest</t>
  </si>
  <si>
    <t>Flores</t>
  </si>
  <si>
    <t>www.unclenearest.com</t>
  </si>
  <si>
    <t>Interim Chief Financial Officer</t>
  </si>
  <si>
    <t>+1 (615) 928-1917</t>
  </si>
  <si>
    <t>carlos.flores@unclenearest.com</t>
  </si>
  <si>
    <t>Shelbyville, TN</t>
  </si>
  <si>
    <t>3125 Highway 231 North</t>
  </si>
  <si>
    <t>Shelbyville</t>
  </si>
  <si>
    <t>Tennessee</t>
  </si>
  <si>
    <t>37160</t>
  </si>
  <si>
    <t>Mr. Carlos Flores serves as Interim Chief Financial Officer at Uncle Nearest. He has done a Master of Business Administration from Northwestern University's Kellogg School of Management. Their background reflects a strong focus on financial and operational leadership, coupled with investment acumen developed across diverse industries. As Managing Partner at Fractional CFO and COO, Startup Builders, he provided fractional CFO and COO services, leveraging strategy, operational, financial, and technical capabilities. Their work history includes serving as Chief Financial Officer &amp; Chief Operating Officer for Fame Partners, an apparel and accessories retailer, and CUPPLS.com, a provider of therapy, legal, and financial advisory services. Earlier, they held the role of Chief Financial Officer at Satoshi Capital Advisors, where they developed financial plans and valuation models for cryptocurrency funds, which was instrumental in attracting investors. They also served as Chief Financial Officer &amp; Chief Operating Officer at InMatch. Their investment acumen is further demonstrated by their role as Managing Director, Investor at Golden Seeds, a venture capital firm, and as an Investor and Mentor at New York University. Before this, he co-founded Deal Flow Partners and served as a Member of the Board of Directors and Advisors at Seed Group, facilitating strategic alliances with global companies in the Middle East and North Africa region. His career also encompasses significant management consulting expertise. At Booz Allen Hamilton, they served as Principal, twice winning the Professional Excellence Award. Their responsibilities included business development, leading management consulting teams, and intellectual capital development. Earlier in their career, he held the position of Practice, Telecommunications Leader at Roland Berger and Partner and Vice President at Adventis. They began their career as a Member of Technical Staff at Bell Labs. He holds a Master of Business Administration from Northwestern University - Kellogg School of Management, as well as Bachelor's and Master's degrees from Stevens Institute of Technology. They also hold a certification in OpenAI GPTs: Creating Your Custom AI Assistants from Vanderbilt University.</t>
  </si>
  <si>
    <t>398287-09P</t>
  </si>
  <si>
    <t>Carola de Bie</t>
  </si>
  <si>
    <t>Dümmen Orange</t>
  </si>
  <si>
    <t>de Bie</t>
  </si>
  <si>
    <t>Carola</t>
  </si>
  <si>
    <t>www.dummenorange.com</t>
  </si>
  <si>
    <t>+31 (0)17 453 0100</t>
  </si>
  <si>
    <t>c.bie@dummenorange.com</t>
  </si>
  <si>
    <t>De Lier, Netherlands</t>
  </si>
  <si>
    <t>PO Box 26</t>
  </si>
  <si>
    <t>De Lier</t>
  </si>
  <si>
    <t>2678 ZG</t>
  </si>
  <si>
    <t>Ms. Carola de Bie serves as Chief Financial Officer at Dümmen Orange. She joined Dümmen Orange as Head of Group Control in 2019, where she further professionalized the finance team. In 2024, Carola joined the Executive Committee as CFO, and in that role, she is responsible for Finance, Treasury, and Tax. Before joining Dümmen Orange, Carola gained years of experience as an auditor of large international companies at KPMG and subsequently as Group Controller at Royal IHC.Carola holds a master's and postgraduate master's degree in Accountancy from Nyenrode Business University (Certified Public Accountant).Carola is married and has two children. Outside of working hours, she enjoys spending time with her family and friends</t>
  </si>
  <si>
    <t>258798-70P</t>
  </si>
  <si>
    <t>Carrie DiMarzio</t>
  </si>
  <si>
    <t>BMI OrganBank</t>
  </si>
  <si>
    <t>DiMarzio</t>
  </si>
  <si>
    <t>Carrie</t>
  </si>
  <si>
    <t>www.bmiorganbank.com</t>
  </si>
  <si>
    <t>Co-Founder &amp; CEO</t>
  </si>
  <si>
    <t>+1 (704) 413-7694</t>
  </si>
  <si>
    <t>cdimarzio@bmiorganbank.com</t>
  </si>
  <si>
    <t>Winston-Salem, NC</t>
  </si>
  <si>
    <t>Wake Forest Institute of Regenerative</t>
  </si>
  <si>
    <t>391 Technology Way</t>
  </si>
  <si>
    <t>Winston-Salem</t>
  </si>
  <si>
    <t>North Carolina</t>
  </si>
  <si>
    <t>27101</t>
  </si>
  <si>
    <t>Ms. Carrie DiMarzio is a Co-Founder &amp; serves as CEO at BMI OrganBank. She has dedicated her career to advancing science and engineering through transformative leadership. She currently serves as CEO of BMI OrganBank®, where she leads a multidisciplinary team pioneering technologies in organ perfusion and preservation to improve transplantation outcomes and enable cutting-edge ex vivo research-efforts with the potential to save thousands of lives. Under her leadership, BMI OrganBank has established key partnerships with leading institutions including the Wake Forest Institute for Regenerative Medicine (WFIRM), Lawrence Livermore National Laboratory (LLNL), Duke Ex-Vivo Organ Laboratory (DEVOL), the Cystic Fibrosis Foundation, and the RegenMed Development Organization (ReMDO), where she also serves on the Executive Leadership Council Board. Additional strategic collaborations include Atrium Health's Division of Abdominal Transplant, the University of North Carolina (UNC), and the Regenerative Medicine Engine in North Carolina, a program funded by the National Science Foundation (NSF). During the COVID-19 pandemic, she led BMI OrganBank's successful emergency response efforts, guiding the development and FDA Emergency Use Authorization (EUA) approval of the SuppleVent™ ventilator in record time. She is currently steering OrganBank®, the company's proprietary organ preservation system, through the FDA clearance process. Before joining BMI OrganBank, she served as CEO of Industrial Hard Carbon LLC (IHC), a precision engineering company supporting the biomedical, aerospace, and automotive industries with advanced surface coating technologies. Her experience at IHC-leading technical teams, overseeing quality systems, and cultivating strategic partnerships-laid a strong foundation for her work in biomedical innovation. She brings deep business insight in process and capital efficiency, strategic partnerships, and human capital development. She is recognized for her operational rigor, unwavering commitment to mission and team, and her ability to lead organizations through complex landscapes.</t>
  </si>
  <si>
    <t>296182-63P</t>
  </si>
  <si>
    <t>Celia Li</t>
  </si>
  <si>
    <t>Drylab</t>
  </si>
  <si>
    <t>Li</t>
  </si>
  <si>
    <t>Celia</t>
  </si>
  <si>
    <t>www.drylab.io</t>
  </si>
  <si>
    <t>+44 (0)20 7618 9100</t>
  </si>
  <si>
    <t>celia@drylab.io</t>
  </si>
  <si>
    <t>Moorgate House</t>
  </si>
  <si>
    <t>5-8 Dysart Street</t>
  </si>
  <si>
    <t>EC2A 2BX</t>
  </si>
  <si>
    <t>Ms. Celia Li serves as Chief Marketing Officer at Drylab. Prior to joining the company, she served as Chief Marketing Officer and Board Member at Media Tech SPAC. Ms. Li is an international media executive and renowned TV presenter for the world's largest independent Chinese TV broadcaster Phoenix Satellite Television Holdings Ltd. Prior to Phoenix Ms. Li worked as a producer at the BBC World Service. Ms. Li set up Phoenix TV's European news division in 2004 where she heads the news team. During her broadcast career, she has conducted numerous interviews with high-profile individuals from Royal Families, global business, and political domains, including interviews with former British Prime Minister Tony Blair, HRH Prince of Wales, HRH Duke of York, Sir Richard Branson, and Rupert Murdoch. Ms. Li also has extensive experience in marketing and investor relations. She has built up the past 15 years substantial relationships with both corporations and investors across Asia, Europe, and North America.</t>
  </si>
  <si>
    <t>374739-22P</t>
  </si>
  <si>
    <t>Cem Yurdakul</t>
  </si>
  <si>
    <t>SNI</t>
  </si>
  <si>
    <t>Yurdakul</t>
  </si>
  <si>
    <t>Cem</t>
  </si>
  <si>
    <t>www.snitechnology.net</t>
  </si>
  <si>
    <t>Chief Executive Officer &amp; Partner</t>
  </si>
  <si>
    <t>+90 (0)212 909 1664</t>
  </si>
  <si>
    <t>cem.yurdakul@snitechnology.net</t>
  </si>
  <si>
    <t>Istanbul, Turkey</t>
  </si>
  <si>
    <t>YTU Teknopark C1 Blok Number 403</t>
  </si>
  <si>
    <t>Esenler</t>
  </si>
  <si>
    <t>Istanbul</t>
  </si>
  <si>
    <t>34220</t>
  </si>
  <si>
    <t>Turkey</t>
  </si>
  <si>
    <t>Mr. Cem Yurdakul serves as Chief Executive Officer &amp; Partner at SNI.</t>
  </si>
  <si>
    <t>254886-67P</t>
  </si>
  <si>
    <t>Charles Coder</t>
  </si>
  <si>
    <t>Novant Health UVA Health System (Former)</t>
  </si>
  <si>
    <t>Coder</t>
  </si>
  <si>
    <t>Charles</t>
  </si>
  <si>
    <t>www.novanthealthuva.org</t>
  </si>
  <si>
    <t>Principal Officer, Chief Financial Officer, Nhuvahs &amp; Treasurer</t>
  </si>
  <si>
    <t>Mr. Charles Coder served as Principal Officer, Chief Financial Officer, Nhuvahs &amp; Treasurer at Novant Health UVA Health System. He is responsible for financial operations of the entire joint operating company which includes Culpeper Medical Center, Haymarket Medical Center and Prince William Medical Center, as well as the System's three ambulatory surgery centers, multiple employed physician clinics throughout the region, imaging facilities, Novant Health UVA Health System Cancer Center and Novant Health UVA Health System Caton Merchant House, an assisted living facility. Since joining Novant Health UVA Health System in April of 2016, Coder has served as the primary financial liaison to both parent partner organizations. Prior to joining Novant Health UVA Health System, Coder held executive financial leadership roles with healthcare systems across the country. At Community Health System, Coder served as market chief financial officer of the Virginia Region where he was responsible for all financial operations of the system's three Virginia hospitals. Coder also previously served as chief financial officer for South Baldwin Regional Medical Center in Foley, Alabama, and chief financial officer at Spring Hill Regional Hospital in Spring Hill, Florida. He holds a Bachelor of Science in Accounting and a Master of Business Administration from the University of West Florida.</t>
  </si>
  <si>
    <t>294900-13P</t>
  </si>
  <si>
    <t>Choi Hong-jun</t>
  </si>
  <si>
    <t>VA Corporation (Former)</t>
  </si>
  <si>
    <t>Hong-jun</t>
  </si>
  <si>
    <t>Choi</t>
  </si>
  <si>
    <t>www.vacorp.co.kr/home/v2</t>
  </si>
  <si>
    <t>Mr. Choi Hong-jun served as Chief Operating Officer at VA Corporation. He serves as CEO at Wethecore and former Director of The Seed Group. He served as Team Leader at KG Engineering New Business Development TF.</t>
  </si>
  <si>
    <t>64906-57P</t>
  </si>
  <si>
    <t>Chris Wilmot</t>
  </si>
  <si>
    <t>Aviance Ghana (Former)</t>
  </si>
  <si>
    <t>Wilmot</t>
  </si>
  <si>
    <t>www.avianceghana.com</t>
  </si>
  <si>
    <t>chriskwilmot@gmail.com</t>
  </si>
  <si>
    <t>Mr. Wilmot served as Chairman at Aviance Ghana. He is President and Chief Executive Officer of WCW International Holding Company and Chairman of Aviance Ghana. He has extensive experience in the oil and gas industry and international business development. As Chief Executive Officer, he is responsible for corporate planning, financial acquisition, and new business development. Chris assists United States Fortune 500 companies and Global companies with negotiations regarding business opportunities in various African countries. Prior to establishing WCW International. Chris began his career in Houston, Texas as an engineer, production supervisor and held senior level management positions at Atlantic Richfield (ARCO), a major oil and gas company. His responsibilities included down hole and upstream operations, managing project budgets of up to $550 million dollars. Chris supervised major construction &amp; program management, facilities and maintenance operations for ARCO's South Texas Seven Sisters project, Barbara's Hill engineering and construction management, Dickinson construction management, as well as handled ARCO's South Texas District United States Federal environmental regulations. Chris is currently involved as a strategic alliance partner with several major United States consulting, engineering, energy, management and security operation firms. Chris serves on numerous commissions and boards. He was a delegate to the United States Overseas Private Investment Corporation (OPIC) and the United States Agency for International Development (USAID) Trade and Investment Missions to Ghana, Cote D'Ivoire, The Gambia and Senegal. Member of the Supervisory Board of the World Trade Division Greater Houston Partnership, member of the Board of Directors of Congressman Mickey Leland Kibbutzim Foundation, and a Commissioner of the Houston Clean City Commission. Chris was the Chairman of the Mayor's International Affairs Development Council - Africa 2007-2008. He also serves as a Member of the Board of Directors for the Greater Houston Partnership and former Chairman of the Board Greater Houston Convention &amp; Visitors Bureau 2004-2005. Chris serves as Chairman of the Greater Houston Partnership World Bank Task Force.Mr. Wilmot graduated as an Electrical Engineer from Tuskegee University, Alabama. A member of SPE, ASME, IEEE.</t>
  </si>
  <si>
    <t>60912-01P</t>
  </si>
  <si>
    <t>Christian Schütte</t>
  </si>
  <si>
    <t>Crocus Labs</t>
  </si>
  <si>
    <t>Schütte</t>
  </si>
  <si>
    <t>www.crocuslabs.com</t>
  </si>
  <si>
    <t>+49 (0)17 6579 5128 3</t>
  </si>
  <si>
    <t>christian@crocuslabs.com</t>
  </si>
  <si>
    <t>Potsdam, Germany</t>
  </si>
  <si>
    <t>Helene-Lange-Straße 8</t>
  </si>
  <si>
    <t>Potsdam</t>
  </si>
  <si>
    <t>14469</t>
  </si>
  <si>
    <t>Mr. Christian Schütte serves as Chief Financial Officer at Crocus Labs. Mr. Christian Schütte served as Managing Director at High Tech Private Equity. Mr. Christian Schütte served as Supervisory Board Member at Vertilas. He was the Managing Director of High Tech PrivateEquity in Düsseldorf and is also on the supervisory board of Elcos, IPAG and Cor Pumps and Compressors. As an engineer with a degree in electrical engineering and economics, he also worked at an engineering consulting company, was employed for four years at an international holding company for the financing of buyouts of medium-sized companies and has been working for the last two years at High Tech Private Equity, which has been focusing on equity investments in technology companies.</t>
  </si>
  <si>
    <t>333002-98P</t>
  </si>
  <si>
    <t>Christopher Jackson MD</t>
  </si>
  <si>
    <t>ViewsML</t>
  </si>
  <si>
    <t>Jackson</t>
  </si>
  <si>
    <t>www.viewsml.com</t>
  </si>
  <si>
    <t>Co-Founder &amp; Chief Scientific Officer</t>
  </si>
  <si>
    <t>+1 (800) 946-4501</t>
  </si>
  <si>
    <t>Vancouver, Canada</t>
  </si>
  <si>
    <t>2900-550 Burrard Street</t>
  </si>
  <si>
    <t>Vancouver</t>
  </si>
  <si>
    <t>British Columbia</t>
  </si>
  <si>
    <t>V6C 0A3</t>
  </si>
  <si>
    <t>Dr. Christopher Jackson is a Co-Founder and serves as Chief Scientific Officer at ViewsML. He is a Co-inventor of virtual IHC technology, clinical pathologist, and AI computer scientist. Massachusetts General Hospital, Dartmouth Hitchcock Medical Center.</t>
  </si>
  <si>
    <t>366126-31P</t>
  </si>
  <si>
    <t>Colin Toombs</t>
  </si>
  <si>
    <t>Vortex Biosciences</t>
  </si>
  <si>
    <t>Toombs</t>
  </si>
  <si>
    <t>Colin</t>
  </si>
  <si>
    <t>www.vortexbiosciences.com</t>
  </si>
  <si>
    <t>Chief Technology Officer, Technical Advisor &amp; Board Member</t>
  </si>
  <si>
    <t>+1 (650) 252-2262</t>
  </si>
  <si>
    <t>colin@vortexbiosciences.com</t>
  </si>
  <si>
    <t>Pleasanton, CA</t>
  </si>
  <si>
    <t>5627 Stoneridge Drive</t>
  </si>
  <si>
    <t>Suite 312</t>
  </si>
  <si>
    <t>Pleasanton</t>
  </si>
  <si>
    <t>94588</t>
  </si>
  <si>
    <t>Mr. Colin Toombs serves as Chief Technology Officer, Technical Advisor &amp; Board Member at Vortex Biosciences. He is a Chartered Mechanical Engineer with a first-class degree from Imperial College London. He has over 30 years experience in developing products and processes across a range of industries, and in particular medical devices and in-vitro diagnostics. He was previously VP R&amp;D at QuantuMDx responsible for developing their Q-POC and SARS-CoV-2 assay which was launched in response to the COVID-19 pandemic. Prior to that he was Director of Product Development for Thermo Fisher Scientific's anatomical pathology products developing a full suite of tissue diagnostic equipment including IHC oncology assays. He has also worked in product design consulting and developed high-throughput drug discovery systems. He is a creative problem-solving engineer and R&amp;D technology leader passionate about delivering innovative new technologies to commercial success.</t>
  </si>
  <si>
    <t>267848-02P</t>
  </si>
  <si>
    <t>Colleen Maggi</t>
  </si>
  <si>
    <t>Maggi</t>
  </si>
  <si>
    <t>Colleen</t>
  </si>
  <si>
    <t>colleen.maggi@ihcgroup.com</t>
  </si>
  <si>
    <t>Ms. Colleen Maggi serves as Chief Financial Officer at The IHC Group.</t>
  </si>
  <si>
    <t>37034-92P</t>
  </si>
  <si>
    <t>Craig Benson</t>
  </si>
  <si>
    <t>4E Therapeutics</t>
  </si>
  <si>
    <t>Craig</t>
  </si>
  <si>
    <t>www.4etherapeutics.com</t>
  </si>
  <si>
    <t>Co-Founder, Chief Executive Officer &amp; Board Member</t>
  </si>
  <si>
    <t>+1 (512) 577-7779</t>
  </si>
  <si>
    <t>cbenson@4etherapeutics.com</t>
  </si>
  <si>
    <t>3800 North Lamar Boulevard</t>
  </si>
  <si>
    <t>Suite 200</t>
  </si>
  <si>
    <t>78756</t>
  </si>
  <si>
    <t>Mr. Craig Benson is a Co-Founder and serves as Chief Executive Officer and Board Member at 4E Therapeutics. Mr. Craig Benson served as the President at Myriad Genetics. He joined Rules-Based Medicine, Inc. in January 2002 to direct its spin-off from Luminex Corporation. Until 2004, Mr. Benson also served as Chairman of the Board for Equity Resource Partners, LLC, a private investment company. From 1987 through September 2000, he was employed by Service Corporation International (NYSE: SCI), the world leader in death care-related services. During his tenure with SCI, he held various senior executive management positions, which included domestic and international merger and acquisition responsibilities, Vice-President of Marketing and Corporate Alliances, as well as President of SCI International, Ltd., SCI's International holding company. He received a BBA degree from Southern Methodist University in 1984.</t>
  </si>
  <si>
    <t>34572-34P</t>
  </si>
  <si>
    <t>Cyrus Guzder</t>
  </si>
  <si>
    <t>AFL Group (Former)</t>
  </si>
  <si>
    <t>Guzder</t>
  </si>
  <si>
    <t>Cyrus</t>
  </si>
  <si>
    <t>www.afl.co.in</t>
  </si>
  <si>
    <t>Chairman &amp; Managing Director</t>
  </si>
  <si>
    <t>Mr. Cyrus Guzder served as Chairman &amp; Managing Director at AFL Group. He is a leading business house in global logistics and expresses courier services and international freight forwarding, He is an M.A. (Honours) in Economics &amp; Oriental Studies from Trinity College, Cambridge University, U.K. He began his career in 1967 with ICICI, before moving to AFL Private Limited, then known as Airfreight Limited, in 1971. He is a Board Member at Mahindra Holidays &amp; Resorts India. Since 1985 he has been the organization's Chairman &amp; Managing Director. For 25 years till October 2003, he was also heading the DHL Worldwide Express operations in India, then a 100% owned business division of AFL Private Limited. The AFL Group today comprises AFL Logistics, a leader in Logistics and Domestic Distribution; AFL WiZ Express, offering international and domestic Express Courier services; AFL DACHSER (A JV between AFL and DACHSER GmbH &amp; Co. KG.) offering International Freight Forwarding and, its latest venture, Cartridge World, as a master franchisee in the Indian sub-continent, for the world's largest toner replacement and cartridge refilling company. He is a Director on the Board of several companies including BP (India) Limited, the Great Eastern Shipping Company Limited, Mahindra Holidays &amp; Resorts Limited and Carlson Wagonlit Travel India Private Limited. He is the Honorary Consul General of the Republic of Ireland for Mumbai and Western India. He is also a Member of the Board of Governors of The Reserve Bank of India's Board of Banking Codes and Standards of India (BCSBI) and a member of the Board of Governors of the Indian Institute of Information Technology and Management, Gwalior. Previously, he was also a Director on the Boards of several other companies including Air India, Tata Infomedia, Tata Honeywell and Alfa Laval. He was a Member of, the Indian Advisory Board, Barclays Bank plc, India from 1993 - 97. He was also Chairman, of the Confederation of Indian Industries (CII)'s National Committee on Transportation and Logistics. He was earlier President of, the Air Cargo Agents Association of India from 1977-79; President, of the Travel Agents Association of India, from 1983-85; Director of, Board of the Universal Federation of Travel Agents Association (UFTAA) based in Monaco, 1986-93; Chairman, Express Industry Council of India, 1987-92; and a Founder Member, World Travel and Tourism Council (WTTC), India Initiative. Outside of business, he is associated with several causes of public importance and has outspoken views on issues of public concern in social life. He co-founded the Bombay Environmental Action Group, which has successfully fought several public interest litigations for the preservation of the environment in Mumbai. He was formerly an Executive Committee Member of the Bombay Natural History Society and has been active in efforts to protect the natural habitat in Mahabaleshwar and Matheran, a vital eco-sensitive area in Western India. He is also an active heritage conservationist. He set up the first chapter of the Indian Heritage Society in Mumbai and, thereafter, the Mumbai Chapter of the INTACH foundation in Mumbai. As a member of the Mumbai City Heritage Conservation Committee of the Municipal Corporation of Greater Mumbai (BMC), he played an active role in the conservation of the heritage buildings and precincts in Mumbai. He was a former Trustee of the Chhatrapati Shivaji Maharaj Vastu Sangrahalaya (formerly known as the Prince of Wales Museum), nominated by the Government of Maharashtra, a member of the Board of Governors of the Mumbai Metropolitan Region Development Authority's Heritage Conservation Society and since 2009 has been re-nominated by Government of Maharashtra as a member of the Mumbai Heritage Conservation Committee.</t>
  </si>
  <si>
    <t>375730-66P</t>
  </si>
  <si>
    <t>Dan Walsh</t>
  </si>
  <si>
    <t>Walsh</t>
  </si>
  <si>
    <t>Dan</t>
  </si>
  <si>
    <t>Chief Operating Officer &amp; Chief Financial Officer</t>
  </si>
  <si>
    <t>Mr. Dan Walsh serves as Chief Operating Officer &amp; Chief Financial Officer at SNI Companies.</t>
  </si>
  <si>
    <t>163074-07P</t>
  </si>
  <si>
    <t>Daniel Dubois</t>
  </si>
  <si>
    <t>Key (Real Estate Services)</t>
  </si>
  <si>
    <t>Dubois</t>
  </si>
  <si>
    <t>www.keyown.com</t>
  </si>
  <si>
    <t>Co-Founder &amp; President</t>
  </si>
  <si>
    <t>+1 (416) 258-4844</t>
  </si>
  <si>
    <t>daniel@keyliving.com</t>
  </si>
  <si>
    <t>10 Wanless Avenue</t>
  </si>
  <si>
    <t>M4N 1V6</t>
  </si>
  <si>
    <t>Mr. Daniel Dubois is a Co-Founder and serves as President at Key (Real Estate Services (B2C)). Mr. Dubois founded at Guiides. He is also an Advisor at Animo. He previously founded and served as Chief Executive Officer at ShareShed. He serves as a General Partner at Side Door Ventures. He also served as an Advisor at Autumn AI. After creating, building, and selling his last two venture-backed companies (guiides.com and ShareShed), he joined Airbnb full-time, where he led and managed growth in their top-tier markets. His entrepreneurial talents have been recognized with the Top 30 Under 30 Award, Canada's Top Student Entrepreneur Award, and among the top three student entrepreneurs globally by the Entrepreneurs' Organization. He was named a Canadian Delegate and speaker for the G20 Young Entrepreneurs Alliance Summit and had the unique privilege of being invited for one-on-one meetings with world leaders, including Kofi Annan, Justin Trudeau, and Prince William. He has also directed a film series on the sharing economy, and spoke in front of 20,000 youth at WeDay, sharing a stage with the Dali Lama, Al Gore, and Martin Luther King III.</t>
  </si>
  <si>
    <t>159081-85P</t>
  </si>
  <si>
    <t>Daniel Forche</t>
  </si>
  <si>
    <t>PreludeDx</t>
  </si>
  <si>
    <t>Forche</t>
  </si>
  <si>
    <t>www.preludedx.com</t>
  </si>
  <si>
    <t>Chief Executive Officer, President &amp; Board Member</t>
  </si>
  <si>
    <t>+1 (888) 211-3247</t>
  </si>
  <si>
    <t>dforche@preludedx.com</t>
  </si>
  <si>
    <t>Laguna Hills, CA</t>
  </si>
  <si>
    <t>26051 Merit Circle</t>
  </si>
  <si>
    <t>Suite 103</t>
  </si>
  <si>
    <t>Laguna Hills</t>
  </si>
  <si>
    <t>92653</t>
  </si>
  <si>
    <t>Mr. Daniel Forche serves as Chief Executive Officer, President &amp; Board Member at PreludeDx. Dan's 20-plus years of operational and commercial diagnostic experience includes positions with medical device, lab services, and molecular testing companies. Before joining PreludeDx, he was President of Pathnostics, a full-service cancer diagnostics company providing clinical and molecular pathology testing services throughout the U.S. Previous positions included General Manager of Abbott Laboratories' oncology lab company, where he oversaw P&amp;L and designed growth strategies that led to Abbott's successful sale of PersonalizeDx; Vice President of Sales and Marketing for CombiMatrix Corporation, a national provider of molecular diagnostic services, where He developed and executed key sales and marketing initiatives; and Senior Vice President of Sales and Marketing of Netherlands-based Agendia Inc., a genomics company with the first FDA-cleared IVDMIA test (MammaPrint) for breast cancer recurrence, with Dan responsible for opening and building US operations. Earlier positions included Senior Vice President of Sales and Marketing for Insight Health Corp., a national provider of diagnostics imaging services with annual revenues of $285 MM; various roles, including Vice President of Marketing and Oncology Sales, for US LABS, where Dan was instrumental in strategies that grew revenue from $3 MM in 2000 to more than $75 MM in 2004; Worldwide Marketing Manager for Ventana Medical Systems, a manufacturer and developer of automated immunochemistry systems for cancer testing, where Dan launched the BenchMark system, today's leader for IHC testing. US LABS was sold to LabCorp for $160 MM in 2005. Ventana was sold to Roche for $3.4 BB in 2008. Dan began his career in medical diagnostics with Abbott Laboratories. He received a B.S.B.A. in marketing from Central Michigan University College of Business.</t>
  </si>
  <si>
    <t>164977-84P</t>
  </si>
  <si>
    <t>Daniel Mangan</t>
  </si>
  <si>
    <t>Side Door (B2C Non-Financial)</t>
  </si>
  <si>
    <t>Mangan</t>
  </si>
  <si>
    <t>www.sidedooraccess.com</t>
  </si>
  <si>
    <t>Co-Founder &amp; Vice President, Business Development</t>
  </si>
  <si>
    <t>dan@sidedooraccess.com</t>
  </si>
  <si>
    <t>Halifax, Canada</t>
  </si>
  <si>
    <t>801-1800 Argyle Street</t>
  </si>
  <si>
    <t>C/o Volta Labs</t>
  </si>
  <si>
    <t>Halifax</t>
  </si>
  <si>
    <t>Nova Scotia</t>
  </si>
  <si>
    <t>B3J 3N8</t>
  </si>
  <si>
    <t>Mr. Daniel Mangan is a Co-Founder snd serves as Vice President, Business Development at Side Door. He is a two-time JUNO award winning &amp; two-time Polaris Music Prize listed musician and songwriter. With Jesse Zubot, he scored Hector And The Search For Happiness, a feature film starring Simon Pegg. Dan has also infrequently been a contributing writer for some publications such as Huffington Post Canada, Montecristo Magazine and The Guardian (Arts section). Mangan has performed three concerts with Symphony Nova Scotia, on Parliament Hill in Ottawa for Prince William and Duchess Kate, and has spent more than a decade playing dozens of marquee festivals and extensively touring in North America, Europe, the UK and Australia. Dan got his start playing house concerts and small, intimate shows and he knows the value that brings. He began a house concert network for artists on his label in 2015. This caught the imaginations of so many that it has now expanded into Side Door.</t>
  </si>
  <si>
    <t>141056-47P</t>
  </si>
  <si>
    <t>Daniel Siger</t>
  </si>
  <si>
    <t>Exitus Technologies (Former)</t>
  </si>
  <si>
    <t>www.exitustechnologies.com</t>
  </si>
  <si>
    <t>Chief Technology Officer</t>
  </si>
  <si>
    <t>Mr. Daniel Siger served as Chief Technology Officer at Exitus Technologies. He has over two decades of experience in technology, including web, application, and mobile development, Dan has worked with dozens of enterprise clients to bring digital products and services to life. From games to global training platforms, he has lead teams and projects of all sizes.</t>
  </si>
  <si>
    <t>59794-21P</t>
  </si>
  <si>
    <t>Dave Heyde</t>
  </si>
  <si>
    <t>Heyde</t>
  </si>
  <si>
    <t>Mr. Dave Heyde served as Chief Executive Officer at Royal IHC. He served as Board Member at Fraser Hydraulic Power. He has been with the company since 15 December 2011. Mr. Heyde began his career in the financial sector at the Belgische Kredietbank NV. He then went on to work for the Jan De Nul Group, where he acquired extensive knowledge of the markets in which IHC operates. Before becoming CEO on 1 September 2016, he was IHC's CFO.</t>
  </si>
  <si>
    <t>289182-43P</t>
  </si>
  <si>
    <t>David Allan</t>
  </si>
  <si>
    <t>Cysiam</t>
  </si>
  <si>
    <t>www.cysiam.com</t>
  </si>
  <si>
    <t>+44 (0)78 2791 0270</t>
  </si>
  <si>
    <t>dave.allan@cysiam.com</t>
  </si>
  <si>
    <t>Newport Pagnell, United Kingdom</t>
  </si>
  <si>
    <t>Unit 3, Manor Farm, Main Road</t>
  </si>
  <si>
    <t>Astwood, Buckinghamshire</t>
  </si>
  <si>
    <t>Newport Pagnell</t>
  </si>
  <si>
    <t>MK16 9JS</t>
  </si>
  <si>
    <t>Mr. David Allan is a Founder &amp; serves as Chief Executive Officer at Cysiam. Previously, Mr. Allan served as Managing Director &amp; Chief Technology Officer at Cysiam. Prior to founding CYSIAM, he was employed by the UK Foreign, Commonwealth and Development Office (FCDO) following a military career in special communications. He is a globally-recognised expert in cyber capacity building and has received the Prince of Wales award for his work in this area. He has done BS (Bachelor of Science) in Politics, Economics from The Open University.</t>
  </si>
  <si>
    <t>11797-75P</t>
  </si>
  <si>
    <t>David Fenn</t>
  </si>
  <si>
    <t>Sun World International (Former)</t>
  </si>
  <si>
    <t>Fenn</t>
  </si>
  <si>
    <t>www.sun-world.com</t>
  </si>
  <si>
    <t>Senior Vice President, Southern Table Grape and Packing Operations</t>
  </si>
  <si>
    <t>Mr. David Fenn served as Senior Vice President, Southern Table Grape and Packing Operations at Sun World International. Named to his current position in December 2003, he is responsible for farming and packing operations for Sun World in the Coachella Valley.Previously, he lived in Egypt with his family and managed Sun World's new Egyptian farming enterprise, a 100,000 acre venture in partnership with his Royal Highness Prince Alwaleed Bin Talal Bin Abdulaziz Alsaud and the Government of Egypt. He was responsible for the development phase of up to 100,000 acres in the South Valley of Egypt. Before that, he oversaw the company's citrus and table grape operations in the Coachella and Cadiz valleys of Southern California. He has a wealth of industry experience, which ranges from his previous service at Sun World's San Joaquin Valley operations and at Santa Rosa Ranches to his role as Executive Vice President of Operations for California Grapevine Nursery in Napa. He is a 1991 graduate of the California Agricultural Leadership Program. He graduated from the University of Arizona in 1981, earning a B.S. in Agricultural Economics and was the recipient of a full scholarship from Santa Rosa Ranches to attend the University of California at Davis where he attained his Master's Degree in Viticulture in 1982.
He was born and reared in Mexico and is bilingual and bicultural. He, his wife Kathy, and four children currently reside in La Quinta.</t>
  </si>
  <si>
    <t>370120-06P</t>
  </si>
  <si>
    <t>David Gudmundson</t>
  </si>
  <si>
    <t>Source Nutraceutical</t>
  </si>
  <si>
    <t>Gudmundson</t>
  </si>
  <si>
    <t>sourcenutra.com</t>
  </si>
  <si>
    <t>+1 (204) 254-2234</t>
  </si>
  <si>
    <t>dgudmundson@sourcenutra.com</t>
  </si>
  <si>
    <t>Winnipeg, Canada</t>
  </si>
  <si>
    <t>2-1249 Clarence Ave</t>
  </si>
  <si>
    <t>Winnipeg</t>
  </si>
  <si>
    <t>Manitoba</t>
  </si>
  <si>
    <t>R3T 1T4</t>
  </si>
  <si>
    <t>Mr. David Gudmundson serves as Chief Financial Officer at Source Nutraceutical. As CFO, He is a chartered professional accountant (CPA) and certified management accountant (CMA 2000) with 30 years of experience. He is responsible for all corporate services within SNI, including HR, IT, and Finance. His most recent certification, Lean 6 Sigma Green Belt (2022), enhances his skillset to manage corporate services, an area of specialty of his for almost 15 years. He earned his diploma from Red River College in 1992 graduating with hours and being awarded the top CMA entrance award.</t>
  </si>
  <si>
    <t>12256-21P</t>
  </si>
  <si>
    <t>David Harris</t>
  </si>
  <si>
    <t>Integrated Support Decision (Former)</t>
  </si>
  <si>
    <t>Harris</t>
  </si>
  <si>
    <t>Mr. David Harris served as Vice President at Integrated Support Decision. Dave has over 28 years of transportation industry experience. He manages the Sales Team and is responsible for all client-server sales. Prior to joining IDSC in 1998, Dave held the following positions: General Manager, Baylor Trucking Inc.; Vice President Information Services, D.M. Bowman, Inc.; Manager Technical Support, Schneider National Inc. While at Schneider National Inc., Dave was the leader of the Information Services project to combine all SNI companies into a single Transportation Management System. He also led the opening of the West Memphis Operations center. Dave developed numerous operational tools for the improvement of utilization and On-time service management winning him the recognition at Schneider National as "The Tool Maker". In his career, Dave has consulted with over 100 carriers on technology and operations issues. Dave served two years on the ATA Technology Council Board of Directors and is a frequent invited speaker at industry conferences.</t>
  </si>
  <si>
    <t>116978-50P</t>
  </si>
  <si>
    <t>David Kettig JD</t>
  </si>
  <si>
    <t>Kettig</t>
  </si>
  <si>
    <t>Chief Operating Officer, President &amp; Board Member</t>
  </si>
  <si>
    <t>Mr. David Kettig serves as Vice Chairman at Independence Pet Group. Previously, he served as President, Chief Operating Officer and Board Member at Independence Holding. He has served IHC in various capacities since 1992. In addition, he serves as Director at Independence American Insurance Company and Chairman and Chief Executive Officer at Standard Security Life Insurance Company of New York. He is also President and Chief Executive Officer of IHC Specialty Benefits. He is a frequent contributor to trade publications and is a regular speaker at industry events on trends in the health insurance industry and the future of healthcare policy in the United States. Before joining IHC, he practiced law with a large firm based in New York City. He holds a law degree from Cornell Law School and is a graduate of Hamilton College.</t>
  </si>
  <si>
    <t>61423-21P</t>
  </si>
  <si>
    <t>David Robinson</t>
  </si>
  <si>
    <t>PD Ports (Former)</t>
  </si>
  <si>
    <t>Robinson</t>
  </si>
  <si>
    <t>www.pdports.co.uk</t>
  </si>
  <si>
    <t>+44 (0)17 2478 8100</t>
  </si>
  <si>
    <t>david.robinson@pdports.co.uk</t>
  </si>
  <si>
    <t>Scunthorpe, United Kingdom</t>
  </si>
  <si>
    <t>Gunness</t>
  </si>
  <si>
    <t>North Lincolnshire</t>
  </si>
  <si>
    <t>Scunthorpe</t>
  </si>
  <si>
    <t>DN15 8UA</t>
  </si>
  <si>
    <t>+44 (0)17 2478 2610</t>
  </si>
  <si>
    <t>Mr. David Robinson served as Chairman at PD Ports. He serves as a Board Member at TT Club Mutual Insurance. He joined the company in August 2002 as Managing Director of Teesport. He started his port career at the Port of Felixstowe and in 1994 he went to Hong Kong to manage the Hutchison Port Holdings container operations in that territory. During this period he led a major expansion programme and helped create what is now the world's largest container terminal. He was appointed Chief Executive Officer of PD Ports in 2006. In the last 12 years, he has steered the Company through some tough challenges including a difficult recession. Under his direction, the company has continued to invest in both its people and infrastructure, with more than £80M invested into expanding and enhancing the operational platform at Teesport. This investment has driven the Port's development and positioned PD Ports at the heart of growth in the UK ports sector and the Northeast economy. Due to his passionate commitment to the maritime sector, he was awarded an MBE in the New Year's Honours List in 2015 for services to international trade and the UK economy. Following his appointment as Regional Ambassador to HRH the Prince of Wales in 2012, his vision and drive to raise aspirations and improve employment prospects for young people in the maritime industry led to the creation of the High Tide Foundation in the same year. The High Tide Foundation was co-founded by PD Ports and Casper Shipping and through Charity's bespoke programmes has doubled its output year on year since 2013. He was appointed Chairman of the High Tide Foundation in 2016. In March 2017, he was appointed Director of Operations within the Brookfield Infrastructure European team and will become PD Ports Chairman.</t>
  </si>
  <si>
    <t>275244-85P</t>
  </si>
  <si>
    <t>David Scott</t>
  </si>
  <si>
    <t>Protium (Environmental Services (B2B))</t>
  </si>
  <si>
    <t>Scott</t>
  </si>
  <si>
    <t>www.protium.green</t>
  </si>
  <si>
    <t>+44 (0)55 5555 1234</t>
  </si>
  <si>
    <t>Unit 104</t>
  </si>
  <si>
    <t>164-180 Union Street</t>
  </si>
  <si>
    <t>SE1 0LH</t>
  </si>
  <si>
    <t>Mr. David Scott serves as Advisor at Protium. David is the co-founder and Chair of Tribe Impact Capital, the UK's first dedicated Impact Wealth Manager. He believes that investing into businesses that seek to create a positive impact for all stakeholders, including society and the environment will produce superior financial returns over the medium to long term. Prior to Tribe, he founded Vestra Wealth in 2008, growing the business from zero to £16bn of assets under management at the end of 2020, when the Liechtenstein Princely family through the LGT Group bought the remaining share in LGT Vestra. He was previously a co-founder of Scott Goodman Harris, which he sold to UBS in 2004. He is also a non-executive director of Bulb Energy, one of the UK's largest energy suppliers, which has grown from a standing start to 1.7 million customers in the last 5 years. He is also a serial investor into early stage start ups.</t>
  </si>
  <si>
    <t>73070-02P</t>
  </si>
  <si>
    <t>David Summers</t>
  </si>
  <si>
    <t>Virginia Heritage Bank (Former)</t>
  </si>
  <si>
    <t>Summers</t>
  </si>
  <si>
    <t>www.virginiaheritagebank.com</t>
  </si>
  <si>
    <t>Mr. David Summers served as Chief Executive Officer and Chairman at Virginia Heritage Bank. He has served as Chief Executive Officer since May 2007 and Chairman of the Board since September 2007. Mr. Summers most recently served on the Board of Directors and as an Executive Vice President of Mercantile Safe Deposit &amp; Trust Company from 2005 to 2007. He was formerly President and CEO and a member of the Board of Directors of Community Bank of Northern Virginia (CBNV) for 13 years up until the sale of CBNV to Mercantile Bankshares Corporation in May 2005. At the time of the sale, CBNV had assets totaling approximately $900 million with 14 branch offices located in Fairfax City, Fairfax, Loudoun and Prince William counties. Prior to his employment with CBNV, Mr. Summers spent 11 years with Dominion Bank of Greater Washington. Mr. Summers earned his Bachelor of Science degree in Accounting at Virginia Tech. Mr. Summers is a Certified Public Accountant.</t>
  </si>
  <si>
    <t>169642-99P</t>
  </si>
  <si>
    <t>David Tacha Ph.D</t>
  </si>
  <si>
    <t>Biocare Medical (California) (Former)</t>
  </si>
  <si>
    <t>Tacha</t>
  </si>
  <si>
    <t>www.biocare.net</t>
  </si>
  <si>
    <t>Co-Founder and Chief Scientific Officer</t>
  </si>
  <si>
    <t>Dr. David Tacha Co-Founded and served as Chief Scientific Officer at Biocare Medical (California). He has been an integral part of Biocare Medical since its inception as the Vice President of Immunohistochemistry and related activities. He has developed the majority of products at Biocare Medical including PIN-4 and ADH-5, multiplex IHC technology, two-step polymer technology and mouse and rat polymer kits. Dr. Tacha has numerous publications, patents, national and international speaking engagements.</t>
  </si>
  <si>
    <t>45152-74P</t>
  </si>
  <si>
    <t>David Willcutts</t>
  </si>
  <si>
    <t>The Emily Program (Former)</t>
  </si>
  <si>
    <t>Willcutts</t>
  </si>
  <si>
    <t>www.emilyprogram.com</t>
  </si>
  <si>
    <t>Mr. David Willcutts served as Chief Executive Officer at The Emily Program. He served as Chief Executive Officer at Veritas Collaborative. He is an accomplished healthcare executive whose career includes over 25 years leading organizations in a range of multi-site healthcare services, including specialty pharmaceuticals, home care services, radiology, managed care services and most recently, behavioral health. He founded and served as the CEO and Chairman of Ancillary Care Management, which was honored on the Inc500 list of the fastest-growing companies in the US, debuting on the list at number 9 in 2006 and 115th in 2007. He has also served as CEO of ONRAD, a full-service Radiology Provider offering physician services in 33 states and as President of Univita Healthcare's Integrated Home Care business unit (IHC), a 200 million dollar provider of home care services under exclusive managed care contracts.</t>
  </si>
  <si>
    <t>463058-47P</t>
  </si>
  <si>
    <t>David Wright Sr.</t>
  </si>
  <si>
    <t>GG56</t>
  </si>
  <si>
    <t>Wright</t>
  </si>
  <si>
    <t>www.gg56.com</t>
  </si>
  <si>
    <t>+82 (0)2 556 6780</t>
  </si>
  <si>
    <t>Seoul, South Korea</t>
  </si>
  <si>
    <t>408 Gangnam daero</t>
  </si>
  <si>
    <t>4th floor</t>
  </si>
  <si>
    <t>Seoul</t>
  </si>
  <si>
    <t>South Korea</t>
  </si>
  <si>
    <t>Mr. David Wright serves as Advisory Board Member at GG56. He is a former British diplomat who served as the British ambassador to the Republic of Korea (1990-1994) and Japan (1996-1999). Currently, he is the Chairman of Skarbek Associates, Non-Executive Director of Rezolve, Vice-President of the China-Britain Business Council, a member of the International Advisory Board of All Nippon Airways, and a Governor of the Royal Shakespeare Company. He also serves as Chair of the Korean British Business Council. During his career, he was Private Secretary to HRH The Prince of Wales, the first CEO of British Trade International, and Vice-Chairman at Barclays.</t>
  </si>
  <si>
    <t>155818-09P</t>
  </si>
  <si>
    <t>Denise Amyot</t>
  </si>
  <si>
    <t>Collège LaSalle International</t>
  </si>
  <si>
    <t>Amyot</t>
  </si>
  <si>
    <t>Denise</t>
  </si>
  <si>
    <t>www.lcieducation.com</t>
  </si>
  <si>
    <t>President of Governance and HR Committee &amp; Board Member</t>
  </si>
  <si>
    <t>+1 (514) 788-8804</t>
  </si>
  <si>
    <t>denise.amyot@lcieducation.com</t>
  </si>
  <si>
    <t>Montreal, Canada</t>
  </si>
  <si>
    <t>1400, rue du Fort</t>
  </si>
  <si>
    <t>Suite 9000</t>
  </si>
  <si>
    <t>Montreal</t>
  </si>
  <si>
    <t>Quebec</t>
  </si>
  <si>
    <t>H3H 2T1</t>
  </si>
  <si>
    <t>Ms. Denise Amyot serves as President of Governance and HR Committee &amp; Board Member at LCI Education. She serves as Board Member at Qatar Foundation Endowment. She served as Board Member at Ontario Trillium Foundation. Denise Amyot has an outstanding record of public service. She is the President and CEO of Colleges and Institutes Canada (formerly ACCC), the voice of Canada's publicly supported colleges, institutes and polytechnics. It works with industry and social sectors to train 1.5 million learners at campuses serving over 3,000 communities in Canada. Denise was most recently the President and CEO of the Canada Science and Technology Museums Corporation, a federal crown corporation including three national museums - the Canada Agriculture and Food Museum, the Canada Aviation and Space Museum, and the Canada Science and Technology Museum. She also served as Senior Vice-President of the Leadership and Talent Management Sector at the Canada Public Service Agency (now Treasury Board). She has worked in several federal departments including Human Resources Development Canada, National Defence, Natural Resources Canada, Canadian Heritage, and the Public Service Commission. In her former two roles as Assistant Deputy Minister, she was respectively responsible for the corporate management services as well as public affairs and ministerial services. In a volunteer capacity, she is Chair of the World Federation of Colleges and Polytechnics and the Chair of the Advisory Committee of the Institute of Science, Society and Policy (ISSP). She sits on the Human Resources Policy Committee of the Chamber of Commerce and on the Advisory Council of the Schulich Centre for Excellence in Public Management, Western University. Denise is the past President of the Institute of Public Administration of Canada, past Vice-President of the Head of Federal Agencies Steering Committee, past member of the Boards of Governors at Algonquin College and at the University of Ottawa, member of the Editorial Board of the Canadian Government Executive magazine. She is also the former President of the Association of Professional Executives of the Public Service of Canada and former President of the Communications Community Office. She also was a Director for Regroupement des gens d'affaires, and an active member of United Way Committees and Director of a foundation. The recipient of several awards in leadership, Denise holds a Master's degree in Education and three Bachelor degrees in Biology, Arts and in Education.</t>
  </si>
  <si>
    <t>432697-42P</t>
  </si>
  <si>
    <t>Derk Hartman</t>
  </si>
  <si>
    <t>Green Metals Refining</t>
  </si>
  <si>
    <t>Hartman</t>
  </si>
  <si>
    <t>Derk</t>
  </si>
  <si>
    <t>www.greenmetalsrefining.com</t>
  </si>
  <si>
    <t>Founder, Board Member &amp; Chief Executive Officer</t>
  </si>
  <si>
    <t>dhartman@greenmetalsrefining.com</t>
  </si>
  <si>
    <t>C/O The Explorers Club Devonshire House</t>
  </si>
  <si>
    <t>Mayfair Place</t>
  </si>
  <si>
    <t>W1J 8AJ</t>
  </si>
  <si>
    <t>Mr. Derk Hartman is the Founder and serves as Chief Executive Officer and Board Member at Green Metals Refining. An experienced battery metals and mining executive with a focus on metallurgy and project delivery. Previous roles include Director Strategy &amp; Project Delivery at MET63, President &amp; COO of Giyani Metals, Director EPC &amp; Project Delivery at Royal IHC, and Co-Founder of three exploration companies.</t>
  </si>
  <si>
    <t>373085-74P</t>
  </si>
  <si>
    <t>Derk te Bokkel</t>
  </si>
  <si>
    <t>te Bokkel</t>
  </si>
  <si>
    <t>d.te-bokkel@royalihc.com</t>
  </si>
  <si>
    <t>Mr. Derk te Bokkel serves as Chief Executive Officer &amp; Board Member at Royal IHC. Mr. te Bokkel will thereby take over from Jan-Pieter Klaver, who has held this role since 1 January 2022. Derk te Bokkel will combine his role as CEO with his current role as CFO. Jan-Pieter Klaver will remain a member of the Board of Directors until March 1, 2024, and will be responsible for Custom Vessels, Engineering, and Project Management, including managing the Boskalis Project Team. A new member of the Board of Directors is being sought who, as COO, will focus on further developing our shipbuilding capabilities, managing the yards, and, in parallel, realizing the build abroad strategy, in addition to building in the Netherlands.</t>
  </si>
  <si>
    <t>41817-61P</t>
  </si>
  <si>
    <t>Detlef Pohl Ph.D</t>
  </si>
  <si>
    <t>Transparent Energy Systems</t>
  </si>
  <si>
    <t>Pohl</t>
  </si>
  <si>
    <t>Detlef</t>
  </si>
  <si>
    <t>www.tespl.com</t>
  </si>
  <si>
    <t>+91 (0)20 2421 1347</t>
  </si>
  <si>
    <t>Pune, India</t>
  </si>
  <si>
    <t>1st Floor, Pushpa Heights</t>
  </si>
  <si>
    <t>Bibwewadi Corner</t>
  </si>
  <si>
    <t>Pune</t>
  </si>
  <si>
    <t>411037</t>
  </si>
  <si>
    <t>+91 (0)20 2421 2533</t>
  </si>
  <si>
    <t>Dr. Detlef Pohl serves as Board Member at Transparent Energy Systems. Dr. Detlef Pohl served as Director at Next47. Pohl serves as Nominee Director at Transparent Energy Systems. He joined the Munich office of Siemens Venture Capital (SVC) in 2008. His areas of focus include Siemens Sector Industry related investments in industrial automation, drive technologies, building technologies, lightning and mobility mainly in Europe. Prior to joining SVC, he managed the worldwide mergers and acquisitions transactions for different Siemens entities. From 2004-2006 he was managing director Mergers &amp; Acquisitons of the Siemens Communication Group, the largest division with Euro 17 bn in sales. Dr. Pohl has experience as the managing director and CFO of a Russian/German joint venture and is acting as a member several Boards of Directors. Before that he was manager of strategic planning for SBS and Siemens Nixdorf Information Systems (SNI) and has more than 5 years of experience of hands-on project management in operations. In 2000 he was a founding member of the Siemens Business Services (SBS) Venture Capital team. Dr. Pohl obtained his Ph.D. diploma in information technology, with the performance analysis of digital networks from the University of Rostock, Germany. He also served as an Advisor at Power Plus Communications.</t>
  </si>
  <si>
    <t>326831-23P</t>
  </si>
  <si>
    <t>Dhanush Arjun</t>
  </si>
  <si>
    <t>Funder.ai Technologies</t>
  </si>
  <si>
    <t>Arjun</t>
  </si>
  <si>
    <t>Dhanush</t>
  </si>
  <si>
    <t>zelofinance.ai</t>
  </si>
  <si>
    <t>+971 (0)2 681 0985</t>
  </si>
  <si>
    <t>dhanush@efunder.ai</t>
  </si>
  <si>
    <t>DD-14-117-023, 14 Floor, WeWork Hub71</t>
  </si>
  <si>
    <t>Al Khatem Tower, ADGM Square, Al Maryah Island</t>
  </si>
  <si>
    <t>Mr. Dhanush Arjun is a Co-Founder &amp; serves as a Board Member at eFunder. He also serves as Director of Private Equity at Lunate. He is responsible for executing the firm's direct private equity investment strategy. He brings over 15 years of experience to the firm. Prior to Lunate, He worked as a Director at Chimera Capital. Previously, he held roles at Channel VAS, Waha Capital, The National Investor, and KPMG. He holds an MBA from INSEAD and is a Chartered Accountant.</t>
  </si>
  <si>
    <t>121409-02P</t>
  </si>
  <si>
    <t>Dominic Paulraj Ph.D</t>
  </si>
  <si>
    <t>Arada Systems (Former)</t>
  </si>
  <si>
    <t>Paulraj</t>
  </si>
  <si>
    <t>www.aradasystems.com</t>
  </si>
  <si>
    <t>Founder, Chief Operating Officer &amp; Vice President, Engineering</t>
  </si>
  <si>
    <t>Dr. Dominic Paulraj Founded &amp; served as Chief Operating Officer &amp; Vice President, Engineering at Arada Systems. Previosuly, he also served as Chief Technical Officer at Linare Corporation.</t>
  </si>
  <si>
    <t>226084-42P</t>
  </si>
  <si>
    <t>Dominic Richards</t>
  </si>
  <si>
    <t>Prosper Education</t>
  </si>
  <si>
    <t>Richards</t>
  </si>
  <si>
    <t>www.royalabc.com</t>
  </si>
  <si>
    <t>Co-Founder &amp; Chairman</t>
  </si>
  <si>
    <t>+61 (0)4 0276 5946</t>
  </si>
  <si>
    <t>dominic@prospereducation.com</t>
  </si>
  <si>
    <t>19a Boundary Street</t>
  </si>
  <si>
    <t>Suite 501a</t>
  </si>
  <si>
    <t>2010</t>
  </si>
  <si>
    <t>Mr. Dominic Richards is a Co-Founder &amp; serves as Chairman at Prosper Education. He is a community-focused place-maker who believes entrepreneurship should be a force for improving the quality of people's lives. Dominic was raised in Australia and England and educated at the University of Cambridge and the Prince of Wales Institute of Architecture. Motivated to better equip our next generation to embrace the opportunities of the future, Dominic sought to create a stimulating learning environment by leveraging cutting-edge technology platforms with time-honored educational foundations. He is realising this pursuit as the Chairman and co-founder of Prosper Education Ltd, a digital education initiative based in Sydney and London.</t>
  </si>
  <si>
    <t>217731-52P</t>
  </si>
  <si>
    <t>Donna Flory</t>
  </si>
  <si>
    <t>Fauquier Bankshares</t>
  </si>
  <si>
    <t>Flory</t>
  </si>
  <si>
    <t>Donna</t>
  </si>
  <si>
    <t>www.tfb.bank</t>
  </si>
  <si>
    <t>Warrenton, VA</t>
  </si>
  <si>
    <t>10 Courthouse Square</t>
  </si>
  <si>
    <t>Warrenton</t>
  </si>
  <si>
    <t>20186</t>
  </si>
  <si>
    <t>Ms. Donna Flory served as Board Member at Fauquier Bankshares. Ms. Flory is currently the Director of Human Resources for QMT Windchimes, a manufacturing company based in Manassas Park, Virginia. In addition, as an independent contractor, Ms. Flory provides financial support to the Industrial Development Authority of Prince William County, Virginia. Ms. Flory served as the Vice President of the Flory Small Business Development Center, Inc. (the Flory Center), located in Manassas, Virginia, from 1992 to 2019 and was responsible for financial operations, human resources, payroll, employee benefits and general operations. The Flory Center was a nonprofit organization that assisted small businesses and start-up entrepreneurs in accessing capital, developing business and marketing plans, and was a resource partner with the U.S. Small Business Administration. Ms. Flory also has significant experience in hospitality management, holding various management positions with Tysons Westpark Hotel and Ramada Inn from 1982 to 1989. Ms. Flory serves her community through leadership roles in the American Red Cross, Rotary International, March of Dimes and Bugles Across America. She is a Past President of Habitat for Humanity of Prince William County, and the cities of Manassas and Manassas Park, Virginia. Through her business and community involvement, Ms. Flory brings to the Board a diverse range of professional skills and relationships.</t>
  </si>
  <si>
    <t>49245-13P</t>
  </si>
  <si>
    <t>Douglas Dunsmuir</t>
  </si>
  <si>
    <t>Westlake Royal Building Products (Former)</t>
  </si>
  <si>
    <t>Dunsmuir</t>
  </si>
  <si>
    <t>Douglas</t>
  </si>
  <si>
    <t>www.westlakeroyalbuildingproducts.com</t>
  </si>
  <si>
    <t>Douglas Dunsmuir served as the President and Chief Executive Officer of Royal Group Technologies.</t>
  </si>
  <si>
    <t>271562-32P</t>
  </si>
  <si>
    <t>Duncan Byatt</t>
  </si>
  <si>
    <t>PeopleCert (Former)</t>
  </si>
  <si>
    <t>Byatt</t>
  </si>
  <si>
    <t>Duncan</t>
  </si>
  <si>
    <t>www.peoplecert.org</t>
  </si>
  <si>
    <t>Mr. Duncan Byatt served as a Board Member at PeopleCert. He has been with PeopleCert since 2017. He has been the Non-Executive Director of Axelos Ltd since 2013. He joined the Cabinet Office in 2012 as a Crown Commercial Lead for commercializing parts of the UK Government as part of the Better Business Models team in the Efficiency and Reform Group and within this capacity, he was responsible for the RFP that ended up in the creation of AXELOS. In early 2009, he was invited to be responsible for planning and strategic thinking behind the launch of The Foundation of Prince William and Prince Harry. He has a very rich investment career starting in 1984 and working in several investments and asset management firms, among which Eagle &amp; Dominion Asset Management which he founded in 1998, and Bear Stearns Asset Management where he acted as a Senior Managing Director to establish institutional global growth equity team and develop investment products and investment processes. He has a BSc in Economics and Commercial Law from the University of Edinburgh.</t>
  </si>
  <si>
    <t>395221-69P</t>
  </si>
  <si>
    <t>Eduardo Roman</t>
  </si>
  <si>
    <t>Global Private Capital Association</t>
  </si>
  <si>
    <t>Roman</t>
  </si>
  <si>
    <t>www.globalprivatecapital.org</t>
  </si>
  <si>
    <t>Managing Director, Institutional Relations</t>
  </si>
  <si>
    <t>+1 (646) 315-6735</t>
  </si>
  <si>
    <t>589 8th Avenue</t>
  </si>
  <si>
    <t>Floor 19</t>
  </si>
  <si>
    <t>10018</t>
  </si>
  <si>
    <t>Mr. Eduardo Roman serves as Managing Director, Institutional Relations at Global Private Capital Association. He oversees the organization's global membership and institutional investor network. He is also responsible for activities related to GPCA's Board of Directors, and Leadership Councils. Most recently, Eduardo was Chief Operating Officer at G42 Asset Management, a subsidiary of Abu Dhabi-based Artificial Intelligence and Cloud Computing company G42. He led the firm's non-investment activities including compliance of regulatory requirements, financial management and reporting, and relationships with external service providers. Prior to joining G42, Eduardo was Director of Research at LAVCA, where he was responsible for the delivery of research products and services to LAVCA's Members and to the Latin America private capital community. Before LAVCA, Eduardo was a Senior Research and Analytics Manager at Private Equity International (PEI), leading research and analytics teams in New York, London, and Hong Kong. Previously, Eduardo served as Head of Broadband Technology and Services at Entel, the largest Chilean telecommunications operator.</t>
  </si>
  <si>
    <t>293890-15P</t>
  </si>
  <si>
    <t>Edward Attwood</t>
  </si>
  <si>
    <t>Attwood</t>
  </si>
  <si>
    <t>Edward</t>
  </si>
  <si>
    <t>Chief Communications Officer</t>
  </si>
  <si>
    <t>e.attwood@arada.com</t>
  </si>
  <si>
    <t>Mr. Edward Attwood serves as Chief Communications Officer at Arada Developments. Mr. Attwood heads up the public relations and corporate communications functions at the company and has been with the company since its inception. He also serves as Director of Communications at KBW Investments, one of the company's parent companies.
A former journalist and editor, he joined the company from ITP, the Middle East's largest publishing house, where he ran the Executive division. In that role, he oversaw leading consumer publication Arabian Business, as well as having responsibility for the editorial output for three other magazines and ITP Executive's sizeable annual roster of events and awards ceremonies. Before joining the Executive division of ITP, he edited and worked on a number of trade titles, including Construction Week and Aviation Business.
Prior to moving to the UAE in 2008, Edward worked as an editor on the Middle East desk for political and economic forecasting company Global Insight, which is now part of IHS Markit. He also served as a legal caseworker at a local regulatory authority in the UK. He holds an honors degree in English Literature from the University of Newcastle.</t>
  </si>
  <si>
    <t>301659-49P</t>
  </si>
  <si>
    <t>Elham Qasim</t>
  </si>
  <si>
    <t>Cambridge Medical &amp; Rehabilitation Center (Former)</t>
  </si>
  <si>
    <t>Qasim</t>
  </si>
  <si>
    <t>Elham</t>
  </si>
  <si>
    <t>cmrc.com</t>
  </si>
  <si>
    <t>Ms. Elham Qasim served as Board Member at Cambridge Medical &amp; Rehabilitation Center. Ms. Qasim is also a Non-Executive Board Member at Amanat Holdings PJSC ("Amanat"). She serves as Digital14's Chief Executive Officer, steering the organization's strategic direction, and leading over 1,000 staff in their purpose-driven work to deliver trust in digital so that clients can innovate and fulfil their potential. Prior to joining Digital14, she enjoyed a global career with executive roles in investment and asset management. More recently, she served as CEO of Abu Dhabi Investment Office (ADIO) and Executive Director of the Ghadan 21 programme at the Abu Dhabi Executive Office where she led the strategic planning for the government's three-year, AED 50 billion investment programme aimed at accelerating Abu Dhabi's economy. Prior to this, she was a Director of Mubadala Investment Company, focusing on Mubadala's Technology and Industry portfolio. Her responsibilities included building investment/entry strategy, business development, value creation, and post-acquisition asset management in sectors including Metals &amp; Mining, Semiconductors, and Technology. During this time, she also served on the executive leadership team of Emirates Global Aluminium and delivered a two-year post-merger integration program. She has served on a number of boards and is currently a Board Member of publicly listed International Holding Company and the Khalifa Fund, a government-owned SME Fund. Her international career includes JPMorgan Investment Bank, where she was part of the Global Diversified Industrials Team based in London handling M&amp;A transactions in chemicals, metals and mining, and infrastructure. She holds an MSc from the School of Social Policy at the London School of Economics and a Bachelor of Business from the American University in Dubai. In April 2010, she became the first Arab woman to ski to the North Pole.</t>
  </si>
  <si>
    <t>339075-73P</t>
  </si>
  <si>
    <t>Elie Mrad</t>
  </si>
  <si>
    <t>Mrad</t>
  </si>
  <si>
    <t>Elie</t>
  </si>
  <si>
    <t>Chief Architectural Officer</t>
  </si>
  <si>
    <t>e.mrad@arada.com</t>
  </si>
  <si>
    <t>Mr. Elie Mrad serves as Chief Architectural Officer at Arada Developments. Elie Mrad is a qualified architect with more than 20 years of experience working in markets as diverse as Australia, the UAE and South Sudan. He is responsible for Arada's overall design philosophy and for developing new typologies that adhere to that philosophy. Elie focuses on an iterative and information-based design process to introduce new ideas and is also responsible for ensuring the feasibility of designs, from concept to completion.
Elie's current initiatives include fostering stronger team collaboration via the creation of a lively, sharing design studio environment and creating a mentorship network where senior staff can guide and help other employees grow and progress in their careers. As Head of Architecture and Design, Elie has been instrumental in the creation of the masterplan and unit designs for all three of Arada's record-breaking projects and worked closely with Zaha Hadid Architects on the delivery of Madar at Aljada, a new leisure and entertainment destination for the UAE. He previously served as Head of Architecture at Arcadia Middle East and as Senior Architect at Dewan Architects &amp; Engineers. Elie's other roles have included Managing Director of Venture International and Senior Architect at Kann Finch. The projects he has worked on include Reem Mall in Abu Dhabi, Dubai Festival City and the Crowne Plaza Hotel on Yas Island. Elie holds a BSc in Architectural Engineering from Beirut Arab University and an MSc in Architecture and Urban Design from the University of Sydney.</t>
  </si>
  <si>
    <t>151464-61P</t>
  </si>
  <si>
    <t>Spacehive (Former)</t>
  </si>
  <si>
    <t>www.spacehive.com</t>
  </si>
  <si>
    <t>Ms. Elizabeth Buchanan served as Advisor at Spacehive. Until December 2008, Elizabeth was Private Secretary to TRH The Prince of Wales and The Duchess of Cornwall. She had worked for The Prince of Wales since 1998 and before that she worked with Tim Bell at Bell Pottinger Communications and was the press secretary to Lady Thatcher. She was previously a Special Adviser in the Department of Transport working for two Cabinet Ministers. Elizabeth is now a special adviser to Waitrose, to Dairy Crest and to the Bell Pottinger Group, and remains a consultant to The Prince of Wales. She also co-manages the family's organic livestock farm in East Sussex. Elizabeth sits on the BBC's Rural Affairs Advisory Committee, the Experts Panel of Natural England and is a senior associate of the Cambridge Programme for Sustainability Leadership. She is a trustee of The Prince's Countryside Fund, of The Horse Trust and the Smith School for Enterprise and the Environment at Oxford University. She is a member of the Goldsmiths Company.</t>
  </si>
  <si>
    <t>159193-81P</t>
  </si>
  <si>
    <t>Chime Group (Former)</t>
  </si>
  <si>
    <t>www.chimegroup.com</t>
  </si>
  <si>
    <t>Special Advisor</t>
  </si>
  <si>
    <t>Ms. Elizabeth Buchanan was special adviser to Chime. She was Private Secretary to TRH The Prince of Wales and The Duchess of Cornwall until 2008 when she left to build a portfolio career. Before that she was Press Secretary to Lady Thatcher having begun her career in politics. She was special adviser to two Cabinet Ministers in Mrs Thatcher's last term in Government. Elizabeth is also an adviser to Waitrose, Dairy Crest and Nyetimber. She is a trustee of The Prince's Countryside Fund, sits on the BBC Rural Affairs Committee, is a Senior Associate of The Cambridge Institute of Sustainability Leadership and a trustee of The Smith School for Enterprise and the Environment at Oxford University. She sits on her Parochial Church Council. Elizabeth runs the family organic beef farm in East Sussex. She is a Commander of The Royal Victorian Order, a Fellow of The Royal Agricultural Societies and holds an honorary degree from the University of Wales.</t>
  </si>
  <si>
    <t>376881-85P</t>
  </si>
  <si>
    <t>Elizabeth Mccraven</t>
  </si>
  <si>
    <t>Indian Health Center Of Santa Clara Valley</t>
  </si>
  <si>
    <t>Mccraven</t>
  </si>
  <si>
    <t>indianhealthcenter.org</t>
  </si>
  <si>
    <t>Chief Medical Officer, Medical, Meridian Site</t>
  </si>
  <si>
    <t>+1 (408) 445-3400</t>
  </si>
  <si>
    <t>San Jose, CA</t>
  </si>
  <si>
    <t>1333 Meridian Ave</t>
  </si>
  <si>
    <t>San Jose</t>
  </si>
  <si>
    <t>95125-5212</t>
  </si>
  <si>
    <t>Dr. Elizabeth Mccraven serves as Chief Medical Officer, Medical, Meridian Site at Indian Health Center of Santa Clara Valley. She has been working with IHC since 2014 and is board certified in Family Medicine. She started her work at IHC as a Locum Tenens (temporary) provider, covering for another provider who was on maternity leave. That was a great way for her to get my foot in the door at a clinic I really wanted to work for. Shortly after, she started her position as Associate Medical Director and has stayed on to become the Medical Director of the Meridian site.</t>
  </si>
  <si>
    <t>184716-64P</t>
  </si>
  <si>
    <t>Enda Colfer</t>
  </si>
  <si>
    <t>Anthesis TEP (Former)</t>
  </si>
  <si>
    <t>Colfer</t>
  </si>
  <si>
    <t>Enda</t>
  </si>
  <si>
    <t>www.tep-me.com</t>
  </si>
  <si>
    <t>Mr. Enda Colfer served as the Managing Director at The Environment Partnership. He brings over fifteen years experience of working in environmental consultancy to the business. Based in United Arab Emirates for the past seven years, His experience has seen him involved in a broad range of projects including environmental impact assessments, environmental auditing and due diligence, and waste management across Europe, America, and the Middle East. During his time in Dubai, He has worked with clients including the Presidency for Meteorology and the Environment in Saud Arabia, Masdar in UAE, Qatar Foundation, GE and Goldman Sachs. He has a degree in Agricultural and Environmental Science from University College Dublin and a Masters in Environmental Engineering from Pennsylvania State University. Prior to TEP, Enda worked for a global engineering consultancy and at the European Commission in Brussels.</t>
  </si>
  <si>
    <t>319594-42P</t>
  </si>
  <si>
    <t>Eric Hanna</t>
  </si>
  <si>
    <t>Hanna</t>
  </si>
  <si>
    <t>e.hanna@arada.com</t>
  </si>
  <si>
    <t>Mr. Eric Hanna serves as Chief Marketing Officer at Arada Developments. He is a multidisciplined marketing professional with more than 30 years of experience in the region.
He started his career in Lebanon in 1990 with Leo Burnett, then later transferred to Jeddah before moving to Dubai with Saatchi &amp; Saatchi (then WPP), where he led MediaCom and later the Grey Group across the Middle East and North Africa. During his tenure with the Grey Group, he expanded its offering by setting up the group's networks, including G2 (Branding, Digital, Shopper and Retail Media marketing), Cohn &amp; Wolfe (Public Relations), and Healthy People (Healthcare marketing) as well as MediaCom (Media planning and buying). He was also a member of Grey EMEA's Brand Planning team, which developed and rolled out planning tools and models across the region. As of 2018, he moved to Shamal and later BEAM Consolidated where he led Marketing for a diverse portfolio of brands. He also acted as a Marketing Consultant for the launch of Bloomberg Asharq in the region in 2021.</t>
  </si>
  <si>
    <t>389994-94P</t>
  </si>
  <si>
    <t>Esther Peters</t>
  </si>
  <si>
    <t>FYEO Medical</t>
  </si>
  <si>
    <t>Peters</t>
  </si>
  <si>
    <t>Esther</t>
  </si>
  <si>
    <t>www.fyeo.nl</t>
  </si>
  <si>
    <t>+31 (0)49 736 0860</t>
  </si>
  <si>
    <t>esther@fyeo.nl</t>
  </si>
  <si>
    <t>Eersel, Netherlands</t>
  </si>
  <si>
    <t>Koperslager 6</t>
  </si>
  <si>
    <t>Eersel</t>
  </si>
  <si>
    <t>5521 DE</t>
  </si>
  <si>
    <t>Ms. Esther Peters serves as Chief Marketing Officer at FYEO Medical. She worked at Leadrs as a Team Leader of Online Marketing and Operations Manager from February 2016 to November 2020. Her career also includes a role as a Communication Manager Dredging &amp; Mining at Royal IHC. Ms. Peters completed her VWO (pre-university education) at Elzendaal College Boxmeer, and then pursued a Bachelor of Arts degree in Marketing &amp; PR at Breda University of Applied Sciences in 1997. She also obtained a NIMA A certification and continued her education at Fontys University of Applied Sciences from 1997 to 1999, earning a Bachelor of Arts degree in Communications.</t>
  </si>
  <si>
    <t>328610-44P</t>
  </si>
  <si>
    <t>Estibalitz Laresgoiti</t>
  </si>
  <si>
    <t>Pro Mujer</t>
  </si>
  <si>
    <t>Laresgoiti</t>
  </si>
  <si>
    <t>Estibalitz</t>
  </si>
  <si>
    <t>www.promujer.org</t>
  </si>
  <si>
    <t>+1 (646) 626-7000</t>
  </si>
  <si>
    <t>515 Madison Avenue</t>
  </si>
  <si>
    <t>8th Floor</t>
  </si>
  <si>
    <t>+1 (212) 904-1038</t>
  </si>
  <si>
    <t>Ms. Estibalitz Servitje serves as Board Member at Pro Mujer. She is a physician with graduate studies in immunology, neurosciences, health psychology and health sciences. She has been a basic and clinical immunology professor since the year 2000. Currently, she is a professor and researcher at the School of Medicine and Health Sciences at the Tecnológico de Monterrey in Mexico and a professor in the Masters's and Ph.D. programs in Health Sciences from the Universidad Nacional Autónoma de México (UNAM). Her research interests include immune regulation during pregnancy, chronic stress and childhood obesity. She is a member of the Medical Society of the American British Cowdray Medical Center in Mexico City, the Psychoneuroimmunology Research Society and the National Researchers System (SNI) of Mexico's National Science and Technology Council (CONACyT).</t>
  </si>
  <si>
    <t>169362-82P</t>
  </si>
  <si>
    <t>Fahad Saad Al-Qahtani</t>
  </si>
  <si>
    <t>Al-Qahtani</t>
  </si>
  <si>
    <t>Fahad Saad</t>
  </si>
  <si>
    <t>Board Member &amp; Member of the Executive Committee</t>
  </si>
  <si>
    <t>Mr. Fahad Saad Al-Qahtani served as Board Member and Member of the Executive Committee at Qatar Luxury Group.</t>
  </si>
  <si>
    <t>321092-38P</t>
  </si>
  <si>
    <t>Fahed Al Marzooqi MD</t>
  </si>
  <si>
    <t>Fahed</t>
  </si>
  <si>
    <t>Dr. Fahed Al Marzooqi served as Chief Operating Officer at G42 Healthcare. In his role as the Chief Operating Officer of G42 Healthcare, he leads business operations, spearheading critical assignments and strategic projects that have had a transformational impact, cementing the company's position as a futuristic entity committed to inventing better healthcare every day. With a wealth of experience in healthcare and technology, and a career spanning 15-plus years across large and diverse organizations in the UAE. Prior to joining G42 Healthcare,He was the Chief Administrative Officer at Cleveland Clinic Abu Dhabi, where he played a critical role in steering multiple high-impact strategies and innovative programs for the hospital. He holds a Bachelor of Science in Mathematics and a Doctorate in Medicine from Dalhousie University in Canada, and has completed a five-year residency program in anesthesiology at the University of British Columbia in Vancouver, Canada.</t>
  </si>
  <si>
    <t>344889-46P</t>
  </si>
  <si>
    <t>Faheem Ahamed</t>
  </si>
  <si>
    <t>Ahamed</t>
  </si>
  <si>
    <t>Faheem</t>
  </si>
  <si>
    <t>Group Chief Marketing and Communications Officer</t>
  </si>
  <si>
    <t>faheem.ahamed@g42.ai</t>
  </si>
  <si>
    <t>Mr. Faheem Ahamed serves as Group Chief Marketing and Communications Officer at G42. He is accountable for building and delivering the Group's communication and brand strategies, alongside managing stakeholder communications across G42 Group and across all communications disciplines. He advises the global leadership team on all communications and brand-related matters. He has over 27 years of global experience in building organizations, and driving cross-cultural, effects-based communication solutions, including a decade in behavioral communications driving social-impact programs. Faheem has worked on client and agency side on a wide range of industries and brands including BAT, Cadbury's, Tourism Malaysia, Malaysia Airlines, Samsung, Pentax, Delsey, Scintilla, Sage and VISA. He has been a trusted advisor to Nations, Boards, CEOs and world leaders. With a Bachelor of Arts (Economics) and MBA in Strategic Management, Faheem is an active participant in sociali impact and over the years taken several industry roles. Currently serving as Vice Chairman and Board Member of The Marketing Society (Abu Dhabi Chapter), and recentlywas final jury judge for MENA EFFIE's Awards 2021.</t>
  </si>
  <si>
    <t>156551-59P</t>
  </si>
  <si>
    <t>Fahmi Abubakar</t>
  </si>
  <si>
    <t>Abubakar</t>
  </si>
  <si>
    <t>Fahmi</t>
  </si>
  <si>
    <t>Investment Analyst</t>
  </si>
  <si>
    <t>fahmi.abubakar@royalgroupuae.com</t>
  </si>
  <si>
    <t>Mr. Fahmi Abubakar serves as Investment Analyst at Royal Group.</t>
  </si>
  <si>
    <t>174492-91P</t>
  </si>
  <si>
    <t>Le Tanneur &amp; Cie</t>
  </si>
  <si>
    <t>www.letanneur.com</t>
  </si>
  <si>
    <t>+33 (0)1 44 72 40 00</t>
  </si>
  <si>
    <t>7 rue Tronchet</t>
  </si>
  <si>
    <t>Mr. Faleh Al-Nasr serves as Board Member at Le Tanneur &amp; Cie. Born in 1987, of Qatari nationality, Director of direct investments of the Qatar Foundation Endowment and adminstrator of several investment companies.</t>
  </si>
  <si>
    <t>421985-08P</t>
  </si>
  <si>
    <t>Farhan Kafil</t>
  </si>
  <si>
    <t>Kafil</t>
  </si>
  <si>
    <t>Farhan</t>
  </si>
  <si>
    <t>f.kafil@arada.com</t>
  </si>
  <si>
    <t>Mr. Farhan Kafil serves as Chief Commercial Officer at Arada Developments.</t>
  </si>
  <si>
    <t>395764-12P</t>
  </si>
  <si>
    <t>Faris Al-Qatarneh</t>
  </si>
  <si>
    <t>Baynouna Solar Energy Company</t>
  </si>
  <si>
    <t>Al-Qatarneh</t>
  </si>
  <si>
    <t>www.baynouna.jo</t>
  </si>
  <si>
    <t>Board Member &amp; CEO</t>
  </si>
  <si>
    <t>falqatarneh@baynouna.jo</t>
  </si>
  <si>
    <t>Mr. Faris Al-Qatarneh serves as Chief Executive Officer and Board Member at Baynouna Solar Energy Company. He is a senior executive with over 22 years in leadership and management experience in both private and public sectors, including government, manufacturing, insurance, energy, real estate development and social service organizations. He is the Chief Executive Officer of The Link Group Limited, a consultancy firm based in Abu Dhabi, UAE that serves as a gateway to the region through supporting its clients in identifying the right opportunities and building successful and sustainable businesses. The Link Group also supports clients from the region in strengthening relations and doing business through its diverse partnerships globally. He is also the Vice Chairman of the Board of Northern Cement, a Jordanian publicly traded company and one of Jordan's largest cement providers with over 250 million dollars market cap. He is also an Executive Board Member of the Middle East Insurance Company, Jordan's leading insurance firm, and a Senior Advisor to Saudi Pan Kingdom Holding [SAPAC], one of Saudi Arabia's top contracting, construction and industrial entities. served as a board member of several corporations in the fields of real estate development, renewable energy, social services and various industries. In 2010, he served as a Minister of State for Cabinet Affairs. Before his term, he was appointed as the Chief of Staff to Prime Minister (PM) Samir Al Rifai, managing the PM's team and overseeing the relationship with all key stakeholders including members of the cabinet, the Royal Court as well as the Parliament, in addition to restructuring the Prime Ministry. In 2007, he was named an Ambassador by His Majesty King Abdullah II and appointed Chief of Protocol at the Ministry of Foreign Affairs. Before working at the Ministry of Foreign Affairs, He worked as the Assistant Chief of the Royal Protocol at the Royal Hashemite Court. He is a member of the Young Presidents' Organization [YPO] Jordan Chapter, Jordan Board Association as well as the Jordan Intellectual Property Association. He received several medals including the Second Order of Independence awarded by His Majesty King Abdullah II, the Grand Officer Medal awarded by King Carl XVI Gustaf of Sweden, and decorations from the Netherlands, Hungary, and Spain. He was born in 1974 in Amman, Jordan. He attained his bachelor's degree in law from Jordan University and LLM (Intellectual Property Law) from George Washington University.</t>
  </si>
  <si>
    <t>335257-39P</t>
  </si>
  <si>
    <t>Fasong Zhou Ph.D</t>
  </si>
  <si>
    <t>Green Fafa</t>
  </si>
  <si>
    <t>Zhou</t>
  </si>
  <si>
    <t>Fasong</t>
  </si>
  <si>
    <t>www.greenfafa.com</t>
  </si>
  <si>
    <t>+86 (0)134 7626 7680</t>
  </si>
  <si>
    <t>fasongzhou@greenfafa.com</t>
  </si>
  <si>
    <t>Wuhan, China</t>
  </si>
  <si>
    <t>Room 304, Building 10, Area B, Gaonong Biological Park Headquarters</t>
  </si>
  <si>
    <t>No. 888 Gaoxin Avenue, East Lake New Technology Development Zone</t>
  </si>
  <si>
    <t>Wuhan</t>
  </si>
  <si>
    <t>Hubei</t>
  </si>
  <si>
    <t>314006</t>
  </si>
  <si>
    <t>China</t>
  </si>
  <si>
    <t>Dr. Fasong Zhou is a Co-Founder of Green Fafa. Dr. Zhou served as Chairman &amp; General Manager at Green Fafa. He holds a Ph.D. in Plant Molecular Pathology from the Royal Danish Agricultural University. He is a national-level talent in the Talent Development Program, a member of the "Yellow Crane Talent Strategy" in Wuhan, and an expert in the Biological Chip Committee of the China National Standards Committee. Currently, he serves as the Chairman and General Manager of Wuhan Shuanglvgen Semiconductor Technology Research Institute Co., Ltd. From 1998 to 2010, he conducted research in plant biotechnology at institutions including the John Innes Centre in the UK, Cornell University in the US, Ceres Biotechnology in the US, and Mendel Biotechnology in the US. From 2010 to 2018, he served as the Director of the National Key Laboratory of Crop Breeding Innovation and Integration at the China National Seed Group Life Science and Technology Center. He successfully developed the world's first rice whole-genome breeding chip and its upgraded version, established a whole-genome breeding system and platform, created the first green multi-line rice variety, and achieved the market transformation of rice functional genomics achievements. He has published over thirty scientific papers and reviews in academic journals such as Cell, Plant Cell, Plant Journal, Molecular Plant, Plant Biotechnology Journal, Plant Physiology, and MPMI.</t>
  </si>
  <si>
    <t>333848-80P</t>
  </si>
  <si>
    <t>Fatema Rachmat</t>
  </si>
  <si>
    <t>Rachmat</t>
  </si>
  <si>
    <t>Fatema</t>
  </si>
  <si>
    <t>President &amp; Director</t>
  </si>
  <si>
    <t>frachmat@pertamedika.co.id</t>
  </si>
  <si>
    <t>Ms. Fatema Rachmat serves as President Director at Pertamedika IHC.</t>
  </si>
  <si>
    <t>106321-96P</t>
  </si>
  <si>
    <t>Felix Addison</t>
  </si>
  <si>
    <t>WYL (Former)</t>
  </si>
  <si>
    <t>Addison</t>
  </si>
  <si>
    <t>Felix</t>
  </si>
  <si>
    <t>www.wyl.co</t>
  </si>
  <si>
    <t>Co-Founder, Chief Operating Officer &amp; Vice President</t>
  </si>
  <si>
    <t>Mr. Felix Addison is a Co-founded and served as the Chief Operating Officer &amp; Vice President at WhoseYourLandlord. Previously, he served as the Chief Operations Officer &amp; Vice President at Untapped. He began his professional career as an intern for George Mason Recreation where he worked side by side with the Director of Mason Recreation. Felix focused on informing students and community members about the George Mason Recreational facilities and membership opportunities. With that experience under his belt and the help of a great recommendation, he became an intern for the Assistant Dean of the Prince William Campus. Together, Felix and the Assistant Dean conducted a Needs Assessment Survey that brought graduate housing and a student lounge to the students of that campus. Upon graduation from George Mason University, Felix began working for the Mott Community Center and quickly received a promotion to become the Assistant Director. In the midst of transitioning from a full time student to a full time employee, Felix and his business partner and best friend Ofo Ezeugwu began forming a company named Untapped, Inc., which was created to help artists, musicians, and small businesses manage their social brand. WhoseYourLandlord.com was created in October 2012 as the first major project from Untapped, Inc. WhoseYourLandlord soon became the main focus for the two, who eventually moved to Brooklyn New York to continue building the company and team to where it is today.</t>
  </si>
  <si>
    <t>166663-27P</t>
  </si>
  <si>
    <t>Florian Gröschl</t>
  </si>
  <si>
    <t>Absolute Return Consulting</t>
  </si>
  <si>
    <t>Gröschl</t>
  </si>
  <si>
    <t>Florian</t>
  </si>
  <si>
    <t>www.arc.at</t>
  </si>
  <si>
    <t>Managing Director, Portfolio Advisor &amp; Data Protection Officer</t>
  </si>
  <si>
    <t>+43 (0)1 521 0613</t>
  </si>
  <si>
    <t>florian.groesschl@arc.at</t>
  </si>
  <si>
    <t>Köstlergasse 1/28</t>
  </si>
  <si>
    <t>Historic Otto Wagner building - 1st floor</t>
  </si>
  <si>
    <t>1060</t>
  </si>
  <si>
    <t>+43 (0)1 521 0649</t>
  </si>
  <si>
    <t>Mr. Florian Gröschl serves as Managing Director, Portfolio Advisor &amp; Data Protection Officer at Absolute Return Consulting. He joined Absolute Return Consulting GmbH in 2011, started the absolute return fund of fund mahi546 in October 2012, and became a member of the board of ARC as Co-CEO and CIO in January 2013. Before ARC he worked for LGT Bank Österreich AG as a portfolio manager and member of the Investment Committee, managing various Absolute Return Portfolios for High Net Worth Individuals. Before working for LGT he was a fund manager for fixed income and absolute return at Bawag PSK Invest. He started his career in his family business taking care of asset management issues. He holds a degree in International Finance from the Vienna University of Economics and Business and qualified as a Certified Portfolio Manager (CPM) in 2005.</t>
  </si>
  <si>
    <t>262944-73P</t>
  </si>
  <si>
    <t>Francesca Bigolin</t>
  </si>
  <si>
    <t>Francesca</t>
  </si>
  <si>
    <t>Ms. Francesca Bigolin is a Co-Owner of Selle Royal Group.</t>
  </si>
  <si>
    <t>243790-57P</t>
  </si>
  <si>
    <t>Frank Verhoeven</t>
  </si>
  <si>
    <t>Verhoeven</t>
  </si>
  <si>
    <t>Frank</t>
  </si>
  <si>
    <t>Mr. Frank Verhoeven serves as Chairman at Royal IHC.</t>
  </si>
  <si>
    <t>59796-91P</t>
  </si>
  <si>
    <t>Fred Brouwer</t>
  </si>
  <si>
    <t>Brouwer</t>
  </si>
  <si>
    <t>Fred</t>
  </si>
  <si>
    <t>Finance Director</t>
  </si>
  <si>
    <t>Mr. Fred Brouwer served as Finance Director at Royal IHC. He started working for IHC Merwede on 1 April 2000, began his career at KPMG. He then worked for Hollandsche Aanneming Maatschappij (HAM) and later as Financial Director of Kvearner Process Nederland.</t>
  </si>
  <si>
    <t>278119-54P</t>
  </si>
  <si>
    <t>G. Michael Stevens</t>
  </si>
  <si>
    <t>Golden Nugget (Former)</t>
  </si>
  <si>
    <t>G. Michael</t>
  </si>
  <si>
    <t>www.goldennugget.com</t>
  </si>
  <si>
    <t>Mr. G. Michael Stevens serves as Board Member at Golden Nugget. He has been a member of the Board since May 6, 2019. He was previously a board member of Landcadia I from August 23, 2016, through the consummation of the Waitr business combination. Mr. Stevens currently serves as Managing Member of MS2 Ventures LLC, an advisory and investment firm. He also serves in director and advisory capacities in several other ventures, including as Chairman of the Board and Chief Executive Officer of Impressio, Inc., an advanced materials company, a member of the audit committee of Golden Nugget Atlantic City LLC, an advisor at Footprint International, a sustainable technology packaging firm, and Winning Capital Group LLC, a developer and licensor of state lottery games. Mr. Stevens served as Senior Vice President and Chief Marketing Officer for the New York Giants from 2006 to 2019 and Senior Vice President of Sales &amp; Marketing for the Washington (NFL) Football Team from 2003 to 2006. Mr. Stevens' prior experience includes former director of Remedy Analytics, Inc., former Trustee of Camp Dudley, Inc. (a non-profit), and Chairman of Dudley's Development Committee, as well as key marketing executive roles at eBay Inc. and the National Basketball Association. He received his Bachelor of Arts from Hobart College, where he formerly served as a member of the Board of Trustees and currently is a member of the class of 2021 Global Executive Leadership Program at the Yale School of Management.</t>
  </si>
  <si>
    <t>288837-91P</t>
  </si>
  <si>
    <t>Gareth Llewellyn</t>
  </si>
  <si>
    <t>Sage Housing</t>
  </si>
  <si>
    <t>Llewellyn</t>
  </si>
  <si>
    <t>Gareth</t>
  </si>
  <si>
    <t>www.sagehomes.co.uk</t>
  </si>
  <si>
    <t>Board Member &amp; Remuneration &amp; Nomination Committee Chair and Member of the Audit &amp; Risk Committee</t>
  </si>
  <si>
    <t>+44 (0)20 8168 0500</t>
  </si>
  <si>
    <t>Orion House, 5th Floor</t>
  </si>
  <si>
    <t>5 Upper Saint Martins Lane</t>
  </si>
  <si>
    <t>WC2H 9EA</t>
  </si>
  <si>
    <t>Mr. Gareth Llewellyn serves as Board Member &amp; Remuneration &amp; Nomination Committee Chair and Member of the Audit &amp; Risk Committee at Sage Housing. He chairs the Board's Remuneration and Nominations Committee, ensuring Sage's approach to issues such as performance management, pay and succession planning reflect best practice and help the business deliver on the objectives set out in the corporate plan. He was a Chief Executive of a government trading fund providing services for over 40m customers. Before this, He held global executive roles with National Grid plc and Anglo American plc and was Executive Director at Network Rail. As a NED he floated Biffa plc and subsequently sold the company to private equity. He is also currently the chair of the Board Remuneration and Nominations Committee at Harwich Haven Authority, a Fellow at the Prince of Wales Cambridge Institute for Sustainability Leadership, and in 2005 addressed the UN General Assembly on human rights and business.</t>
  </si>
  <si>
    <t>360996-13P</t>
  </si>
  <si>
    <t>Garry Felgate</t>
  </si>
  <si>
    <t>Thermify</t>
  </si>
  <si>
    <t>Felgate</t>
  </si>
  <si>
    <t>Garry</t>
  </si>
  <si>
    <t>www.thermify.cloud</t>
  </si>
  <si>
    <t>Co-Founder &amp; Energy lead</t>
  </si>
  <si>
    <t>garry.felgate@thermify.cloud</t>
  </si>
  <si>
    <t>Dr. Garry Felgate is a Co-Founder &amp; serves as Energy lead at Thermify. He also serves as a Chairman &amp; Board Member at BHESCo. He has a strong business and policy background in energy, environment and sustainability. He was formally CEO of the Energy Retail Association, Director of the Carbon Trust, and Director of the Association for the Conservation of Energy. He supports UK Energy Start-Ups on behalf of the Department for Business, Energy &amp; Industrial Strategy and Innovate UK. He has a strong business and policy background in energy, environment and sustainability, built-in corporate organizations (IBM, Landmark Graphics) and leading consultancies (KPMG, A.T.Kearney). He was formally CEO of the Energy Retail Association representing the big six energy companies in the UK where he was instrumental in setting up the Warm Homes Programme. He was a Founder and Director of the Carbon Trust leading the UK's carbon reduction programmes for business creating the Action Energy and Carbon Management programmes. He has been a non-exec of the Energy Saving Trust, The Ombudsman Service Limited, The UK Public Health Association and Carbon Retirement. He is an alumnus of the University of Cambridge, HRH The Prince of Wales Business &amp; The Environment Programme.</t>
  </si>
  <si>
    <t>242396-56P</t>
  </si>
  <si>
    <t>Gary Balzofiore</t>
  </si>
  <si>
    <t>Balzofiore</t>
  </si>
  <si>
    <t>Senior Vice President, Specialty Health Ops &amp; Vice President, Accounting &amp; Finance</t>
  </si>
  <si>
    <t>Mr. Gary Balzofiore serves as Senior Vice President, Specialty Health Ops &amp; Vice President, Accounting &amp; Finance at The IHC Group. Mr. Balzofiore, Since January 2019, Senior Vice President of Specialty Health Operations; from March 2012 until January 2019, Corporate Vice President - Accounting and Finance of IHC; from March 2012 until August 2016, Corporate Vice President - Accounting and Finance of American Independence Corp. (AMIC), formerly a public company traded on Nasdaq and majority-owned subsidiary of IHC that was merged out of existence on August 31, 2016; since March 2016, President of Standard Security Life Insurance Company of New York, a wholly owned subsidiary of IHC (Standard Security Life); for more than the past five years until March 2016, and Senior Vice President of Independence American Insurance Company (Independence American), an indirect wholly owned subsidiary of IHC.</t>
  </si>
  <si>
    <t>169642-90P</t>
  </si>
  <si>
    <t>Gene Castagnini</t>
  </si>
  <si>
    <t>Castagnini</t>
  </si>
  <si>
    <t>Gene</t>
  </si>
  <si>
    <t>Co-Founder, Co-Owner, Co-Chief Financial Officer, Chief Operating Officer and CAO</t>
  </si>
  <si>
    <t>Mr. Gene Castagnini Co-Founded and Co-Owned and served as Co-Chief Financial Officer, Chief Operating Officer and CAO at Biocare Medical (IHC instrumentation). He has a BS in accounting and an MBA in Human Resource Management from the California State University school systems. His prior experience includes 15 years as a Director/Officer of Medi-Physics Inc., formerly a Hoffmann-La Roche Inc. subsidiary; and 10 years as the CAO/CFO of BioGenex Laboratories. Inc.</t>
  </si>
  <si>
    <t>231044-41P</t>
  </si>
  <si>
    <t>Gerben Eggink</t>
  </si>
  <si>
    <t>Eggink</t>
  </si>
  <si>
    <t>Gerben</t>
  </si>
  <si>
    <t>g.eggink@royalihc.com</t>
  </si>
  <si>
    <t>Mr. Gerben Eggink served as Chief Executive Officer &amp; Board Member at Royal IHC. He has extensive experience in successfully leading organizations in transition. He previously served as CEO at the Gardline Group and Smit Lamnalco, among others.</t>
  </si>
  <si>
    <t>113837-23P</t>
  </si>
  <si>
    <t>Gert-Jan Antvelink</t>
  </si>
  <si>
    <t>IQIP (Former)</t>
  </si>
  <si>
    <t>Antvelink</t>
  </si>
  <si>
    <t>Gert-Jan</t>
  </si>
  <si>
    <t>www.iqip.com</t>
  </si>
  <si>
    <t>Chief Transformation Officer &amp; Board Member</t>
  </si>
  <si>
    <t>Mr. Gert-Jan Antvelink served as Chief Transformation Officer and Board Member at IQIP. Mr. Antvelink served as Chief Transformation Officer &amp; Board Member at Royal IHC. He served as Chief Financial Officer &amp; Board Member at Van Gansewinkel. Mr. Antvelink served as a Partner &amp; Head of Restructuring at KPMG. He also serves as a Head of Restructuring at KPMG NL.</t>
  </si>
  <si>
    <t>59797-00P</t>
  </si>
  <si>
    <t>Goof Hamers</t>
  </si>
  <si>
    <t>Hamers</t>
  </si>
  <si>
    <t>Goof</t>
  </si>
  <si>
    <t>Chairman &amp; President</t>
  </si>
  <si>
    <t>Mr. Goof Hamers served as the Chairman of Management Board and President of IHC Merwede.</t>
  </si>
  <si>
    <t>32132-62P</t>
  </si>
  <si>
    <t>Gordon Ryerson</t>
  </si>
  <si>
    <t>Ryerson</t>
  </si>
  <si>
    <t>Gordon</t>
  </si>
  <si>
    <t>+1 (813) 774-4755</t>
  </si>
  <si>
    <t>Mr. Ryerson serves as Managing Director at Novumed. He co-founded and served as Managing Director at Crosstree Capital Partners. Prior to founding Crosstree, Mr. Ryerson served as Associate at the Corporate Finance group of William R. Hough &amp; Co. (later acquired by the Royal Bank of Canada) specializing in mid- to late-stage equity capital and change-of-control transactions. Responsibilities included evaluating deals, performing due diligence, drafting offering documents, and assisting in the structuring of transactions. Prior to joining William R. Hough &amp; Co., Mr. Ryerson was the Group Business Manager for the pharmaceutical drug retailer, Eckerd Corporation's Northeast Group and its nearly 1,000 stores. Mr. Ryerson holds a Bachelors of Science in Economics from Auburn University and a Masters in Business Administration from the University of South Florida with concentrations in Finance and International Business. He also served as Board Member at Albiorex International Holding Company.</t>
  </si>
  <si>
    <t>59794-39P</t>
  </si>
  <si>
    <t>Govert Hamers</t>
  </si>
  <si>
    <t>Govert</t>
  </si>
  <si>
    <t>President</t>
  </si>
  <si>
    <t>g.hamers@royalihc.com</t>
  </si>
  <si>
    <t>Mr. Govert Hamers serves as President at Royal IHC. He served as President of IHC Merwede.</t>
  </si>
  <si>
    <t>268406-56P</t>
  </si>
  <si>
    <t>Greg Brenman</t>
  </si>
  <si>
    <t>Drama Republic</t>
  </si>
  <si>
    <t>Brenman</t>
  </si>
  <si>
    <t>Greg</t>
  </si>
  <si>
    <t>www.dramarepublic.com</t>
  </si>
  <si>
    <t>+44 (0)20 7092 6850</t>
  </si>
  <si>
    <t>greg@dramarepublic.com</t>
  </si>
  <si>
    <t>17-21 Emerald Street</t>
  </si>
  <si>
    <t>WC1N 3QN</t>
  </si>
  <si>
    <t>Mr. Greg Brenman is a Co-Founder of Drama Republic. Mr. Brenman established Drama Republic with his long-term colleagues Ms. Roanna Benn and Ms. Jude Liknaitzky in 2013. Their first production was Hugo Blick's The Honourable Woman, an eight-part political thriller for BBC / SundanceTV which transmitted in the UK &amp; around the world to great success. In 2014, Drama Republic produced the second series of the extremely popular E4 drama My Mad Fat Diary, written by Tom Bidwell. In 2015, DR produced the multi-award-winning Doctor Foster, a psychological drama for BBC One by dramatist Mike Bartlett, as well as a one-off adaptation of J B Priestley's extraordinary play, An Inspector Calls which won the Best Single Drama Award at the Broadcasting Press Guild Awards. Mr. Brenman also executive produced the acclaimed BAFTA-nominated adaptation of Mike Bartlett's stage play King Charles III. Mr. Brenman executive produced Hugo Blick's Black Earth Rising, which broadcast on BBC Two in Autumn 2018 and was released globally on Netflix in 2019. He also executive produced David Nicholl's adaptation of his best-selling novel Us for BBC One which premiered in September 2020.</t>
  </si>
  <si>
    <t>63429-94P</t>
  </si>
  <si>
    <t>Gregory Couillard</t>
  </si>
  <si>
    <t>Le Tanneur &amp; Cie (Former)</t>
  </si>
  <si>
    <t>Couillard</t>
  </si>
  <si>
    <t>Mr. Gregory Couillard served as Chairman &amp; President at Le Tanneur &amp; Cie. He served as Chief Executive Officer &amp; Board Member at Qatar Luxury Group. His move to the luxury industry came in 2001 when he joined LVMH. Since then, from Avenue Montaigne to Omotessando, his career has taken him through the most desirable luxury districts of the world's metropolis. Gregory has held executive positions at Tag Heuer, within LVMH watches and the Jewelry Division in South-East Asia, Japan and Australia, then General Management of the French and Continental Europe Divisions. This experience has given Gregory a deep knowledge of historical luxury markets and of all aspects of luxury brands management. With a passion for traditional craftsmanship and timeless luxury products, he is most inspired by creating strong teams that are able to transform a dream into a beautiful technical reality. Gregory's commitment to excellence of the highest standard is driven by his relentless focus and uncompromising demand in the workplace. Gregory established Qatar Luxury Group under the auspices of Her Highness Sheikha Mozah Bint Nasser Al-Missned in 2008.</t>
  </si>
  <si>
    <t>61830-46P</t>
  </si>
  <si>
    <t>Gregory Smith</t>
  </si>
  <si>
    <t>ED MAP (Former)</t>
  </si>
  <si>
    <t>www.edmap.com</t>
  </si>
  <si>
    <t>Mr. Gregory Smith served as the Chief Financial Officer at ED MAP. As an entrepreneurial leader with solid business acumen, Greg has more than 25 years of progressive financial and operational experience and a proven track record of generating bottom-line improvement. Greg brings with him experience in numerous industry sectors including risk management, insurance, technology, healthcare, real estate and automotive. Greg also brings to ED MAP prior experience in working with both PE- and VC-funded entities. As CFO of ED MAP, Greg is a key member of the executive team who is responsible for both setting and driving the agenda of the company. Greg also oversees the accounting, treasury, budget, tax, legal, financial reporting, risk management, M&amp;A and administrative functions for the company. Prior to joining ED MAP, Greg had a 17-year career serving as the CFO of The Frank Gates Companies. Greg was instrumental in growing Frank Gates from an Ohio entity to an international holding company by executing a series of more than ten startup entities, six acquisitions and strong organic growth. Greg began his career with Arthur Andersen &amp; Co in Dallas, Texas. Greg is also a Certified Public Accountant. He received his BBA from Southern Methodist University and an MBA from the Goizueta Business School at Emory University.</t>
  </si>
  <si>
    <t>96752-80P</t>
  </si>
  <si>
    <t>Gurdeep Virdee</t>
  </si>
  <si>
    <t>The Savoy Hotel (Former)</t>
  </si>
  <si>
    <t>Virdee</t>
  </si>
  <si>
    <t>Gurdeep</t>
  </si>
  <si>
    <t>www.thesavoylondon.com</t>
  </si>
  <si>
    <t>Mr. Gurdeep Virdee served as Director, Finance at Kingdom Holding (The Savoy). Previously he served as the Director of Finance &amp; Head of Information Technology at Swissotel The Howard London.</t>
  </si>
  <si>
    <t>415356-94P</t>
  </si>
  <si>
    <t>H.E. Mansoor Al Mansoori</t>
  </si>
  <si>
    <t>Al Yah Satellite Communication (Former)</t>
  </si>
  <si>
    <t>Al Mansoori</t>
  </si>
  <si>
    <t>H.E. Mansoor</t>
  </si>
  <si>
    <t>www.yahsat.com</t>
  </si>
  <si>
    <t>Mr. H.E. Mansoor Al Mansoori served as Chairman at Al Yah Satellite Communication. H.E. Mansoor Al Mansoori is a member of Abu Dhabi Executive Council and the Chairman of the Department of Health in Abu Dhabi. He brings a diverse range of experience across government and the private sector, including telecommunications, energy and technology. He was previously Chairman of Bayanat, overseeing its highly successful IPO as Group Chief Operating Officer of G42.</t>
  </si>
  <si>
    <t>205063-48P</t>
  </si>
  <si>
    <t>Hans Roth</t>
  </si>
  <si>
    <t>Cardiolynx (Former)</t>
  </si>
  <si>
    <t>Roth</t>
  </si>
  <si>
    <t>www.cardiolynx.com</t>
  </si>
  <si>
    <t>Mr. Hans Roth served as Board Member at Cardiolynx. He is an Economist. his previous experience includes Independent Consultant at LGT Bank (Switzerland) Ltd, Chairman of the Executive Board of STG Swiss Trust Company, Member of the Executive Board, Senior positions at Swiss Bank Corporation and Credit Suisse and 1 year at CS and First Boston New York. He holds a degree in Business Management from the University of Zurich (lic.oec.publ.) and also attended Executive Programs at (INSEAD Fontainebleau France and Singapur and University of Chicago).</t>
  </si>
  <si>
    <t>57839-68P</t>
  </si>
  <si>
    <t>Hans Smit</t>
  </si>
  <si>
    <t>Neptune Minerals (Former)</t>
  </si>
  <si>
    <t>Smit</t>
  </si>
  <si>
    <t>www.neptuneminerals.com</t>
  </si>
  <si>
    <t>smit@neptuneminerals.com</t>
  </si>
  <si>
    <t>Mr. Hans Smit served as Chief Executive Officer and President at Neptune Minerals. He comes to Neptune Minerals with 20 years of worldwide subsea engineering, operations and management experience. Prior to joining Neptune Minerals, he was the Managing Director of IHC Marine and Minerals Projects focused on providing services to the underwater mining industry worldwide. Prior to IHC Marine and Minerals Projects, he was the Projects Director of Marine and Mineral Projects (Pty) Ltd a company specializing in providing the subsea diamond mining industry engineering and operation solutions. During this period, he was responsible for developing and optimizing the control and instrumentation systems for a 20m3 reverse circulation drill system supplied by Wirth of Germany to NAMCO for exploration of diamond deposits. In addition, Mr. Smit's team was also responsible for the design and development of the NAMCO crawler and thereafter the new De Beers Crawler used subsea diamond mining. As the company progressed from its early specialization in the sub-sea diamond mining industry, the company expanded globally into the oil &amp; gas services, general marine, and land based mining industries. The company employed mechanical, electrical and electronic engineers. Prior to joining Marine and Mineral Projects (Pty) Ltd, he was the co-founder, Managing and Technical Director of Delcon Marine and Industrial (Pty) Ltd later renamed Marine and Mineral Automation (Pty) Ltd. Marine and Mineral Automation specialized in providing engineering solutions to the subsea mining industry.</t>
  </si>
  <si>
    <t>219105-01P</t>
  </si>
  <si>
    <t>Ocean Minerals</t>
  </si>
  <si>
    <t>www.omlus.com</t>
  </si>
  <si>
    <t>Chief Executive Officer, President, Chief Operations Officer &amp; Board Member</t>
  </si>
  <si>
    <t>+1 (727) 421-7808</t>
  </si>
  <si>
    <t>hsmit@omlus.com</t>
  </si>
  <si>
    <t>Spring, TX</t>
  </si>
  <si>
    <t>PO Box 2300</t>
  </si>
  <si>
    <t>Spring</t>
  </si>
  <si>
    <t>77383</t>
  </si>
  <si>
    <t>Mr. Hans Smit serves as Chief Executive Officer, President, Chief Operations Officer &amp; Board Member at Ocean Minerals. Mr. Smit was President of Neptune Minerals, Inc. from 2015 to 2017.He served as Managing Director of IHC MMP focused on providing services to the underwater mining industry worldwide. Prior to this, he was the Projects Director of Marine and Mineral Projects (Pty) Ltd a company specializing in providing the subsea diamond mining industry engineering and operation solutions. He has designed, developed, implemented, and optimized numerous underwater mining systems, in particular, the crawler technology being used by De Beers Crawler for subsea diamond mining.</t>
  </si>
  <si>
    <t>358858-45P</t>
  </si>
  <si>
    <t>Hari Nair</t>
  </si>
  <si>
    <t>Royal Group Plasma Fractionation</t>
  </si>
  <si>
    <t>Nair</t>
  </si>
  <si>
    <t>Hari</t>
  </si>
  <si>
    <t>Mr. Hari Nair is Co-Founder of Royal Group Plasma Fractionation.</t>
  </si>
  <si>
    <t>443150-83P</t>
  </si>
  <si>
    <t>Harmeni Wijaya MD</t>
  </si>
  <si>
    <t>Wijaya</t>
  </si>
  <si>
    <t>Harmeni</t>
  </si>
  <si>
    <t>Chief Commercial Officer. Commercial Director &amp; Board Member</t>
  </si>
  <si>
    <t>harmeni.wijaya@pertamedika.co.id</t>
  </si>
  <si>
    <t>Dr. Harmeni Wijaya serves as Chief Commercial Officer. Commercial Director &amp; Board Member at Pertamedika IHC. Previously, she held management positions at several well-known private hospitals in Indonesia. Dr. Harmeni completed her medical education at Trisakti University and a postgraduate program in Health Communication at Harvard Medical School.</t>
  </si>
  <si>
    <t>194549-14P</t>
  </si>
  <si>
    <t>Harry Hwang MD</t>
  </si>
  <si>
    <t>Hwang</t>
  </si>
  <si>
    <t>Adjunct Pathologist</t>
  </si>
  <si>
    <t>Dr. Harry Hwang served as Adjunct Pathologist at PhenoPath. Dr. Hwang attended the University of Pennsylvania School of Medicine, Philadelphia, where he earned his MD and completed his AP/CP residency training at the University of Washington Medical Center, Seattle. He also completed an IHC Fellowship at PhenoPath from 2002-03 under Dr. Gown, and served as an Adjunct Pathologist prior to his full-time appointment as Director of Molecular Pathology in 2008. Dr. Hwang's expertise in molecular pathology stems from his research studies at the Fred Hutchinson Cancer Research Center (FHCRC), Seattle, in the areas of cancer and the cell cycle. Dr. Hwang brings to PhenoPath the combined strengths of extensive diagnostic pathology experience coupled with intensive knowledge of molecular pathology.</t>
  </si>
  <si>
    <t>184212-01P</t>
  </si>
  <si>
    <t>INWI</t>
  </si>
  <si>
    <t>www.inwi.ma</t>
  </si>
  <si>
    <t>+212 (0)529000220</t>
  </si>
  <si>
    <t>1 &amp; 2 Lotissement La Colline Ii Lot Sidi n 1 &amp; 2 Sidi Maarouf</t>
  </si>
  <si>
    <t>Grand Casablanca</t>
  </si>
  <si>
    <t>20270</t>
  </si>
  <si>
    <t>Mr. Hassan Ouriagli serves as Board Member at INWI. He served as President and Chief Executive Officer at INWI. He also serves as Board Member at Nareva Holding.</t>
  </si>
  <si>
    <t>63429-40P</t>
  </si>
  <si>
    <t>Haya Khalifa Al Nassr</t>
  </si>
  <si>
    <t>Khalifa Al Nassr</t>
  </si>
  <si>
    <t>Ms. Haya Khalifa Al Nassr served as Managing Director and Board Member at Qatar Luxury Group. Ms. Al Nassr previously served as the Director of Communications at Qatar Foundation, where she was responsible for raising the Foundation's profile locally and internationally. Her achievements at QF include launching "QF Radio". Al Nassr is a member of the Board of Directors at Al Jazeera Children's Channel, and has previously carried out the role of Executive General Manager for the channel.</t>
  </si>
  <si>
    <t>136386-82P</t>
  </si>
  <si>
    <t>Haytham Kaddoura</t>
  </si>
  <si>
    <t>SmartStream (Former)</t>
  </si>
  <si>
    <t>Kaddoura</t>
  </si>
  <si>
    <t>Haytham</t>
  </si>
  <si>
    <t>smart.stream</t>
  </si>
  <si>
    <t>haytham.kaddoura@smartstream-stp.com</t>
  </si>
  <si>
    <t>Mr. Haytham Kaddoura served as Chief Executive Officer at SmartStream Technologies. Haytham Kaddoura, CEO of SmartStream and serves as an advisor to the Board of Directors. He joined in 2007 bringing over 20 years of experience in investment advisory, asset management, corporate restructuring, strategy formulation and execution for boards in prominent corporations across the GCC and the greater MENA region. He started his career working with leading management consulting firms including; Accenture, Booz Allen and Hamilton, PricewaterhouseCoopers and BearingPoint. More recently, Haytham worked as an adviser for Abu Dhabi Offsets Group, Abu Dhabi National Oil Company, DUBAL, American Express, Doha Securities Market, Qatar Foundation, Dubai International Financial Centre (DIFC), as well as recognised private and public sector entities across Saudi Arabia, UAE, Qatar, Lebanon, Egypt, Syria and Morocco. Mr. Kaddoura holds a Masters Degree in Finance and International Business from McGill University in Canada.</t>
  </si>
  <si>
    <t>119055-70P</t>
  </si>
  <si>
    <t>Henk van Muijen</t>
  </si>
  <si>
    <t>van Muijen</t>
  </si>
  <si>
    <t>Henk</t>
  </si>
  <si>
    <t>h.vanmuijen@royalihc.com</t>
  </si>
  <si>
    <t>Mr. Henk van Muijen serves as Managing Director at Royal IHC.</t>
  </si>
  <si>
    <t>468560-98P</t>
  </si>
  <si>
    <t>Hentry Abraham</t>
  </si>
  <si>
    <t>Abraham</t>
  </si>
  <si>
    <t>Hentry</t>
  </si>
  <si>
    <t>Chief Accounting Officer</t>
  </si>
  <si>
    <t>h.abraham@arada.com</t>
  </si>
  <si>
    <t>Mr. Hentry Abraham serves as Chief Accounting Officer at Arada Developments.</t>
  </si>
  <si>
    <t>430428-61P</t>
  </si>
  <si>
    <t>gennius xyz</t>
  </si>
  <si>
    <t>www.gennius.xyz</t>
  </si>
  <si>
    <t>Miami, FL</t>
  </si>
  <si>
    <t>601 Brickell Key Drive</t>
  </si>
  <si>
    <t>Suite 501</t>
  </si>
  <si>
    <t>Miami</t>
  </si>
  <si>
    <t>33131</t>
  </si>
  <si>
    <t>Mr. Hisham Al Gurg serves as Chairman at gennius xyz.</t>
  </si>
  <si>
    <t>125727-58P</t>
  </si>
  <si>
    <t>Howard Hodgson</t>
  </si>
  <si>
    <t>Memoria</t>
  </si>
  <si>
    <t>Hodgson</t>
  </si>
  <si>
    <t>www.memoria.org.uk</t>
  </si>
  <si>
    <t>+44 (0)18 6927 8780</t>
  </si>
  <si>
    <t>hhodgson@memoria.org.uk</t>
  </si>
  <si>
    <t>Bicester, United Kingdom</t>
  </si>
  <si>
    <t>The Pool House</t>
  </si>
  <si>
    <t>Bicester Road, Stratton Audley</t>
  </si>
  <si>
    <t>Bicester</t>
  </si>
  <si>
    <t>OX27 9BS</t>
  </si>
  <si>
    <t>Mr. Howard Hodgson serves as Chief Executive Officer at Memoria. He also serves as Chief Executive Officer and Board Member at Amber Valley Memorial. He serves as Chief Executive Officer at South Leicester Memorial. A fourth-generation funeral director, Howard trained with James Summers of Cardiff in 1968. He took over the family business in 1975 and launched an expansion program that culminated in the flotation of Hodgson Holdings plc in 1986. Through subsequent mergers, the company formed the largest funeral/crematorium group in the UK. Howard sold his interests in 1991, having taken the company from one branch to 546 and became 'Entrepreneur of the Year 1987' in the process. He is largely recognized as the individual who transformed the funeral industry in the 1970s, 80s and early 90s. After a second career in the gift industry as chief executive of Ronson plc and Colibri International, he returned to the funeral industry as founder and CEO of Memoria and has developed it into the third largest and fastest-growing crematoria company in the UK today. In 2016 he founded Memoria Low-Cost Funeral, the direct cremation arm of Memoria and has taken that company from a standing start to the largest direct cremation company in the UK. He is the author of four books, including a detailed graph of HRH The Prince of Wales.</t>
  </si>
  <si>
    <t>58229-11P</t>
  </si>
  <si>
    <t>Ian Welsford Ph.D</t>
  </si>
  <si>
    <t>Autonomic Technologies (Former)</t>
  </si>
  <si>
    <t>Welsford</t>
  </si>
  <si>
    <t>Ian</t>
  </si>
  <si>
    <t>www.ati-spg.com</t>
  </si>
  <si>
    <t>Vice President, Quality Assurance and Regulatory Affairs</t>
  </si>
  <si>
    <t>Mr. Ian Welsford served as Vice President, Quality Assurance and Regulatory Affairs at Autonomic Technologies. He served as Senior Vice President, Technical Operations at Autonomic Technologies. He has directed clinical trials in oncology, diabetes, metabolic disease and CNS therapies and directed regulatory strategies and submissions for a variety of devices (510k, PMA and CE Mark and other OUS licensure), including combination products, diagnostics, IVDs, drug infusion pumps, ICDs, and software systems. In the drug development space, he has experience managing clinical trials and submissions/approvals of NDAs, BLAs and ANDAs in a variety of IHC regions across a number of therapeutic areas including oncology, CNS therapeutics and diabetes. He most recently directed global regulatory and clinical strategy for Insulet. He is also the Chief Compliance Officer and Chief Regulatory Officer at Pharmaco Kinesis.</t>
  </si>
  <si>
    <t>242011-36P</t>
  </si>
  <si>
    <t>Iqbal Survé</t>
  </si>
  <si>
    <t>Belt and Road News Network</t>
  </si>
  <si>
    <t>Survé</t>
  </si>
  <si>
    <t>Iqbal</t>
  </si>
  <si>
    <t>www.beltandroad.news</t>
  </si>
  <si>
    <t>Independent Media Chairperson</t>
  </si>
  <si>
    <t>Dr. Iqbal Survé serves as Independent Media Chairperson at Belt and Road News Network. Dr Survé is a Physician, Entrepreneur and an ardent Philanthropist, born and educated in Cape Town, South Africa. He is a regular WEF Davos and Summer Davos participant and served as the first chairman of the Global Growth Companies (GGC) Advisory Board and Vice-Chairman of the Global Agenda Council (GAC) for Emerging Multinationals. He is a participant member of the G20 meeting and serves on B20 Task Teams as well as the UNGA private sector forum. On the invitation of SA Presidents, Nelson Mandela, Thabo Mbeki, Kgalema Motlanthe and Jacob Zuma, he has participated on many presidential advisory working groups and state visits. Dr Survé is a regular keynote speaker at international conferences and gatherings. He is an alumnus of the HRH Prince of Wales Business &amp; Environment programme hosted by the HRH Prince Charles with CPI, a Fellow of the African Leadership Initiative (ALI), a patron of the South Africa-Italy Summit, until recently he was Co-chairman of the South Africa- Saudi Arabia Business Council (SASABC). He is patron of the Munich based GISSAID, a patron along with Queen Sylvia and former President Nelson Mandela of the Swedish based World Children Prize for the Rights of the Child (WCPRC), a founder member of the Siemens Global Sustainability Advisory Board, a member of the YPO Gold Cape Town chapter, patron of the South African chapter of the Soong Ching Ling Foundation, and twice honoured with the Directors award, for his contribution to tertiary education by the University of Cape Town (UCT) , Graduate School of Business where he served for several years as Chairman of the Advisory Board of the Business School. Dr Survé is an alumnus of the University of Cape Town (UCT), the Graduate School of Business (GSB), the American College of Sports Medicine (ACSM) and Harvard University with degrees in medicine, science, and business. He is also the first black recipient of the gold medal for scientific research by the South African Sports Medicine Association for his ground-breaking research on ankle injuries amongst soccer players. Dr Survé serves on the World Economic Forum Advisers Board and is a board member on the Stewardship Council for Information and Entertainment, which is one of the most prestigious System Initiative boards for the World Economic Forum.</t>
  </si>
  <si>
    <t>358738-39P</t>
  </si>
  <si>
    <t>Ira Singh</t>
  </si>
  <si>
    <t>Singh</t>
  </si>
  <si>
    <t>Ira</t>
  </si>
  <si>
    <t>Ms. Ira Singh serves as Chief Operating Officer at Indian Health Center of Santa Clara Valley. Ms. Singh has been working at IHC since 2015 and she is deeply committed to the mission of the organization. She was trained as a physician in India and completed a Master's in Public Health from the University of Toledo. She is a Fellow of the American College of Healthcare Executives (FACHE) since 2019 which signifies her competence, commitment, and leadership in healthcare management. She is also a Certified Professional in Healthcare Quality (CPHQ), and a Certified HIPAA, Privacy, and Security Expert (CHPSE) and she always strives for continued professional growth. She has been integral in the development and implementation of strategies that center data-informed decisions and continuous quality improvement at IHC. Working at IHC provides her the opportunity to make a positive difference in the lives of community members.</t>
  </si>
  <si>
    <t>59797-09P</t>
  </si>
  <si>
    <t>J. Hylkema</t>
  </si>
  <si>
    <t>Hylkema</t>
  </si>
  <si>
    <t>J.</t>
  </si>
  <si>
    <t>Mr. J. H. Hylkema served as Board Member of IHC Merwede.</t>
  </si>
  <si>
    <t>71111-44P</t>
  </si>
  <si>
    <t>Jaap Huijskes</t>
  </si>
  <si>
    <t>Huijskes</t>
  </si>
  <si>
    <t>Jaap</t>
  </si>
  <si>
    <t>Mr. Jaap Huijskes served as Chairman at Royal IHC. Mr. Huijskes was an Executive Board Member at OMV. He studied mechanical engineering and began his career with Shell, where he held a number of technical and commercial positions. His last post was as Executive Vice President responsible for major projects worldwide in the Exploration and Production division. His various international positions have taken him to the United Kingdom, Norway, Oman, Australia and Russia. He has been a member of the OMV Executive Board and responsible for Exploration &amp; Production since April 2010.</t>
  </si>
  <si>
    <t>357868-00P</t>
  </si>
  <si>
    <t>Jagadish Elumalai</t>
  </si>
  <si>
    <t>Prince William Medical Center (Former)</t>
  </si>
  <si>
    <t>Elumalai</t>
  </si>
  <si>
    <t>Jagadish</t>
  </si>
  <si>
    <t>Medical Director</t>
  </si>
  <si>
    <t>Mr. Jagadish Elumalai served as Medical Director at Prince William Medical Center.</t>
  </si>
  <si>
    <t>170890-21P</t>
  </si>
  <si>
    <t>James Barshinger Ph.D</t>
  </si>
  <si>
    <t>Sensor Networks</t>
  </si>
  <si>
    <t>Barshinger</t>
  </si>
  <si>
    <t>www.sensornetworksinc.com</t>
  </si>
  <si>
    <t>Co-Founder, Chief Technology Officer &amp; President</t>
  </si>
  <si>
    <t>+1 (814) 808-1066</t>
  </si>
  <si>
    <t>jbarshinger@sensornetworksinc.com</t>
  </si>
  <si>
    <t>State College, PA</t>
  </si>
  <si>
    <t>366 Walker Drive</t>
  </si>
  <si>
    <t>State College</t>
  </si>
  <si>
    <t>16801</t>
  </si>
  <si>
    <t>+1 (814) 466-7209</t>
  </si>
  <si>
    <t>Dr. James Barshinger is a Co-Founder and serves as Chief Technology Officer &amp; President at Sensor Networks. Dr. Barshinger is based out of Sensor Network Inc.'s Engineering &amp; Product Design HQ office in State College, PA. Dr. Barshinger, or Jim for short, is not new to the asset integrity, inspection, or testing field that SNI serves. Jim received his Bachelors, Masters, and Ph.D. from Pennsylvania State University School of Engineering Science &amp; Mechanics. This was the first connection to Penn State, which would eventually bloom into the robust relationship that exists now. His doctoral thesis was in Guided Wave Propagation, and he worked under Dr. Joseph Rose as his advisor. Prior to founding SNI, Jim has been working in the NDT and Ultrasound industries with Krautkramer-Branson, AGFA NDT, GE's Global Research Center and GE Inspection Technologies for 15 years. He continues in his role as president and is involved in company decisions that will only continue to benefit the employees, customers, and the mission of SNI itself.</t>
  </si>
  <si>
    <t>123076-27P</t>
  </si>
  <si>
    <t>Palm Garden Healthcare</t>
  </si>
  <si>
    <t>www.palmgarden.com</t>
  </si>
  <si>
    <t>+1 (941) 952-9411</t>
  </si>
  <si>
    <t>jim.chalmers@palmgarden.com</t>
  </si>
  <si>
    <t>Sarasota, FL</t>
  </si>
  <si>
    <t>2033 Main Street</t>
  </si>
  <si>
    <t>Suite 300</t>
  </si>
  <si>
    <t>Sarasota</t>
  </si>
  <si>
    <t>34237</t>
  </si>
  <si>
    <t>+1 (941) 941-9331</t>
  </si>
  <si>
    <t>Mr. James Chalmers serves as Chief Financial Officer at Palm Garden Healthcare.</t>
  </si>
  <si>
    <t>346828-60P</t>
  </si>
  <si>
    <t>NovoPower</t>
  </si>
  <si>
    <t>www.novopower.ca</t>
  </si>
  <si>
    <t>+1 (416) 889-6129</t>
  </si>
  <si>
    <t>jc@novopower.ca</t>
  </si>
  <si>
    <t>326 Saint-Joseph Boulevard East</t>
  </si>
  <si>
    <t>Suite 1</t>
  </si>
  <si>
    <t>H2T 1J2</t>
  </si>
  <si>
    <t>Mr. James Chalmers serves as Chief Executive Officer at NovoPower. He is the Founder &amp; serves as Managing Partner at BaseCamp Capital.</t>
  </si>
  <si>
    <t>421396-12P</t>
  </si>
  <si>
    <t>Cargoclear International</t>
  </si>
  <si>
    <t>www.cargoclear.com.au</t>
  </si>
  <si>
    <t>+61 (0)7 3630 1244</t>
  </si>
  <si>
    <t>jchalmers@cargoclear.com.au</t>
  </si>
  <si>
    <t>Eagle Farm, Australia</t>
  </si>
  <si>
    <t>341 Fison Avenue East</t>
  </si>
  <si>
    <t>Eagle Farm</t>
  </si>
  <si>
    <t>Queensland</t>
  </si>
  <si>
    <t>4009</t>
  </si>
  <si>
    <t>+61 (0)7 3630 1266</t>
  </si>
  <si>
    <t>Mr. James Chalmers serves as General Manager at Cargoclear International.</t>
  </si>
  <si>
    <t>442596-88P</t>
  </si>
  <si>
    <t>Future Services (Kristiansand)</t>
  </si>
  <si>
    <t>www.futureservices.no</t>
  </si>
  <si>
    <t>+47 41 44 83 45</t>
  </si>
  <si>
    <t>james.chalmers@futureservices.no</t>
  </si>
  <si>
    <t>Kristiansand, Norway</t>
  </si>
  <si>
    <t>Kristiansand</t>
  </si>
  <si>
    <t>20812</t>
  </si>
  <si>
    <t>Norway</t>
  </si>
  <si>
    <t>Mr. James Chalmers serves as Chief Executive Officer at Future Services Norway.</t>
  </si>
  <si>
    <t>49246-66P</t>
  </si>
  <si>
    <t>James Lawn</t>
  </si>
  <si>
    <t>Lawn</t>
  </si>
  <si>
    <t>James Lawn served as the Chief Financial Officer of Royal Group Technologies.</t>
  </si>
  <si>
    <t>281492-65P</t>
  </si>
  <si>
    <t>James Tatum</t>
  </si>
  <si>
    <t>Tatum</t>
  </si>
  <si>
    <t>Mr. James Tatum serves as Board Member at The IHC Group. James G. Tatum, For more than the past five years, Chairman of the Audit Committee of IHC; for more than the past five years, member of the Compensation Committee of IHC; for more than the past five years, a director of Standard Security Life; for more than the past five years, sole proprietor of J. Tatum Capital, LLC, a registered investment advisor, located in Birmingham, Alabama, managing funds primarily for individual and trust clients; Chartered Financial Analyst for more than twenty-five years; from March 2011 until August 2016, a director of AMIC; from March 2011 until August 2016, a member of the Audit Committee of AMIC.</t>
  </si>
  <si>
    <t>198761-95P</t>
  </si>
  <si>
    <t>Jan Pieter Klaver</t>
  </si>
  <si>
    <t>Klaver</t>
  </si>
  <si>
    <t>Jan Pieter</t>
  </si>
  <si>
    <t>Mr. Jan Pieter Klaver served as Chief Executive Officer at Royal IHC. He also served as Chief Executive Officer at Kenz Figee Group. He served at Heerema for 26 years in a variety of positions, amongst others at the former Norwegian yard of Heerema and at Dockwise. In 2004 he joined the board of the Heerema Fabrication Group and in 2009 he joined Heerema Marine Contractors, first as COO and from 2010 until June 2017 as CEO.</t>
  </si>
  <si>
    <t>469770-22P</t>
  </si>
  <si>
    <t>Jared Dowling</t>
  </si>
  <si>
    <t>Avanci (IT Consulting and Outsourcing)</t>
  </si>
  <si>
    <t>Dowling</t>
  </si>
  <si>
    <t>Jared</t>
  </si>
  <si>
    <t>www.avanci.com</t>
  </si>
  <si>
    <t>Chief People Officer</t>
  </si>
  <si>
    <t>+1 (214) 765-9500</t>
  </si>
  <si>
    <t>jdowling@avanci.com</t>
  </si>
  <si>
    <t>Dallas, TX</t>
  </si>
  <si>
    <t>1717 McKinney Avenue</t>
  </si>
  <si>
    <t>Suite 1050</t>
  </si>
  <si>
    <t>Dallas</t>
  </si>
  <si>
    <t>75202</t>
  </si>
  <si>
    <t>Mr. Jared Dowling serves as Chief People Officer at Avanci. He is the Chief People Officer at Avanci, working to foster and maintain acompany culture which promotes continuous innovation, collaboration and teamwork in support of the delivery of simple and efficient solutions for the company's licensee and licensor customers. He is passionate about supporting Avanci employees, both in their professional growth and development and in the assignment of work experiences which deliver successful outcomes for the company. Bringing almost 30 years of experience in Human Resources, he joined Avanci from Hallmark, where he spent five years as an enterprise VP of H.R. leading Total Rewards, H.R. Technology Strategy and Corporate Services. Prior to Hallmark, he was SVP, H.R. Total Rewards and M&amp;A at Scripps Networks Interactive (SNI), where he also led program design and development and employee integration activities during SNI's acquisition by Warner Brothers Discovery (WBD) in 2018. Previous H.R. leadership roles were at CHC Group and Dell, where he spent almost ten years in corporate and regional leadership roles, including two years in Singapore and two years in Shanghai, China with his family. He has a Bachelor of Arts from Southwestern University in Georgetown, Texas.</t>
  </si>
  <si>
    <t>259303-87P</t>
  </si>
  <si>
    <t>Jason Stolworthy JD</t>
  </si>
  <si>
    <t>Idaho National Laboratory</t>
  </si>
  <si>
    <t>Stolworthy</t>
  </si>
  <si>
    <t>inl.gov</t>
  </si>
  <si>
    <t>Director, Technology Development</t>
  </si>
  <si>
    <t>+1 (866) 495-7440</t>
  </si>
  <si>
    <t>jason.stolworthy@inl.gov</t>
  </si>
  <si>
    <t>Idaho Falls, ID</t>
  </si>
  <si>
    <t>Post Office Box 1625</t>
  </si>
  <si>
    <t>Idaho Falls</t>
  </si>
  <si>
    <t>Idaho</t>
  </si>
  <si>
    <t>83415</t>
  </si>
  <si>
    <t>Mr. Jason Stolworthy serves as Director, Technology Development at Idaho National Laboratory. Stolworthy worked at INL from 2004 to 2013, first as a technology transfer licensing executive and then as deputy director for technology deployment. He left INL to become director of Intellectual Property Management for the Qatar Foundation, establishing Qatar's first intellectual property management and technology transfer office. It now manages more than 360 inventions, more than 300 patents, and helps more than 600 inventors advance their ideas. He returned to INL in 2016. He is a registered patent attorney and holds bachelor's degrees from Idaho State University in chemistry and biochemistry, a master's degree from University of Idaho in chemical engineering, and a Juris Doctor from University of Idaho College of Law.</t>
  </si>
  <si>
    <t>63430-12P</t>
  </si>
  <si>
    <t>Jean LeBras</t>
  </si>
  <si>
    <t>LeBras</t>
  </si>
  <si>
    <t>Chief Financial Officer &amp; Vice President, Administration &amp; Finance</t>
  </si>
  <si>
    <t>Mr. Jean LeBras served as Chief Financial Officer and Vice President of Finance and Administration at Qatar Luxury Group. Jean is responsible for the financial management of the company and also oversees the Facilities and Admin functions.He graduated from EDC Paris in 1980 and after completing an MBA from the University of Dallas he started in Dallas what was to become a 28 year career with Texas Instruments. After learning the company's operations in the internal audit department, he moved to Corporate Accounting and Finance, and then Corporate Tax. In 1994, he joined an elite team chartered to grow Texas Instruments' MOS Memory joint ventures in Asia and the US. He later moved to the Philippines to be the Finance Director of one of TI's largest semi-conductor assembly and test factory. When the company expanded operations in China, he relocated to Shanghai as the firm's China Finance Director. After Texas Instruments divested its Sensors and Controls division, he was promoted to the position of Asia Finance Director of the freshly divested business, Sensata Technologies. He returned to Boston in 2009 as Sensata's Corporate Finance Director. Jean is French, joined Qatar Luxury Group in September 2010. With a strong track record in the high-tech industry, Jean brings the experience and maturity required to deal with the numerous challenges of managing and growing the company's financial operations.</t>
  </si>
  <si>
    <t>69359-32P</t>
  </si>
  <si>
    <t>Jean Vitoux</t>
  </si>
  <si>
    <t>DomusVi Group (Former)</t>
  </si>
  <si>
    <t>Vitoux</t>
  </si>
  <si>
    <t>www.domusvigroup.com</t>
  </si>
  <si>
    <t>Mr. Jean Vitoux served as Chief Executive Officer at DomusVi. Previously, he joined SNI (Société Nationale Immobilière-Caisse des Dépôts Group) in 1998, where he served as Deputy Chief Executive Officer from 1999 to 2004 and then as member of the Executive Board from 2004 to 2010. Before joining SNI, Jean -François Vitoux spent 6 years with Bossard Consultants and Deloitte. He resigned from the Public Service in 1991. He graduated from ENA (89), a graduate of Sciences Po Paris (85), a graduate in History (82) and Sciences Eco (86)</t>
  </si>
  <si>
    <t>112888-18P</t>
  </si>
  <si>
    <t>Jean-Louis Tayot Ph.D</t>
  </si>
  <si>
    <t>Tayot</t>
  </si>
  <si>
    <t>Jean-Louis</t>
  </si>
  <si>
    <t>Member of Science Advisory Board &amp; Chief Science Officer Consultant</t>
  </si>
  <si>
    <t>Dr. Jean-Louis Tayot served as a Member of Science Advisory Board &amp; Chief Science Officer Consultant at Albiorex International Holding Company. He is CEO of Khorionyx, a French Human Biomaterial Company. He retired December 2005 as the Chief Scientific Officer of Floreane Medical Implants, a leading French medical device company, and General Manager of its subsidiary Imedex Biomatériaux. Dr. Tayot has 20 years of R&amp;D experience dedicated to collagen and to the extraction and commercialization of valuable biomaterials from human placentas. Through Imedex, he spent $20 million and 15 years developing and refining the collagen manufacturing process technology that is now exclusively available to Albiorex. He holds numerous medical device patents related to the production, manipulation and use of collagen in numerous medical applications and has successfully launched products in the U.S. and other regulatory environments. He also led Aventis-Pasteur's R&amp;D and enzyme production operations where he eventually sourced and processed 20 tons of human placentas per day..</t>
  </si>
  <si>
    <t>43453-09P</t>
  </si>
  <si>
    <t>Jeffrey Ross MD</t>
  </si>
  <si>
    <t>Foundation Medicine</t>
  </si>
  <si>
    <t>Ross</t>
  </si>
  <si>
    <t>www.foundationmedicine.com</t>
  </si>
  <si>
    <t>Founder &amp; Medical Director</t>
  </si>
  <si>
    <t>+1 (617) 418-2200</t>
  </si>
  <si>
    <t>jross@foundationmedicine.com</t>
  </si>
  <si>
    <t>Cambridge, MA</t>
  </si>
  <si>
    <t>150 Second Street</t>
  </si>
  <si>
    <t>Cambridge</t>
  </si>
  <si>
    <t>Massachusetts</t>
  </si>
  <si>
    <t>02141</t>
  </si>
  <si>
    <t>+1 (617) 418-2290</t>
  </si>
  <si>
    <t>Dr. Jeffrey Ross is the Founder &amp; serves as Medical Director at Foundation Medicine. Dr. Ross is the Cyrus Strong Merrill Professor and Chair of the Department of Pathology and Laboratory Medicine at Albany Medical College, where he directs an extramurally funded research laboratory in molecular pathology. Between 1999 and 2004, Dr. Ross served as Scientific Fellow and Head of Molecular Pathology at Millennium Pharmaceuticals before co-founding Syfr, Inc. an RFID Specimen Management and IHC/ISH/FISH autostainer company. Prior to that Dr. Ross served as Medical Director for Managed Care for Roche Biomedical Laboratories and Laboratory Corporation of America. Since 2000, Dr. Ross has been a member of the NIH Clinical Oncology Study Section. He serves on the editorial boards and reviewer lists of numerous scientific journals and is Associate Editor for Basic Science of the American Journal of Clinical Pathology. He has served in multiple leadership positions for the American Society of Clinical Pathologists, the College of American Pathologists, the International Academy of Pathology, the Association of Pathology Chairs and the American Society of ClinicalOncology. He is a graduate of Oberlin College, Oberlin, Ohio and The State University of New York at Buffalo School of Medicine in Buffalo, New York. He served as an intern resident and fellow in Anatomic and Clinical Pathology at the Massachusetts General Hospital in Boston, Massachusetts.</t>
  </si>
  <si>
    <t>121216-06P</t>
  </si>
  <si>
    <t>Jeffry Jacobsen</t>
  </si>
  <si>
    <t>GuestNetix (Former)</t>
  </si>
  <si>
    <t>Jacobsen</t>
  </si>
  <si>
    <t>Jeffry</t>
  </si>
  <si>
    <t>www.guestnetix.com</t>
  </si>
  <si>
    <t>Mr. Jeffry Jacobsen Co-Founded and served as a Lead Developer at GuestNetix. He has over 30 years of software development experience. On the web he's known as coderjeff. He's worked for GE, IHC, Siemens, LDS Tech, and spent the last decade as an independent software consultant. He's completed hundreds of software development projects across multiple industries over his career.</t>
  </si>
  <si>
    <t>468985-87P</t>
  </si>
  <si>
    <t>Jeroen Dool</t>
  </si>
  <si>
    <t>Attema</t>
  </si>
  <si>
    <t>Dool</t>
  </si>
  <si>
    <t>Jeroen</t>
  </si>
  <si>
    <t>www.attema.com</t>
  </si>
  <si>
    <t>Controller</t>
  </si>
  <si>
    <t>+31 (0)18 365 0650</t>
  </si>
  <si>
    <t>jeroen.vandendool@attema.com</t>
  </si>
  <si>
    <t>Gorinchem, Netherlands</t>
  </si>
  <si>
    <t>Schelluinsestraat 1</t>
  </si>
  <si>
    <t>Gorinchem</t>
  </si>
  <si>
    <t>4203 NJ</t>
  </si>
  <si>
    <t>Mr. Jeroen Dool serves as Controller at Attema. He brings experience from previous roles at Boerman Groep, IHC Systems BV and Grontmij Group. He holds a 2014 QC certification as HOFAM Qualified Controller NIVE Opleidingen, with a robust skill set that includes business control, cost accounting, dutch, investments and insurance.</t>
  </si>
  <si>
    <t>143306-47P</t>
  </si>
  <si>
    <t>Jiangli Zhang</t>
  </si>
  <si>
    <t>Singlera Genomics</t>
  </si>
  <si>
    <t>Jiangli</t>
  </si>
  <si>
    <t>www.singlera.com.cn</t>
  </si>
  <si>
    <t>Co-Founder, Director &amp; Chief Executive Officer</t>
  </si>
  <si>
    <t>+86 (0)40 0920 4888</t>
  </si>
  <si>
    <t>johny.zhang@singleragenomics.com</t>
  </si>
  <si>
    <t>Yangzhou, China</t>
  </si>
  <si>
    <t>No. 6, Yikang Road</t>
  </si>
  <si>
    <t>Hanjiang District</t>
  </si>
  <si>
    <t>Yangzhou</t>
  </si>
  <si>
    <t>Jiangsu</t>
  </si>
  <si>
    <t>201318</t>
  </si>
  <si>
    <t>+86 (0)21 3378 9608</t>
  </si>
  <si>
    <t>Mr. Johny Zhang is a Co-Founder and serves as Director and Chief Executive Officer at Singlera Genomics. He was previously the Vice President/General Manager for Greater China Thermo Fisher Scientific Healthcare, where he was awarded the annual global CEO award for outstanding performance. During his tenure at Gene Company, Ltd, Mr. Zhang introduced numerous molecular diagnostic technologies into China, including Dako IHC, Abbott FISH, Qiagen Nucleic Acid Detection, and Affymatrix Gene Chip. Mr. Zhang co-founded and was COO of ebiotrade, the first Chinese universal life science website of its kind. Mr. Zhang received his MBA and B.S. in Biochemistry from Fudan University.</t>
  </si>
  <si>
    <t>148886-47P</t>
  </si>
  <si>
    <t>Jim Samples</t>
  </si>
  <si>
    <t>TVN (Former)</t>
  </si>
  <si>
    <t>Samples</t>
  </si>
  <si>
    <t>www.tvn.pl</t>
  </si>
  <si>
    <t>Mr. Jim Samples served as Chief Executive Officer at TVN. He oversees the strategic development and current activities of the international division Scripps Networks Interactive, which distributes the five international brands - Asian Food Channel, Fine Living, Food Network, HGTV and Travel Channel - in Europe, the Middle East, Africa in Asia and the Pacific and in Latin America. In addition, Samples sits on the Board and manages relationships with partners in joint ventures: UKTV in the UK and Shaw Media in Canada. Also supervises the activities in the area of international licensing programs. Prior to assuming responsibility for the international division of SNI, in 2007-2011, he served as President Samples HGTV. Prior to joining Scripps Networks, Samples spent nearly 14 years w Turner Broadcasting System in various management positions in sales partnerships, marketing, software and digital media. Starting his career in 1993 in international business development department w Turner, after he became President of Turner International Argentina, based in Buenos Aires. In 1999, the Samples returned to the US as the First Vice President and General Manager of TNT and Cartoon Network Latin America. In 2001, the Samples promoted to the position of Vice President and General Director of Cartoon Network Worldwide.</t>
  </si>
  <si>
    <t>124456-24P</t>
  </si>
  <si>
    <t>Joel McKeever</t>
  </si>
  <si>
    <t>IHC Risk Solutions (Former)</t>
  </si>
  <si>
    <t>McKeever</t>
  </si>
  <si>
    <t>Joel</t>
  </si>
  <si>
    <t>www.ihcrisksolutions.com</t>
  </si>
  <si>
    <t>Executive Vice President, Underwriting</t>
  </si>
  <si>
    <t>Mr. Joel McKeever served as Executive Vice President, Underwriting at IHC Risk Solutions. Joel began his insurance career with The Prudential and has been involved in the insurance industry for almost thirty years. During his career, he has held positions with an insurance carrier, a benefit consulting firm, a third party administrator and a stop-loss MGU. He has been a stop-loss underwriter for the past nineteen years. Joel has been a member of the IHC team since 2003. He currently holds the position of Executive Vice President of Underwriting for IHC Risk Solutions.</t>
  </si>
  <si>
    <t>95952-07P</t>
  </si>
  <si>
    <t>Johan de Bie</t>
  </si>
  <si>
    <t>IHC Hytech (Former)</t>
  </si>
  <si>
    <t>Johan</t>
  </si>
  <si>
    <t>www.ihchytech.com</t>
  </si>
  <si>
    <t>Mr. Johan de Bie served as a Managing Director at IHC Hytech. He served as a General Manager at Seatec Underwater Systems B.V.</t>
  </si>
  <si>
    <t>248055-58P</t>
  </si>
  <si>
    <t>RiceTec</t>
  </si>
  <si>
    <t>www.ricetec.com</t>
  </si>
  <si>
    <t>+1 (281) 756-3300</t>
  </si>
  <si>
    <t>Alvin, TX</t>
  </si>
  <si>
    <t>PO Box 1305</t>
  </si>
  <si>
    <t>77512</t>
  </si>
  <si>
    <t>+1 (281) 393-3532</t>
  </si>
  <si>
    <t>Mr. Johannes Meran serves as Board Member at RiceTec. Mr. Meran has worked for the Liechtenstein Group since 2020 and, from 2018 until 2020, was a member of the Board of Trustees for the Foundation Prince Liechtenstein. Until 2018 he was CEO of Gxp German Properties AG and until 2014 Chairman of the Board of Directors &amp; CEO of Conwert Immobilien Invest SE, both stock-market-listed real-estate companies in the DACH region with real estate assets totalling over EUR 3 billion. Prior to that, he worked for the private equity fund Cognetas, the US investment bank Goldman Sachs, and strategic consulting firm Roland Berger &amp; Partner. He is Chairman of the Advisory Board of Lieco and a member of the Board of Directors of RiceTec AG. He holds a BSc in Economics from the London School of Economics and an MBA from Harvard Business School.</t>
  </si>
  <si>
    <t>351915-67P</t>
  </si>
  <si>
    <t>John Callanan</t>
  </si>
  <si>
    <t>Callanan</t>
  </si>
  <si>
    <t>Mr. John Callanan serves as Managing Director at The Prince Of Wales Hotel. He brings experience from previous roles at Callanan hotel group. John Callanan holds a 1989 - 1992 Bachelor of Arts - BA in Economics at Maynooth University.</t>
  </si>
  <si>
    <t>50260-24P</t>
  </si>
  <si>
    <t>John Duke</t>
  </si>
  <si>
    <t>Healthe Care Australia (Former)</t>
  </si>
  <si>
    <t>Duke</t>
  </si>
  <si>
    <t>www.healthecare.com.au</t>
  </si>
  <si>
    <t>Mr. John Duke served as the Chief Operating Officer at Healthe Care. John joined Healthe Care as the Chief Operating Officer and NSW Regional Manager in August 2011. He has 30 years experience working in senior management positions across the Australian and international health care sector. John's previous roles have included Chief Executive Officer at Lake Macquarie Private Hospital (Newcastle), Prince of Wales Private Hospital (Sydney) and the Mater Private Hospital (Sydney). John has also held senior management positions with Health Care of Australia, which was Australia's largest private hospital group at the time and the Dusit Hospital Group - the largest private hospital operator in Thailand with 28 sites</t>
  </si>
  <si>
    <t>307791-19P</t>
  </si>
  <si>
    <t>John Frisch</t>
  </si>
  <si>
    <t>Alliant Wealth Advisors (Former)</t>
  </si>
  <si>
    <t>Frisch</t>
  </si>
  <si>
    <t>www.alliantwealth.com</t>
  </si>
  <si>
    <t>Founder and President</t>
  </si>
  <si>
    <t>+1 (703) 940-5913</t>
  </si>
  <si>
    <t>Mr. John Frisch was the Founder and served as President at Alliant Wealth Advisors. Licensed as a CPA, he also holds the Personal Financial Specialist designation from the American Institute of Certified Public Accountants. In addition, he is a CFP professional, Accredited Investment Fiduciary and Professional Plan Consultant. He holds a degree in accounting and information systems from Geneva College in western Pennsylvania. He is strongly committed to community service. He founded the Prince William Financial Institute to provide networking and education opportunities for financial professionals in Prince William, Virginia. He served on the three-county Battlefield Advisory Board for Branch Bank &amp; Trust Co. (BB&amp;T) for 15 years and was a recent four-year member of the Finance Committee for the Prince William Chamber of Commerce. Previously, he served as treasurer and as a member of the Board of Directors for the Prince William Regional Chamber of Commerce and was the accounting chair on the Capital Campaign Steering Committee for Potomac Hospital (currently Sentara Hospital) in Prince William.</t>
  </si>
  <si>
    <t>42064-03P</t>
  </si>
  <si>
    <t>John Houldsworth</t>
  </si>
  <si>
    <t>PowerPrecise Solutions (Former)</t>
  </si>
  <si>
    <t>Houldsworth</t>
  </si>
  <si>
    <t>www.powerprecise.com</t>
  </si>
  <si>
    <t>Chief Technology Officer &amp; Co-Founder</t>
  </si>
  <si>
    <t>Mr. Houldsworth was Chief Technology Officer and Co-Founder at PowerPrecise. He was previously the CTO and Founder of Duality Semiconductor, Inc where he invented and patented Virtual Analog technology - a breakthrough system -to- silicon approach for implementing signal processing solutions. As VP Technology and VP R&amp;D for Eurotherm Companies he was responsible for new product development for more than 20 years. He has authored and been granted numerous patents in Battery Management, Signal Processing, Instrumentation, Actuators, Communications and Computer Graphics. Awards include the Prince of Wales Award for Industrial Innovation - one of the highest awards granted in the UK. He holds a B.Sc.EE with first class honors from Imperial College, London, UK.</t>
  </si>
  <si>
    <t>32038-75P</t>
  </si>
  <si>
    <t>John Kelly</t>
  </si>
  <si>
    <t>Buzz Group</t>
  </si>
  <si>
    <t>Kelly</t>
  </si>
  <si>
    <t>www.buzzgroupltd.co.uk</t>
  </si>
  <si>
    <t>Unit 1</t>
  </si>
  <si>
    <t>Castle Marina Road</t>
  </si>
  <si>
    <t>NG7 1TN</t>
  </si>
  <si>
    <t>Mr. John Kelly serves as Chairman at Buzz Bingo. He also served as Chairman at Gala Coral Group. He is Chairman of the Advisory and Investment Boards of Kings Park Capital, a private equity fund specializing in investments into the leisure and hospitality sector. He was the Founder of Gala Coral Group Ltd (formerly Gala Group Ltd) where he led a management buy-in from Bass plc of its bingo division in December of 1997 for £300 million. He then served as CEO until 2004 and was then Executive Chairman until leaving the Group in 2007. Mr. John served as a Director of Mecca Leisure plc from 1984 to 1992. He has been a Non-Executive Director of Ladbrokes Coral Group plc since 1 September 2010 and served as its Senior Independent Non-Executive Director since 1 September 2010 until 4 December 2015, when he was appointed Chairman. He served as a Board Member of The Prince of Wales Business in the Community charity from 2003 to 2010. He was appointed an OBE in the Queen's New Years Honours List 2007 for services to the gambling industry.</t>
  </si>
  <si>
    <t>358858-99P</t>
  </si>
  <si>
    <t>John Manusu</t>
  </si>
  <si>
    <t>Manusu</t>
  </si>
  <si>
    <t>Mr. John Manusu is a Co-Founder of Royal Group Plasma Fractionation.</t>
  </si>
  <si>
    <t>61804-54P</t>
  </si>
  <si>
    <t>John Neill</t>
  </si>
  <si>
    <t>Unipart Group (Former)</t>
  </si>
  <si>
    <t>Neill</t>
  </si>
  <si>
    <t>www.unipart.com</t>
  </si>
  <si>
    <t>Chairman &amp; Group Chief Executive</t>
  </si>
  <si>
    <t>+44 (0)13 1659 9690</t>
  </si>
  <si>
    <t>26 Dublin Street</t>
  </si>
  <si>
    <t>EH3 6NN</t>
  </si>
  <si>
    <t>Mr. John Neill served as Chairman &amp; Group Chief Executive at Unipart Group. He joined Unipart Group of Companies from General Motors in 1974 and set out to establish a more independent and broadly based role for what was then British Leyland's Parts Division. In 1987 he led the management buyout of the company and began the process of changing not only the culture of the company but also the whole philosophy by which the business was run. He was formerly a Director of the Court of the Bank of England and a Non-Executive Director of the Royal Mail, Charter International plc and Rolls-Royce plc. John was appointed Prince's Ambassador for the South East for 2009 by HRH The Prince of Wales. He serves as a Chairman at SIMEC Atlantis Energy.</t>
  </si>
  <si>
    <t>375730-30P</t>
  </si>
  <si>
    <t>John Smith</t>
  </si>
  <si>
    <t>Mr. John Smith serves as Chief Executive Officer at SNI Companies.</t>
  </si>
  <si>
    <t>253988-65P</t>
  </si>
  <si>
    <t>Jonathan Smith</t>
  </si>
  <si>
    <t>Skylark Works</t>
  </si>
  <si>
    <t>www.skylarkworks.com</t>
  </si>
  <si>
    <t>Co-Founder, Director and Board Member</t>
  </si>
  <si>
    <t>Milton, United Kingdom</t>
  </si>
  <si>
    <t>Care of Taylor Vinters LLP</t>
  </si>
  <si>
    <t>Merlin Place, Milton Road</t>
  </si>
  <si>
    <t>Milton</t>
  </si>
  <si>
    <t>CB4 0DP</t>
  </si>
  <si>
    <t>Mr. Jonathan Smith is a Co-Founder and serves as Director and Board Member at Skylark Works. Jonathan has been a long-term advocate of values-based business practice. A former Business Ambassador working with HRH Prince of Wales at Business in the Community, he has over 30 years' director-level experience in the marcomms and construction sectors. As Head of Social Purpose for a UK investment manager, he developed an energetic multi-million-pound charitable program that focused on core-costs support - supporting the business of charity. Jonathan co-founded The Oxford Institute of Charity, alongside the think tank, Charity Futures, and purpose-led learning platform, Utopy.</t>
  </si>
  <si>
    <t>188576-56P</t>
  </si>
  <si>
    <t>Joop Hylkema</t>
  </si>
  <si>
    <t>Royal Eijkelkamp</t>
  </si>
  <si>
    <t>www.royaleijkelkamp.com</t>
  </si>
  <si>
    <t>Supervisory Board Member</t>
  </si>
  <si>
    <t>+31 (0)31 388 0200</t>
  </si>
  <si>
    <t>Giesbeek, Netherlands</t>
  </si>
  <si>
    <t>Nijverheidsstraat 30</t>
  </si>
  <si>
    <t>Giesbeek</t>
  </si>
  <si>
    <t>6987 EM</t>
  </si>
  <si>
    <t>Mr. Joop Hylkema serves as Supervisory Board Member at Royal Eijkelkamp. He also serves as Supervisory Board Member at Airborne Oil &amp; Gas. He has worked with Royal IHC, builder of Dredging and Offshore Equipment and Vessels for a long time and was lately - as board member - responsible for the division Technology &amp; Services. Today he is active as supervisory board member of several Dutch company's, as a private investor and involved in a number of foundations as chairman of the advisory board. He has degrees on civil engineering, organisational development/HR and change management.</t>
  </si>
  <si>
    <t>249058-45P</t>
  </si>
  <si>
    <t>Joost Vulto</t>
  </si>
  <si>
    <t>Leemberg</t>
  </si>
  <si>
    <t>Vulto</t>
  </si>
  <si>
    <t>Joost</t>
  </si>
  <si>
    <t>www.leemberg.nl</t>
  </si>
  <si>
    <t>Co-Owner &amp; Board Member</t>
  </si>
  <si>
    <t>+31 (0)78 677 1166</t>
  </si>
  <si>
    <t>Zwijndrecht, Netherlands</t>
  </si>
  <si>
    <t>Scheepmakersstraat 8A</t>
  </si>
  <si>
    <t>Zwijndrecht</t>
  </si>
  <si>
    <t>3334 KG</t>
  </si>
  <si>
    <t>+31 (0)78 677 2438</t>
  </si>
  <si>
    <t>Mr. Joost Vulto is a Co-Owner &amp; serves as Board Member of Leemberg Pijpleidingen &amp; Apparatenbouw. He has 25 years of experience in executive roles in industrial and project companies, including at IHC, Driessen Aerospace and Bluewater.</t>
  </si>
  <si>
    <t>432361-99P</t>
  </si>
  <si>
    <t>Jorge Roa Ph.D</t>
  </si>
  <si>
    <t>National Autonomous University of Mexico</t>
  </si>
  <si>
    <t>Roa</t>
  </si>
  <si>
    <t>www.unam.mx</t>
  </si>
  <si>
    <t>+52 (01)55 5448 3800</t>
  </si>
  <si>
    <t>Mexico City, Mexico</t>
  </si>
  <si>
    <t>San Francisco 400, Col. Del Valle</t>
  </si>
  <si>
    <t>Alcaldía Benito Juárez</t>
  </si>
  <si>
    <t>Mexico City</t>
  </si>
  <si>
    <t>03100</t>
  </si>
  <si>
    <t>Dr. Jorge Roa serves as a Board Member at the National Autonomous University of Mexico. He is currently a Senior Researcher C at the Center for Interdisciplinary Research in Sciences and Humanities at UNAM, with more than 43 years of academic experience. Professor and Tutor of the Postgraduate Programs in Political and Social Sciences and Latin American Studies at UNAM; he has taught classes at FLACSO-Mexico, at the Dr. José María Luis Mora Research Institute, at the Tec de Monterrey, Mexico City campus, at the Universidad Autónoma Metropolitana-Iztapalapa, and at Universidad Mayor de San Andrés (Bolivia). National Researcher Level III of the SNI; Level D of PRIDE; Regular Member of the Mexican Academy of Sciences. Founder and coordinator of the Laboratory for the Analysis of Social Organizations and Movements of the CEIICH (http://laoms.org/), member of the Institutional Academic Seminars: Democratic Perspective and Movements and Institutions of the Institute for Social Research of the UNAM. Executive Secretary of the Mexican Council of Social Sciences (http://www.comecso.com), a civil association that currently groups 97 entities dedicated to teaching and research in social sciences in the country. From that position, he has organized three congresses and five national weeks of social sciences. He is a member of the Academic Advisory Committee of the University Program of Government of the UNAM. He was Academic Secretary of the Center for Interdisciplinary Research in the Humanities (1986-1993) and has participated in several collegiate bodies of the UNAM, including the Review Committees of the Center for Research on North America and the Institute for Social Research; the PRIDE Evaluation Committee of the Faculty of Economics and the Faculty of Political and Social Sciences; the PRIDE Special Commission of the Academic Council of the Area of Social Sciences, Evaluating Peer of the Association for Accreditation and Certification in the Social Sciences, the Fulbright-García Robles Scholarship Selection Committee and the Review Committee of Area VI: Social Sciences of CONACyT. He was a member of the Board of Directors of the Research Committee on Social Movements, Collective Action and Social Change of the International Sociological Association (2006 to 2014) and Principal Advisor representing the Academic, Professional, Scientific, and Cultural sectors on the Technical Advisory Council of the Development Commission created by the Federal Law for the Promotion of Activities Carried Out by Civil Society Organizations (2011-2014). He was a fellow of the Faculty of Economics to pursue undergraduate studies at the National University; a fellow of the Institute of Social Research for master's studies; a Fulbright-García Robles and CONACyT fellow to pursue master's and doctoral studies in Sociology at the University of Wisconsin-Madison; and a Graduate Student Fellow of the Contentious Politics Seminar, at the Center for Advanced Study in the Behavioral Sciences, Stanford University.</t>
  </si>
  <si>
    <t>233171-47P</t>
  </si>
  <si>
    <t>José Manuel Aguilar Ph.D</t>
  </si>
  <si>
    <t>Polybion (Former)</t>
  </si>
  <si>
    <t>Aguilar</t>
  </si>
  <si>
    <t>José Manuel</t>
  </si>
  <si>
    <t>Co-Founder, Chief Technology Officer &amp; Board Member</t>
  </si>
  <si>
    <t>Mr. José Manuel Aguilar co-founded and served as Chief Technology Officer and Board Member at Polybion. In 2012 he was awarded for his work by MIT Technology Review, as one of the 10 outstanding innovators of Mexico (TR35 award in the category of Biomedicine). Technology Review is the oldest technology magazine in the world, published by MIT (Massachusetts Institute of Technology). Among the winners from other countries are Konstantín Novosiólov (Graphene pioneer and later Nobel Laureate in Physics). Although most of his work has been for industry and is therefore confidential (forbidden for publication or patent application), he has 14 scientific papers and 2 granted patents and 3 patent applications. For his public contributions to the scientific community and his work with graduate students, he received an appointment as a member of the National Science Program in Mexico (Sistema Nacional de Investigadores, SNI) in 2013. Since that time, he has held an affiliation to the Advanced Medical Research Institute of Canada (AMRIC), where he was invited to continue his research on vaccines against influenza and other infectious diseases. During that period one of his main focus areas was the use of induced Pluripotent Stem Cells for immunotherapy. After coming back to Mexico in 2015, Manuel became a full time professor at Tec de Monterrey, Campus Monterrey. He joined Polybion's board in 2019 and in 2020 he became Polybion's part time CTO, he is currently in charge of the genetic engineering strategy behind Polybion®'s first recombinant strains.</t>
  </si>
  <si>
    <t>393239-08P</t>
  </si>
  <si>
    <t>Joyce Baliki</t>
  </si>
  <si>
    <t>Fondation Diane</t>
  </si>
  <si>
    <t>Baliki</t>
  </si>
  <si>
    <t>Joyce</t>
  </si>
  <si>
    <t>www.fondation-diane.org</t>
  </si>
  <si>
    <t>+961 (0)1 870 062</t>
  </si>
  <si>
    <t>joyce.baliki@fondation-diane.org</t>
  </si>
  <si>
    <t>Roumieh, Lebanon</t>
  </si>
  <si>
    <t>Raymondo, Nawar Building</t>
  </si>
  <si>
    <t>Industrial Zone</t>
  </si>
  <si>
    <t>Roumieh</t>
  </si>
  <si>
    <t>Lebanon</t>
  </si>
  <si>
    <t>She has over two decades of management experience. She holds a Bachelor's degree in Communication, Public Relations &amp; Advertising. She has served as a Managing Director at Universal Graphic Design, where she worked on projects. She later ventured into automotive and media, gaining valuable experience. Before that she served as Executive Director at CLUB LA MARINA, as a General Manager at OFFSET, as Recreational Manager at InterContinental Jordan - IHC and as Project Manager at DAR AL CHAER.</t>
  </si>
  <si>
    <t>80952-31P</t>
  </si>
  <si>
    <t>Jubran Rahal</t>
  </si>
  <si>
    <t>One Prepay</t>
  </si>
  <si>
    <t>Rahal</t>
  </si>
  <si>
    <t>Jubran</t>
  </si>
  <si>
    <t>www.oneprepay.ae</t>
  </si>
  <si>
    <t>+971 (0)2 644 3838</t>
  </si>
  <si>
    <t>205 Al Kheily Tower</t>
  </si>
  <si>
    <t>Salam Street</t>
  </si>
  <si>
    <t>46709</t>
  </si>
  <si>
    <t>+971 (0)2 644 4673</t>
  </si>
  <si>
    <t>Mr. Jubran Rahal serves as Chief Executive Officer at One Prepay. He served as Chief Financial Officer at Injazat Data Systems. Prior to joining Injazat, Jubran was the Senior Vice President for Finance for Dubai-based events group Armada. He also worked as Chief Financial Officer for Zabeel Investments and as Director of Finance for Tecom Investments and performed extensive auditing work across multiple industries for Arthur Andersen.</t>
  </si>
  <si>
    <t>339335-20P</t>
  </si>
  <si>
    <t>Kareem Shahin</t>
  </si>
  <si>
    <t>Shahin</t>
  </si>
  <si>
    <t>Kareem</t>
  </si>
  <si>
    <t>Chief Business Officer</t>
  </si>
  <si>
    <t>Mr. Kareem Shahin served as Chief Business officer at G42 Healthcare.</t>
  </si>
  <si>
    <t>17825-05P</t>
  </si>
  <si>
    <t>Karim Saada</t>
  </si>
  <si>
    <t>Al-Ismaelia (Former)</t>
  </si>
  <si>
    <t>Saada</t>
  </si>
  <si>
    <t>www.al-ismaelia.com</t>
  </si>
  <si>
    <t>Mr. Karim Saada served as Board Member at Al-Ismaelia. Mr. Saada served as Executive Vice President and Country Head at Amwal AlKhaleej. He also serves as a Board Member at Al-Ismaelia. Prior to that Karim was the General Manager of Gulf Arab Investment Company, a $75 million private equity investment company based in Egypt. Karim was also a Finance Director at Kingdom Holding. Karim serves on the boards of several Amwal portfolio companies including Arab Cotton Ginning, Contact Cars, EPPC, Samay Hills, as well as Gulf Arab Investment Company. He holds an M.S. in Finance (U.K.), and a Bachelor of Business Administration from the American University in Cairo.</t>
  </si>
  <si>
    <t>163293-49P</t>
  </si>
  <si>
    <t>Karim Souid</t>
  </si>
  <si>
    <t>ChimHaeres</t>
  </si>
  <si>
    <t>Souid</t>
  </si>
  <si>
    <t>www.chimhaeres.com</t>
  </si>
  <si>
    <t>Private Equity Director and Board Member</t>
  </si>
  <si>
    <t>Mr. Karim Souid serves as Private Equity Director and Board Member at ChimHaeres. He serves as Director, Private Equity at Lunate. He served as Managing Director at Chimera Capital. He served as an Executive at Veni Vidi Group. He served as Head of Middle East Private Equity and Dubai Office at Swicorp. Previously, He co-founded an investment advisory boutique that provides bespoke investment services to international investors, family offices, and privately owned businesses. Before that, he spent 9 years with the investment team of WENDEL, a leading European Private Equity firm, where he led leveraged buy-outs in various sectors and geographies. He started his career in Investment Banking at Deutsche Bank and UBS in Paris and London. He leads Chimera consumer, luxury, and lifestyle investments globally with a focus on the Europe / GCC corridor. Before Chimera, he was Head of Private Equity for Swicorp, a UAE-based PE firm where he concentrated on investments in the Middle East and Africa. Previously, he was a Director at Wendel, one of the largest European investment firms with permanent capital where he focused on investments in the consumer and services sectors. He held board positions in private and public companies in both developed and emerging markets. He had completed an MBA from INSEAD and a Master's in Strategy and Finance from HEC Paris.</t>
  </si>
  <si>
    <t>375994-09P</t>
  </si>
  <si>
    <t>Katherine Jenkins</t>
  </si>
  <si>
    <t>Cygnet Distillery</t>
  </si>
  <si>
    <t>Jenkins</t>
  </si>
  <si>
    <t>Katherine</t>
  </si>
  <si>
    <t>www.cygnet-distillery.com</t>
  </si>
  <si>
    <t>Swansea, United Kingdom</t>
  </si>
  <si>
    <t>Ty Caer Wyr, Charter Court</t>
  </si>
  <si>
    <t>Phoenix Way, Enterprise Park</t>
  </si>
  <si>
    <t>Swansea</t>
  </si>
  <si>
    <t>SA7 9FS</t>
  </si>
  <si>
    <t>Ms. Katherine Jenkins is a Co-Founder of Cygnet Distillery. Ms. Jenkins has earned her 'National Treasure' status not only through her dedication to her music but because of her massive charitable efforts. She is global patron of The Wilderness Foundation (conservation) as well as being an Ambassador for Prince William's TUSK Trust. She is an ambassador for cancer charity Macmillan, a trustee of The British Forces Foundation (she has travelled to Iraq, Afghanistan, Kosovo, Cyprus &amp; Northern Ireland to entertain the troops and was presented with an OBE by HRH Prince of Wales in 2013 as a result). Katherine sits on the arts advisory board of the Nehru Centre which encourages artistic development between India and the UK and is an ambassador for Number 10's GREAT campaign. Jenkins spent 2020 creating free 'at home' performances to boost morale and bring people together virtually during the pandemic. She performed 25 'lockdown live' concerts every Saturday night to millions of people, performed a VE Day BBC concert from a deserted Buckingham Palace as well as a highly publicised 'Behind Closed Doors' concert at the Royal Albert Hall - a first in the iconic venue's 150 year history.</t>
  </si>
  <si>
    <t>243791-74P</t>
  </si>
  <si>
    <t>Kees Korevaar</t>
  </si>
  <si>
    <t>Korevaar</t>
  </si>
  <si>
    <t>Kees</t>
  </si>
  <si>
    <t>Mr. Kees Korevaar serves as Board Member at Royal IHC.</t>
  </si>
  <si>
    <t>124455-52P</t>
  </si>
  <si>
    <t>Kenneth Gumbiner</t>
  </si>
  <si>
    <t>Gumbiner</t>
  </si>
  <si>
    <t>Executive Vice President, Sales</t>
  </si>
  <si>
    <t>Mr. Kenneth Gumbiner served as Executive Vice President, Sales at IHC Risk Solutions. His sales and management experience in the employee benefits and insurance industry spans almost three decades. He began his career with a highly rated national insurance carrier in sales and sale management and went on to spend several years in Third Party Administration sales and sales management. In 1997, he transitioned into the stop-loss industry where he has focused on building key relationships with brokerage, consulting and Third Party Administration organizations nationally. Ken began working with IHC in 2008 and currently serves as the Executive Vice President of Sales for IHC Risk Solutions.</t>
  </si>
  <si>
    <t>199091-89P</t>
  </si>
  <si>
    <t>Kevin Kilkeary</t>
  </si>
  <si>
    <t>Prospera Hospitality Services</t>
  </si>
  <si>
    <t>Kilkeary</t>
  </si>
  <si>
    <t>Kevin</t>
  </si>
  <si>
    <t>www.prosperahospitality.com</t>
  </si>
  <si>
    <t>Founder, President, Chief Executive Officer, Director of Operations &amp; Senior Business Operations Analyst</t>
  </si>
  <si>
    <t>+1 (724) 940-1851</t>
  </si>
  <si>
    <t>kevin.k@prosperahospitality.com</t>
  </si>
  <si>
    <t>Sewickley, PA</t>
  </si>
  <si>
    <t>2100 Georgetown Drive</t>
  </si>
  <si>
    <t>Suite 401</t>
  </si>
  <si>
    <t>Sewickley</t>
  </si>
  <si>
    <t>15143</t>
  </si>
  <si>
    <t>Mr. Kevin Kilkeary is the Founder &amp; serves as President, Chief Executive Officer, Director of Operations &amp; Senior Business Operations Analyst at Prospera Hospitality Services. Mr. Kilkeary served as President and Chief Operating Officer at Interstate Hotels Corporation. He served as President &amp; Chief Operating Officer at Interstate Hotels Corporation. He served as President and Chief Operating Officer at Crossroads Hospitality (Interstate Hotels Mid-Market Division). He also served as Corporate Vice President of Sales and Marketing at Interstate Hotels North America. He brings to the company more than 40 years of experience in the hotel and restaurant industries paired with a personal passion for the true meaning of hospitality: serving others. A true industry veteran, he started his career in 1972 working as the Director of Sales and Marketing for Interstate Hotels at their full-service Marriott in Pittsburgh. He moved into the role of General Manager, opening and managing hotels with IHC in Charlotte, N.C., Harrisburg, Penn., and Pittsburgh again before moving into IHC's corporate office. He spent 15 years in the corporate office filling several leadership roles: Regional Vice President of Operations, Vice President of Sales and Marketing for a portfolio of 250 hotels, President of Crossroads Hospitality (an internal company overseeing 100 select serve hotels) and finally as Chief Operating Officer for all of IHC. He helped manage several company mergers and took IHC public in 1996.</t>
  </si>
  <si>
    <t>349811-83P</t>
  </si>
  <si>
    <t>Kevin Miller</t>
  </si>
  <si>
    <t>The Royal Group</t>
  </si>
  <si>
    <t>Miller</t>
  </si>
  <si>
    <t>+1 (708) 656-2020</t>
  </si>
  <si>
    <t>kmiller@teamtrg.com</t>
  </si>
  <si>
    <t>Cicero, IL</t>
  </si>
  <si>
    <t>1301 South</t>
  </si>
  <si>
    <t>47th Avenue</t>
  </si>
  <si>
    <t>Cicero</t>
  </si>
  <si>
    <t>60804</t>
  </si>
  <si>
    <t>Mr. Kevin Miller serves as Chief Executive Officer at The Royal Group.</t>
  </si>
  <si>
    <t>77739-58P</t>
  </si>
  <si>
    <t>Emirates Global Aluminium</t>
  </si>
  <si>
    <t>www.ega.ae</t>
  </si>
  <si>
    <t>+971 (0)4 884 6666</t>
  </si>
  <si>
    <t>PO Box 3627</t>
  </si>
  <si>
    <t>Mr. Khaldoon Al Mubarak serves as Chairman at Emirates Global Aluminium. Mr. Al Mubarak serves as Chairman at Manchester City FC. He serves as Chairman at Melbourne City Football Club. He is Chairman of the Board at the Abu Dhabi Investment Council. He is one of the Middle East's most prominent and globally-engaged business leaders. He is also an influential UAE government policymaker, and an accomplished international envoy. He is the Managing Director and Group CEO of Mubadala, the $276 billion innovative and disruptive sovereign investment firm with assets in more than 50 countries across six international offices. He has led the company from its inception in 2002 and, through organic growth, acquisitions, and mergers, overseen the continuous generation of sustainable financial returns for Mubadala's shareholder, the Government of Abu Dhabi. He also Chairs the Boards of several significant companies, including Abu Dhabi Commercial Bank, Emirates Global Aluminium and the Emirates Nuclear Energy Corporation. He is Vice Chairman of MGX, an investment company to enable the advancement and deployment of leading edge technologies, and serves on the Board of Abu Dhabi National Oil Company (ADNOC), and G42, the Abu Dhabi headquartered global AI company. He holds a degree in Economics and Finance from Tufts University in Boston, USA.</t>
  </si>
  <si>
    <t>121365-46P</t>
  </si>
  <si>
    <t>Khaled El Naggar</t>
  </si>
  <si>
    <t>Al Najah Education (Former)</t>
  </si>
  <si>
    <t>El Naggar</t>
  </si>
  <si>
    <t>Khaled</t>
  </si>
  <si>
    <t>www.alnajaheducation.com</t>
  </si>
  <si>
    <t>Dr. Khaled El Naggar served as Board Member at Al Najah Education. He has worked with several top tier banks and is currently a Board Member of Al Najah's sister company, Healthcare MENA Ltd., another private equity platform managed by Al Masah Capital. Previously, Dr. Khaled was a Managing Director, Head of Middle East region at LGT Bank (Switzerland). Prior to that, he was an Executive Director at Deutsche Bank Private Banking &amp; Wealth Management.</t>
  </si>
  <si>
    <t>63430-93P</t>
  </si>
  <si>
    <t>Khaled Mubarak Al Kuwari</t>
  </si>
  <si>
    <t>Mubarak Al Kuwari</t>
  </si>
  <si>
    <t>Khaled Mubarak Al Kuwari served as board member at Qatar Luxury Group.</t>
  </si>
  <si>
    <t>201426-85P</t>
  </si>
  <si>
    <t>Khalid Al-Ali Ph.D</t>
  </si>
  <si>
    <t>Senseta</t>
  </si>
  <si>
    <t>Al-Ali</t>
  </si>
  <si>
    <t>www.senseta.com</t>
  </si>
  <si>
    <t>Co-Founder, Chief Executive Officer &amp; Executive Chairman</t>
  </si>
  <si>
    <t>+1 (650) 861-6000</t>
  </si>
  <si>
    <t>kali@senseta.com</t>
  </si>
  <si>
    <t>East Palo Alto, CA</t>
  </si>
  <si>
    <t>2000 University Avenue</t>
  </si>
  <si>
    <t>East Palo Alto</t>
  </si>
  <si>
    <t>94303-2215</t>
  </si>
  <si>
    <t>Dr. Khalid Al-Ali is a Co-Founder and serves as Executive Chairman &amp; Chief Executive Officer at Senseta. He was a Co-founder at Space Bridge Partners. He brings deep experience and expertise to his roles in various organizations, having spent much of his career in Silicon Valley. He is also the Co-Founder and Chairman of the Silicon Valley Space Business Roundtable (SVSBR). He was the Executive Director of the University of California Office for NASA Partnerships (UCONP) and the University Affiliated Research Center (UARC). He was the Science Advisor for the Office of the Center Director at NASA Ames Research Center (ARC) and was the principal investigator, project lead, and program visionary at NASA ARC and NASA Jet Propulsion Laboratories (JPL), on key projects involving advanced aircraft and spacecraft technologies, intelligent avionics, novel power systems, planetary rovers and robots, spacecraft and intelligent exploratory vehicles for Lunar, Martian and Antarctic missions. He was the Director of Research at Carnegie Mellon University - Silicon Valley Campus and founded the Carnegie Mellon Innovations Lab (CMIL). He was in charge of developing Qatar Foundation's Qatar Science and Technology Park Project (QSTP). He was the advisor to the Board of Directors of Qatar Foundation and was a founding member of both Qatar's Information Technology and Communication Committee and the Steering Committee of the Information Technology and Communication Project. He is the principal inventor of U.S. and worldwide-patented technologies, along with a multitude of disclosed inventions not yet patented. He holds a Ph.D. in Mechanical and Electrical Engineering from the University of California at Berkeley.</t>
  </si>
  <si>
    <t>209704-51P</t>
  </si>
  <si>
    <t>Khurem Farooq</t>
  </si>
  <si>
    <t>Gyroscope</t>
  </si>
  <si>
    <t>Farooq</t>
  </si>
  <si>
    <t>Khurem</t>
  </si>
  <si>
    <t>www.gyroscopetx.com</t>
  </si>
  <si>
    <t>Rolling Stock Yard</t>
  </si>
  <si>
    <t>6th Floor, 188 York Way</t>
  </si>
  <si>
    <t>N7 9AS</t>
  </si>
  <si>
    <t>Mr. Khurem Farooq serves as Board Member at ViceBio. He serves as Chairman at Navigator Medicines. Mr. Farooq is a Co-Founder and serves as Chief Executive Officer and Board Member at Verdiva Bio. Mr. Farooq also served as Chief Executive Officer and Board Member at Gyroscope. Mr. Khurem co-founded and served as Chief Executive Officer at Aiolos Bio. He has more than 20 years of experience in drug development and operational leadership to Gyroscope. He previously served as the Senior Vice President of the Immunology and Ophthalmology business unit at Genentech, a member of the Roche Group. During his eleven-year tenure at Genentech, he led the commercialization and launch planning of a number of medicines in the Immunology and Ophthalmology area and helped move a number of medicines into the pipeline as a member of the Late Stage Portfolio Committee. He also was actively involved in a number of business development assessments for the organization. He began his career at Aventis in the United Kingdom holding various roles in sales and marketing, including leading several pan-European business initiatives at the European Headquarters in Paris. He holds a Masters's Degree in Business Administration as well as an Honors degree in Biological Sciences.</t>
  </si>
  <si>
    <t>159627-79P</t>
  </si>
  <si>
    <t>Kim Lembo</t>
  </si>
  <si>
    <t>Ripcord (Former)</t>
  </si>
  <si>
    <t>Lembo</t>
  </si>
  <si>
    <t>Kim</t>
  </si>
  <si>
    <t>www.ripcord.com</t>
  </si>
  <si>
    <t>Co-Founder &amp; Vice President of Marketing</t>
  </si>
  <si>
    <t>Ms. Kim Lembo Co-Founded and served as Vice President of Marketing at Ripcord. Kim is responsible for building the Ripcord brand, all go-to-market activities and company growth. Kim brings nearly 15 years of enterprise marketing and business development experience to Ripcord. Most recently, she ran partner marketing at Puppet and product marketing at Elastic. She has held both marketing and business development roles at NASA and was part of the NASA team that created OpenStack. Prior to NASA, she spent 3 years working in finance in China, most notably for Kingdom Holding Company. Early in her career, she was a Brookings Institute Fellow on Capitol Hill.</t>
  </si>
  <si>
    <t>342756-46P</t>
  </si>
  <si>
    <t>Kiril Evtimov</t>
  </si>
  <si>
    <t>Core42</t>
  </si>
  <si>
    <t>Evtimov</t>
  </si>
  <si>
    <t>Kiril</t>
  </si>
  <si>
    <t>www.core42.ai</t>
  </si>
  <si>
    <t>+971 (0)2 699 2700</t>
  </si>
  <si>
    <t>Mohammed Bin Zayed City</t>
  </si>
  <si>
    <t>8230</t>
  </si>
  <si>
    <t>Mr. Kiril Evtimov serves as Chief Executive Officer &amp; Board Member at Core42. Mr. Evtimov serves as Group Chief Technology Officer at G42. He is a seasoned technology and business leader with global experience across start-ups and Fortune 500 companies. Throughout his career, he has been successful in delivering cutting-edge cloud, analytical, and decision-support products, as well as massively scalable data platforms. His contributions have spanned a range of industries, including healthcare, financial services, and technology, leading to clients' success and significant business impact. He is a technology advisor for G42 Cloud. He is also a co-founder, board member, and CEO of Fair Signals Inc. In the past, he has held leadership roles in Teradata, MicroStrategy, and eBay. As CEO of Fair Signals, he has a broad range of responsibilities, including - vision setting, financial management, product development, people management, and leading all externally facing interactions for the financial technology startup. Previously, as Teradata's Vice President and General Manager of Unified Data Architecture Platform Technologies, he was responsible for establishing the strategic direction and leading the execution efforts of the analytical ecosystem research and development organization. I</t>
  </si>
  <si>
    <t>455860-90P</t>
  </si>
  <si>
    <t>Krisda Kamolvarinthip</t>
  </si>
  <si>
    <t>Grand Royal</t>
  </si>
  <si>
    <t>Kamolvarinthip</t>
  </si>
  <si>
    <t>Krisda</t>
  </si>
  <si>
    <t>www.grandroyal-group.com</t>
  </si>
  <si>
    <t>+95 (0)1 654938</t>
  </si>
  <si>
    <t>Yangon, Myanmar</t>
  </si>
  <si>
    <t>Number 33, Pyay Road, 6 1/2 miles</t>
  </si>
  <si>
    <t>11 Quarter, Hlaing Township</t>
  </si>
  <si>
    <t>Yangon</t>
  </si>
  <si>
    <t>Myanmar</t>
  </si>
  <si>
    <t>+95 (0)1 534986</t>
  </si>
  <si>
    <t>Mr. Krisda Kamolvarinthip serves as Chief Executive Officer at Grand Royal. He has been the CEO of Grand Royal Group International since October 2024, after joining the company as Chief Marketing Officer on March 16, 2020. With over 20 years of experience in the FMCG and premium wines &amp; spirits industries, Mr. Krisda has a robust background in multinational markets. He is a business leader with a demonstrated ability to lead diverse teams, build successful organizations, and create significant shareholder value in challenging business environments. Mr. Krisda earned his bachelor's degree in economics from Boston University and an MBA from Bentley College in the USA. He began his career in 1996 as a Corporate Finance Analyst at Schroders, then transitioned to Unilever Thailand as a Brand Manager in 1999. From 2002 to 2019, he worked with Pernod Ricard in Thailand and Hong Kong, holding various roles including Marketing Manager in Thailand, Regional Marketing Manager (Asia) in Hong Kong, Regional Sales Manager in Thailand, and Senior Marketing Manager in Thailand. He served as Marketing Director for Pernod Ricard Thailand from 2011 to 2019.</t>
  </si>
  <si>
    <t>401546-26P</t>
  </si>
  <si>
    <t>Kriti Gupta</t>
  </si>
  <si>
    <t>Bloomberg</t>
  </si>
  <si>
    <t>Kriti</t>
  </si>
  <si>
    <t>www.bloomberg.com</t>
  </si>
  <si>
    <t>Anchor &amp; London-Based Correspondent, Bloomberg TV &amp; Radio</t>
  </si>
  <si>
    <t>731 Lexington Avenue</t>
  </si>
  <si>
    <t>Ms. Kriti Gupta serves as Anchor &amp; London-Based Correspondent, Bloomberg TV &amp; Radio at Bloomberg. Ms. Gupta has conducted approximately 400 interviews with notable figures across business and politics since joining Bloomberg as an anchor. With a knack for making complex money matters and geopolitical news digestible for a global audience, she interviews top CEOs and other notable figures like US Ambassador Rahm Emanuel, Former US National Security Advisor H.R. McMaster and Valentino and Balmain Chairman Rachid Mohamed Rachid.</t>
  </si>
  <si>
    <t>76977-01P</t>
  </si>
  <si>
    <t>Larry Graber</t>
  </si>
  <si>
    <t>Graber</t>
  </si>
  <si>
    <t>Larry</t>
  </si>
  <si>
    <t>Chief Life and Annuity Actuary &amp; Senior Vice President</t>
  </si>
  <si>
    <t>Mr. Larry Graber served as President at Madison National Life Insurance Company. He served as a Chief Life and Annuity Actuary and Senior Vice President of Independence Holding Company. He has more than 30 years of experience in life and annuity acquisitions. He has been involved in more than 130 acquisitions of life and annuity blocks or companies, dealing with state insurance departments, state guaranty associations, NOLGHA, and insurance companies. Prior to joining IHC, he owned an acquisition consulting firm and was President of Hill Country Life Insurance Company.</t>
  </si>
  <si>
    <t>333855-01P</t>
  </si>
  <si>
    <t>Lia Partakusuma</t>
  </si>
  <si>
    <t>Partakusuma</t>
  </si>
  <si>
    <t>Lia</t>
  </si>
  <si>
    <t>Medical Director &amp; Board Member</t>
  </si>
  <si>
    <t>lia.partakusuma@pertamedika.co.id</t>
  </si>
  <si>
    <t>Dr. Lia Partakusuma serves as Medical Director &amp; Board Member at Pertamedika IHC. Previously, Dr. Partakusuma held management positions at several leading hospitals in Indonesia. She completed her medical education at Padjadjaran University, a specialist in Clinical Pathology at the University of Indonesia, a Master of Management at the Institute for Research and Community Service, a Master of Hospital Administration at the University of Indonesia, and earned a Doctorate/S3 degree at Gajah Mada University.</t>
  </si>
  <si>
    <t>185549-77P</t>
  </si>
  <si>
    <t>Lissa Walls</t>
  </si>
  <si>
    <t>Southern Newspapers</t>
  </si>
  <si>
    <t>Walls</t>
  </si>
  <si>
    <t>Lissa</t>
  </si>
  <si>
    <t>www.sninews.com</t>
  </si>
  <si>
    <t>President &amp; Chief Executive Officer</t>
  </si>
  <si>
    <t>lwalls@sninews.com</t>
  </si>
  <si>
    <t>Ms. Lissa Walls serves as President &amp; Chief Executive Officer at Southern Newspapers. .She has been in the newspaper business since 1980. She began her career as a reporter for the Rosenberg (Texas) Herald Coaster owned by Hartman Newspapers, Inc. and became COO of SNI in 1985. She was elected CEO in March 2014. She serves on the boards of the Southern Newspaper Publishers Association Foundation, Mutual Insurance Company, PAGE and Trinity University. She was born in Guntersville, Alabama and moved to the Houston, Texas area with her family in 1973. She is a 1980 graduate of Trinity University in San Antonio, TX. Walls lives in Houston, TX.</t>
  </si>
  <si>
    <t>312447-97P</t>
  </si>
  <si>
    <t>Lucia Aceves Ph.D</t>
  </si>
  <si>
    <t>PhD Talks (Former)</t>
  </si>
  <si>
    <t>Aceves</t>
  </si>
  <si>
    <t>Lucia</t>
  </si>
  <si>
    <t>www.phdtalks.com</t>
  </si>
  <si>
    <t>Dr. Lucia Aceves co-founded Phd Talks. Dr. Aceves is a specialist in entrepreneurship and innovation. She is a research professor, Tecnológico de Monterrey, Campus Guadalajara (SNI candidate level).</t>
  </si>
  <si>
    <t>359275-06P</t>
  </si>
  <si>
    <t>Lucia Bakulumpagi-Wamala</t>
  </si>
  <si>
    <t>Bakulu</t>
  </si>
  <si>
    <t>Bakulumpagi-Wamala</t>
  </si>
  <si>
    <t>www.bakulupower.com</t>
  </si>
  <si>
    <t>+256 (0)77 4595294</t>
  </si>
  <si>
    <t>lucia@bakulupower.com</t>
  </si>
  <si>
    <t>Kampala, Uganda</t>
  </si>
  <si>
    <t>5th Floor Western Wing, Social Security House</t>
  </si>
  <si>
    <t>Plot 4 Jinja Road, P.O Box 8230</t>
  </si>
  <si>
    <t>Kampala</t>
  </si>
  <si>
    <t>Uganda</t>
  </si>
  <si>
    <t>Ms. Lucia Bakulumpagi-Wamala is the Founder and serves as Chief Executive Officer at Bakulu. In a traditional and male-centric industry, Lucia Bakulumpagi-Wamala's focus is on developing and implementing collaborative renewable energy projects that engage communities, empower women and contribute to environmental sustainability. As CEO &amp; Founder of Bakulu Power, a renewable energy service provider based in her native Uganda, Lucia's goal is to power our tomorrow with projects and initiatives that foster social, environmental and economic development in her native country and throughout Sub-Saharan Africa. In 2020, Institiute Choiseul named Lucia one of the 100 African Economic Leaders for Tomorrow. Lucia has appeared on BBC, Al Jazeera, Africa News, CNBC Africa, CBC and NBS. Lucia has been profiled in Brussels Airline's in-flight magazine b.inspired, Le Pointe, Forbes, Forbes Afrique and has addressed heads of state during the United Nations General Assembly and African Union Summit. As a member of the Africa-Europe High Level Platform for Sustainable Energy Investments (SEI) Lucia represented Africa's private sector among 50 experts working with the European Union and Africa Union. Lucia has given keynote speeches at the Planet Earth Institute and the Berlin Energy Transition Dialogue. Lucia has lectured at the Yale School of Management, worked with the University of Michigan, RWTH Aachen and Oxford University. Lucia holds a degree in Public Administration with a specialization in Community Intervention from the University of Ottawa and is a graduate of the Prince of Wales Business and Sustainability Programme at the University of Cambridge. Lucia is a thought-provoking presenter and panelist on topics concerning renewable energy, entrepreneurship, women in business and youth empowerment.</t>
  </si>
  <si>
    <t>262945-00P</t>
  </si>
  <si>
    <t>Lucia Bigolin</t>
  </si>
  <si>
    <t>lucia@selleroyal.com</t>
  </si>
  <si>
    <t>Ms. Lucia Bigolin serves is a Co-Owner of Selle Royal Group.</t>
  </si>
  <si>
    <t>443151-46P</t>
  </si>
  <si>
    <t>Lukman Ma'ruf</t>
  </si>
  <si>
    <t>Ma'ruf</t>
  </si>
  <si>
    <t>Lukman</t>
  </si>
  <si>
    <t>President &amp; Board Member</t>
  </si>
  <si>
    <t>lukman@pertamedika.co.id</t>
  </si>
  <si>
    <t>Mr. Lukman Ma'ruf serves as President &amp; Board Member at Pertamedika IHC. Having a strong educational background, he completed his studies in Medicine and Neurosurgery Subspecialty at Padjadjaran University, Law at STIH IBLAM Jakarta, and earned a Masters in Health Law from UPN Veteran Jakarta, Hospital Management at the University of East Indonesia, and a Doctorate in Law from Borobudur University. He is known as a Neurosurgeon at RSPAD Gatot Soebroto and before serving as President Director of IHC, he was Deputy Head of RSPAD.</t>
  </si>
  <si>
    <t>247016-80P</t>
  </si>
  <si>
    <t>Lynn Neff</t>
  </si>
  <si>
    <t>HealthTrackRx</t>
  </si>
  <si>
    <t>Neff</t>
  </si>
  <si>
    <t>Lynn</t>
  </si>
  <si>
    <t>www.healthtrackrx.com</t>
  </si>
  <si>
    <t>+1 (866) 287-3218</t>
  </si>
  <si>
    <t>lynn.neff@healthtrackrx.com</t>
  </si>
  <si>
    <t>Denton, TX</t>
  </si>
  <si>
    <t>1500 Interstate 35 West</t>
  </si>
  <si>
    <t>Denton</t>
  </si>
  <si>
    <t>76207</t>
  </si>
  <si>
    <t>Mr. Lynn Neff serves as Chief Operating Officer at HealthTrackRx. Mr. Lynn Neff served as Chief Operating Officer at Histo-Scientific Research Laboratories. He has over 25 years of pathology (histology, cytology, IHC) and clinical laboratory (chemistry, hematology, toxicology) management experience at healthcare industry leaders including Dominion Diagnostics, Southcoast Health, Inova Health System and University of Pittsburgh Medical Center. His diverse experience in multidisciplinary performance improvement and integration benefits our expanding portfolio of client-focused programs. He has an AAS in Medical Laboratory Technology &amp; Histology from Community College of the Air Force, has certifications as MLT, HT (ASCP) and received his BBA and MBA from Colorado Technical University.</t>
  </si>
  <si>
    <t>259625-44P</t>
  </si>
  <si>
    <t>Mansoor Al Mansoori</t>
  </si>
  <si>
    <t>Mansoor</t>
  </si>
  <si>
    <t>Group Chief Operating Officer</t>
  </si>
  <si>
    <t>mansoor.almansoori@g42.ai</t>
  </si>
  <si>
    <t>Mr. Mansoor Al Mansoori serves as Group Chief Operating Officer at G42. He also serves as Board Member at AIQ.</t>
  </si>
  <si>
    <t>142215-31P</t>
  </si>
  <si>
    <t>Marc Beldman</t>
  </si>
  <si>
    <t>Contour Covering Technology</t>
  </si>
  <si>
    <t>Beldman</t>
  </si>
  <si>
    <t>www.contour.eu</t>
  </si>
  <si>
    <t>+31 (0)54 354 6789</t>
  </si>
  <si>
    <t>mbeldman@contour.eu</t>
  </si>
  <si>
    <t>Winterswijk, Netherlands</t>
  </si>
  <si>
    <t>Industrieweg 32</t>
  </si>
  <si>
    <t>Winterswijk</t>
  </si>
  <si>
    <t>7102 DZ</t>
  </si>
  <si>
    <t>+31 (0)54 351 2461</t>
  </si>
  <si>
    <t>Mr. Marc Beldman serves as Managing Director at Contour Covering Technology. He served as Managing Director at IHC Vremac Cylinders.</t>
  </si>
  <si>
    <t>156918-52P</t>
  </si>
  <si>
    <t>Marc Lorber MD</t>
  </si>
  <si>
    <t>Lung Biotechnology</t>
  </si>
  <si>
    <t>Lorber</t>
  </si>
  <si>
    <t>www.lungbiotechnology.com</t>
  </si>
  <si>
    <t>Chief Medical Officer, Senior Vice President of Clinical Development &amp; XenoLung</t>
  </si>
  <si>
    <t>+1 (301) 608-9292</t>
  </si>
  <si>
    <t>mlorber@lungbiotechnology.com</t>
  </si>
  <si>
    <t>Silver Spring, MD</t>
  </si>
  <si>
    <t>1040 Spring Street</t>
  </si>
  <si>
    <t>Silver Spring</t>
  </si>
  <si>
    <t>20910</t>
  </si>
  <si>
    <t>+1 (919) 313-1297</t>
  </si>
  <si>
    <t>Dr. Marc Lorber serves as Chief Medical Officer, Senior Vice President of Clinical Development and XenoLung at Lung Biotechnology. Prior to joining Lung Biotechnology, he served in several drug development roles at Novartis, most recently as Vice President and Therapeutic Area Head, responsible for transplantation, nephrology, and autoimmunity indications in the IHC Global Development Franchise. Prior to joining Novartis in 2007, he was Chief of Organ Transplantation and Immunology at Yale University School of Medicine for nearly 21 years, where he was also Professor of Surgery and Pathology. He was an active researcher and busy clinical transplant surgeon; he has published extensively and delivered scientific addresses in his areas of expertise throughout the world. Also notable, he is the Past President of the American Society of Transplant Surgeons, a past member of the Board of Directors, and Secretary of the United Network for Organ Sharing, and he served on the Advisory Committee for Organ Transplantation, U.S. Department of Health and Human Services.</t>
  </si>
  <si>
    <t>465075-01P</t>
  </si>
  <si>
    <t>Mariam Maghribi Ph.D</t>
  </si>
  <si>
    <t>Tioga Cardiovascular</t>
  </si>
  <si>
    <t>Maghribi</t>
  </si>
  <si>
    <t>Mariam</t>
  </si>
  <si>
    <t>www.tiogacardiovascular.com</t>
  </si>
  <si>
    <t>President, Board Member &amp; Chief Executive Officer</t>
  </si>
  <si>
    <t>+1 (408) 560-3789</t>
  </si>
  <si>
    <t>mmaghribi@tiogacardiovascular.com</t>
  </si>
  <si>
    <t>Los Gatos, CA</t>
  </si>
  <si>
    <t>130 Knowles Drive</t>
  </si>
  <si>
    <t>Suite A</t>
  </si>
  <si>
    <t>Los Gatos</t>
  </si>
  <si>
    <t>95032</t>
  </si>
  <si>
    <t>Dr. Mariam Maghribi serves as President, Board Member &amp; Chief Executive Officer at Tioga Cardiovascular. Mariam has over fifteen years of experience in increasingly responsible roles within business strategy, finance, R&amp;D, and operations in the medical device and diagnostic sectors. Currently, she is Chief Business Officer of Shifamed and CEO of Atia Vision and Tioga Cardiovascular, both portfolio companies of Shifamed. Prior to Shifamed, she served as the Chief Operating Officer for deltaDOT QSTP-LLC, a joint venture between Imperial College of London and Qatar Foundation. Prior to that, she was Principal Engineer at Johnson &amp; Johnson, where she co-founded JJ MeMs, an early stage medical microsystems incubator. Prior to Johnson &amp; Johnson, Mariam was a Research Scientist at the Center for Micro and Nano Technology at Lawrence Livermore National Laboratories where she was a technical lead on the Department of Energy's Retinal Prosthesis Project. Mariam is an inventor on 21 issued US patents.</t>
  </si>
  <si>
    <t>443118-70P</t>
  </si>
  <si>
    <t>Mariette Awad</t>
  </si>
  <si>
    <t>Holexp</t>
  </si>
  <si>
    <t>Awad</t>
  </si>
  <si>
    <t>Mariette</t>
  </si>
  <si>
    <t>www.holexp.com</t>
  </si>
  <si>
    <t>Beirut, Lebanon</t>
  </si>
  <si>
    <t>Street, Bechara El Khoury &amp; Fouad Chehab Avenue</t>
  </si>
  <si>
    <t>Nassif El Yazaji Street, Syriac Patriarchate</t>
  </si>
  <si>
    <t>Beirut</t>
  </si>
  <si>
    <t>Dr. Mariette Awad is a Co-Founder of Holexp. Ms. Mariette is the director of the Artificial Intelligence, Data Science and Computing Hub at American University of Beirut (AUB), Lebanon, a tenured associate professor at the ECE department. Awad's academic contributions are recognized globally. She is among the top 2% of influential scholars in 2022 and 2023, by Stanford University and has earned the 2024 Abdul Hameed Shoman Award for Arab Researchers in the field of engineering and technological sciences - computational modeling in data analysis. Awad also won in 2024 the Intissar Ahdab award for Women's Excellence and Impact in Research. She is an Authorized Assessor for ethical AI, has contributed to the drafting of the Munich Convention on AI, Data and Human Rights and is in the 2024 CAIDP AI Policy Clinic Research Group. She has published over 130 manuscripts and had secured more than 4.4 millions USD from different funders such as META, NIH, Qatar Foundation. Her best seller book "Efficient Learning Machines" was one of the 5 most downloaded books by Springer Nature in Sept 2020. Springer Nature, is a leading authority in publishing textbooks and academic books for more than 175 years. BookAuthority listed her work as "#1 among the 41 Best-Selling Machine Theory books of all time" in 2020. Dr. Awad promotes women in engineering and she is a co-organizer and an ambassador for the AUB Women in Data Science (WiDS) Conference, a technical conference organized in close collaboration with the Stanford Institute for Computational and Mathematical Engineering. Since 2017, the conference attracted 4600+ attendees from more than 300 organizations, 20+ sectors, and 40+ countries. Beyond academia, Dr. Awad is actively involved in industry collaborations and consulting projects. She has worked with many UN organizations such as UNESCO, UNICEF and ESCWA as an AI Expert for the National AI plan and the Arab Vision 2040.</t>
  </si>
  <si>
    <t>404791-48P</t>
  </si>
  <si>
    <t>Mario Alovisi</t>
  </si>
  <si>
    <t>Trenitalia</t>
  </si>
  <si>
    <t>Alovisi</t>
  </si>
  <si>
    <t>Mario</t>
  </si>
  <si>
    <t>www.trenitalia.com</t>
  </si>
  <si>
    <t>Chief Marketing and Product</t>
  </si>
  <si>
    <t>mario@trenitalia.com</t>
  </si>
  <si>
    <t>Rome, Italy</t>
  </si>
  <si>
    <t>Piazza della Croce Rossa, 1</t>
  </si>
  <si>
    <t>Rome</t>
  </si>
  <si>
    <t>00161</t>
  </si>
  <si>
    <t>Mr. Mario Alovisi serves as Chief Marketing and Product at Trenitalia. He served as Lecturer at LUISS Business School, Professor in Pricing and Revenue Management at Chaire ESCP Economie Circulaire, Vice President Global Revenue Management, Itinerary Design and Transportation at Costa Crociere S.p.A., Director of Revenue Management Planning, Forecasting, Distribution and Reporting at Costa Crociere S.p.A., Director of Consumer Credit Cards and Lifestyle Development at American Express, Chief Commercial and Strategy Officer at Roma Formula Futuro - FG Group, Executive Board Member at Federcongressi&amp;eventi, Chief Commercial Officer at Royal Group Hotels &amp; Resorts, Pricing and Revenue Management Director at Alitalia Società Aerea Italiana S.p.A.</t>
  </si>
  <si>
    <t>112892-50P</t>
  </si>
  <si>
    <t>Marissa Morris Ph.D</t>
  </si>
  <si>
    <t>Morris</t>
  </si>
  <si>
    <t>Marissa</t>
  </si>
  <si>
    <t>Co-Founder &amp; Chief Strategic and Manufacturing Officer</t>
  </si>
  <si>
    <t>+1 (877) 206-0706</t>
  </si>
  <si>
    <t>Dr. Marissa Morris is a Co-Founder and serves as Chief Strategic &amp; Manufacturing Officer at Regener-Eyes. She served as Vice President, Marketing at Albiorex International Holding Company. She is a former news anchor for major network affiliates, our spokesperson, press representative and media (video, still and audio) producer.</t>
  </si>
  <si>
    <t>215007-13P</t>
  </si>
  <si>
    <t>Mark Brettell</t>
  </si>
  <si>
    <t>Arada</t>
  </si>
  <si>
    <t>Brettell</t>
  </si>
  <si>
    <t>www.aradastoves.com</t>
  </si>
  <si>
    <t>+44 (0)12 9763 2050</t>
  </si>
  <si>
    <t>Axminster, United Kingdom</t>
  </si>
  <si>
    <t>The Fireworks, Weycroft Avenue</t>
  </si>
  <si>
    <t>Axminster</t>
  </si>
  <si>
    <t>EX13 5HU</t>
  </si>
  <si>
    <t>Mr. Mark Brettell serves as Board Member at Arada.</t>
  </si>
  <si>
    <t>442663-93P</t>
  </si>
  <si>
    <t>Mark Hassinger</t>
  </si>
  <si>
    <t>Hassinger Real Estate Development Services</t>
  </si>
  <si>
    <t>Hassinger</t>
  </si>
  <si>
    <t>www.devsvcs.com</t>
  </si>
  <si>
    <t>President &amp; Founding Partner</t>
  </si>
  <si>
    <t>+1 (703) 728-9682</t>
  </si>
  <si>
    <t>markh@devsvcs.com</t>
  </si>
  <si>
    <t>12001 Market Street</t>
  </si>
  <si>
    <t>Apartment 427</t>
  </si>
  <si>
    <t>20190</t>
  </si>
  <si>
    <t>Mr. Mark Hassinger serves as President &amp; Founding Partner at Hassinger Real Estate Development Services. He has over 30 years of real estate development and management experience. He is a founding partner of Hassinger Real Estate Development Services. He was previously president of WestDulles Properties, where he was responsible for the firm's development activities concentrated in Fairfax, Prince William, and Loudoun Counties in the Northern Virginia area of Metropolitan Washington, D.C. Before joining WestDulles Properties, he was a senior vice president within the Land Design and Survey Division of Dewberry, a 1,600-person professional services firm operating nationally. He is currently a member of the Executive Committee of the Board of Directors and is Chairman of NAIOP Northern Virginia. He has served on several citizen advisory master plan committees for local Washington area jurisdictions and the Loudoun County Economic Development Advisory Commission. His expertise includes development management; land search and acquisitions; and marketing, with a concentration on commercial real estate projects. He has extensive experience in the land use entitlement process of local jurisdictions throughout the Washington, D.C. metropolitan area. He has done a Master's in community planning from the University of Rhode Island.</t>
  </si>
  <si>
    <t>152786-44P</t>
  </si>
  <si>
    <t>Mark Schuermann</t>
  </si>
  <si>
    <t>Scripps Networks Interactive (Former)</t>
  </si>
  <si>
    <t>Schuermann</t>
  </si>
  <si>
    <t>www.scrippsnetworksinteractive.com</t>
  </si>
  <si>
    <t>Senior Vice President, ERM &amp; Treasurer</t>
  </si>
  <si>
    <t>Mr. Mark Schuermann served as Senior Vice President, ERM and Treasurer at Scripps Networks Interactive. Prior to assuming this role, he served as Assistant Treasurer for the company's former parent, The E.W. Scripps Company. Schuermann began with E.W. Scripps in 1998 as Senior Auditor in the audit and consulting services department, and was promoted to Audit Manager in 2000. He was promoted to Director of Treasury Management in 2002 and Assistant Treasurer in 2006. Before joining SNI, Schuermann held internal audit positions with Fifth Third Bank and U.S. Bank. Schuermann holds an MBA from Xavier University and has a bachelor's degree in finance from the University of Cincinnati. He is also a certified treasury professional, certified risk manager and certified merger and acquisition advisor.</t>
  </si>
  <si>
    <t>363330-37P</t>
  </si>
  <si>
    <t>Mark Shaaber</t>
  </si>
  <si>
    <t>Phase II</t>
  </si>
  <si>
    <t>Shaaber</t>
  </si>
  <si>
    <t>p2sc.net</t>
  </si>
  <si>
    <t>+1 (910) 391-4671</t>
  </si>
  <si>
    <t>Quantico, VA</t>
  </si>
  <si>
    <t>521 C St</t>
  </si>
  <si>
    <t>Quantico</t>
  </si>
  <si>
    <t>22134</t>
  </si>
  <si>
    <t>Mr. Mark Shaaber is a Co-Founder of Phase II. He was born in Reading Pennsylvania. He obtained a Bachelor of Science Degree in Electronics Engineering Technology from DeVry University in 1988 where he concurrently attended the Ohio State University Army R.O.T.C. program. He was commissioned as an active duty officer and subsequently completed a Master of Arts degree in Computer Resources and Information Management in 2000 while attending the Army Command and General Staff College in residence. He served 20 years of active duty service before retiring at the rank of Lieutenant Colonel. In 2008 He co-founded SCS Integrated Support Solutions (SCS) a workplace interiors and government contracting company. SCS was awarded small business of the year by the Prince William Chamber of Commerce 2013, small business supplier of the year by VSE Corporation 2013 and the HON Company fastest growing dealership 2013. In late 2015 He and his wife established Vision Finders a business consulting firm designed to help small businesses start, grow and thrive. In 2017, Vision Finders was awarded a contract for him to serve as the Interim Executive Director of Leadership Prince William. In 2018, Vision Finders was awarded a contract for him to serve as the Interim Executive Director for Serve Our Willing Warriors.</t>
  </si>
  <si>
    <t>248824-90P</t>
  </si>
  <si>
    <t>Mark Taylor</t>
  </si>
  <si>
    <t>Lactalis Canada</t>
  </si>
  <si>
    <t>Taylor</t>
  </si>
  <si>
    <t>www.lactalis.ca</t>
  </si>
  <si>
    <t>President and Chief Executive Officer</t>
  </si>
  <si>
    <t>+1 (800) 563-1515</t>
  </si>
  <si>
    <t>mark_taylor@parmalat.ca</t>
  </si>
  <si>
    <t>405 The West Mall, 10th Floor</t>
  </si>
  <si>
    <t>Suite 1000</t>
  </si>
  <si>
    <t>M9C 5J1</t>
  </si>
  <si>
    <t>+1 (416) 620-3626</t>
  </si>
  <si>
    <t>Mr. Mark Taylor serves as President and Chief Executive Officer at Lactalis Canada. Mark Taylor is President &amp; CEO of Lactalis Canada Inc., the Canadian dairy leader behind iconic brands like Cracker Barrel, Black Diamond, Balderson, Astro and Lactantia and a subsidiary of the world's leading dairy group, headquartered in Laval, France. Since assuming the role of President &amp; CEO in 2018, Mark has been instrumental in driving the company's growth and transformation including leading the CDN$1.62 billion acquisition of Kraft Heinz's natural cheese business in Canada in 2019, the biggest of its kind in Canadian dairy history. This transaction was followed by the acquisitions of Ultima Foods Inc. from Agropur and the Kraft Heinz Grated cheese business in Canada in 2021. Today, Lactalis Canada is the third largest country by turnover in Lactalis Group, third largest branded CPG manufacturer in Canada and consistently named on Forbes' list of Canada's Best Employers. Within the industry, Mark has played an instrumental role in the advocacy and creation of a Grocery Code of Conduct for Canada. In 2023, Mark was named Most Influential CEO 2023 - Toronto Food &amp; Beverage Manufacturing by international publication CEO Monthly Magazine. Mark brings over 30 years of experience in CPG, specifically in the dairy category through various leadership roles across the supply chain from farm to consumer. Before locating to Canada, Mark was Group Managing Director of Lactalis U.K. and Ireland from 2015 to 2018. He also served as Chair of the Board of Directors of U.K.-based Muddy Boots Software Limited, an agri-food sector supply chain and quality compliance software company sold to Telus Agriculture in 2021. Mark was also a Board member of Zenith International Consulting in the U.K. focused on M&amp;A and international business. He has set up and managed a number of joint venture relationships with large and small partners in the U.K., EU and U.S. and has worked with Private Equity businesses on a myriad of M&amp;A projects in the food sector. Prior to enrolling in Diageo's graduate training scheme in 1988, he gained practical experience on farms in the U.K., Germany and New Zealand and various senior leadership roles at Express Dairy PLC, Northern Foods PLC, Unigate PLC and Dairy Crest PLC including being part of an MBO team and Board member of Wexford Creamery, Ireland. In the U.K., Mark was involved in drafting the U.K. Agriculture &amp; Food Strategy, served as a member of the Sustainable Agriculture and Food Innovation Platform Steering Group and worked with the Technology Strategy Board (Innovate UK) as a Monitoring Officer and Assessor. Mark's wider community interests have also included working with Cambridge University's Natural Capital Leaders Program; he is Fellow of the Royal Agricultural University 100 Club and past Chairman of HRH The Prince of Wales Rural Action Program Dairy Group. Mark is currently a Board Director of Dairy Processors Association Canada (DPAC), Food, Health &amp; Consumer Products of Canada (FHCP) and The Grocery Foundation where he also Chairs the Donations Committee. Mark has also been appointed as cabinet member of the Feel Out Loud with Kids Help Phone campaign, the largest youth mental health movement in Canada. Mark holds an MBA.</t>
  </si>
  <si>
    <t>432588-70P</t>
  </si>
  <si>
    <t>Mark Wilson</t>
  </si>
  <si>
    <t>Joint Venture (International Holding / BlackRock / Lunate)</t>
  </si>
  <si>
    <t>Wilson</t>
  </si>
  <si>
    <t>mwilson@policyexpert.co.uk</t>
  </si>
  <si>
    <t>Abu Dhabi Global Market</t>
  </si>
  <si>
    <t>Mr. Mark Wilson serves as Chief Executive Officer at Joint Venture (International Holding / BlackRock / Lunate). Mr. Mark Wilson serves as Chairman at Policy Expert.</t>
  </si>
  <si>
    <t>131529-52P</t>
  </si>
  <si>
    <t>Markus Schneider</t>
  </si>
  <si>
    <t>MairDumont</t>
  </si>
  <si>
    <t>Schneider</t>
  </si>
  <si>
    <t>www.mairdumont.com</t>
  </si>
  <si>
    <t>Chief Financial Officer &amp; Commercial Director</t>
  </si>
  <si>
    <t>+49 (0)71 1450 20</t>
  </si>
  <si>
    <t>markus.schneider@mairdumont.com</t>
  </si>
  <si>
    <t>Ostfildern, Germany</t>
  </si>
  <si>
    <t>Marco-Polo-Straße 1</t>
  </si>
  <si>
    <t>Ostfildern</t>
  </si>
  <si>
    <t>73760</t>
  </si>
  <si>
    <t>+49 (0)71 1450 2340</t>
  </si>
  <si>
    <t>Mr. Markus Schneider serves as Chief Financial Officer and Commercial Director at MairDumont. He also serves as Managing Director at Mairdumont Ventures. Previously he served as a Senior Project Manager at Horváth &amp; Partners Management Consultants. After his bank apprenticeship, he studied business informatics and business administration. This was followed by various positions in control at well-known companies. His last position was as a consultant at Horváth und Partner before he was appointed Commercial Director at MAIRDUMONT GmbH &amp; Co. KG. In 2015, he was appointed Managing Director of Hallwag Kümmerly and Frey in Switzerland, followed shortly afterward by the management of Kompass in Austria and Gestalten Verlag in Berlin. On 1 April 2020, he was appointed Managing Director of DuMont Reiseverlag, VARTA-Führer, MAIRDUMONT international holding company as well as MAIRDUMONT, with major responsibility for finance, human resources, IT, strategic purchasing, and logistics.</t>
  </si>
  <si>
    <t>248240-53P</t>
  </si>
  <si>
    <t>Marshall Stoller MD</t>
  </si>
  <si>
    <t>Moonstone Stone Stopper</t>
  </si>
  <si>
    <t>Stoller</t>
  </si>
  <si>
    <t>Marshall</t>
  </si>
  <si>
    <t>www.moonstonenutrition.com</t>
  </si>
  <si>
    <t>Co-Founder &amp; Advisory Board Member</t>
  </si>
  <si>
    <t>Pittsburgh, PA</t>
  </si>
  <si>
    <t>6425 Living Place</t>
  </si>
  <si>
    <t>Pittsburgh</t>
  </si>
  <si>
    <t>15206</t>
  </si>
  <si>
    <t>Dr. Marshall Stoller is a Co-Founder &amp; serves as Advisory Board Member at Moonstone Stone Stopper. Dr. Stoller is a Co-Founder of Applaud Medical. He graduated from the University of California at Berkeley in 1976 and went to medical school at Baylor College of Medicine in Houston, Texas. Following medical school, he returned to the SF Bay Area, where he was a general surgical intern and resident at UCSF from 1981-1983 and a urology resident from 1983-1985. The following year he was a clinical instructor and research fellow at the University of New South Wales at Prince Henry and Prince of Wales Hospitals in Sydney, Australia. He returned to UCSF as a chief resident in the Department of Urology, joining the faculty thereafter. He presently operates at Moffitt-Long Hospital, San Francisco General Hospital, and the San Francisco Veterans Affairs Medical Center. His practice emphasizes surgical management of urinary stone disease and minimally invasive endourology.</t>
  </si>
  <si>
    <t>64002-70P</t>
  </si>
  <si>
    <t>Martin Beaumont</t>
  </si>
  <si>
    <t>Kind Consumer (Former)</t>
  </si>
  <si>
    <t>Beaumont</t>
  </si>
  <si>
    <t>www.kindconsumer.com</t>
  </si>
  <si>
    <t>Mr. Martin Beaumont served as Deputy Chairman at Kind Consumer. He has been Chairman of the company since January 2009 having been part of the small body of investors that made the initial seed investment. Until his retirement in October 2007, he was The Chief Executive of the Co-operative Group, a multi-billion pound turnover enterprise employing in excess of 85,000 people across a diverse portfolio of businesses. During his tenure, he continued extensive restructuring and modernization of the group - which spans food stores, funeral services, pharmacies and financial services. A Cambridge University graduate, he spent the first 16 years of his career with KPMG, becoming a partner with general practice and management consultancy responsibilities. Amongst several non-executive and advisory roles, he is Chairman of Chester Race Company and a member of the board of The Duchy of Lancaster.</t>
  </si>
  <si>
    <t>241472-80P</t>
  </si>
  <si>
    <t>Martin Edelman</t>
  </si>
  <si>
    <t>Edelman</t>
  </si>
  <si>
    <t>Group General Counsel</t>
  </si>
  <si>
    <t>martin.edelman@g42.ai</t>
  </si>
  <si>
    <t>Mr. Martin Edelman serves as Group General Counsel at G42. Mr. Edelman serves as a Board Member at MGX. He is a Nomination and Remuneration Committee. As the Group GC, Marty leads G42's legal in-house operations and advisory team. Marty is also a partner in the world-leading law firm of Paul| Hastings and has more than 30 years of experience in corporate mergers and acquisitions transactions, with a focus on large and complex deals, including cross-border transactions. He has been involved in all stages of legal development of pioneering financial structures, including participating debt instruments, institutional JVs in real estate, and JVs between U.S. financial sources and European companies.</t>
  </si>
  <si>
    <t>280131-67P</t>
  </si>
  <si>
    <t>NOVA Chemicals</t>
  </si>
  <si>
    <t>www.novachem.com</t>
  </si>
  <si>
    <t>Board Member &amp; Member of the Remuneration Committee</t>
  </si>
  <si>
    <t>+1 (403) 750-3600</t>
  </si>
  <si>
    <t>martin.edelman@novachem.com</t>
  </si>
  <si>
    <t>Calgary, Canada</t>
  </si>
  <si>
    <t>250 5th Street Southwest</t>
  </si>
  <si>
    <t>Calgary</t>
  </si>
  <si>
    <t>Alberta</t>
  </si>
  <si>
    <t>T2P 0R4</t>
  </si>
  <si>
    <t>Mr. Martin Edelman serves as Board Member &amp; Member of the Remuneration Committee at NOVA Chemicals. He is Senior Counsel to Paul Hastings LLP and has 40 plus years of experience with a concentration on large complex international real estate, including the hospitality sector, corporate mergers and acquisitions transactions. He has been involved in all stages of legal development of pioneering financial structures, including participating debt instruments, institutional joint ventures in real estate, and joint ventures between U.S. financial sources and European real estate and industrial companies. He has carried out extensive work in Europe, Canada, Mexico, Japan, China, the Middle East and Latin America. Marty's Board affiliations include BXMT, Aldar, Equity Commonwealth, G42, GlobalFoundries and Manchester City, New York City &amp; Melbourne City football clubs. He is an advisor to Mubadala Investment Company and the Related Companies and is also a founding member of The Jackie Robinson Foundation and The Intrepid Fallen Heroes Fund. A frequent speaker at international conferences, in 2011, he was selected by the National Law Journal as one of the 34 most influential lawyers in the country and has been recognized for his work with the United States Military and military families by being awarded the Department of the Army Public Service Award. He graduated from Princeton University in 1963 and Columbia Law School in 1966.</t>
  </si>
  <si>
    <t>181884-52P</t>
  </si>
  <si>
    <t>Marwan Juma</t>
  </si>
  <si>
    <t>DAI Capital (Former)</t>
  </si>
  <si>
    <t>Juma</t>
  </si>
  <si>
    <t>Marwan</t>
  </si>
  <si>
    <t>www.dai.com</t>
  </si>
  <si>
    <t>Mr. Marwan Juma served as Board Member at Development Alternatives. He was the Jordanian Minister of Information and Communications Technology and, previously, Chief Executive Officer of Xpress Telecommunications, one of Jordan's leading mobile operators. He is also the founder and Chairman of Sama for Integrated Systems, better known as dot.jo, one of Jordan's leading web development houses, and Kinz for Information Technology, the country's leading corporate data provider. In addition, Marwan is the founder and Chairman of Oasis 500, the region's leading IT fund and accelerator. He has held prominent positions in the past as CEO of Batelco Jordan, the country's second fixed-line operator and leading data communication provider. He chaired the local chapter of the Young Arab Leaders Organization, the region's leading nongovernmental organization focused on the youth of the region. Marwan serves on several prominent boards, including those of The King Abdullah II Fund for Development, the King Abdullah Center for Excellence in Government Performance and Transparency, Princess Sumaya University for Science and Technology, Al Mamlaka Television, Capital Investments, and Jordan International Insurance. He served on the National Agenda's Royal Steering Committee, entrusted with developing Jordan's national strategy for the coming 10 years. Marwan was re-elected in mid-2009 as Chairman of INTAJ, but resigned following his ministerial appointment in late 2009. He is a founding contributor to the REACH Initiative, a five-year action plan to advance Jordan's nascent IT sector and strengthen its ability to compete in local, regional, and global markets. Marwan has lobbied for the establishment of a world-class telecom infrastructure in Jordan and for increased private-public partnerships to accelerate the country's economic development. He holds an M.B.A. from North Carolina State University and bachelor's degrees in business management and economics.</t>
  </si>
  <si>
    <t>331680-07P</t>
  </si>
  <si>
    <t>Maryam Al-Bader</t>
  </si>
  <si>
    <t>Flat White</t>
  </si>
  <si>
    <t>Al-Bader</t>
  </si>
  <si>
    <t>Maryam</t>
  </si>
  <si>
    <t>www.flatwhite.qa</t>
  </si>
  <si>
    <t>Co-Founder &amp; Owner</t>
  </si>
  <si>
    <t>+974 50217659</t>
  </si>
  <si>
    <t>maryam@flatwhite.qa</t>
  </si>
  <si>
    <t>10th Floor - RoundTable Office</t>
  </si>
  <si>
    <t>Tower 4 - GateMall, West Bay</t>
  </si>
  <si>
    <t>Ms. Maryam Al-Bader is a Co-Founder &amp; the Owner of Flat White. She worked as a Legal Counsel in the Qatar Foundation and Hamad Bin Khalifa University for eight years.</t>
  </si>
  <si>
    <t>134496-37P</t>
  </si>
  <si>
    <t>Massimo Losio</t>
  </si>
  <si>
    <t>Losio</t>
  </si>
  <si>
    <t>Massimo</t>
  </si>
  <si>
    <t>Mr. Massimo Losio served as Managing Director at Selle Royal Group.</t>
  </si>
  <si>
    <t>365068-18P</t>
  </si>
  <si>
    <t>Matt Protzman</t>
  </si>
  <si>
    <t>Dojer Services</t>
  </si>
  <si>
    <t>Protzman</t>
  </si>
  <si>
    <t>Matt</t>
  </si>
  <si>
    <t>dojerservices.com</t>
  </si>
  <si>
    <t>Owner &amp; Operator</t>
  </si>
  <si>
    <t>+1 (907) 472-2499</t>
  </si>
  <si>
    <t>mprotzman@dojerservices.com</t>
  </si>
  <si>
    <t>Whittier, AK</t>
  </si>
  <si>
    <t>101 Blackstone St</t>
  </si>
  <si>
    <t>Whittier</t>
  </si>
  <si>
    <t>99693</t>
  </si>
  <si>
    <t>Mr. Matt Protzman is the Owner &amp; serves as Operator at Dojer Services. Mr. Protzman has grown up in Alaska and running boats out Whittier. As the premier landing craft operation in the Prince William Sound, Matt aims to provide excellent service for the varied transportation and fuel necessities that are unique to the remote areas of Alaska.</t>
  </si>
  <si>
    <t>159084-19P</t>
  </si>
  <si>
    <t>Matthew Tate</t>
  </si>
  <si>
    <t>Tate</t>
  </si>
  <si>
    <t>Senior Vice President of Sales &amp; Vice President of Business Development</t>
  </si>
  <si>
    <t>mtate@preludedx.com</t>
  </si>
  <si>
    <t>Mr. Matthew Tate serves as Senior Vice President of Sales &amp; Vice President of Business Development at PreludeDx. He has over 18 years of development and commercial experience in the diagnostics market, including novel testing for device and lab services companies. Matt comes to PreludeDx from Pathnostics where he served as Vice President of Business Development responsible for the training, sales strategy, and business partnership models for the anatomic pathology lab services product lines. Prior to Pathnostics, Matt was the Director of Sales for PersonalizedDx, a division of Abbott Molecular specializing in partnership models empowering the local pathologist to control the read of genetics testing through innovative imaging tools. Matt also served as a Regional Manager for Agendia, leading the sales team responsible for selling the genetic profile Mammaprint for breast cancer recurrence. Earlier positions include Director of Sales and Marketing for Vassol Inc., an MRI imaging company focused on measuring blood flow to the brain, Marketing Manager at US Laboratories, where he was in charge of IHC and imaging for the diagnosis of Breast Cancer and Lieutenant, Supply Corp, United States Navy. He is a graduate of the United States Naval Academy where he played Division I football.</t>
  </si>
  <si>
    <t>319711-87P</t>
  </si>
  <si>
    <t>Mawlay Al Hasan Muhammad ibn Yusuf II</t>
  </si>
  <si>
    <t>Les Domaines Agricoles (Former)</t>
  </si>
  <si>
    <t>Muhammad ibn Yusuf</t>
  </si>
  <si>
    <t>Mawlay Al Hasan</t>
  </si>
  <si>
    <t>www.lesdomainesagricoles.com</t>
  </si>
  <si>
    <t>Mr. Mawlay Al Hasan Muhammad ibn Yusuf founded Les Domaines Agricoles.</t>
  </si>
  <si>
    <t>315394-03P</t>
  </si>
  <si>
    <t>Mayank Bhargava</t>
  </si>
  <si>
    <t>Bhargava</t>
  </si>
  <si>
    <t>Mayank</t>
  </si>
  <si>
    <t>Mr. Mayank Bhargava served as Chief Information and Digital Officer at Fortis Healthcare. He serves as the Chief Information Officer at Arada Developments. Prior to joining Arada, He briefly served as Chief Information Officer at Emaar. He has held leadership roles in Technology, Corporate Strategy, and Business Intelligence, and is recognized for his expertise in digital transformation, business growth, and customer experience enhancement. He holds a B.Tech from the prestigious Indian Institutes of Technology, Delhi (2002), and an MBA from the Indian Institute of Management, Calcutta (2004).</t>
  </si>
  <si>
    <t>259625-80P</t>
  </si>
  <si>
    <t>Maymee Kurian</t>
  </si>
  <si>
    <t>Kurian</t>
  </si>
  <si>
    <t>Maymee</t>
  </si>
  <si>
    <t>Group Chief Human Capital &amp; Culture Officer</t>
  </si>
  <si>
    <t>maymee.kurian@g42.ai</t>
  </si>
  <si>
    <t>Ms. Maymee Kurian serves as Group Chief Human Capital &amp; Culture Officer at G42. Ms. Kurian is a Human Resources Professional with 20+ years of leadership exposure, elevating the employee experience journey through periods of both development and consolidation, in cross-sector complex matrix structures across MEA &amp; Asia. Maymee has rich experience in developing and executing exceptional HR practices with extensive know-how in Organisation Design, Strategic Talent &amp; Performance Management and HR and Culture transformation. Known for being result-oriented with sustained value while taking bold decisions to build capacity at all levels within anorganization, extending true partnership to help business leaders achieve their long-term and short-term business goals.</t>
  </si>
  <si>
    <t>73338-22P</t>
  </si>
  <si>
    <t>Melissa Pierce</t>
  </si>
  <si>
    <t>SNI Companies (Former)</t>
  </si>
  <si>
    <t>Pierce</t>
  </si>
  <si>
    <t>Melissa</t>
  </si>
  <si>
    <t>Co-Managing Director</t>
  </si>
  <si>
    <t>Ms. Melissa Pierce served as a Co-Managing Director at SNI Companies. Previously, she served as a Branch Manager at Robert Half International.</t>
  </si>
  <si>
    <t>178549-57P</t>
  </si>
  <si>
    <t>Menno Snel</t>
  </si>
  <si>
    <t>Snel</t>
  </si>
  <si>
    <t>Menno</t>
  </si>
  <si>
    <t>Chairman of Supervisory Board</t>
  </si>
  <si>
    <t>Mr. Menno Snel serves as Chairman of Supervisory Board at Royal IHC. Mr. Menno Snel served as State Secretary for Finance at Government of the Netherlands.</t>
  </si>
  <si>
    <t>446488-93P</t>
  </si>
  <si>
    <t>Meredith Marshall</t>
  </si>
  <si>
    <t>BRP Companies</t>
  </si>
  <si>
    <t>Meredith</t>
  </si>
  <si>
    <t>www.brpcompanies.com</t>
  </si>
  <si>
    <t>Co-Founder &amp; Managing Partner</t>
  </si>
  <si>
    <t>+1 (212) 488-1750</t>
  </si>
  <si>
    <t>mmarshall@brpcompanies.com</t>
  </si>
  <si>
    <t>100 Park Avenue</t>
  </si>
  <si>
    <t>36th Floor</t>
  </si>
  <si>
    <t>+1 (212) 679-4039</t>
  </si>
  <si>
    <t>Mr. Meredith Marshall is a Co-Founder &amp; serves as Managing Partner at BRP Companies. He is responsible for executing BRP's investment strategy including deal origination, acquisition, finance and development. He has also led the firm's strategic partnership initiatives such as the firm's decade long partnership with Goldman Sachs Urban Investment Group and BRP's active relationships with all of the New York City Agencies. Prior to co-founding BRP, he was a Managing Director at Musa Capital Advisors, an emerging markets private equity and financial advisory firm based in New York City. Musa Capital managed a Separate Account for Kingdom Holding Africa, HRH's Prince Alwaleed Bin Talal's Investment vehicle for Sub-Saharan Africa. At Musa Capital, he was instrumental in executing cross-border transactions including the $37 million development of a mixed-use office complex and mall in Harare, Zimbabwe. He also led successful investments in the Telecommunications and Financial Services sectors. Prior to Musa Capital Advisors, he was a Senior Associate at Wasserstein Perella &amp; Co., an investment banking firm based in New York City. While at Wasserstein, he was an integral member of the firm's Telecommunications and Media, Mergers and Acquisitions practice, where he assisted in transactions exceeding $15 billion.</t>
  </si>
  <si>
    <t>354602-89P</t>
  </si>
  <si>
    <t>Michael Biggs</t>
  </si>
  <si>
    <t>Atomic Oncology</t>
  </si>
  <si>
    <t>Biggs</t>
  </si>
  <si>
    <t>www.atomiconcology.health</t>
  </si>
  <si>
    <t>Co-Founder, Chief Medical Officer &amp; Executive Board Director</t>
  </si>
  <si>
    <t>+61 (0)2 9510 0033</t>
  </si>
  <si>
    <t>mbiggs@atomiconcology.health</t>
  </si>
  <si>
    <t>Level 26, 1 Bligh Street</t>
  </si>
  <si>
    <t>Dr. Michael Biggs is a Co-Founder and serves as Chief Medical Officer &amp; Executive Board Director at Atomic Oncology. He OAM is a highly experienced Neurosurgeon (MBBS, University of Sydney) specializing in brain tumours, base of skull tumours (including meningioma and acoustic neuroma), treatment of trigeminal neuralgia and hemifacial spasm, spinal surgery, and peripheral nerve surgery including carpal tunnel release, ulnar nerve decompression, meralgia paraesthetica, common peroneal nerve palsy, brachial plexus reconstruction and neurogenic tumours (schwannomas and neurofibromas). He was selected for advanced neurological training to be completed at St Vincents, Royal North Shore and Prince of Wales Hospital, Sydney, after which he undertook overseas fellowships in Toronto, Pittsburgh, Phoenix and New Orleans.</t>
  </si>
  <si>
    <t>211674-79P</t>
  </si>
  <si>
    <t>Michael Burns</t>
  </si>
  <si>
    <t>Blue North Fisheries (Former)</t>
  </si>
  <si>
    <t>Burns</t>
  </si>
  <si>
    <t>www.bluenorth.com</t>
  </si>
  <si>
    <t>Mr. Michael Burns co-founded Blue North Fisheries. He grew up in Syracuse, New York and came to Alaska in 1978 after graduating from Syracuse University with an architecture degree. He went to visit his brother, Patrick, who was fishing in Cordova, Alaska. The brothers crewed on salmon seiners and fished halibut out of a 26' Charley Moore Skiff in Prince William Sound. In 1979 they pooled their crew shares, bought a 1967 Volvo 122 Sedan, and traveled to every port between Bellingham and San Francisco looking for a boat to longline halibut and black cod. They bought an old wood Chesapeake Bay oyster buy boat that was laid up in a slough in Longview, WA and converted it to a longline. The longlines in the Gulf of Alaska and tendered salmon in Prince William Sound. In 1983 they bought their second boat, the '86 power scow Seldovia. They tendered salmon and herring from Ketchican to Nome. They rapidly built their fleet of tenders to 5 vessels and started in the Bering Sea Crab Fisheries in the early 90's. They pursued the Freezer Longline Fishery when they bought the laid-up Blue North from Tyson in 1994. Patrick and Michael specialized in buying dysfunctional longliners and turning them into working, profitable vessels. By 2005, they had a fleet of five crabber/tenders, one crab catcher processor boat, and seven longliners as well as a vessel that worked for the tuna canneries in American Samoa. In the late 90's, Michael started a small real estate development company on Bainbridge Island. The present portfolio consists of mixed-use commercial buildings and multi-family residential on Bainbridge Island and Poulsbo. In 1994, the brothers had an opportunity to purchase some property on the Grande Ronde River in Eastern Oregon. Here thy had their chance to become ranchers in one of the most beautiful areas of the Northwest. The property quickly grew to one of the largest Angus cattle ranches in the area with an emphasis on grass fed beef. It's a traditional family-run ranch with most of the cattle work done on horseback. In 2010, he had the opportunity to purchase a bankrupt saw mill in Kamiah, Idaho. the mill had been shut down for 2 1/2 years. This was yet another opportunity to buy a distressed asset and participate in another natural resource business. The mill is located on the beautiful Clearwater River and presently employs 65 people.</t>
  </si>
  <si>
    <t>63430-75P</t>
  </si>
  <si>
    <t>Michael Capel</t>
  </si>
  <si>
    <t>Country Hill International</t>
  </si>
  <si>
    <t>Capel</t>
  </si>
  <si>
    <t>www.countryhill.ae</t>
  </si>
  <si>
    <t>+971 (0)4 347 0200</t>
  </si>
  <si>
    <t>177 Umm Suqeim Street</t>
  </si>
  <si>
    <t>Al Quoz Industrial Area 4</t>
  </si>
  <si>
    <t>Mr. Michael Capel serves as Chief Financial Officer and Chief Operating Officer at Country Hill International. Mr. Capel served as Senior Vice President and Chief Operating Officer at Qatar Luxury Group. He graduated from Cornell University, New York, USA, where he received Bachelor of Science and Master of Public Administration degrees. Prior to joining Qatar Luxury Group, he spent over ten years at KPMG/BearingPoint in management consulting, focusing on business strategy, operational improvement, IT strategy, human resources, shared services, economic and statistical analysis, and project management. He led many projects in public- and private-sector organizations in the United States and Middle East. Since 2006 he was dedicated to his company's Middle East practice, working on missions in Saudi Arabia, Jordan, Qatar, and U.A.E., among other countries. This experience empowered him with a deep knowledge of a wide variety of business practices the region. Among his projects were consolidating back-office and ERP processes for a national government, studying the feasibility of an IT park for a real estate investment company, and supporting the modernization of a security agency in a regional country. As VP for Corporate and Strategic Planning, he manages QLG's corporate roll-out plan, making sure that the group's resources are aligned toward its business objectives. He is also responsible for acquisitions, business development, and other strategic projects. He manages the group's corporate governance, government relations, legal services, information.</t>
  </si>
  <si>
    <t>29814-85P</t>
  </si>
  <si>
    <t>Michael Chan Ph.D</t>
  </si>
  <si>
    <t>Binance (Former)</t>
  </si>
  <si>
    <t>Chan</t>
  </si>
  <si>
    <t>www.binance.com</t>
  </si>
  <si>
    <t>Managing Counsel and Head of Global Mergers &amp; Acquisitions, Legal and Core Legal Functions</t>
  </si>
  <si>
    <t>Dr. Michael Chan served as Managing Counsel and Head of Global Mergers &amp; Acquisitions, Legal and Core Legal Functions at Binance. He previously served as Associate General Counsel and Senior Legal Counsel at VimpelCom. He served as Senior Transaction Counsel at Qatar Foundation Endowment. He served as Transaction Counsel at Qatar Foundation Endowment. He served as a Senior Associate at Dewey &amp; LeBoeuf. He served as an Associate at Hogan Lovells.</t>
  </si>
  <si>
    <t>307902-25P</t>
  </si>
  <si>
    <t>Michael Jackson MD</t>
  </si>
  <si>
    <t>Electrogenics Labs</t>
  </si>
  <si>
    <t>www.electrogenicslabs.com</t>
  </si>
  <si>
    <t>+61 (0)4 1111 6669</t>
  </si>
  <si>
    <t>76 Berry Street North</t>
  </si>
  <si>
    <t>Suite 1, Level 10</t>
  </si>
  <si>
    <t>2060</t>
  </si>
  <si>
    <t>Mr. Michael Jackson serves as Advisor at Electrogenics Labs. He is the Director of Radiation Oncology at Prince of Wales Hospital in Sydney, a Conjoint Associate Professor at the University of New South Wales and an Honorary Principal Fellow, School of Engineering Physics, University of Wollongong. He has worked at the Royal Prince Alfred Hospital as Head of Department, served on the Board of the Faculty of Radiation Oncology of the Royal Australian and New Zealand College of Radiologists and as Chairman of the Radiation Oncology Group of the Clinical Oncological Society of Australia and the Australasian Brachytherapy Group as well as being an active member of the Trans-Tasman Radiation Oncology Group. He is currently the Chair of the Radiation Oncology Chapter of NSW Branch of the Royal Australian and New Zealand College of Radiologists.</t>
  </si>
  <si>
    <t>251333-83P</t>
  </si>
  <si>
    <t>Michael Kaplan</t>
  </si>
  <si>
    <t>SOAP Health (Former)</t>
  </si>
  <si>
    <t>Kaplan</t>
  </si>
  <si>
    <t>www.soap.health</t>
  </si>
  <si>
    <t>Mr. Michael Kaplan served as Chief Financial Officer at SOAP Health. Mr. Kaplan has 25+ years of healthcare finance/accounting experience as Chief Financial Officer, at HealthDrive, a two time INC. 500 start up, where he orchestrated the sale of the company to a private equity firm, and Vice President, Finance Operations for a major metropolitan health system, South Shore Health System. His previous experience includes venture capital with DCC, Plc, a publicly traded international holding company, and accounting roles at two large international public accounting firms. He is a CPA and earned his MBA from the Wharton School at the University of Pennsylvania.</t>
  </si>
  <si>
    <t>124454-26P</t>
  </si>
  <si>
    <t>Michael Kemp</t>
  </si>
  <si>
    <t>Kemp</t>
  </si>
  <si>
    <t>Mr. Michael Kemp served as President at IHC Risk Solutions. Michael A. Kemp is Chief Underwriting Officer and Senior Vice President of Independence Holding Company (NYSE: IHC). Mr. Kemp has over 30 years' experience in the life and health insurance and reinsurance industry. He has assumed actuarial and underwriting roles at consulting firms, insurance companies, and a reinsurance management firms. In 2003, he founded ReAct Consulting International where he provided actuarial and underwriting consulting services to many clients, including IHC since 2005. Mr. Kemp has been a Fellow of the Society of Actuaries since 1985 and is also a Member of the American Academy of Actuaries and a Fellow of the Conference of Consulting Actuaries.</t>
  </si>
  <si>
    <t>45110-26P</t>
  </si>
  <si>
    <t>Michael Keresman III</t>
  </si>
  <si>
    <t>CardinalCommerce (Former)</t>
  </si>
  <si>
    <t>Keresman</t>
  </si>
  <si>
    <t>www.cardinalcommerce.com</t>
  </si>
  <si>
    <t>Co-Founder, Chairman, President &amp; Chief Executive Officer</t>
  </si>
  <si>
    <t>Mr. Michael Keresman Co-Founded and served as Chairman, President &amp; Chief Executive Officer at CardinalCommerce. Mike has consistently used his expertise and knowledge to grow CardinalCommerce from a start-up company to the worldwide leading enabler of payment brands. He has helped create a new industry with a global reach with operations in Europe, Africa, North and South America, and distributions in Asia and Australia. Under his direction, CardinalCommerce has developed strategic partnerships with various payment brands including Visa, MasterCard, Amazon Payments, BillMeLater, Google, and PayPal, as well as merchant service providers/processors such as Chase, CyberSource, Fifth Third, First Data and others. Mike's success with CardinalCommerce has earned him recognition as one of Ernst &amp; Young's Entrepreneurs of the Year in 2004 and 2005. Before founding CardinalCommerce, he was one of the earliest employees and co-founder at STERIS Corporation (NYSE: STE), holding several senior management positions from 1988 to 1999, including Senior Vice President, CFO, and CIO, as well as the primary operations executive. In 1981, he was an early employee and the CFO of HealthAmerica of Ohio. In his role he helped to establish the first statewide HMO network in the country. His leadership and dedication helped to grow HealthAmerica of Ohio more than 500% in less than three years. Between his tenures at STERIS and HealthAmerica, Mike held senior management positions at International HealthCare, Inc. (IHC) and Western Reserve Health Plan as well. Mike graduated from John Carroll University with a BSBA in Finance. He is on the Board of Directors for The Secure Remote Payment Council, is a member of the Cleveland Federal Reserve Advisory Board, and is as a member of the Lake Erie College Board of Directors, where he serves on the Finance and Assets and Institutional Advancement Committees.</t>
  </si>
  <si>
    <t>119199-70P</t>
  </si>
  <si>
    <t>Michael Schwartz</t>
  </si>
  <si>
    <t>Prince William Health System (Former)</t>
  </si>
  <si>
    <t>Schwartz</t>
  </si>
  <si>
    <t>www.pwhs.org</t>
  </si>
  <si>
    <t>Mr. Michael Schwartz served as President &amp; Chief Executive Officer at Prince William Health System.</t>
  </si>
  <si>
    <t>15999-67P</t>
  </si>
  <si>
    <t>Miller Products (Former)</t>
  </si>
  <si>
    <t>+1 (616) 233-9695</t>
  </si>
  <si>
    <t>Michael Stevens serves as President of Miller Products.</t>
  </si>
  <si>
    <t>44541-10P</t>
  </si>
  <si>
    <t>Whiting Petroleum (Former)</t>
  </si>
  <si>
    <t>www.whiting.com</t>
  </si>
  <si>
    <t>Chief Financial Officer &amp; Senior Vice President</t>
  </si>
  <si>
    <t>Mr. Michael Stevens served as Chief Financial Officer &amp; Senior Vice President at Whiting Petroleum. Michael J. Stevens joined us in May 2001 as Controller, became Treasurer in January 2002, was appointed Vice President and Chief Financial Officer in March 2005 and appointed Senior Vice President and Chief Financial Officer in March 2015. From 1993 until May 2001, he served in various positions including Chief Financial Officer, Controller, Secretary and Treasurer at Inland Resources Inc., a company engaged in oil and gas exploration and development. He spent seven years in public accounting with Coopers &amp; Lybrand in Minneapolis, Minnesota. He is a graduate of Mankato State University of Minnesota and is a Certified Public Accountant.</t>
  </si>
  <si>
    <t>57625-39P</t>
  </si>
  <si>
    <t>AFC Europe (Former)</t>
  </si>
  <si>
    <t>www.afceur.com</t>
  </si>
  <si>
    <t>Mr. Michael Stevens served as Chairman at TFC Europe. He served as Chairman at Stratophase. Prior to Stratophase he was Group Managing Director of Linx Printing Technologies plc, where he led the rapid growth of the business into worldwide markets from 1995 until prior to its successful sale in 2004. Before that, he served in senior executive roles at Lucas Diesel Systems, Renold plc and John Brown plc.</t>
  </si>
  <si>
    <t>71366-32P</t>
  </si>
  <si>
    <t>Workera</t>
  </si>
  <si>
    <t>www.workera.ai</t>
  </si>
  <si>
    <t>Chief Sales Officer</t>
  </si>
  <si>
    <t>+1 (650) 567-3636</t>
  </si>
  <si>
    <t>michael@workera.ai</t>
  </si>
  <si>
    <t>Palo Alto, CA</t>
  </si>
  <si>
    <t>195 Page Mill Road</t>
  </si>
  <si>
    <t>Suite 115</t>
  </si>
  <si>
    <t>Palo Alto</t>
  </si>
  <si>
    <t>94306</t>
  </si>
  <si>
    <t>Mr. Michael Stevens serves as Chief Sales Officer at Workera. He served as Vice President, Sales at Affinity. Mr. Stevens served as Chairman at BHR. He serves as Vice President Sales at Affinity.</t>
  </si>
  <si>
    <t>105399-01P</t>
  </si>
  <si>
    <t>SilverWillow Energy (Former)</t>
  </si>
  <si>
    <t>Chief Financial Officer &amp; Vice President</t>
  </si>
  <si>
    <t>Mr. Michael Stevens served as Chief Financial Officer and Vice President at SilverWillow Energy. Michael Stevens is a Chartered Financial Analyst and Certified Management Accountant with 12 years of experience in the oil and gas industry. Since 2004, Mr. Stevens succeeded in roles of increasing responsibility with both of SilverWillow's predecessor companies as Senior Manager of Finance and Investor Relations at SilverBirch Energy Corporation and as Manager, Financial Analysis with UTS Energy Corporation. Prior to joining UTS he was a Treasury Analyst with Enbridge Inc., after holding the position of Commercial Account Manager with HSBC Bank Canada. Mr. Stevens obtained a Bachelor of Commerce degree with distinction from the University of Calgary in 1999, became a Chartered Financial Analyst in 2004 and in 2013 became a Certified Management Accountant.</t>
  </si>
  <si>
    <t>126784-54P</t>
  </si>
  <si>
    <t>Pioneer State Bank (Former)</t>
  </si>
  <si>
    <t>www.pioneerstatebank.com</t>
  </si>
  <si>
    <t>Mr. Michael Stevens served as Chief Executive Officer &amp; Chairman at Pioneer State Bank.</t>
  </si>
  <si>
    <t>131079-43P</t>
  </si>
  <si>
    <t>Joi (Business/Productivity Software) (Former)</t>
  </si>
  <si>
    <t>www.meetjoi.com</t>
  </si>
  <si>
    <t>Mr. Michael Stevens co-founded and served as Chief Executive Officer and Board Member at Joi. He has studied at University of South Carolina.</t>
  </si>
  <si>
    <t>141879-79P</t>
  </si>
  <si>
    <t>Ned's Home (Former)</t>
  </si>
  <si>
    <t>www.nedstevens.com</t>
  </si>
  <si>
    <t>Mr. Michael Stevens is a Co-Founder &amp; served as the President at Ned Stevens Gutter Cleaning.</t>
  </si>
  <si>
    <t>153114-49P</t>
  </si>
  <si>
    <t>ColoradoCrete</t>
  </si>
  <si>
    <t>www.coloradocrete.net</t>
  </si>
  <si>
    <t>+1 (303) 227-0777</t>
  </si>
  <si>
    <t>michael@coloradocrete.net</t>
  </si>
  <si>
    <t>Commerce City, CO</t>
  </si>
  <si>
    <t>4960 North Locust Street</t>
  </si>
  <si>
    <t>Commerce City</t>
  </si>
  <si>
    <t>80022</t>
  </si>
  <si>
    <t>Mr. Michael Stevens serves as Chief Executive Officer at ColoradoCrete. Mr. Stevens served as Senior Associate at Prophet Equity. He is responsible for supporting the team across multiple disciplines, including financial modeling, customer research, business analysis, and implementation activities. He focuses on critical market and industry level research, financial analysis, and other analysis to support the evaluation of portfolio companies. Prior to joining Prophet Equity, Mr. Stevens was an Investment Banking Analyst with Stephens Inc. in Dallas, a middle-market investment bank specializing in mergers and acquisitions, underwritings of public debt and equity securities, and private placements of debt and equity. While at Stephens, Mr. Stevens worked primarily in the industrials, energy and media sectors and participated in transaction types such as mergers and acquisitions, public offerings and corporate divestitures. Mr. Stevens graduated from the University of Arkansas, Sam M. Walton College of Business with a BSBA in Finance and Minor in Accounting.</t>
  </si>
  <si>
    <t>226338-58P</t>
  </si>
  <si>
    <t>UDA Technologies</t>
  </si>
  <si>
    <t>us.constructiononline.com</t>
  </si>
  <si>
    <t>+1 (334) 821-0187</t>
  </si>
  <si>
    <t>mstevens@us.constructiononline.com</t>
  </si>
  <si>
    <t>Auburn, AL</t>
  </si>
  <si>
    <t>2272 Moore's Mill ROAd</t>
  </si>
  <si>
    <t>Auburn</t>
  </si>
  <si>
    <t>Alabama</t>
  </si>
  <si>
    <t>36830</t>
  </si>
  <si>
    <t>Mr. Michael Stevens is the Founder &amp; serves as President at UDA Technologies.</t>
  </si>
  <si>
    <t>230925-07P</t>
  </si>
  <si>
    <t>Zelegent (Former)</t>
  </si>
  <si>
    <t>www.zelegentinc.com</t>
  </si>
  <si>
    <t>+1 (360) 834-7097</t>
  </si>
  <si>
    <t>Mr. Michael Stevens served as Senior Vice President at Strathspey Crown. He serves as Board Member at Zelegent.</t>
  </si>
  <si>
    <t>245776-87P</t>
  </si>
  <si>
    <t>Assembled Products</t>
  </si>
  <si>
    <t>www.api-assembled.com</t>
  </si>
  <si>
    <t>Founder, President, Chief Executive Officer and Engineering Management</t>
  </si>
  <si>
    <t>+1 (256) 247-7338</t>
  </si>
  <si>
    <t>michael@api-assembled.com</t>
  </si>
  <si>
    <t>Rogersville, AL</t>
  </si>
  <si>
    <t>331 Tracey Lane</t>
  </si>
  <si>
    <t>Rogersville</t>
  </si>
  <si>
    <t>35652</t>
  </si>
  <si>
    <t>+1 (256) 247-7340</t>
  </si>
  <si>
    <t>Mr. Michael Stevens is the Founder and serves as President, Chief Executive Officer and Engineering Management at Assembled Products.</t>
  </si>
  <si>
    <t>246967-21P</t>
  </si>
  <si>
    <t>What Next Strategy &amp; Planning</t>
  </si>
  <si>
    <t>www.whatnextstrategy.com</t>
  </si>
  <si>
    <t>Founder, Owner, Editor &amp; Board Member</t>
  </si>
  <si>
    <t>+44 (0)20 7633 2992</t>
  </si>
  <si>
    <t>mike@whatnextstrategy.com</t>
  </si>
  <si>
    <t>Southsea, United Kingdom</t>
  </si>
  <si>
    <t>5 Albert Road</t>
  </si>
  <si>
    <t>Hampshire</t>
  </si>
  <si>
    <t>Southsea</t>
  </si>
  <si>
    <t>PO5 2SE</t>
  </si>
  <si>
    <t>Mr. Michael Stevens is the Founder &amp; Owner &amp; serves as Editor &amp; Board Member at What Next Strategy &amp; Planning. Mike is a leading consultant, advisor, and writer at the intersection of technology, research, and analytics. He has 20 years of experience in insight, software, and consulting firms including Vision Critical, where he led the EMEA region; and Kantar, where he managed regional business units and global accounts. He now helps client teams and agencies to build capability, adopt technology, and implement process change. Mike is also the founder and editor of Insight Platforms, the leading online directory, learning, and events site for modern research and analytics.</t>
  </si>
  <si>
    <t>248347-18P</t>
  </si>
  <si>
    <t>Budget Blinds</t>
  </si>
  <si>
    <t>www.budgetblinds.com</t>
  </si>
  <si>
    <t>+1 (888) 257-1438</t>
  </si>
  <si>
    <t>mstevens@budgetblinds.com</t>
  </si>
  <si>
    <t>Irvine, CA</t>
  </si>
  <si>
    <t>19000 MacArthur Boulevard</t>
  </si>
  <si>
    <t>Irvine</t>
  </si>
  <si>
    <t>92612</t>
  </si>
  <si>
    <t>Mr. Michael Stevens serves as Chief Executive Officer at Budget Blinds.</t>
  </si>
  <si>
    <t>248449-06P</t>
  </si>
  <si>
    <t>Meristematic (Former)</t>
  </si>
  <si>
    <t>www.meristematic.com</t>
  </si>
  <si>
    <t>Mr. Michael Stevens served as Chief Executive Officer at Meristematic.</t>
  </si>
  <si>
    <t>336754-45P</t>
  </si>
  <si>
    <t>Curiosity Box</t>
  </si>
  <si>
    <t>www.curiositybox.com</t>
  </si>
  <si>
    <t>+1 (855) 971-2330</t>
  </si>
  <si>
    <t>mstevens@curiositybox.com</t>
  </si>
  <si>
    <t>Van Nuys, CA</t>
  </si>
  <si>
    <t>16217 Kittridge Street</t>
  </si>
  <si>
    <t>300 Sherman Oaks</t>
  </si>
  <si>
    <t>Van Nuys</t>
  </si>
  <si>
    <t>91406</t>
  </si>
  <si>
    <t>Mr. Michael Stevens is a Co-Founder of Curiosity Box.</t>
  </si>
  <si>
    <t>337956-31P</t>
  </si>
  <si>
    <t>Vsauce</t>
  </si>
  <si>
    <t>www.vsauce.com</t>
  </si>
  <si>
    <t>Founder, Host, Director &amp; Writer</t>
  </si>
  <si>
    <t>michael@vsauce.com</t>
  </si>
  <si>
    <t>Sherman Oaks, CA</t>
  </si>
  <si>
    <t>15060 Ventura Boulevard</t>
  </si>
  <si>
    <t>Sherman Oaks</t>
  </si>
  <si>
    <t>Mr. Michael Stevens is the Founder and serves as Host, Director &amp; Writer at Vsauce. Mr. Stevens is based in London, where he writes, hosts and edits his videos to make sure they feed your hunger for cool, outrageous facts. The channel digs deep into the world of mystery - it's a good question if Michael initially has no idea how to investigate it. In tackling a question like "How Much Does a Shadow Weigh?" Vsauce1 captures your attention with a seemingly absurd question, but ultimately - you end up learning a lot - even if by accident.</t>
  </si>
  <si>
    <t>340656-04P</t>
  </si>
  <si>
    <t>Temporary Traffic Control Plans Express</t>
  </si>
  <si>
    <t>www.ttcpexpress.com</t>
  </si>
  <si>
    <t>Founder &amp; Owner</t>
  </si>
  <si>
    <t>+1 (513) 360-8827</t>
  </si>
  <si>
    <t>mstevens@ttcpexpress.com</t>
  </si>
  <si>
    <t>Cincinnati, OH</t>
  </si>
  <si>
    <t>8190-A Beechmont Avenue</t>
  </si>
  <si>
    <t>Suite 230</t>
  </si>
  <si>
    <t>Cincinnati</t>
  </si>
  <si>
    <t>Ohio</t>
  </si>
  <si>
    <t>45255</t>
  </si>
  <si>
    <t>Mr. Michael Stevens is the Founder and Owner of Temporary Traffic Control Plans Express.</t>
  </si>
  <si>
    <t>358570-99P</t>
  </si>
  <si>
    <t>Capitol Riverfront Business Improvement District</t>
  </si>
  <si>
    <t>capitolriverfront.org</t>
  </si>
  <si>
    <t>+1 (202) 465-7093</t>
  </si>
  <si>
    <t>michael@capitolriverfront.org</t>
  </si>
  <si>
    <t>1100 New Jersey Ave SE</t>
  </si>
  <si>
    <t>20003-3302</t>
  </si>
  <si>
    <t>Mr. Michael Stevens serves as President at Capitol Riverfront Business Improvement District. As president of the BID, Mr. Stevens has worked for the past 17 years to achieve the vision of a vibrant waterfront Capitol Riverfront community, which will contain 37 million square feet of development at build-out. His efforts led to the 2007 establishment of the BID, which is currently in its fourth 5-year operating cycle. He is responsible for overseeing a staff of over 25 full-time professionals, a 21-member board of directors, all external relations, development of work programs, and budget oversight. He helped coordinate the Center City Action Agenda of 2007 &amp; 2010 - a new strategic plan and framework to guide development and public investment in the center city neighborhoods of Washington, DC. From 2000-2006 he served as the President &amp; CEO of the Washington, DC Economic Partnership and built that organization from a start-up to a full partner in the District's economic development initiatives.Prior to coming to Washington, He was the VP of Development for the Memphis Center City Commission, a combination of BID and economic development authority. He oversaw the planning and economic development section that administered financial incentives for downtown development projects such as the Memphis Redbird's new Triple A baseball stadium, hundreds of units of new housing, the South Main Arts District, and a new downtown public elementary school.He has been involved in the economic development, urban planning, and downtown/neighborhood development fields for the majority of his 41-year career. He has worked for public planning agencies, private planning firms, BIDs, and economic development entities. He has participated in numerous downtown redevelopment efforts for cities such as Wichita, KS; Lubbock, TX; Dallas, TX; Nashville, TN; Memphis, TN; Jackson, MS; Washington, DC; and San Antonio, TX. He holds a Master's degree in Urban Planning/Urban Design from Virginia Tech in Blacksburg, VA, and a BA in Urban Sociology from Millsaps College in Jackson, MS. He serves in a volunteer capacity in the District by participating on boards such as Barracks Row Main Street; the Leadership Council for a Cleaner Anacostia; DC Sustainable Transit; DC Building Industry Association; the DC BID Council; and Friends of the National Arboretum. He has participated in numerous Technical Advisory Panels for ULI, IDA, and APA. He is also an adjunct professor at Georgetown University's College of Continuing Studies where he teaches a class on economic development in the Masters in Urban Planning program.</t>
  </si>
  <si>
    <t>364106-62P</t>
  </si>
  <si>
    <t>Inquisitive</t>
  </si>
  <si>
    <t>www.weareinquisitive.com</t>
  </si>
  <si>
    <t>Product Executive</t>
  </si>
  <si>
    <t>+44 (0)80 8281 2775</t>
  </si>
  <si>
    <t>mstevens@weareinquisitive.com</t>
  </si>
  <si>
    <t>Huckletree</t>
  </si>
  <si>
    <t>18 Finsbury Square</t>
  </si>
  <si>
    <t>EC2A 1AH</t>
  </si>
  <si>
    <t>Mr. Michael Stevens serves as Product Executive at Inquisitive. He served as Chief Innovation Officer at Inquisitive. He was a strategist at Google and YouTube for 5 years. He is a leading science communicator in the world with 20 million followers, and influential within the creator community.</t>
  </si>
  <si>
    <t>365545-72P</t>
  </si>
  <si>
    <t>Midwest Reprographics</t>
  </si>
  <si>
    <t>lcrepro.com</t>
  </si>
  <si>
    <t>+1 (239) 566-2214</t>
  </si>
  <si>
    <t>Naples, FL</t>
  </si>
  <si>
    <t>2169 Trade Center Way B</t>
  </si>
  <si>
    <t>Naples</t>
  </si>
  <si>
    <t>34109-2037</t>
  </si>
  <si>
    <t>Mr. Michael Stevens serves as President at Midwest Reprographics.</t>
  </si>
  <si>
    <t>369917-11P</t>
  </si>
  <si>
    <t>Network One Solutions (Former)</t>
  </si>
  <si>
    <t>www.networkonesolutions.com</t>
  </si>
  <si>
    <t>Mr. Michael Stevens was the Founder and served as Chief Executive Officer &amp; President at Network One Solutions.</t>
  </si>
  <si>
    <t>393184-54P</t>
  </si>
  <si>
    <t>Llusern Scientific</t>
  </si>
  <si>
    <t>www.llusern.co.uk</t>
  </si>
  <si>
    <t>Cardiff, United Kingdom</t>
  </si>
  <si>
    <t>Cardiff Edge Business Park</t>
  </si>
  <si>
    <t>Longwood Drive</t>
  </si>
  <si>
    <t>Cardiff</t>
  </si>
  <si>
    <t>CF14 7YU</t>
  </si>
  <si>
    <t>Mr. Michael Stevens serves as Board Member at Llusern Scientific.</t>
  </si>
  <si>
    <t>420392-80P</t>
  </si>
  <si>
    <t>Antech Direct</t>
  </si>
  <si>
    <t>www.yoyotech.co.uk</t>
  </si>
  <si>
    <t>Account Manager and Business Development Executive</t>
  </si>
  <si>
    <t>Basingstoke, United Kingdom</t>
  </si>
  <si>
    <t>Hampshire International Business Lime Tree Way</t>
  </si>
  <si>
    <t>Chineham</t>
  </si>
  <si>
    <t>Basingstoke</t>
  </si>
  <si>
    <t>RG24 8GQ</t>
  </si>
  <si>
    <t>Mr. Michael Stevens serves as Account Manager and Business Development Executive at Antech Direct. He has worked in the esports industry for over five years, previously managing events such as the Insomnia Gaming Festival.</t>
  </si>
  <si>
    <t>422642-89P</t>
  </si>
  <si>
    <t>Of Kos</t>
  </si>
  <si>
    <t>www.ofkos.com</t>
  </si>
  <si>
    <t>West Hollywood, CA</t>
  </si>
  <si>
    <t>8605 Santa Monica Boulevard</t>
  </si>
  <si>
    <t>PMB 36522</t>
  </si>
  <si>
    <t>West Hollywood</t>
  </si>
  <si>
    <t>90069</t>
  </si>
  <si>
    <t>+1 (800) 870-5953</t>
  </si>
  <si>
    <t>Mr. Michael Stevens is the Founder of Of Kos.</t>
  </si>
  <si>
    <t>455645-53P</t>
  </si>
  <si>
    <t>Sticklr</t>
  </si>
  <si>
    <t>www.sticklr.com</t>
  </si>
  <si>
    <t>mstevens@sticklr.com</t>
  </si>
  <si>
    <t>3b Ormiston Terrace</t>
  </si>
  <si>
    <t>EH12 7SJ</t>
  </si>
  <si>
    <t>Mr. Michael Stevens is the Founder of Sticklr. Mr. Stevens has received an education from Victoria University of Wellington.</t>
  </si>
  <si>
    <t>450541-00P</t>
  </si>
  <si>
    <t>Michelle Hancic</t>
  </si>
  <si>
    <t>Hancic</t>
  </si>
  <si>
    <t>m.hancic@arada.com</t>
  </si>
  <si>
    <t>Ms. Michelle Hancic serves as Chief People Officer at Arada Developments. She is responsible for overseeing the development and execution of Arada's people strategies and practices across all the Group's businesses and verticals, both in the UAE and internationally. Ms. Hancic has 25 years of extensive global HR and leadership experience, with previous roles at leading organizations including ANZ, LinkedIn/Glint, and most recently Microsoft, where she led the adoption and change management practice for Copilot partners.
As a psychologist she is passionate about improving the lived experience for employees across the entire talent lifecycle and transforming the performance of organizations as a result. She has also led consulting teams supporting Fortune 500 companies to build effective culture and people transformation processes. she has a special interest in the intersection of evidence-based people practices and technology and has advised government bodies such as the Singapore Personal Data Protection Council (PDPC) and the Australian Human Rights Commission. Ms. Hancic holds a Masters degree in Occupational Psychology from Monash University, Melbourne, specializing in the drivers of employee engagement and retention.</t>
  </si>
  <si>
    <t>227481-58P</t>
  </si>
  <si>
    <t>Miguel Arias</t>
  </si>
  <si>
    <t>Grupo Logiscenter</t>
  </si>
  <si>
    <t>Arias</t>
  </si>
  <si>
    <t>Miguel</t>
  </si>
  <si>
    <t>www.logiscenter.com</t>
  </si>
  <si>
    <t>Co-Chief Executive Officer &amp; President</t>
  </si>
  <si>
    <t>+34 90 090 7710</t>
  </si>
  <si>
    <t>arias@logiscenter.com</t>
  </si>
  <si>
    <t>Avenida Isla Graciosa, 1</t>
  </si>
  <si>
    <t>Planta 1, oficina 4, San Sebastián de los Reyes</t>
  </si>
  <si>
    <t>28703</t>
  </si>
  <si>
    <t>Mr. Miguel Arias serves as Co-Chief Executive Officer and President at Logiscenter. He also serves as an Advisory Team Member at Arada Capital Partners. He served as a partner at Candor Equity.</t>
  </si>
  <si>
    <t>55491-76P</t>
  </si>
  <si>
    <t>Miguel Montero Quevedo</t>
  </si>
  <si>
    <t>Montero Quevedo</t>
  </si>
  <si>
    <t>Mr. Miguel Montero Quevedo served as Board Member at Arada Systems.</t>
  </si>
  <si>
    <t>100337-68P</t>
  </si>
  <si>
    <t>Mike Feerick</t>
  </si>
  <si>
    <t>Alison</t>
  </si>
  <si>
    <t>Feerick</t>
  </si>
  <si>
    <t>Mike</t>
  </si>
  <si>
    <t>www.alison.com</t>
  </si>
  <si>
    <t>Founder, Chief Executive Officer &amp; Board Member</t>
  </si>
  <si>
    <t>mfeerick@alison.com</t>
  </si>
  <si>
    <t>Loughrea, Ireland</t>
  </si>
  <si>
    <t>Mount Carmel</t>
  </si>
  <si>
    <t>Loughrea</t>
  </si>
  <si>
    <t>H62 AV62</t>
  </si>
  <si>
    <t>Mr. Mike Feerick is the Founder and serves as Chief Executive Officer &amp; Board Member at Alison. He was a Founder &amp; served as Chief Executive Officer. He is an internationally recognized and award winning social entrepreneur. Among his Awards are an Ashoka Fellowship 2010, the UNESCO King Hamad Bin Isa Al-Khalifa ICT in Education innovation Diploma Award 2010, an Arthur Guinness Social Fund Award Winner 2012, WISE Award, 2013, (Qatar Foundation). He was a runner up in the World Economic Forum Social Entrepreneur of the Year Awards 2016. First conceiving the idea that education and skills training could be made free online using a advertising / certification model in late 2005, he changed the business model of a paid online learning business focused on IT Desktop training called Advance Learning, into the free online learning platform Alison is today, launching the free learning platform in April 2007. He also quotes the vision of a world of free education within the UN Declaration of Human Rights, Article 26 "Education shall be free" as a personal source of motivation. He is a frequent and popular international speaker on innovation in online education, workplace skills and related entrepreneurship. He is the founder and Chairperson of Ireland Reaching Out, an Irish government-sponsored non-profit Irish Diaspora Initiative with the goal of reunifying 80 million people of Irish descent worldwide. He was also the founding Chairman of the International Advisory Board of the University of Limerick Business School, and is a Director Emeritus of the University of Limerick Foundation. He was previously the Chairperson of the Irish Support &amp; Advice Service in London, UK, where he pioneered outreach programmes to assist marginalized elderly Irish immigrants in the UK. He also served on the Board of Bertelsmann Music Group (BMG/RCA) UK. He holds degrees from the University of Limerick (BBS 89) and an MBA from Harvard University (94).</t>
  </si>
  <si>
    <t>201049-57P</t>
  </si>
  <si>
    <t>Mike Still</t>
  </si>
  <si>
    <t>syd life AI</t>
  </si>
  <si>
    <t>Still</t>
  </si>
  <si>
    <t>www.syd.life</t>
  </si>
  <si>
    <t>207 Regent Street</t>
  </si>
  <si>
    <t>Floor 3</t>
  </si>
  <si>
    <t>W1B 3HH</t>
  </si>
  <si>
    <t>Mr. Mike Still serves as Advisor at IamYiam. Mike has over 30 years of experience in the risk management and insurance industry serving a broad range of clients by size and business sector. Mike cares passionately about making a difference to people, businesses and communities and has been a long time supporter of The Princes Trust and Business in the Community (BITC). He is Chairman of BITC, Scotland and Trustee and Director of the UK BITC which is a business-led charity where members work together to tackle a wide range of issues that are essential to creating a fairer society and a more sustainable future. As part of this Mike is Chairman of the Business Emergency Resilience Group (BERG), a leadership group of BITC, which is an initiative established by HRH The Prince of Wales to help businesses and communities across the UK become more resilient, supporting them to prepare, respond better and recover faster from crisis. Members across business, government bodies and charities, collaborate and take action to help tackle some of the key issues facing society. Through his exceptional work and contribution towards BITC and BERG, Mike was appointed the prestigious role of HRH The Prince of Wales Ambassador for Responsible Business in Scotland from June 2015 to 2017. In addition he has provided leadership and support as chairman of YPO Scotland (2013 to 2016) to support better leaders through learning and ideas exchange and continues to chair the annual business school for members utilising world class resources including LBS and Harvard to develop his and others leadership and business skills.</t>
  </si>
  <si>
    <t>333850-15P</t>
  </si>
  <si>
    <t>Mira Wahyuni</t>
  </si>
  <si>
    <t>Wahyuni</t>
  </si>
  <si>
    <t>Mira</t>
  </si>
  <si>
    <t>Chief Executive Officer, Director of Operations, President Director Board Member</t>
  </si>
  <si>
    <t>Ms. Mira Wahyuni served as Chief Executive Officer, Director of Operations, President Director &amp; Board Member at Pertamedika IHC.</t>
  </si>
  <si>
    <t>114946-12P</t>
  </si>
  <si>
    <t>Mirza Javed Baig</t>
  </si>
  <si>
    <t>Prince William Realty</t>
  </si>
  <si>
    <t>Baig</t>
  </si>
  <si>
    <t>Mirza Javed</t>
  </si>
  <si>
    <t>pwrealty.com</t>
  </si>
  <si>
    <t>Co-Founder &amp; Principal Broker</t>
  </si>
  <si>
    <t>+1 (703) 580-9090</t>
  </si>
  <si>
    <t>jbaig@pwrealty.com</t>
  </si>
  <si>
    <t>3985 Prince William Parkway</t>
  </si>
  <si>
    <t>Suite 206</t>
  </si>
  <si>
    <t>22192</t>
  </si>
  <si>
    <t>+1 (703) 580-9995</t>
  </si>
  <si>
    <t>Mr. Javed Baig is the Co-Founder and serves as Principal Broker at Prince William Realty. Mr. Baig is a self made business leader that is focused on providing his fellow man the most amount of respect, honesty and financial wealth. He is a full time real estate Broker and is very passionate about everything that he does. Javed Baig works constantly to help increase the knowledge and wealth of his clients, fellow Realtors®, and friends. Javed is very active in the local community as well and currently serves as the Director of Prince William Associations of REALTORs, President of Ridgefield Homeowners Associations, President of County Center Homeowners Association, Director at Large in Prince William Committee of 100, Board Member of Advisory Committee of Virginia International University.</t>
  </si>
  <si>
    <t>12166-48P</t>
  </si>
  <si>
    <t>Moe Harrison</t>
  </si>
  <si>
    <t>Harrison</t>
  </si>
  <si>
    <t>Moe</t>
  </si>
  <si>
    <t>Mr. Moe Harrison served as President at SNI Companies. Mr. Harrison served as Regional Vice President, Texas and Minneapolis at SNI Companies. He graduated with a BBA from Baylor University and began his recruiting career with the Dallas office of The Lucas Group where he earned President's Club Honors as a producer in addition to managing the direct hire division. He then worked for Robert Half International in the accounting and finance search division and was a top producer in the Dallas office. Moe joined Q&amp;A as a partner in 1998. He oversees all operations for the six specialty divisions within Q&amp;A and focuses heavily on the execution of the long-term growth strategies of the firm.</t>
  </si>
  <si>
    <t>304211-53P</t>
  </si>
  <si>
    <t>Mohamed Bensalah</t>
  </si>
  <si>
    <t>Holmarcom</t>
  </si>
  <si>
    <t>Bensalah</t>
  </si>
  <si>
    <t>www.holmarcom.ma</t>
  </si>
  <si>
    <t>+212 (0)522310701</t>
  </si>
  <si>
    <t>20, Rue Mustapha El Maani</t>
  </si>
  <si>
    <t>20080</t>
  </si>
  <si>
    <t>+212 (0)522313744</t>
  </si>
  <si>
    <t>Mr. Mohamed Bensalah serves as Chief Executive Officer and Chairman at Holmarcom. Born in 1970, He holds degrees in management and finance from the Sorbonne University and the Ecole des Cadres de Paris. He has been Chairman and CEO of the Moroccan group HOLMARCOM since 1993. He is also a President of the Moroccan Insurance Federation (FMA); Member of the Board of Directors of the General Confederation of Moroccan Enterprises (CGEM), the Professional Group of Moroccan Banks (GPBM) and Casablanca Finance City; Member of the Board of Directors of the Mohammed VI Foundation for Environmental Protection, the Mohammed V Foundation for Solidarity and the Alaouite Foundation for Sustainable Human Development; Member of the Economic, Social and Environmental Council. In 2004, he was awarded the title of Knight of Wissam Al Arche by His Majesty King Mohammed VI, may God assist him.</t>
  </si>
  <si>
    <t>174488-95P</t>
  </si>
  <si>
    <t>Mohamed Dobashi</t>
  </si>
  <si>
    <t>Dobashi</t>
  </si>
  <si>
    <t>Mr. Mohamed Dobashi served as Chairman at Le Tanneur &amp; Cie. He is consultant for Qatar Foundation Endowment after having assisted the President of Qatar Foundation in achieving the overall goals and objectives of the Foundation. Prior to working at the Qatar Foundation, he was the Chief Operations Officer of Amlak Holding (100% Qatar Foundation Subsidiary). Previously, he was Group Chief Operations Officer (COO) for Al-Faisal Holding Company. Dr. Dobashi was an Associate Professor for Carnegie Mellon University campus (of which he took part at the origin) in the Gulf country of Qatar. Dr. Dobashi is an experienced professional with a wealth of experience not only in higher education but also international experience in the oil and gas sector, public sector and finance. Working for big five consulting firms, he has been on a number of startup projects through out the world including Europe, North America, the Middle East and the Arabian Gulf. Dr. Dobashi is bilingual Arabic and English. He earned Doctorate in Law from Northwestern University School of Law, Chicago, IL, an MBA from Thunderbird (American Graduate School of International Management), Glendale, AZ and a double BA in Economics and International business from Pacific Lutheran University, Tacoma, WA. He has the American nationality.</t>
  </si>
  <si>
    <t>438954-04P</t>
  </si>
  <si>
    <t>Mohammad Yasera</t>
  </si>
  <si>
    <t>Canal Sugar</t>
  </si>
  <si>
    <t>Yasera</t>
  </si>
  <si>
    <t>www.canalsugar.com</t>
  </si>
  <si>
    <t>+20 (0)22 5863 000</t>
  </si>
  <si>
    <t>Nasr City, Egypt</t>
  </si>
  <si>
    <t>C1 Building</t>
  </si>
  <si>
    <t>Cairo Festival City, 90th Street</t>
  </si>
  <si>
    <t>Nasr City</t>
  </si>
  <si>
    <t>Mr. Mohammad Yasera serves as Board Member at Canal Sugar. He is a distinguished financial leader with over 18 years of experience in finance, accounting, mergers &amp; acquisitions, investments, and financial management strategies. As a Board Member at Canal Sugar, he plays a vital role in guiding the company's financial strategy and governance. Currently serving as Group Chief Financial Officer at Alpha Dhabi Holding PJSC, Mr. Yaser oversees the company's financial operations, supporting top management in devising strategic financial plans and driving sustainable growth. He is also a Board Member at Sandstorm Motor Vehicle LLC and Mawarid Holding Investment LLC, reflecting his extensive influence across the investment and financial sectors. His career began in finance and accounting, where he honed his expertise in corporate finance and strategic investment planning. Since joining International Holding Company (IHC) in 2011, he has been instrumental in supporting executive leadership, enhancing corporate finance functions, and shaping the financial direction of key organizations in the UAE. A Certified Management Accountant (CMA) and Certified Internal Auditor (CIA), Mr. Yaser combines technical acumen with strategic foresight, driving financial excellence and operational efficiency. His wealth of experience and leadership continue to support Canal Sugar's vision for sustainable growth and financial resilience.</t>
  </si>
  <si>
    <t>324466-12P</t>
  </si>
  <si>
    <t>Mohammed Al-Suwaidi</t>
  </si>
  <si>
    <t>Aspire Zone Foundation</t>
  </si>
  <si>
    <t>Al-Suwaidi</t>
  </si>
  <si>
    <t>www.aspirezone.qa</t>
  </si>
  <si>
    <t>+974 44138188</t>
  </si>
  <si>
    <t>mohammed.al-suwaidi@aspirezone.qa</t>
  </si>
  <si>
    <t>Aspire Zone Road</t>
  </si>
  <si>
    <t>Postoffice Box 23833</t>
  </si>
  <si>
    <t>Mr. Mohammed Al-Suwaidi serves as Chief Executive Officer at Aspire Zone Foundation. Mr. Al-Suwaidi leads the implementation of Aspire Zone Foundation's (AZF) overall strategic direction under the supervision of the President's Office, ensuring that AZF's business strategy and objectives are reflected in the AZF's business processes and that they are delivered in a professional and proactive manner. He was working as Executive Director - Operations at Qatar Foundation since July 2013. Prior to this, he was Procurement Director for three years. He has15 years of experience in various aspects of Procurement and Supply Chain Management at Qatar Foundation and RasGas. He holds a bachelor's degree in Business Administration and has attended several technical, management, and leadership training. The latest addition to his knowledge portfolio is Senior Management Leadership Program conducted by Qatar Foundation in association with Oxford University. He is a result-oriented inspirational leader capable of building and developing effective teams and leading people to achieve their fullest potential. During his tenure at Qatar Foundation, he has implemented innovative solutions to streamline the processes, re-structure the organization and develop systems to achieve operational efficiency and enhance customer service. He holds a bachelor's degree in Business Administration.</t>
  </si>
  <si>
    <t>321919-39P</t>
  </si>
  <si>
    <t>Mohammed Shaibani</t>
  </si>
  <si>
    <t>Nakheel</t>
  </si>
  <si>
    <t>Shaibani</t>
  </si>
  <si>
    <t>www.nakheel.com</t>
  </si>
  <si>
    <t>PO Box 17777</t>
  </si>
  <si>
    <t>+971 (0)4 390 3314</t>
  </si>
  <si>
    <t>Mr. Mohammed Ibrahim Al-Shaibani serves as Board Member at Nakheel. He is the Director General of H.H. The Dubai Ruler's Court and Managing Director of the Investment Corporation of Dubai, the principal investment arm of the government of Dubai. He is also the Vice Chairman of the Supreme Fiscal Committee of Dubai which oversees the Emirate's fiscal policies and is a member of Dubai's Executive Council, an entity charged with supervising and supporting Dubai's government bodies. In addition, he serves as the Deputy Chairman of the Higher Committee of World Expo 2020 and Chairman of the Supreme Committee for the Supervision of International Humanitarian City (IHC), founded in 2003 in Dubai by H.H. the Ruler of Dubai as global center for humanitarian emergency preparedness and response. His Excellency also serves as Chairman of the Board of Directors of Kerzner International, the world-leading property developer of landmark projects in Dubai, including the award-winning iconic Palm Jumeirah, as well as Chairman of the Board of Directors at Dubai Islamic Bank and Meydan City Corporation. He is also a member of the board of several government-related organizations including Dubai World and Dubai Aerospace Enterprise Limited.</t>
  </si>
  <si>
    <t>394889-14P</t>
  </si>
  <si>
    <t>Mohd Loay</t>
  </si>
  <si>
    <t>Loay</t>
  </si>
  <si>
    <t>Mohd</t>
  </si>
  <si>
    <t>mohd.loay@royalgroupuae.com</t>
  </si>
  <si>
    <t>Mr. Mohd Loay serves as Chief Investment Officer at Royal Group.</t>
  </si>
  <si>
    <t>127708-12P</t>
  </si>
  <si>
    <t>Morgan Porter</t>
  </si>
  <si>
    <t>Molecular Designs</t>
  </si>
  <si>
    <t>Porter</t>
  </si>
  <si>
    <t>Morgan</t>
  </si>
  <si>
    <t>www.moleculardesigns.com</t>
  </si>
  <si>
    <t>+1 (800) 314-0182</t>
  </si>
  <si>
    <t>mporter@moleculardesigns.com</t>
  </si>
  <si>
    <t>Birmingham, AL</t>
  </si>
  <si>
    <t>Two Perimeter Park South</t>
  </si>
  <si>
    <t>Suite 200W</t>
  </si>
  <si>
    <t>35243</t>
  </si>
  <si>
    <t>Mr. Morgan Porter serves as Chief Operating Officer at Molecular Designs. Mr. Porter served as Chief Operating Officer at Biocare Medical (IHC instrumentation). He served as Chief Compliance Officer at Mentis Neuro Rehabilition.</t>
  </si>
  <si>
    <t>226720-81P</t>
  </si>
  <si>
    <t>Nancy Wildfeir-Field</t>
  </si>
  <si>
    <t>GBC Health (Former)</t>
  </si>
  <si>
    <t>Wildfeir-Field</t>
  </si>
  <si>
    <t>Nancy</t>
  </si>
  <si>
    <t>www.gbchealth.org</t>
  </si>
  <si>
    <t>Ms. Nancy Wildfeir-Field served as Chief Executive Officer and President at GBC Health. Having worked across the public, private and nonprofit sectors, she passionately believes in collaboration, cooperation and communication as the impetus for innovative, scaled and sustainable solutions for business and development challenges. Nancy brings extensive international experience in both global health and the private sector. Most recently, she served as Director, Global Partnerships for BSR (Business for Social Responsibility) where she oversaw the highly regarded HERproject. Prior to BSR, she brokered and managed a portfolio of partnerships for USAID in the Caribbean, Eastern Europe and Eurasia, while developing organizational capacity to create public-private partnership, achieving shared value for the private sector, the US government and national governments. She spearheaded the development of the Jamaican Business Council on HIV/Aids to fight stigma and discrimination in the workplace, collaborating closely with the Ministry of Health, the National AIDS program and committee, NGOs, business organizations and local and international business; this successful model was later expanded to other Eastern Caribbean islands. Earlier, Nancy served as Managing Director for The Prince of Wales International Business Leaders Forum (IBLF), where she was architect, for the 'Engage' campaign, launched across four continents with the support of leading businesses and NGOs to share best practices and encourage alignment and consistency between CSR, employee engagement and country-based initiatives. Nancy has also held joint management responsibility for the health issues group at Burson-Marsteller, served as communications director for one of the UK's largest medical associations, and as an independent consultant, managed a project implementation strategy for the UK Ministry of Health. She has lived in the U.K, Jamaica, Ukraine and Hungary, and has worked in more than 30 countries across multiple regions and industries, on a portfolio of issues. Nancy is a graduate of Boston University.</t>
  </si>
  <si>
    <t>164484-64P</t>
  </si>
  <si>
    <t>Nasser Al-Naimi</t>
  </si>
  <si>
    <t>Qatalum</t>
  </si>
  <si>
    <t>www.qatalum.com</t>
  </si>
  <si>
    <t>Chief Administrative Officer</t>
  </si>
  <si>
    <t>+974 44031111</t>
  </si>
  <si>
    <t>nasser.alnaimi@qatalum.com</t>
  </si>
  <si>
    <t>Mesaieed, Qatar</t>
  </si>
  <si>
    <t>P.O. Box 23086</t>
  </si>
  <si>
    <t>Mesaieed</t>
  </si>
  <si>
    <t>+974 44030800</t>
  </si>
  <si>
    <t>Mr. Nasser Al-Naimi serves as Chief Administrative Officer at Qatalum. Mr. Al-Naimi received his Bachelor Degree in Business Administration from Qatar University and holds notable professional certificates in Human Resources. He started his career at Hamad Medical Corporation, followed by Qatar Gas in the HR Department. Nasser moved to Msheireb Properties, the real estate investment arm of Qatar Foundation in 2011, where he held the position of Senior Manager of HR and Corporate Services. In 2015 he joined Qatalum as HR Manager.</t>
  </si>
  <si>
    <t>113391-55P</t>
  </si>
  <si>
    <t>Nasser Saleh</t>
  </si>
  <si>
    <t>MadfoatCom</t>
  </si>
  <si>
    <t>Saleh</t>
  </si>
  <si>
    <t>www.madfoat.com</t>
  </si>
  <si>
    <t>Founder &amp; Executive Chairman</t>
  </si>
  <si>
    <t>+962 (0)65548483</t>
  </si>
  <si>
    <t>nhsaleh@madfooat.com</t>
  </si>
  <si>
    <t>P.O. Box: 5570</t>
  </si>
  <si>
    <t>11953</t>
  </si>
  <si>
    <t>+962 (0)65528057</t>
  </si>
  <si>
    <t>Mr. Nasser Saleh is the Founder and serves as Chairman at MadfoatCom. Before launching MadfooatCom, he was the CIO of Jordan's second fiscal reform program. Previously, he worked at Al Rajhi, one of Saudi Arabia's largest banks, where he managed programs for retail, commercial, and corporate banking divisions, as well as e-trading and payments programs. Previously, he worked as a senior advisor at Accenture in Saudi Arabia and was a senior engineer at Microsoft in the USA. He's led numerous strategic initiatives to develop and modernize electronic payment processes that promote safe, reliable, and efficient e-commerce in the region. In 2017, Jordan's King Abdullah II ibn Al Hussein awarded him with the distinguished Medal of Excellence for establishing the country's acclaimed electronic billing and payment gateway with the support of the Central Bank of Jordan. He holds a B.Sc. in Electrical Engineering from the University of Jordan.</t>
  </si>
  <si>
    <t>58201-03P</t>
  </si>
  <si>
    <t>Nicholas George</t>
  </si>
  <si>
    <t>KGR Capital Management (Former)</t>
  </si>
  <si>
    <t>George</t>
  </si>
  <si>
    <t>Mr. Nicholas George co-founded KGR Capital Management. Mr. George served as Director at Nutmeg. He served as Board Member ar euNetworks. He has spent over 30 years in the financial services industry. He has held senior positions in several roles at BZW, JPMorgan, and HSBC in the UK and Asia. In 2002 Nick established KGR Capital, a funds management business based in Hong Kong that he sold to the LGT Group in 2008. He remains an advisor to LGT and sits on the boards of Millennium and Copthorne and Aberdeen New Dawn Investment Trust in the UK and GK Goh. Nick is a Fellow of the Institute of Chartered Accountants. He served as a Board Member at EuNetworks in Singapore.</t>
  </si>
  <si>
    <t>220049-92P</t>
  </si>
  <si>
    <t>Nick Calisi</t>
  </si>
  <si>
    <t>Calisi</t>
  </si>
  <si>
    <t>Nick</t>
  </si>
  <si>
    <t>Manager, Business Development</t>
  </si>
  <si>
    <t>Mr. Nick Calisi served as Manager, Business Development at SNI Companies.</t>
  </si>
  <si>
    <t>144296-47P</t>
  </si>
  <si>
    <t>Nick Waterdrinker</t>
  </si>
  <si>
    <t>IHC Marine and Mineral Projects (Former)</t>
  </si>
  <si>
    <t>Waterdrinker</t>
  </si>
  <si>
    <t>www.ihcmmp.com</t>
  </si>
  <si>
    <t>Mr. Nick Waterdrinker served as Managing Director at IHC Marine and Mineral Projects.</t>
  </si>
  <si>
    <t>121021-30P</t>
  </si>
  <si>
    <t>Nicola Feuerstein Ph.D</t>
  </si>
  <si>
    <t>LGT Treuhand (Former)</t>
  </si>
  <si>
    <t>Feuerstein</t>
  </si>
  <si>
    <t>Nicola</t>
  </si>
  <si>
    <t>Dr. Nicola Feuerstein served as Chief Executive Officer at LGT Treuhand. He is a Partner at Swiss ALP Asset Management. He is a Partner at Feuerstein Schelling &amp; Partner. He was a Head of Trust Services at LGT Group.</t>
  </si>
  <si>
    <t>417913-93P</t>
  </si>
  <si>
    <t>Nicole Naum ESQ</t>
  </si>
  <si>
    <t>Battlefield Law Group</t>
  </si>
  <si>
    <t>Naum</t>
  </si>
  <si>
    <t>Nicole</t>
  </si>
  <si>
    <t>www.battlefieldlawgroup.com</t>
  </si>
  <si>
    <t>Co-Founder, Owner &amp; Partner</t>
  </si>
  <si>
    <t>+1 (571) 364-0500</t>
  </si>
  <si>
    <t>nicole@battlefieldlawgroup.com</t>
  </si>
  <si>
    <t>Manassas, VA</t>
  </si>
  <si>
    <t>9214 Center Street</t>
  </si>
  <si>
    <t>Manassas</t>
  </si>
  <si>
    <t>20110</t>
  </si>
  <si>
    <t>Ms. Nicole Naum is a Co-Founder &amp; the Owner and serves as Partner at Battlefield Law Group. Ms. Naum is a trial attorney who has dedicated her career to protecting the rights and interests of her clients in the area of criminal and traffic defense. She attended the University of Michigan, Ann Arbor where she received a Bachelor's of Science in Mathematical Sciences. Upon completing this degree in 2004, she worked as a paralegal for one year at Carmel &amp; Carmel, PC, a small real estate law firm in Washington, DC which focused on out-of-state land sales. In December 2008, Ms. Naum graduated in the top 25% of her class from the University of Detroit Mercy School of Law. While attending school, Nicole excelled in course work relating to criminal law and choose electives in this area: Advanced Sentencing, Death Penalty Law, Criminal Procedure, Criminal Law, Juveniles in the Law, and Evidence.
Her career as an attorney began at two small law firms: one in Fairfax, VA and at Mansoor Law Firm in Loudoun, VA where she represented clients in all Northern Virginia jurisdictions in criminal and traffic cases. In May 2012, she joined the firm of Price Benowitz, LLP where she was able to focus her practice on matters in Prince William County and Culpeper County. During these years of practice, she successfully litigated hundreds of criminal matters including, misdemeanors and felonies, and traffic cases with favorable results.</t>
  </si>
  <si>
    <t>342597-34P</t>
  </si>
  <si>
    <t>Nitin Saksena</t>
  </si>
  <si>
    <t>Aegros (Former)</t>
  </si>
  <si>
    <t>Saksena</t>
  </si>
  <si>
    <t>Nitin</t>
  </si>
  <si>
    <t>www.aegros.com.au</t>
  </si>
  <si>
    <t>Chief Scientific and Technical Officer</t>
  </si>
  <si>
    <t>Mr. Nitin Saksena served as Chief Scientific and Technical Officer at Aegros. He trained at the Pasteur Institute, Paris, France; and Regional Oncology Centre, SUNY (Syracuse, NY, USA), with some of the top eminent virologists, and is an internationally recognized virologist and genomics scientist with over 25 years of academic/clinical, research and teaching experience in the infectious diseases, oncology, neurodegenerative diseases, genomics, and plasma proteomics. With several patents and a licensed drug formulation, he led the development and patenting of a small RNA biomarker for neurodegenerative diseases and an immuno-therapy for HIV, in addition to conducting several clinical trials in virology with top-tier pharmaceutical companies. He is widely published, and serves on the editorial board of several scientific journals of repute. As a Chief Scientific Officer, he managed scientific, clinical, and business strategy portfolios for three biotech companies and served as the Director of the OMICS Centre of Excellence at G42 Healthcare, Abu Dhabi (UAE), heading the largest sequencing project worldwide on one million human genomes from the Emiratis. He is an Adjunct Professor at Victoria University, Melbourne and also a Senior Research Fellow at La Trobe University, Melbourne. He is a Scientific Advisor and consultant to the renowned and largest Genomics Institute in the world- the Beijing Institute of Genomics (BGI), China.</t>
  </si>
  <si>
    <t>391918-60P</t>
  </si>
  <si>
    <t>Nj Pesci</t>
  </si>
  <si>
    <t>Savage Companies</t>
  </si>
  <si>
    <t>Pesci</t>
  </si>
  <si>
    <t>Nj</t>
  </si>
  <si>
    <t>www.savageco.com</t>
  </si>
  <si>
    <t>Executive Vice President &amp; Chief People &amp; Strategy Officer</t>
  </si>
  <si>
    <t>+1 (801) 944-6600</t>
  </si>
  <si>
    <t>njpesci@savageco.com</t>
  </si>
  <si>
    <t>Midvale, UT</t>
  </si>
  <si>
    <t>901 West Legacy Center Way</t>
  </si>
  <si>
    <t>Midvale</t>
  </si>
  <si>
    <t>84047</t>
  </si>
  <si>
    <t>Mr. Nj Pesci serves as Executive Vice President &amp; Chief People &amp; Strategy Officer at Savage Services. He joined Savage in 2024 as our Executive Vice President, Chief People &amp; Strategy Officer. Prior to joining Savage, He served as President and Founder of the Ovid Groupe. Through this consulting firm, he's offered strategic guidance designed to enable organizations and executives to transform their businesses since 2017. He also served as Chief Strategy Officer for KLAS Research from 2021 through 2023. In this role, He was responsible for the development of the firm's business strategy as well as the growth of each of its business units. Additionally, he was the managing director of KLAS' new consulting business. Before founding the Ovid Groupe and driving the strategy at KLAS Research, he was the Executive Vice President, Chief Human Resources Officer for Scripps Networks Interactive (SNI) - one of the leading developers of lifestyle content for television and the Internet. At Scripps, he oversaw SNI's global human resources operations and aligned the company's long-term strategic growth priorities with its design and objectives. He also introduced the company's process for developing and delivering its business strategies, worked with the Board, and focused on executive compensation. Prior to joining Scripps, he spent 19 years in a number of line and human resources roles at The Procter &amp; Gamble Company, including leading the human resources team that supports P&amp;G's largest organizational unit, Global Supply Chain and Labor Relations. He also completed a three-year assignment in Frankfurt, Germany where he played a prominent role in integrating the Wella Professional acquisition. Before venturing into a career in human resources, He worked as an analyst for the United States Department of Defense in Washington, D.C. he earned a master's degree in organizational behavior from Brigham Young University and serves as a member of the HR/OB advisory board.</t>
  </si>
  <si>
    <t>114947-11P</t>
  </si>
  <si>
    <t>Nouman Mirza</t>
  </si>
  <si>
    <t>Mirza</t>
  </si>
  <si>
    <t>Nouman</t>
  </si>
  <si>
    <t>Managing Broker</t>
  </si>
  <si>
    <t>+1 (703) 577-4320</t>
  </si>
  <si>
    <t>nmirza@pwrealty.com</t>
  </si>
  <si>
    <t>Mr. Nouman Mirza serves as Managing Broker at Prince William Realty. He currently serves on the board for the Realtors Association of Prince William (PWAR) and has chaired the Young Professionals Network (YPN) at PWAR. As a chair for YPN, he helped organize many community fundraising events such as 5K, silent auctions, casino night, and happy hours and taught social media and other technology classes. In his current role as managing broker for Prince William Realty, he mentors his team to be the best real estate agents in the industry while helping his own clients achieve their real estate goals.</t>
  </si>
  <si>
    <t>127489-42P</t>
  </si>
  <si>
    <t>Oleg Mykhayloych Blozovskiy</t>
  </si>
  <si>
    <t>KSG Bank (Former)</t>
  </si>
  <si>
    <t>Mykhayloych Blozovskiy</t>
  </si>
  <si>
    <t>Oleg</t>
  </si>
  <si>
    <t>www.ksgbank.com.ua</t>
  </si>
  <si>
    <t>Chief Executive Officer &amp; Chairman of the Board</t>
  </si>
  <si>
    <t>Mr. Oleg Mykhayloych Blozovskiy served as Chief Executive Officer &amp; Chairman of the Board at KSG Bank. Oleg Blozovskyi was born on April 8, 1962. In 1983, he got his higher economic education, graduating from the Ternopil Finance and Economics Institute. He began his professional career at the leading industrial enterprises of the Lviv region. From 1985 till 1986 he worked as an engineer of planning and economic department of "Miskbudtrest" PE, and in 1986-1993 he worked as a deputy head of supply department in Zolochivsk Radio Factory. In 1993-1994, Oleg Blozovskyi worked in the public sphere, dealing with privatization of communal property. During this period he was a deputy chairman of the Foundation Communal property of Zolochiv District State Administration. Since 1994, he has been in management positions at leading financial institutions of Ukraine. 1994-2001 - Director of the carrying branch of "PrivatBank" PJSC. In 2001-2004 - Head of the branch network of "Ukrsotsbank" JSCB, one of the top-five Ukrainian banks. In 2004-2005 Oleg Blozovskyi was a manager of the "financial supermarket" project of "Interpipe" holding company. In 2005 - 2008 - Deputy Director of the National Directorate of "Oranta" NJSIC. Oleg Blozovskyi continued his career as a director of a regional network of "BTA Bank" JSC in 2008-2009, and being the head of executive director of "IMG International Holding Company" and adviser of the chairman of the insurance company "IC "Oranta-Life" JSC in 2009-2010. Since 2010, Oleg Blozovskyi has been working in the banking sphere. From 2010 to February 2014 - Advisor of Chairman of the Board, head of sales channels of banking products of "Unex Bank" PJSC. Since March 2014, he is a Chairman of KSG BANK, and is a shareholder of the Bank.</t>
  </si>
  <si>
    <t>444386-89P</t>
  </si>
  <si>
    <t>Oliver Brind</t>
  </si>
  <si>
    <t>Aperio Intelligence</t>
  </si>
  <si>
    <t>Brind</t>
  </si>
  <si>
    <t>www.aperio-intelligence.com</t>
  </si>
  <si>
    <t>+44 (0)20 3146 8900</t>
  </si>
  <si>
    <t>oliver.brind@aperio-intelligence.com</t>
  </si>
  <si>
    <t>16 Kirby Street</t>
  </si>
  <si>
    <t>EC1N 8TS</t>
  </si>
  <si>
    <t>Mr. Oliver Brind serves as Head of Business Development at Aperio Intelligence. Mr. Brind joined Aperio in 2018 as Head of Business Development. Oliver was previously at GPW, where he was responsible for business development and case management. Oliver began his career at Cazenove, where he first worked in the institutional sales and research department, before being appointed Managing Director of Cazenove Australia. On his return to London, he was responsible for Cazenove's relationships with the private equity industry. Oliver worked for The Prince of Wales as Director of Development for The Prince's Charities Foundation (2004 - 2010), with particular responsibility for its international programme. In 2010, Oliver joined Credit Suisse's private bank in the UK, where he was responsible for managing private clients' assets and leading a team of relationship managers, and then moved to Walker Crips, an independent investment manager in 2012. Oliver has an MA in History from the University of Cambridge. He has a working knowledge of French and Italian. He knows Africa well, having lived in Uganda, Mauritius, Somalia and Malawi.</t>
  </si>
  <si>
    <t>418506-76P</t>
  </si>
  <si>
    <t>Olivier Perregaux</t>
  </si>
  <si>
    <t>Liqid (Financial Services)</t>
  </si>
  <si>
    <t>Perregaux</t>
  </si>
  <si>
    <t>www.liqid.de</t>
  </si>
  <si>
    <t>+49 (0)30 3080 6655</t>
  </si>
  <si>
    <t>Kurfürstendamm 177</t>
  </si>
  <si>
    <t>10707</t>
  </si>
  <si>
    <t>Mr. Olivier Perregaux serves as Advisor at Liqid. He is CEO of LGT Private Banking and has been part of the LGT Group since 1999. He was previously CFO and a member of the Senior Management Board of the LGT Group. The Swiss national also spent several years at Zurich Financial Services and McKinsey &amp; Company. De Perregaux graduated with a degree in business administration from the University of St. Gallen with a degree in economics.</t>
  </si>
  <si>
    <t>347318-83P</t>
  </si>
  <si>
    <t>Oluwasegun Olatona</t>
  </si>
  <si>
    <t>Keystone Bank</t>
  </si>
  <si>
    <t>Olatona</t>
  </si>
  <si>
    <t>Oluwasegun</t>
  </si>
  <si>
    <t>www.keystonebankng.com</t>
  </si>
  <si>
    <t>+234 (0)7002 000 3000</t>
  </si>
  <si>
    <t>olatonaoluwasegun@keystonebankng.com</t>
  </si>
  <si>
    <t>Number 1, Keystone Bank Crescent</t>
  </si>
  <si>
    <t>Off Adeyemo Alakija Street, Victoria Island</t>
  </si>
  <si>
    <t>Mr. Oluwasegun Olatona serves as Chief Compliance Officer at Keystone Bank. Oluwasegun started his commercial banking career with Commercial Bank (Credit Lyonnais Nigeria) where his excellent performance got him referred to Fortune International Bank plc. At Fortune Bank he was the pioneer Head of Foreign Operations, he set up the department and got Central Bankof Nigeria Examiners commendation at their first Forex examination of the bank. Thereafter, he left for first Bank of Nigeria where he had a stint before joining Diamond Bank Plc. At Diamond Bank Plc, he spent over a decade and rose to Head several strategic business divisions; International Operations, Branch Operations and Internal Control. He is a member of Nigeria Institute of Management and Chartered Institute of Bankers Nigeria. He has attended training programmes locally and international amongst which are Financing International Trade and Advanced Documentary Credit by Michael Stevens &amp; Associate in association with BPP Bank Training &amp; Financial Consulting UK, Senior Management Program (SMP 40) Lagos Business School, Correspondent Banking Training in Deutsche Bank London &amp; Germany, Centralised Cash Collateral Process know-how Citibank London, Trade Finance Training at BHF Germany and HSBC, SWIFT customer Credit Transfer Course Belgium, Executive Programmes: Driving Strategic Impact University of Colombia and High Impact Leadership Berkley Haas, California.</t>
  </si>
  <si>
    <t>460379-26P</t>
  </si>
  <si>
    <t>Ondřej Svoboda</t>
  </si>
  <si>
    <t>InterGen (UK)</t>
  </si>
  <si>
    <t>Svoboda</t>
  </si>
  <si>
    <t>Ondřej</t>
  </si>
  <si>
    <t>www.intergen.com</t>
  </si>
  <si>
    <t>+44 (0)13 1624 7500</t>
  </si>
  <si>
    <t>osvoboda@intergen.com</t>
  </si>
  <si>
    <t>81 George Street</t>
  </si>
  <si>
    <t>EH2 3ES</t>
  </si>
  <si>
    <t>Mr. Ondřej Svoboda serves as Chief Financial Officer at InterGen (UK). He has over 15 years of experience as a Chief Financial Officer and in strategic and executive management roles in an international environment, with a proven record in maximizing financial performance, managing all financial aspects of business operations, driving business growth, and overseeing risk management with a focus on increasing profitability. Prior to joining InterGen, he held senior finance, acquisitions, and business project development roles at the Sev.en holding group, the second-largest producer of electricity in the Czech Republic, within the power and heat generation industry. He has also held senior finance and investment management positions at an international holding company specializing in financial services, development, and consultancy</t>
  </si>
  <si>
    <t>195296-50P</t>
  </si>
  <si>
    <t>Pam Reynolds</t>
  </si>
  <si>
    <t>TASC</t>
  </si>
  <si>
    <t>Reynolds</t>
  </si>
  <si>
    <t>Pam</t>
  </si>
  <si>
    <t>www.tasconline.com</t>
  </si>
  <si>
    <t>+1 (608) 241-1900</t>
  </si>
  <si>
    <t>pam.reynolds@tasconline.com</t>
  </si>
  <si>
    <t>Madison, WI</t>
  </si>
  <si>
    <t>2302 International Lane</t>
  </si>
  <si>
    <t>Madison</t>
  </si>
  <si>
    <t>53704</t>
  </si>
  <si>
    <t>Ms. Pam Reynolds serves as Chief Executive Officer at TASC. He served as Chief Service Offering Officer at TASC. She came to TASC with several years of experience in business and financial management. Her work in the aerospace and manufacturing industries focused on strategic planning, performance measurement, process management, and financial analysis. Since joining TASC, Pam has worked on new product development and market analysis and has been responsible for the development of many new products and services, including DirectPay Health Reimbursement Arrangement (HRA), COBRAToday, TASC Health Savings Account (HSA), and the TASC Card. She has also been instrumental in the development and management of TASC's Strategy System of Management and assists the organization and leadership in charting and executing the plan to realize TASC's future. In 2014, Pam was recognized for outstanding leadership and innovative healthcare benefit solutions by the Institute of Healthcare Consumerism (IHC).</t>
  </si>
  <si>
    <t>171864-37P</t>
  </si>
  <si>
    <t>Pamela Butcher</t>
  </si>
  <si>
    <t>Pilot Chemical Company</t>
  </si>
  <si>
    <t>Butcher</t>
  </si>
  <si>
    <t>Pamela</t>
  </si>
  <si>
    <t>www.pilotchemical.com</t>
  </si>
  <si>
    <t>+1 (513) 326-0600</t>
  </si>
  <si>
    <t>West Chester, OH</t>
  </si>
  <si>
    <t>9075 Centre Pointe Drive</t>
  </si>
  <si>
    <t>Suite 400</t>
  </si>
  <si>
    <t>West Chester</t>
  </si>
  <si>
    <t>45069</t>
  </si>
  <si>
    <t>+1 (513) 326-0601</t>
  </si>
  <si>
    <t>Ms. Pamela Butcher serves as Board Member at Pilot Chemical Company. Ms. Butcher joined Pilot Chemical Company's Board of Directors in 2016 and served as Pilot Chemical's CEO until December 2020. Pam joined Pilot Chemical after a successful 29-year career with The Dow Chemical Company, where she held a variety of leadership positions including Business Vice President of Specialty Chemicals, Vice President of Corporate Marketing &amp; Sales and Vice President and General Manager of Adhesives and Sealants. She was also a distinguished recipient of Dow's Genesis Award for people excellence, which is Dow's highest recognition for people leadership. An active leader in the chemical industry, Pam was president of the Board of Trustees for the Chemical Educational Foundation and served on the Boards of the American Cleaning Institute, the Ohio Manufacturing Association and the Regional Advisory Board of U.S. Bank. Pam holds a Bachelor's Degree in Agronomy and a Master's of Science Degree from Purdue University. She also is a graduate of the Northwestern University Marketing Executive program and has participated in the Prince of Wales Sustainability Conference and the Asian Master Class on Asian Business. She is a member of the National Association of Corporate Directors and has completed the Director Professional Master Class. She also serves as an independent Director on the Boards of Gruden Topco Holdings and of Trecora Resources.</t>
  </si>
  <si>
    <t>65222-65P</t>
  </si>
  <si>
    <t>Pascal Bamford Ph.D</t>
  </si>
  <si>
    <t>Akoya Biosciences</t>
  </si>
  <si>
    <t>Bamford</t>
  </si>
  <si>
    <t>Pascal</t>
  </si>
  <si>
    <t>www.akoyabio.com</t>
  </si>
  <si>
    <t>+1 (855) 896-8401</t>
  </si>
  <si>
    <t>pbamford@akoyabio.com</t>
  </si>
  <si>
    <t>Marlborough, MA</t>
  </si>
  <si>
    <t>100 Campus Drive</t>
  </si>
  <si>
    <t>6th Floor</t>
  </si>
  <si>
    <t>Marlborough</t>
  </si>
  <si>
    <t>01752</t>
  </si>
  <si>
    <t>+1 (855) 404-0061</t>
  </si>
  <si>
    <t>Dr. Pascal Bamford serves as Chief Clinical Officer &amp; Senior Vice President, R&amp;D and Laboratory Operations at Akoya Biosciences. He served as Chief Scientific Officer and Head of Laboratory Operations at Epic Sciences. Dr. Bamford obtained his Ph.D. from the University of Queensland, Australia, and researched how cancer-associated changes in DNA structure, detectable in digital images, could be used to automate the process of distinguishing cervical cancer from normal cells. His early career was spent developing automated cytology imaging systems at CSSIP in Australia in collaboration with Accumed International of Chicago. He subsequently took on the role of director of Imaging at MonoGen, where he developed an all-digital, microscopy-based, cervical cancer screening product, which was recognized as the first "killer app" for the field of digital pathology. For the past five years at Ventana-Roche, Dr. Bamford has held various roles of increasing responsibility in research, digital pathology and assay development, working on fluorescence multiplexing imaging systems and driving several bright field IHC algorithm CE-IVD and 510(k) clearances. Most recently Dr. Bamford led the detection reagent development of Ventana's next generation staining platform. He is the author of six patents and more than 18 scientific publications. He earned Ecole Nationale Supérieure des Télécommunications, France.</t>
  </si>
  <si>
    <t>324227-98P</t>
  </si>
  <si>
    <t>Paul Cuttill</t>
  </si>
  <si>
    <t>Drenl</t>
  </si>
  <si>
    <t>Cuttill</t>
  </si>
  <si>
    <t>www.drenl.co.uk</t>
  </si>
  <si>
    <t>Littlehampton, United Kingdom</t>
  </si>
  <si>
    <t>Church Farm House Rectory Lane Angmering</t>
  </si>
  <si>
    <t>Littlehampton</t>
  </si>
  <si>
    <t>BN16 4JU</t>
  </si>
  <si>
    <t>Mr. Paul Cuttill serves as Deputy Chairman at Drenl. Paul has worked in the UK energy Sector for over 30 years. During his career, he held a range of senior appointments with EDF Energy plc, including Chief Operating Officer, Power Networks. This business unit employed around 5500 people, had a regulatory asset value of c. £3.0bn, and distributed electricity to 7.8m customers across London, East Anglian and the South East. Paul is a Board member of Strategy International Limited trading as The D Group, one of the UK's leading business networking organizations, and holds a number of other appointments both business and societal, including being a Board Member (Governor) of Legacy Trust UK Limited - a company entrusted to oversee and manage £40m endowment of National Lottery and Government funds to promote participation and enthusiasm for the Olympic and Paralympic Games. In June 2004, Paul was appointed by HRH The Prince of Wales as an Ambassador for Corporate Responsibility in the London Region.</t>
  </si>
  <si>
    <t>319139-92P</t>
  </si>
  <si>
    <t>Paul Kahn</t>
  </si>
  <si>
    <t>SmartIR</t>
  </si>
  <si>
    <t>Kahn</t>
  </si>
  <si>
    <t>www.smartir.co.uk</t>
  </si>
  <si>
    <t>Co-Founder &amp; Non-Executive Director</t>
  </si>
  <si>
    <t>paul.kahn@smartir.co.uk</t>
  </si>
  <si>
    <t>Marsland Chambers, 1a Marsland Road</t>
  </si>
  <si>
    <t>Sale Moor, Cheshire</t>
  </si>
  <si>
    <t>M33 3HP</t>
  </si>
  <si>
    <t>Mr. Paul Kahn is a Co-Founder &amp; serves as Non-Executive Director at SmartIR bringing decades of global leadership experience across the aerospace, defence, space, and advanced technology sectors. A leading industrialist, He has held executive roles at some of the world's most prominent engineering and defence companies, guiding multi-billion-dollar organizations through transformation, growth, and innovation. He most recently served as President of Government Solutions International at KBR, Inc., where he led a $1.3 billion global business across the UK, Australia, the Middle East, and Asia, delivering critical services in defence, infrastructure, energy, and consulting. Prior to this, he was President of Communications &amp; Connectivity at Cobham plc, a FTSE 250 aerospace and defence company, where he delivered a successful operational turnaround before its acquisition by Advent International. From 2014 to 2017, He was President and CEO of Airbus Group UK, overseeing Airbus's UK operations across satellites, civil aircraft, helicopters, cyber solutions, and defence systems. Under his leadership, Airbus UK became the largest employer in the UK space sector and secured major government contracts, including the introduction of the A400M military aircraft. Earlier in his career, He held numerous senior positions at Thales SA, including CEO of Thales Canada and Global VP of Navigation and Airport Solutions, with roles spanning France, Italy, the UK, and Canada. He also served in leadership roles within the UK Ministry of Defence, building his expertise in procurement, systems architecture, and secure communications. He is a Chartered Engineer and holds an MBA from London Business School. He is a Fellow of the Royal Aeronautical Society, the Institution of Mechanical Engineers, and the Institution of Engineering and Technology. In addition to his industrial roles, he has served as a UK Government Business Ambassador for Advanced Manufacturing and Aerospace, an HRH Prince of Wales Ambassador for Industrial Cadets, and a former President of ADS, the UK trade association for Aerospace, Defence, Security, and Space.</t>
  </si>
  <si>
    <t>145663-21P</t>
  </si>
  <si>
    <t>Paul Manheim</t>
  </si>
  <si>
    <t>Shanghai Red Star Optical (Former)</t>
  </si>
  <si>
    <t>Manheim</t>
  </si>
  <si>
    <t>www.redstar-china.com</t>
  </si>
  <si>
    <t>Mr. Paul Manheim served as the Chairman at Shanghai Red Star Optical. He currently serves as a member of FutureFuel board since July 15, 2011. Mr. Manheim also serves as chairman of FutureFuel audit committee and as a member of FutureFuel nominating/corporate governance committee. Mr. Manheim is currently the CEO of HAL Real Estate Inc., which develops and owns a portfolio of real estate in the Pacific Northwest consisting of multi-family, office, and mixed-use assets. HAL Real Estate Inc. is a subsidiary of HAL Holding N.V. Mr. Manheim joined Holland America Line, N.V., the predecessor of HAL Holding N.V., an international holding company traded on the Amsterdam Stock Exchange, in 1982 and filled various positions in the financial and corporate development areas. From 2005 to 2015, Mr. Manheim was the chairman of the board of Shanghai Red Star Optical Company, which owns a portfolio of optical retail outlets in China and is affiliated with Europe's largest optical retailer. Mr. Manheim has served as a director and chairman of the audit committee of WPT GP, LLC, the general partner of World Point Terminals, LP since 2013. Mr. Manheim received a bachelor of commerce degree with honors from the University of New South Wales, Australia, and qualified as a Chartered Accountant in 1976.</t>
  </si>
  <si>
    <t>59167-45P</t>
  </si>
  <si>
    <t>Paul Morrill Ph.D</t>
  </si>
  <si>
    <t>CellRx</t>
  </si>
  <si>
    <t>Morrill</t>
  </si>
  <si>
    <t>www.cellrxbio.com</t>
  </si>
  <si>
    <t>Founder, Chief Executive Officer and Board Member</t>
  </si>
  <si>
    <t>+44 (0)12 2336 4412</t>
  </si>
  <si>
    <t>Stow-cum-Quy, United Kingdom</t>
  </si>
  <si>
    <t>7 Quy Court, Colliers Lane</t>
  </si>
  <si>
    <t>Stow-cum-Quy</t>
  </si>
  <si>
    <t>CB25 9AU</t>
  </si>
  <si>
    <t>Dr. Paul Morrill is the Founder and serves as Chief Executive Officer and Board Member at CellRx. He served as Chief Business Officer at bit.bio. He served as President, Reagent Products at Horizon Discovery. He has over 30 years of experience in the biotechnology and pharmaceutical sectors having held senior positions at Microgenics, Boeringher Mannheim, Acumen Biosciences, and, most recently, Horizon Discovery plc. In addition, over a 3-year period working in conjunction with Novo Nordisk, he worked on the downstream process of Factor VII. He has a strong and proven track record in business, commercial, and product innovation/ development and, as a business entrepreneur, has helped to found numerous biotechnology and technology companies over the past 14 years, including a commercial founder of Horizon Discovery Group plc. Over the past 9 years, as President of Products at Horizon Discovery Group, plc, he was instrumental in forming a bioprocessing group that focused on creating gene-edited CHO cell lines that could impact the growing need within the industry for improved producer cell lines. In addition, he led the efforts of standardization within the Molecular Diagnostics (including NGS, FISH, and IHC) industries by creating a range of highly characterized cell-based reference standards that allow for platform/assay/operator comparison and standardization. He originated and built the products group at Horizon Discovery, which encompassed Diagnostics, Bioproduction, and Engineered cell lines. He holds a Ph.D. in Biotechnology from the University of Cambridge, and is the author and contributor of several peer-reviewed papers and patents in the fields of diagnostics, down-stream processing, and imaging arrays.</t>
  </si>
  <si>
    <t>231044-86P</t>
  </si>
  <si>
    <t>Paul Van Der Harten</t>
  </si>
  <si>
    <t>Van Der Harten</t>
  </si>
  <si>
    <t>p.harten@royalihc.com</t>
  </si>
  <si>
    <t>Mr. Paul Van Der Harten serves as Chief Financial Officer &amp; Board Member at Royal IHC. He has extensive international experience with energy-related companies. He previously worked as CFO of AEG Power Solutions, and held various financial positions at OMV and Royal Dutch Shell.</t>
  </si>
  <si>
    <t>52098-85P</t>
  </si>
  <si>
    <t>Paul Verheul</t>
  </si>
  <si>
    <t>Van Oord</t>
  </si>
  <si>
    <t>Verheul</t>
  </si>
  <si>
    <t>www.vanoord.com</t>
  </si>
  <si>
    <t>Member of Supervisory Board</t>
  </si>
  <si>
    <t>+31 (0)88 826 0000</t>
  </si>
  <si>
    <t>paul.verheul@vanoord.com</t>
  </si>
  <si>
    <t>Rotterdam, Netherlands</t>
  </si>
  <si>
    <t>Schaardijk 211</t>
  </si>
  <si>
    <t>Rotterdam</t>
  </si>
  <si>
    <t>3063 NH</t>
  </si>
  <si>
    <t>+31 (0)88 826 5010</t>
  </si>
  <si>
    <t>Mr. Paul Verheul serves as a Member of the Supervisory Board at Van Oord. He previously served as Chief Operating Officer at Van Oord. Previously, he served as the chief executive officer at Driessen Aerospace Group. He served as Executive Director of MerweOord (Van Oord family's holding company) and Supervisory memberships: AutoBinck Group, Acta Marine (voorzitter), MARIN, Advisory Board DOB Ecology, Foundation Board Royal IHC.</t>
  </si>
  <si>
    <t>244078-75P</t>
  </si>
  <si>
    <t>Peng Xiao</t>
  </si>
  <si>
    <t>Play Weekends</t>
  </si>
  <si>
    <t>Xiao</t>
  </si>
  <si>
    <t>Peng</t>
  </si>
  <si>
    <t>www.wanzhoumo.com</t>
  </si>
  <si>
    <t>+86 (0)21 8039 4981</t>
  </si>
  <si>
    <t>peng.x@wanzhoumo.com</t>
  </si>
  <si>
    <t>Shanghai, China</t>
  </si>
  <si>
    <t>Room 515, Area A, Building 1</t>
  </si>
  <si>
    <t>No. 2601, Songhuajiang Road, Hongkou District</t>
  </si>
  <si>
    <t>Shanghai</t>
  </si>
  <si>
    <t>Mr. Peng Xiao is the Founder and serves as Chief Executive Officer at Play Weekends.</t>
  </si>
  <si>
    <t>250441-03P</t>
  </si>
  <si>
    <t>peng.xiao@g42.ai</t>
  </si>
  <si>
    <t>Mr. Peng Xiao serves as Group Chief Executive Officer at G42. Mr. Xiao is a Board Member at MGX. He is the Chairman of the Board Executive Committee, Chairman of the Nomination and Remuneration Committee, and Member of the Audit and Risk Committee. He also serves as a Board Member at Yahsat and AIQ. He is the Chief Executive Officer of Group 42 Ltd. (G42), where his responsibilities include shaping G42's business and product strategies and overseeing G42's operating companies across numerous industry verticals, including smart city, healthcare, energy, finance, and education. Prior to this, he served as Senior Executive Vice President, Chief Technology Officer, and Chief Information Officer of MicroStrategy, where he was responsible for the management of over 1,000 engineers and led the R&amp;D function of MicroStrategy's entire product portfolio, including Business Intelligence, Secure Identity, and Mobile Commerce. He also serves as a member of the Board of Trustees of the Mohamed bin Zayed University of Artificial Intelligence. Mr. Xiao earned his Master's Degree in International Affairs from George Washington University and his Bachelor's Degree in Computer Science and International Business from Hawaii Pacific University.</t>
  </si>
  <si>
    <t>330981-13P</t>
  </si>
  <si>
    <t>CSUN New Material</t>
  </si>
  <si>
    <t>www.china-csun.com</t>
  </si>
  <si>
    <t>+86 (0)731 2216 8589</t>
  </si>
  <si>
    <t>xiaopeng@china-csun.com</t>
  </si>
  <si>
    <t>Zhuzhou, China</t>
  </si>
  <si>
    <t>China Power Valley, Xianyue Ring Road</t>
  </si>
  <si>
    <t>Tianyuan District</t>
  </si>
  <si>
    <t>Zhuzhou</t>
  </si>
  <si>
    <t>Hunan</t>
  </si>
  <si>
    <t>412000</t>
  </si>
  <si>
    <t>Mr. Peng Xiao is the Founder &amp; serves as Chairman at CSUN New Material.</t>
  </si>
  <si>
    <t>395440-48P</t>
  </si>
  <si>
    <t>Nako</t>
  </si>
  <si>
    <t>www.nakoshop.com</t>
  </si>
  <si>
    <t>8167082021</t>
  </si>
  <si>
    <t>xp@nakoshop.com</t>
  </si>
  <si>
    <t>Lewes, DE</t>
  </si>
  <si>
    <t>16192 Coastal Highway</t>
  </si>
  <si>
    <t>Lewes</t>
  </si>
  <si>
    <t>Delaware</t>
  </si>
  <si>
    <t>19958</t>
  </si>
  <si>
    <t>Mr. Peng Xiao is the Founder and serves as Chief Executive Officer at nako.</t>
  </si>
  <si>
    <t>469928-17P</t>
  </si>
  <si>
    <t>G Forty Two General Trading</t>
  </si>
  <si>
    <t>www.g42-us.com</t>
  </si>
  <si>
    <t>National Exhibitions Company G42</t>
  </si>
  <si>
    <t>Capital Gate,12, Al Arabi Street</t>
  </si>
  <si>
    <t>Mr. Peng Xiao serves as Chief Executive Officer at G Forty Two General Trading.</t>
  </si>
  <si>
    <t>159783-85P</t>
  </si>
  <si>
    <t>Pete Langlois</t>
  </si>
  <si>
    <t>Langlois</t>
  </si>
  <si>
    <t>Pete</t>
  </si>
  <si>
    <t>Mr. Pete Langlois served as Chief Operating Officer at SNI Companies. Pete brings many years of experience in all aspects of staffing and consulting to his role. His mission is to keep the company ahead of trends, enhance brand recognition, and establish best practices and deliver consistent revenue growth for the company. Pete has a long history of hiring, training, and retaining top talent while simultaneously delivering positive business results. Many current staffing industry leaders recognize Pete as a mentor as he has wide range of experience in technology, accounting/finance, administrative/clerical, and legal staffing. Through the years, Pete has placed many qualified candidates in temporary and consulting engagements, temp-to-perm, contract-to-hire, and direct placement. Pete comes to SNI Companies with a proven record of building successful consulting practices from the ground up. During his eight year tenure with a large international staffing and recruiting firm, Pete took an underperforming IT consulting business in Florida to a perennial, world-wide Top 10 producing division. Pete earned the distinguished President's Club award for his performance and was also recognized as the number one, top performing Branch Manager and received the Chairman's Club award. Pete was a multi-million dollar producer and held the titles of Division Director, Branch Manager of Professional Staffing Services, Branch Manager of Consulting Services, Vice President and Regional Manager, and Vice President of Major Accounts while at a large international staffing and recruiting firm. Pete went on to launch a very successful technology practice for Solomon Page Technology Partners that achieved profitability within months of inception. Pete has also developed Electronic Performance Support Systems (EPSS); managed large Training &amp; Development departments; and facilitated the Dale Carnegie courses in Human Relations and Sales.</t>
  </si>
  <si>
    <t>118198-90P</t>
  </si>
  <si>
    <t>Phil Harrington</t>
  </si>
  <si>
    <t>Kuder (Former)</t>
  </si>
  <si>
    <t>Phil</t>
  </si>
  <si>
    <t>www.kuder.com</t>
  </si>
  <si>
    <t>Founder, Chairman, President &amp; Chief Executive Officer</t>
  </si>
  <si>
    <t>+1 (800) 314-8972</t>
  </si>
  <si>
    <t>phil.harrington@kuder.com</t>
  </si>
  <si>
    <t>Mr. Phil Harrington is the Founder and serves as Chairman, President and Chief Executive Officer at Kuder. Mr. Harrington established Career Assessment Centers in 1997 to provide integrated assessment, career guidance, and education planning tools to all students and adults. Assembling a faculty of leading experts in career development theory, he directed extensive research among 100,000 key stakeholders throughout the United States to develop the first research-based, comprehensive career development system of its kind, the Kuder Career Planning System® (KCPS). Under his leadership, the company - renamed Kuder, Inc. in 2007 - has become one of the most respected and innovative in the industry, serving as a leading voice and resource for issues surrounding education and career planning. A sought-after speaker at industry events, he has conducted lectures, workshops, and seminars for the Qatar Foundation, the American Counseling Association, the National Association of State Directors of Career Technical Education Consortium, the National Career Development Association, and the U.S. Department of Labor's Employment and Training Administration, among many others.</t>
  </si>
  <si>
    <t>348059-71P</t>
  </si>
  <si>
    <t>Phil Pattison</t>
  </si>
  <si>
    <t>Manus Neurodynamica</t>
  </si>
  <si>
    <t>Pattison</t>
  </si>
  <si>
    <t>www.manusneuro.com</t>
  </si>
  <si>
    <t>+44 (0)13 1563 5465</t>
  </si>
  <si>
    <t>ppattison@manusneuro.com</t>
  </si>
  <si>
    <t>12 Alva Street</t>
  </si>
  <si>
    <t>EH2 4QG</t>
  </si>
  <si>
    <t>Mr. Phil Pattison serves as Chief Financial Officer at Manus Neurodynamica. He is a finance and commercial professional, who has held positions as director or senior manager for numerous blue-chip companies including; General Electric, Rolls-Royce, Marks and Spencer, Newcastle Science City and Royal IHC. In 2005 he and other fellow directors set up a specialist skincare company and floated on AIM. He is a Fellow of the Institute of Management Accountants, a Chartered Banker and holds an MBA from Newcastle University. Whilst at GE he was Compliance Leader and a Black Belt in Six Sigma, business process improvement. His projects generated an additional $1m in profit and $3m in cash in six months.</t>
  </si>
  <si>
    <t>446312-53P</t>
  </si>
  <si>
    <t>Philip Harting</t>
  </si>
  <si>
    <t>HARTING(Connectivity Products)</t>
  </si>
  <si>
    <t>Harting</t>
  </si>
  <si>
    <t>Philip</t>
  </si>
  <si>
    <t>www.harting.com.cn</t>
  </si>
  <si>
    <t>Chief Executive Officer and Board Member</t>
  </si>
  <si>
    <t>+86 (0)21 6386 2200</t>
  </si>
  <si>
    <t>philip.harting@harting.com.cn</t>
  </si>
  <si>
    <t>Room 3501, Grand Gateway 1</t>
  </si>
  <si>
    <t>Number 1 Hong Qiao Road, Xu Hui District</t>
  </si>
  <si>
    <t>200030</t>
  </si>
  <si>
    <t>+86 (0)63 8686 3621</t>
  </si>
  <si>
    <t>Mr. Philip Harting serves as Chief Executive Officer and Board Member at HARTING. Mr. Harting completed an apprenticeship as an industrial electronics technician, specializing in equipment technology in 1998. He studied industrial engineering, specializing in Electrical Engineering, in Braunschweig, and Economics and Business Administration in Cologne. He graduated in Business Administration (M.Sc) in 2005. He was Managing Director Asia, HARTING (HK) Ltd., Hong Kong from 2005 to 2008. He was a Board Member of Connectivity and Networks, HARTING Technology Group from 2008 to 2015. He has been Chairman of the Board, HARTING Technology Group, since 2015. He has achieved Manager of the Year (Markt&amp;Technik) for 2015. 2017 and 2019. Since 2014, he has been a Member of the Board at the Association of the Electrical and Digital Industry e. V. (ZVEI) and, since 2023, also a Member of its Board of Directors. He became a member of Presidium of the Association for Electronics, Electrical Engineering and Information Technologies (VDE) in 2023. At Deutsche Messe AG (HANNOVER MESSE), he has served as a Member of the Trade Fair Advisory Board for Industrial Automation since 2008 and became a Member of the Hannover Messe Exhibitor Advisory Board in 2020. He has been the Chairman of the Advisory Board for the Munich Trade Fair Centre (electronica) since 2021. He has also been associated with the Association of the German Trade Fair Industry (AUMA), serving as a board member since 2008 and becoming Chairman of the Board in 2019. He is a member of the Rotary Club Lübbecke-Westfalen since 2009 and has held the position of Secretary since 2015. He has been a partner of the Handball Bundesliga team GWD Minden since 2015 and a Member of the Presidium of the IHC Industrie- und Handelsclub Ostwestfalen-Lippe e.V. since 2019.</t>
  </si>
  <si>
    <t>62726-95P</t>
  </si>
  <si>
    <t>Praveen Singh</t>
  </si>
  <si>
    <t>Arada Systems (Wireless Product Operations) (Former)</t>
  </si>
  <si>
    <t>Praveen</t>
  </si>
  <si>
    <t>Mr. Praveen Singh served as Executive at Arada Systems (Wireless Product Operations).</t>
  </si>
  <si>
    <t>418509-37P</t>
  </si>
  <si>
    <t>Prince Maximilian</t>
  </si>
  <si>
    <t>Prince</t>
  </si>
  <si>
    <t>Mr. Prince Maximilian serves as Advisor at Liqid. He is the Chairman of the Board of Directors of the LGT Foundation. He is the founder of Lightrock, a venture capital fund with assets under management of over three billion euros. His career was founded in the private equity industry. He was CEO of the LGT Group until the end of 2020. Prince Max of Liechtenstein has an MBA from Harvard Business School and previously studied business administration at the European Business School.</t>
  </si>
  <si>
    <t>188867-71P</t>
  </si>
  <si>
    <t>Quentin Reeves</t>
  </si>
  <si>
    <t>Specialist Radiology</t>
  </si>
  <si>
    <t>Reeves</t>
  </si>
  <si>
    <t>Quentin</t>
  </si>
  <si>
    <t>www.srgmri.co.nz</t>
  </si>
  <si>
    <t>Co-Founder, Managing Partner &amp; Principal Consultant</t>
  </si>
  <si>
    <t>quentin.reeves@srgmri.co.nz</t>
  </si>
  <si>
    <t>Auckland, New Zealand</t>
  </si>
  <si>
    <t>Building C, Ascot Office Park</t>
  </si>
  <si>
    <t>95 Ascot Avenue, Greenlane</t>
  </si>
  <si>
    <t>Auckland</t>
  </si>
  <si>
    <t>1051</t>
  </si>
  <si>
    <t>Dr. Quentin Reeves is a Co-Founder &amp; serves as Managing Partner and Principal Consultant at Specialist Radiology. He is a Musculoskeletal Radiologist at both SRG and Auckland City Hospital. After completing the Radiology programme at Auckland, Quentin received his subspecialty training in MRI and musculoskeletal radiology at UCLA. He subsequently worked in Sydney in private practice and at Prince of Wales Hospital. He has a particular interest in MRI, musculoskeletal ultrasound and spinal procedures. Well respected within the medical community, Quentin has worked in Sydney, Los Angeles and Auckland, with career highlights including working as a Radiologist at the 2000 Sydney Olympic Games.</t>
  </si>
  <si>
    <t>465076-72P</t>
  </si>
  <si>
    <t>Rachid Essehli Ph.D</t>
  </si>
  <si>
    <t>American Advanced Membrane Technology (Former)</t>
  </si>
  <si>
    <t>Essehli</t>
  </si>
  <si>
    <t>Rachid</t>
  </si>
  <si>
    <t>www.aamtech.wpenginepowered.com</t>
  </si>
  <si>
    <t>Founder, Owner and Chief Executive Officer</t>
  </si>
  <si>
    <t>Mr. Rachid Essehli founded, owned, and served as Chief Executive Officer at American Advanced Membrane Technology. He left his position as a Senior Scientist at the Qatar Foundation in March 2019 to join Oak Ridge National Laboratory, where he continued his work on developing next-generation cobalt-free cathodes for lithium-ion batteries. He completed a Ph.D. (Doctor of Philosophy).</t>
  </si>
  <si>
    <t>291905-38P</t>
  </si>
  <si>
    <t>Raffaele Breschi</t>
  </si>
  <si>
    <t>Arsenale Group</t>
  </si>
  <si>
    <t>Breschi</t>
  </si>
  <si>
    <t>Raffaele</t>
  </si>
  <si>
    <t>www.arsenalegroup.com</t>
  </si>
  <si>
    <t>+39 06 5140 003</t>
  </si>
  <si>
    <t>Via Giovanni Amendola 46</t>
  </si>
  <si>
    <t>00185</t>
  </si>
  <si>
    <t>Mr. Raffaele Breschi serves as Chief Operating Officer at Arsenale Group. He served as Group Chief Growth Officer at G42. He serves as COO of Arsenale Group, multi-brand company operating in the luxury hospitality through its two main divisions: hotels &amp; resorts, and luxury train crusing. Arsenale represents a unique reality on the Italian market, offering the first Italian model of luxury hospitality by rail. In his role, Raffaele focuses on international expansion, corporate strategy, and business development, as well as building a modern organization. Before Arsenale, he was the Group Chief Growth Officer at G42, an AI conglomerate based in Abu Dhabi with a focus on smart city solutions. In this capacity, Raffaele managed the portfolio of companies, investments, and internationalization efforts. Earlier in his career, Raffaele was a partner at McKinsey &amp; Company between Milan and Dubai, where he led the Real Estate practice. His responsibilities involved providing advice to real estate developers, hospitality groups, shopping mall operators, and sovereign wealth funds on various aspects of their businesses, including organization, operations, strategy, and marketing. Raffaele was also a board member at Khazna, the largest data center operator in the Middle East, and a visiting professor at IE Business School, where he taught courses on Management Consulting and Critical Thinking skills. Raffaele holds an MBA from IE Business School, a master's degree in business from Bocconi University, and a professional certification in Data Science applied to Real Estate and Smart Cities from MIT.</t>
  </si>
  <si>
    <t>160055-02P</t>
  </si>
  <si>
    <t>Raishma Islam</t>
  </si>
  <si>
    <t>Raishma</t>
  </si>
  <si>
    <t>Islam</t>
  </si>
  <si>
    <t>www.raishma.co.uk</t>
  </si>
  <si>
    <t>Founder, Owner, Chief Executive Officer, Designer &amp; Creative Director</t>
  </si>
  <si>
    <t>+44 (0)20 8552 6751</t>
  </si>
  <si>
    <t>73 York Street</t>
  </si>
  <si>
    <t>Marylebone</t>
  </si>
  <si>
    <t>W1H 1QE</t>
  </si>
  <si>
    <t>Ms. Raishma Islam is the Founder, Owner &amp; serves as Chief Executive Officer, Designer &amp; Creative Director at Raishma. She is a true pioneer in the British-Asian fashion industry and specializes in bridal and evening wear with her contemporary cuts and innovative styling. She has worked alongside some of the biggest names in the fashion industry, from Elizabeth Emmanuel to Bruce Oldfield with an unrivaled reputation for her unique signature designs and trend leadership. She has created a buzz in the industry, dressing celebrities such as Mel B, Ffion Hague, HRH Princess Eugenie, and Beatrice. Most recently Raishma designed a dress for a young homeless teenager called Shozna, who was invited to the royal wedding by Prince William and Kate Middleton in April 2011. Raishma received worldwide press coverage, including BBC World, Japanese Nippon TV, and nationally in Hello magazine, OK magazine, and the Daily Mail amongst others.</t>
  </si>
  <si>
    <t>358312-24P</t>
  </si>
  <si>
    <t>Raj Pannu Ph.D</t>
  </si>
  <si>
    <t>Emergence Creative</t>
  </si>
  <si>
    <t>Pannu</t>
  </si>
  <si>
    <t>Raj</t>
  </si>
  <si>
    <t>www.emergence-creative.com</t>
  </si>
  <si>
    <t>raj@emergence-creative.com</t>
  </si>
  <si>
    <t>1725 York Avenue</t>
  </si>
  <si>
    <t>Suite 18B</t>
  </si>
  <si>
    <t>10128</t>
  </si>
  <si>
    <t>Dr. Raj Pannu is a Co-Founder and serves as Chief Executive Officer at Emergence Creative. Mr. Pannu is an expert at adapting private sector approaches to behavior change for application in the public sphere. He serves as a Strategic Partner and Advisor at Global Futures Group. has implemented large-scale communication strategies with a range of clients including the Coca-Cola Company, Sesame Workshop, and PEPFAR. As Director of Global Health at McCann Health, he facilitated collaborations with multinational companies, and NGOs including the Bill and Melinda Gates Foundation, USAID, and UNICEF. A former member of the UN Essential Medicines Working Group, he has been an invited speaker to Harvard University, Columbia University, and the Qatar Foundation. He holds an MS in Immunology and a PhD in Biochemistry from the University of Alberta.</t>
  </si>
  <si>
    <t>199473-58P</t>
  </si>
  <si>
    <t>Rajiv Wahi</t>
  </si>
  <si>
    <t>Chai Point</t>
  </si>
  <si>
    <t>Wahi</t>
  </si>
  <si>
    <t>Rajiv</t>
  </si>
  <si>
    <t>www.chaipoint.com</t>
  </si>
  <si>
    <t>+91 (0)88 8014 1000</t>
  </si>
  <si>
    <t>Bangalore, India</t>
  </si>
  <si>
    <t>H1903, 4th Floor, Hustle Hub, 19th Main Rd, Agara Village</t>
  </si>
  <si>
    <t>1st Sector, HSR Layout</t>
  </si>
  <si>
    <t>Bangalore</t>
  </si>
  <si>
    <t>Karnataka</t>
  </si>
  <si>
    <t>560102</t>
  </si>
  <si>
    <t>Mr. Rajiv Wahi serves as Board Member at Chai Point. Wahi served as Operating Partner at Gaja Capital. He serves as Board Member at Chai Point and Veeba. He also serves as Advisor at DSG Consumer Partners. He served as the President of Asia Pacific Operations and Vice Chairman of Mondelez India Foods Limited (Formerly known as Cadbury India Limited). Rajiv has more than 30 years of experience in the food industry. He serves as the Chairman Prince of Wales Bhumi Vardaan Foundation, a charitable foundation launched by the Prince of Wales to promote organic farming in India. Rajiv holds a B.A. Economic Studies from Newcastle University.</t>
  </si>
  <si>
    <t>164167-39P</t>
  </si>
  <si>
    <t>Rakib Ahmed</t>
  </si>
  <si>
    <t>Loadshare Networks</t>
  </si>
  <si>
    <t>Rakib</t>
  </si>
  <si>
    <t>www.loadshare.net</t>
  </si>
  <si>
    <t>Co-Founder &amp; Operations Executive</t>
  </si>
  <si>
    <t>+91 (0)80 6951 0510</t>
  </si>
  <si>
    <t>rakib@loadshare.net</t>
  </si>
  <si>
    <t>Bengaluru, India</t>
  </si>
  <si>
    <t>Attic Space, 3rd Floor, Lotus</t>
  </si>
  <si>
    <t>80 Feet Road, Koramangala 4th Block</t>
  </si>
  <si>
    <t>Bengaluru</t>
  </si>
  <si>
    <t>560034</t>
  </si>
  <si>
    <t>Mr. Rakib Ahmed is a Co-Founder and serves as Operations Executive at Loadshare. He is an economics graduate, previously founded Lunate Technologies, a startup that offers hardware for last-mile solutions to the logistics industry.</t>
  </si>
  <si>
    <t>192578-77P</t>
  </si>
  <si>
    <t>Ramachandran Venkataramanan</t>
  </si>
  <si>
    <t>Karkinos (Former)</t>
  </si>
  <si>
    <t>Ramachandran</t>
  </si>
  <si>
    <t>www.karkinos.in</t>
  </si>
  <si>
    <t>Co-Founder, Chief Executive Officer and Board Member</t>
  </si>
  <si>
    <t>Mr. Ramachandran Venkataramanan co-founded and served as Chief Executive Officer and Board Member at Karkinos. He is currently engaged as an Advisor to the Chairman, of Reliance Industries Limited, India's largest private-sector company. Before his association with Reliance, He spent more than a decade and a half with the Tata Group in various capacities. His last assignment in the Tata Group was as Managing Trustee of the Tata Trusts wherein he was responsible for the operations, oversight, and coordination between the various Tata Trusts. From early 2007 to the end of 2012, he was Executive Assistant to Mr Ratan N. Tata, the former Chairman of the Tata Group. Before his stint with Mr Tata's office, he was associated as Head of Business Support at the Qatar Foundation, a not-for-profit entity engaged in Education, Science and Community development based in Doha, wherein he played a key role in establishing partnerships with several leading US universities. He was also the CEO of the UC-RNT Fund. He is a Science graduate and has done his MBA from the Sri Satya Sai University, Puttaparthi. He is also a Law Graduate from Mumbai University and has completed his Advanced Management Program (AMP) at the Harvard Business School. He is currently pursuing his EngD from the University of Warrick, the UK in the role of Technology in Health Care Systems.</t>
  </si>
  <si>
    <t>447035-32P</t>
  </si>
  <si>
    <t>Rana Mattar</t>
  </si>
  <si>
    <t>Mattar</t>
  </si>
  <si>
    <t>Rana</t>
  </si>
  <si>
    <t>Chief Legal Officer</t>
  </si>
  <si>
    <t>r.mattar@arada.com</t>
  </si>
  <si>
    <t>Ms. Rana Mattar serves as Chief Legal Officer at Arada Developments. She is a seasoned legal professional with over 25 years of experience in both private practice and senior in-house legal roles. Her career spans prominent organizations such as Emaar Properties PJSC and Majid Al Futtaim Properties, where she played a key role in advising on complex corporate, commercial, and real estate transactions across multiple regions. With expertise in corporate governance, regulatory compliance, mergers and acquisitions, and contract management, She brings a wealth of knowledge and leadership to our legal and government relations department. She holds two Master of Laws (LL.M.) degrees-one in U.S. Law from Washington University in St. Louis, and another in Business, Banking, and Finance Law from Université Saint-Joseph in Lebanon in partnership with Paris-Panthéon-Assas University, where she graduated with honors.</t>
  </si>
  <si>
    <t>53653-24P</t>
  </si>
  <si>
    <t>Randa Ayoubi</t>
  </si>
  <si>
    <t>Rubicon Group Holding (Former)</t>
  </si>
  <si>
    <t>Ayoubi</t>
  </si>
  <si>
    <t>Randa</t>
  </si>
  <si>
    <t>www.rubiconholding.com</t>
  </si>
  <si>
    <t>Ms. Randa Ayoubi founded Rubicon Group Holding. She previously served as Chief Executive Officer of Rubicon Group Holding. She completed her post-graduate studies at Harvard. Among her many official distinctions, she was recognized by the United Nations for her educational efforts in Africa. Currently, she serves on the board of trustees of the King's Academy, a Jordan-based progressive coed boarding high school founded by His Majesty King Abdullah II. She has many awards and public recognitions, such as the Entrepreneur of the Year Award by YEA in 2000, and the regional Entrepreneur Award by Arabian Business in 2004. The Businesswoman of the Year Award at the CEO Middle East Awards 2010 and the Ernst Young.</t>
  </si>
  <si>
    <t>63432-28P</t>
  </si>
  <si>
    <t>Rasheed Mohammad Rasheed</t>
  </si>
  <si>
    <t>Mohammad Rasheed</t>
  </si>
  <si>
    <t>Rasheed</t>
  </si>
  <si>
    <t>Mr. Rasheed Mohammad Rasheed served as Board Member at Qatar Luxury Group.</t>
  </si>
  <si>
    <t>63432-64P</t>
  </si>
  <si>
    <t>Rashid Fahad Al-Naimi</t>
  </si>
  <si>
    <t>Rashid Fahad</t>
  </si>
  <si>
    <t>Rashid Fahad Al-Naimi served as board member at Qatar Luxury Group.</t>
  </si>
  <si>
    <t>446087-98P</t>
  </si>
  <si>
    <t>Brides &amp; Weddings</t>
  </si>
  <si>
    <t>www.bridesandweddings.com</t>
  </si>
  <si>
    <t>+1 (703) 232-1758</t>
  </si>
  <si>
    <t>rebecca@bridesandweddings.com</t>
  </si>
  <si>
    <t>Dale City, VA</t>
  </si>
  <si>
    <t>4491 Cheshire Station Plaza</t>
  </si>
  <si>
    <t>PMB 55</t>
  </si>
  <si>
    <t>Dale City</t>
  </si>
  <si>
    <t>+1 (703) 563-9185</t>
  </si>
  <si>
    <t>Ms. Rebecca Barnes serves as Publisher at Brides &amp; Weddings. She has more than 30 years experience as an entrepreneur and leader in the business community. Specializing in communications and marketing, she has won numerous awards, including business of the year three times from the Prince William Chamber of Commerce.</t>
  </si>
  <si>
    <t>250308-82P</t>
  </si>
  <si>
    <t>Reggie Thomaes</t>
  </si>
  <si>
    <t>Fundex Equipment</t>
  </si>
  <si>
    <t>Thomaes</t>
  </si>
  <si>
    <t>Reggie</t>
  </si>
  <si>
    <t>www.fundexequipment.com</t>
  </si>
  <si>
    <t>+31 (0)11 328 9700</t>
  </si>
  <si>
    <t>rthomaes@fundexequipment.com</t>
  </si>
  <si>
    <t>Middelburg, Netherlands</t>
  </si>
  <si>
    <t>Kleverskerkseweg 83</t>
  </si>
  <si>
    <t>Post Office. Box 83</t>
  </si>
  <si>
    <t>Middelburg</t>
  </si>
  <si>
    <t>4338 PM</t>
  </si>
  <si>
    <t>Mr. Reggie Thomaes serves as Director at IHC Fundex Equipment.</t>
  </si>
  <si>
    <t>402782-41P</t>
  </si>
  <si>
    <t>Rem Koolhaas</t>
  </si>
  <si>
    <t>OMA (</t>
  </si>
  <si>
    <t>Koolhaas</t>
  </si>
  <si>
    <t>Rem</t>
  </si>
  <si>
    <t>www.oma.com</t>
  </si>
  <si>
    <t>Owner &amp; Co-Founder</t>
  </si>
  <si>
    <t>+31 (0)10 243 8200</t>
  </si>
  <si>
    <t>Weena-Zuid 158</t>
  </si>
  <si>
    <t>3012 NC</t>
  </si>
  <si>
    <t>+31 (0)10 243 8202</t>
  </si>
  <si>
    <t>Mr. Rem Koolhaas is a Co-Founder of OMA . In 1995, his book S,M,L,XL summarized the work of OMA in "a novel about architecture". He co-heads the work of both OMA and AMO, the research branch of OMA, operating in areas beyond the realm of architecture. His built work includes the Austrian House (2023), Taipei Performing Arts Center (2022), Axel Springer Campus in Berlin (2020), the Qatar National Library and the Qatar Foundation Headquarters (2018), Fondation Galeries Lafayette in Paris (2018), Fondazione Prada in Milan (2015/2018), Garage Museum of Contemporary Art in Moscow (2015), the headquarters for China Central Television (CCTV) in Beijing (2012), Casa da Musica in Porto (2005), Seattle Central Library (2004), and the Netherlands Embassy in Berlin (2003). Koolhaas directed the 2014 Venice Architecture Biennale, is a professor at Harvard University, and curated Countryside: The Future (2020), an exhibition about the non-urban areas around the globe that opened in February 2020 at the Guggenheim Museum in New York.</t>
  </si>
  <si>
    <t>87565-15P</t>
  </si>
  <si>
    <t>Rich Driggs</t>
  </si>
  <si>
    <t>North Wind</t>
  </si>
  <si>
    <t>Driggs</t>
  </si>
  <si>
    <t>Rich</t>
  </si>
  <si>
    <t>www.northwindgrp.com</t>
  </si>
  <si>
    <t>+1 (208) 528-8718</t>
  </si>
  <si>
    <t>1425 Higham Street</t>
  </si>
  <si>
    <t>83402</t>
  </si>
  <si>
    <t>+1 (208) 528-8714</t>
  </si>
  <si>
    <t>Mr. Rich Driggs serves as Operating Partner at Atlas Holdings. He serves as President and Chief Executive Officer at North Wind. He serves as a Board Member at Erickson Construction. He served as Chief Operating Officer and Executive Vice President at Michael Baker International. He is the former executive vice president of Lend Lease Corporation, a diversified property group with market-leading positions in the United States, Canada, and Latin America. Lend Lease operates out of four key sectors: public-private partnerships, residential property development, property investment management, and construction/program management. Throughout his career, which has included roles in both large engineering firms and construction companies, he has established himself as a prominent figure in the built environment, championing a series of successful ventures and pioneering initiatives. Demonstrating the ability to collaborate effectively with management teams, he has consistently driven the evolution of these organizations, leveraging emerging markets to introduce pioneering solutions that have set them apart from their competitors. His strategic foresight has led to sustainable growth, yielding benefits for both shareholders and the dedicated staff who aspire to advance their careers within the business. Beyond his professional endeavors, he remains deeply committed to the betterment of his community, actively striving to make a positive impact on society. Alongside his family, he has provided a nurturing home for numerous foster children, establishing a safe haven for some of the community's most vulnerable members. This experience has instilled within him a profound appreciation for diversity, both in thought and within his teams. His leadership philosophy is firmly rooted in fostering a culture of collaboration, innovation, and ultimately, high performance. He has a Bachelor of Science in Construction Management with National Honors from Purdue University, West Lafayette, Indiana. He has completed an Executive Program from Columbia University, Executive Education (Global) from Wharton School of Business, University of Pennsylvania and The Prince of Wales Business and Sustainability Programme (BSP) from the University of Cambridge.</t>
  </si>
  <si>
    <t>148176-28P</t>
  </si>
  <si>
    <t>Richard Blundell</t>
  </si>
  <si>
    <t>Rotman School of Management</t>
  </si>
  <si>
    <t>Blundell</t>
  </si>
  <si>
    <t>www.rotman.utoronto.ca</t>
  </si>
  <si>
    <t>Entrepreneur-in-Residence</t>
  </si>
  <si>
    <t>+1 (416) 978-5703</t>
  </si>
  <si>
    <t>105 Street George Street</t>
  </si>
  <si>
    <t>M5S 3E6</t>
  </si>
  <si>
    <t>+1 (416) 978-5433</t>
  </si>
  <si>
    <t>Mr. Richard Blundell serves as Entrepreneur-in-Residence at Rotman School of Management. He serves as Advisor at GroundBreak Ventures. Mr. Blundell served as Interim Chief Executive Officer, Executive Programs at Rotman School of Management. Mr. Blundell has over 35 years of senior executive management and consulting experience in the global environmental services and technology sectors. His experience includes operations management, corporate and market development, mergers and acquisitions, new business initiation, and consulting. Mr. Blundell's international experience includes running businesses in East and West Europe, North and South America, Africa, and Asia (12 countries from India to China). He has significant experience in new business creation and management of growth-stage businesses in global markets. He has completed over $500 million in combined corporate M&amp;A transactions and private equity funding for early-stage companies. From 1989-2004, Mr. Blundell held senior leadership positions with Laidlaw Inc., Canada's largest waste management company, as Director of European Business Development; SGS SA, a global company in inspection, testing, and certification services as SVP of the Global Environmental Services Division; and Hagemeyer Cosa Liebermann, a technology marketing company in Asia Pacific as EVP of the Technology Division. During this period and since 2004, Mr. Blundell has held founder and/or executive management positions in ten early-stage, cleantech companies, including a number of Board of Directors appointments. He joined the MaRS Discovery District in 2018 to lead the development of applied innovation networks for global, corporate partners. In 2019, he was appointed Managing Director of the Cleantech Venture Services group. MaRS is Canada's largest innovation hub with 1M ft sq of office space in downtown Toronto serving over 1,400 startups, from early-stage to high growth companies in the Cleantech, Health Sciences, Fintech and Enterprise Software, including a focus on AI, IoT, AR and other fourth industrial revolution technologies. He is an Executive-in-Residence at the Rotman School of Management at the University of Toronto. He joined the Rotman faculty in 2016, where he teaches MBA, Executive MBA and Global Executive MBA courses in sustainability and entrepreneurship. He is also an advisor to the Prince of Wales Accounting for Sustainability charity.</t>
  </si>
  <si>
    <t>358739-92P</t>
  </si>
  <si>
    <t>Richard Grooms</t>
  </si>
  <si>
    <t>Indian Health Center Of Santa Clara Valley (Former)</t>
  </si>
  <si>
    <t>Grooms</t>
  </si>
  <si>
    <t>Mr. Richard Grooms served as Chief Financial Officer at Indian Health Center Of Santa Clara Valley. Mr. Grooms earned a Bachelor's Degree in Accounting and an MBA in Healthcare Management. He has been in accounting for more than 25 years and in Healthcare for the last 12. He found his calling when he was offered a controller position in an FQHC in Wisconsin. Like everyone at IHC, He is dedicated to increasing access to care and removing barriers to wellness. As a senior leader, he works across departments to achieve the most efficient and cost-effective way to provide and collect for services. He holds a Bachelor's in Accounting and an MBA in Healthcare Management.</t>
  </si>
  <si>
    <t>100414-63P</t>
  </si>
  <si>
    <t>Richard Levy</t>
  </si>
  <si>
    <t>Lehigh Valley Health Network</t>
  </si>
  <si>
    <t>Levy</t>
  </si>
  <si>
    <t>www.lvhn.org</t>
  </si>
  <si>
    <t>Senior Vice President &amp; Chief Marketing Officer</t>
  </si>
  <si>
    <t>richard.levy@lvhn.org</t>
  </si>
  <si>
    <t>Allentown, PA</t>
  </si>
  <si>
    <t>1200 South Cedar Crest Boulevard</t>
  </si>
  <si>
    <t>Allentown</t>
  </si>
  <si>
    <t>18103-6202</t>
  </si>
  <si>
    <t>Mr. Richard Levy serves as Senior Vice President &amp; Chief Marketing Officer at Lehigh Valley Health Network. In this role, he oversees all marketing, strategic communications and community engagement activities and LVHN's physician and EMS liaison program. He is accountable for inspiring healthy lifestyles and positioning LVHN as the market leader to drive awareness, demand, advocacy and engagement among LVHN colleagues and community members. He joined LVHN in 2019 as Vice President, Marketing and Public Affairs. Prior to LVHN, he served as Chief Executive Officer (CEO) of Myelin Health. In this role, he was responsible for all companies operating under Myelin Communications (Partners &amp; Simons, HYConnect, Avid Design and Dodge Communications) and led a team that achieved two successful acquisitions and produced an active pipeline of acquisition targets. During his extensive healthcare career, he was President and CEO of Partners &amp; Simons (Baird Capital), President of IHC Communications and Executive Vice President of inVentiv Health, Inc., President of CommonHealth: Ferguson, and President of HealthSTAR Advertising. He also held numerous leadership roles, including President and CEO, at Adair-Greene Healthcare Communications. He received a Bachelor of Science in Marketing and Finance from Syracuse University. He serves on the Boards of the IronPigs Charities and Boy Scouts of America Minsi Trails Council.</t>
  </si>
  <si>
    <t>73339-12P</t>
  </si>
  <si>
    <t>Richard Pizzi</t>
  </si>
  <si>
    <t>Pizzi</t>
  </si>
  <si>
    <t>Mr. Richard Pizzi served as Managing Director at SNI Companies.</t>
  </si>
  <si>
    <t>419109-67P</t>
  </si>
  <si>
    <t>Ricky Thirion</t>
  </si>
  <si>
    <t>Thirion</t>
  </si>
  <si>
    <t>Ricky</t>
  </si>
  <si>
    <t>Group Chief Financial Officer</t>
  </si>
  <si>
    <t>ricky.thirion@g42.ai</t>
  </si>
  <si>
    <t>Mr. Ricky Thirion serves as Group Chief Financial Officer at G42. Mr. Thirion oversees the Group Finance and Investments of G42. Prior to G42 Ricky spent 16 years in aviation as Group Treasurer and CFO of Etihad Airways and South African Airways. He also has experience in the banking, mining and technology sectors with leading listed companies such as Standard Bank, Gold Fields and Dimension Data. He holds a Masters Degree in Mechanical and Aeronautical Engineering, is an Honorary Fellow of the Association of Corporate Treasurers (UK), and has won numerous international awards as Treasurer and dealmaker.</t>
  </si>
  <si>
    <t>268408-18P</t>
  </si>
  <si>
    <t>Roanna Benn</t>
  </si>
  <si>
    <t>Benn</t>
  </si>
  <si>
    <t>Roanna</t>
  </si>
  <si>
    <t>Co-Founder &amp; Co-Chief Executive Officer</t>
  </si>
  <si>
    <t>roanna@dramarepublic.com</t>
  </si>
  <si>
    <t>Ms. Roanna Benn is a Co-Founder &amp; serves as Co-Chief Executive Officer at Drama Republic. Ms. Benn established Drama Republic with her long-term colleagues Mr. Greg Brenman and Ms. Jude Liknaitzky in 2013. Ms. Benn most recently executive-produced Life, a 6-part series by Mike Bartlett which aired in September 2020. She executive-produced Pure, a 6-part series for Channel 4 by Kirstie Swain, which broadcast in early 2019 and is currently streaming on Netflix. In 2018, she executive-produced Wanderlust by Nick Payne for BBC One and Netflix. Ms. Benn previously developed and executive-produced two seasons of Mike Bartlett's BBC One hit series, Doctor Foster. It was the highest-rating new show in all genres in 2015 and was awarded Best New Drama &amp; Best Drama Performance for Suranne Jones at both the 2016 and 2018 National Television Awards; Best Drama at the Broadcast Awards; Best Drama at the South Bank Show Awards; Best Actress for Suranne Jones at the RTS, Broadcasting Press Guild, and BAFTA Awards. Ms. Benn also executive-produced the first two series of BAFTA-nominated My Mad Fat Diary by Tom Bidwell for E4 and King Charles III, the acclaimed adaptation of Mike Bartlett's stage play. At Tiger Aspect, Ms. Benn script-edited four series Playing the Field by Kay Mellor for BBC One, Births, Marriages and Deaths by Tony Grounds/BBC Two, BAFTA-award winning White Girl by Abi Morgan/BBC Two, and the multi-BAFTA-winning &amp; Oscar-nominated feature film Billy Elliot by Lee Hall. As either producer, series producer, or executive producer Ms. Benn made: the BAFTA-nominated Coming Down the Mountain by Mark Haddon/BBC One; Aftersun by David Nicholls/BBC One; Royal Wedding by Abi Morgan/ BBC Two; four series of Secret Diary of a Call Girl by Lucy Prebble &amp; others/ITV2 &amp; SHOWTIME and two series of Prisoners' Wives by Julie Gearey/BBC One.</t>
  </si>
  <si>
    <t>397988-92P</t>
  </si>
  <si>
    <t>Robbie Blakeman</t>
  </si>
  <si>
    <t>Osbit</t>
  </si>
  <si>
    <t>Blakeman</t>
  </si>
  <si>
    <t>Robbie</t>
  </si>
  <si>
    <t>www.osbit.com</t>
  </si>
  <si>
    <t>Joint Managing Director</t>
  </si>
  <si>
    <t>+44 (0)14 3468 2505</t>
  </si>
  <si>
    <t>robbie.blakeman@osbit.com</t>
  </si>
  <si>
    <t>Riding Mill, United Kingdom</t>
  </si>
  <si>
    <t>Broomhaugh House</t>
  </si>
  <si>
    <t>Northumberland</t>
  </si>
  <si>
    <t>Riding Mill</t>
  </si>
  <si>
    <t>NE44 6AW</t>
  </si>
  <si>
    <t>Mr. Robbie Blakeman serves as Joint Managing Director at Osbit. Robbie has over 20 years of experience in leading the development and implementation of pioneering engineering systems in the offshore wind, oil &amp; gas, and automotive industries. A formative member of the Osbit team, after joining in 2011, he became a director in 2013. Prior to this, Robbie was Head of EB Solutions at IHC Engineering Business (now Royal IHC) and held key technical roles in a number of world-first offshore wind projects. Robbie holds an MEng in Mechanical and Automotive Engineering from Newcastle University and is dedicated to developing engineering talent and technical excellence.</t>
  </si>
  <si>
    <t>83960-74P</t>
  </si>
  <si>
    <t>Robert Carroll</t>
  </si>
  <si>
    <t>Titan Oil Recovery (Former)</t>
  </si>
  <si>
    <t>Carroll</t>
  </si>
  <si>
    <t>Robert</t>
  </si>
  <si>
    <t>www.titanoilrecovery.com</t>
  </si>
  <si>
    <t>Mr. Robert Carroll served as the Chairman and CEO of the Biofriendly/Green Plus group. He also was a Board Member at Titan Oil Recovery. An active inventor, co-inventor of Green Plus® combustion catalyst along with William F. Carroll, Noel Carroll, and Michael T. Carroll. Co-inventor of the original Vortoil oil-water separator system and other environmental products. Co-founder of BWN Automatic Doors, BWN Vortoil, and Live Oil Services, all originally Australian-based. The Vortoil oil-water separator won the Prince of Wales Award in the 1980s for being an innovative product, and then later in the mid-1990s won the Queen's Award for being the best new technology introduced to the North Sea that enabled the oil companies to protect the ecosystem while easily handling their produced water and increasing their oil production. It was stated that without the Vortoil oil-water separator the North Sea would not have been able to enjoy its high-level production. He managed a family-owned industrial paint company in 1966. During that time the revenues grew by almost 50% and the family received and accepted an attractive offer to sell the business to Australia's largest household paint manufacturer. In this company, he, William, and Noel were trained in all facets of the business. They were also trained in industrial chemistry under Hilton Stevens who at the time was the professor of organic chemistry at Melbourne University.</t>
  </si>
  <si>
    <t>60236-02P</t>
  </si>
  <si>
    <t>Robert Fardi</t>
  </si>
  <si>
    <t>REQ</t>
  </si>
  <si>
    <t>Fardi</t>
  </si>
  <si>
    <t>www.req.co</t>
  </si>
  <si>
    <t>Strategic Partnerships Advisor</t>
  </si>
  <si>
    <t>+1 (202) 654-0800</t>
  </si>
  <si>
    <t>rfardi@req.co</t>
  </si>
  <si>
    <t>12 East 49th Street</t>
  </si>
  <si>
    <t>16th Floor</t>
  </si>
  <si>
    <t>Mr. Robert Fardi serves as Strategic Partnerships Advisor at REQ. He was a Co-Founder and served as the President at Unison Partners. He is a 21-year veteran of marketing and business development. In 2003, he co-founded Unison, a leading integrated brand agency that combines strategic, creative and technology services to help clients build and strengthen their brands. A specialist in developing comprehensive communications campaigns, Robert draws upon his deep global experience to identify key business opportunities where Unison's brand and digital offerings present an exceptional fit with the branding needs of sovereign governments, corporations and NGOs. In his broad duties as President of Unison, Robert leads and works closely with interdisciplinary teams serving Unison's diverse clients on a daily basis. Robert is a results-oriented professional who begins every client engagement by developing a keen understanding of a client's long-term goals and then defines a strategic course of action to achieve them. His key insight experiences have been instrumental in numerous successful collaborations with some of the world's most prestigious brands. Robert has delivered strategic counsel to notable clients across many industries and regions, such as: GE Capital, United Nations, United Arab Emirates, the Combined Federal Campaign of the National Capital Area (CFCNCA), MAN Group, the Global Fund, Contrack International, GoldToeMoretz, Abu Dhabi Authority for Culture and Heritage, CRDF Global, GLORIAD, Sweetgreen, Qatar Foundation, M&amp;CSaatchi, MICROS, US-UAE Business Council, USAID, Smithsonian Institution, Sands Capital Management, Recoup, Verizon, Ogilvy, DMSAS, CORE and DFT. Prior to co-founding Unison, Robert worked at the International Republican Institute, Smith Barney, Inc., Abu Dhabi International Bank, Inc. (Washington DC), Bixler and Accenture. Robert holds a B.A. in International Studies (with Highest Distinction) from George Mason University and a minor in International Business at George Washington University. In addition, Robert holds a M.A. in International Commerce and Policy from George Mason University's School of Public Policy and completed graduate studies at St. Peter's College, Oxford University while working at Abu Dhabi International Bank.</t>
  </si>
  <si>
    <t>166941-82P</t>
  </si>
  <si>
    <t>Robert Lamoureux</t>
  </si>
  <si>
    <t>Foresters Financial Services (Former)</t>
  </si>
  <si>
    <t>Lamoureux</t>
  </si>
  <si>
    <t>www.forestersfinancial.com</t>
  </si>
  <si>
    <t>Mr. Robert Lamoureux served as Chairman at Foresters Financial Services. During his 35-year career with PricewaterhouseCoopers, Bob served as auditor for a wide range of private and public companies and developed a keen interest in corporate governance. He has served as Chairman of the Board of Royal Group Technologies and as a Director of M.R.S. Trust and Augen Gold Corp. He has served as Chair of the Audit Committee of Consonus Technologies. Bob has been a member of numerous accounting industry and professional Committees. He lives in Toronto, Ontario, with his spouse, Ann, and they have one son, Geoff, who is an attorney in Los Angeles. Bob is an avid golfer and skier and is currently a Director of the Canadian Seniors' Golf Association and past President of the Mississauga Golf and Country Club.</t>
  </si>
  <si>
    <t>149451-67P</t>
  </si>
  <si>
    <t>Robert Mason</t>
  </si>
  <si>
    <t>BondMason (Former)</t>
  </si>
  <si>
    <t>Mason</t>
  </si>
  <si>
    <t>www.bondmason.com</t>
  </si>
  <si>
    <t>Mr. Robert Mason served as Board Member at BondMason. He has 30 years of experience in Private Equity, as a banker to buyout transactions at JPMorgan, where he founded and ran the European Leveraged Transaction Group; the founder of a General Partner investing in European small businesses; and advising clients of Sandaire on investments in all types of Private Equity. He started his career in the Army where, among other appointments, Equerry to the Prince of Wales and Adjutant of the Welsh Guards in the Falklands conflict. Robert is a graduate of Oxford University, where he rowed in three Boat Races against Cambridge. He currently sits on a number of fund Advisory Boards and the Boards of several small businesses.</t>
  </si>
  <si>
    <t>112888-72P</t>
  </si>
  <si>
    <t>Robert Whalen</t>
  </si>
  <si>
    <t>Whalen</t>
  </si>
  <si>
    <t>Mr. Robert Whalen served as Executive at Albiorex International Holding Company. He is a Quality Assurance services consultant (fully insured LLC, 1099 Independent Contractor) with 18 years of operational &amp; industry experience combined with excellent analytical, organizational, and communication abilities. He is logically able to create and effectively implement efficient systems and processes.</t>
  </si>
  <si>
    <t>144294-94P</t>
  </si>
  <si>
    <t>Rodney Norman</t>
  </si>
  <si>
    <t>Norman</t>
  </si>
  <si>
    <t>Rodney</t>
  </si>
  <si>
    <t>Area Director</t>
  </si>
  <si>
    <t>Mr. Rodney Norman served as Area Director at Royal IHC. Previously he also served as the company's Managing Director. He currently serves as Director of Deep Sea Mining at Royal IHC.</t>
  </si>
  <si>
    <t>142647-67P</t>
  </si>
  <si>
    <t>Rogier Schurink</t>
  </si>
  <si>
    <t>Schurink</t>
  </si>
  <si>
    <t>Rogier</t>
  </si>
  <si>
    <t>Director Corporate Development</t>
  </si>
  <si>
    <t>rschurink@royalihc.com</t>
  </si>
  <si>
    <t>Mr. Rogier Schurink serves as Director Corporate Development at Royal IHC.</t>
  </si>
  <si>
    <t>176826-43P</t>
  </si>
  <si>
    <t>Roland Matt</t>
  </si>
  <si>
    <t>LGT Bank Deutschland (Former)</t>
  </si>
  <si>
    <t>Roland</t>
  </si>
  <si>
    <t>www.lgt.de</t>
  </si>
  <si>
    <t>Mr. Roland Matt served as Chief Executive Officer at LGT Bank Deutschland. He served as Group Chief Executive Officer and Member of Management Board at Liechtensteinische Landesbank. He was Head of Research at VP Bank AG, Vaduz, 1999. Head of Asset Management Division at VP Bank AG, Vaduz, 2000 - 2001 and Family Office Project Head at VP Bank AG, Vaduz, 2002.</t>
  </si>
  <si>
    <t>103017-70P</t>
  </si>
  <si>
    <t>Roland Schubert</t>
  </si>
  <si>
    <t>Schubert</t>
  </si>
  <si>
    <t>Mr. Roland Schubert served as Chief Executive Officer at LGT Bank Deutschland.</t>
  </si>
  <si>
    <t>49245-40P</t>
  </si>
  <si>
    <t>Ron Goegan</t>
  </si>
  <si>
    <t>Goegan</t>
  </si>
  <si>
    <t>Ron</t>
  </si>
  <si>
    <t>Senior Vice President &amp; Chief Financial Officer</t>
  </si>
  <si>
    <t>Ron Goegan served as the Senior Vice President and Chief Financial Officer of Royal Group Technologies.</t>
  </si>
  <si>
    <t>12162-61P</t>
  </si>
  <si>
    <t>Ronald Smith</t>
  </si>
  <si>
    <t>Co-Founder, Chairman &amp; Chief Executive Officer</t>
  </si>
  <si>
    <t>Mr. Ronald Smith co-founded of SNI Companies and served as its Chairman and Chief Executive Officer. Mr. Ron is a seasoned staffing executive with over 24 years in the industry. His experience began with Robert Half International ("RHI") as a permanent recruiter, he was promoted to regional manager and ultimately owned several "RHI" franchises. Upon leaving RHI in 1992, Ron founded Staffing Edge. Through an aggressive growth plan Staffing Edge became a $36 million company within six years. Inc. Magazine recognized Staffing Edge in 1997 as the 17th fastest growing private company in the United States, and in 1998 Ernst &amp; Young recognized Ron as Entrepreneur of the Year for the Nebraska/Iowa Regions. Staffing Edge was sold in 1998.</t>
  </si>
  <si>
    <t>392325-94P</t>
  </si>
  <si>
    <t>Rosa Piro</t>
  </si>
  <si>
    <t>Piro</t>
  </si>
  <si>
    <t>Rosa</t>
  </si>
  <si>
    <t>Senior Business Development Director</t>
  </si>
  <si>
    <t>r.piro@arada.com</t>
  </si>
  <si>
    <t>Ms. Rosa Piro serves as Senior Business Development Director at Arada Developments. Her responsibilities includes the expansion of Arada's interests via new projects, as well as evaluating investments in new business segments. She also oversees and maintains commercial and institutional partnerships in hospitality, healthcare, education and entertainment, adjusting the anchor strategy for each based on the needs of Arada's communities. She is also responsible for creating and implementing the retail leasing strategy across Arada's assets, as well as their management and operations. Recent initiatives include the proposal and execution of Arada's CSR programme during the recent Covid-19 crisis, and she is currently working on establishing a research vertical to make data-driven decisions. She previously served as Country Head for emerging markets research and consultancy firm Oxford Business Group, working in the UAE, the Philippines and Indonesia. In that role, she oversaw the company's first-ever production of The Report: Sharjah Annual Investment Guide. She holds a bachelor's degree in International Economics from Bocconi University in Milan and a master's in International Management from Instituto de Empresa in Madrid.</t>
  </si>
  <si>
    <t>380275-93P</t>
  </si>
  <si>
    <t>Rosa Santana</t>
  </si>
  <si>
    <t>Santana Group</t>
  </si>
  <si>
    <t>Santana</t>
  </si>
  <si>
    <t>www.santanagrp.com</t>
  </si>
  <si>
    <t>+1 (210) 388-0680</t>
  </si>
  <si>
    <t>rosa.santana@santanagrp.com</t>
  </si>
  <si>
    <t>San Antonio, TX</t>
  </si>
  <si>
    <t>45 Northeast Loop 410</t>
  </si>
  <si>
    <t>Suite 902</t>
  </si>
  <si>
    <t>San Antonio</t>
  </si>
  <si>
    <t>78216</t>
  </si>
  <si>
    <t>Ms. Rosa Santana is the Founder and serves as Chief Executive Officer at Santana Group. Ms. Santana serves as Board Member at Latino Business Action Network. She is a top-tier minority- and woman-owned group of companies whose transformational solutions differentiate industry-leading companies through more efficient, effective, and competitive service. Since its founding in 2002, the Santana Group today includes Integrated Human Capital, Workforce Management Mexico, Diversa, Oveana, and Forma Automotive. Each of these companies was founded to address clients' specific challenges. Tapping into her bicultural upbringing as a Mexican immigrant to the United States from the age of 5, she has been a driving force within the U.S./Mexico outsourcing industry. Her passion for community and entrepreneurship has inspired her to create thousands of jobs across the United States and Mexico, contributing to the economic prosperity and well-being of the diverse communities in which she does business. Realizing this passion early in her career at a Fortune 500 Company, she made a substantial impact by delivering extraordinary results in response to client challenges. She expanded the company's footprint into Mexico, earning her a senior leadership role as corporate Vice President. Several years later, she was offered an executive leadership position at a competing international services company and again successfully established operations in Mexico while continuing to lead their U.S. division. In 2002, she reached a turning point in her career when downsizing presented her with the opportunity to start her own business. She launched Integrated Human Capital (IHC), a staffing company, in El Paso, Texas, and simultaneously opened a cross-border company, Workforce Management, in Cuidad Juárez, Chih., Mexico. Always seeking growth opportunities, she set in motion plans to expand into the surrounding metro markets, and three years later, IHC began servicing clients in Austin and San Antonio, Texas. Today the Santana Group continues to demonstrate their expertise in developing solutions for their clients' unique business challenges, resulting not only in the growth of the Santana Group companies but also in the creation of high-quality jobs. Santana credits her numerous mentors for her success and has completed two Minority Business Executive programs at the Tuck School of Business at Dartmouth University as well as the Advanced Management Education program at the Kellogg School of Business at Northwestern University. Utilizing these experiences, Santana has dedicated countless hours to empowering other minority- and women-entrepreneurs through mentoring and service in various organizations that are committed to fostering diversity and inclusion, such as the United States Hispanic Chamber of Commerce (USHCC), the Latino Business Action Network (LBAN), and the Women's Business Council Southwest (WBCS).</t>
  </si>
  <si>
    <t>129296-08P</t>
  </si>
  <si>
    <t>Ross Dunlap</t>
  </si>
  <si>
    <t>Ceres Nano</t>
  </si>
  <si>
    <t>Dunlap</t>
  </si>
  <si>
    <t>www.ceresnano.com</t>
  </si>
  <si>
    <t>+1 (800) 615-0418 x202</t>
  </si>
  <si>
    <t>rdunlap@ceresnano.com</t>
  </si>
  <si>
    <t>9460 Innovation Drive</t>
  </si>
  <si>
    <t>Mr. Ross Dunlap is a Co-Founder and serves as Chief Executive Officer and Board Member at Ceres Nano. He is responsible for directing strategic and operational activities, capital fundraising, product sales and marketing, and industry collaborations and partnerships. He brings 20 years of experience working in operational and strategic business development. He also serves as Chairman of the Virginia Biotechnology Association. He began his career with Arthur Andersen's Business Consulting practice, working with start-up technology companies, and developing solutions to establish and maintain critical business operations. Following this, He spent five years with Washington Consulting, Inc., a DC-based consulting firm, which he helped start from the ground up and grow into a successful and profitable consulting organization. Throughout his business career, he has worked across a range of industries, technologies, and processes to help organizations successfully achieve operational capability and profitability. He is active in the business and life sciences community in Virginia. He is on the board of the Virginia Biotechnology Association serves as an adviser to Prince William County's economic development office and is a member of the county's Life Sciences Leadership Group. He graduated with a BS in Commerce from the McIntire School of Commerce at the University of Virginia.</t>
  </si>
  <si>
    <t>146084-32P</t>
  </si>
  <si>
    <t>Roy Thung</t>
  </si>
  <si>
    <t>Thung</t>
  </si>
  <si>
    <t>Roy</t>
  </si>
  <si>
    <t>Chief Executive Officer, President &amp; Chairman</t>
  </si>
  <si>
    <t>Mr. Roy Thung serves as Chief Executive Officer, President &amp; Chairman at The IHC Group. He has served IHC in various capacities since its founding in 1980. He also serves as Chief Executive Officer, and as a director of The Aristotle Corporation. He holds an M.B.A. from the Stern School of Business at New York University.</t>
  </si>
  <si>
    <t>395460-64P</t>
  </si>
  <si>
    <t>Roy Totemoff</t>
  </si>
  <si>
    <t>The Tatitlek</t>
  </si>
  <si>
    <t>Totemoff</t>
  </si>
  <si>
    <t>+1 (907) 278-4000</t>
  </si>
  <si>
    <t>rtotemoff@tatitlek.com</t>
  </si>
  <si>
    <t>561 East 36th Avenue</t>
  </si>
  <si>
    <t>+1 (907) 278-4050</t>
  </si>
  <si>
    <t>Mr. Roy Totemoff serves as Chief Executive Officer &amp; Board Member at The Tatitlek. Roy leads in managing the operations, people and resources of The Tatitlek Corporation. Roy was elected to the board in 1992 and became CEO in 2006. Prior to his leadership at TTC, Roy was Vice President of the Tatitlek Village IRA Council and was the owner and operator of a successful commercial fishing boat operation based in Prince William Sound. He also has prior training as a tribal court judge and was a manager for maintenance for North Pacific Rim Housing Authority. Copper Mountain Foundation - Trustee, Prince William Sound Economic Development Council - Board member, representing The Tatitlek Corporation and the Tatitlek Village IRA Council, Sits on all boards of The Tatitlek Corporation's subsidiary companies.</t>
  </si>
  <si>
    <t>97567-39P</t>
  </si>
  <si>
    <t>Roy Yih</t>
  </si>
  <si>
    <t>BioCheck</t>
  </si>
  <si>
    <t>Yih</t>
  </si>
  <si>
    <t>www.biocheckinc.com</t>
  </si>
  <si>
    <t>+1 (925) 944-7880</t>
  </si>
  <si>
    <t>ryih@biocheckinc.com</t>
  </si>
  <si>
    <t>South San Francisco, CA</t>
  </si>
  <si>
    <t>425 Eccles Avenue</t>
  </si>
  <si>
    <t>South San Francisco</t>
  </si>
  <si>
    <t>94080</t>
  </si>
  <si>
    <t>+1 (650) 573-1969</t>
  </si>
  <si>
    <t>Mr. Roy Yih serves as Chief Executive Officer at BioCheck. Mr. Roy Yih is a Co-Founder of Biocare Medical. He previously served as Chief Executive Officer and President at the company. He serves as Chief Executive Officer and President at DRG International. He is primarily involved with developing and implementing the vision of Biocare and business development activities. Mr. Yih brings more than 30 years of successful leadership in his previous company, Biocare Medical LLC - an IHC company of innovated reagent chemistries and instrumentation, delivered to hospitals, pharmaceutical companies, reference labs and research institutions around the globe. Biocare is recognized as a provider of the highest quality IHC products that give accurate timely results specifically in the area of cancer diagnostics. Mr. Yih holds a Bachelor of Science degree in Biochemistry from U.C. Davis and a Master of Business Administration from Santa Clara University.</t>
  </si>
  <si>
    <t>388444-69P</t>
  </si>
  <si>
    <t>Ryan Anderson</t>
  </si>
  <si>
    <t>Foot and Ankle Specialists (Bountiful)</t>
  </si>
  <si>
    <t>Anderson</t>
  </si>
  <si>
    <t>www.utahfootspecialists.com</t>
  </si>
  <si>
    <t>Owner &amp; Physician</t>
  </si>
  <si>
    <t>+1 (801) 292-4425</t>
  </si>
  <si>
    <t>Bountiful, UT</t>
  </si>
  <si>
    <t>596 West 750 South</t>
  </si>
  <si>
    <t>Bountiful</t>
  </si>
  <si>
    <t>84010</t>
  </si>
  <si>
    <t>Dr. Ryan Anderson is the Owner and serves as Physician at Foot and Ankle Specialists. He specializes in sports medicine and chronic foot conditions. A Utah native, he sees patients at Foot and Ankle Specialists' convenient clinics in Bountiful and Draper, Utah. Dr. Anderson treats patients in their teens to their golden years. Fluent in Spanish, he prioritizes compassionate care and patient education. Dr. Anderson is board-certified by the American Board of Podiatric Surgery. He attended medical school at California College of Podiatric Medicine in San Francisco and completed his residency in reconstructive foot and ankle surgery in Orange County, California. He is currently an attending physician in the IHC residency program.</t>
  </si>
  <si>
    <t>167442-40P</t>
  </si>
  <si>
    <t>Ryan Chapman</t>
  </si>
  <si>
    <t>All Counseling</t>
  </si>
  <si>
    <t>Chapman</t>
  </si>
  <si>
    <t>www.allcounseling.com</t>
  </si>
  <si>
    <t>+1 (405) 237-5918</t>
  </si>
  <si>
    <t>ryan@allcounseling.com</t>
  </si>
  <si>
    <t>Edmond, OK</t>
  </si>
  <si>
    <t>3841 East Danforth Road</t>
  </si>
  <si>
    <t>Suite 104</t>
  </si>
  <si>
    <t>Edmond</t>
  </si>
  <si>
    <t>Oklahoma</t>
  </si>
  <si>
    <t>73034</t>
  </si>
  <si>
    <t>Mr. Ryan Chapman is a Co-Founder and serves as Board Member at All Counseling. Mr. Ryan Chapman is a Co-Founder of Sale Day. Mr. Ryan Chapman serves as Managing Partner at Chapman Capital (Investor). He served as Executive Chairman at Premier Parking Management Company. He is the owner of Chapman Land &amp; Cattle, a Hereford cattle ranch committed to the highest standards of quality and integrity. Ryan's experience buying and selling cattle led him to recognize a need for a more efficient and mobile-friendly online auction solution. Ryan is excited to contribute to the growth of the agriculture industry through his commitment to innovation, customer service, and ethical business practices. Ryan Chapman is the Executive Chairman of Integrative Life Center, a Nashville-based treatment center that provides trauma focused support for those on their recovery journey., Begin Again Institute, a center focused on recovery from sexual addiction and Integrative Health Centers. IHC enables healthcare providers in offering specialized psychiatric and behavioral health services via telehealth.Integrative Health Centers. IHC enables healthcare providers in offering specialized psychiatric and behavioral health services via telehealth. Formerly, Ryan was the CEO of Premier Parking for 15 years, where he was instrumental in its growth from a single location to locations in over 40 cities. Ryan credits his own experience with treatment and recovery as foundational to his successes in life; with the impact mental health support has had on him it made sense for him to seek opportunities to invest in the industry. Integrative Life Center and the Begin Again Institute have both grown substantially since Ryan came on board, expanding staffing and residential treatment options to ensure more people have access to a tailored recovery approach. Ryan founded Integrative Health Centers and their presence has grown to multiple clinics in several states.</t>
  </si>
  <si>
    <t>97543-18P</t>
  </si>
  <si>
    <t>Ryan Cush</t>
  </si>
  <si>
    <t>data.world</t>
  </si>
  <si>
    <t>Cush</t>
  </si>
  <si>
    <t>www.data.world</t>
  </si>
  <si>
    <t>Chief Revenue Officer</t>
  </si>
  <si>
    <t>+1 (512) 697-4897</t>
  </si>
  <si>
    <t>ryan.cush@data.world</t>
  </si>
  <si>
    <t>700 and 701 Brazos Street</t>
  </si>
  <si>
    <t>Suite 519</t>
  </si>
  <si>
    <t>78701</t>
  </si>
  <si>
    <t>Mr. Ryan Cush serves as Chief Revenue Officer at data.world. Previously, he co-founded Loanables. He served as Vice President of Client Services at SmarterHQ. He is also a Founder at Loanables.com. Bringing more than 15 years of leadership experience in client relations, Ryan is an expert in increasing client retention, reducing costs, and scaling business. As Vice President of Client Services, Ryan oversees implementation, campaign services, client success, and support with the help of his team. He also works alongside the SmarterHQ sales team to grow the company's existing client base and services. Based in Austin, Texas he previously served in a variety of executive roles at Bazaarvoice (NASDAQ: BV) where he gained experience running the North American client success team and agency partnership program. Ryan scaled the client services team to serve more than 1,000 clients and aided the company's public offering in 2012. As vice president of client success, Cush drove significant improvements in client retention while increasing upsell rates and reducing costs. Most recently, Cush led business development for consumer startup Food on the Table, which was acquired by the popular Scripps Networks Interactive (NASDAQ: SNI). Ryan earned his Bachelor of Science degree in Materials Science and Engineering from the Massachusetts Institute of Technology (MIT).</t>
  </si>
  <si>
    <t>318272-86P</t>
  </si>
  <si>
    <t>Ryan O'Connell</t>
  </si>
  <si>
    <t>Switched on Bikes</t>
  </si>
  <si>
    <t>O'Connell</t>
  </si>
  <si>
    <t>www.switchedonbikes.co.nz</t>
  </si>
  <si>
    <t>ryan@switchedonbikes.co.nz</t>
  </si>
  <si>
    <t>Wellington, New Zealand</t>
  </si>
  <si>
    <t>Shed One, Queens Wharf</t>
  </si>
  <si>
    <t>Wellington Waterfront</t>
  </si>
  <si>
    <t>Wellington</t>
  </si>
  <si>
    <t>Mr. Ryan O'Connell is the Founder &amp; Owner of Switched on Bikes. He's ridden bikes for competition, transport and while traveling, but mostly for fun. Ryan's working background has been in the community sector previously working for IHC NZ and Kaibosh Food Rescue.</t>
  </si>
  <si>
    <t>63432-73P</t>
  </si>
  <si>
    <t>Saad Ibrahim Al Muhannadi</t>
  </si>
  <si>
    <t>Al Muhannadi</t>
  </si>
  <si>
    <t>Saad Ibrahim</t>
  </si>
  <si>
    <t>Saad Ibrahim Al Muhannadi served as board member at Qatar Luxury Group.</t>
  </si>
  <si>
    <t>67388-05P</t>
  </si>
  <si>
    <t>Sajeev Viswanathan</t>
  </si>
  <si>
    <t>New Street Tech</t>
  </si>
  <si>
    <t>Viswanathan</t>
  </si>
  <si>
    <t>Sajeev</t>
  </si>
  <si>
    <t>www.newstreettech.com</t>
  </si>
  <si>
    <t>Co-Founder, Chief Executive Officer, Managing Director, &amp; Chairman</t>
  </si>
  <si>
    <t>+91 (0)80 4371 1712</t>
  </si>
  <si>
    <t>sajeev@newstreettech.com</t>
  </si>
  <si>
    <t>Number 77, 1st Floor, Wind Tunnel Rd</t>
  </si>
  <si>
    <t>Murugeshpalya, Muniyappa Layout</t>
  </si>
  <si>
    <t>560017</t>
  </si>
  <si>
    <t>Mr. Sajeev Viswanathan is a Co-Founder and serves as Chief Executive Officer, Managing Director, &amp; Chairman at New Street Tech. He also served as President, Global Head of strategy, and Product &amp; Executive Director at Visa Payments. He is an accomplished banker, investor, and entrepreneur Sajeev Viswanathan joined Visa Paymentsin June 2014. Sajeev has responsibility for global network expansion and product development and is spearheading Visa Payments's expansion strategy into Asia including India. Prior to Visa Payments, Sajeev held the position of Managing Director and Chief Executive Officer of Bhartiya Samruddhi Financial Services, a well-known microfinance company in India, and served on the board of micropayments company BASIX Sub-K transactions. Sajeev spent a successful 18 years with multi-national financial institution, Citigroup as Managing Director in the Global Transaction Services (GTS) business in charge of global receivables and trade finance and earlier as Chief Administrative Officer, GTS EMEA and Risk Director on the Board of Citicorp Trustee Company. Sajeev divides his time between London and India. He has an MBA from Thiagarajar School of Management and a BSc in Physics from Loyola College, Chennai, and is an alumnus of the Business In the Community Programme run by the Prince of Wales Trust and Cambridge University. He served as Chief Executive Officer and Managing Director at Bhartiya Samruddhi Finance.</t>
  </si>
  <si>
    <t>144657-64P</t>
  </si>
  <si>
    <t>Salah Al-Qahtani</t>
  </si>
  <si>
    <t>KCA Deutag (Former)</t>
  </si>
  <si>
    <t>Salah</t>
  </si>
  <si>
    <t>www.kcadeutag.com</t>
  </si>
  <si>
    <t>Mr. Salah Al-Qahtani served as Board Member at KCA Deutag. Mr. Al-Qahtani served as Board Member at Dalma Energy. Mr. Al-Qahtani has been a director of KCA Deutag Group since 2018 as part of the KCA Deutag Group's combination with the KSA and Omani businesses of Dalma Energy. He joined the business community in early 1995 as one of the Senior Executives of Abdel Hadi Abdullah Al-Qahtani &amp; Sons (Group of Companies) (AHQ), a reputable and well recognised family conglomerate in Saudi Arabia, contributing with his skills to develop and expand the businesses of the family by playing a pivotal role as Vice Chairman of the AHQ group. The AHQ group consists of 27 companies serving the oil &amp; gas industry, steel pipe manufacturing, pipe coating industries, water and chemicals, food supply items, heavy vehicles and machinery and a private airline. The AHQ group also holds a number of Joint Ventures in Saudi Arabia. In 2007, Mr. Al-Qahtani was a leading figure in the acquisition of Dalma Energy and was then involved directly with the management team to participate and run the business as Vice Chairman. Mr. Al-Qahtani has a degree in business administration from the University of Houston, Texas, USA.</t>
  </si>
  <si>
    <t>339075-82P</t>
  </si>
  <si>
    <t>Sameer Kulkarni</t>
  </si>
  <si>
    <t>Kulkarni</t>
  </si>
  <si>
    <t>Sameer</t>
  </si>
  <si>
    <t>Chief Community Officer</t>
  </si>
  <si>
    <t>s.kulkarni@arada.com</t>
  </si>
  <si>
    <t>Mr. Sameer Kulkarni serves as Chief Community Officer at Arada Developments. Sameer Kulkarni has managed mixed-use master developments in the UAE, Canada and Saudi Arabia. He previously worked at Amaala/The Red Sea Development Company in Riyadh, where he served as an Executive Director. In the UAE, he has managed large diverse portfolios mainly during his 17-year tenure with Emaar Properties. In the past, he strategically helped resolve challenges involving property handover, maintenance, service fee budgets, communications and homeowner relations for developments that included Downtown Dubai, Arabian Ranches, Emirates Living and The Greens. Kulkarni holds an MBA in Hospitality from the Sydney Graduate School of Management, Australia and a Digital Marketing diploma from Cornell University, USA.</t>
  </si>
  <si>
    <t>129238-12P</t>
  </si>
  <si>
    <t>Sander Korving</t>
  </si>
  <si>
    <t>Korving</t>
  </si>
  <si>
    <t>Sander</t>
  </si>
  <si>
    <t>Mr. Sander Korving served as Executive at Royal IHC.</t>
  </si>
  <si>
    <t>194548-60P</t>
  </si>
  <si>
    <t>Sandra Bohling MD</t>
  </si>
  <si>
    <t>Bohling</t>
  </si>
  <si>
    <t>Sandra</t>
  </si>
  <si>
    <t>Principal &amp; Associate Director of Hematopathology &amp; Clinical PCR Services</t>
  </si>
  <si>
    <t>Dr. Sandra Bohling served as Principal &amp; Associate Director of Hematopathology &amp; Clinical PCR Services at PhenoPath. She is involved in the entire range of PhenoPath diagnostic hematopathology testing, including IHC, flow cytometry, FISH, and PCR. Dr. Bohling attended the University of Utah School of Medicine where she earned her MD. She completed her residency in Anatomic and Clinical Pathology as well as fellowships in Surgical Pathology and Hematopathology at the University of Washington Medical Center. Prior to medical school, she worked in the Research and Development Department at ARUP Laboratories in Salt Lake City, Utah. Dr. Bohling is board-certified in Anatomic and Clinical Pathology, as well as Hematopathology.</t>
  </si>
  <si>
    <t>192718-63P</t>
  </si>
  <si>
    <t>Sandra Dube</t>
  </si>
  <si>
    <t>Acumen (corp)</t>
  </si>
  <si>
    <t>Dube</t>
  </si>
  <si>
    <t>www.acumencorp.com</t>
  </si>
  <si>
    <t>Executive Vice President, Chief Finiancial Officer &amp; Treasurer</t>
  </si>
  <si>
    <t>+1 (804) 323-0467</t>
  </si>
  <si>
    <t>8730 Stony Point Parkway</t>
  </si>
  <si>
    <t>Suite 185</t>
  </si>
  <si>
    <t>23235</t>
  </si>
  <si>
    <t>Ms. Sandra Sandra is a Co-Founder of Acumen and also serves as its Executive Vice President &amp; Chief Financial Officer. Previously, as an executive for the international holding company of the Independent Grocers Alliance, Sandra managed logistic performance centers and inventory-related audits. During the prime growth period of one of the nation's largest catalog showroom retailers, she managed sales-related audits on a national scale. She sat on various systems deployment advisory councils for the firm including the Security department's Information Systems Strategic Steering Committee. In several executive positions, Sandra has worked with inventory optimization helping companies begin their growth strategies for technology. An alumnus of OU and Virginia Commonwealth University, Sandra has a strong financial background and is an accomplished graphic designer and marketing pro. As the editor of an award-winning APICS newsletter, she received the prestigious award in the "Fit To Print" category of journalism. Sandra is also a member of the Gold Key Honor Society. As a community leader, she served as President of Central Virginia's Educational Society for Resource Management (APICS) chapter for several years.</t>
  </si>
  <si>
    <t>344887-75P</t>
  </si>
  <si>
    <t>Sanjiv Jain</t>
  </si>
  <si>
    <t>Sanjiv</t>
  </si>
  <si>
    <t>Group Chief Accounting Officer</t>
  </si>
  <si>
    <t>sanjiv.jain@g42.ai</t>
  </si>
  <si>
    <t>Mr. Sanjiv Jain serves as Group Chief Accounting Officer at G42. Mr. Jain brings with him over 25 years of global experience in strategic finance, business set up, and restructuring. He has held several leadership roles across a wide spectrum of industries, including defense, cybersecurity, construction, and oil &amp; gas. Before joining G42, he held the position of Vice President of Finance for a key government entity in Abu Dhabi, where he was responsible for the entire finance function worth AED 2 billion and the organization's business transition.
He holds an MBA from SP Jain, UAE; and degrees in Chartered Accountancy, Cost Accountancy, and Company Secretary from prestigious institutions in India. His areas of expertise also include financial planning, business acquisition and divestment, pricing, enterprise risk management, policy development, treasury fundraising, and banking, among others.</t>
  </si>
  <si>
    <t>143915-77P</t>
  </si>
  <si>
    <t>Sarah Scace</t>
  </si>
  <si>
    <t>pureLiFi</t>
  </si>
  <si>
    <t>Scace</t>
  </si>
  <si>
    <t>www.purelifi.com</t>
  </si>
  <si>
    <t>Chief Marketing &amp; Communications Officer</t>
  </si>
  <si>
    <t>+44 (0)13 1516 1816</t>
  </si>
  <si>
    <t>sarah.scace@purelifi.com</t>
  </si>
  <si>
    <t>Second Floor Rosebery House</t>
  </si>
  <si>
    <t>9 Haymarket Terrace</t>
  </si>
  <si>
    <t>EH12 5EZ</t>
  </si>
  <si>
    <t>Ms. Sarah Scace serves as Chief Marketing &amp; Communications Officer at pureLiFi. Ms. Sarah Scace served as Business Manager at Old College Capital. She worked on marketing and projects for company formation. Her role is to build and deliver a cohesive approach to internal and external communications within the Company Formation team at Edinburgh Research and Innovation. Before joining the University of Edinburgh, Sarah spent the previous 5 years managing the Glasgow Region of The Prince's Scottish Youth Business Trust, helping young people start-up and continue in business. She is an experienced Marketing &amp; Communications leader with 20 years of experience across various industries. Her career began in the craft brewing industry before transitioning to working on brand development and digital presence for a range of companies across North America within finance, oil &amp; gas, and telecommunications. After relocating to Scotland from Toronto, she worked with one of King Charles III Charities, PSYBT, before joining Edinburgh Innovations, the commercialization arm of the University of Edinburgh. In 2016, Sarah joined pureLiFi, to lead the development of their Marketing and Communications efforts.</t>
  </si>
  <si>
    <t>50326-03P</t>
  </si>
  <si>
    <t>Scott Longhurst</t>
  </si>
  <si>
    <t>Arqiva</t>
  </si>
  <si>
    <t>Longhurst</t>
  </si>
  <si>
    <t>www.arqiva.com</t>
  </si>
  <si>
    <t>+44 (0)33 3032 8000</t>
  </si>
  <si>
    <t>Winchester, United Kingdom</t>
  </si>
  <si>
    <t>Crawley Court</t>
  </si>
  <si>
    <t>Winchester</t>
  </si>
  <si>
    <t>SO21 2QA</t>
  </si>
  <si>
    <t>Mr. Scott Longhurst serves as Non-Executive Director at Arqiva. He served as Executive Director at Anglian Water Group. Between 1991 and 2000, he held a number of financial and commercial roles with Shell encompassing corporate, operating company, and joint venture activities across Europe, the Far East, and the Middle East. He is a Fellow of the Institute of Chartered Accountants in England and Wales and a founding member of HRH The Prince of Wales Accounting for Sustainability CFO Leadership Network. He also serves as a Board Member at Infinis Energy. Appointed to the board in February 2023, Scott has over 25 years of experience in Infrastructure and Utility businesses. He was formerly Group Finance Director of Anglian Water Group (AWG) and Managing Director of its non-regulated business until 2019. Prior to AWG, he was Chief Accounting Officer of TXU Corporation and CFO of its regulated electric and gas businesses. Scott also held a number of financial and commercial roles with Shell encompassing corporate, operating company and joint venture activities across Europe, the Far East and Middle East. He is currently also on the boards of FCC Aqualia S.A., EVOS BV (Audit Chair), Infinis Energy Management Limited (Audit Chair), and a Senior Adviser to Igneo Infrastructure Partners. He is a Fellow of the Institute of Chartered Accountants in England and Wales, and a founding member of the Accounting for Sustainability CFO Leadership Network.</t>
  </si>
  <si>
    <t>247442-50P</t>
  </si>
  <si>
    <t>Scott MacKenzie</t>
  </si>
  <si>
    <t>Athena Cloud</t>
  </si>
  <si>
    <t>MacKenzie</t>
  </si>
  <si>
    <t>www.athenacloud.io</t>
  </si>
  <si>
    <t>+1 (437) 703-3815</t>
  </si>
  <si>
    <t>scott.mackenzie@athenacloud.io</t>
  </si>
  <si>
    <t>172 King Street East</t>
  </si>
  <si>
    <t>M5A 1J3</t>
  </si>
  <si>
    <t>Mr. Scott MacKenzie serves as Chief Executive Officer at Athena Cloud. Mr. MacKenzie also serves as Chief Executive Officer at Cloud Carib (Bahamas)He is a visionary leader in the technology services industry with over 25+ years' experience operating as a senior executive and industry expert for AT&amp;T, PSINet and Qatar Foundation. He has demonstrated success growing startups to billion-dollar valuations.</t>
  </si>
  <si>
    <t>44231-23P</t>
  </si>
  <si>
    <t>Scott Parker</t>
  </si>
  <si>
    <t>Bloxr Solutions</t>
  </si>
  <si>
    <t>Parker</t>
  </si>
  <si>
    <t>www.bloxr.com</t>
  </si>
  <si>
    <t>+1 (801) 590-9880</t>
  </si>
  <si>
    <t>West Valley City, UT</t>
  </si>
  <si>
    <t>2250 South 1300 West</t>
  </si>
  <si>
    <t>Suite C</t>
  </si>
  <si>
    <t>West Valley City</t>
  </si>
  <si>
    <t>84119</t>
  </si>
  <si>
    <t>+1 (877) 254-4888</t>
  </si>
  <si>
    <t>Mr. Scott Parker serves as a Board Member at Bloxr Solutions. He is the President Emeritus of Intermountain Healthcare (IHC). He was the founding president of IHC since April 1975 and served in that position until his retirement in 1998. Under his direction, IHC has been named the number-one integrated health care organization in the US by Modern Healthcare magazine and the SMG research firm. Mr. Parker received his bachelor's degree in business from the University of Utah in 1960 and his master of hospital administration degree in 1962 from the University of Minnesota in Minneapolis. He also serves or has served on a number of other corporate boards, including the Huntsman Cancer Foundation, First Security Corporation, B.M.W. Bank of North America, and Questar Corporation, among others.</t>
  </si>
  <si>
    <t>455999-86P</t>
  </si>
  <si>
    <t>Carefx (Former)</t>
  </si>
  <si>
    <t>www.carefx.com</t>
  </si>
  <si>
    <t>Mr. Scott Parker served as Board Member at Carefx. He was president of Intermountain Health Care (IHC) from 1975 until his retirement in 1998. Under his direction IHC developed into an integrated health system with hospitals, health insurance plans and employed physicians. IHC has been named the country's top integrated system five of the past six years and is considered a national model. Prior to IHC, Mr. Parker headed hospitals and health systems in Minnesota, Arizona and California. He served as the chairman of the American Hospital Association, president of the International Hospital Federation, chairman of the Hospital Research and Development Institute and was a trustee for the National Committee for Quality Health Care. He has also served as a member of the Institute of Medicine of the National Academy of Sciences. In 2005, Mr. Parker was inducted into the prestigious Philadelphia-based Health Care Hall of Fame. He received his bachelor's degree from the University of Utah in 1960 and a master's degree in hospital administration from the University of Minnesota in 1962.</t>
  </si>
  <si>
    <t>190911-16P</t>
  </si>
  <si>
    <t>Sean Connaughton</t>
  </si>
  <si>
    <t>Virginia Hospital &amp; Healthcare Association</t>
  </si>
  <si>
    <t>Connaughton</t>
  </si>
  <si>
    <t>Sean</t>
  </si>
  <si>
    <t>www.vhha.com</t>
  </si>
  <si>
    <t>+1 (804) 965-1352</t>
  </si>
  <si>
    <t>sconnaughton@vhha.com</t>
  </si>
  <si>
    <t>Glen Allen, VA</t>
  </si>
  <si>
    <t>4200 Innslake Drive</t>
  </si>
  <si>
    <t>Suite 203</t>
  </si>
  <si>
    <t>Glen Allen</t>
  </si>
  <si>
    <t>23060</t>
  </si>
  <si>
    <t>Mr. Sean Connaughton serves as President, Board Member &amp; Chief Executive Officer at Virginia Hospital &amp; Healthcare Association. Prior to joining VHHA, Mr. Connaughton served as Virginia's Transportation Secretary from 2010-2014 in the Cabinet of Governor Robert F. McDonnell. In that role, he led efforts to pass a major transportation funding package for the Commonwealth in 2013. Connaughton served in a Presidentially-appointed, U.S. Senate-confirmed position as Administrator of the United States Maritime Administration from 2006-2009, and was Corporate Vice President of Government Affairs for the American Bureau of Shipping. Connaughton's public service also extends to elected office - from 2000-2006, he was Chairman of the Prince William County Board of Supervisors, which is the chief elected position in Virginia's second largest country and the armed forces. Connaughton served as a commissioned officer on active duty with the United States Coast Guard, and later joined the United States Naval Reserve, retiring from that service with the rank of Commander. Connaughton is a licensed attorney admitted to practice in Virginia and the District of Columbia. He practiced law for 15 years with private firms and has appeared before the United States Supreme Court. He has a Bachelor's degree from the United States Merchant Marine Academy, a Master's degree from Georgetown University, a law degree from George Mason University, and he graduated from the United States Naval War College. Connaughton has received numerous awards over the years, including Alumnus of the Year from George Mason University, the Distinguished Service Award from the National Association of Counties, the Vincent T. Hirsch Maritime Award for Outstanding Leadership from the Navy League of the United States, Maritime Person of the Year from the Propeller Club of the United States, the Maritime Samaritan Award from the Apostleship of the Sea of the United States, and Government Man of the Year from the Maritime Port Council of Greater New York. He also has been designated a Henry Toll Fellow by the Council of State Governments, a Virginia Institute of Political Leadership Fellow, and recently was named a Fellow by the Virginia Law Foundation.</t>
  </si>
  <si>
    <t>318780-55P</t>
  </si>
  <si>
    <t>ADC Acquisition Corporation (Former)</t>
  </si>
  <si>
    <t>www.adcspac.com</t>
  </si>
  <si>
    <t>Chief Executive Officer &amp; Executive Director</t>
  </si>
  <si>
    <t>Mr. Seif Fikry served as Chief Executive Officer &amp; Executive Director at Adc Acquisition Corp. He is a leading C-Level Capital Markets professional with over 25 years of experience in securities, coverage and origination, unrivalled market and regulatory knowledge as well as business development acumen in the field. Mr. Fikry joined Chimera Capital as a board member and CEO in November 2018 and helped launch the first SCA (Emirates Securities &amp; Commodities Authority) umbrella fund and the first SCA ETF in 2020. In 2017, Mr. Fikry founded Sthenos Management Consultancy - a consultancy service which works closely with the financial services industry, markets and regulators in developing and enhancing the industry in the MENA region. In December 2015, he founded Afkar Capital - an incubator for fund start-ups and the first licensed entity in ADGM, where he launched the first UCITS physical in-kind ETF in the MENA region with S&amp;P and BNY Mellon.</t>
  </si>
  <si>
    <t>385703-20P</t>
  </si>
  <si>
    <t>Sep Bogdan</t>
  </si>
  <si>
    <t>RAVAS Mobile Weighing</t>
  </si>
  <si>
    <t>Bogdan</t>
  </si>
  <si>
    <t>Sep</t>
  </si>
  <si>
    <t>www.ravas.com</t>
  </si>
  <si>
    <t>+31 (0)41 851 5220</t>
  </si>
  <si>
    <t>sep.bogdan@ravas.com</t>
  </si>
  <si>
    <t>Zaltbommel, Netherlands</t>
  </si>
  <si>
    <t>Veilingweg 17</t>
  </si>
  <si>
    <t>Zaltbommel</t>
  </si>
  <si>
    <t>5301 KM</t>
  </si>
  <si>
    <t>Mr. Sep Bogdan serves as Chief Financial Officer at RAVAS Mobile Weighing. Sep Bogdan has extensive work experience in finance and control roles. Before that, they worked at Forbo Flooring Systems from 2019 to 2023 as the Finance Director of Benelux, leading finance and control activities for the Benelux region. Sep also held various roles at ABB, including Finance Integration Manager for intrusion from 2018 to 2019, Division Controller for Power Grids Benelux from 2017 to 2019, and Division Controller for Robotics and Motion Benelux from 2013 to 2019. Before joining ABB, they worked as the Group Controller at IHC Merwede from 2011 to 2013, and as an Advisor Transaction Services and Transfer Pricing Consultant at PricewaterhouseCoopers from 2005 to 2011. Sep Bogdan's expertise lies in financial reporting, budgeting and forecasting, financial integration, and operational excellence.</t>
  </si>
  <si>
    <t>88793-29P</t>
  </si>
  <si>
    <t>Serge Kozak</t>
  </si>
  <si>
    <t>DearJane</t>
  </si>
  <si>
    <t>Kozak</t>
  </si>
  <si>
    <t>Serge</t>
  </si>
  <si>
    <t>www.dearjane.com.au</t>
  </si>
  <si>
    <t>Co-Founder, Director &amp; Medical Editor, Review Team</t>
  </si>
  <si>
    <t>+61 (0)4 2111 5992</t>
  </si>
  <si>
    <t>skozak@dearjane.com.au</t>
  </si>
  <si>
    <t>850/243 Pyrmont Street</t>
  </si>
  <si>
    <t>Pyrmont</t>
  </si>
  <si>
    <t>2069</t>
  </si>
  <si>
    <t>Mr. Serge Kozak is a Co-Founder and serves as Director &amp; Medical Editor, Review Team at DearJane. He joining DearJane Dr Kozak worked as a primary care physician at the Prince of Wales Hospital and was an assistant professor of medicine at University of Sydney, Australia where he focused on quality improvement and implementation of science training. Serge also was the site lead for a national VA pilot program aimed at improving care for veterans at high risk for hospitalisation or emergency care. His work centered on managing an interdisciplinary health care team that coordinated care between home, hospital, and office settings for these high-risk patients.</t>
  </si>
  <si>
    <t>454333-15P</t>
  </si>
  <si>
    <t>Sergio Blando</t>
  </si>
  <si>
    <t>Seed Group (Media and Information Services)</t>
  </si>
  <si>
    <t>Blando</t>
  </si>
  <si>
    <t>Sergio</t>
  </si>
  <si>
    <t>www.seedgroup.com.mx</t>
  </si>
  <si>
    <t>Founder, Chief Executive Officer and Director</t>
  </si>
  <si>
    <t>+52 (01)55 5584 5612</t>
  </si>
  <si>
    <t>sergio.blando@seedgroup.com.mx</t>
  </si>
  <si>
    <t>Av. Sta. Lucia 118</t>
  </si>
  <si>
    <t>Alfonso XIII, Álvaro Obregón</t>
  </si>
  <si>
    <t>Ciudad De Mexico</t>
  </si>
  <si>
    <t>01460</t>
  </si>
  <si>
    <t>Mr. Sergio Blando is the Founder and serves as Chief Executive Officer and Director at Seed Group.</t>
  </si>
  <si>
    <t>172427-41P</t>
  </si>
  <si>
    <t>Shahin Iqbal Ph.D</t>
  </si>
  <si>
    <t>BioGX</t>
  </si>
  <si>
    <t>www.biogx.com</t>
  </si>
  <si>
    <t>Chief Operating Officer &amp; President</t>
  </si>
  <si>
    <t>+1 (205) 250-8055</t>
  </si>
  <si>
    <t>shahin.iqbal@biogx.com</t>
  </si>
  <si>
    <t>2450 Valleydale Road</t>
  </si>
  <si>
    <t>35244</t>
  </si>
  <si>
    <t>+1 (205) 449-8055</t>
  </si>
  <si>
    <t>Dr. Shahin Iqbal serves as Chief Operating Officer &amp; President at BioGX. Dr. Iqbal has over 25 years of experience in clinical molecular diagnostics. Before joining BioGX, Dr. Iqbal led the Abbott Diagnostics Global Service &amp; Support specifically for informatics, core lab automation, immunoassay and clinical chemistry systems. He was also responsible for design and development of FISH automation systems at Abbott Molecular. He is the recipient of the President awards and multiple service &amp; innovation awards at Abbott. Dr. Iqbal holds multiple patents on optical sensors, automation systems development, RFID applications and robotics for system dispensing. Prior to joining Abbott, Dr. Iqbal was Head of operations, quality &amp; regulatory, systems development and manufacturing of IHC systems at BioGenex in California. Dr. Iqbal has an MBA and Ph.D as well as a Masters in Electrical Engineering degree from the University of Texas in San Antonio.</t>
  </si>
  <si>
    <t>315740-44P</t>
  </si>
  <si>
    <t>Shamal Deb</t>
  </si>
  <si>
    <t>Confer (Former)</t>
  </si>
  <si>
    <t>Deb</t>
  </si>
  <si>
    <t>Shamal</t>
  </si>
  <si>
    <t>www.confersolutions.ai</t>
  </si>
  <si>
    <t>Mr. Shamal Deb served as Chief Technology Officer at Confer. He has more than 22 years of experience in Software Development, Workflow Process Automation, Business Rule Automation, Microservices, and API Technology. Leadership with Innovation, Visionary, and Strategic in delivering Financial Services in Consumer Lending businesses.</t>
  </si>
  <si>
    <t>444849-40P</t>
  </si>
  <si>
    <t>Shamal Dias</t>
  </si>
  <si>
    <t>Yusha</t>
  </si>
  <si>
    <t>Dias</t>
  </si>
  <si>
    <t>www.yusha.ai</t>
  </si>
  <si>
    <t>Co-Founder &amp; Tech Lead</t>
  </si>
  <si>
    <t>Mr. Shamal Dias is a Co-Founder and serves as Tech Lead at Yusha.</t>
  </si>
  <si>
    <t>459088-66P</t>
  </si>
  <si>
    <t>Shamal Faily</t>
  </si>
  <si>
    <t>HuaHana (Former)</t>
  </si>
  <si>
    <t>Faily</t>
  </si>
  <si>
    <t>www.huahana.com</t>
  </si>
  <si>
    <t>+44 (0)78 0847 5784</t>
  </si>
  <si>
    <t>Dr. Shamal Faily founded HuaHana.</t>
  </si>
  <si>
    <t>286015-87P</t>
  </si>
  <si>
    <t>Shamal Nambolan</t>
  </si>
  <si>
    <t>Nambolan</t>
  </si>
  <si>
    <t>Co-Founder &amp; Chief Operating Officer</t>
  </si>
  <si>
    <t>shamal@easysoftindia.com</t>
  </si>
  <si>
    <t>Mr. Shamal Nambolan is a Co-Founder &amp; serves as Chief Operating Officer at Easysoft Technologies. Every business needs someone to take the reins and steer it in the right direction. In that perspective, Mr. Nambolan be named as the driver of the company. Right from managing the daily nuances of administration, finance and accounts, to catering to the in-depth needs of customer relations and HR, Shamal plays a key role in the decision-making processes. Equipped with one of the best technical minds of our day, he has brilliant knowledge in web related technologies, especially pertaining to web &amp; email hosting services. Known as the happy-go-lucky-guy amongst all his friends, he is well known in his circles as the "guy with the evergreen smile".</t>
  </si>
  <si>
    <t>410261-68P</t>
  </si>
  <si>
    <t>Shamal Perera</t>
  </si>
  <si>
    <t>Axionent</t>
  </si>
  <si>
    <t>Perera</t>
  </si>
  <si>
    <t>www.axionent.com</t>
  </si>
  <si>
    <t>+1 (972) 743-8020</t>
  </si>
  <si>
    <t>Richardson, TX</t>
  </si>
  <si>
    <t>1201 International Parkway</t>
  </si>
  <si>
    <t>Suite 200E</t>
  </si>
  <si>
    <t>Richardson</t>
  </si>
  <si>
    <t>75081</t>
  </si>
  <si>
    <t>Mr. Shamal Perera serves as Chief Executive Officer at Axionent. He is a Group Director of the Access Group of Companies and oversees the strategic business direction of Axionent in his capacity as the CEO. His primary focus is in the healthcare sector, technology-enabled healthcare and next-generation medical equipment. He began his career at Access, taking responsibility for the Healthcare Sector within the Group and has successfully driven the business to be among the top three companies in Sri Lanka in this field. Having completed several leadership and entrepreneurial programs by EY and the INSEAD School of Business he also holds an MBA from the University of Buckingham, UK.</t>
  </si>
  <si>
    <t>40818-34P</t>
  </si>
  <si>
    <t>Shamal Ranasinghe</t>
  </si>
  <si>
    <t>Audius</t>
  </si>
  <si>
    <t>Ranasinghe</t>
  </si>
  <si>
    <t>www.audius.co</t>
  </si>
  <si>
    <t>Chief Business Officer &amp; Advisor</t>
  </si>
  <si>
    <t>+1 (775) 204-7961</t>
  </si>
  <si>
    <t>shamal@audius.co</t>
  </si>
  <si>
    <t>Suite 43362</t>
  </si>
  <si>
    <t>94104</t>
  </si>
  <si>
    <t>Mr. Shamal Ranasinghe serves as Chief Business Officer and Advisor at Audius. He serves as Board Member at Envelop. He co-founded and served as Managing Director &amp; Board Member at Topspin. He also co-founded Sol System and Giveback. Mr. Ranasinghe received a Bachelor of Arts degree in economics and political science from Northwestern University and a Masters degree in Business Administration from Stanford University.</t>
  </si>
  <si>
    <t>379539-19P</t>
  </si>
  <si>
    <t>Shamal Wijesuriya</t>
  </si>
  <si>
    <t>Neoex Solutions</t>
  </si>
  <si>
    <t>Wijesuriya</t>
  </si>
  <si>
    <t>neoexsolutions.com</t>
  </si>
  <si>
    <t>+94 (0)78 6041249</t>
  </si>
  <si>
    <t>swijesuriya@neoexsolutions.com</t>
  </si>
  <si>
    <t>Gampaha, Sri Lanka</t>
  </si>
  <si>
    <t>34/G</t>
  </si>
  <si>
    <t>Gampaha</t>
  </si>
  <si>
    <t>Sri Lanka</t>
  </si>
  <si>
    <t>Mr. Shamal Wijesuriya is the Founder and serves as Chief Executive Officer at Neoex Solutions.</t>
  </si>
  <si>
    <t>363433-87P</t>
  </si>
  <si>
    <t>Sharon Sharminie</t>
  </si>
  <si>
    <t>Sharminie</t>
  </si>
  <si>
    <t>Sharon</t>
  </si>
  <si>
    <t>Ms. Sharon Sharminie serves as Chief Executive Officer at Royal Group.</t>
  </si>
  <si>
    <t>443920-06P</t>
  </si>
  <si>
    <t>Sheikh Abdul Aziz Al Nuaimi</t>
  </si>
  <si>
    <t>Ajman Holding</t>
  </si>
  <si>
    <t>Abdul Aziz Al Nuaimi</t>
  </si>
  <si>
    <t>www.ajmanholding.ae</t>
  </si>
  <si>
    <t>+971 (0)6 711 6801</t>
  </si>
  <si>
    <t>Ajman, United Arab Emirates</t>
  </si>
  <si>
    <t>Sheikh Khalifa Bin Zayed Road</t>
  </si>
  <si>
    <t>Ajman</t>
  </si>
  <si>
    <t>7777</t>
  </si>
  <si>
    <t>Mr. Sheikh Abdul Aziz Al Nuaimi serves as Chairman at Ajman Holding.</t>
  </si>
  <si>
    <t>52649-38P</t>
  </si>
  <si>
    <t>Sheikh Abdullah bin Khalifa Al Thani</t>
  </si>
  <si>
    <t>Amyris (Former)</t>
  </si>
  <si>
    <t>Abdullah bin Khalifa Al Thani</t>
  </si>
  <si>
    <t>www.amyris.com</t>
  </si>
  <si>
    <t>Mr. Sheikh Abdullah bin Khalifa Al Thani served as Board Member at Amyis. He has served as Special Advisor to the Emir since his appointment in April 2007, and was Prime Minister of Qatar from October 1996 to April 2007. He has served as Chairman of the board of directors of Qatar Investment and Projects Development Holding Company, a Qatari investment group, since March 2011 and as Chairman of the board of directors of Specialized International Services (SIS) Qatar, a business investment company, since October 2011. He graduated from the Royal Military Academy Sandhurst.</t>
  </si>
  <si>
    <t>63431-92P</t>
  </si>
  <si>
    <t>Sheikh Ahmed bin Khalid bin Hamad Al-Thani</t>
  </si>
  <si>
    <t>bin Hamad Al-Thani</t>
  </si>
  <si>
    <t>Sheikh Ahmed bin Khalid</t>
  </si>
  <si>
    <t>Chairperson</t>
  </si>
  <si>
    <t>Mr. Sheikh Ahmed Bin Khalid Bin Hamad Al-Thani served as Chairperson at Qatar Luxury Group.</t>
  </si>
  <si>
    <t>142025-77P</t>
  </si>
  <si>
    <t>Sheikh Mohammed Al-Thani</t>
  </si>
  <si>
    <t>Al Khaliji (Former)</t>
  </si>
  <si>
    <t>Sheikh Mohammed</t>
  </si>
  <si>
    <t>www.alkhaliji.com</t>
  </si>
  <si>
    <t>Mr. Sheikh Mohammed Al-Thani served as Non-Executive Member at Al Khaliji. He is the Vice Chairman of Al Faisal Holding and Aamal Company, one of the largest public shareholding companies in Qatar. Sheikh Mohamed is holder of Bachelors degree in science and Business Administration from Carnegie Mellon University, Qatar.</t>
  </si>
  <si>
    <t>54490-87P</t>
  </si>
  <si>
    <t>Sheikh Salman bin Hassan Al Thani</t>
  </si>
  <si>
    <t>Qatar Stock Exchange</t>
  </si>
  <si>
    <t>Hassan Al Thani</t>
  </si>
  <si>
    <t>Sheikh Salman bin</t>
  </si>
  <si>
    <t>www.qe.com.qa</t>
  </si>
  <si>
    <t>+974 44333666</t>
  </si>
  <si>
    <t>P.O.Box 22114</t>
  </si>
  <si>
    <t>Al Dana Tower, West Bay</t>
  </si>
  <si>
    <t>+974 44319233</t>
  </si>
  <si>
    <t>Mr. Sheikh Salman bin Hassan Al Thani serves as Board Member at Qatar Stock Exchange. Mr. Hassan Al Thani serves as Board Member at Katara Hospitality. Mr. Hassan Al Thani is the Chief Financial Officer (CFO) at the Qatar Foundation and oversees the Finance and Strategy functions. Key responsibilities include QF Strategic Planning, business planning; budget development, performance management and insurance activities in order to ensure alignment with the QF Strategic Plan under the Vice-Chairperson and CEO leadership. Prior to his appointment in April 2016, Sh. Salman held the roles of the Chief Strategy and Business Development Officer as well as the Chief Financial Officer &amp; Director of Tax at the Qatar Financial Center Authority (QFC Authority). Between 2010 and 2014, Sh. Salman was with the Qatar Central Bank in various roles culminating in his role as the Risk Management Director. He also served on the board of the Qatar Securities Depository &amp; the Chair of the Financial Markets Development Sub-Committee as well as on the Financial Stability &amp; Risk Control Committee. He joined Qatar Petroleum Project Finance Department after completing his undergraduate degree in Banking and Financial Studies from Qatar University where he received H.H. the Heir Apparent's Golden Award in Education Excellence and an academic excellence medal from Qatar University.</t>
  </si>
  <si>
    <t>259622-92P</t>
  </si>
  <si>
    <t>Sheikh Tahnoun Al Nahyan</t>
  </si>
  <si>
    <t>Sheikh Tahnoun</t>
  </si>
  <si>
    <t>Co-Owner &amp; Chairman</t>
  </si>
  <si>
    <t>sheikhtahnoun.alnahyan@g42.ai</t>
  </si>
  <si>
    <t>Mr. Sheikh Tahnoun Al Nahyan is a Co-Owner &amp; serves as Chairman at G42.</t>
  </si>
  <si>
    <t>310043-35P</t>
  </si>
  <si>
    <t>Sherrie Ross</t>
  </si>
  <si>
    <t>Symcor (Former)</t>
  </si>
  <si>
    <t>Sherrie</t>
  </si>
  <si>
    <t>www.symcor.ca</t>
  </si>
  <si>
    <t>+1 (905) 273-1000</t>
  </si>
  <si>
    <t>sross@symcor.ca</t>
  </si>
  <si>
    <t>Ms. Sherrie Ross served as Senior Vice President &amp; Chief Financial Officer at Symcor. She oversees Symcor's administrative, financial, and risk management operations in alignment with building and executing the company's strategic vision. She entered her current role in 2016 after ten years with the company. Before joining Symcor, she brought a wealth of experience from her former posts as Senior Manager of Financial Reporting at both Royal Group Technologies and Hollinger Inc. She received her Bachelor of Arts with Honours in Economics from York University.</t>
  </si>
  <si>
    <t>223399-45P</t>
  </si>
  <si>
    <t>Shige Yu</t>
  </si>
  <si>
    <t>Siger Data</t>
  </si>
  <si>
    <t>Yu</t>
  </si>
  <si>
    <t>Shige</t>
  </si>
  <si>
    <t>www.siger-data.com</t>
  </si>
  <si>
    <t>Founder, Chairman, General Manager &amp; Chief Executive Officer</t>
  </si>
  <si>
    <t>+86 (0)512 6742 5209</t>
  </si>
  <si>
    <t>shige.yu@siger-data.com</t>
  </si>
  <si>
    <t>Suzhou, China</t>
  </si>
  <si>
    <t>Unit 9-201, Creative Industry Park</t>
  </si>
  <si>
    <t>No. 328 Xinghu Street, Suzhou Industrial Park</t>
  </si>
  <si>
    <t>Suzhou</t>
  </si>
  <si>
    <t>Mr. Shige Yu is the Founder and serves as Chairman, General Manager &amp; Chief Executive Officer at Siger Data. Mr. Yu has worked as a Six Sigma Master and Senior Quality Engineer at Nestea Motors, Trina Motors and China CNR, completing over 100 projects and saving over $50 million in total.</t>
  </si>
  <si>
    <t>293881-78P</t>
  </si>
  <si>
    <t>Shimmy Mathew</t>
  </si>
  <si>
    <t>Mathew</t>
  </si>
  <si>
    <t>Shimmy</t>
  </si>
  <si>
    <t>s.mathew@arada.com</t>
  </si>
  <si>
    <t>Mr. Shimmy Mathew serves as Chief Financial Officer at Arada Developments. He serves as Chief Financial Officer at Raimondi Cranes. He serves as Group Chief Financial Officer at KBW Investments. He is a Chartered Accountant with more than two decades of practical and theoretical experience across numerous commercial segments, specializing in financing and relevant strategic measures associated with business acquisitions and their administration. Appointed in 2013 as Chief Financial Officer of KBW Investments, he was additionally Chief Financial Officer of the company. His functional expertise in fields including auditing, strategy development and execution, finance, and corporate structuring and implementation, is utilized across the company in addition to the development and implementation of all of the company's financial systems, policies, procedures, mandates, and standards. He has also been instrumental in securing the support of leading UAE banks for several large-scale financing packages that are supporting the construction of the company's projects.</t>
  </si>
  <si>
    <t>150102-37P</t>
  </si>
  <si>
    <t>Shradha Dahotre</t>
  </si>
  <si>
    <t>Artbugs.in (Former)</t>
  </si>
  <si>
    <t>Dahotre</t>
  </si>
  <si>
    <t>Shradha</t>
  </si>
  <si>
    <t>www.artbugs.in</t>
  </si>
  <si>
    <t>Co-Founder &amp; Chief Creative Officer</t>
  </si>
  <si>
    <t>Ms. Shradha Dahotre co-founded Artbugs.in and also served as its Chief Creative Officer. Artbugs has been conceptualized by our Founder &amp; award winning artist Shradha Dahotre. She has been featured on CNBC, Bombay Times and other publications. She has also featured in India's Next 100 Women Artists at the Coomerswamy Hall, Prince of Wales Museum, Mumbai in 2012. Shradha specializes in sculptures and digital art creations.</t>
  </si>
  <si>
    <t>293879-89P</t>
  </si>
  <si>
    <t>Shrikant Kabboor</t>
  </si>
  <si>
    <t>Kabboor</t>
  </si>
  <si>
    <t>Shrikant</t>
  </si>
  <si>
    <t>s.kabboor@arada.com</t>
  </si>
  <si>
    <t>Mr. Shrikant Kabboor serves as Chief Technology Officer at Arada Developments. Mr. Kabboor has more than 22 years experience of in developing successful digital technology strategies, processes, policies and procedures, and has demonstrated the ability to translate emerging technologies into business solutions to create value. He has served in executive leadership roles in a number of property development firms such as Emaar, Majid Al Futtaim and Union Properties. Prior to coming to the UAE, he worked at a number of large-scale technology-driven companies including Idea Cellular (AT&amp;T/Vodafone), Oracle and Agilent Technologies. He holds a BSc from Karnataka University and a post-graduate MBA specializing in finance from VAMNICOM, Pune. Other certifications include CISA, CGEIT, PMP, Six Sigma and Beyond Smart Cities Technologies from MIT.
.</t>
  </si>
  <si>
    <t>135832-06P</t>
  </si>
  <si>
    <t>Shukai Jiao</t>
  </si>
  <si>
    <t>Kaiima (Former)</t>
  </si>
  <si>
    <t>Jiao</t>
  </si>
  <si>
    <t>Shukai</t>
  </si>
  <si>
    <t>www.kaiima.com.br</t>
  </si>
  <si>
    <t>Co-Chief Executive Officer</t>
  </si>
  <si>
    <t>Mr. Shukai Jiao served as Co-Chief Executive Officer at Kaiima Bio-Agritech. He worked in the Chinese seed industry for more than twenty years. He served as Director of the Corn Research Institute of Jilin Provincial Academy of Agricultural Sciences, R&amp;D Lead of Monsanto China, one of the Co-Heads of China National Dekalb Seed Co. (a joint-venture company between China National Seed Group and Monsanto). Mr. Jiao also served as Greater China National Sales Lead of Seminis. Mr. Jiao got his Master Degree in Plant Breeding and Genetics from Jilin University of Agriculture.</t>
  </si>
  <si>
    <t>390433-06P</t>
  </si>
  <si>
    <t>Siger Spaas</t>
  </si>
  <si>
    <t>Borealis Hotel Group</t>
  </si>
  <si>
    <t>Spaas</t>
  </si>
  <si>
    <t>www.borealishotelgroup.com</t>
  </si>
  <si>
    <t>+31 (0)20 301 2255</t>
  </si>
  <si>
    <t>siger@borealishotelgroup.nl</t>
  </si>
  <si>
    <t>Amstelveen, Netherlands</t>
  </si>
  <si>
    <t>Van Heuven Goedhartlaan 13-A-1</t>
  </si>
  <si>
    <t>Amstelveen</t>
  </si>
  <si>
    <t>1181 LE</t>
  </si>
  <si>
    <t>Mr. Siger Spaas serves as Chief Financial Officer at Borealis Hotel Group. He served as CFO of Albert Heijn, Etos and Gall &amp; Gall. Before that, Siger also served as CFO for Delhaize in Belgium and Luxemburg and as CFO of Albert in the Czech Republic. He holds a master's degree in business economics from the Erasmus University in Rotterdam and a post-master's degree in Finance and Control from the Neyenrode University.</t>
  </si>
  <si>
    <t>369518-68P</t>
  </si>
  <si>
    <t>Simon Cliff</t>
  </si>
  <si>
    <t>City Football Group</t>
  </si>
  <si>
    <t>Cliff</t>
  </si>
  <si>
    <t>www.cityfootballgroup.com</t>
  </si>
  <si>
    <t>+44 (0)16 1444 1894</t>
  </si>
  <si>
    <t>400 Ashton New Road</t>
  </si>
  <si>
    <t>M11 4TQ</t>
  </si>
  <si>
    <t>Mr. Simon Cliff served as General Counsel at City Football. Mr. Cliff serves as Board Member at Girona FC. He is also a trustee of City in the Community, Manchester. Before this, he was a corporate finance lawyer in the City of London, working on international mergers, acquisitions, and equity capital markets transactions. He was part of the legal team representing Abu Dhabi United Group in acquiring Manchester City FC in 2008. He was then asked to join the club on secondment from his law firm, making the permanent move to Manchester in early 2009.</t>
  </si>
  <si>
    <t>195405-13P</t>
  </si>
  <si>
    <t>Simon Tay</t>
  </si>
  <si>
    <t>Hyflux. (Former)</t>
  </si>
  <si>
    <t>Tay</t>
  </si>
  <si>
    <t>www.hyflux.com</t>
  </si>
  <si>
    <t>Mr. Simon Tay served as Non-Executive Independent Director &amp; Member of the Board's Risk Management and Investment Committees at Hyflux. He is appointed as Commissioner at PT Oasis (Indonesia), in which Hyflux has 50% indirect interest. He is Chairman of the Singapore Institute of International Affairs, the country's oldest think tank and founding member of the ASEAN network of think tanks. He is concurrently Associate Professor, teaching international law at the National University of Singapore. He is also a Senior Consultant at WongPartnership, a leading Asian law firm. He is a Global Advisor to the Mitsubishi United Financial Group and an Independent Director on private boards for LGT Bank of Liechtenstein and Far East Organization. He is also an Independent Director of Top Glove Corporation Bhd, a Bursa Malaysia listed company having a secondary listing on SGX. From 1992 to 2008, he served in public positions for Singapore, including Chairman of the National Environment Agency, Nominated Member of Parliament, and coordinated the Singapore Volunteers Overseas. He continues to serve Singapore in a number of roles including as an Expert and Eminent Person in the ASEAN Regional Forum, a member of the government's Climate Change Network and as vice chairman of the Asia Pacific Water Forum. He graduated in law from the National University of Singapore (1986) and with a Masters in Law from Harvard Law School (1993).</t>
  </si>
  <si>
    <t>152707-42P</t>
  </si>
  <si>
    <t>Sok Kosal</t>
  </si>
  <si>
    <t>AMK Microfinance Institution</t>
  </si>
  <si>
    <t>Kosal</t>
  </si>
  <si>
    <t>Sok</t>
  </si>
  <si>
    <t>www.amkcambodia.com</t>
  </si>
  <si>
    <t>+855 (0)23 220 202</t>
  </si>
  <si>
    <t>sok.kosal@amkcambodia.com</t>
  </si>
  <si>
    <t>Building Number 85, Yothapol Khemarak Phoumin Boulevard (271)</t>
  </si>
  <si>
    <t>Sangkat Tumnob Tuek, Khan Boeng Keng Kang</t>
  </si>
  <si>
    <t>+855 (0)23 221 650</t>
  </si>
  <si>
    <t>Mr. Sok Kosal serves as Chief Information Officer at AMK Microfinance Institution. He joined AMK in April 2015 as Chief Information Officer (CIO). Kosal has more than fourteen years of experiences in IT Career, moving from IT support level to a senior IT Manager in many multinational companies, such as Imperial Tobacco Vietnam (Imperial Tobacco Group), Sotelco Ltd. (Vimpelcom Group) and One TV (GS Group partners with Royal Group Cambodia). It had been a long journey where lots of challenges and changes had happened and been adapted successfully. Kosal holds a Master's Degree in IT Management from INNOTECH-CBAM.</t>
  </si>
  <si>
    <t>335027-89P</t>
  </si>
  <si>
    <t>Stas Verichev Ph.D</t>
  </si>
  <si>
    <t>Vibrotwist</t>
  </si>
  <si>
    <t>Verichev</t>
  </si>
  <si>
    <t>Stas</t>
  </si>
  <si>
    <t>www.vibrotwist.com</t>
  </si>
  <si>
    <t>Dordrecht, Netherlands</t>
  </si>
  <si>
    <t>Anthonie Camerlingstraat 36</t>
  </si>
  <si>
    <t>Dordrecht</t>
  </si>
  <si>
    <t>Zuid-Holland</t>
  </si>
  <si>
    <t>3312 EA</t>
  </si>
  <si>
    <t>Mr. Stas Verichev is a Co-Founder and serves as Chief Executive Officer at Vibrotwist. After doing his Postdoc at TU Delft he was a small business owner. He has also worked as Mechanical Engineer at Schlumberger. He was a Project Manager at Royal IHC and Senior R&amp;D Engineer at Allseas.</t>
  </si>
  <si>
    <t>121843-27P</t>
  </si>
  <si>
    <t>Stefan Huber</t>
  </si>
  <si>
    <t>Centrum Bank (Former)</t>
  </si>
  <si>
    <t>Huber</t>
  </si>
  <si>
    <t>www.centrumbank.com</t>
  </si>
  <si>
    <t>Mr. Stefan Huber served as an Executive Director at Centrum Bank. Previously, he served as a Vice Director at LGT Bank in Liechtenstein AG.</t>
  </si>
  <si>
    <t>295370-74P</t>
  </si>
  <si>
    <t>Stefan Meierhofer</t>
  </si>
  <si>
    <t>Telos Capital Management</t>
  </si>
  <si>
    <t>Meierhofer</t>
  </si>
  <si>
    <t>www.telosinc.com</t>
  </si>
  <si>
    <t>+1 (858) 689-0887</t>
  </si>
  <si>
    <t>stefan@telosinc.com</t>
  </si>
  <si>
    <t>San Diego, CA</t>
  </si>
  <si>
    <t>13480 Evening Creek Drive North</t>
  </si>
  <si>
    <t>Suite 250</t>
  </si>
  <si>
    <t>San Diego</t>
  </si>
  <si>
    <t>92128</t>
  </si>
  <si>
    <t>+1 (858) 271-6360</t>
  </si>
  <si>
    <t>Mr. Stefan Meierhofer serves as President, Chief Executive Officer &amp; Director at Telos Capital Management. Mr. Meierhofer serves as a member of the Investment Advisory Committee (IAC) for the City of San Diego. He joined LGT Bank in Liechtenstein AG as Equity Trading Manager. As a member of their Investment Committee, he was actively involved in analyzing and trading European companies and gained a broad insight into global investing. In 1990 Mr. Meierhofer completed six months of educational training with various brokerage firms in New York, after which he moved to San Diego. Mr. Meierhofer completed the rigorous requirements to earn some of the most prestigious designations in the financial services industry. In 1996, he obtained his CFA® designation and became a member of the CFA Institute and the CFA Society of San Diego, where he served as Society President during the 2001-2002 fiscal year. He earned his CFP® (CERTIFIED FINANCIAL PLANNERTM) certification in 2006 and became a member of the FPA (Financial Planning Association) of San Diego. Mr. Meierhoferalso received formal training in investment fiduciary responsibility and attained the AIF® (Accredited Investment Fiduciary) designation in 2011. He formerly held Financial Industry Regulatory Authority (FINRA) Series 3, 4, 7, 24, and 63 licenses. Mr. Meierhoferearned his degree in Banking and Finance in 1981 and joined Bank Oppenheim Switzerland AG as an Institutional Sales Representative on the floor of the Zurich Stock Exchange. He earned his "Swiss-Certified Banker" diploma</t>
  </si>
  <si>
    <t>99081-19P</t>
  </si>
  <si>
    <t>Stephen Brown</t>
  </si>
  <si>
    <t>Inspired Teaching Demonstration School (Former)</t>
  </si>
  <si>
    <t>Brown</t>
  </si>
  <si>
    <t>www.inspiredteaching.org/inspired-teaching-demonstration-school</t>
  </si>
  <si>
    <t>Director of Finance and Operations</t>
  </si>
  <si>
    <t>Mr. Stephen Brown served as Director of Finance and Operations at Inspired Teaching Demonstration School. He is responsible for overseeing the day to day financial operations of Inspired Teaching and for providing senior staff with monthly, quarterly, and annual financial reports. He has worked in the accounting profession for 12 years, gaining experience as an auditor, senior accountant, and Director of Accounting/Controller. During the course of his accounting career, he also taught business education to middle school students before returning to the accounting profession in the non-profit sector. He received his Master's Degree in Accounting from Liberty University and his BS in Accounting from Hampton University. In addition, he received a Master's in Christian Education from The Carolina University of Theology and completed 12 graduate credit hours of education courses at Old Dominion University as part of his teacher certification for Prince William County, Virginia. He is excited to bring his passion for accounting and the teaching profession to support the mission of Inspired Teaching.</t>
  </si>
  <si>
    <t>48444-49P</t>
  </si>
  <si>
    <t>Stephen Norris JD</t>
  </si>
  <si>
    <t>Radpay (Former)</t>
  </si>
  <si>
    <t>Norris</t>
  </si>
  <si>
    <t>www.radpay.com</t>
  </si>
  <si>
    <t>Dr. Stephen Norris served as Advisor at Radpay. He served as Managing Director at Washington Investment Partners. Mr. Norris also served as a Chairman at Stephen Norris &amp; Co. Capital Partners. He was involved in the decision-making process in essentially every major Carlyle investment decision from its beginning as a $105 million fund that made investments of more than four times that amount through extensive use of co-investors and strategic partners. Those investments yielded an annual return on investment in excess of 40%. He also served on the boards of directors of major Carlyle portfolio companies. He was actively involved in recruiting all of Carlyle's current senior partners and played a major role in recruiting President George W. Bush to serve as a director of one of its portfolio companies and in enlisting former Secretary of State James Baker III and former Secretary of Defense Frank C. Carlucci to be senior partners of Carlyle. Mr. Norris acted as a principal financial advisor to Prince Al-Waleed bin Talal Al Saud of Kingdom Holding Company, in structuring and negotiating the re-capitalization of Citibank, which returned over $15 billion in profits on about $590 million of equity invested. He also advised or played a key role in other Kingdom Holding Company investments. He was appointed by former president George H.W. Bush and confirmed by the U.S. Senate to serve as one of five governing members of the $100 billion Federal Retirement System Thrift Investment Board. Since 1997, Mr. Norris, and certain members of his team, have worked on a number of investments including real estate investments in Europe and the United States. They were involved in amongst others the privatization of Thompson CSF, the recapitalization of Suez, the acquisition of portions of Credit Foncier's real estate portfolio in Paris by the German firm IVG, the formation of Nomura's (London) bid for a Dutch mortgage bank, the offer by a major Saudia Arabian investment firm for Lamborgini in Italy, and the formation of a bid by Leucadia International's for the Labouchere Bank in Holland. He also negotiated and structured investments in Synxis Corporation, which was backed by George Soros and Mr. Norris, and MARC Global Holdings. Mr. Norris served as a law clerk on the U.S. Tax Court and earned a B.S. and J.D. from the University of Alabama, was a fellow at Yale Law School and earned an L.L.M. in Taxation from New York University.</t>
  </si>
  <si>
    <t>17327-26P</t>
  </si>
  <si>
    <t>Stephen Patchin</t>
  </si>
  <si>
    <t>Royal Group (Former)</t>
  </si>
  <si>
    <t>Patchin</t>
  </si>
  <si>
    <t>Mr. Stephen Patchin served as President at Royal Group.</t>
  </si>
  <si>
    <t>375731-20P</t>
  </si>
  <si>
    <t>Steve Borowycz</t>
  </si>
  <si>
    <t>Borowycz</t>
  </si>
  <si>
    <t>Mr. Steve Borowycz serves as Chief Technology Officer at SNI Companies.</t>
  </si>
  <si>
    <t>194549-59P</t>
  </si>
  <si>
    <t>Steve Kussick Ph.D</t>
  </si>
  <si>
    <t>PhenoPath</t>
  </si>
  <si>
    <t>Kussick</t>
  </si>
  <si>
    <t>+1 (206) 985-7348</t>
  </si>
  <si>
    <t>skussick@phenopath.com</t>
  </si>
  <si>
    <t>1737 Airport Way South</t>
  </si>
  <si>
    <t>Suite 201</t>
  </si>
  <si>
    <t>98134-1636</t>
  </si>
  <si>
    <t>Dr. Steve Kussick serves as Medical Director at PhenoPath. He is Director of Contract Research, and Director of Flow Cytometry at PhenoPath Laboratories. He has extensive experience in the use of morphologic, immunophenotypic, and molecular methods in the diagnosis of hematolymphoid neoplasms. Dr. Kussick received his M.D. and Ph.D. from the Medical Scientist Training Program at the University of Washington, where he also completed his Anatomic Pathology Residency and Hematopathology Fellowship. He is board-certified in Anatomic Pathology and Hematopathology. Prior to joining PhenoPath, he was Attending Hematopathologist and Associate Director of Hematopathology in the Department of Laboratory Medicine at the University of Washington. At PhenoPath, Dr. Kussick established our 9-color flow cytometry laboratory in 2005, and transitioned the methodology to 10-color analysis in 2010. He has overseen the validation of numerous new IHC assays related to hematopathology. In addition to 14 years of attending experience in diagnostic hematopathology, Dr. Kussick has a broad research background, with over 35 peer-reviewed research publications in areas including flow cytometry, hematopathology, basic cancer biology and chronic disease epidemiology.</t>
  </si>
  <si>
    <t>268351-12P</t>
  </si>
  <si>
    <t>Steve Siger</t>
  </si>
  <si>
    <t>Otter (Information Services B2C) (Former)</t>
  </si>
  <si>
    <t>www.withotter.com</t>
  </si>
  <si>
    <t>Chief Operating Officer &amp; Chief Legal Officer</t>
  </si>
  <si>
    <t>Mr. Steve Siger served as Chief Operating Officer &amp; Chief Legal Officer at Otter.</t>
  </si>
  <si>
    <t>289912-51P</t>
  </si>
  <si>
    <t>Steven Gordon</t>
  </si>
  <si>
    <t>Reston Podiatry Associates</t>
  </si>
  <si>
    <t>Steven</t>
  </si>
  <si>
    <t>www.footandanklecentersva.com</t>
  </si>
  <si>
    <t>Podiatrist</t>
  </si>
  <si>
    <t>+1 (703) 437-6333</t>
  </si>
  <si>
    <t>Reston, VA</t>
  </si>
  <si>
    <t>1760 Reston Parkway</t>
  </si>
  <si>
    <t>Suite 310</t>
  </si>
  <si>
    <t>Reston</t>
  </si>
  <si>
    <t>+1 (703) 437-7837</t>
  </si>
  <si>
    <t>Dr. Steven Gordon serves as a Podiatrist at Reston Podiatry Associates. Previously, he owned the company. He is Board Certified by the American Board of Foot and Ankle Surgery and a Fellow of the American College of Foot and Ankle Surgeons. He currently serves as chairman of the podiatric surgery section of Reston Surgery Center, where he sits on the Medical Executive Committee. In addition, he serves as a member of the Infection Control Committee at Reston Hospital Center. He is continually involved with training surgical residents at the Medstar Washington Hospital Center Podiatric Surgical Residency Program and serves as the liaison for the Residency Program at the Reston Surgery Center. His special interests include reconstructive foot and ankle surgery and all aspects of medical and surgical management of the diabetic foot. He is a member of the American Podiatric Medical Association, the Virginia Podiatric Medical Association, the American Diabetes Association's Foot Council, and regularly participates in the Novant Health Prince William Medical Center's Diabetes support group meeting and annual Diabetes Fairs. He is currently on the staff of Reston Hospital Center, Reston Surgery Center, Novant Health UVA Prince William Medical Center and Inova Loudoun Hospital. He graduated with a Bachelor of Arts from the University of Pennsylvania in 1987 and received his doctorate degree from Temple University College of Podiatric Medicine in Philadelphia, Pennsylvania in 1991. He completed his residency in Reconstructive Surgery of the Foot and Ankle as well as Postgraduate Training/Fellowship in Lower Extremity Reconstructive Plastic Surgery at the Northern Virginia Podiatric Residency Program in 1994. In addition to sponsorship by the Medical College of Virginia, this comprehensive surgical residency involved training at multiple affiliated hospitals including Georgetown University Hospital and Inova Fairfax Hospital.</t>
  </si>
  <si>
    <t>170337-43P</t>
  </si>
  <si>
    <t>Steven Lahr</t>
  </si>
  <si>
    <t>Silverback7 (Former)</t>
  </si>
  <si>
    <t>Lahr</t>
  </si>
  <si>
    <t>silverback7.com</t>
  </si>
  <si>
    <t>Chief Executive Officer &amp; Co Founder</t>
  </si>
  <si>
    <t>Mr. Steven Lahr Co-Founded &amp; served as Chief Executive Officer at Silverback7. He has served as the CEO of SB7 since March 2005. Prior to founding SB7, Mr. Lahr served in the U.S. Army for 22 years. As a Special Forces officer, he was responsible for planning, resourcing and leading sensitive, complex, nationally directed operations for the Department of Defense and other government agencies. He served in eight distinct combat or hostile fire zones during his military career; often deploying to those areas more than once. He supervised high-risk operations with the Special Operations Command and the Joint Inter-Agency community including work with the CIA, DoS, FBI, U.S. Marshals and U.S. Customs. He commanded Special Operations forces engaged in a variety of combat, special operations and intelligence related missions during the Global War on Terrorism. As an active member of the community, Mr. Lahr is a proud volunteer for local programs. He is a member of the Veterans of Foreign Wars, the American Legion, the Region's Government Contractor Council (Prince William County Chamber of Commerce), the Virginia Tech Athletic Boosters, and is currently serving as the Vice Chairman of a local Veteran's organization (Vigilant Torch Association). His benevolent activities include religious charities, and support to several veteran's non-profit organizations such as the Marine Corps Association Foundation, Special Operations Warrior Foundation, Fallen Warriors Foundation and the Warriors on the Water tournament program. Mr. Lahr holds an M.A. in international studies from Georgetown University and a B.S. in business management from the University of Maryland.</t>
  </si>
  <si>
    <t>281492-92P</t>
  </si>
  <si>
    <t>Steven Lapin</t>
  </si>
  <si>
    <t>Lapin</t>
  </si>
  <si>
    <t>Mr. Steven Lapin serves as Board Member at The IHC Group. He For more than the past five years, Vice Chairman of the Board of Directors of IHC; for more than the past five years, Chairman, Chief Executive Officer, President and a director of GHI; for more than the past five years, Chairman, Chief Executive Officer, President and a director of Geneve; for more than the five years prior to August 2016, a director of AMIC; for more than the five years prior to November 2018, a director of Madison National Life; for more than the five years prior to October 2018, a director of Standard Security Life.</t>
  </si>
  <si>
    <t>281483-11P</t>
  </si>
  <si>
    <t>Steven Mullins</t>
  </si>
  <si>
    <t>PROOF Acquisition I</t>
  </si>
  <si>
    <t>Mullins</t>
  </si>
  <si>
    <t>www.proof-paci.com</t>
  </si>
  <si>
    <t>+1 (703) 629-1295</t>
  </si>
  <si>
    <t>steve@percipient.ai</t>
  </si>
  <si>
    <t>11911 Freedom Drive</t>
  </si>
  <si>
    <t>Suite 1080</t>
  </si>
  <si>
    <t>Mr. Steven Mullins serves as Chief Financial Officer at Percipient.ai. He served as Chief Financial Officer and Chief Accounting Officer at PROOF Acquisition I. He also is an advisor to the family office of Saudi Prince Khaled bin Alwaleed bin Talal Al Saud. Mr. Mullins was the Chief Financial Officer and Treasurer of InteliData Technologies Corporation which was publicly traded on the NASDAQ from 1999-2002 after serving as its Director of Finance and Controller. He has also served on the Board of Visitors at his alma mater, George Mason University, where he was Chairman of the Audit Committee for 2 years and Vice Chairman of the Finance and Land Use Committee for 2 years. He also served as Chief Financial Officer at Qmulos, Bloom, EarthOptics, RedJack, ReturnBuy, Q-Mobile, Secure Elements, Intelliworks, Rollstream, InteliData Technologies Corporation, Contactually, Pascal Metrics, and AppTap. Mr. Mullins serves as Chief Financial Officer at Rebellion, Framebridge, Koofers, Farragut Capital Partners, Bisnow Media, KZ0 Innovations, and Bloom Protocol. He also serves as Managing Director and Chief Financial Officer at KBW Ventures. He served as Advisory Board Member at Farragut Capital Partners, and Accountant and Finance Consultant at Framebridge. He serves as Board Member at ACell, and President at SPM Consulting and performs financial consulting services to a number of other companies on a part-time basis. He is also the President of SPM Consulting. Mr. Mullins has served as a Board Member of several different organizations including Transition Committee for Technology Policy, Office of the Governor-elect, Secure Elements, Northern Virginia Technology Council's TechPAC, Appointee to the Hunter Mill District Plan Review Committee, the boards of the Annandale/Springfield National Little League and the Turnpike Basketball Club and Treasurer of the McLean Wine Festival. He holds a BS degree from George Mason University.</t>
  </si>
  <si>
    <t>332716-42P</t>
  </si>
  <si>
    <t>Steven Siger JD</t>
  </si>
  <si>
    <t>CNaught</t>
  </si>
  <si>
    <t>www.cnaught.com</t>
  </si>
  <si>
    <t>Co-Founder, Chief Operating Officer &amp; CLO</t>
  </si>
  <si>
    <t>steve@cnaught.com</t>
  </si>
  <si>
    <t>333 Bush Street</t>
  </si>
  <si>
    <t>4th Floor</t>
  </si>
  <si>
    <t>Mr. Steven Siger is a Co-Founder and serves as Chief Operating Officer &amp; CLO at CNaught.</t>
  </si>
  <si>
    <t>115344-55P</t>
  </si>
  <si>
    <t>Strive Masiyiwa</t>
  </si>
  <si>
    <t>Econet Wireless Global</t>
  </si>
  <si>
    <t>Masiyiwa</t>
  </si>
  <si>
    <t>Strive</t>
  </si>
  <si>
    <t>www.econetafrica.com</t>
  </si>
  <si>
    <t>+27 (0)11 996 5500</t>
  </si>
  <si>
    <t>smasiyiwa@econetwireless.com</t>
  </si>
  <si>
    <t>Broadacres, South Africa</t>
  </si>
  <si>
    <t>Willow Wood Office Park</t>
  </si>
  <si>
    <t>220 Third Street</t>
  </si>
  <si>
    <t>Broadacres</t>
  </si>
  <si>
    <t>Johannesburg</t>
  </si>
  <si>
    <t>2021</t>
  </si>
  <si>
    <t>+27 (0)11 996 5511</t>
  </si>
  <si>
    <t>Mr. Strive Masiyiwa is the Founder &amp; serves as Chairman of Econet Wireless Global. He serves as a Board Member &amp; Chair of the Corporate Responsibility Committee at Unilever. He is the Founder &amp; serves as Executive Chairman at Cassava Technologies. He serves as a Board Member of Netflix. Mr. Masiyiwa is a United Kingdom-based Chairman and founder of Econet Wireless, a diversified telecommunications group with operations and investments in Africa, Europe, North America, Latin America, and Asia Pacific. He also serves as a Board Member at the Gates Foundation. He is an Executive Director on the board of Econet Wireless Zimbabwe Ltd and is Chairman of Liquid Telecom Holdings (an Econet Group company). Also, through Econet's subsidiaries, the Group funds one of the largest scholarship programs for orphaned and vulnerable children in Africa. Masiyiwa serves on several international boards including Netflix Inc., National Geographic Society, Asia Society, the Global Advisory boards of Bank of America, the Council on Foreign Relations (in the US), Stanford University, the Bloomberg New Economy Forum, and the Prince of Wales Trust for Africa. Strive is a juror of the Hilton Foundation's Humanitarian Prize. He is also one of the founders of the Carbon War Room and a founding member of the Global Business Coalition on Education. He served as Emeritus Chairman at Alliance for a Green Revolution in Africa.</t>
  </si>
  <si>
    <t>426600-64P</t>
  </si>
  <si>
    <t>Subir Jossan</t>
  </si>
  <si>
    <t>Medvanta</t>
  </si>
  <si>
    <t>Jossan</t>
  </si>
  <si>
    <t>Subir</t>
  </si>
  <si>
    <t>www.medvanta.com</t>
  </si>
  <si>
    <t>Co-Founder, Chief Transformation Officer &amp; Board Member</t>
  </si>
  <si>
    <t>+1 (301) 291-5095</t>
  </si>
  <si>
    <t>Bethesda, MD</t>
  </si>
  <si>
    <t>6707 Democracy Boulevard</t>
  </si>
  <si>
    <t>Bethesda</t>
  </si>
  <si>
    <t>20817</t>
  </si>
  <si>
    <t>Dr. Subir Jossan is a Co-Founder and serves as Chief Transformation Officer &amp; Board Member at Medvanta. He is a board-certified orthopedic surgeon who specializes in treating upper extremities in pediatric, adolescent and adult patients. He is a founder and Chief Transformation Officer at MedVanta. In addition to his responsibilities with MedVanta, he is the Treasurer for The Centers for Advanced Orthopaedics (CAO), which was founded in 2013 to preserve private practice medicine in orthopedics. He practices at CAO's Prince William Orthopaedics, Hand Surgery &amp; Sports Medicine care center, which he founded in 1999 in Prince William and McLean, Virginia. He is a member of many orthopedic and medical associations, including the American Academy of Orthopaedic Surgeons, the American Medical Association, the American Society for Surgery of the Hand, the Medical Society of Virginia, the Washington Orthopedic Society, the Washington Metropolitan Society for Surgery of the Hand and the Yale Orthopaedic Association. He earned his medical degree from The Medical College of Virginia in Richmond, Virginia, where he also completed his orthopedic surgery residency. He completed his fellowship in Hand and Upper Extremity Surgery at Yale University in New Haven, Connecticut.</t>
  </si>
  <si>
    <t>395036-92P</t>
  </si>
  <si>
    <t>Sultan Al Qasimi</t>
  </si>
  <si>
    <t>Invest Bank</t>
  </si>
  <si>
    <t>Al Qasimi</t>
  </si>
  <si>
    <t>www.investbank.ae</t>
  </si>
  <si>
    <t>+971 (0)6 598 0555</t>
  </si>
  <si>
    <t>Al Zahra's Street Number 105</t>
  </si>
  <si>
    <t>King Abdul Aziz Road, Al-Qasimiya, P.O.Box: 1885</t>
  </si>
  <si>
    <t>Mr. Sultan Al Qasimi serves as Chairman of the Board of Directors at Invest Bank. He is the Deputy Ruler of the emirate of Sharjah, Deputy Chairman of the Sharjah Executive Council, and chairman of Sharjah Media Council, serving under the supervision of this Council: Sharjah Broadcasting Authority, Sharjah Government Media Bureau, Sharjah Media City "SHAMS Free Zone Authority", also H.H is occupying the position of chairman for Sharjah Petroleum Council. He has chaired Basma Group since 2005, and chaired the Board of Directors of Sharjah National Oil Company since 2010, Tilal Properties LLC since 2014, and Arada Real Estate Development Company since 2017, also His Highness chaired the Board of Directors of Invest Bank since 2019. He has held many key leadership positions in sectors of economy, tourism and sports at the emirate of Sharjah, most highlighted: Chairman of Board of Directors for Sharjah Pipeline Company "Anabeeb" (2003-2019), Vice Chairman of Board of Directors for Sharjah Liquefaction Gas Company (SHALCO) (2004-2011), Member of Board of Directors for Dana Gas (2005-2019), Vice Chairman of Board of Directors for Sharjah Equestrian and Racing Club (2002-2011), and Chairman of Sharjah Commerce &amp; Tourism Development Authority (2006-2012). His Highness has many contributions to the preservation of the environment, through his chairmanship of the Board of Directors of "Green Planet" LLC since 2005, and Medical &amp; Hazardous Waste "Weqaya" LLC since 2010. He received the Arab League's Media Personality Award of the Year 2016 from the League of Arab States, and H.H has been elected as the Humanitarian Envoy for The Big Heart Foundation since 2017. Under his leadership, a lot has been achieved in two sectors of Government Communication and Media, including the establishment of the Sharjah Media Council, Sharjah Media City "Shams" Free Zone Authority, Sharjah Government Media Bureau "formerly Sharjah Media Center", and the restructuring of Sharjah Broadcasting Authority, establishing several new television channels including "Al Sharqiya" channel from Kalba and "Al Wousta" channel from Al Dhaid, in addition to the establishment of new radios including "Sharjah Quran", "Plus 95" and "Watar" radio stations. Also, he established; the online news website "Sharjah 24" in 2015, and launched the first and largest digital media and communications platform "OMNES Media" in 2017. At the level of the region, he launched pioneering and first-of-its-kind initiatives, most highlighted: the International Government Communication Forum in 2011, the Sharjah Government Communication Award in 2013, the International Photography Festival in 2016, and the establishment of the International Government Communication Centre in 2017. He holds a Bachelor of Science degree in Business Administration from Arkansas State University of the United States of America, and a Masters degree in Computer Information Systems from the University of Detroit Mercy, in Michigan, USA.</t>
  </si>
  <si>
    <t>293891-41P</t>
  </si>
  <si>
    <t>Sultan Qasimi</t>
  </si>
  <si>
    <t>Qasimi</t>
  </si>
  <si>
    <t>Mr. Sultan Qasimi is a Co-Founder &amp; serves as Chairman at Arada Developments.</t>
  </si>
  <si>
    <t>269829-91P</t>
  </si>
  <si>
    <t>Sung-hoon Kim</t>
  </si>
  <si>
    <t>Taesung SNI</t>
  </si>
  <si>
    <t>Sung-hoon</t>
  </si>
  <si>
    <t>www.tssni.com</t>
  </si>
  <si>
    <t>+82 (0)2 554 1020</t>
  </si>
  <si>
    <t>7th Floor, Hong Woo B/D</t>
  </si>
  <si>
    <t>15, Yeoksam-ro 8-gil, Gangnam-gu</t>
  </si>
  <si>
    <t>Mr. Sung-hoon Kim is a Co-Founder &amp; serves as Chief Executive Officer at Taesung SNI.</t>
  </si>
  <si>
    <t>260222-86P</t>
  </si>
  <si>
    <t>Susan Peterson</t>
  </si>
  <si>
    <t>Organic Initiative (Former)</t>
  </si>
  <si>
    <t>Peterson</t>
  </si>
  <si>
    <t>Susan</t>
  </si>
  <si>
    <t>www.oi4me.com</t>
  </si>
  <si>
    <t>Chaiman</t>
  </si>
  <si>
    <t>+64 (0)7 577 6049</t>
  </si>
  <si>
    <t>Tauranga, New Zealand</t>
  </si>
  <si>
    <t>Craigs Investment Partners House</t>
  </si>
  <si>
    <t>158 Cameron Road</t>
  </si>
  <si>
    <t>Tauranga</t>
  </si>
  <si>
    <t>3110</t>
  </si>
  <si>
    <t>Ms. Susan Peterson serves as Board Member at Craigs Investment Partners. She served as Chairman at Organic Initiative. She is an experienced business leader with a particular interest in helping companies to drive growth through technology, innovation, and organizational culture. She is currently the Chairwoman of Vista Group and a Director on the boards of Xero, Trustpower, Arvida, and Property for Industry. She is a Tribunal Member of the NZ Markets Disciplinary Tribunal. Her past directorships include ASB Bank, The NZ Merino Company Limited, and Compac Sorting Solutions. She is also a past member of the IHC board and the National Advisory Council for the Employment of Women.</t>
  </si>
  <si>
    <t>89174-89P</t>
  </si>
  <si>
    <t>Sylvain Picard</t>
  </si>
  <si>
    <t>Ranaz (Former)</t>
  </si>
  <si>
    <t>Picard</t>
  </si>
  <si>
    <t>Sylvain</t>
  </si>
  <si>
    <t>www.ranazcorporation.com</t>
  </si>
  <si>
    <t>Chief Financial Officer &amp; Secretary</t>
  </si>
  <si>
    <t>Mr. Sylvain Picard served as Chief Financial Officer &amp; Secretary at Ranaz. He has over 15 years of experience with manufacturing and service companies, primarily in the food industry. Before joining Ranaz in January 2008, he worked for McCain Foods Limited, Royal Group Technologies and Pâtisserie de Gascogne as director of accounting and administrative services, where he was responsible for financial, accounting and budget management. In addition to his solid production cost experience, he was a member of the ERP system implementation team from 2002 to 2005 and part of the team responsible for integrating the financial and accounting systems in 2006 and 2007 at McCain Foods Limited. He is a CMA and has a BAA in professional accounting from HEC Montréal.</t>
  </si>
  <si>
    <t>89119-81P</t>
  </si>
  <si>
    <t>Tahnoon Bin Zayed Al Nahyan</t>
  </si>
  <si>
    <t>Tahnoon Bin Zayed</t>
  </si>
  <si>
    <t>Mr. Tahnoon Bin Zayed Al Nahyan serves as Chairman at Royal Group. Mr. Al Nahyan serves as Chairman at MGX. He served as Chairman of Board at First Gulf Bank. .</t>
  </si>
  <si>
    <t>140022-73P</t>
  </si>
  <si>
    <t>Tamer Osman</t>
  </si>
  <si>
    <t>FalconViz (Former)</t>
  </si>
  <si>
    <t>Osman</t>
  </si>
  <si>
    <t>Tamer</t>
  </si>
  <si>
    <t>www.falconviz.com</t>
  </si>
  <si>
    <t>Mr. Tamer Osman served as Board Member at FalconViz. He served as Senior Advisor at Frontier Path. He served as a Board Member and Senior Advisor at NuVX Venture Capital. He serves as a Board Member &amp;and Senior Investment Advisor at NuVX Venture Capital. He is an investment manager at KAUST Innovation Fund responsible for screening and evaluating investment proposals and managing a portfolio of seven startups in different sectors such as energy, renewables, power &amp; water desalination, new materials &amp; nanotechnology, and Artificial Intelligence and Machine Learning. Before working for KAUST, he served as an advisor to the CEO of Qatar Development Bank, a governmental financial entity tasked to develop long-term socio-economic benefits in Qatar. During his time there, he was tasked to lead the restructuring of the bank portfolio over a five-year interval in order to contribute towards the diversification of the Qatari economy away from hydrocarbons. He was also previously responsible for the structuring and implementation of one of the first SME MENA regional initiatives, sponsored by Sheikha Moza bint Nasser through SILATECH. This initiative was considered the first of its kind in the region and promoted employment creation for Arab youth. Previously, he was a Senior Principal Investment Officer in one of the leading Islamic investment banks in the Middle East based in Bahrain. He also previously worked with Bank of America &amp; Merrill Lynch and has a wealth of experience in government bond trading, hedge management, fixed-income derivatives, equity derivatives, and emerging markets trading. He holds a B.S. from the University of North Carolina and an MBA from Wingate University in Finance. He is fluent in English, Arabic, and Spanish.</t>
  </si>
  <si>
    <t>38910-70P</t>
  </si>
  <si>
    <t>Tamer Rashad</t>
  </si>
  <si>
    <t>Humtap (Former)</t>
  </si>
  <si>
    <t>Rashad</t>
  </si>
  <si>
    <t>www.humtap.com</t>
  </si>
  <si>
    <t>+1 (646) 536-3374</t>
  </si>
  <si>
    <t>rashad@apple.com</t>
  </si>
  <si>
    <t>Mr. Tamer Rashad Co-Founded and served as Co-Chief Executive Officer at Humtap. He served as Advisor at Silkroad Images. Mr. Rashad also served as a Board Member at Plan International USA. Prior to these positions, Mr. Rashad served as CEO of LGT Middle East for LGT Bank in Liechtenstein, Managing Director &amp; Head of Middle East for Merrill Lynch, and Head of Corporate Strategy for Countrywide Financial Corp. He holds a Master's in Finance from London Business School, MS from the University of Surrey, and BS from Alexandria University.</t>
  </si>
  <si>
    <t>146085-67P</t>
  </si>
  <si>
    <t>Teresa Herbert</t>
  </si>
  <si>
    <t>Herbert</t>
  </si>
  <si>
    <t>Teresa</t>
  </si>
  <si>
    <t>teresa.herbert@ihcgroup.com</t>
  </si>
  <si>
    <t>Ms. Teresa Herbert serves as Chief Financial Officer and Senior Vice President at Independence Holding. He has served IHC in various capacities since 1988. Prior to joining IHC, Ms. Herbert worked for KPMG. She holds an accounting degree from Rutgers University and is licensed as a Certified Public Accountant in the state of New Jersey.</t>
  </si>
  <si>
    <t>182633-05P</t>
  </si>
  <si>
    <t>Thomas Mahon</t>
  </si>
  <si>
    <t>English Cut (Former)</t>
  </si>
  <si>
    <t>Mahon</t>
  </si>
  <si>
    <t>www.englishcut.com</t>
  </si>
  <si>
    <t>Mr. Thomas Mahon was the Founder of English Cut. Prior to founding English Cut, Tom had been the youngest cutter at Anderson &amp; Sheppard where he was also the personal cutter for one of the company's most important clients, His Royal Highness the Prince of Wales.</t>
  </si>
  <si>
    <t>79360-39P</t>
  </si>
  <si>
    <t>Thomas Pecenka</t>
  </si>
  <si>
    <t>Pecenka</t>
  </si>
  <si>
    <t>Mr. Thomas Pecenka served as Director at Le Tanneur &amp; Cie. Mr. Thomas Pecenka been a Director at Le Tanneur &amp; Cie SA since June 15, 2011. He is Vice Chairman of Qatar Luxury Group Fashion. He graduated from European School of Business in Reutlingen and ESC Reims. He joined the Richemont group as Product Manager for Cartier International. He was responsible for the development of leather goods for men from 2004 to 2009. He joined Qatar Luxury Group in March 2009.</t>
  </si>
  <si>
    <t>463983-58P</t>
  </si>
  <si>
    <t>Tokunboh Ishmael</t>
  </si>
  <si>
    <t>Prudential Zenith Life Insurance</t>
  </si>
  <si>
    <t>Ishmael</t>
  </si>
  <si>
    <t>Tokunboh</t>
  </si>
  <si>
    <t>www.prudentialzenith.com</t>
  </si>
  <si>
    <t>Board Chairman</t>
  </si>
  <si>
    <t>+234 (0)201 888 7600</t>
  </si>
  <si>
    <t>6th Floor, Civic Towers</t>
  </si>
  <si>
    <t>Ozumba Mbadiwe Road, Victoria Island</t>
  </si>
  <si>
    <t>101241</t>
  </si>
  <si>
    <t>Ms. Tokunboh Ishmael serves as Board Chairman at Prudential Zenith Life Insurance. As co-founder and Managing Director of Alitheia Capital, a female-led private equity firm, she is one of the first in Africa to pioneer impact investing private equity that embodies her philosophy of profit with a purpose. She also co-founded Alitheia IDF, where she raised over $100 million to invest in female-led businesses in Africa. She was a Panelist on the popular Dragons' Den Nigeria TV show. She is a mentor to entrepreneurs of small-to mid-sized businesses, helping them grow and scale their companies to reach their full potential. She is a sought-after collaborator and a partner to African and European governments, helping them to tackle intractable problems resulting from a lack of access to essential products and services. She is also a staunch advocate for financial literacy and the creator of Yellow Cowries, a platform that employs gamification to teach kids and entrepreneurs how to achieve financial freedom. She is a Yale World Fellow and a member of the inaugural class of the Aspen Institute's Finance Leaders Fellowship. She sits on several boards, from Fintech to fast-moving consumer goods companies to the Earthshot Prize, launched by Prince William, Duke of Cambridge, and David Attenborough to support and scale solutions to some of the world's greatest environmental problems.</t>
  </si>
  <si>
    <t>62676-10P</t>
  </si>
  <si>
    <t>Tony Lam</t>
  </si>
  <si>
    <t>Advanced Cell Diagnostics (Former)</t>
  </si>
  <si>
    <t>Lam</t>
  </si>
  <si>
    <t>www.acdbio.com</t>
  </si>
  <si>
    <t>Vice President, Regulatory Affairs and Quality Assurance</t>
  </si>
  <si>
    <t>Mr. Tony Lam served as Vice President, Regulatory Affairs and Quality Assurance at Advanced Cell Diagnostics. Over the course of his long career, he has served in many critical management positions, including VP and Director roles for regulatory and quality assurance with leading pharmaceuticals, biologics, and diagnostics companies like Thermo Fisher, Siemens, Johnson &amp; Johnson and Novartis. Most recently, he served as VP of Regulatory and Clinical Affairs for Qiagen in Molecular Diagnostics. Within in vitro diagnostics, Tony specialized in immunodiagnostics, clinical chemistry, IHC, molecular diagnostics, pharmacogenomics and companion diagnostics. In addition to these managerial roles, Tony has also overseen many successful FDA premarket approvals, from DAKO's HercepTest companion diagnostic to Genentech's Herceptin, as well as molecular diagnostics for pharmacogenomics from companies such as Celera Diagnostics and GE Healthcare. He was also instrumental in working with Precision Therapeutics, LabCorp and Quest CLIA labs. As an expert in quality management, Tony accomplished efficient turnaround compliance with quality systems of US QSR and ISO 13485 for Hologic, Agilent Tech, Novartis, Quest, Thermo Fisher, and Life Technologies. Tony received a BS in Microbiology/Molecular Biology and a MS in Immunology and Genetics from the University of Oklahoma.</t>
  </si>
  <si>
    <t>100472-41P</t>
  </si>
  <si>
    <t>Torsten de Santos</t>
  </si>
  <si>
    <t>New Look Retailers (Former)</t>
  </si>
  <si>
    <t>de Santos</t>
  </si>
  <si>
    <t>Torsten</t>
  </si>
  <si>
    <t>www.newlookgroup.com</t>
  </si>
  <si>
    <t>Mr. Torsten de Santos served as Non-Executive Director at New Look Retailers. Mr. Torsten de Santos served as Chief Executive Officer at Rianta Capital Zurich. He served as Chief Executive Officer, Traditional Asset Management at LGT Group. Torsten is Chief Executive Officer of Rianta Capital, a family office and investment advisory firm based in Zurich and London. Prior to joining Rianta in 2013, Torsten was CEO of LGT Capital Management, a director at Barclays Capital and an Executive Director with Goldman Sachs. Torsten holds a master's degree in International Management and B.Sc. in Mathematics and Physics.</t>
  </si>
  <si>
    <t>31185-91P</t>
  </si>
  <si>
    <t>Tsvetan Lazhanski</t>
  </si>
  <si>
    <t>Devin (Beverages) (Former)</t>
  </si>
  <si>
    <t>Lazhanski</t>
  </si>
  <si>
    <t>Tsvetan</t>
  </si>
  <si>
    <t>www.devin-bg.com</t>
  </si>
  <si>
    <t>Chief Executive Officer &amp; Director</t>
  </si>
  <si>
    <t>Mr. Tsvetan T. Lazhanski serves as Board Member at Teach For All. He CEO of Devin Ltd. from 2004 to 2010. He began his career in 1996 as an investment analyst and manager at the Bulgarian-American Enterprise Fund. He was CEO of Ameta Holding and CEO of Royal Group JSC. He has a Bachelor degree in International Finance from the Higher School of Utrecht, Netherlands, Master degree of Business Administration from Sofia University "St. Kliment Ohridski ", and Master degree of Business Administration from INSEAD in France and Singapore.</t>
  </si>
  <si>
    <t>43572-79P</t>
  </si>
  <si>
    <t>Usama Fayyad Ph.D</t>
  </si>
  <si>
    <t>Open Insights</t>
  </si>
  <si>
    <t>Fayyad</t>
  </si>
  <si>
    <t>Usama</t>
  </si>
  <si>
    <t>www.open-insights.com</t>
  </si>
  <si>
    <t>+1 (206) 236-2074</t>
  </si>
  <si>
    <t>usama@open-insights.com</t>
  </si>
  <si>
    <t>Ibn Mudaa Street 18</t>
  </si>
  <si>
    <t>11183</t>
  </si>
  <si>
    <t>Dr. Usama Fayyad is the Founder and serves as Chairman at Open Insights. Dr. Fayyad serves as an Advisor at Glasswing Ventures. He serves as an Advisory Board Member at Synapse Partners. He serves as a Board Member at PostProcess and Filtered. He served as Advisor at Izif. He co-founded and served as Chief Technology Officer at OODA Health. He is Yahoo!'s chief data officer and executive vice president of Research &amp; Strategic Data Solutions. Prior to joining Yahoo!, He co-founded and led the DMX Group. He joined Yahoo!'s senior executive team as part of an acquisition of DMX Group by Yahoo in 2004. He serves as an Advisor at Sadara Ventures. He served as an Advisor at Jamalon. He presently serves as a Board Member at MiNeeds. He served as an Advisor at RapidMiner. He serves as an advisor at Sadara Ventures. He also served as Founding Executive Chairman at Oasis500. From 2010-2013, he was the co-founder of OASIS-500, a tech startup investment fund, following his appointment as Founding Executive Chairman in 2010 by King Abdullah II of Jordan. Up until joining Barclays in 2013, he was also Chairman, Co-Founder, and Chief Technology Officer of Blue Kangaroo Corp, building a mobile search engine service for offering personalization and activation, and AI Chatbots for shopping activation with large retailers based in Silicon Valley. In 2008, he founded Open Insights, a Seattle-based Data strategy, technology, and strategic consulting firm that helps enterprises deploy Data-driven solutions to grow revenue from Data assets. The company also provides services and products in open-source Data and AI/ML/Data Science solutions. In 2004 Yahoo! acquired His second startup (DMX Group which he started in Seattle in 2003) and he became Yahoo!'s Chief Data Officer and Executive Vice President of Research and Strategic Data Solutions where he ran Yahoo!'s global Data strategy, architecting its Data policies and systems, and managing its Data analytics and Data processing infrastructure. He has a Ph.D. in Computer Science &amp; Engineering from the University of Michigan, Ann Arbor, earned in 1991. He also holds an MS in Mathematics (1989), an MS in Computer Engineering (1986), and a BS in Engineering (1984), all from the University of Michigan, Ann Arbor.</t>
  </si>
  <si>
    <t>49245-85P</t>
  </si>
  <si>
    <t>Vic Zen</t>
  </si>
  <si>
    <t>Zen</t>
  </si>
  <si>
    <t>Vic</t>
  </si>
  <si>
    <t>Vic De Zen served as the Chairman of Royal Group technologies. He previously served as the CEO of the company.</t>
  </si>
  <si>
    <t>161735-95P</t>
  </si>
  <si>
    <t>AgriGenome</t>
  </si>
  <si>
    <t>www.aggenome.com</t>
  </si>
  <si>
    <t>+91 (0)48 4423 4200</t>
  </si>
  <si>
    <t>Hyderabad, India</t>
  </si>
  <si>
    <t>Plot Number DS-10, Ground Floor, SINC Building</t>
  </si>
  <si>
    <t>IKP Knowledge Park, Shamirpet, Medchal-Malkajgiri</t>
  </si>
  <si>
    <t>Hyderabad</t>
  </si>
  <si>
    <t>Telengana</t>
  </si>
  <si>
    <t>500101</t>
  </si>
  <si>
    <t>Dr. Vijay Reddy serves as Chief Scientific Officer at AgriGenome. He holds a Doctorate Degree in Rice Functional Genomics from the University of Hyderabad. His expertise includes genomics, molecular biology, molecular genetics, bioinformatics, and applied aspects of agricultural research for crop improvement. He has more than 6000 submissions at the NCBI-EST division and &gt;1600 dbSNP submissions. Dr.Vijay has worked at various levels with Vibha Seed Group like DGM, General Manager, and Sr. General Manager. His contribution includes the establishment of various divisions in biotechnology like Molecular Diagnostics, Marker Assisted Selections, Candidate Gene Identification, Gene Cloning, Construct development, Genetic Transformation, etc. More than 150 Markers have been established by him, which are being extensively utilized in various breeding programs and more than 30 commercial hybrids were developed using these technologies. He was instrumental in attracting several funding bodies like DBT, USAID in collaboration with CIMMYT, ACPFG, ICRISAT in his earlier organization. He has more than 7 years of experience in biotechnology before joining AgriGenome.</t>
  </si>
  <si>
    <t>249377-05P</t>
  </si>
  <si>
    <t>Vincent Furfaro</t>
  </si>
  <si>
    <t>Healthinsurance.org</t>
  </si>
  <si>
    <t>Furfaro</t>
  </si>
  <si>
    <t>Vincent</t>
  </si>
  <si>
    <t>www.healthinsurance.org</t>
  </si>
  <si>
    <t>St. Louis Park, MN</t>
  </si>
  <si>
    <t>5353 Wayzata Boulevard</t>
  </si>
  <si>
    <t>St. Louis Park</t>
  </si>
  <si>
    <t>Minnesota</t>
  </si>
  <si>
    <t>55416</t>
  </si>
  <si>
    <t>Mr. Vincent Furfaro serves as President at Healthinsurance.org. Mr. Vincent Furfaro serves as President, SB Holding at The IHC Group. He served as Senior Vice President, Corporate Development &amp; Chief Information Security Officer at Independence Holding.</t>
  </si>
  <si>
    <t>73337-32P</t>
  </si>
  <si>
    <t>Vincent Lombardo</t>
  </si>
  <si>
    <t>Summit 7 Systems</t>
  </si>
  <si>
    <t>Lombardo</t>
  </si>
  <si>
    <t>www.summit7.us</t>
  </si>
  <si>
    <t>+1 (256) 585-6868</t>
  </si>
  <si>
    <t>vince.lombardo@summit7.us</t>
  </si>
  <si>
    <t>Huntsville, AL</t>
  </si>
  <si>
    <t>2 Parade Street NorthWest</t>
  </si>
  <si>
    <t>Huntsville</t>
  </si>
  <si>
    <t>35806</t>
  </si>
  <si>
    <t>Mr. Vincent Lombardo serves as Chief Financial Officer at Summit 7. He served as Chief Financial Officer at the company. He served as Chief Financial Officer at Hospitality Staffing Solutions. He has a broad career as a senior financial executive, including 15 years of experience serving as CFO for public and private companies. His career spans 30 years and includes diverse experience in strategy, operations, IT, reengineering, workers' compensation and risk management. Since 2011, he served as CFO of two staffing companies, SNI Companies and MDT Personnel, LLC. Prior to that, he was CFO at private-equity-backed TRAKAmerica, Capstone Tropical Holdings, Inc. and publicly traded staffing company Ablest, Inc. He also served in executive financial positions with Fleetpride Inc., General Binding Corporation and Interlake Material Handling, Inc. He is a graduate of Northern Illinois University and later received his MBA from DePaul University.</t>
  </si>
  <si>
    <t>85856-23P</t>
  </si>
  <si>
    <t>Vincent Rivaz</t>
  </si>
  <si>
    <t>EDF Energy (Former)</t>
  </si>
  <si>
    <t>Rivaz</t>
  </si>
  <si>
    <t>www.edfenergy.com</t>
  </si>
  <si>
    <t>+966 (0)11 283 5555</t>
  </si>
  <si>
    <t>Building 1, Ground Floor, Business Gate Office Complex, Airport Road</t>
  </si>
  <si>
    <t>P.O. Box 22616</t>
  </si>
  <si>
    <t>Al-Murjania District</t>
  </si>
  <si>
    <t>11416</t>
  </si>
  <si>
    <t>+966 (0)11 283 5500</t>
  </si>
  <si>
    <t>Mr. Vincent Rivaz serves as Board Member at ACWA Power International. He served as Chief Executive Officer at EDF Energy. He is a graduate of the Ecole Nationale Supérieure d'Hydraulique de Grenoble. In 1977, he joined EDF's Exterior Engineering Centre within the International Affairs Division. From 1985 to 1992, he participated in EDF's development in China within the International Division, of which he became Director of the Far East Division in 1989. From 1992 to 1994, he was the Head of the National Center of Hydro Equipment within the Equipment Division. He was appointed Deputy Head of the International Division in 1995 and became Head of Projects in 1996. He joined the Finance Department in 1999 as Deputy Chief Financial Officer and became Head of Financial Strategies and Operations in 2000. He was appointed Chief Executive Officer of the London Electricity Group in early 2002. He led the merger transactions of companies acquired during the first six months of 2002 (Eastern and Seeboard networks) and created in mid-2003 EDF Energy and has since been its Chief Executive Officer. Mr de Rivaz was awarded The Energy Institute's 71st Melchett Award in June 2006. He was named National Ambassador by HRH the Prince of Wales, in July 2009, for his significant contribution to the Prince's Business in the Community projects. In November 2009 Mr de Rivaz became an Honorary Fellow of the Institute of Mechanical Engineers as recognition for the major contribution he has made to engineering. He is Chevalier de la Légion d'Honneur.</t>
  </si>
  <si>
    <t>434925-82P</t>
  </si>
  <si>
    <t>Virginia Robinson</t>
  </si>
  <si>
    <t>Chugach Government Solutions</t>
  </si>
  <si>
    <t>www.chugachgov.com</t>
  </si>
  <si>
    <t>Chief Legal Officer &amp; Senior Vice President</t>
  </si>
  <si>
    <t>virginia.robinson@chugachgov.com</t>
  </si>
  <si>
    <t>Suite 800</t>
  </si>
  <si>
    <t>Ms. Virginia Robinson serves as Chief Legal Officer &amp; Senior Vice President at Chugach Government Solutions. Previously she served as an associate at law firms Greenberg Traurig and Walsh, Colucci, Lubeley &amp; Walsh and as a clerk to Judge William Hamblen of the Prince William County Circuit Court in Manassas, Virginia. She holds a Juris Doctor degree from Washington and Lee University School of Law.</t>
  </si>
  <si>
    <t>209643-31P</t>
  </si>
  <si>
    <t>Wade Chandler</t>
  </si>
  <si>
    <t>Lirio</t>
  </si>
  <si>
    <t>Chandler</t>
  </si>
  <si>
    <t>Wade</t>
  </si>
  <si>
    <t>www.lirio.com</t>
  </si>
  <si>
    <t>Chief Architect</t>
  </si>
  <si>
    <t>+1 (865) 243-8000</t>
  </si>
  <si>
    <t>wchandler@lirio.co</t>
  </si>
  <si>
    <t>Knoxville, TN</t>
  </si>
  <si>
    <t>320 Corporate Drive, North West</t>
  </si>
  <si>
    <t>Knoxville</t>
  </si>
  <si>
    <t>37923</t>
  </si>
  <si>
    <t>+1 (865) 243-8019</t>
  </si>
  <si>
    <t>Mr. Wade Chandler serves as Chief Architect at Lirio. He served as Head of Development at Lirio. Wade Chandler is a technical leader with over 20 years of experience using various technologies to lead, engineer, and develop software in various sectors, industries, and domains such as government, health, defense, education, child assessment, retail, and beyond. He has employed many technologies, programming languages, and soft skills to successfully lead and implement different types of projects across various profiles, including the web, mobile, desktop, and the cloud. Wade has spent most of his career operating as a cross-functional leader, which requires various facets of software leadership, design, architecture, and development. His technical skills range from development environments, programming languages, frameworks, cloud, and databases to project management, writing, and graphics. At Lirio, he leads a team of software developers in building a solution that will harness behavioral intelligence to achieve better outcomes for healthcare and energy organizations and the people they serve. Prior to joining Lirio, Wade was Team Leader at Scripps Networks Interactive (SNI), where he led multiple teams and projects to meet corporate goals. He served as Associate Director for Virtusa at SNI, Consulting Developer &amp; Leader at SNI, Consultant &amp; UI Team Leader for Army Researcher Laboratory, Team Leader at Decision Dynamics, Inc., and several other leadership positions throughout his career. He has contributed to open source most of his career through projects such as the NetBeans IDE and helped transition it to The Apache Software Foundation, where it is known as Apache NetBeans. Wade's skill set, outlook, and experience make him an excellent mentor who motivates his team to meet development goals for Lirio and our clients.</t>
  </si>
  <si>
    <t>464152-33P</t>
  </si>
  <si>
    <t>Walid Sowaidan</t>
  </si>
  <si>
    <t>Alameda Healthcare</t>
  </si>
  <si>
    <t>Sowaidan</t>
  </si>
  <si>
    <t>Walid</t>
  </si>
  <si>
    <t>alameda-hc.com</t>
  </si>
  <si>
    <t>Group Chief Legal Officer</t>
  </si>
  <si>
    <t>+20 (0)2 4025 023</t>
  </si>
  <si>
    <t>walid.sowaidan@alameda-hc.com</t>
  </si>
  <si>
    <t>Cairo, Egypt</t>
  </si>
  <si>
    <t>Corniche El Nile Maadi</t>
  </si>
  <si>
    <t>Cairo</t>
  </si>
  <si>
    <t>Mr. Walid Sowaidan serves as Group Chief Legal Officer at Alameda Healthcare. With nearly 30 years of distinguished legal leadership and cross-border advisory experience, he has worked extensively across Europe, the Middle East, Africa, South Asia, and the United States. Throughout his career, he has held prominent roles, including: Founder &amp; CEO of LexDesk360 an innovative legal services platform serving clients across EMEA and South Asia. Chief Legal Officer at several major entities under G42, Abu Dhabi. A 16-year tenure with 3M serving as General Counsel for MEA, Head of Trade Compliance for EMEA, and General Counsel for CEEMEA. Earlier legal leadership positions at Pfizer Pharmaceuticals, Citigroup, and Kharafi Group. He holds an LL.B. from Ain Shams University and has completed executive legal training at NYU Stern School of Business. At Alameda, he leads the Group's strategic legal agenda with a focus on M&amp;A transactions in MEA, strategic partnerships, governance and compliance frameworks, corporate structuring across jurisdictions, investor and shareholder legal relations, and board secretarial practice. He is also driving the operationalization of the Group's Holding Company Office in Dubai. With his broad expertise, regulatory insight, and entrepreneurial acumen, he plays a key role in advancing Alameda's growth, institutional strength, and global expansion ambitions.</t>
  </si>
  <si>
    <t>234571-69P</t>
  </si>
  <si>
    <t>Walid Tahabsem</t>
  </si>
  <si>
    <t>VentureX</t>
  </si>
  <si>
    <t>Tahabsem</t>
  </si>
  <si>
    <t>www.theventurex.com</t>
  </si>
  <si>
    <t>wtahabsem@theventurex.com</t>
  </si>
  <si>
    <t>41 Ahmad Shawqi Street</t>
  </si>
  <si>
    <t>Jabal Al Webdeh</t>
  </si>
  <si>
    <t>Mr. Walid Tahabsem is a Co-Founder and serves as Chairman at VentureX. Mr. Tahabsem serves as Board Member at BeyondCapital. He is a Co-Founder and serves as Chief Executive Officer, President, and Board Member at Integrated Technology Group (ITG). After receiving his B.Sc. in Computer Science from Yarmouk University in Jordan, he founded Integrated Technology Group back in 1989. Today, as ITG President &amp; CEO, Mr. Tahabsem leads one of the most successful IT companies offering quality end-to-end products and services for the education and public sectors in more than 20 countries worldwide. Through the combination of his passion for technology and vision, he was able to grow ITG not only by size, geographic representation, and revenue but also in technological innovation and in the application of technology in various fields. His innovations include the development of the first Arabic artificial intelligent parser, and the creation of an Electronic Data Interchange solution, implemented in many large European institutions, in addition to one of the top education solutions; EduWave® which currently holds the largest base countrywide deployments and users worldwide. Over the years, Mr. Tahabsem has been an active member of a number of key national boards, councils, and associations including; Jordan's National Agenda, Jordan's Board of Education, Jordan University for Science and Technology (JUST) Advisory Council, German Jordan University (GJU) Advisory Council, Information Technology Association of Jordan (INT@J) Board, and Jordan's Youth Development Program INJAZ. Mr. Tahabsem currently serves on the Prince Hamzah Bin Al Hussein School Board and Jordan's ICT Advisory Council and is also a member of the Jordan Strategy Forum (JSF). He also serves on the "Endeavor" Board of Directors, due to his belief in the active role they play in enhancing the country's entrepreneurial ecosystem. He is also a co-founder and a board member of the Oasis500, the region's premier education and counselor-driven seed investment program. In addition, he is an active member of Saudi Al-Aghar Thinktank, a nonprofit and independent Think-Tank aiming to transform Saudi Arabia into a Knowledge Society. Recently, in recognition of his outstanding efforts and leadership in the improvement of the information technology and education sector in Jordan, he was awarded by His Majesty King Abdullah II Bin Al Hussein with the Order of Independence to become the first Jordanian honored in this category. He is a Co-Founder and serves as Chief Executive Officer President and Board Member at ITG.</t>
  </si>
  <si>
    <t>381229-21P</t>
  </si>
  <si>
    <t>Walid Zaher Ph.D</t>
  </si>
  <si>
    <t>Carexso</t>
  </si>
  <si>
    <t>Zaher</t>
  </si>
  <si>
    <t>www.carexso.com</t>
  </si>
  <si>
    <t>Co-Founder and Chief Executive Officer</t>
  </si>
  <si>
    <t>+971 (0)4 375 6005</t>
  </si>
  <si>
    <t>Dubai Science Park</t>
  </si>
  <si>
    <t>Office 1004S-1006S, 10th Floor</t>
  </si>
  <si>
    <t>Dr. Walid Zaher is a Co-Founder and serves as Chief Executive Officer at Carexso. Dr. Zaher brings a profound wealth of experience and expertise to the forefront of CareXso, a journey that seamlessly interweaves clinical excellence, advanced education, and groundbreaking research leadership. Dr. Zaher's vision for CareXso transcends geographical borders, envisioning the Middle East and Africa (MEA) as integral players in the global clinical research network. His resolute commitment to fostering diversity and inclusivity within the healthcare industry and his tireless pursuit of health innovation exemplify his transformative leadership. As he continues to shape the healthcare landscape, Dr. Zaher stands as a beacon of progress and a driving force in the quest for a healthier, more equitable world. In the United Arab Emirates (UAE), Dr. Zaher emerged as a transformative figure, directing pioneering research initiatives at SEHA and subsequently serving as Chief Research Officer at G42 Healthcare and CEO at IROS. Amid the unprecedented challenges posed by the COVID-19 pandemic, he demonstrated unwavering resilience by establishing the UAE's inaugural Contract Research Organization, building upon the resounding success of the 4Humanity Clinical Trial. Before his UAE sojourn, Dr. Zaher held prestigious positions, including Director of the College of Medicine Research Centers and an assistant professorship in regenerative medicine and stem cells at King Saud University in Riyadh. His expertise extended to consulting on the Saudi 2020 National Biotechnology and Infectious Disease plan at KASCT. Fuelled by an unrelenting desire to expand the horizons of medical knowledge, Dr. Zaher embarked on an academic odyssey, earning a Bachelor of Medicine and Surgery in Saudi Arabia. His yearning for innovation led him to pursue further education, culminating in a Master's in Medical Education, Anatomy and Embryology, and Bioscience Technology. This foundation enabled him to transcend conventional boundaries, culminating in a Ph.D. in Regenerative Medicine from Denmark. His quest for excellence also led him to Harvard-MGH, Boston, where he acquired specialized training in laser-medicine application.</t>
  </si>
  <si>
    <t>361805-23P</t>
  </si>
  <si>
    <t>Will Bax</t>
  </si>
  <si>
    <t>Retirement Villages Group (UK) (Former)</t>
  </si>
  <si>
    <t>Bax</t>
  </si>
  <si>
    <t>Will</t>
  </si>
  <si>
    <t>www.retirementvillages.co.uk</t>
  </si>
  <si>
    <t>Mr. Will Bax served as Chief Executive Officer at Retirement Villages Group (UK). Will has a passion for building communities and supporting them to thrive. He joined RVG in 2019 to pursue a new strategy of urban, socially connected, community building. Prior to RVG, Will was Executive Director at Grosvenor, where he was responsible for the London Estate. He is currently a Trustee of the Blenheim Palace Estate and a Board and Steering Group member of ARCO (the Association of Retirement Community Operators). Away from work Will spends most of his time in nature and is particularly interested in helping wildlife to flourish, starting with rewilding his home farm in Kent.</t>
  </si>
  <si>
    <t>251544-43P</t>
  </si>
  <si>
    <t>William Joseph</t>
  </si>
  <si>
    <t>Potomac Healthcare Solutions</t>
  </si>
  <si>
    <t>www.potomachealthcare.com</t>
  </si>
  <si>
    <t>Co-Founder, Co-Chief Executive Officer &amp; Principal</t>
  </si>
  <si>
    <t>+1 (703) 494-7072</t>
  </si>
  <si>
    <t>wjoseph@potomachealthcare.com</t>
  </si>
  <si>
    <t>1549 Old Bridge Road</t>
  </si>
  <si>
    <t>+1 (703) 542-1722</t>
  </si>
  <si>
    <t>Mr. William Joseph is a Co-Founder and serves as Co-Chief Executive Officer &amp; Principal at Potomac Healthcare Solutions. Mr. Joseph is a recognized leader in the healthcare industry with more than 40 years of experience managing complex healthcare operations in the military, government, and private sector. He entered the private sector after 28 years of Navy service as a Hospital Corpsman and Medical Service Corps Officer. He held progressively more responsible healthcare administration and operations positions culminating with a tour of duty as Commanding Officer, Naval Medical Clinics Command, Washington DC, a network of ambulatory care clinics providing more than 200,000 outpatient visits per year. Prior to forming Potomac Healthcare Solutions, he served as the Executive Vice President and Director of Veterans' Services for a large, privately held healthcare contractor. He also served as Deputy Chief Operating Officer, Managed Care Division for a large, publicly traded healthcare organization. He was responsible for the operation of a large, integrated health system. Earlier, he served the same corporation as Vice President, Long Term Care Division. He received his Bachelor of Science degree from Southern Illinois University, Carbondale, lL in 1975 and his Master of Science in Health Care Administration degree from The George Washington University in 1985. He served as the Prince William County representative to the Health Systems Agency of Northern Virginia established under Virginia law to plan for the balanced and orderly development of healthcare facilities and services in Northern Virginia.</t>
  </si>
  <si>
    <t>314086-96P</t>
  </si>
  <si>
    <t>Xiaoping Zhang</t>
  </si>
  <si>
    <t>Group 42 Holding (Former)</t>
  </si>
  <si>
    <t>Xiaoping</t>
  </si>
  <si>
    <t>Group Chief Investment Officer</t>
  </si>
  <si>
    <t>Mr. Xiaoping Zhang served as Group Chief Investment Officer at G42. As G42's Group CIO, Mr. Zhang oversaw the company's investment strategy, with a focus on strenghtening G42's technology portfolio, while also producing financial returns. Xiaoping has more than 25 years of experience in consulting and general management positions. He is also a renowned Al business expert. Before joining G42, Xiaoping was the COO of Yitu Tech, a leading global Al player. He was also Managing Partner of Financial Services Industry at Deloitte, Managing Partner of Energy and Resources Industry at Ernst &amp; Young, and Consulting Partner at PwC.</t>
  </si>
  <si>
    <t>398177-02P</t>
  </si>
  <si>
    <t>Yahya Al Jasmi</t>
  </si>
  <si>
    <t>Al Jasmi</t>
  </si>
  <si>
    <t>Yahya</t>
  </si>
  <si>
    <t>Mr. Yahya Al Jasmi serves as Chief Executive Officer &amp; Managing Director at Ajman Holding.</t>
  </si>
  <si>
    <t>466542-28P</t>
  </si>
  <si>
    <t>Yehoyada Mandeel</t>
  </si>
  <si>
    <t>Marzipan Tech</t>
  </si>
  <si>
    <t>Mandeel</t>
  </si>
  <si>
    <t>Yehoyada</t>
  </si>
  <si>
    <t>www.marzipantech.ai</t>
  </si>
  <si>
    <t>135 West 41st Street</t>
  </si>
  <si>
    <t>Mr. Yehoyada Mandeel is the Founder &amp; serves as Chief Executive Officer at Marzipan Tech. Mr. Mandeel is the co-founder of NXTleap, he spearheads the development of AI-driven solutions that enhance customer engagement and optimize corporate processes. With a wealth of experience in executive leadership in global companies, he has successfully scaled businesses, expanded market reach, and driven digital transformation across industries and continents. His career spans leadership roles in Marzipan Strategy, Presight (G42), Israel Tech Challenge (ITC), SodaStream International, and Yeda Education (Time To Know), where he led growth, innovation, and business transformations. He holds an LL.B and LL.M from Hebrew University (Summa Cum Laude) and Georgetown University, as well as an MBA (Cum Laude) from Hebrew University.</t>
  </si>
  <si>
    <t>356174-56P</t>
  </si>
  <si>
    <t>Yixian Lin Ph.D</t>
  </si>
  <si>
    <t>Centremedical</t>
  </si>
  <si>
    <t>Lin</t>
  </si>
  <si>
    <t>Yixian</t>
  </si>
  <si>
    <t>centremedical.com.hk</t>
  </si>
  <si>
    <t>+852 3481 6808</t>
  </si>
  <si>
    <t>Room 1201, 12th Floor, Central Building, 1-3 Pedder Street</t>
  </si>
  <si>
    <t>Central</t>
  </si>
  <si>
    <t>Dr. Yixian Lin is the Founder &amp; serves as Chief Executive Officer at Centremedical. Dr. Lam Yat-yin is the founder and director of Cardiology at Canossa Hospital, Hong Kong, the director of the Asian Cardiology Centre at Canossa Hospital, Hong Kong, the founder of the Hong Kong Structural Heart Society, the chief medical consultant of Hong Kong Magnetic Heart, the associate consultant of Prince of Wales Hospital and the consultant of Kiang Wu Hospital in Macau. He was also an associate professor at the Department of Medicine and Therapeutics at the Chinese University of Hong Kong from 2008 to 2014. Dr Lam received his Bachelor of Medicine and Bachelor of Surgery from the University of Hong Kong in 1999 and was awarded the John Anderson Grey Medal. He then received his cardiac training at the Prince of Wales Hospital and the Royal Brompton Hospital in London, UK, and was awarded his Doctor of Medicine in 2011. Dr. Lam has held various academic positions at the Chinese University of Hong Kong and has actively organized numerous international seminars and conferences. He has served as the project director for several international seminars on congenital and structural heart disease in the Asia-Pacific region (such as LAA Hong Kong/Shanghai (2012), LAA Seoul (2013), CSI LAA Asia Pacific (2013 - 2017), APCASH (2013 - 2017), and has been invited to give academic lectures and surgical demonstrations in many countries in Europe, America and Asia. Dr. Lin also holds several positions, including the chairman of the Asia Pacific Structural Heart Club and leadership positions in various professional societies. He is also one of the initiators of China Structural Heart Week. In addition, Dr. Lin co-developed the left atrial appendage occluder LAmbre™ with LifeTech Scientific (Shenzhen) Co., Ltd. Dr. Lin is currently the deputy editor of JACC Asia, the journal of the American College of Cardiology. He was also the deputy editor of the internationally renowned journal International Journal of Cardiology - Cardiac Interventions and has published more than 300 peer-reviewed research articles and abstracts.</t>
  </si>
  <si>
    <t>219322-81P</t>
  </si>
  <si>
    <t>Yolanda Bolleurs</t>
  </si>
  <si>
    <t>Bolleurs</t>
  </si>
  <si>
    <t>Yolanda</t>
  </si>
  <si>
    <t>Ms. Yolanda Bolleurs served as Chief Financial Officer &amp; Board Member at Royal IHC. She has extensive experience in large transformations within several energy related companies.</t>
  </si>
  <si>
    <t>422730-37P</t>
  </si>
  <si>
    <t>Yolanda Surjan Ph.D</t>
  </si>
  <si>
    <t>Creatures and Co. (Former)</t>
  </si>
  <si>
    <t>Surjan</t>
  </si>
  <si>
    <t>www.radvet.com.au</t>
  </si>
  <si>
    <t>Ms. Yolanda Surjan founded Creatures and Co. She received her radiation therapy degree from the University of Newcastle. In addition to other jobs and travels, she worked at Prince of Wales Hospital in Sydney for a number of years before returning to Newcastle with her husband, first to work and then to do her PhD.</t>
  </si>
  <si>
    <t>298243-63P</t>
  </si>
  <si>
    <t>Yonathan Ast</t>
  </si>
  <si>
    <t>Cesium</t>
  </si>
  <si>
    <t>Ast</t>
  </si>
  <si>
    <t>Yonathan</t>
  </si>
  <si>
    <t>www.cesium.com</t>
  </si>
  <si>
    <t>+1 (610) 981-8000</t>
  </si>
  <si>
    <t>anatolii@cesium.com</t>
  </si>
  <si>
    <t>400 Market Street</t>
  </si>
  <si>
    <t>Suite 1100</t>
  </si>
  <si>
    <t>19106</t>
  </si>
  <si>
    <t>Mr. Yonathan Ast serves as Chief Operating Officer at Cesium. He provides comprehensive organizational support to Cesium. The operational systems he builds optimize efficiency and value creation for all levels of the company. He has extensive business experience developed from an early age while working in his family's company, the only private officially licensed reseller for Neuhaus, the international luxury Belgian chocolate brand. From risk management, customer relations and sales, and team management, to luxury aesthetics and branding, He developed many skills as the business grew into one of the most successful sales channels in the US. He is also passionate about Japanese language and culture. He received a FLAS scholarship to study intensive Japanese applied language at ICU in Tokyo, Japan, and also attended the University of Virginia as a FLAS scholar, where he graduated with a degree in East Asian Studies. He's since used his expertise in many cross-border business ventures. He worked with a full consulting firm helping Japanese food and beverage companies export their brands overseas, and he managed a diverse set of cross-border portfolio projects, including art, real estate, and technology for an international holding company. He also supported cross-border product development, strategy, and project management for the Smart Construction initiative at Komatsu, Ltd., and as a consulting director of corporate strategy for Earthbrain, Ltd. While there he advised on the development of scalable market strategies, operational systems, product development roadmapping, and the building of the entire North American launch team. He has also spent over 20 years studying the history, cultivation, and making of Japanese and Chinese teas.</t>
  </si>
  <si>
    <t>219641-05P</t>
  </si>
  <si>
    <t>Zac McCormick</t>
  </si>
  <si>
    <t>McCormick</t>
  </si>
  <si>
    <t>Zac</t>
  </si>
  <si>
    <t>Chief Technology Officer and Director of Engineering</t>
  </si>
  <si>
    <t>+1 (727) 538-0545</t>
  </si>
  <si>
    <t>zac.mccormick@fulcrumapp.com</t>
  </si>
  <si>
    <t>Saint Petersburg, FL</t>
  </si>
  <si>
    <t>360 Central Avenue</t>
  </si>
  <si>
    <t>Saint Petersburg</t>
  </si>
  <si>
    <t>33701</t>
  </si>
  <si>
    <t>Mr. Zac McCormick serves as Chief Technology Officer and Director of Engineering at Fulcrum. Zac McCormick is the Chief Technology Officer at Spatial Networks, overseeing and leading the technical aspects of our products. He was asked to join the SNI team under contract to work on an iOS app in 2011 and ended up joining full time as a mobile engineer. Before that, he worked as an engineer for Mangrove Software building a SaaS HR and payroll product which was later acquired by Asure Software.</t>
  </si>
  <si>
    <t>189096-85P</t>
  </si>
  <si>
    <t>Zhi Zhang</t>
  </si>
  <si>
    <t>Zhongtian Financial</t>
  </si>
  <si>
    <t>Zhi</t>
  </si>
  <si>
    <t>www.ztcn.cn</t>
  </si>
  <si>
    <t>Executive President, General Manager &amp; Director</t>
  </si>
  <si>
    <t>Guiyang, China</t>
  </si>
  <si>
    <t>No. 3 Zhongtian Road</t>
  </si>
  <si>
    <t>Guizhou Province, Zhongtian 201 Center</t>
  </si>
  <si>
    <t>Guiyang</t>
  </si>
  <si>
    <t>550081</t>
  </si>
  <si>
    <t>Mr. Zhi Zhang serves as Executive President, General Manager &amp; Director at Zhongtian Financia, formerly known as Zhongtian Urban Development Group Company Limited since January 16, 2012. He is also serving as Director in an international holding company and another company. He was Vice President of the Company, Chief Executive Officer in a Guizhou-based property development company, Chief Engineering Officer in an international holding company and General Manager in a Guiyang-based urban construction company.</t>
  </si>
  <si>
    <t>300028-24P</t>
  </si>
  <si>
    <t>Mays Jaradat</t>
  </si>
  <si>
    <t>Jordan Capital and Investment Fund</t>
  </si>
  <si>
    <t>Private Investment Fund</t>
  </si>
  <si>
    <t>Jaradat</t>
  </si>
  <si>
    <t>Mays</t>
  </si>
  <si>
    <t>www.jcif.jo</t>
  </si>
  <si>
    <t>Senior Director</t>
  </si>
  <si>
    <t>+962795006077</t>
  </si>
  <si>
    <t>mays@jcif.jo</t>
  </si>
  <si>
    <t>3 Rafiq Al-Hariri Avenue</t>
  </si>
  <si>
    <t>Office 602</t>
  </si>
  <si>
    <t>Ms. Mays Jaradat serves as Senior Director at Jordan Capital and Investment Fund. Ms. Jaradat served as Director of SME Investment Fund at SME Investment Fund. She joined the SME Investment Fund in March 2018. She is a Director of Al Amal Hospital, Crystel, Japanese Flavor, Sands National Academy, and Arabian Development for Food Industries Co. Prior to that, she was a Senior Director of the Corporate Finance Department at Capital Investments. She was also Head of the Business Development Department responsible for strategy/ business development as well as a member of the Senior Management Committee and has been involved in various deals across a broad range of industry verticals. She has also served as a Director of the Consultant and Investment Group, a publicly listed Jordanian healthcare company, and as a member of the Board of Directors of King Abdullah II Design and Development Bureau ("KADDB"). She started her career in 2005 when she was part of the Corporate Finance and Equity Research Departments at Jordan Investment Trust PLC. She holds a Bachelor of Commerce in finance from Concordia University (Canada) and is currently enrolled in the Global MBA program at the University of London.</t>
  </si>
  <si>
    <t>304214-95P</t>
  </si>
  <si>
    <t>Abdulwahab Wazzan</t>
  </si>
  <si>
    <t>National International Holding Company</t>
  </si>
  <si>
    <t>Public Company</t>
  </si>
  <si>
    <t>Wazzan</t>
  </si>
  <si>
    <t>Abdulwahab</t>
  </si>
  <si>
    <t>www.nih-kw.com</t>
  </si>
  <si>
    <t>+965 2225 5925</t>
  </si>
  <si>
    <t>aalwazzan@nih-kw.com</t>
  </si>
  <si>
    <t>Abdulaziz Al-Saqer Street</t>
  </si>
  <si>
    <t>Floor 45, Al-Raya Tower 2, PO Box 25825, Safat</t>
  </si>
  <si>
    <t>+965 2225 5473</t>
  </si>
  <si>
    <t>Mr. Abdulwahab Wazzan serves as Chairman at National International Holding Company.</t>
  </si>
  <si>
    <t>284801-59P</t>
  </si>
  <si>
    <t>Achporn Charuchinda</t>
  </si>
  <si>
    <t>Bangchak Corporation</t>
  </si>
  <si>
    <t>Charuchinda</t>
  </si>
  <si>
    <t>Achporn</t>
  </si>
  <si>
    <t>www.bangchak.co.th</t>
  </si>
  <si>
    <t>Independent Director and Director with Authorized Signature</t>
  </si>
  <si>
    <t>+66 (0)2 3358888</t>
  </si>
  <si>
    <t>2098 M Tower Building, 8th Floor, Sukhumvit Road</t>
  </si>
  <si>
    <t>Phra Khanong Tai, Phra Khanong</t>
  </si>
  <si>
    <t>10260</t>
  </si>
  <si>
    <t>+66 (0)2 3358000</t>
  </si>
  <si>
    <t>Mr. Achporn Charuchinda is Independent Director and Director with Authorized Signature of Bangchak Corporation. Education/Training- Bachelor of Laws, Thammasat University; Thai Barrister-at-Law, Institute of Legal Education of the Thai Bar Association; Director's Briefing - Corporate Strategy beyond the Crisis, a Chairman/Board Perspective, Bain &amp; Company, Inc.; Law Drafting Certificate, India; Certificate, National Defence Course (NDC46), The National Defence College. Experience- Present Member of the Council of State, The Office of the Council of State; 2017 - 2020 Board Member, Office of Insurance Commission; 2017 - 2019 Chairman, National Reform Committee in Justice Process, National Reform Committee; 2017 - 2019 Board Member in Legal, Office of the National Economic and Social Development (NESDB); 2016 Director, Thailand Tobacco Monopoly, Ministry of Finance; 2015 - 2020 Board Member, Office of the National Economic and Social Development (NESDB); 2015 - 2018 Board Member Highland Research and Development Institute (Public Organization); 2013 - 2021 Director, PTT Exploration and Production Public Company Limited; 2013 - 2017 Board Member, The Bank of Thailand; 2013 - 2016 Director, Thai Smile Airways Company Limited; 2013 - 2015 Chairperson, the Securities and Exchange Commission; 2012 - 2015 Member of the Legal Committee, Thai Airways International Public Company Limited. Non-listed companies- Executive Board Life Insurance Fund; Advisory Board, The Crown Property Bureau; Special Advisory Committee, Highland Research and Development Institution (Public Organization); Member of the Risk Oversight Committee, The Bank of Thailand; Member, Constitution Drafting Committee; Member of the Council of State, The Office of the Council of State.</t>
  </si>
  <si>
    <t>283959-46P</t>
  </si>
  <si>
    <t>Ahmad Al Mujalham</t>
  </si>
  <si>
    <t>Shamal Az-Zour Al-Oula</t>
  </si>
  <si>
    <t>Al Mujalham</t>
  </si>
  <si>
    <t>www.aznoula.com</t>
  </si>
  <si>
    <t>+965 2208 5653</t>
  </si>
  <si>
    <t>Mirqab, Kuwait</t>
  </si>
  <si>
    <t>6th Floor, Mazaya Tower 2, Khalid Ibn</t>
  </si>
  <si>
    <t>Al Waleed Street, Block 3</t>
  </si>
  <si>
    <t>Mirqab</t>
  </si>
  <si>
    <t>Mr. Ahmad Almujalham serves as Chairman of the Board of Directors at Shamal Az-Zour Al-Oula. Prior to joining the Board in April 2021, he held multiple roles at the Kuwait Fund for Arab Economic Development for 23 years where he handled the project development of high dams, irrigation schemes, resettlements, and flood protection and has represented the Fund in many international donors and consultative group meetings. He returned to the Kuwait Fund in 2014 and presently serves as a Senior Engineering Advisor for the Appraisal of Roads and Social Projects. Mr. Almujalham has also previously held a role as Mega Project Manager at Almal Investment Company where he oversaw the development of the Hail Economic City in Saudi Arabia. He holds a degree in Civil Engineering and an MBA from Kuwait University, Kuwait.</t>
  </si>
  <si>
    <t>405332-92P</t>
  </si>
  <si>
    <t>Ahmed El Salamouny</t>
  </si>
  <si>
    <t>El Salamouny</t>
  </si>
  <si>
    <t>Chief Financial Officer &amp; BOD Secretary</t>
  </si>
  <si>
    <t>aelsalamouny@nih-kw.com</t>
  </si>
  <si>
    <t>Mr. Ahmed El Salamouny serves as Chief Financial Officer &amp; BOD Secretary at National International Holding Company. Mr. EL Salamouny is the Chief Financial Officer for the group, responsible for all company's financial functions, including accounting, audit, treasury, and corporate finance. Mr. EL Salamouny holds B.Sc. Degree in accounting from Alexandria University and enjoys more than 35 years of work experience in the financial field. Beside his financial responsibilities, Mr. EL Salamouny is BOD Secretary</t>
  </si>
  <si>
    <t>417594-25P</t>
  </si>
  <si>
    <t>Ahmed Elmagarmid</t>
  </si>
  <si>
    <t>Meeza (Former)</t>
  </si>
  <si>
    <t>Elmagarmid</t>
  </si>
  <si>
    <t>www.meeza.net</t>
  </si>
  <si>
    <t>Dr. Elmagarmid is the inaugural Executive Director of Qatar Computing Research Institute (QCRI), a national research institute and member of Qatar Foundation. Since his appointment in 2010, Dr. Elmagarmid has driven the Institute's vision to bring positive impact to citizens and society by focusing on large-scale computing challenges that address national priorities for growth and development. Before joining Qatar Foundation, Dr Elmagarmid held a number of prestigious posts in academia and industry. He has held faculty positions at Pennsylvania State University, the University of Padova, and Purdue University, where he had been actively involved in teaching and research for 25 years. Dr. Elmagarmid served as a chief scientist in HP's Office of Strategy and Technology and has worked with or consulted for Telcordia Technology, Bellcore, IBM,CSC, Harris, D. H. Brown and Associates, MCC, Bell Northern Research, Molecular Design Labs, SOGEI (Italy) and UniSql. Dr. Elmagarmid serves as the Chair of the IT Executive Committee of Sidra Medical and Research Centre. Early in his career he received the NSF's Presidential Young Investigator award from President Ronald Reagan. He is an IEEE Fellow and an ACM Fellow, and is also a member of Sigma Xi American Association for the Advancement of Science (AAAS). The University of Dayton and Ohio State University have both named him among their distinguished alumni. Dr. Elmagarmid has chaired and served on several program committees and editorial boards. Dr. Elmagarmid is an accomplished and wellpublished scientist, authoring six books and more than 180 papers, and has run several well-funded research programs. Dr. Elmagarmid received his B.S. in computer science from the University of Dayton (1977) and his M.S. (1981) and Ph.D (1985) from Ohio State University.</t>
  </si>
  <si>
    <t>286120-45P</t>
  </si>
  <si>
    <t>Alejandro Fonseca</t>
  </si>
  <si>
    <t>Emirates Stallions Group</t>
  </si>
  <si>
    <t>Fonseca</t>
  </si>
  <si>
    <t>Alejandro</t>
  </si>
  <si>
    <t>www.esguae.com</t>
  </si>
  <si>
    <t>alejandro.fonseca@esguae.com</t>
  </si>
  <si>
    <t>The Royal Group Building</t>
  </si>
  <si>
    <t>5th Floor</t>
  </si>
  <si>
    <t>63811</t>
  </si>
  <si>
    <t>Mr. Alejandro Fonseca serves as Group Chief Operating Officer at ESG EMIRATES STALLIONS GROUP. He has more than 15 years of vast experience in architecture, project management and real estate development having been involved with international projects across 15 countries. Alejandro also a former Board Member for 6 years in one of UAE's leading construction company. Having joined Royal Group in 2008, being involved in the development of several companies within the group. His previous international experience in Europe and America as well as his knowledge in the Private and Public Sectors both as a Consultant and Client representative, all provide him with the in-depth understanding and vision required to lead the operation of the organization.</t>
  </si>
  <si>
    <t>410251-33P</t>
  </si>
  <si>
    <t>Ali Abdulsalam</t>
  </si>
  <si>
    <t>Abdulsalam</t>
  </si>
  <si>
    <t>Chief Compliance Officer &amp; Investor Relations Manager</t>
  </si>
  <si>
    <t>aabdulsalam@aznoula.com</t>
  </si>
  <si>
    <t>Mr. Ali Abdulsalam serves as Chief Compliance Officer &amp; Investor Relations Manager at Shamal Az-Zour Al-Oula. He was joined the company in September 2020 and was promoted to the Chief Compliance Officer and Investor Relations Manager in July 2024. In his role, he oversees and manages the essential investor relations and the company's standing at the Capital Market Authority (CMA) and Boursa Kuwait. He brings with him over 9 years of experience in compliance and risk management in his previous role as a registered Risk Officer at Kuwait's Middle East Financial Brokerage Company.</t>
  </si>
  <si>
    <t>170902-81P</t>
  </si>
  <si>
    <t>Andrew Barron Ph.D</t>
  </si>
  <si>
    <t>Natcore Technology</t>
  </si>
  <si>
    <t>Barron</t>
  </si>
  <si>
    <t>www.natcoresolar.com</t>
  </si>
  <si>
    <t>Co-Founder &amp; Technical Consultant</t>
  </si>
  <si>
    <t>+1 (844) 529-1626</t>
  </si>
  <si>
    <t>andrew.barron@natcoresolar.com</t>
  </si>
  <si>
    <t>Rochester, NY</t>
  </si>
  <si>
    <t>189 North Water Street</t>
  </si>
  <si>
    <t>Suite 700</t>
  </si>
  <si>
    <t>Rochester</t>
  </si>
  <si>
    <t>14604</t>
  </si>
  <si>
    <t>+1 (585) 286-9182</t>
  </si>
  <si>
    <t>Dr. Andrew Barron is a Co-Founder and serves as Technical Consultant at Natcore Technology. Currently the Charles W. Duncan, Jr.-Welch Chair of Chemistry and Professor of Materials Science at Rice University, as well as a visiting Professor at the University of Wales. Dr. Barron is the author of numerous publications in the area of materials preparation via chemical pathways and more than 350 peer-reviewed scientific papers, with nearly 100 focusing on developments in nanotechnology. Professor Barron was also the first faculty member hired for the Smalley Institute for Nanotechnology. Before joining the Rice faculty in 1995, Dr. Barron received his undergraduate and doctorate degrees in chemistry from the Imperial College of Science and Technology in London, performed postdoctoral work at the University of Texas at Austin, and served on the faculty at Harvard University. He was the inaugural recipient of the prestigious Norman Hackerman Award in Chemical Research from the Welch foundation and is the first Prince of Wales Visiting Innovator.</t>
  </si>
  <si>
    <t>326714-32P</t>
  </si>
  <si>
    <t>Andrew Frain</t>
  </si>
  <si>
    <t>Frain</t>
  </si>
  <si>
    <t>afrain@aznoula.com</t>
  </si>
  <si>
    <t>Mr. Andrew Frain serves as Chief Executive Officer at Shamal Az-Zour Al-Oula. He is an executive Director of the Board of Directors. Joining the company in November 2017, he also serves as Chief Executive Officer. Mr. Frain's previous role includes Plant General Manager for the Az-Zour North Operations and Maintenance Company. He brings with him over 25 years of experience in the power generation and water production industry, and has a background in design, project management, business development, and operations, and has previous experience working for consultants, EPC contractors, and equipment manufacturers in Europe, the Middle East, and the Asia Pacific.
Mr. Frain holds an MSc in Energy from Heriot-Watt University in Edinburgh, UK, and a BSc in Integrated Engineering Systems from Manchester Metropolitan University, UK.</t>
  </si>
  <si>
    <t>282255-49P</t>
  </si>
  <si>
    <t>Annie Liang Bentley</t>
  </si>
  <si>
    <t>C-MER Medical Holdings (Former)</t>
  </si>
  <si>
    <t>Bentley</t>
  </si>
  <si>
    <t>Annie Liang</t>
  </si>
  <si>
    <t>www.cmermedical.com</t>
  </si>
  <si>
    <t>Mr. Annie Liang Bentley, is our independent non-executive Director since December 2017. Ms. BENTLEY is a member of the audit committee of the Company. Ms Annie Liang BENTLEY is the founder of Bentley Communications and a pioneer of the branding, corporate and marketing communications profession in Hong Kong. Ms. BENTLEY holds a bachelor of arts degree in English Literature and Chinese Translation (1971) from the University of Hong Kong, an advanced certificate in Education from the University of Oxford (1976) and a master's degree in Buddhist Studies from the University of Hong Kong (2010). Ms. BENTLEY was made an Honorary Fellow of the University of Hong Kong in 2013. Ms. BENTLEY began her career in educational publishing for Oxford University Press working on their ESL books and the Oxford English Chinese dictionary. In 1981, she joined the public relations industry working for a financial services banking and securities group in Hong Kong. In 1987, she established her consultancy in partnership with Omnicom, one of the world's largest public relations and advertising conglomerate, and grew Bentley Communications to be one of Hong Kong's reputable communications agencies with coverage in Singapore, Beijing, Shanghai and Guangzhou by 2007. Ms. BENTLEY is Chairman of Robert Black College HKU. She is a trustee of the China Oxford Scholarship Fund, board member of Action for Epilepsy, Heifer International (Hong Kong) and committee member of the Boys and Girls Clubs Association of Hong Kong. Ms. BENTLEY has been a member of the Hospital Governing Committee of the Prince of Wales Hospital, and has served on the Executive Committee of Project Vision since the inception of the charity in 2006. Ms. BENTLEY has no relationship with any Directors, senior management or substantial shareholders (as defined in the Listing Rules) or controlling shareholders (as defined in the Listing Rules) of the Company. Save as disclosed above, Ms. BENTLEY does not hold any other positions with the Company or other members of the Group. Save as disclosed above, Ms. BENTLEY has not held any directorship in other listed public companies in the last three years.</t>
  </si>
  <si>
    <t>283414-51P</t>
  </si>
  <si>
    <t>Arada Jaroon-Ek</t>
  </si>
  <si>
    <t>Origin Property</t>
  </si>
  <si>
    <t>Jaroon-Ek</t>
  </si>
  <si>
    <t>www.origin.co.th</t>
  </si>
  <si>
    <t>Board Member &amp; President</t>
  </si>
  <si>
    <t>+66 (0)2 0300000</t>
  </si>
  <si>
    <t>arada.j@origin.co.th</t>
  </si>
  <si>
    <t>20th Floor, Bhiraj Tower at BITEC</t>
  </si>
  <si>
    <t>4345 Sukhumvit Road, Bangna Subdistrict</t>
  </si>
  <si>
    <t>Bangna</t>
  </si>
  <si>
    <t>+66 (0)2 0291939</t>
  </si>
  <si>
    <t>Ms. Arada Jaroon-Ek, Academic Degree: Master of Business and Administration, Major in Banking and Finance, Thammasart University; Master of Commerce, Commerce and Accountancy Faculty, Sydney University, Australia; Bachelor of Business Administration, Major in Banking and Finance, Chulalongkorn University. Working Experience: 2009 - Present Director Origin Property Public Company Limited; 2021 - Present Corporate Governance Committee Origin Property Public Company Limited; 2014 - Present Executive Committee Origin Property Public Company Limited; 2017 - Present President Origin Property Public Company Limited; 2021 - Present Director Prominent Asset Management Company Limited; 2011 - Present Director One Origin Company Limited; 2009 - 2017 Chief Operation Officer Origin Property Public Company Limited; 2009 - 2014 Chief Operation Officer One Origin Company Limited.</t>
  </si>
  <si>
    <t>348186-52P</t>
  </si>
  <si>
    <t>Arada Vongkusolkit</t>
  </si>
  <si>
    <t>Erawan Group</t>
  </si>
  <si>
    <t>Vongkusolkit</t>
  </si>
  <si>
    <t>www.theerawan.com</t>
  </si>
  <si>
    <t>+66 (0)2 2574588</t>
  </si>
  <si>
    <t>2 Sukhumvit Road</t>
  </si>
  <si>
    <t>Ploenchit Center, 6th Floor, Klong Toey District</t>
  </si>
  <si>
    <t>10110</t>
  </si>
  <si>
    <t>+66 (0)2 2574577</t>
  </si>
  <si>
    <t>Ms. Arada Vongkusolkit, Director; Educational Degree: Executive Master of Business Administration (EMBA), Sasin Graduate Institute of Business Administration of Chulalongkorn University; Master of Engineering, Operations Research &amp; Industrial Engineering, Cornell University Graduate School, Ithaca, New York, U.S.A.; Bachelor of Science in Manufacturing Engineering, Boston University School of Engineering, Boston Massachusetts, U.S.A.; IOD Training Program: RCL: Risk Management Program for Corporate Leader 12/2018; BMT: Board Matters and Trends 3/2017; DCP: Director Certification Program 162/2012; FSD: Financial Statement for Director 17/2012; Experience: 2017- Present Director Erawan Hotel Plc; 2022 - Present Authorized Director Erawan Budget Hotel Co.,Ltd ; 2018- Present Authorized Director Taveesapanan Co., Ltd; 2018 - Present Authorized Director Erawan Growth Management Co., Ltd; 2018 - Present Authorized Director Erawan Hop Inn Co., Ltd; 2018 - Present Authorized Director Erawan Chaophraya Co., Ltd; 2018 - Present Authorized Director Erawan Rajdamri Co.,Ltd ; 2018 - 2021 Authorized Director Erawan Samui Co., Ltd; 2018 - Present Authorized Director Erawan Commercial Management Co.,Ltd; 2018 - Present Authorized Director The Reserve Co., Ltd; 2018 - Present Authorized Director Erawan Phuket Co., Ltd; 2018 - 2022 Authorized Director Erawan Naka Co., Ltd; 2018 - Present Director TME Capital Co., Ltd; 2018 - Present Director UFINVES Corp., Ltd; 2005 - Present Managing Director City Holding Co., Ltd; 2004 - Present Authorized Director City Holding Co., Ltd; 2003 - Present Director Thai Chemical &amp; Engineering Co., Ltd;</t>
  </si>
  <si>
    <t>89251-93P</t>
  </si>
  <si>
    <t>Bang Young-Min</t>
  </si>
  <si>
    <t>Samsung Securities (Former)</t>
  </si>
  <si>
    <t>Young-Min</t>
  </si>
  <si>
    <t>Bang</t>
  </si>
  <si>
    <t>www.samsungsecurities.com</t>
  </si>
  <si>
    <t>Senior Executive Vice President and Head of SNI</t>
  </si>
  <si>
    <t>Bang Young-Min served as Senior Executive Vice President and Head of SNI at Samsung Securities.</t>
  </si>
  <si>
    <t>301786-21P</t>
  </si>
  <si>
    <t>Basim Alothman</t>
  </si>
  <si>
    <t>Coast Investment</t>
  </si>
  <si>
    <t>Alothman</t>
  </si>
  <si>
    <t>Basim</t>
  </si>
  <si>
    <t>www.coast.com.kw</t>
  </si>
  <si>
    <t>+965 2223 0555</t>
  </si>
  <si>
    <t>basim@coast.com.kw</t>
  </si>
  <si>
    <t>Coast Building Sharq - Al Shuhada Street</t>
  </si>
  <si>
    <t>Al Asimah Governate</t>
  </si>
  <si>
    <t>13128</t>
  </si>
  <si>
    <t>+965 2240 8932</t>
  </si>
  <si>
    <t>Mr. Basim Alothman serves as Chairman of the Board of Directors at Coast Investment. He also serves as Chairman of a private company, and the Vice-Chairman of National International Holding Company, and a member of the board of directors of National Investment Company From 2007 until 2012 . He graduated from the Faculty of Arts at Kuwait University in 1983.</t>
  </si>
  <si>
    <t>191756-62P</t>
  </si>
  <si>
    <t>Ben Errez</t>
  </si>
  <si>
    <t>RYVYL</t>
  </si>
  <si>
    <t>Errez</t>
  </si>
  <si>
    <t>Ben</t>
  </si>
  <si>
    <t>www.ryvyl.com</t>
  </si>
  <si>
    <t>+1 (206) 390-8764</t>
  </si>
  <si>
    <t>ben@ryvyl.com</t>
  </si>
  <si>
    <t>3131 Camino Del Rio North</t>
  </si>
  <si>
    <t>Suite 1400</t>
  </si>
  <si>
    <t>92108</t>
  </si>
  <si>
    <t>Mr. Ben Errez is a Co-Founder and serves as Chairman at RYVYL. Mr. Errez serves as Chairman, President &amp; Chief Executive Officer at Coyni. He has acted in these positions since July 2017. From August 2004 until August 2015, he formed the start-up IHC Capital, where he held the position of Principal Consultant from founding to the present date, through which he advises clients in the South Pacific region with market capitalizations ranging from $50M to $150M on matters such as commerce, security, reliability, and privacy. From January 1991 to August 2004, he served as Software Development Lead for the Microsoft International Product Group. He also served as an Executive Representative of Microsoft Office and was a founding member of the Microsoft Trustworthy Computing Forum, both within the company and internationally. At Microsoft, he was responsible for the development of the first Microsoft software translation Software Development Kit ("SDK") in Hebrew, Arabic, Thai and Simplified Chinese, as well as the development of the first bidirectional extensions to Rich Text Format ("RTF") file format, all bidirectional extensions in text converters for Microsoft Office, and contributed to the development of the international extensions to the Unicode standard to include bidirectional requirements under the World Wide Web Consortium ("W3C"). He received his Bachelor's Degree in Mathematics and Computer Science from Hebrew University.</t>
  </si>
  <si>
    <t>278890-93P</t>
  </si>
  <si>
    <t>Bernard Tuch</t>
  </si>
  <si>
    <t>Algorae Pharmaceuticals (Former)</t>
  </si>
  <si>
    <t>Tuch</t>
  </si>
  <si>
    <t>Bernard</t>
  </si>
  <si>
    <t>www.algoraepharma.com</t>
  </si>
  <si>
    <t>Chief Executive Officer, Chairman and Executive Director</t>
  </si>
  <si>
    <t>Dr. Bernard Tuch served as Chief Executive Officer, Chairman and Executive Director at Living Cell Technologies. Professor Tuch is an Honorary Professor at The University of Sydney and Monash University. He is also supervising a bioengineering diabetes cell therapy project at the University of Technology Sydney. Previously, he was a senior scientist with CSIRO Australia. He is a director of Sydney Cell Therapy Foundation Pty Limited, the not-for-profit Australian Foundation for Diabetes Research, and is a Specialist Practitioner, Endocrinology, at the Prince of Wales Private Hospital &amp; St Vincent's Private Hospital, Sydney. His experience includes capital raising to support his considerable research team and a large international scientific publication list. He has had previous scientific collaborations with LCT and knows the company's direction intimately. Professor Tuch was chairman of the Remuneration and Nomination Committee until he became interim CEO on 16 July 2021. He was appointed to the board on 20 July 2011 and appointed interim chairman on 31 August 2018.</t>
  </si>
  <si>
    <t>326715-13P</t>
  </si>
  <si>
    <t>Bobby Agha</t>
  </si>
  <si>
    <t>Shamal Az-Zour Al-Oula (Former)</t>
  </si>
  <si>
    <t>Agha</t>
  </si>
  <si>
    <t>Bobby</t>
  </si>
  <si>
    <t>Mr. Bobby Agha served as Chief Financial Officer at Shamal Az-Zour Al-Oula. He joined the company as the Chief Financial Officer in April 2021.</t>
  </si>
  <si>
    <t>68506-30P</t>
  </si>
  <si>
    <t>Carl Bang</t>
  </si>
  <si>
    <t>Sun Life Financial (Former)</t>
  </si>
  <si>
    <t>www.sunlife.com</t>
  </si>
  <si>
    <t>Mr. Carl Bang served as President at Sun Life Financial. Mr. Bang is expected to play a strategic leadership role with Sun Life Financial's new Canadian investment management business, which was first launched in April. He most recently served as the CIO of the Qatar Foundation Endowment. Prior to joining Qatar's education, science and community development fund, he spent time as the CEO of State Street Global Advisors (SSgA) in Paris and also worked as senior managing director and CIO for SSgA Canada.</t>
  </si>
  <si>
    <t>357071-14P</t>
  </si>
  <si>
    <t>Carlos Riquelme</t>
  </si>
  <si>
    <t>Prince of Wales Country Club</t>
  </si>
  <si>
    <t>Riquelme</t>
  </si>
  <si>
    <t>www.pwcc.cl</t>
  </si>
  <si>
    <t>President of the Board</t>
  </si>
  <si>
    <t>+56 (2) 2757 5700</t>
  </si>
  <si>
    <t>criquelme@pwcc.cl</t>
  </si>
  <si>
    <t>Santiago, Chile</t>
  </si>
  <si>
    <t>Calle Las Aranas 1901</t>
  </si>
  <si>
    <t>Metropolitana</t>
  </si>
  <si>
    <t>Santiago</t>
  </si>
  <si>
    <t>7850000</t>
  </si>
  <si>
    <t>Chile</t>
  </si>
  <si>
    <t>Mr. Carlos Riquelme serves as President of the Board at Prince of Wales Country Club.</t>
  </si>
  <si>
    <t>133412-14P</t>
  </si>
  <si>
    <t>Chen Qiuhai</t>
  </si>
  <si>
    <t>Yamada Green Resources</t>
  </si>
  <si>
    <t>Qiuhai</t>
  </si>
  <si>
    <t>Chen</t>
  </si>
  <si>
    <t>www.yamada-green.com</t>
  </si>
  <si>
    <t>Board Member, Executive Director &amp; Chief Executive Officer</t>
  </si>
  <si>
    <t>+86 (0)591 2206 0997</t>
  </si>
  <si>
    <t>chenqiuhai@yamada-green.com</t>
  </si>
  <si>
    <t>Fuzhou, China</t>
  </si>
  <si>
    <t>No.2, Dongling Road, Economic and Technological Development Zone</t>
  </si>
  <si>
    <t>Ganzhe Street, Minhou County</t>
  </si>
  <si>
    <t>Fuzhou</t>
  </si>
  <si>
    <t>Fujian</t>
  </si>
  <si>
    <t>350100</t>
  </si>
  <si>
    <t>+86 (0)591 2262 6269</t>
  </si>
  <si>
    <t>Mr. Chen Qiuhai serves as Board Member, Executive Director &amp; Chief Executive Officer at Yamada Green Resources. Mr. Qiuhai is responsible for overseeing the overall management, operations and business strategy ofour Group. Prior to this, he was a manager at Fujian Tourism Company Ltd from 1988 to 1998, and was responsible for the company's sales and liaisons. He was the chief representative of a Japanese company named Yamashiro-Nosan Co., Ltd. from 1994 to 1998 on a part-time basis, where he was responsible for negotiation, procurement, inspection and coordination with exporters of food products (mainly mushrooms and bamboo shoots) from PRC (Fujian and Shandong Provinces) to Japan. Since the establishment of Fuzhou Wangcheng Foods Development Co., Ltd ("wangcheng"), he has received recognition for his contributions to Wangcheng, and was awarded the prestigious Outstanding Young Entrepreneur Award by the Communist Youth League Committee of Fujian Province in 2009. He graduated from Chinese People's Public Security University with a degree in Japanese language in 1988. Mr Chen is also the director of Wangcheng, Nanping Yuanwang Foods Co., Ltd., Fuzhou Kangzhimei Foods Co., Ltd. and Feng Zhi Qiu International Holding Company Limited.</t>
  </si>
  <si>
    <t>282386-44P</t>
  </si>
  <si>
    <t>Chih-Hsien Lo</t>
  </si>
  <si>
    <t>Prince Housing &amp; Development</t>
  </si>
  <si>
    <t>Lo</t>
  </si>
  <si>
    <t>Chih-Hsien</t>
  </si>
  <si>
    <t>www.prince.com.tw</t>
  </si>
  <si>
    <t>+886 (0)6 2821155</t>
  </si>
  <si>
    <t>chih-hsien.lo@scinopharm.com</t>
  </si>
  <si>
    <t>Tainan, Taiwan</t>
  </si>
  <si>
    <t>No.30, Zhongzheng S. Road</t>
  </si>
  <si>
    <t>19th Floor, Yongkang District</t>
  </si>
  <si>
    <t>Tainan</t>
  </si>
  <si>
    <t>710</t>
  </si>
  <si>
    <t>Taiwan</t>
  </si>
  <si>
    <t>+886 (0)6 2351155</t>
  </si>
  <si>
    <t>Mr. Chih-Hsien Lo, Chairman of the Board and Chief Strategy Officer. Education and experience: MBA, UCLA, USA. Other positions: Chairman: Uni-President Enterprises Corp., President Chain Store Corp., Uni-President Natural Industrial Corp., Ton Yi Industrial Corp., TTET Union Corp., Prince Housing &amp; Development Corp., President Packaging Corp., President International Development Corp., ScinoPharm Taiwan, Ltd., Uni-President Cold-Chain Corp., Presco Net marketing Inc., Uni-President Dream Parks Corp., Nanlien International Corp., Uni-President Express Corp., Woongjin Foods Co., Ltd., Dae young Foods Co., Ltd., President Enterprises (China) Investment Co., Ltd., Chang jiagang President Nisshin Food Co., Ltd., Uni-President (Philippines) Corp., Uni-President (Thailand) Ltd., Uni-President (Vietnam) Co., Ltd., President Enterprises (China) Investment Co., Ltd., President Century Corp., President Property Corp., Prince Real Estate Co., Ltd., Times Square International Holding Company, Times Square International Stays Corp., Times Square International Hotel Corp., Cheng Shi Investment Holding Co., Ltd. Vice Chairman of: President Nisshin Corp. Director of: Uni-Wonder Corp., Uni-President Organics Corp., Uni-President Glass Industrial Co., Ltd., Cayman President Holdings Ltd., Kai Yu(BVI) Investment Co.,Ltd., President Fair Development Corp., Uni-President Southeast Asia Holdings Ltd., Uni-President Asia Holdings Ltd., Uni-President Hong Kong Holdings Limited, Champ Green Capital Co., Ltd., Champ Green (Shanghai) Consulting Co., Ltd., Guangzhou President Enterprises Co., Ltd., Fuzhou President Enterprises Co., Ltd., Xinjiang President Enterprises Food Co., Ltd., Wuhan President Enterprises Food Co., Ltd., Kunshan President Enterprises Food Co., Ltd., Chengdu President Enterprises Food Co., Ltd., Shenyang President Enterprises Co., Ltd., Harbin President Enterprises Co., Ltd., Hefei President Enterprises Co., Ltd., Zhengzhou President Enterprises Co., Ltd., Beijing President Enterprises Drinks &amp; Food Co., Ltd., President (Kunshan) Food Technology Co., Ltd., Nanchang President Enterprises Co., Ltd., President (Shanghai) Trading Co., Ltd., Kunming President Enterprises Food Co., Ltd., Yantai Tongli Beverage Industries Co., Ltd., Changsha President Enterprises Co., Ltd., Bama President Mineral Water Co., Ltd., Nanning President Enterprise Co., Ltd., Zhanjiang President Enterprise Co., Ltd., Chongqing President Enterprise Co., Ltd., Taizhou President Enterprises Co., Ltd., Akesu President Enterprise Co., Ltd., Changchun President Enterprise Co., Ltd., Uni-President Shanghai Management Consulting Co., Ltd., Uni-President Shanghai Pearly Century Co., Ltd., Baiyin President Enterprise Co., Ltd., Hainan President Enterprise Co., Ltd., Guiyang President Enterprises Co., Ltd., Jinan President Enterprise Co., Ltd., Hangzhou President Enterprise Co., Ltd., Wuxue President Mineral Water Co., Ltd., Shijiezhuanng President Enterprise Co., Ltd., Xuzhou President Enterprise Co., Ltd., Henan President Enterprises Co., Ltd., President (Kunshan) Trading Co.,Ltd. Shanxi President Enterprises Corp., Jangsu President Enterprises Co., Ltd., Changbaishan Mountain President Enterprises (Jilin) Mineral Water Co., Ltd., President (Kunshan) Food Technology Co., Ltd., President (Kunshan) Real Estate Development Co., Ltd., Ningxia President Enterprises Co., Ltd., Shanghai President Enterprises Co., Ltd., Inner Mongolia President Enterprises Co., Ltd., Shanxi President Enterprises Co., Ltd., Uni-President Enterprises (Hutubi) Tomato Products Technology Co., Ltd., Uni-President Enterprises (Shanghai) Drink &amp; Food Co., Ltd., Uni-President Enterprises (TianJin) Co., Ltd., Uni-OAO Travel Service Corp., President Packaging Holdings Ltd., Kuang Chuan Dairy Co., Ltd., Kuang Chuan Foods Ltd., Uni-President Development Corp., President Professional Baseball Team Corp., Tait Marketing &amp; Distribution Co., Ltd., Wei Lih Food Industrial Co., Ltd., Geng-Ding Co., Ltd.,President C</t>
  </si>
  <si>
    <t>217813-60P</t>
  </si>
  <si>
    <t>Choudhary Yarlagadda</t>
  </si>
  <si>
    <t>Chimera Investment (Former)</t>
  </si>
  <si>
    <t>Yarlagadda</t>
  </si>
  <si>
    <t>Choudhary</t>
  </si>
  <si>
    <t>www.chimerareit.com</t>
  </si>
  <si>
    <t>Chief Operating Officer, Operations &amp; Board Member</t>
  </si>
  <si>
    <t>cyarlagadda@chimerareit.com</t>
  </si>
  <si>
    <t>Mr. Choudhary Yarlagadda serves as Co-Chief Investment Officer &amp; Board Member at Chimera Investment. He served as President and Chief Operating Officer at Chimera Investment. Prior to becoming Chief Operating Officer in August 2015, Mr. Yarlagadda was a Managing Director and Head of Structured Products for Annaly since January 2008. Prior to joining Annaly, Mr. Yarlagadda was a Director in Structured Credit Products at Credit Suisse and before that a Vice President in the Fixed Income Mortgage Group at Nomura Securities International, Inc. Mr. Yarlagadda has an MS from the Florida Institute of Technology and BS from the National Institute of Technology (India).</t>
  </si>
  <si>
    <t>282929-14P</t>
  </si>
  <si>
    <t>Coert Beerman</t>
  </si>
  <si>
    <t>B&amp;S Group (Former)</t>
  </si>
  <si>
    <t>Beerman</t>
  </si>
  <si>
    <t>Coert</t>
  </si>
  <si>
    <t>www.bs-group-sa.com</t>
  </si>
  <si>
    <t>Mr Beerman serves a Member of the Board of Directors of IHC B.V., and before that he held various director positions at the Rabobank. Mr Beerman holds an MBA from Nyenrode Business University. He also serves chairman of the Supervisory Board of the Hogeschool Rotterdam and chairman of the Supervisory Board of Zwanenberg Food Group B.V.</t>
  </si>
  <si>
    <t>226736-83P</t>
  </si>
  <si>
    <t>Dan Gare</t>
  </si>
  <si>
    <t>Avacta Life Sciences (Former)</t>
  </si>
  <si>
    <t>Gare</t>
  </si>
  <si>
    <t>www.avacta.com</t>
  </si>
  <si>
    <t>Senior Manager, Business Development</t>
  </si>
  <si>
    <t>Mr. Dan Gare served as Senior Manager, Business Development at Avacta Group. Dan joined Avacta from Abcam where he was in charge of Business Development for their custom rabbit Monoclonal antibody service for Europe. This involved developing bespoke reagents for many of the worlds leading pharmaceutical and biotech companies. Prior to this Dan was responsible for the Discovery automated IHC stainer at Ventana, part of the Roche Diagnostics Group, so has extensive practical knowledge of the technique. Before commercial roles Dan studied and worked in academia including positions at Imperial College, London and Cambridge University.</t>
  </si>
  <si>
    <t>399532-87P</t>
  </si>
  <si>
    <t>Dan Thakkar</t>
  </si>
  <si>
    <t>Chimera Investment</t>
  </si>
  <si>
    <t>Thakkar</t>
  </si>
  <si>
    <t>Chief Credit Officer &amp; Chief Risk Officer</t>
  </si>
  <si>
    <t>+1 (212) 205-6300</t>
  </si>
  <si>
    <t>630 Fifth Avenue</t>
  </si>
  <si>
    <t>Suite 2400</t>
  </si>
  <si>
    <t>10111</t>
  </si>
  <si>
    <t>Mr. Dan Thakkar served as Chief Credit Officer &amp; Chief Risk Officer at Chimera Investment. Prior to becoming Co-Chief Investment Officer in December 2022 (and subsequently our Chief Investment Officer in March 2024), Mr. Thakkar served as the Company's Chief Risk Officer starting in December 2020. Prior to joining the Company, Mr. Thakkar headed the Fixed Income Trading Desk at Genworth Financial from 2012 to 2020, where he was responsible for overseeing Trading for IG Corporates, High-Yield, Municipals, Emerging Markets and Structured Product Sectors, including RMBS, ABS, CMBS and CLOs. Prior to this job, Mr. Thakkar headed Trading for Genworth's Structured Portfolio from 2008 to 2012 that included RMBS, CMBS and ABS. Prior to Genworth, Mr. Thakkar was with Hyperion Brookfield Asset Management for from 2005 to 2008, one of the original asset managers of residential mortgage-backed security funds, where he traded RMBS and managed a Mortgage REIT fund. Mr. Thakkar also spent nine years at MetLife, where he was an Agency and Non-Agency RMBS trader. Prior to that job, he traded Government and Agency Debt, and had stints at Portfolio and Risk Management units within MetLife. On April 2, 2025, Chimera Investment Corporation and Dan Thakkar mutually agreed that Mr. Thakkar will step down from his position as the Company's Chief Credit &amp; Risk Officer, effective July 1, 2025. He holds MBA from University of Hartford and BA from Delhi University, India.</t>
  </si>
  <si>
    <t>211884-85P</t>
  </si>
  <si>
    <t>Darwin Green</t>
  </si>
  <si>
    <t>Contango ORE</t>
  </si>
  <si>
    <t>Green</t>
  </si>
  <si>
    <t>Darwin</t>
  </si>
  <si>
    <t>www.contangoore.com</t>
  </si>
  <si>
    <t>+1 (604) 629-1165</t>
  </si>
  <si>
    <t>Fairbanks, AK</t>
  </si>
  <si>
    <t>516 2nd Avenue</t>
  </si>
  <si>
    <t>Fairbanks</t>
  </si>
  <si>
    <t>99701</t>
  </si>
  <si>
    <t>Mr. Darwin Green serves as Chief Executive Officer and Board Member at Toro Silver. Mr. Darwin Green is the Founder and serves as Executive Chairman at Onyx Gold. Mr. Darwin Green is the Founder and serves as President, Chief Executive Officer &amp; Director at HighGold Mining. He also serves as a Director at Evergold. He has experience as Sr. management advancing mineral deposits in Alaska. business &amp; capital market strength, exploration acumen, and jurisdiction knowledge. Most recently, he served as Vice President of exploration for Constantine Metal Resources advancing the Alaska Palmer zinc/copper deposit to the preliminary economic assessment stage. Prior to that, he oversaw resource expansion and underground development programs at the Niblack deposit on Prince of Wales Island, for which he received the Commissioner's award for Project Excellence from the state of Alaska. He drives the strategy, oversees the exploration processes and leads the business development and corporation marketing for HighGold. He holds both a B.Sc. and an M.Sc. in economic geology.</t>
  </si>
  <si>
    <t>255464-38P</t>
  </si>
  <si>
    <t>David Wright</t>
  </si>
  <si>
    <t>Rezolve Ai</t>
  </si>
  <si>
    <t>www.rezolve.com</t>
  </si>
  <si>
    <t>+44 (0)20 4625 9700</t>
  </si>
  <si>
    <t>21 Sackville Street</t>
  </si>
  <si>
    <t>W1S 3DN</t>
  </si>
  <si>
    <t>Mr. David Wright serves as Board Member at Rezolve. Sir David is the UK's former ambassador to both the Republic of Korea and Japan. During his distinguished career he was Vice-Chairman of Barclays, Private Secretary to HRH The Prince of Wales and the first CEO of British Trade International, subsequently UK Trade and Investment. His unique experience is extremely helpful to Rezolve both in Asia and elsewhere.</t>
  </si>
  <si>
    <t>128499-85P</t>
  </si>
  <si>
    <t>Debbie Garside Ph.D</t>
  </si>
  <si>
    <t>Shearwater Group (Former)</t>
  </si>
  <si>
    <t>Garside</t>
  </si>
  <si>
    <t>Debbie</t>
  </si>
  <si>
    <t>www.shearwatergroup.com</t>
  </si>
  <si>
    <t>Group Chief Innovation Scientist</t>
  </si>
  <si>
    <t>Dr. Debbie Garside served as Group Chief Innovation Scientist at Shearwater Group. She Co-Founded and served as Managing Director and Chief Executive Officer at Geolang. She is a 25-year veteran of cybersecurity and business resilience, currently writing up her PhD with Glyndwr University. She Co-Founded GeoLang and has written UK and International patents for her CAPTCHA invention. She was the first Prince of Wales Innovation Scholar and former Advisory Board member of the Wikimedia Foundation; until recently she chaired a BSI committee and the ISO TC37/SC2 committee for Terminology and Language Resources. She is currently on the advisory board of HPC Wales and is a Senior Visiting Research Fellow at Glyndwr University.</t>
  </si>
  <si>
    <t>217427-86P</t>
  </si>
  <si>
    <t>Dimitris Vastarouchas</t>
  </si>
  <si>
    <t>Danaos</t>
  </si>
  <si>
    <t>Vastarouchas</t>
  </si>
  <si>
    <t>Dimitris</t>
  </si>
  <si>
    <t>www.danaos.com</t>
  </si>
  <si>
    <t>Technical Director &amp; Deputy Chief Operating Officer</t>
  </si>
  <si>
    <t>+30 210 419 6480</t>
  </si>
  <si>
    <t>dvastarouchas@danaos.com</t>
  </si>
  <si>
    <t>Athens, Greece</t>
  </si>
  <si>
    <t>14 Akti Kondyli</t>
  </si>
  <si>
    <t>Piraeus</t>
  </si>
  <si>
    <t>Athens</t>
  </si>
  <si>
    <t>185 45</t>
  </si>
  <si>
    <t>Greece</t>
  </si>
  <si>
    <t>+30 210 419 6489</t>
  </si>
  <si>
    <t>Dimitris Vastarouchas is our Deputy Chief Operating Officer. Mr. Vastarouchas has been the Technical Manager of our Manager since 2005 and has over 20 years of experience in the shipping industry. Mr. Vastarouchas initially joined our Manager in 1995 and prior to becoming Technical Manager he was the New Buildings Projects and Site Manager, under which capacity he supervised newbuilding projects in Korea for 4,250, 5,500 and 8,500 TEU containerships. He holds a degree in Naval Architecture &amp; Marine Engineering from the National Technical University of Athens, Certificates &amp; Licenses of expertise in the fields of Aerodynamics (C.I.T.), Welding (CSWIP), Marine Coating (FROSIO) and Insurance (North of England P&amp;I). He is also a qualified auditor by Det Norske Veritas and Certified Negotiator by Schranner Negotiations Institute (SNI).</t>
  </si>
  <si>
    <t>300601-72P</t>
  </si>
  <si>
    <t>Dirk Geerligs</t>
  </si>
  <si>
    <t>Giyani Metals</t>
  </si>
  <si>
    <t>Geerligs</t>
  </si>
  <si>
    <t>Dirk</t>
  </si>
  <si>
    <t>www.giyanimetals.com</t>
  </si>
  <si>
    <t>+1 (289) 291-7632</t>
  </si>
  <si>
    <t>dgeerligs@giyanimetals.com</t>
  </si>
  <si>
    <t>666 Burrard Street</t>
  </si>
  <si>
    <t>Suite 1700</t>
  </si>
  <si>
    <t>V6C 2X8</t>
  </si>
  <si>
    <t>Mr Geerligs is a civil engineer and has over 20 years' experience in construction and project delivery of mining and industrial projects in the Russian Federation and Europe with companies including Silver Bear Resources, Knauf Insulation and Royal IHC. He has been a consultant to Giyani since May 2021 and will join the Company on a full-time basis effective April 4, 2022.</t>
  </si>
  <si>
    <t>410254-75P</t>
  </si>
  <si>
    <t>Fahad Zuabi</t>
  </si>
  <si>
    <t>Zuabi</t>
  </si>
  <si>
    <t>Fahad</t>
  </si>
  <si>
    <t>fzuabi@aznoula.com</t>
  </si>
  <si>
    <t>Mr. Fahad Zuabi serves as Chief Operating Officer at Shamal Az-Zour Al-Oula. He has a total of 10 years experience in the power and water sector, including 8 years in the company. He has been growing in the organization in various technical roles, and contributed to critical phases of the project: construction, commissioning, operations and maintenance, IPO and Plant Management. Fahad has extensive experience interacting and coordinating with key stakeholders, including off-taker (MEWRE), regulators, and major shareholders.</t>
  </si>
  <si>
    <t>217487-08P</t>
  </si>
  <si>
    <t>Faisal Alsuwaidi</t>
  </si>
  <si>
    <t>Rosneft</t>
  </si>
  <si>
    <t>Alsuwaidi</t>
  </si>
  <si>
    <t>www.rosneft.com</t>
  </si>
  <si>
    <t>Chairman of HR and Remuneration Committee</t>
  </si>
  <si>
    <t>+7 (8)499 517 8899</t>
  </si>
  <si>
    <t>Moscow, Russia</t>
  </si>
  <si>
    <t>26/1, Sofiyskaya Embankment</t>
  </si>
  <si>
    <t>Russian Federation</t>
  </si>
  <si>
    <t>Moscow</t>
  </si>
  <si>
    <t>117997</t>
  </si>
  <si>
    <t>Russia</t>
  </si>
  <si>
    <t>+7 (8)499 517 7235</t>
  </si>
  <si>
    <t>Mr. Faisal Alsuwaidi serves as Chairman of HR and Remuneration Committee at Rosneft. Mr. Alsuwaidi has been appointed to the board as non-executive director with effect from AGM 2017. Born in 1954. Graduated from Merton Technical College (UK) in 1978. Deserved governmental and institutional awards:French State Award Legion of Honor Excellent Work Certificate in the category of Honored Managers of the Arab World awarded by His Highness Sheikh Mohammed Bin Rashid Al Maktoum, Prime Minister of UAE and Emir of Dubai. Since 1992 till 1997 - Managing Director of Qatar Fertiliser Company. Since 1992 till 2010 - Member of the Board of Directors of Qatar Petroleum. Since 1992 till 2010 - Deputy Chairman of the Board of Directors of Qatar LNG Company. Since 1997 till 2010 - Managing Director of Qatar LNG Company. Since 2004 till 2010 - Deputy Chairman of the Board of Directors of Qatar Gas Transport Company. Since 2005 till 2010 - Member of the Board of Directors of Ras Laffan LNG Company. Since 2012 till 2018 - President of Research and Development at Qatar Foundation. Since 2018 till now - Member of the Board of Trustees at Qatar University. Since 2018 till now - Representative of Qatar Investment Authority
Member of the Board of Directos of Rosneft since 2017.Faisal Alsuwaidi does not hold any shares of Rosneft</t>
  </si>
  <si>
    <t>321173-92P</t>
  </si>
  <si>
    <t>Fan Zhu Ph.D</t>
  </si>
  <si>
    <t>Space42</t>
  </si>
  <si>
    <t>Zhu</t>
  </si>
  <si>
    <t>Fan</t>
  </si>
  <si>
    <t>www.space42.ai</t>
  </si>
  <si>
    <t>+971 (0)2 641 0000</t>
  </si>
  <si>
    <t>P.O. Box: 111143</t>
  </si>
  <si>
    <t>Al Nahyan Area, Delma Street No.13</t>
  </si>
  <si>
    <t>+971 (0)2 641 5566</t>
  </si>
  <si>
    <t>Mr. Fan Zhu serves as Chief Technology Officer at Space42. Prior to joining Bayanat, Dr. Fan was leading G42 map department and one of the founding directors of the inception institute of Artificial Intelligence of G42. He also spent two and a half years with New York University Abu Dhabi as a research fellow focusing on 3D Computer Vision. Dr. Fan has authored/co-authored over 100 papers in top AI conference and journals and he holds 5 US, Europe and china patents.</t>
  </si>
  <si>
    <t>286331-59P</t>
  </si>
  <si>
    <t>Farid Harianto</t>
  </si>
  <si>
    <t>Indika Energy</t>
  </si>
  <si>
    <t>Harianto</t>
  </si>
  <si>
    <t>Farid</t>
  </si>
  <si>
    <t>www.indikaenergy.co.id</t>
  </si>
  <si>
    <t>+62 (0)21 2557 9888</t>
  </si>
  <si>
    <t>Jakarta, Indonesia</t>
  </si>
  <si>
    <t>Graha Mitra, 3rd Floor</t>
  </si>
  <si>
    <t>Jl. Jendral Gatot Subroto Kav. 21</t>
  </si>
  <si>
    <t>Jakarta</t>
  </si>
  <si>
    <t>12930</t>
  </si>
  <si>
    <t>+62 (0)21 2557 9898</t>
  </si>
  <si>
    <t>Mr. Farid Harianto, Indonesian citizen, appointed as Independent Commissioner of Indika Energy since April 2020 for his first term of service based on Deed Number 28 dated 22 April 2020. He is also Chairman of Nomination and Remuneration Committee of Indika Energy as referred to Board of Commissioners Decree No. 002/IE/BOC/DEC/IV/2020, and also member of Project and Investment Committee of Indika Energy as referred to Board of Commissioners Decree No. 003/IE/ BOC/DEC/IV/2020. He also serves as Commissioner of Tripatra (since April 2019) and PT Tripatra Multi Energi (since August 2019). He also serves as the President Commissioner of PT Pertamina Bina Medika - Indonesia Healthcare Corporation (Pertamedika - IHC) since July 2020, and Independent Commissioner of PT Unggul Indah Cahaya Tbk. (since July 2020). Previously, he served as Commissioners of PT Siloam Hospitals Tbk. (2008-2019), PT Toba Bara Sejahtera Tbk. (2012-2020) and PT Bata International Tbk. (2011-2020). Vice Chairman of Pang Hlay Siloam Hospitals in Myanmar (2014-2019). He served as the CEO of Credit Rating Indonesia (PT Pefindo, 1995- 1998), and as the Chairman of PT Kereta Api Commuter Jakarta (KCJ). He also served as a member of Risk Oversight Committee of PT Maybank Indonesia Tbk., and member of Audit Committee of PT Matahari Department Store Tbk. Farid Harianto is a financial economist with over 30 years of experience encompassing academics, public and private sectors. In the public sector, he was serving as special advisor to the Vice President of the R.I. (2009-2014), and as a senior advisor to the Governor of Bank Indonesia (2008-2014), and as as Vice Chairman of the Indonesian Bank Restructuring Agency (IBRA: 1998-2000). At IBRA, he led the consolidation (closing, merger and recapitalization) of the Indonesian banking sector as well as the negotiation and settlement with the controlling shareholders of the crisis banks. During his advisory role at Bank Indonesia, he led the Indover Bank resolution team that won the litigation case in the Netherlands.</t>
  </si>
  <si>
    <t>72458-20P</t>
  </si>
  <si>
    <t>Francois Thomazeau</t>
  </si>
  <si>
    <t>Bollore</t>
  </si>
  <si>
    <t>Thomazeau</t>
  </si>
  <si>
    <t>Francois</t>
  </si>
  <si>
    <t>www.bollore.com</t>
  </si>
  <si>
    <t>+33 (0)1 46 96 44 33</t>
  </si>
  <si>
    <t>Puteaux, France</t>
  </si>
  <si>
    <t>Tour Bolloré 31-32</t>
  </si>
  <si>
    <t>Quai de Dion-Bouton</t>
  </si>
  <si>
    <t>Puteaux</t>
  </si>
  <si>
    <t>92811</t>
  </si>
  <si>
    <t>+33 (0)1 46 96 44 22</t>
  </si>
  <si>
    <t>Mr. François Thomazeau serves as Board Member at Bolloré. Mr. Thomazeau served as Non-Voting Member of Supervisory Board at Idinvest Partners. Mr. Thomazeau served as Board Member &amp; President at Fonciere de Paris. He served as Co-Chief Executive Officer of Agf Assurances Financieres SA between January 1, 2006 and July 10, 2007. Between 2003 and January 1, 2006, he served as Chief Executive Officer of the Company. He started off as an Auditor in 1977. He moved to the Caisse Nationale de Credit Agricole in 1981 as a Director. In 1987, he became Deputy Director for Aerospatiale SNI, a position he held until 1991. Between 1991 and 1994, he was Managing Director for Air France. In 1994, he became a Managing Director of UAP Assistance. Between 1995 and 1998, he was Managing Director of Finance of Athena Assurances, then Managing Director and Chairman of Athena Finance and then of Athena Immobilier. Since 2001, he has been Deputy Managing Director in charge of Human Resources and Legal Direction as well as of International Reassurance and Assistance.</t>
  </si>
  <si>
    <t>398263-78P</t>
  </si>
  <si>
    <t>Ghislane Bennouna</t>
  </si>
  <si>
    <t>Aya Gold &amp; Silver</t>
  </si>
  <si>
    <t>Bennouna</t>
  </si>
  <si>
    <t>Ghislane</t>
  </si>
  <si>
    <t>www.ayagoldsilver.com</t>
  </si>
  <si>
    <t>+1 (514) 951-4411</t>
  </si>
  <si>
    <t>Ville Mont-Royal, Canada</t>
  </si>
  <si>
    <t>1320 Graham</t>
  </si>
  <si>
    <t>Suite 132</t>
  </si>
  <si>
    <t>Ville Mont-Royal</t>
  </si>
  <si>
    <t>H3P 3C8</t>
  </si>
  <si>
    <t>Ms. Guedira is the founder of Amplitude Conseil, a firm through which she offers senior finance consultancy services since 2021. She currently serves as a director and chair of the audit committees of RISMA and CDG Capital, since 2021, in addition to being a member of the Moroccan Privatization Valuation Body since 2019. Ms. Guedira served, for over a decade in leading executive roles within the OCP Group, the world's largest producer of phosphate and phosphate-based products and one of the largest phosphate, fertilizer, chemicals, and mineral industrial companies in the world by revenue. She initially joined the OCP Group as Advisor to the Chairman and CEO in 2010 and was promoted to the role of Chief Financial Officer in 2013. Previously, Ms. Guedira held the roles of Secretary General of Winxo in 2007 and several leadership positions at the Al Mada Group, a pan-African private conglomerate, from 1997 to 2006. She also worked as an Auditor at Arthur Andersen in Paris and in Casablanca for 5 years, after having graduated with a master's degree from the ESCP Business School in 1992. Other public company directorship: RISMA - since 2020;</t>
  </si>
  <si>
    <t>57950-65P</t>
  </si>
  <si>
    <t>Graham Savage</t>
  </si>
  <si>
    <t>Sears Canada</t>
  </si>
  <si>
    <t>Savage</t>
  </si>
  <si>
    <t>Graham</t>
  </si>
  <si>
    <t>www.sears.ca</t>
  </si>
  <si>
    <t>290 Yonge Street</t>
  </si>
  <si>
    <t>M5B 2C3</t>
  </si>
  <si>
    <t>Mr. Graham Savage serves as Board Member at Sears Canada. Mr. Savage served as the Chairman of Callisto Capital L.P., a Toronto-based private equity firm. Prior to this, since 1998, Mr. Savage was Managing Director at Savage Walker Capital Inc., Callisto Capital L.P.'s predecessor. Between 1975 and 1996, Mr. Savage was with Rogers Communications Inc. in various positions culminating in being appointed the Senior Vice President, Finance and Chief Financial Officer, a position he held for seven years. In addition, Mr. Savage serves on the boards of Postmedia Network Canada Corp, Sears Canada Inc. and Whistler Blackcomb Holdings Inc. He has also served on the boards of Canadian Tire Corporation, Rogers Communications Inc., Hollinger International, Inc., Alias Corp., Lions Gate Entertainment Corp. and Royal Group Technologies Limited, among others. Mr. Savage has served on Cott's board since February 2008.</t>
  </si>
  <si>
    <t>298603-09P</t>
  </si>
  <si>
    <t>H.E. Hamad Khalfan Ali Matar Al-Shamsi</t>
  </si>
  <si>
    <t>Multiply Group PJSC</t>
  </si>
  <si>
    <t>Khalfan Ali Matar Al-Shamsi</t>
  </si>
  <si>
    <t>H.E. Hamad</t>
  </si>
  <si>
    <t>www.multiply.ae</t>
  </si>
  <si>
    <t>+971 (0)2 650 2444</t>
  </si>
  <si>
    <t>Level 19 Tamouh Tower</t>
  </si>
  <si>
    <t>12 Marina Square, Reem Island</t>
  </si>
  <si>
    <t>Mr. H.E. Hamad Khalfan Ali Matar Al-Shamsi serves as Board Member at Multiply Group PJSC. He is an accomplished | business leader, who holds Board positions across a diverse group | of companies in the UAE. |H.E. Al-Shamsi previously served as the non-executive Vice | Chairman of International Holding Company (PJSC). Currently, HE. Al-Shamsi is the at the Private Affairs | Department of H.H. Sheikha Fatima Bint Mubarak and holds | several Board directorships, including Trojan General Contracting, |Zee Stores, Ishraq Properties Co., Al Yasat Catering &amp; Restaurant | Supplies, Pal Computers, Al Jaraf Travel &amp; Tourism, Hi-Tech | Concrete Products, Tafawug Facilities Management, Pal Group for Companies, Al Sdeirah Real Estate Investment, Royal Architect | Project Management, Fabulous Abu Dhabi Hotel Management, | Nshmi Development and Real Estate Investment &amp; Services Co.- | REISCO. | H.E. Al-Shamsi holds a technical diploma from the Abu Dhabi | armed forces (1996).</t>
  </si>
  <si>
    <t>298602-55P</t>
  </si>
  <si>
    <t>Mr. H.E. Mansoor Al Mansoori serves as Board Member at Multiply Group PJSC. He is a member of the Abu Dhabi Executive Council and the Ehaifman of the Department of Health Abu Dhabi, spearheading the Emirate's healthcare |sector by leading on the development of a world-class, innovative, and sustainable healthcare sector. H.E. Al Mansoori has diverse professional experience in senior leadership positions across government and private sectors including telecom, media, energy and technology. Prior to | joining DoH, he was the Group Chief Operating Officer of G42 and Director General of the UAE National Media Council. H.E. Al Mansoori is Chaiffan of Presight Al, Board Member of the Advanced Technology Research Council, e&amp; and Multiply Group, as well as MBZUAI Board of Trustees member. | Previously he was Ehaifian of Bayanat and Injazat, and held board positions with Dhabi Tourism &amp; Culture Authority and Telecommunication Regulatory Authority. During his tenure as the Group B88 of G42, he was actively involved in the UAE national COVID-19 response. As Chaifman of Bayanat, he led the company's public listing at ADX, in what was G42's first IPO and the world's best trading debut of 2022, as reported by Bloomberg. | At the National Defense College, H.E. Al Mansoori received a MB8teE s in Strategic Security | Studies &amp; National Resources Management. He Gf8@Uated from the [WTRYEERR of Toledo in Computer Science, has a Leadership Certificate from London Business School and an Innovation Strategy Leadership Certificate from Massachusetts Institute of Technology (MIT).</t>
  </si>
  <si>
    <t>456672-16P</t>
  </si>
  <si>
    <t>Habiba Laklalech</t>
  </si>
  <si>
    <t>CFG Bank (Other Commercial Banks)</t>
  </si>
  <si>
    <t>Laklalech</t>
  </si>
  <si>
    <t>Habiba</t>
  </si>
  <si>
    <t>www.cfgbank.com</t>
  </si>
  <si>
    <t>+212 (0)522776800</t>
  </si>
  <si>
    <t>5-7 Rue Ibnou Toufail</t>
  </si>
  <si>
    <t>+212 (0)522981112</t>
  </si>
  <si>
    <t>Ms. Habiba Laklalech is the Founder and CEO of Savemax. Previously, she was the CEO of the National Airports Office (ONDA). Before joining ONDA, she worked for nearly 15 years at Royal Air Maroc, where she held several management positions, including Deputy CEO and Director of Audit, Organization, and Group Strategy. Ms. Laklalech was also Director of the Personal Customers Business Unit at Orange and Brand Manager at Procter &amp; Gamble. In recognition of her contributions, she was named a Knight of the Order of the Throne by His Majesty King Mohammed VI in July 2014. Ms. Habiba Laklalech is a graduate of the Ecole Polytechnique de Paris and the Ecole Nationale Superieure des Telecommunications de Paris. She also holds a postgraduate degree in optoelectronics and microwaves from the Pierre Marie Curie University in Paris. In 1988, she received the Hassan II Prize in Mathematics, awarded by the late HM King Hassan II. Other appointments: Lesieur Cristal.</t>
  </si>
  <si>
    <t>201715-21P</t>
  </si>
  <si>
    <t>Hamad Abdulla Al Shamsi</t>
  </si>
  <si>
    <t>International Holding Company (Former)</t>
  </si>
  <si>
    <t>Abdulla Al Shamsi</t>
  </si>
  <si>
    <t>www.ihcuae.com</t>
  </si>
  <si>
    <t>Mr. Hamad Abdulla Al Shamsi served as Chairman at International Fish Farming Holding Company.</t>
  </si>
  <si>
    <t>255080-53P</t>
  </si>
  <si>
    <t>Hamad Shamsi</t>
  </si>
  <si>
    <t>Taaleem (Former)</t>
  </si>
  <si>
    <t>Shamsi</t>
  </si>
  <si>
    <t>www.taaleem.ae</t>
  </si>
  <si>
    <t>Mr. Hamad Shamsi served as Board Member at Taaleem. His Excellency Hamad Abdulla Al Shamsi is currently the Chairman of Amanat Holdings PJSC ("Amanat"). His Excellency Hamad Abdulla Al Shamsi has a wealth of experience that spans over more than two decades, overseeing several businesses across multiple disciplines, including financial services and investments. He is currently the CEO of a Private Investment Company specializing in investments and large-scale real estate development projects. His Excellency Al Shamsi served in the Abu Dhabi Investment Authority prior to moving to the Private Department of His Highness the Late Sheikh Zayed Bin Sultan Al Nahyan. His Excellency Al Shamsi is also the chairman and board member of several leading government and private entities across the business, finance, aviation, media and services fields, including his positions as board member of Dubai Islamic Bank, Kuwait Food Company and Marka Holding. His Excellency Al Shamsi holds a Bachelor degree in Business Administration from UAE University and an MBA majoring in Finance and Banking from USA.</t>
  </si>
  <si>
    <t>321169-42P</t>
  </si>
  <si>
    <t>Hasan Alhosani</t>
  </si>
  <si>
    <t>Alhosani</t>
  </si>
  <si>
    <t>hasan@space42.ai</t>
  </si>
  <si>
    <t>Mr. Hasan Alhosani serves as Chief Executive Officer at Space42. He is the Chief Executive Officer of Smart Solutions, Space42's unit that integrates geospatial data acquisition and processing with its AI-driven multi-intelligence platform, GIQ. Previously, he was the Managing Director of Bayanat, overseeing the company during its initial public offering on the Abu Dhabi Securities Exchange in 2022 and subsequent merger with Yahsat to create Space42 in 2024. Before joining Bayanat, He was a key contributor to G42's strategic growth during its transition from EDIC to G42 and co-founder of SECUIRA. He is a Patron Board Member of the World Geospatial Industry Council.</t>
  </si>
  <si>
    <t>391686-94P</t>
  </si>
  <si>
    <t>LafargeHolcim Maroc</t>
  </si>
  <si>
    <t>www.lafargeholcim.ma</t>
  </si>
  <si>
    <t>6, route de Mekka</t>
  </si>
  <si>
    <t>Quartier les Crêtes</t>
  </si>
  <si>
    <t>Mr. Hassan Ouriagli is CEO of AL MADA. A graduate of the Ecole Polytechnique de Paris and the Ecole Nationale des Ponts et Chaussees, he joined the ONA Group in April 2003 as Director of Financial Investments and Strategic Planning, subsequently serving as Deputy Managing Director and then Deputy Managing Director, until the ONA-SNI merger. He was then appointed Chairman of the Management Board of Optorg in Paris. OTHER MANDATES Acima, Africaplane, Al Mada, Al Mada Capital, Al Mada Digital, Al Mada Gestion, Al Mada Immobilier, Al Mada Management, Atlas Hospitality Group (formerly African Hospitality Group), Cngr New Tech Morocco, Cngr New Tech Morocco Nmc, Dan Maroc, Digibay, Experienciah Hotels &amp; Resorts (formerly Ahm Gestion), Hospitality Holding Company, Lafarge Maroc, Lafargeholcim Maroc, Managem, Nareva Holding, Nareva Power, Next Generation Industries (formerly First Connect Sat), Ofna, Ona Courtage, Ona International, Orientis Invest, Prestige Resorts, Reserves Immobilieres, Rihla Ibn Battuta Prod, Societe Africaine de Tourisme, Societe Centrale d'Investissements Immobiliers, Agena Real Estate Company, Centuris Real Estate Company, Mandarona Real Estate Company, Teralys (Ex: Cherifienne Naphtha Products Company, Wafa Insurance, Wana Corporate.</t>
  </si>
  <si>
    <t>347988-52P</t>
  </si>
  <si>
    <t>Hawazen Nassief</t>
  </si>
  <si>
    <t>Tanmiah Food</t>
  </si>
  <si>
    <t>Nassief</t>
  </si>
  <si>
    <t>Hawazen</t>
  </si>
  <si>
    <t>www.tanmiah.com</t>
  </si>
  <si>
    <t>+966 (0)11 479 4509</t>
  </si>
  <si>
    <t>Omar bin Abdulaziz Road</t>
  </si>
  <si>
    <t>Post Office Box 86909</t>
  </si>
  <si>
    <t>11632</t>
  </si>
  <si>
    <t>+966 (0)11 291 9863</t>
  </si>
  <si>
    <t>Ms. Hawazen Nazieh Nassief, Independent Director. Academic Qualifications: Master's degree in Law and Diplomacy from Tufts University in the USA; Bachelor's degree in International Relations from Boston University. Previous Occupation: Vice President, ESG and External Affairs at National Energy Services Reunited; ESG Adviser at the Future Investment Initiative (FII) Institute in Riyadh; Over 15 years of experience working in multinational companies such as Cummins, Christie's, Olayan Financing Company and Kingdom Holding Company. Current Occupation: Head Sustainability and Stewardship at Public Investment Fund; Director, Middle East Paper Company (MEPCO); Member, Nomination and Remuneration Committee, Bupa Arabia; Member of the Commission of Makkah Province Development Authority; Member of the Risk, Compliance and ESG Committee, MEPCO.</t>
  </si>
  <si>
    <t>165710-62P</t>
  </si>
  <si>
    <t>Henry Ahn</t>
  </si>
  <si>
    <t>Fubo</t>
  </si>
  <si>
    <t>Ahn</t>
  </si>
  <si>
    <t>Henry</t>
  </si>
  <si>
    <t>corporate.fubo.tv</t>
  </si>
  <si>
    <t>+1 (201) 553-1119</t>
  </si>
  <si>
    <t>hahn@ir.fubo.tv</t>
  </si>
  <si>
    <t>1330 6th Avenue</t>
  </si>
  <si>
    <t>10019</t>
  </si>
  <si>
    <t>Henry Ahn joined our board of directors in July 2020. Mr. Ahn has served as President of Content Distribution and Partnerships for Univision Communications Inc., or Univision, since July 2018. In this role, Mr. Ahn leads content distribution sales, operations, finance and strategy. Mr. Ahn specializes in media contract negotiations, business strategy, content licensing, new media strategy and authenticated streaming/video on-demand for Univision, with emphasis on distribution deal execution and relationships with new and existing distributors including multichannel video programming and online video distributors, mobile carriers, as well as electronic sell-through providers. Prior to joining Univision, Mr. Ahn served as distribution executive for Scripps Networks Interactive, or SNI, where he led sales, negotiations, strategic planning and marketing efforts for SNI related to every aspect of content distribution. Prior to that, he served as Executive Vice President of TV Networks Distribution, at NBC Universal where he worked for 17 years. Mr. Ahn received his bachelor's degree in Business Administration from Boston College and his Master of Business Administration from Fordham Gabelli School of Business in New York. On March 22, 2022, Henry Ahn resigned as a director of the Company, effective on March 23, 2022. In connection with his resignation from the Board, Mr. Ahn has been appointed as Chief Business Officer of the Company.</t>
  </si>
  <si>
    <t>425985-04P</t>
  </si>
  <si>
    <t>Hicham Belmrah</t>
  </si>
  <si>
    <t>Banque Populaire (Morocco)</t>
  </si>
  <si>
    <t>Belmrah</t>
  </si>
  <si>
    <t>Hicham</t>
  </si>
  <si>
    <t>www.groupebcp.com</t>
  </si>
  <si>
    <t>+212 (0)522202533</t>
  </si>
  <si>
    <t>101, Boulevard Mohamed Zerktouni</t>
  </si>
  <si>
    <t>Mr. Hicham Belmrah, Director. Work Experience: Amda Chairman and Chief Executive Officer; Mcma Chairman and Chief Executive Officer; Mutuelle Attamine Chaabi Chairman of The Executive Board; Mamda Re Director and Chief Executive Officer; Akwa Africa Director; Cosumar Chairman of The Board of Directors; Ryad Resort Developpement Chairman of The Board of Directors; Olea Capital Chairman of The Board of Directors; Odyssey International Member of The Governance Board; Mcr Vice-Chairman of The Board of Directors; Euresa Member of The Management Board; Sunabel Chairman of The Board of Directors; Surac Chairman of The Board of Directors; Suta Chairman of The Board of Directors; Sucrunion Chairman of The Board of Directors; Wilmaco Director; Lesieur Cristal Permanent Representative of Mamda, Director; Al Mada Permanent Representative of Mamda, Director; Cam Permanent Representative of Mamda, Member of The Supervisory Board; Maghrebail Permanent Representative of Mamda, Director; Risma Permanent Representative of Mcma, Director; Somed Permanent Representative of Mamda, Director; Afriquia Smdc Permanent Representative of Mamda, Director; Nsi Permanent Representative of Mamda, Director; Uir Permanent Representative of Mcma, Director; Cat Permanent Representative of The Mamda, Director; Al Mada Venture Cap, Permanent Representative of Mamda, Director; Opci Educapital, Permanent Representative of Mamda, Director; Opci Cdv Patrimoine, Director; Mamda It, Director; Massimissa, Director; A6 Immobilier, Director; Cdv Promotion, Director; Euresa, Member of The Supervisory Board; Acadomia Foundation, Director.</t>
  </si>
  <si>
    <t>233613-19P</t>
  </si>
  <si>
    <t>Joseph Flaim</t>
  </si>
  <si>
    <t>Iamgold</t>
  </si>
  <si>
    <t>Flaim</t>
  </si>
  <si>
    <t>www.iamgold.com</t>
  </si>
  <si>
    <t>Director, Corporate Development</t>
  </si>
  <si>
    <t>+1 (416) 360-4710</t>
  </si>
  <si>
    <t>jflaim@iamgold.com</t>
  </si>
  <si>
    <t>150 King Street West</t>
  </si>
  <si>
    <t>Suite 2200</t>
  </si>
  <si>
    <t>M5H 1J9</t>
  </si>
  <si>
    <t>+1 (416) 360-4750</t>
  </si>
  <si>
    <t>Mr. Joseph Flaim serves as Director, Corporate Development at Iamgold. Mr. Flaim served as VP Finance, Materials Division at Royal Group Technologies Limited. He served as Sr. Manager Accounting and Management Reporting @ MTS Allstream Inc. (formerly Allstream Inc.) He served as Director, Financial Accounting at IAMGOLD Corporation.</t>
  </si>
  <si>
    <t>293103-10P</t>
  </si>
  <si>
    <t>Josephine Linden</t>
  </si>
  <si>
    <t>Lands' End</t>
  </si>
  <si>
    <t>Linden</t>
  </si>
  <si>
    <t>Josephine</t>
  </si>
  <si>
    <t>www.landsend.com</t>
  </si>
  <si>
    <t>+1 (800) 963-4816</t>
  </si>
  <si>
    <t>Dodgeville, WI</t>
  </si>
  <si>
    <t>1 Lands' End Lane</t>
  </si>
  <si>
    <t>Dodgeville</t>
  </si>
  <si>
    <t>53595</t>
  </si>
  <si>
    <t>+1 (608) 935-4000</t>
  </si>
  <si>
    <t>Josephine Linden, 71, joined the Board in March 2014 and has served as Chair of the Board since October 2014. She founded and has been the managing member and principal of Linden Global Strategies LLC, a New York-based SEC registered investment management firm working with sophisticated U.S. and international clients, since September 2011. From September 2010 to July 2011, she held an Adjunct Professor position in the Finance department of Columbia Business School. In November 2008, Mrs. Linden retired from Goldman, Sachs &amp; Co. as a Partner and Managing Director after having been with the firm for more than 25 years, where she held a variety of roles, including Managing Director and Regional Manager of the New York office for Private Wealth Management, head of Global Equities Compliance, and an Advisor to GSJBWere, Australia. She serves as a trustee, and sits on the executive committee, of Collegiate School in New York, New York, and also has served as its Treasurer, and Chair of its Finance, Audit and Nominating Committees. She acts as Financial Advisor to The Prince of Wales Foundation. She previously served as a director of Sears Hometown and Outlet Stores, Inc. from October 2012 to October 2019 and as a director of Trine Acquisition Corp. from May 2019 to December 2020. Mrs. Linden has also served as a non-executive director of E&amp;P Financial Group Limited (formerly Evans Dixon Limited) since May 2018, and as a director of Trine II Acquisition Corp. since November 2021. She received an M.B.A. from the University of Chicago, with a specialization in Finance, and a B.A. from the University of Sydney.</t>
  </si>
  <si>
    <t>285820-75P</t>
  </si>
  <si>
    <t>Kasem Watanachai</t>
  </si>
  <si>
    <t>Siam Cement Public Company</t>
  </si>
  <si>
    <t>Watanachai</t>
  </si>
  <si>
    <t>www.scg.com</t>
  </si>
  <si>
    <t>Board Member and Chairman of CSR Committee for Sustainable Development</t>
  </si>
  <si>
    <t>+66 (0)2 5863333</t>
  </si>
  <si>
    <t>1 SiamCement Road</t>
  </si>
  <si>
    <t>Bangsue</t>
  </si>
  <si>
    <t>+66 (0)2 5862974</t>
  </si>
  <si>
    <t>Mr. Kasem Watanachai serves as Board Member and Chairman of CSR Committee for Sustainable Development at Siam Cement Public Company. Since 2003 Chairperson, Chiang Mai University Council; Since 2004 Member of the Executive Committee and Secretary, of Anandamahidol Foundation; Since 2009 Member of Committee of the Crown Property Bureau; Since 2010 Chairman, The Medical Science Division of the Anandamahidol Foundation; Since 2015 Executive Chairperson, Prostheses Foundation of H.R.H the Princess Mother; Since 2015 Chairman, Foundation for Good Governance on Medicine; Since 2016 Privy Councillor (King Rama 10) - Since 2016 Chairman, Buddhadasa Indapanno Archives Foundation; Since 2017 Executive Director, Thai Junior Encyclopedia Project by Royal Command of H.M. the King. 5-years Past Experiences and/or Remarkable positions: 1989-1993 President, Chiang Mai University; 1991 Member, Legislative Parliament Permanent; 1994 Secretary, Ministry of University Affairs; 1996-1999 Member of the Senate; 1997 President, Huachiew Chalermprakiet University; 2001 Minister, Ministry of Education; 2001-2016 Privy Councillor (King Rama 9); 2003 Member of Committee and Secretary, Phradabos Foundation; 2005 Chairman, Sala Chalermkrung Foundation; 2010 Chairman, Princess Mother's Medical Volunteer Foundation; 2014-2019 Chairman, Foundation of Virtuous Youth; 2016 Chairperson, Mahidol University Council; 2017 Chairman, the King's Scholarships for Thai Monks.</t>
  </si>
  <si>
    <t>331872-04P</t>
  </si>
  <si>
    <t>Kasem Watanachai Ph.D</t>
  </si>
  <si>
    <t>Chairman, CSR Committee for Sustainable Development &amp; Director</t>
  </si>
  <si>
    <t>kasemwatanachai@scg.com</t>
  </si>
  <si>
    <t>Dr. Kasem Watanachai serves as Chairman of the CSR Committee for Sustainable Development and Director at Siam Cement Public. He holds a senior management position in educational organizations such as the President of Chiang Mai University and Minister of Education therefore have a deep understanding terms of human resource development in line with business direction and growth and country development. He has extensive experience management of regional and global organizations; policy formulation; strategic planning (Global Vision), foreign affairs, and environmental, social, and governance (Environmental, Social &amp; Governance or "ESG"). His work experience includes 1989-1992 Rector of Chiang Mai University, 1991 Member of the National Legislative Assembly, 1994 Permanent Secretary of the Ministry of University Affairs, 1996-1999 Member of the Senate,1997 President of Huachiew Chalermprakiet University, 2001 Minister of Education, 2001-2016 Privy Councilor during the reign of King Bhumibol Adulyadej (Rama IX), 2003 Director and secretary of Phra Dabos Foundation, 2005 President of Sala Chalermkrung Foundation, 2010 Chairman of the Board of the Princess Srinagarindra Medical Volunteer Foundation (Por.Sor.Sor.), 2014-2019 President of the Youth Foundation, 2016 Chairman of Mahidol University Council, 2016 Chairman of the Board of Buddhadasa Archives Foundation, 2017 President of the Royal Tuition Scholarship Program for Thai Monks. 2003 Chairman of the Chiang Mai University Council. Other positions include 2004 Director and Secretary General of the Ananda Mahidol Foundation, 2009, Crown Property Committee, 2010 President of the Department of Medicine Ananda Mahidol Foundation, 2015 Chairman of the Board of the Prostheses Foundation, 2015, President of the Medical Governance Foundation, 2016, Privy Councilor in the reign of King Maha Vajiralongkorn, Bodindradebayavarangkun (Rama 10), 2017, Chairman of the Board of Directors of the Encyclopedia Project Foundation for Youth under His Majesty the King Phra Boromchanakathibet Maha Bhumibol Adulyadej the Great Borommanatbophit, 2018 Vice President of Phra Dabos Foundation, 2018, Vice-President of the Royal Tuition Scholarship Program, Thai Monks' Bureau.</t>
  </si>
  <si>
    <t>249255-01P</t>
  </si>
  <si>
    <t>Khames Mohammed Al Naimi</t>
  </si>
  <si>
    <t>Vodafone Qatar</t>
  </si>
  <si>
    <t>Khames Mohammed</t>
  </si>
  <si>
    <t>www.vodafone.qa</t>
  </si>
  <si>
    <t>Chief Human Resources Officer</t>
  </si>
  <si>
    <t>+974 44096666</t>
  </si>
  <si>
    <t>Msheireb Downtown</t>
  </si>
  <si>
    <t>Zone 03, Street 981, Building 02</t>
  </si>
  <si>
    <t>Mr. Khames Mohammed Al Naimi serves as Chief Human Resources Officer at Vodafone Qatar. Previously, he worked as the HR Director for the Supreme Committee for Delivery and Legacy. He is a visionary leader who has successfully contributed to the growth of many Qatari organizations with a global footprint. He has helped many organizations navigate complex challenges to unlock true human talent potential, combining it with modern state-of-the-art digital solutions to achieve growth. He has worked across different sectors, including oil and gas, education and media, and mega sports events like FIFA World Cup. Previously, he served as the HR Department Director for the Supreme Committee for Delivery and Legacy; prior to this, he held different roles at Qatar Foundation (QF) subsidiaries and Dolphin Energy Ltd. He joined the company in May 2018 as the Chief Human Resources Officer (CHRO) with the challenge of leading the Company's People, Culture and Talent Strategy. Under his leadership, the units that he leads have transformed from proactive contributors to predictive contributors, with the ability to forecast risks and plan ahead to mitigate such risks. At the core of this transformation is his hands-on approach to cutting down process times, and bringing efficiency through digitalization and data-driven decision-making approach. Above all, he puts people first. He has built strong communication platforms for people to share their feedback and keep channels open to foster innovative ideas for continuous improvement.</t>
  </si>
  <si>
    <t>257049-91P</t>
  </si>
  <si>
    <t>Kwan Lai Man</t>
  </si>
  <si>
    <t>Hin Sang Group International Holding Company</t>
  </si>
  <si>
    <t>Lai Man</t>
  </si>
  <si>
    <t>Kwan</t>
  </si>
  <si>
    <t>www.hinsanggroup.com</t>
  </si>
  <si>
    <t>Co-Founder and Executive Director</t>
  </si>
  <si>
    <t>+852 2798 9901</t>
  </si>
  <si>
    <t>Flat B, 12/F, Hi-Tech Centre</t>
  </si>
  <si>
    <t>11 Wang Yip Street West</t>
  </si>
  <si>
    <t>+852 2755 7906</t>
  </si>
  <si>
    <t>Ms. Kwan Lai Man is Co-Founder and serves as Executive Director at Hin Sang Group International Holding Company. was appointed in October 2010 as an executive Director. Ms. Kwan is a founder of the Group and has been the Managing Director of the Group since 1996. She is responsible for supervising the Group's business operations. She is also a director of various subsidiaries of the Company. She has over 20 years of experience in the distribution, marketing and sale of healthcare products, personal care products and household products, the experience of which was gained from the operation of the Group. She is also devoted in the development of education work in PRC and is the life honorary chairman of Xuan Yuan Education Fund Association since 2010. In 2017, she is appointed as the vice president of Hong Kong Children, Babies, Maternity Industries Association Limited. She is appointed as the member of Committee for Yun Fu City of the People's Political Consultative Conference in 2018 and appointed the Director of board of directors of Pok Oi Hospital in Hong Kong since 2018.</t>
  </si>
  <si>
    <t>283963-87P</t>
  </si>
  <si>
    <t>Laurent Furedi</t>
  </si>
  <si>
    <t>Furedi</t>
  </si>
  <si>
    <t>Mr. Laurent Furedi is a Director of the Shamal Az-Zour Al-Oula Joining the Board in February 2021, he brings with him extensive experience in communication, lobbying, strategy, and corporate social responsibility in South America and Europe. Mr. Furedi's previous roles include Chief Commercial Officer for Cities and Communities/Urban Infrastructure at ENGIE LATAM in Chile where he accelerated the development of the BU for asset-based solutions, and Director of Development at GDF SUEZ in France, where he oversaw major projects dealing with nuclear power, offshore wind, hydro concessions, and shale gas. Mr. Furedi holds several degrees in Economics, Business Administration, and Communications from France.</t>
  </si>
  <si>
    <t>385491-16P</t>
  </si>
  <si>
    <t>Linda Ballout</t>
  </si>
  <si>
    <t>International Holding Company</t>
  </si>
  <si>
    <t>Ballout</t>
  </si>
  <si>
    <t>Linda</t>
  </si>
  <si>
    <t>Investor Relations Officer</t>
  </si>
  <si>
    <t>+9 71 2 6448090</t>
  </si>
  <si>
    <t>linda.b@ihcuae.com</t>
  </si>
  <si>
    <t>Al Muntazah-Ministries Complex</t>
  </si>
  <si>
    <t>P.O Box 32619</t>
  </si>
  <si>
    <t>+971 (0)2 644 7060</t>
  </si>
  <si>
    <t>Ms. Linda Ballout serves as Investor Relations Officer at International Holding Company.</t>
  </si>
  <si>
    <t>153591-22P</t>
  </si>
  <si>
    <t>Luiz de Carvalho</t>
  </si>
  <si>
    <t>Sendas Distribuidora (Former)</t>
  </si>
  <si>
    <t>de Carvalho</t>
  </si>
  <si>
    <t>Luiz</t>
  </si>
  <si>
    <t>www.assai.com.br</t>
  </si>
  <si>
    <t>decarvalho@petrobras.com.br</t>
  </si>
  <si>
    <t>Mr. Carvalho has been an independent member of our board of directors since October 2020. He has been an independent member of the board of directors of CBD since 2017 and the coordinating member of CBD's audit committee since 2014, as the accounting and finance specialist. Mr. Carvalho is a Senior Professor at the School of Economy, Business Administration and Accounting (Faculdade de Economia, Administracao e Contabilidade) of the Universidade de Sao Paulo, or FEA USP. He is an advisor of the Brazilian Accounting Pronouncements Committee (Comite de Pronunciamentos Contabeis), or CPC, and he was a representative of the CPC in the Emerging Economies Group of IASB. He is the former chairman of the board of directors of Petrobras, having served from September 2015 to December 2018. He was also member of the board of directors of the B3 until March 2019 and chair of its audit committee until March 2018, as its accounting and finance specialist He also served as an independent member of the B3's sustainability committee. Mr. Carvalho is also a member of the Brazilian Accounting Academy (Academia Brasileira De Ciencias Contabeis) and chairs the fiscal council (conselho fiscal) of Fundacao Amazonas Sustentavel, or FAS, an NGO aiming to protect the Amazon rainforest. He is also a trustee of Fundacao Instituto de Pesquisas Contabeis, Atuariais e Financeiras, a not-for-profit academic research organization. He also is a co-arbitrator at the Brazil - Canada Chamber of Commerce (Sao Paulo) and at the International Chamber of Commerce (Paris). He is a litigation expert in matters involving Financial Accounting, International Accounting, Corporate Governance, Risk Management and Auditing. Previously, Mr. Carvalho has been: chairman of the Committee on Capacity Building in the area of International Financial Reporting of the Intergovernmental Group of Experts in International Standards of Accounting and Reporting, a branch of UNCTAD, United Nations, in Geneva, Switzerland; an independent member of the banking self-regulation committee of the Brazilian Federation of Banks (Federacao Brasileira de Bancos); member of the board of directors of FAS, where he currently chairs the fiscal council; a member of the International Integrated Reporting Council (Conselho Internacional para Relatorios Integrados) led by the Prince of Wales; vice-president at large of the International Association for Accounting Education and Research - IAAER; he was also a member of the Financial Crisis Advisory Group set out by the U.S. Financial Accounting Standards Board and the IASB in 2008; the first independent chairman of the Standards Advisory Council (Conselho Consultivo de Normas) of the IASB; member of the consultative and advisory group of the International Federation of Accountants (Federacao Internacional de Contadores - IFAC); vice-director of the Interamerican Accounting Association; member of the board of directors of Banco Nossa Caixa S.A., Caixa Economica Federal, Banco Bilbao Vizcaya Argentaria Brasil - BBVA, Banco de Credito Real de Minas Gerais, Grupo ORSA (pulp and paper), Companhia Muller de Bebidas, Vicunha Textil S.A., and Banco Fibra S.A.; he was a member of the audit committees of Banco Nossa Caixa and Vicunha Textil; and a member of the internal controls committee of Banco Fibra. Mr. Carvalho was also the regional president of the International Association of Financial Executives Institutes for Central and South America and head of banking supervision at the board of directors of the Central Bank and a commissioner at the CVM. Mr. Carvalho holds bachelor's degrees in economics from FEA USP and in accounting from Faculdade Sao Judas Tadeu and master's and Ph.D. degrees in accounting and controllership from FEA USP.</t>
  </si>
  <si>
    <t>381211-21P</t>
  </si>
  <si>
    <t>Mamdouh Abdul Ghani El-Sherbini</t>
  </si>
  <si>
    <t>Ghani El-Sherbini</t>
  </si>
  <si>
    <t>Mamdouh Abdul</t>
  </si>
  <si>
    <t>Mr. Mamdouh Abdul Ghani El-Sherbini serves as Chief Executive Officer &amp; Executive Director at National International Holding Company.</t>
  </si>
  <si>
    <t>413268-85P</t>
  </si>
  <si>
    <t>Mansoor Ibrahim Saeed Almansoori</t>
  </si>
  <si>
    <t>Ras Al Khaimah Cement Company</t>
  </si>
  <si>
    <t>Saeed Almansoori</t>
  </si>
  <si>
    <t>Mansoor Ibrahim</t>
  </si>
  <si>
    <t>www.rakcc.ae</t>
  </si>
  <si>
    <t>+971 (0)7 266 0111</t>
  </si>
  <si>
    <t>Ras Al Khaimah, United Arab Emirates</t>
  </si>
  <si>
    <t>P.O.Box 2499</t>
  </si>
  <si>
    <t>Khor Khwair</t>
  </si>
  <si>
    <t>Ras Al Khaimah</t>
  </si>
  <si>
    <t>+971 (0)7 266 0006</t>
  </si>
  <si>
    <t>Mr. Mansoor Ibrahim Ahmed Saeed Almansoori is a prominent leader in the UAE with a diverse range of professional experience in telecommunications, energy, and government. H.E. Mansoor Almansoori has been appointed as member of Abu Dhabi Executive Council and Chairman of the Department of Health, Abu Dhabi, H.E. Mansoor Almansoori is currently the Group Chief Operating Officer of G42. Previously, H.E. Almansoori held several board positions in leading institutions including Abu Dhabi Tourism and 11 Apex Corporate Governance Report 2022 APEX INVESTMENT PIC Culture Authority and Emirates Palace Company and served as Director General of the UAE National Media Council, A voracious reader, and public speaker on digital transformation and the management of change, Mr. Mansoor was recently selected as counsellor alongside Canadian Prime Minister Justin Trudeau and Duchess of Sussex at the 2019 Young World Summit in London where he delivered a keynote on The New Age of Conversation. Education- Mr. Mansoor holds a master's degree in Strategic Security Studies and National Resources Management from the National Defense College (UAE). A University of Toledo (Ohio, USA) graduate in Computer Science, he holds several specialized certificates including a Leadership Certificate from London Business School (UK), Innovation Strategy Leadership from Massachusetts Institute of Technology (USA) and International Institute for Management Development (Switzerland). Current Board representative positions: Board Member at Etisalat Board Member at Multiply Group Member at Abu Dhabi Executive Council Chairman of Department of Health.</t>
  </si>
  <si>
    <t>154757-80P</t>
  </si>
  <si>
    <t>Marlon Berrett</t>
  </si>
  <si>
    <t>Dental Patient Care America</t>
  </si>
  <si>
    <t>Berrett</t>
  </si>
  <si>
    <t>Marlon</t>
  </si>
  <si>
    <t>www.dentalcoop.com</t>
  </si>
  <si>
    <t>+1 (801) 456-0445</t>
  </si>
  <si>
    <t>Salt Lake City, UT</t>
  </si>
  <si>
    <t>2150 South 1300 East</t>
  </si>
  <si>
    <t>Salt Lake City</t>
  </si>
  <si>
    <t>84106</t>
  </si>
  <si>
    <t>Mr. Marlon Berrett serves as President and Director at Dental Patient Care America. He also serves as President at Dental Cooperative. Mr. Berrett is the founding and managing partner of the Executive Alliance Group,a western states regional management consulting firm. Previously, he was with Ernst&amp; Young from 1970 to 1991, where he opened Arthur Young &amp; Co's Salt Lake City office in 1976 and founded and served as the managing partner of the firm's consulting practice in the Intermountain West. His consulting practice has specialized in the health care field. He is recognized throughout the western U.S. for his leadership in directing sensitive management and systems evaluations of private and public organizations, including extensive evaluations of the Utah and Arizona state Medicaid systems and operations. He has conducted numerous feasibility, cost, system, and marketing studies for health care clients, including IHC and FHP, throughout the western states. His engagements have also included those related to the acquisition and consolidation of physician groups. Mr. Berrett was also a partner in Advanced Care Data L.C., a health care information technologies development company, where he served as director on a project to develop a distributed practice office and claims processing system for the largest consolidated dental practice in the U.S. He has also served as an advisory development officer for start-up software development companies. Mr. Berrett served as a management and systems consultant on the project to develop a new strategic plan and company restructuring for TriValley Growers, the largest fruit and vegetable agricultural cooperative in the U.S. He has served on the Advisory Board to the Schools of Accountancy at both Brigham Young University and Utah State University and has authored numerous reports and articles and is co-author of "The Fourth Dimension,"a book on work concepts in the "new economy," published by Wiley &amp; Sons Publishers,New York.</t>
  </si>
  <si>
    <t>136939-51P</t>
  </si>
  <si>
    <t>Matt Johnson Ph.D</t>
  </si>
  <si>
    <t>Johnson</t>
  </si>
  <si>
    <t>Chief Scientific Officer (Diagnostic)</t>
  </si>
  <si>
    <t>Dr. Matt Johnson served as Chief Scientific Officer (Diagnostic) at Avacta Group. Dr. Johnson studied Genetics &amp; Microbiology at the University of Sheffield and stayed on to complete a PhD in Molecular Biology with Dr Anne Moir investigating novel surface proteins of the B. cereus endospore. As part of his PhD, he completed an EMBO short-term fellowship at the Pasteur Institute in Paris with Dr Michele Mock looking at the same proteins in B. anthracis, the causative agent of anthrax. After completing his PhD, he took a Postdoctoral position in the Department of Biochemistry at Cambridge University with Professor George Salmond. The focus of the project was characterising a novel toxin-antitoxin phage resistance mechanism discovered on a cryptic plasmid in E. carotavora. He joined Abcam in 2005 as a development scientist producing and characterising antibodies. His career at Abcam developed as the company grew to become the leading provider of research-grade antibodies in the life sciences market. He held several roles over his 8 years in the company, culminating in the post of Head of R&amp;D.His experience at Abcam includes building an imaging team for ICC and IHC, being responsible for managing the antibody characterisation group, running a team responsible for process improvements and QA, project managing a team of developers implementing a new LIMS system and management team of the Product Development &amp; Manufacturing facility.As Head of R&amp;D, he built and ran a research group with interests in recombinant antibody/binder technologies, alternative detection methodologies, immunoassay development and antibody characterisation. His other responsibilities included contributing to M&amp;A strategy, licensing deals and technology scouting. To support this, he completed a Postgraduate Certificate in Intellectual Property Law at the University of Bournemouth in 2012.</t>
  </si>
  <si>
    <t>284140-54P</t>
  </si>
  <si>
    <t>Mazen Jaidah</t>
  </si>
  <si>
    <t>Milaha</t>
  </si>
  <si>
    <t>Jaidah</t>
  </si>
  <si>
    <t>Mazen</t>
  </si>
  <si>
    <t>www.milaha.com</t>
  </si>
  <si>
    <t>+974 44949666</t>
  </si>
  <si>
    <t>East Industrial Road Umm Al Saneem Area</t>
  </si>
  <si>
    <t>Street No. 100, Zone 56, PO Box 153</t>
  </si>
  <si>
    <t>+974 44833244</t>
  </si>
  <si>
    <t>Dr. Mazen Jassim Jaidah serves as Board Member at Qatar Foundation Endowment. He has occupied the position of Milaha Board's member since 2009; besides, he is the president of the executive council of Jaida Holding. Also, he is a board member in Qatar Foundation. He is holding a PhD. Degree in commercial economy &amp; Middle East history</t>
  </si>
  <si>
    <t>282150-37P</t>
  </si>
  <si>
    <t>Mhd Somar Ajalyaqin</t>
  </si>
  <si>
    <t>Ajalyaqin</t>
  </si>
  <si>
    <t>Mhd Somar</t>
  </si>
  <si>
    <t>Board Member &amp; Vice Chairman</t>
  </si>
  <si>
    <t>+971 (0)2 644 8090</t>
  </si>
  <si>
    <t>Dr. Mhd Somar Nassouh Ajalyaqin, was appointed as Vice Chairman of IHC in April 2020 bringing almost two decades of business experience in various advisory roles in the UAE. Dr. Somar's solid corporate knowledge and expertise, with a focus on M&amp;A strategy and strategic growth of companies, has been integral to the successful performance of IHC. During his tenure at IHC, he has at board level, been instrumental in all matters relating to business acquisitions and investments opportunities. Dr. Somar was a Board Member of PAL Group of companies and Royal Group. He holds a degree in DAA from Syria.</t>
  </si>
  <si>
    <t>137441-44P</t>
  </si>
  <si>
    <t>M&amp;C Saatchi (Former)</t>
  </si>
  <si>
    <t>www.mcsaatchi.com</t>
  </si>
  <si>
    <t>Mr. Michael Peat served as a Non-Executive Director at M&amp;C Saatchi. He was a partner at KPMG from 1985 to 1993 before joining the Royal Household. Positions held in the Household included Director of Finance and Property Services, Keeper of the Privy Purse and Treasurer to The Queen, Receiver General of The Duchy of Lancaster, Principal Private Secretary to The Prince of Wales and Duchess of Cornwall and chairman of The Prince's Charities Foundation. He retired from the Royal Household in 2011. Sir Michael Peat is a director of CQS and an independent non-executive on the Boards of Deloitte LLP and Evraz Plc.</t>
  </si>
  <si>
    <t>55212-85P</t>
  </si>
  <si>
    <t>Mohammad Abu-Ghazaleh</t>
  </si>
  <si>
    <t>Fresh Del Monte Produce</t>
  </si>
  <si>
    <t>Abu-Ghazaleh</t>
  </si>
  <si>
    <t>www.freshdelmonte.com</t>
  </si>
  <si>
    <t>Chief Executive Officer and Chairman</t>
  </si>
  <si>
    <t>+1 (305) 520-8433</t>
  </si>
  <si>
    <t>mabughazaleh@freshdelmonte.com</t>
  </si>
  <si>
    <t>241 Sevilla Avenue</t>
  </si>
  <si>
    <t>Mr. Mohammad Abu-Ghazaleh serves as Chief Executive Officer and Chairman at Fresh Del Monte Produce. Mr. Abu-Ghazaleh serves as Chairman of the Royal Jordanian Air Academy, Arab Wings, and Queen Noor Civil Aviation Technical College. He is also Chairman of the Abdali Clemenceau Hospital project, a $290 million development project in Amman, Jordan, and a founding shareholder of Clemenceau Medical Center in Beirut, Lebanon. He is a board member of United Cable Company, Inc. He previously served as Chairman of International General Insurance Co. until its listing on NASDAQ in 2020. He was a member of the board of directors of Bank Misr Liban from 2007 to 2018 and of Jordan Kuwait Bank from 2004 to 2011. He was instrumental in leading the company to its public listing on the New York Stock Exchange in 1997 under the ticker symbol FDP. Mr. Abu-Ghazaleh studied Business Administration at the American University in Cairo (AUC). He served on the board of trustees at AUC from 2007 to 2014 and as an Advisory Trustee from 2014 to 2015. He was appointed as a member of the Economic Consultative Council by His Majesty King Abdullah II of Jordan. In 2024, he received the Order of Bernardo O'Higgins, rank of Comendador, from Chile. In 2019, he was awarded the Order of Al Istiqlal of the First Degree by King Abdullah II of Jordan. He was appointed Grand Chancellor of Cameroon in 1998.</t>
  </si>
  <si>
    <t>247969-90P</t>
  </si>
  <si>
    <t>Mohammad Bader</t>
  </si>
  <si>
    <t>Emirates Reem Investments Company</t>
  </si>
  <si>
    <t>Bader</t>
  </si>
  <si>
    <t>www.erc.ae</t>
  </si>
  <si>
    <t>+971 (0)4 333 5566</t>
  </si>
  <si>
    <t>Ras Al Khor Industrial Estate, Aweer</t>
  </si>
  <si>
    <t>5567</t>
  </si>
  <si>
    <t>+971 (0)4 333 5558</t>
  </si>
  <si>
    <t>Mr. Mohammad Bader serves as Chief Financial Officer at Emirates Refreshments. He served as the Group Chief Financial Officer at Alpha Dhabi. In his role he oversees the financial operations of Alpha Dhabi and its subsidiaries, ensuring their financial stability, growth, and compliance to regulatory standards. With more than 20 years of experience in financial management and accounting, he has a demonstrated history of achieving effective outcomes in revenue growth, cost optimisation, mergers and acquisitions, and corporate governance. In addition to his role at Alpha Dhabi, Mohammad holds other key positions as a board member in EnerSol RSC Ltd (EnerSol), Mawarid Holding Investment LLC (Mawarid), Sandstorm Auto Manufacturing LLC, and Canal Sugar S.A.E. He also serves as an audit committee member of the board in Pure Health Holding PJSC, EnerSol, Mawarid, and OCI Clean Fuels Limited. He is qualified as a CMA (IMA) and CIA (IIA) and holds a Bachelor's Degree in Accounting. He began his career as a Finance and Accounting specialist in over 18 years, working on finance, accounting, mergers &amp; acquisitions, investments, and financial management strategies. Today, he is a Certified Management Accountant and Certified Internal Auditor with impeccable management experience garnered during his career with leading organizations in the region. Since joining the International Holding Company (IHC) in 2011, he has been accountable for corporate finance functions and accounting, aiding top management, and devising financial plans for leading organizations in the UAE.</t>
  </si>
  <si>
    <t>418034-17P</t>
  </si>
  <si>
    <t>Mohammad Farooqui</t>
  </si>
  <si>
    <t>United International Holding Company</t>
  </si>
  <si>
    <t>Farooqui</t>
  </si>
  <si>
    <t>www.unitedholding.com.sa</t>
  </si>
  <si>
    <t>Chief Experience Officer</t>
  </si>
  <si>
    <t>+966 (0)13 847 8888</t>
  </si>
  <si>
    <t>mfarooqui@unitedholding.com.sa</t>
  </si>
  <si>
    <t>Al Khobar, Saudi Arabia</t>
  </si>
  <si>
    <t>King Faisal Bin Abdulaziz Street</t>
  </si>
  <si>
    <t>Unit No. 8868</t>
  </si>
  <si>
    <t>Al Khobar</t>
  </si>
  <si>
    <t>Al Rawabi</t>
  </si>
  <si>
    <t>31952</t>
  </si>
  <si>
    <t>+966 (0)13 858 7799</t>
  </si>
  <si>
    <t>Mr. Mohammad Farooqui serves as Chief Experience Officer at United International Holding Company. Mr. Farooqui has an extensive experience in digital banking in the region, having led the development of two digital banks in the region namely 'ila' in Bahrain and 'meem' in Saudi Arabia. Prior to his time in the Middle East, Mohammad worked with Lloyds Banking Group in the UK and was involved in the merger of three large banks Halifax, Lloyds TSB &amp; Bank of Scotland. Mohammed holds a Master's degree in Finance and Control from the University of Lucknow and an MBA from Forbes College.</t>
  </si>
  <si>
    <t>327132-46P</t>
  </si>
  <si>
    <t>Mohammed Ajalyaqin</t>
  </si>
  <si>
    <t>Ghitha Holding</t>
  </si>
  <si>
    <t>www.ghitha.com</t>
  </si>
  <si>
    <t>+971 (0)2 673 3161</t>
  </si>
  <si>
    <t>Business Avenue Tower, Unit 1501</t>
  </si>
  <si>
    <t>Al Faymah Street, Al Danah, Post Office Box 53314</t>
  </si>
  <si>
    <t>+971 (0)2 673 1337</t>
  </si>
  <si>
    <t>Mr. Mohammed Somar Nassouh Ajalyaqin is the Vice Chairman of International Holding Company PJSC. He is a private equity consultant, committee member and board member in subsidiary companies of Royal Group Holding. He has versatile experience in major investments/projects aspects and attributes, which includes mergers and acquisitions, private equity, portfolio management, alternative investments, funds, valuation, financing, and financial restructuring. He is advisor to many governmental departments and committees such as Emirates Supreme Security Council, the Department of Culture and Tourism -Abu Dhabi, Louvre Abu Dhabi. He has established and managed many research centers (locally and globally). He has established and supervised many startup companies in various fields like construction, manufacturing, IT projects and media. Mr. Somar holds PHD in dental surgery.</t>
  </si>
  <si>
    <t>372306-61P</t>
  </si>
  <si>
    <t>Mohd Loay Abdelfattah</t>
  </si>
  <si>
    <t>Burjeel Holdings</t>
  </si>
  <si>
    <t>Abdelfattah</t>
  </si>
  <si>
    <t>www.burjeelholdings.com</t>
  </si>
  <si>
    <t>Independent Non-Executive Director</t>
  </si>
  <si>
    <t>Al Najdah Street</t>
  </si>
  <si>
    <t>Mr. Mohd Loay Abdelfattah serves as Independent Non-Executive Director at Burjeel Holdings. Mr. Abdelfattah joined the Board of Directors in 2022. He is a seasoned Institutional Investment Advisor, who has successfully managed large-scale and complex transactions across various asset classes, such as private equity, funds and real estate. In addition to his investment expertise, Mr. Loay has a professional background in corporate governance, business advisory, and enterprise risk management. Mr. Loay serves as the Chief Investment Officer at Royal Group, one of the largest investment groups in the Middle East, a position he has held for over 20 years. Mr. Loay is the vice chairman of Africa Gulf Bank, chairman of the audit committee, and board member at Al Ain Farms Group.</t>
  </si>
  <si>
    <t>136887-22P</t>
  </si>
  <si>
    <t>Mohit Marria</t>
  </si>
  <si>
    <t>Marria</t>
  </si>
  <si>
    <t>Mohit</t>
  </si>
  <si>
    <t>mohit.marria@chimerareit.com</t>
  </si>
  <si>
    <t>Mr. Mohit Marria serves as Chief Investment Officer at Chimera Investment. He also served as Chief Executive Officer at Chimera Investment. He was previously employed as Senior Vice President by Annaly Capital Management, Inc. and Vice President by Fixed Income Discount Advisory Co. He received his undergraduate degree from Rutgers University (New Jersey) and an MBA from Rutgers University (New Jersey).</t>
  </si>
  <si>
    <t>333884-17P</t>
  </si>
  <si>
    <t>Mohsin Al-Kuwari</t>
  </si>
  <si>
    <t>Meeza</t>
  </si>
  <si>
    <t>Mohsin</t>
  </si>
  <si>
    <t>Chief Corporate Services Officer</t>
  </si>
  <si>
    <t>+974 40040000</t>
  </si>
  <si>
    <t>malghaithani@meeza.com</t>
  </si>
  <si>
    <t>PO Box 892</t>
  </si>
  <si>
    <t>Qatar Science &amp; Technology Park Tech 2, Office # 203, 2nd Floor</t>
  </si>
  <si>
    <t>+974 40040004</t>
  </si>
  <si>
    <t>Mr. Mohsin Al-Kuwari serves as Chief Corporate Services Officer at Meeza. Mr. Al-Kuwari is handling the Business Operations team in MEEZA. He has a full understanding of the market and strategic business, driven by over 15 years of experience in legal, contract management, procurement and business planning, also he has the ability to set policies and implement regulatory and administrative changes to achieve the company's goals. He joined MEEZA in 2012 where he handled the Procurement Department, where he worked on the development of strategies for the Procurement Department and also worked on reviewing all the policies and procedures as well as cost reduction initiatives. Prior to joining MEEZA, Mohsin worked in Qatar Foundation in the Procurement Directorate, prior to that he worked in the Legal Department at Ras Gas for 5 years. He holds a Master's degree in Business Administration (MBA) from the University of Aberdeen, a Bachelor's Degree in Law from Qatar University, and a diploma in Legal Studies, International &amp; Commercial Law from UK, in addition to multiple certifications in Leadership, Operations &amp; Purchasing Management, Risk Management in Supply Chain and Logistics Management.</t>
  </si>
  <si>
    <t>418036-15P</t>
  </si>
  <si>
    <t>Mujeeb Hazzaa Ahmad Noman</t>
  </si>
  <si>
    <t>Hazzaa Ahmad Noman</t>
  </si>
  <si>
    <t>Mujeeb</t>
  </si>
  <si>
    <t>Chief Commercial Offier</t>
  </si>
  <si>
    <t>mnoman@unitedholding.com.sa</t>
  </si>
  <si>
    <t>Mr. Mujeeb Hazzaa Ahmad Noman serves as Chief Commercial Offier at United International Holding Company. Mr. Noman he was the CEO at Autozone, operating in retail sale of various commercial car brands. He also served as the Chief Commercial Officer at United Electronics Company (eXtra), operating in the wholesale and retail sale of electrical devices. Mujeeb holds a Bachelor's degree in Information Systems, Applied Science University in Jordan.</t>
  </si>
  <si>
    <t>320213-26P</t>
  </si>
  <si>
    <t>Nader Ahmed Al Hammadi</t>
  </si>
  <si>
    <t>Abu Dhabi Aviation</t>
  </si>
  <si>
    <t>Al Hammadi</t>
  </si>
  <si>
    <t>Nader Ahmed</t>
  </si>
  <si>
    <t>www.ada.ae</t>
  </si>
  <si>
    <t>+971 (0)2 575 8000</t>
  </si>
  <si>
    <t>Abu Dhabi Aviation International Airport</t>
  </si>
  <si>
    <t>Next to Terminal 2, Abu Dhabi Aviation Terminal</t>
  </si>
  <si>
    <t>+971 (0)2 575 7775</t>
  </si>
  <si>
    <t>He serves as Chairman at Abu Dhabi Aviation. He served as Managing Director &amp; Chairman at Abu Dhabi Aviation. He serves as a Board Member at Abu Dhabi Airports. He holds a Bachelor of Science degree in Aerospace Engineering from Embry-Riddle Aeronautical University in Florida, USA, and a Postgraduate degree in Engineering Management from Warwick University in London. He previously held several Management positions in the Presidential Flight and also contributed to the establishment of JAMERO and was appointed as its Executive Director as well as to the Board of Directors of Golden Rim Resources, a registered Australian-based market. Currently, he is the Chief Executive Officer of the Presidential Flight and Chairman of Vision Group, International Holding Company, and a member of the Board of Directors of Abu Dhabi Airports Company, Al Waha Capital.</t>
  </si>
  <si>
    <t>189342-28P</t>
  </si>
  <si>
    <t>Nancy Southern JD</t>
  </si>
  <si>
    <t>Atco</t>
  </si>
  <si>
    <t>Southern</t>
  </si>
  <si>
    <t>www.atco.com</t>
  </si>
  <si>
    <t>Chief Executive Officer &amp; Chairwoman</t>
  </si>
  <si>
    <t>+1 (403) 292-7500</t>
  </si>
  <si>
    <t>nsouthern@canadianutilities.com</t>
  </si>
  <si>
    <t>5302 Forand Street Southwest</t>
  </si>
  <si>
    <t>T3E 8B4</t>
  </si>
  <si>
    <t>+1 (403) 292-7532</t>
  </si>
  <si>
    <t>Ms. Nancy Southern serves as Executive Chairman at Canadian Utilities. She serves as Chair &amp; Chief Executive Officer at ATCO Ltd. As Executive Chair of Canadian Utilities, she provides leadership to the Board of Directors to ensure continued strong governance on behalf of the Board. She also serves as Executive Vice President of Spruce Meadows Ltd. and is a Founding Director of AKITA Drilling Ltd., a Director of Sentgraf Enterprises Limited, an Honorary Director of BMO Financial Group, and a Director Emeritus of the Rideau Hall Foundation. She has long played a role in advocating on social issues of global importance-most notably, the rights of Indigenous peoples and the role of women in business. She is an Honorary Chief of the Kainai (Blood Tribe of Alberta) who bestowed the name Aksistoowa'paakii, or Brave Woman, upon her in 2012. She is a member of the Business Council of Canada, the American Society of Corporate Executives, and is a Canadian member of the Trilateral Commission. She is also a member of the University of Calgary School of Public Policy Advisory Council. She is the recipient of numerous honours for her community leadership and commitment to democratic principles and free enterprise. In 2025, she was honoured with the King Charles III Coronation Medal in recognition for her outstanding services to Alberta, Canada, and her fellow citizens, noting her pivotal role in shaping industry and community progress. In 2024, she was honoured as a member of the Alberta Order of Excellence, the highest honour the Province of Alberta can bestow on a citizen. Also in 2024, Canada's True Patriot Love Foundation awarded Ms. Southern with the Patriot Award for ATCO's leading role in supporting the Canadian Armed Forces and its Veterans, as well as ATCO's support of the Invictus Games movement. In 2023, she received the Lifetime Business Achievement in the Americas Award from the Canadian Council for the Americas and was named Energy Person of the Year by the Energy Council of Canada. In 2022, the Canadian Chamber of Commerce honoured her with the Canadian Business Leader Lifetime Achievement Award. Also in 2022, she was honoured with Queen Elizabeth II's Platinum Jubilee Medal and, in 2020, she was awarded the British Empire Medal for services to British equestrian, military, and commercial interests in Alberta. In 2018, she received the Canadian Business Leader Award from the University of Alberta and was named a Distinguished Policy Fellow by the University of Calgary's School of Public Policy in recognition of her lifetime commitment to Canadian public policy. She was inducted as a Companion into the Canadian Business Hall of Fame in 2017. She studied Economics and Commerce at the University of Calgary, which also awarded her its highest academic honour, an Honorary Doctor of Laws, in 2014. She also holds Honorary Doctor of Laws degrees from Mount Royal University, the University of Lethbridge and Western University.</t>
  </si>
  <si>
    <t>326716-39P</t>
  </si>
  <si>
    <t>Naveen Jha</t>
  </si>
  <si>
    <t>Jha</t>
  </si>
  <si>
    <t>Naveen</t>
  </si>
  <si>
    <t>Chief Technical Officer</t>
  </si>
  <si>
    <t>njha@aznoula.com</t>
  </si>
  <si>
    <t>Mr. Naveen Jha serves as Chief Technical Officer at Shamal Az-Zour Al-Oula. He has over 30 years of work experience in the power generation and water desalination industry and has previously worked with OEMs and IWPPs in India and Oman. Mr. Chandra Jha has a background in installation, commissioning, project management, and operations. Prior to joining the Company, he worked as the Technical Manager for the 'Suez Tractebel Operations and Maintenance Company Oman' (an ENGIE company) in Oman. Mr. Jha holds a Bachelor's Degree in Electrical Engineering from the Maulana Azad National Institute of Technology, India.</t>
  </si>
  <si>
    <t>379610-02P</t>
  </si>
  <si>
    <t>Nick Clements</t>
  </si>
  <si>
    <t>Presight (Abu Dhabi)</t>
  </si>
  <si>
    <t>Clements</t>
  </si>
  <si>
    <t>www.presight.ai</t>
  </si>
  <si>
    <t>nick.clements@presight.ai</t>
  </si>
  <si>
    <t>Level 17, Al Maqam Tower</t>
  </si>
  <si>
    <t>Mr. Nick Clements serves as Chief Marketing &amp; Communications Officer at Presight. He is the Chief Marketing Officer of Presight, and brings over 25 years of marketing and communications leadership experience in national and international strategic and operational roles across multiple sectors. In his previous role as Senior Director of Enterprise Marketing &amp; Communications at G42, he was responsible for leading and motivating teams to drive group-level brand building, reputation management, and value creation.</t>
  </si>
  <si>
    <t>163693-00P</t>
  </si>
  <si>
    <t>Noel Quinn</t>
  </si>
  <si>
    <t>Fortescue</t>
  </si>
  <si>
    <t>Quinn</t>
  </si>
  <si>
    <t>Noel</t>
  </si>
  <si>
    <t>www.fortescue.com</t>
  </si>
  <si>
    <t>+61 (0)8 6218 8888</t>
  </si>
  <si>
    <t>Perth, Australia</t>
  </si>
  <si>
    <t>Ground Floor, 256 Saint Georges Terrace</t>
  </si>
  <si>
    <t>Perth</t>
  </si>
  <si>
    <t>Western Australia</t>
  </si>
  <si>
    <t>6000</t>
  </si>
  <si>
    <t>+61 (0)8 6218 8880</t>
  </si>
  <si>
    <t>Mr. Noel Quinn serves as Chairman, Member of Development &amp; Innovation Committee &amp; Member of Governance &amp; Risk Committee at Julius Baer Group. Mr. Quinn served as Group Chief Executive &amp; Board Member at HSBC Holdings. He is a non-executive director of the Sustainable Markets Initiative, which was founded by HM King Charles III, as Prince of Wales, in 2020, and chairs its Financial Services Taskforce. He is a Principal of the Glasgow Financial Alliance for Net Zero, which commits financial institutions worldwide to align their lending and investment portfolios with net zero emissions by 2050, as well as a member of the World Bank Private Sector Investment Lab and the WEF International Business Council. He qualified as a Chartered Accountant in 1987. He has BA (Bachelor of Arts) in Accountancy from Birmingham City University (1983).</t>
  </si>
  <si>
    <t>257074-48P</t>
  </si>
  <si>
    <t>Pang Siu Hin</t>
  </si>
  <si>
    <t>Siu Hin</t>
  </si>
  <si>
    <t>Pang</t>
  </si>
  <si>
    <t>Co-Founder, Chairman, Chief Executive Officer &amp; Executive Director</t>
  </si>
  <si>
    <t>Mr. Pang Siu Hin is a Co-Founder and serves as Chairman, Executive Director &amp; Chief Executive Officer at Hin Sang Group International Holding Company. He is the founder of the Group and has been the Chairman and the Chief Executive Officer of the Group since 1996. He is responsible for the overall strategic planning, formulation of the corporate policies and the day-today management of the Group. He is also a director of various subsidiaries of the Company. He has about 25 years of experience in the distribution, marketing and sale of healthcare products, personal care products and household products, the experience of which was gained from the operation of the Group.</t>
  </si>
  <si>
    <t>96449-41P</t>
  </si>
  <si>
    <t>Patrick Bousquet-Chavanne</t>
  </si>
  <si>
    <t>Inter Parfums</t>
  </si>
  <si>
    <t>Bousquet-Chavanne</t>
  </si>
  <si>
    <t>www.interparfumsinc.com</t>
  </si>
  <si>
    <t>+1 (212) 983-2640</t>
  </si>
  <si>
    <t>551 Fifth Avenue</t>
  </si>
  <si>
    <t>10176</t>
  </si>
  <si>
    <t>+1 (212) 983-4197</t>
  </si>
  <si>
    <t>Patrick Bousquet-Chavanne, age 67, a director nominee, is an accomplished executive in the fast moving consumer goods and retail sectors, with over 35 years of international experience across London, Paris, Dubai, and New York. He has held senior leadership roles at prestigious companies including, The Estee Lauder Companies Inc, LVMH, Marks &amp; Spencer PLC, EMAAR PJSC, and most recently served as CEO of ESW Americas. Currently, Mr. Bousquet-Chavanne spearheads the Abu Dhabi Retail Development Program for the Abu Dhabi Investment Office, an arm of the Abu Dhabi Department of Economic Development. From September 2023 to the present, he acts as consultant through his company, PBC Consulting, in the retail industry. From October 2020 to September 2023, Mr. Bousquet-Chavanne served on the Advisory Board of ESW, a leading global direct to consumer e-commerce service provider where he led Americas operations and the global luxury practice, focusing on structuring United States operations for accelerated growth and guiding the diversification and global expansion of ESW in the luxury, fashion, beauty, and personal care industries. Previously, as CEO of EMAAR Malls-the owner of The Dubai Mall, the world's largest travel retail and entertainment destination-Mr. Bousquet-Chavanne brought transformative perspectives to the Middle East retail market during a period of rapid digital transformation. He led the acquisition of Namshi.com, expanded the Dubai Mall's digital footprint, and introduced advanced analytics and consumer insight capabilities to enhance customer experience across channels. Prior to his tenure at EMAAR Malls, Mr. Bousquet-Chavanne was Chief Customer, Marketing, and Digital Officer at Marks &amp; Spencer PLC. There, he spearheaded the department store's digital transformation, positioning marksandspencer.com as one of the top three online destinations for clothing and footwear in the United Kingdom. He also led M&amp;S's Beauty transformation initiative, cantered decision-making on customer insights, and launched the award-winning Sparks CRM program. Mr. Bousquet-Chavanne is a former Independent Director of Brown-Forman (NYSE: BF-B), one of the largest American spirits companies, 2005 to 2017. He presently serves as Lead Independent Director on the board of Flow Water Inc. (TSX: FLW), a Canadian premium bottled water company, and previously chaired the Compensation Committee of HSNi (NASDAQ: HSNI), a multi-channel retailer in the USA. He holds MBAs from Purdue University Krannert School of Management and an Advanced Management degree from Stanford Executive Program in Strategy and Organization. Mr. Bousquet-Chavanne is a CCE, Conseiller du Commerce Exterieur de la France, a member of Purdue University's Marketing Advisory Board and was part of the Retail Leadership Group for The Prince's Trust, a UK charity founded by Charles, Prince of Wales. He contributes to Forbes.com on topics related to beauty and luxury.</t>
  </si>
  <si>
    <t>386263-09P</t>
  </si>
  <si>
    <t>Paul Floyd</t>
  </si>
  <si>
    <t>Floyd</t>
  </si>
  <si>
    <t>pfloyd@aznoula.com</t>
  </si>
  <si>
    <t>Mr. Paul Floyd serves as Director, Chief Executive Officer &amp; Executive member of the Board of Directors at Shamal Az-Zour Al-Oula. He is an Executive member of the Board of Directors. Joining the company in September 2023, he also serves as Chief Executive Officer. He brings with him over 30 years of experience in the power generation and water production industry and a background in commercial leadership, business management and project development/delivery, backed up by multifaceted experience in, construction, commissioning, operations and maintenance, and asset management. He currently holds several directorship positions within Operation and Maintenance Companies in the Middle East. Mr. Floyd holds a master's degree in engineering from RMIT University in Australia, and another master's degree in business administration from Massey University in New Zealand.</t>
  </si>
  <si>
    <t>387019-36P</t>
  </si>
  <si>
    <t>Pei Bei Law</t>
  </si>
  <si>
    <t>Mobile Health (Healthcare Service)</t>
  </si>
  <si>
    <t>Law</t>
  </si>
  <si>
    <t>Pei Bei</t>
  </si>
  <si>
    <t>www.manadr.com</t>
  </si>
  <si>
    <t>+65 8218 7897</t>
  </si>
  <si>
    <t>2 Venture Drive</t>
  </si>
  <si>
    <t>Suite 07-06/07, Vision Exchange</t>
  </si>
  <si>
    <t>608526</t>
  </si>
  <si>
    <t>Ms. Pei Bei Law has served as our Chief Business Officer since 2022. She is primarily in charge of the coordination of departments, supporting senior management in developing plans for business growth, and business development activities. Prior to assuming her role as our Chief Business Officer, she served as the marketing executive of DMG &amp; Partners Securities Pte Ltd from 2012 to 2014 and the asset management &amp; operations executive of IHC Medical Assets Pte Ltd from 2014 to 2016. From 2017 to 2022, she served as the head of business development &amp; operations of Sano Pain Care Group, a pain care specialist offering drugless therapies in Malaysia since 2008, where her main duties included managing the healthcare business chain, expanding business scale, identifying areas of growth, and developing strategic partnerships with key stakeholders. From 2019 to 2022, she was the co-founder and head of business development &amp; operations of Moss Motion, a design studio creating contents and experiences for brands to help them achieving business goals, primarily responsible for identifying new business opportunities, overseeing day-to-day operations, and maintaining relationships with clients and partners. She earned her Bachelor of Business Management &amp; Law degree from Aomori Chuo Gakuin University in Japan in 2012, and earned her MBA degree from University of Cardiff Metropolitan in the UK in 2017.</t>
  </si>
  <si>
    <t>421450-39P</t>
  </si>
  <si>
    <t>Peng Xiao Yu</t>
  </si>
  <si>
    <t>Arctech Solar Holding</t>
  </si>
  <si>
    <t>Xiao Yu</t>
  </si>
  <si>
    <t>www.arctechsolar.us</t>
  </si>
  <si>
    <t>Chief Engineer-Product Technology Center</t>
  </si>
  <si>
    <t>+86 (0)512 5735 3472</t>
  </si>
  <si>
    <t>pxiaoyu@arctechsolar.us</t>
  </si>
  <si>
    <t>Kunshan, China</t>
  </si>
  <si>
    <t>No. 2388 Huangpujiang Middle Road</t>
  </si>
  <si>
    <t>Lujia Town</t>
  </si>
  <si>
    <t>Kunshan</t>
  </si>
  <si>
    <t>Mr. Peng Xiao Yu serves as Chief Engineer-Product Technology Center at Arctech Solar Holding.</t>
  </si>
  <si>
    <t>12744-10P</t>
  </si>
  <si>
    <t>Phillip Kardis II</t>
  </si>
  <si>
    <t>Kardis</t>
  </si>
  <si>
    <t>pkardis@chimerareit.com</t>
  </si>
  <si>
    <t>Mr. Phillip Kardis serves as Co-Chief Executive Officer and President at Chimera Investment. He also served as a Partner at K&amp;L Gates. Mr. Kardis has a broad range of experience in assisting clients with complex corporate, securities, and financing transactions, especially transactions involving REITs and financial assets, including public offerings (debt and equity), private placements, private equity, asset-back secured lending, joint ventures and other investment vehicles, mergers and acquisitions, asset-backed securitizations, public tenders, and going private transactions. He has represented several Wall Street investment banks, mortgage and specialty auto finance companies, REITs, broker-dealers, and a variety of technology companies.</t>
  </si>
  <si>
    <t>267826-69P</t>
  </si>
  <si>
    <t>Pia Cook</t>
  </si>
  <si>
    <t>Origin Materials (Former)</t>
  </si>
  <si>
    <t>Cook</t>
  </si>
  <si>
    <t>Pia</t>
  </si>
  <si>
    <t>www.originmaterials.com</t>
  </si>
  <si>
    <t>Ms. Pia Heidenmark Cook serves as Board Member at Origin Materials. She has agreed to serve on the board of directors of the Combined Company upon the consummation of the Business Combination. Ms. Cook currently serves as Chief Sustainability Officer at Ingka Group (IKEA). Prior to this position, she served as head of Sustainability in IKEA Retail &amp; Expansion for the IKEA Group from 2011 to 2017 and as head of Communications for the IKEA Foundation from 2008 to 2011. Prior to joining IKEA in 2008, Ms. Cook served as Vice President of Corporate Social Responsibility at the Rezidor Hotel Group from 2001 to 2008. Ms. Cook currently serves on the country boards of IKEA Sweden and IKEA Denmark, and has previously served as co-chair of The Retailers' Environmental Action Programme and as chairman of the tourism branch of the Prince of Wales Business Leaders Forum. Ms. Cook received a Technical Licentiate degree and a M.Sc. in Environmental Management from the University of Lund, Sweden, and a M.Sc. in International Business Administration and Economics from Uppsala University, Sweden. She is currently undertaking an INSEAD training on non-executive board directorship.</t>
  </si>
  <si>
    <t>317571-22P</t>
  </si>
  <si>
    <t>Prasarn Trairatvorakul</t>
  </si>
  <si>
    <t>SCG Packaging</t>
  </si>
  <si>
    <t>Trairatvorakul</t>
  </si>
  <si>
    <t>Prasarn</t>
  </si>
  <si>
    <t>www.scgpackaging.com</t>
  </si>
  <si>
    <t>+66 (0)2 5862894</t>
  </si>
  <si>
    <t>1 Siam Cement Road, Bang Sue</t>
  </si>
  <si>
    <t>+66 (0)2 5863007</t>
  </si>
  <si>
    <t>Dr. Prasarn Trairatvorakul, Education/Training- Doctor of Business Administration, Harvard University, Massachusetts, USA; Master in Business Administration, Harvard University, Massachusetts, USA; Master of Engineering in Industrial Engineering and Management, Asian Institute of Technology, Thailand; Bachelor of Engineering in Electrical Engineering (First Class Honors), Chulalongkorn University; Honorary Doctor of Philosophy, National Institute of Development Administration; Honorary Doctor of Economics, Chulalongkorn University; Honorary Doctor of Economics, The University of the Thai Chamber of Commerce; Honorary Doctor of Economics, Khon Kaen University; Honorary Doctor of Business Administration, Rajamangala University of Technology Suvarnabhumi; Knowledge/Skills/Expertise- Businesses in the Company's Supply Chains and Consumer Markets Other Large Businesses or Industries; Financial Statements Reviewing; Vision, Mission and Policy Setting and Strategic Planning for Large Organizations; International or Regional Business Administration and Cultural Difference Management; Innovation and Sustainable Organization Management; Corporate Governance, Large Organization Management and Human Resource Management; Risk Management and Crisis Management; Economics, Accounting and Finance; Business and Investment Laws; Application of Technology in Industries and Business Sectors.Director Training- Role of the Chairman Program (RCP) 2/2001, Thai Institute of Directors Association; Director Certification Program (DCP) 21/2002, Thai Institute of Directors Association; Ethical Leadership Program (ELP) 2/2015, Thai Institute of Directors Association; Board Nomination and Compensation Program (BNCP) 5/2018, Thai Institute of Directors Association; IT Governance and Cyber Resilience Program (ITG) 15/2020 Thai Institute of Directors Association. Board Member/Management of other Listed Company in Thailand- Since 2019 Chairman, Central Retail Corporation Public Company Limited; Since 2019 Chairman, Pruksa Holding Public Company Limited (Director qualified as an Independent Director effective from 2016); Since 2017 Independent Director and Chairman of Remuneration Committee, The Siam Cement Public Company Limited (Director qualified as an Independent Director effective from August 26, 2019). Position in other Company/Organization/Institution- Since 2019 Chairman of the Board, Mahidol Witayanusorn; Since 2018 Chairman, Education Equity Fund; Since 2018 Director, Siam Sindhorn Co., Ltd.; Since 2018 Director, CPB Equity Company Limited; Since 2018 Director, Prince of Songkla University; Since 2018 Distinguished Scholar, Faculty of Commerce and Accountancy, Chulalongkorn University; Since 2017 Member, Asset Management Committee of Vajiravudh College; Since 2017 Member, Committee on King's Scholarships for Thai Buddhist Monks; Since 2017 Chairman of the Council of Trustees and the Board of Directors, Thailand Development Research Institute (TDRI); Since 2016 Senior Advisor, CENTRAL Group; Since 2016 Member, Property Management Committee, Chulalongkorn University; Since 2015 Advisor, Crown Property Bureau; Since 1998 Director, Thai Red Cross Society. 5-year Past Experiences and/or Remarkable Positions- 2017 - 2019 Chairman, Economic Reform Committee 2017 - 2019 Director, Education Reform Committee; 2017 - 2019 Chairman, Public Procurement Committee; 2015 - 2019 Director, National Anti-Corruption Commission; 2015 - 2019 Director, Committee to Enhance Competitiveness of the Nation; 2014 - 2019 Director, State Enterprise Supervisory Board; 2010 - 2015 Governor, The Bank of Thailand; 2004 - 2010 President, KASIKORNBANK Public Company Limited; 1999 - 2003 Secretary-General, The Securities and Exchange Commission, Thailand.</t>
  </si>
  <si>
    <t>252076-24P</t>
  </si>
  <si>
    <t>Rachel Downey</t>
  </si>
  <si>
    <t>Berkeley Group Holdings</t>
  </si>
  <si>
    <t>Downey</t>
  </si>
  <si>
    <t>Rachel</t>
  </si>
  <si>
    <t>www.berkeleygroup.co.uk</t>
  </si>
  <si>
    <t>+44 (0)19 3286 8555</t>
  </si>
  <si>
    <t>Cobham, United Kingdom</t>
  </si>
  <si>
    <t>Berkeley House</t>
  </si>
  <si>
    <t>19 Portsmouth Road</t>
  </si>
  <si>
    <t>Cobham</t>
  </si>
  <si>
    <t>KT11 1JG</t>
  </si>
  <si>
    <t>+44 (0)19 3286 8667</t>
  </si>
  <si>
    <t>Rachel Downey will join the Board as a Non-executive Director with effect from today's date. Rachel is Project Director of Manchester Life, a joint venture between Abu Dhabi United Group and Manchester City Council, which was established in 2014 to make a significant contribution towards achieving Manchester's regeneration and residential growth ambitions.Prior to joining Manchester Life, Rachel worked with City Football Club to assemble 80 acres of land for the City Football Academy. She also managed the submission to Government for £113m to transform the public-sector housing stock in several neighbourhoods across Manchester and Salford as part of the Housing Market Renewal Pathfinder. Rachel studied Jurisprudence at Christ Church, Oxford and subsequently qualified as a Chartered Accountant with KPMG. She spent six years as an Independent Member of the Audit Committee of Her Majesty's Prison Service.She is currently a Trustee of the We Love Manchester Emergency Fund and the Lord Mayor of Manchester's Charity Appeal Trust.</t>
  </si>
  <si>
    <t>296157-16P</t>
  </si>
  <si>
    <t>Rahul Colaco</t>
  </si>
  <si>
    <t>Fraser &amp; Neave</t>
  </si>
  <si>
    <t>Colaco</t>
  </si>
  <si>
    <t>Rahul</t>
  </si>
  <si>
    <t>www.fraserandneave.com</t>
  </si>
  <si>
    <t>+65 6318 9393</t>
  </si>
  <si>
    <t>rahul.colaco@fraserandneave.com</t>
  </si>
  <si>
    <t>438 Alexandra Road</t>
  </si>
  <si>
    <t>Number 20-00 Alexandra Point</t>
  </si>
  <si>
    <t>119958</t>
  </si>
  <si>
    <t>+65 6271 0811</t>
  </si>
  <si>
    <t>Mr. Rahul Colaco serves as Chief Executive Officer at Fraser &amp; Neave. He is an Angel Investor. He served as Chief Executive Officer at Grand Royal. He also serves as Chief Executive Officer at Grand Royal Group International. He is an MBA graduate from the International Institute for Management Development (IMD), Lausanne and a Chartered Accountant from India.</t>
  </si>
  <si>
    <t>418038-13P</t>
  </si>
  <si>
    <t>Rami Askar</t>
  </si>
  <si>
    <t>Askar</t>
  </si>
  <si>
    <t>Rami</t>
  </si>
  <si>
    <t>raskar@unitedholding.com.sa</t>
  </si>
  <si>
    <t>Mr. Rami Ahmed Askar serves as Finance Director at United International Holding Company. He serves as the Head of Finance at United International Holding Company (UIHC). Ramy is responsible for leading the finance functions of the Company with an emphasis on strategic planning, governance, control, risk management, working capital optimization, management accounting, preparing the Company Financial statements, and bottom-line performance. Prior to his appointment with Tas'heel, he served as the Financial Controller for eXtra (United Electronics Company). He brings over 21 years' experience in Retail Business functions, accounting, controlling, corporate finance and process implementation, monitoring finance portfolios and credit risk. He holds a Bachelor's degree in Management and Accounting and a Postgraduate Diploma in Financial Accounting from Alexandria University in Egypt.</t>
  </si>
  <si>
    <t>342129-97P</t>
  </si>
  <si>
    <t>Reid Holbrook</t>
  </si>
  <si>
    <t>CISO Global (Former)</t>
  </si>
  <si>
    <t>Holbrook</t>
  </si>
  <si>
    <t>www.ciso.inc</t>
  </si>
  <si>
    <t>Mr. Holbrook has served as a director of our company since May 2019. Since 2013, Mr. Holbrook has been a Principal at Mountain Summit Advisors, a specialty firm focused on mergers and acquisitions of primarily healthcare technology and services companies, and a strategic advisor to Health Catalyst, a company focused on data analytics and warehousing primarily in healthcare. He served as the Executive Vice President of Medicity, a population health management company with solutions for health information exchange, business intelligence, and provider and patient engagement, from 2002 to 2013. In 1998, Mr. Holbrook founded KLAS where he remains as a board member. He has served in executive positions at IHC, GTE, Sunquest Information Systems, Integrated Medical Networks and is a founder of Park City Solutions. Mr. Holbrook is a HIMSS Fellow. He holds a Master of Science from Utah State University and a Bachelor of Science from Brigham Young University.</t>
  </si>
  <si>
    <t>136885-24P</t>
  </si>
  <si>
    <t>Robert Colligan</t>
  </si>
  <si>
    <t>Dynex Capital</t>
  </si>
  <si>
    <t>Colligan</t>
  </si>
  <si>
    <t>www.dynexcapital.com</t>
  </si>
  <si>
    <t>Chief Financial Officer, Finance &amp; Chief Operating Officer, Operations</t>
  </si>
  <si>
    <t>+1 (804) 217-5800</t>
  </si>
  <si>
    <t>robert.colligan@dynexcapital.com</t>
  </si>
  <si>
    <t>4991 Lake Brook Drive</t>
  </si>
  <si>
    <t>Mr Robert S. Colligan serves as Chief Financial Officer &amp; Chief Operating Officer at Dynex Capital As part of its ongoing succession planning process, on July 15, 2022, the Board of Directors of Dynex Capital, Inc. approved the appointment of Robert S. Colligan as the Company's Executive Vice President, Chief Financial Officer, and Secretary, effective as of the close of business on August 5, 2022. Mr. Colligan, age 51, joins the Company after serving as the Chief Financial Officer at Chimera Investment Corporation, a real estate investment trust with a focus on residential mortgage loans, asset securitization, and mortgage-related securities, from May 2013 to June 2021. Since June 2021, Mr. Colligan has served as a consultant to and advised entrepreneurs and early-stage companies. From 2008 to May 2013, Mr. Colligan served as Controller at Starwood Capital Group. Earlier in his career, Mr. Colligan worked for Merrill Lynch and Bear Stearns on financial reporting, strategy and investor relations matters. Mr. Colligan began his career at PricewaterhouseCoopers serving audit clients and later served tax clients from the firm's national tax department. Mr. Colligan received a Master's in Taxation from the George Washington University and a Bachelor of Science degree in accounting from Villanova University. Mr. Colligan is a Certified Public Accountant.</t>
  </si>
  <si>
    <t>420133-78P</t>
  </si>
  <si>
    <t>Robert Pierce</t>
  </si>
  <si>
    <t>Ernexa Therapeutics</t>
  </si>
  <si>
    <t>www.ernexatx.com</t>
  </si>
  <si>
    <t>+1 (617) 798-6700</t>
  </si>
  <si>
    <t>robert.pierce@eternatx.com</t>
  </si>
  <si>
    <t>10531 4S Commons Drive</t>
  </si>
  <si>
    <t>Suite 166 - 550</t>
  </si>
  <si>
    <t>92127</t>
  </si>
  <si>
    <t>Mr. Robert Pierce serves as Chief Scientific Officer at Eterna Therapeutics. Dr. Robert H. Pierce is an anatomic pathologist who brings more than two decades of scientific leadership and experience managing large teams dedicated to drug development in both academia and industry, with particular emphasis on immunology and oncology. His research has focused on the mechanisms of tumor-induced immune tolerance and he has longstanding expertise in the development of biomarkers to predict responses to immuno-oncology treatments. While at Merck, Dr. Pierce led a team focused on the development of tissue-based biomarker approaches for Merck's anti-PD1 therapeutic antibody (pembrolizumab; KEYTRUDA®) to define response and non-response phenotypes to anti-PD1 blockade, including the 22C3 PD-L1 companion diagnostic IHC assay. He was also the medical lead responsible for the early clinical development of pembrolizumab in Merkel cell carcinoma and cutaneous T cell lymphoma. He also previously served as the CMO and, later, CSO of OncoSec Medical, Director of Immunopathology at the Fred Hutchinson Cancer Research Center and Chief R&amp;D Officer at Sensei Biotherapeutics. Dr. Pierce has a B.A. from Yale University, was awarded a Fulbright scholarship to study philosophy at the Albert-Ludwig University in Freiburg, Germany and the went on to receive an M.D. from Brown University School of Medicine, where he currently serves as an adjunct professor. Following graduation from medical school, he completed a residency program in Anatomic Pathology and a post-doctoral research fellowship at the University of Washington in Seattle.</t>
  </si>
  <si>
    <t>285948-55P</t>
  </si>
  <si>
    <t>Saad Bendidi</t>
  </si>
  <si>
    <t>Akdital (Former)</t>
  </si>
  <si>
    <t>www.akdital.ma</t>
  </si>
  <si>
    <t>Mr. Saad Bendidi, Director. Mr. Saad Bendidi graduated from Ecole Centrale, HEC, and Sciences Po Paris. After working at Wafabank and leading Magetex and CIB, he became the first President of Meditel (now Orange) from 1999 to 2005. In 2001, he joined BMCE Bank as Vice-President of Finance.com. He left the group in 2005 and became President of ONA (now Al Mada) until 2008. Since then, he has held several mandates and carried out various consulting assignments. In 2013, he was appointed Deputy CEO of the Saham Group, where he remained until 2017. Today, Mr. Saad Bendidi is a Partner and Chairman of the Board of MCP, a member of the investment committee for the funds managed by MCP, and a board member of several companies in which MCP-managed funds are shareholders. Other Mandates: Al Raja - X-Ray Center CO., Cairo Diagnostic Imaging Centres, Cairo Radiotherapy and Radiology Complex (Cairo Ray), Cairo Scan Radiology &amp; Labs S.A.E, Consultant Radiologists Diagnostic Center, Lab Med Medical Laboratories, Medical Imaging Technology Center (Techno Rad), Medicine Technology Center (Techno Med), MedRay, MetaLab L.L.C, Techno Group for Medical Centers Management, Technogroup Investments Holdings, TechnoScan - Radiology Technology Center, MC IV Pharma S.A., MC II Auto Ltd, Africa Select Equity Fund (SICAV) P.L.C., Eastern Medical Holding Limited, MC II Concrete Ltd, MC II Education Ltd, MC II Fashion Ltd, MC II K12 Ltd, MC II Pasta Ltd, MC II Trailers Ltd, MC III Indus Ltd, MC III Scan 1 Ltd, MC III Team Ltd, MC IV Team Malta Ltd, MC IV Packaging S.A., MC Partners Ltd, MC IV LTD., MCTeam Ltd., Mediterrania Capital II (SICAV) plc, Mediterrania Capital Partners Limited, Olea SPV Limited, Ray-Lab Ltd, MC III Clean, MC III Concrete Limited, Mediterrania Capital III (Parallel) LP, Mediterrania Capital III LP, MCP RE FPCC, Mediterrania Capital Partners Gestion, TGCC, Les Eaux Minerales d'Oulmes, Dislog Industries, Cash Plus, Forafric, HWM.</t>
  </si>
  <si>
    <t>418033-00P</t>
  </si>
  <si>
    <t>Sakhr Al Mulhem</t>
  </si>
  <si>
    <t>Al Mulhem</t>
  </si>
  <si>
    <t>Sakhr</t>
  </si>
  <si>
    <t>salmulhem@unitedholding.com.sa</t>
  </si>
  <si>
    <t>Mr. Sakhr Al Mulhem serves as Chief Executive Officer at United International Holding Company. Mr. Al Mulhem is the Chief Executive Officer of United International Holding Company (UIHC) and member of several executive management committees with regional and global experience in the financial and banking sector in Saudi Arabia, the United States, the United Kingdom and Mexico. Prior to his appointment as CEO of UIHC, Sakhr held executive roles in the financial, insurance and aviation sectors spanning business management, development, product marketing, operations management, projects and strategic planning. He holds a Bachelor's degree in Business Administration and Marketing and an MBA from Washington International University in the United States with professional certifications from INSEAD in France and Singapore and the University of Texas, Austin.</t>
  </si>
  <si>
    <t>60598-90P</t>
  </si>
  <si>
    <t>Saleh Lootah</t>
  </si>
  <si>
    <t>Amlak International (Former)</t>
  </si>
  <si>
    <t>Lootah</t>
  </si>
  <si>
    <t>www.amlakint.com</t>
  </si>
  <si>
    <t>Mr. Saleh Lootah serves as Chairman, Board of Directors at Zabeel Investments. He is also a Board Member at Amlak International.</t>
  </si>
  <si>
    <t>80035-66P</t>
  </si>
  <si>
    <t>Sameer Deen</t>
  </si>
  <si>
    <t>Entain</t>
  </si>
  <si>
    <t>Deen</t>
  </si>
  <si>
    <t>www.entaingroup.com</t>
  </si>
  <si>
    <t>Chief Strategy Officer &amp; President New Ventures</t>
  </si>
  <si>
    <t>sameer.deen@entaingroup.com</t>
  </si>
  <si>
    <t>Douglas, United Kingdom</t>
  </si>
  <si>
    <t>2a Lord Street</t>
  </si>
  <si>
    <t>Isle of Man</t>
  </si>
  <si>
    <t>IM1 2BD</t>
  </si>
  <si>
    <t>Mr. Sameer Deen serves as Chief Strategy Officer &amp; President of New Ventures at Entain. He served as Chief Digital Officer at Univision Communications. He also serves as President at CityEats. He also serves on the Advisory Board of Quinnipiac University. Sameer Deen is senior vice president, digital, at Univision. He is responsible for establishing and leading the digital strategy to reach new audiences by enhancing the user experience across the company's growing digital and mobile portfolio, expanding digital offerings and maximizing digital-linear TV integration. A seasoned executive with extensive experience in new media development and corporate strategy, Deen was most recently senior vice president of multiplatform distribution and strategy for Scripps Networks Interactive, where he led digital video distribution efforts. He was also founding president of CityEats and senior vice president of corporate development, helping SNI establish its international presence. Earlier in his career, he served as director, new media for NBC Universal and director of financial and strategic planning for NBC Universal Networks.</t>
  </si>
  <si>
    <t>386267-59P</t>
  </si>
  <si>
    <t>Samson Fernando</t>
  </si>
  <si>
    <t>Fernando</t>
  </si>
  <si>
    <t>Samson</t>
  </si>
  <si>
    <t>sfernando@aznoula.com</t>
  </si>
  <si>
    <t>Mr. Samson Fernando serves as Chief Financial Officer at Shamal Az-Zour Al-Oula. He joined the company back in May 2014 and has been working for the Company as Finance Manager and Deputy CFO. He has over 20 years' experience in finance, audit, and accounting. He is also a Chartered and Certified Accountant being an associate member of the Institute of Chartered Accountants of Sri Lanka (ACA, ICASL) and an associate member of the Association of Chartered Certified Accountants (ACCA, UK). He has over 10 years of experience in the project finance, power generation and water production industry. He has the background of having worked for construction, oil and gas industry in the Middle East for the last 15 years. Mr. Fernando graduated with a Bachelor of Science in Accounting and Financial Management from the University of Sri Jayewardenepura, Sri Lanka and has an MBA from the University of Sri Jayewardenepura, Sri Lanka.</t>
  </si>
  <si>
    <t>175166-74P</t>
  </si>
  <si>
    <t>Sandra Bell</t>
  </si>
  <si>
    <t>Dye &amp; Durham</t>
  </si>
  <si>
    <t>Bell</t>
  </si>
  <si>
    <t>www.dyedurham.com</t>
  </si>
  <si>
    <t>Chief Financial Officer, Finance</t>
  </si>
  <si>
    <t>+1 (800) 268-7580</t>
  </si>
  <si>
    <t>sandra.bell@riveron.com</t>
  </si>
  <si>
    <t>25 York Street</t>
  </si>
  <si>
    <t>M5J 2V5</t>
  </si>
  <si>
    <t>Ms. Sandra Bell, interim CFO. Prior to serving as Interim Chief Financial Officer of Dye &amp; Durham, since July 2025, Ms. Bell has served, and continues to serve, as a Managing Director in the Interim Management Practice at Riveron Consulting, LLC since November 2024. Previously, Ms. Bell served as the Chief Financial Officer of Tiptree Inc (NASDAQ: TIPT), from July 2015 to March 2023, and as Executive Director, Special Projects from March 2023 to October 2023. Ms. Bell also served as an Independent Director of Chimera Investment Corporation (NYSE: CIM), where she chaired the Risk Committee and served on the Audit Committee between December 2021 to April 2025. Prior to Tiptree, Ms. Bell served as Chief Financial Officer of Prospect Mortgage, LLC from 2012 to 2015, and as Chief Financial Officer of PHH Corporation (NYSE: PHH) from 2008 to 2011. Before that, Ms. Bell served as Executive Vice President and Chief Financial Officer of the Federal Home Loan Bank of Cincinnati from 2004 to 2006 and as a Managing Director at Deutsche Bank Securities in project and structured finance from 1991 to 2004. Ms. Bell received an M.B.A from Harvard Business School and holds a B.A. in economics from The Ohio State University.</t>
  </si>
  <si>
    <t>394898-50P</t>
  </si>
  <si>
    <t>Shadi Al-Majali</t>
  </si>
  <si>
    <t>Bank of Jordan (Former)</t>
  </si>
  <si>
    <t>Al-Majali</t>
  </si>
  <si>
    <t>Shadi</t>
  </si>
  <si>
    <t>www.bankofjordan.com</t>
  </si>
  <si>
    <t>Mr. Shadi Al-Majali served as Board Member at Bank of Jordan. His previous experiences include Executive Director of Modern Vision Electronics and Electrical Appliances Company, Executive Director of the King Abdullah II Center for Design and Development, Executive Director of the Aqaba Development Company, General Manager at Saraya Aqaba Company, Commissioner of Revenue and Customs at the Aqaba Special Economic Zone Authority, Director of the Gulf/Qatar region for Al-Awsat Contracting Company, CEO of the Jordan Tourism Projects Development Company (TALABAY), General Manager of Trans Jordan Communications Services Company, General Manager of Al-Nisr Advanced Communications Company, 
Extensive experience in the field of military work, as he graduated in military work during the years 1985-1996. His current membership on the boards of directors of other companies include Chairman of the Board of Directors of Al-Daman Company for Investment and Agricultural Industries since September 2020, Chairman of the Board of Directors of the Jordanian Oil Facilities Logistics Company since July 2019, Member of the Social Security Investment Fund Board since April 2017, Chairman of the Board of Directors of the Jordanian Investment Trust Company since October 2017. His previous membership on the boards of directors of other companies include Chairman of the Board of Directors of the King Abdullah II Design and Development Center (KADDB) from 12/2010 - 5/2014, Member of the Board of Directors of the Injaz Foundation from October 2016 to 2018, Member of the Board of Trustees of Mu'tah University from 2009 to 2018, Member of the Board of Directors of the Jordanian Investment Trust Company from July 2014 until October 2017, Member of the Board of Trustees of the Royal Tank Museum, Member of the Board of Trustees of the Jordan University of Science and Technology, Member of the Board of Directors of Aqaba Water Company from 1/1/2010 - 8/1/2010, Member of the Board of Directors of Aqaba Port and Containers from 1/1/2010 - 8/1/2010, Member of the Board of Directors of Aqaba Airports Company from 1/1/2010 - 8/1/2010, Member of the Board of Trustees at the University of Applied Sciences from January 2006 - October 2009, Member of the Board of Commissioners of the Aqaba Special Economic Zone Authority from January 2004 - February 2007, Member of the Board of Directors of the Electricity Distribution Company from June 2006 - March 2007, Chairman of the Board of Directors of Aqaba International School from June 2006 - February 2007, Member of the Board of Directors of the Yemen Public Telephone Company from September 1998 - September 2000, Member of the Board of Directors of the Middle East Defense and Security Agency from August 1997 - November 2003, Vice Chairman of the Board of Directors of the King Abdullah II Special Operations Training Center (KASOTC) from December 2010 - February 2013 and Member of the Greater Amman Municipality Council from August 2010 - August 2013. His education qualifications include certificates Master's degree in computer engineering in 1985 from George Washington University and Bachelor's degree in Mathematics and Military Sciences in 1983 from the Military University of South Carolina.</t>
  </si>
  <si>
    <t>418037-50P</t>
  </si>
  <si>
    <t>Shahrukh Lali</t>
  </si>
  <si>
    <t>Lali</t>
  </si>
  <si>
    <t>Shahrukh</t>
  </si>
  <si>
    <t>Chief Risk Officer</t>
  </si>
  <si>
    <t>slali@unitedholding.com.sa</t>
  </si>
  <si>
    <t>Mr. Shahrukh Lali serves as Chief Risk Officer at United International Holding Company. Mr. Lali previously served as a Credit Risk Director at eXtra (United Electronics Company), where he was responsible for setting up and then managing the Instalment Sales Business. Prior to his time at eXtra, he worked in both local and multinational banks including JS Bank, Al Rajhi Bank and Barclays. Shahrukh holds a Master's degree in Marketing and Finance from Greenwich University.</t>
  </si>
  <si>
    <t>282148-48P</t>
  </si>
  <si>
    <t>Sofia Lasky</t>
  </si>
  <si>
    <t>Aldar Properties</t>
  </si>
  <si>
    <t>Lasky</t>
  </si>
  <si>
    <t>Sofia</t>
  </si>
  <si>
    <t>www.aldar.com</t>
  </si>
  <si>
    <t>+971 (0)8 002 5327</t>
  </si>
  <si>
    <t>Aldar Square, Yas Island</t>
  </si>
  <si>
    <t>Sofia Lasky has been with IHC since April 2020, and brings considerable experience in asset management, mergers and acquisitions, private equity, portfolio management, alternative investments, funds, valuation, financing, capital markets and corporate structuring through her 18-year tenure at Royal Group. She has overseen the acquisition of numerous companies in a variety of core industries, including real estate, contracting, food processing, preventive healthcare, and capital investments. Her contribution towards the growth of companies within the Royal Group has been invaluable. She holds a bachelor's degree in management information technology from the United Kingdom and has held and continues to occupy a position on the Board of Directors of a number of companies, including Alpha Dhabi Holding (ADH) and Aldar Properties. Sofia has also served as a Board Member of Macquarie Capital Middle East LLC NCTH.</t>
  </si>
  <si>
    <t>284253-13P</t>
  </si>
  <si>
    <t>Sommai Phasee</t>
  </si>
  <si>
    <t>Gulf Development (Bangkok) (Former)</t>
  </si>
  <si>
    <t>Phasee</t>
  </si>
  <si>
    <t>Sommai</t>
  </si>
  <si>
    <t>www.gulf.co.th</t>
  </si>
  <si>
    <t>Mr. Sommai Phasee, Education / Training: Master of Economics (Planning and Development), Vanderbilt University, USA. Master of Economics, Thammasat University. Bachelor of Economics (Honors), Thammasat University. Civil Service Executive Development Program (Program I), Class 11, Civil Executive College, Civil Service Training Institute, Office of the Civil Service Commission. The National Defence, Class 37, Thailand National Defence College Director Training. Director Certification Program (DCP), Class 268/2018, Thai Institute of Directors. Director Accreditation Program (DAP), Class 59/2006, Thai Institute of Directors. Role of the Chairman Program (RCP), Class 9/2003, Thai Institute of Directors. Working Experience (during the recent 5 years) and/or Important Positions. 2017 - 2018 Chairman of the Board of Directors and Independent Director, Nok Airlines Public Company Limited. 2014 - 2015 Chairman of the Board of Directors, Crown Property Bureau. 2014 - 2015 Chairman of the Board of Directors, Bank for Agriculture and Agricultural Co-operatives. 2014 - 2015 Deputy Chairman of the Anti-Money Laundering Board, Anti-Money Laundering Office. 2014 - 2015 Minister, Ministry of Finance. 2011 - 2014 Director, Gulf Energy Development Company Limited. 2006 - 2007 Deputy Minister, Ministry of Finance. 2004 - 2006 Chairman of the Board of Directors, Gulf Electric Public Company Limited. 1998 - 2004 Deputy Permanent Secretary, Ministry of Finance. Other Directorship Positions / Other Positions at Present Non-Listed Companies: 2020 - Present Chairman, The Thai Bond Market Association. 2019 - Present Director, Precious Metal Refining Company Limited. 2018 - Present Chairman of the Board of Directors, Rachakarn Asset Management. Company Limited: 2017 - Present Director, Aroonsom Company Limited. 2016 - Present Director, Sai Nam Yen Company Limited. 2016 - Present Director, Andaman Beach Suites Company Limited.</t>
  </si>
  <si>
    <t>100583-11P</t>
  </si>
  <si>
    <t>Stephen Gunther MD</t>
  </si>
  <si>
    <t>Shoulder Innovations</t>
  </si>
  <si>
    <t>Gunther</t>
  </si>
  <si>
    <t>www.shoulderinnovations.com</t>
  </si>
  <si>
    <t>+1 (616) 294-1026</t>
  </si>
  <si>
    <t>Grand Rapids, MI</t>
  </si>
  <si>
    <t>1535 Steele Avenue South West</t>
  </si>
  <si>
    <t>Suite B</t>
  </si>
  <si>
    <t>Grand Rapids</t>
  </si>
  <si>
    <t>Michigan</t>
  </si>
  <si>
    <t>49507</t>
  </si>
  <si>
    <t>+1 (877) 989-7335</t>
  </si>
  <si>
    <t>Dr. Stephen Gunther is the Founder of Shoulder Innovations. He received his medical degree from Dartmouth Medical School and pursued residency training at the George Washington University Hospital. He completed a fellowship in Shoulder surgery at the Prince of Wales Hospital in Sydney, Australia, and he was a faculty member at UCSF-Stanford as Chief of the UCSF Shoulder Service.</t>
  </si>
  <si>
    <t>280912-15P</t>
  </si>
  <si>
    <t>Subramaniam Viswanathan</t>
  </si>
  <si>
    <t>Subramaniam</t>
  </si>
  <si>
    <t>Chief Financial Officer and Principal Accounting Officer</t>
  </si>
  <si>
    <t>subramaniam.viswanathan@chimerareit.com</t>
  </si>
  <si>
    <t>Mr. Subramaniam Viswanathan serves as Chief Financial Officer and Principal Accounting Officer at Chimera Investment.. Prior to becoming our Chief Financial Officer in August 2021, Mr. Viswanathan most recently served as the Managing Director, Chief Operating Officer - Global Mortgages and Securitized Products and Global Rates and served other roles at Bank of America Merrill Lynch since 2007. Mr. Viswanathan previously served as the Senior Vice President, Business Area Controller - Cash and Synthetic CDOs, Securitization and Correlation Desks at Citigroup, Corporate and Investment Banking. Mr. Viswanathan earned his degree in economics from the University of Madras in Chennai, India and his MBA from University of Hartford.</t>
  </si>
  <si>
    <t>338507-56P</t>
  </si>
  <si>
    <t>Sultan Al Jaber</t>
  </si>
  <si>
    <t>ADNOC Gas</t>
  </si>
  <si>
    <t>Al Jaber</t>
  </si>
  <si>
    <t>www.adnocgas.ae</t>
  </si>
  <si>
    <t>+971 (0)2 603 0000</t>
  </si>
  <si>
    <t>sjaber@adnocgas.ae</t>
  </si>
  <si>
    <t>Sheikh Khalifa Energy Complex 1, Khalifa Street</t>
  </si>
  <si>
    <t>Post Office Box 665</t>
  </si>
  <si>
    <t>Dr. Sultan Al Jaber serves as Chairman at Joint Venture (International Holding / BlackRock / Lunate). Dr. Sultan Al Jaber served as Chairman at AuctionIQ. He serves as the Chairman at ADNOC Gas. Additionally, he holds the position of Non-Executive Member &amp; Chairman of the Board for the Risk and ESG Committee at First Abu Dhabi Bank, as well as being a Board Member at Mubadala Investment Company.</t>
  </si>
  <si>
    <t>243309-25P</t>
  </si>
  <si>
    <t>Syed Shueb</t>
  </si>
  <si>
    <t>Shueb</t>
  </si>
  <si>
    <t>Syed</t>
  </si>
  <si>
    <t>Chief Executive Officer, Managing Director, Board Member &amp; Chairman of Insider Trading Committee</t>
  </si>
  <si>
    <t>+20 (0)22 4616 300</t>
  </si>
  <si>
    <t>New Cairo, Egypt</t>
  </si>
  <si>
    <t>Sodic Eastown, Building 1, Road 90 South</t>
  </si>
  <si>
    <t>New Cairo</t>
  </si>
  <si>
    <t>11865</t>
  </si>
  <si>
    <t>Mr. Syed Shueb serves as Non-Independent and Non-Executive Director at Alpha Dhabi Holding. He served as Chief Executive Officer, Managing Director, Board Member and Chairman of the Insider Trading Committee at International Holding Company. Mr. Syed Shueb serves as a Non-Independent, Non-Executive Director at Alpha Dhabi. He was appointed as a Board Member, Chief ExecutiveOfficer and Managing Director of IHC in July 2019. Before his tenure at IHC, he held the position of Group Chief Executive Officer of PALGroup of Companies from 2000. He is the founder of District Cooling established in 2006 and today one of the key players in the UAE's utilities services sector. Beyond IHC, he holds leadership positions in several companies such as Redeem Finance, Chimera Investments, Keyhole TIG (K-TIG) Limited and PAL Group of Companies. He holds a bachelor's degree in computer engineering from Near East University, Nicosia, Turkish Republic of Northern Cyprus. He serves as Chief Executive Officer at PAL Group.</t>
  </si>
  <si>
    <t>357070-87P</t>
  </si>
  <si>
    <t>Sylvia Giesen</t>
  </si>
  <si>
    <t>Prince of Wales Country Club (Former)</t>
  </si>
  <si>
    <t>Giesen</t>
  </si>
  <si>
    <t>Sylvia</t>
  </si>
  <si>
    <t>Mr. Sylvia Giesen served as Chief Executive Officer at Prince of Wales Country Club.</t>
  </si>
  <si>
    <t>436722-85P</t>
  </si>
  <si>
    <t>Tallulah Whitewood-Spedding</t>
  </si>
  <si>
    <t>Tekmar Group</t>
  </si>
  <si>
    <t>Whitewood-Spedding</t>
  </si>
  <si>
    <t>Tallulah</t>
  </si>
  <si>
    <t>www.tekmargroup.com</t>
  </si>
  <si>
    <t>General Counsel, Legal &amp; Secretary, Administration</t>
  </si>
  <si>
    <t>+44 (0)13 2537 9520</t>
  </si>
  <si>
    <t>South Durham, United Kingdom</t>
  </si>
  <si>
    <t>Grindon Way</t>
  </si>
  <si>
    <t>Newton Aycliffe</t>
  </si>
  <si>
    <t>South Durham</t>
  </si>
  <si>
    <t>DL5 6SH</t>
  </si>
  <si>
    <t>Tallulah Whitewood-Spedding appointed as company secretary with effect from 27 February 2024.Tallulah Whitewood-Spedding is Tekmar Group's Group Legal Counsel and Company Secretary, bringing over a decade of experience in supporting businesses and public corporations with complex science and engineering projects. She has particular expertise in commercial law and intellectual property within the offshore, energy services, and defence sectors. Prior to joining Tekmar, Tallulah held senior legal roles at Siemens and Royal IHC Limited, where she provided strategic legal advice and managed high-value negotiations. As Head of Legal and Procurement at the National Physical Laboratory (NPL Management Limited), the United Kingdom's National Measurement Institute, Tallulah gained significant experience in leading negotiations, advising on commercial strategy, and drafting complex cross-jurisdictional contracts. Tallulah also sits on Tekmar's ESG Committee, where she provides key governance and legal expertise to support the Group's environmental, social, and governance initiatives. Her strategic approach and deep understanding of legal and commercial frameworks ensure Tekmar operates with robust governance while supporting its global operations and long-term objectives.</t>
  </si>
  <si>
    <t>339004-36P</t>
  </si>
  <si>
    <t>Thomas Pramotedham</t>
  </si>
  <si>
    <t>Pramotedham</t>
  </si>
  <si>
    <t>thomas.pramotedham@presight.ai</t>
  </si>
  <si>
    <t>Mr. Thomas Pramotedham serves as Chief Executive Officer &amp; Board Member at Presight. A digital transformation leader and technology advocate who has supported and driven government smart city initiatives in Asia, he now leads Presight. With a focus on creating nation-building partnerships in the Middle East, Central Asia, and Africa, through enabling capabilities and joining G42 on their journey to support the UAE's digital transformation. In a career spanning two decades, he has held management and thought-leadership positions across Asia, always focusing on leveraging technology to solve real-world problems. Before moving to the UAE, he was the CEO of Esri Singapore, a world-leader in Geospatial Technology and a key partner in driving Singapore's successful Smart Nation programs.</t>
  </si>
  <si>
    <t>285622-66P</t>
  </si>
  <si>
    <t>Thumnithi Wanichthanom</t>
  </si>
  <si>
    <t>Thumnithi</t>
  </si>
  <si>
    <t>Mr. Thumnithi Wanichthanom serves as a Board of Director &amp; Executive Committee Member at SCB 10X. Mr. Wanichthanom serves as a Board Member at Siam Commercial Bank. He received a Bachelor of Public Administration Degree from the Royal Police Cadet Academy and a Master of Public Administration Degree from Western Kentucky University, U.S. During 1997-2017, he was appointed as Deputy Chamberlain, Personal Affairs Division of His Royal Highness the Crown Prince, Bureau of the Royal Household. In addition to his positions as Director and Member of the Corporate Social Responsibility Committee of the Bank, he presently holds key positions such as Grand Chamberlain, Bureau of the Royal Household; Director and Deputy Director-General, The Crown Property Bureau; Director of the Office of Privy Purse, Bureau of the Royal Household; Director and Member of the Governance and Nomination Committee, Siam Cement PCL; Vice Chairman, CPB Equity Co., Ltd.; and Chairman and Vice Chairman of groups of companies of CPB Equity Co., Ltd. as assigned.</t>
  </si>
  <si>
    <t>249213-16P</t>
  </si>
  <si>
    <t>Tom Parmakellis</t>
  </si>
  <si>
    <t>Intelligent Bio Solutions (Former)</t>
  </si>
  <si>
    <t>Parmakellis</t>
  </si>
  <si>
    <t>Tom</t>
  </si>
  <si>
    <t>www.ibs.inc</t>
  </si>
  <si>
    <t>Dr. Parmakellis has been a member of our Board of Directors since July 2019. He has been a Family Physician since 1994 and a Cosmetic Physician since 1996. Dr. Parmakellis started his early career at the Prince of Wales Hospital in Sydney. He has a wealth of experience gained over the last 25 years as a medical practitioner, including 10 years as a rural medical practitioner where timely diagnosis and point of care testing is of essence. Dr. Parmakellis has a wealth of business experience running and organizing both his family practice and cosmetic practice. He also has business interests and experience in negotiating exclusive distribution rights for internationally recognized medical lasers into the Australian market. Dr. Parmakellis introduced Laser Hair removal into the Australian market in 1996 and founded Lookfresh Cosmetic Medicine in 2009. In September 2017, Dr. Parmakellis founded SkinLift Ultherapy which offers Ultherapy, a non-surgical face lift. Dr. Parmakellis holds a MBBS from the University of Sydney. Dr. Parmakellis is a fellow of the Royal Australian College of General Practitioners (FRACGP) and a fellow of the Cosmetic Physicians College Australasia (FCPCA). He also trains and educates Australian Registered Medical Practitioners in the Cosmetic Medical Field.</t>
  </si>
  <si>
    <t>94902-85P</t>
  </si>
  <si>
    <t>Tony Mok MD</t>
  </si>
  <si>
    <t>Genprex (Former)</t>
  </si>
  <si>
    <t>Mok</t>
  </si>
  <si>
    <t>www.genprex.com</t>
  </si>
  <si>
    <t>Dr. Tony Mok served as Board Member at Genprex. Tony S.K. Mok, BMSc, MD, FRCPC, FHKCP, FHKAM (Medicine), is a professor in the Department of Clinical Oncology at the Chinese University of Hong Kong in Prince of Wales Hospital in Hong Kong. Dr. Mok formerly served as President of the International Association for the Study of Lung Cancer (IASLC), Vice-Secretary General of the Chinese Society of Clinical Oncology (CSCO), and Co-Founder of the Lung Cancer Research Group, a multicenter organization serving the Asian-Pacific region.</t>
  </si>
  <si>
    <t>203412-25P</t>
  </si>
  <si>
    <t>Uri Clinton</t>
  </si>
  <si>
    <t>Boyd Gaming</t>
  </si>
  <si>
    <t>Clinton</t>
  </si>
  <si>
    <t>Uri</t>
  </si>
  <si>
    <t>www.boydgaming.com</t>
  </si>
  <si>
    <t>+1 (702) 792-7200</t>
  </si>
  <si>
    <t>uriclinton@boydgaming.com</t>
  </si>
  <si>
    <t>Las Vegas, NV</t>
  </si>
  <si>
    <t>6465 South Rainbow Boulevard</t>
  </si>
  <si>
    <t>Las Vegas</t>
  </si>
  <si>
    <t>Nevada</t>
  </si>
  <si>
    <t>89118</t>
  </si>
  <si>
    <t>Mr. Uri Clinton serves as Executive Vice President, General Counsel &amp; Corporate Secretary at Boyd Gaming. He served as President &amp; Chief Operating Officer, Empire City Casino at Yonkers Raceway. He oversees Boyd Gaming's Legal, Corporate Governance, and Regulatory Compliance functions. With nearly 20 years of experience in the gaming industry, he has an extensive background in leading both law departments and property operations, having served as President and Chief Operating Officer of a major East Coast casino, as well as General Counsel for a gaming equipment supplier and international holding company. He joined Boyd Gaming as General Counsel in 2021.</t>
  </si>
  <si>
    <t>128366-65P</t>
  </si>
  <si>
    <t>V. Sardo</t>
  </si>
  <si>
    <t>Currency Exchange International</t>
  </si>
  <si>
    <t>Sardo</t>
  </si>
  <si>
    <t>V.</t>
  </si>
  <si>
    <t>+1 (407) 240-0224</t>
  </si>
  <si>
    <t>Orlando, FL</t>
  </si>
  <si>
    <t>6675 Westwood Boulevard</t>
  </si>
  <si>
    <t>Orlando</t>
  </si>
  <si>
    <t>32821</t>
  </si>
  <si>
    <t>Mr. V. James Sardo serves as Board Member at Currency Exchange International. From 2004 to 2005, Mr. Sardo served as interim Chief Executive Officer and a director of Royal Group Technologies. He was formerly President, of Canadian Operations of Moore Corporation Limited; President and Chief Executive Officer of SMK Speedy International Inc; Chief Executive Officer of SNE Corporation; and CEO and Director of Amre Inc. He serves as Chairman and a director at Capstone Infrastructure. He is also the former Chairman and Chief Executive Officer of Firestone Canada Inc and the President of Firestone Industrial Products Company. He is a member of the Institute of Corporate Directors and holds the ICD.D designation.</t>
  </si>
  <si>
    <t>322712-83P</t>
  </si>
  <si>
    <t>Vasit Kanjanahuttakit</t>
  </si>
  <si>
    <t>Bluebik Group</t>
  </si>
  <si>
    <t>Kanjanahuttakit</t>
  </si>
  <si>
    <t>Vasit</t>
  </si>
  <si>
    <t>www.bluebik.com</t>
  </si>
  <si>
    <t>+66 (0)2 6367011</t>
  </si>
  <si>
    <t>Rajanagarindra Road Silom</t>
  </si>
  <si>
    <t>Arayasub building silom 51 Naradhiwas, Bangrak</t>
  </si>
  <si>
    <t>Mr. Vasit Kanjanahuttakit, Independent Director. Professional Experiences in the 5 Preceding Years Positions in Listed Company: 2020 - Present Chairman of the Audit Committee / Director / The Risk Policy Committee Member / The Nomination and Remuneration Committee Member / Independent Director Bluebik Group Public Company Limited Strategic and digital technology consulting services for various business sector and other related businesses; 2018 - Present Deputy Managing Director Srisawad Finance Public Company Limited A finance business by providing deposit services, commercial lending, project finance, consumer loan such as car for cash and home for cash, and debenture holder representative; 2015 - 2017 Deputy Managing Director Srisawad Corporation Public Company Limited Microfinance services under the name Sri Sawat Ngein Tanjai. Positions in Other Organizations / Institutes / Businesses (Non-Listed Company): 2018 - Present Director Srisawad Power 2014 Company Limited Providing services in auditing, tracking and expediting debt and providing collateral loans for houses and land, townhouses and condominiums, and all types of vehicles; 2016 - Present Director Srisawad International Holding Company Limited A holding company that invests local and global businesses and 2015 - Present Director Srisawad Vietnam LLC Providing loans with collaterals.</t>
  </si>
  <si>
    <t>217604-89P</t>
  </si>
  <si>
    <t>Vuyo Kahla</t>
  </si>
  <si>
    <t>Sasol</t>
  </si>
  <si>
    <t>Kahla</t>
  </si>
  <si>
    <t>Vuyo</t>
  </si>
  <si>
    <t>www.sasol.com</t>
  </si>
  <si>
    <t>Executive Director, EVP Sustainability, Strategy and Integrated Services</t>
  </si>
  <si>
    <t>+27 (0)10 344 5000</t>
  </si>
  <si>
    <t>Johannesburg, South Africa</t>
  </si>
  <si>
    <t>50 Katherine Street</t>
  </si>
  <si>
    <t>Sandton</t>
  </si>
  <si>
    <t>2196</t>
  </si>
  <si>
    <t>Mr. Vuyo Kahla serves as Executive Director, EVP Sustainability, Strategy and Integrated Services at Sasol. He has been our Group Executive Advisory and Assurance since 1 January 2011 and became our Executive Vice President, Advisory and Assurance on 1 July 2014. He was appointed Company Secretary on 14 March 2011. He is responsible for the governance, compliance and ethics; legal, intellectual property and regulatory services; and assurance services (incorporating the internal audit and forensic services functions). From June 2004 to December 2006, he was Group Executive, Legal and Risk at Transnet SOC Limited and from January 2007 to November 2010, he was Group Executive, Office of the Group Chief Executive, with executive responsibility for legal services, risk management, compliance, company secretarial services, strategy and business modelling, corporate and public affairs and public policy and regulation. The World Economic Forum has recognised him as a Young Global Leader and he is an alumnus of the Prince of Wales University of Cambridge Programme on Sustainability Leadership. He is a member of the Audit Committee of the South African Revenue Service. In March 2014, Mr Kahla was elected Chairman of the Council of Rhodes University. He obtained a Bachelor of Arts (Law) degree and a postgraduate Bachelor of Law degree from Rhodes University, South Africa in 1994 and 1996, respectively.</t>
  </si>
  <si>
    <t>175416-85P</t>
  </si>
  <si>
    <t>Waleed Al Sayed</t>
  </si>
  <si>
    <t>Ooredoo</t>
  </si>
  <si>
    <t>Waleed</t>
  </si>
  <si>
    <t>www.ooredoo.qa</t>
  </si>
  <si>
    <t>Co-Chief Operating Officer</t>
  </si>
  <si>
    <t>+974 44400400</t>
  </si>
  <si>
    <t>walsayed@ooredoo.qa</t>
  </si>
  <si>
    <t>PO Box 217</t>
  </si>
  <si>
    <t>+974 44476231</t>
  </si>
  <si>
    <t>Mr. Waleed Al Sayed serves as Co-Chief Operating Officer at Ooredoo. Through his managerial and board duties at Ooredoo Group companies, Waleed has developed extensive experience in the information and technology sector, both in Qatar and the wider region. He was previously Chief Operating Officer of Ooredoo Qatar and currently serves as Chairman of the Board of Ooredoo Tunisia; Chairman of the Board of Ooredoo subsidiary STARLINK - Qatar; and as Board Member of MEEZA (a technology joint venture between Ooredoo and Qatar Foundation). Waleed was previously Deputy Chairman of Ooredoo Algeria. He was also the Chairman of the Qatar Handball Team and a member of Ooredoo's Football team. He holds an Executive Masters in Business Administration from HEC Paris with full honours. Waleed joined Ooredoo Group in 1987 and has held managerial positions in Sales, Marketing, Business Development, Strategy, Project Management, Communications and Customer Service. He was appointed as Executive Director of Group Communications in 2003. In this strategic role, Waleed was instrumental in putting a company-wide business plan in place with a clear strategy to significantly improve the organization's corporate image as well strengthening the company's international and community relations standing. He also developed and delivered several Corporate Social Responsibility (CSR) initiatives that have positioned Ooredoo among the leading CSR supporters in the country. During this period, he was also instrumental in carrying out several successful campaigns resulting in Ooredoo (then called Qtel) winning many internationally recognised industry awards. Waleed was appointed Executive Director - Customer Services in 2006 to establish a greatly enhanced and improved customer experience. During an important time following the liberalisation of Qatar's telecoms market and the introduction of competition, he led the transformation of the company's Customer Service Centres to become more retail sales and customer-oriented, with the aim of engaging with and getting closer to its customers. The new retail shop designs went on to win a worldwide award for the "Best Retail Shop Design" in 2009. His early achievements in this position were followed in 2010 by additional accolades and success, as Ooredoo won the highest number of honours at the "Contact Centre World Awards" held in the United Kingdom, where Waleed's presentation won the Gold Award for Best Customer Service in the MENA (Middle East &amp; North Africa) region. In 2011, Waleed was appointed as Chief Operating Officer of Ooredoo Qatar. During a period of heightened competition, he led the business to continued growth, increased customer-centricity and a more dynamic business culture.</t>
  </si>
  <si>
    <t>241406-47P</t>
  </si>
  <si>
    <t>Waqar Malik</t>
  </si>
  <si>
    <t>Fauji Fertilizer Company</t>
  </si>
  <si>
    <t>Waqar</t>
  </si>
  <si>
    <t>www.ffc.com.pk</t>
  </si>
  <si>
    <t>+92 (0)51 8450001</t>
  </si>
  <si>
    <t>Rawalpindi, Pakistan</t>
  </si>
  <si>
    <t>156-The Mall</t>
  </si>
  <si>
    <t>Rawalpindi</t>
  </si>
  <si>
    <t>Punjab</t>
  </si>
  <si>
    <t>46000</t>
  </si>
  <si>
    <t>Pakistan</t>
  </si>
  <si>
    <t>+92 (0)51 8459925</t>
  </si>
  <si>
    <t>Mr Waqar Ahmed Malik is the Managing Director and Chief Executive Officer of Fauji Foundation. He serves as Chairman of the Board at Fauji Fertilizer Company Limited. He is also serving as Chairman on the Boards of following Fauji Group companies: Askari Bank Limited, Askari Cement Limited, Daharki Power Holdings Limited, Fauji Akbar Portia Marine Terminal Limited, Fauji Cement Company Limited, Fauji Fertilizer Bin Qasim Limited, Fauji Fresh n Freeze Limited, Fauji Infraavest Foods Limited, Fauji Kabir Wala Power Company Limited, Fauji Oil Terminal and Distribution Company Limited, Fauji Trans Terminal Limited, FFBL Power Company Limited, FFC Energy Limited, Foundation Power Company Dahrki Limited, Foundation Solar Energy (Private) Limited, Foundation Wind Energy-I Limited, Foundation Wind Energy-II Limited, Mari Petroleum Company Limited, Mr. Malik is also Chairman of Pakistan Oxygen Limited (formally Linde Pakistan, a subsidiary of Linde AG) acquired by Adira Capital Holdings (Private) that he cofounded. Earlier, he also served on the boards of Engro Corporation Limited, Engro Polymer and Chemicals Limited, PPL, Standard Chartered Bank Pakistan Limited, TPL Insurance Limited and Lahore University of Management Science. He has also been part of Pakistan Institute of Corporate Governance as visiting faculty. His career with The ICI Plc Group based in the UK spanned over 27 years and later with Akzo Nobel N.V. based in The Netherlands. He has worked in Europe and Americas in Corporate Finance and Strategy Departments. He has been playing an instrumental role in development of Pakistan's Regulatory System as well as for the advocacy to undertake economic reforms, as; Director for State Bank of Pakistan and Pakistan Business Council (PBC), and President for Overseas Chamber of Commerce &amp; Industry (OICCI) and Management Association of Pakistan (MAP). Mr Malik is a fellow of the Institute of Chartered Accountants in England and Wales and an alumnus of the Harvard Business School and INSEAD. He participates actively in social and philanthropic activities through I-Care Foundation, as a Trustee, and contributes to improve the quality of life of underprivileged by enhancing the level of philanthropic support. He was awarded Prince of Wales Medal as a Trustee of the Prince of Wales Pakistan Recovery for the Flood Victims in 2010.</t>
  </si>
  <si>
    <t>389858-95P</t>
  </si>
  <si>
    <t>Wei-Chang Chen</t>
  </si>
  <si>
    <t>Acbel Polytech</t>
  </si>
  <si>
    <t>Wei-Chang</t>
  </si>
  <si>
    <t>www.acbel.com</t>
  </si>
  <si>
    <t>+886 (0)22 6217672</t>
  </si>
  <si>
    <t>wei-chang@calcomp.co.th</t>
  </si>
  <si>
    <t>Taipei, Taiwan</t>
  </si>
  <si>
    <t>No. 159, Sec. 3, Danjin Road</t>
  </si>
  <si>
    <t>Tanshui District, New Taipei City</t>
  </si>
  <si>
    <t>Taipei</t>
  </si>
  <si>
    <t>251</t>
  </si>
  <si>
    <t>+886 (0)22 6234156</t>
  </si>
  <si>
    <t>Mr. Wei-Chang Chen, Director. Major Experience (Education Background): Department of Electronics Engineering, Ocean College President, Kinpo Electronics Senior Vice President, Compal Electronics. Position(s) Held Concurrently in the Company and/or in Any Other Company: Chairman of Cal Comp (Malaysia) SDN. BHD., Cal-Comp Electronics de Mexico Co. S.A. de C.V., Cal-Comp Precision (Philippines), Inc., Cal-Comp Technology (Philippines), Inc., Kinpo Electronics (Philippines), Inc., XYZLife (Philippines) Inc., ICKP (Beijing) Technology Development Co., Ltd., Kunshan Peifeng Network Co., Ltd., Dongguan Kaibao Electronic Co., Ltd., Cal-Comp Optoelectronics (Yueyang) Co., Ltd., Cal-Comp Optoelectronics (Suzhou) Co., Ltd., Cal-Comp Technology (Suzhou) Co., Ltd., Cal-Comp Electronics &amp; Communications (Suzhou) Co., Ltd., Cal-Comp Precision (Dongguan) Co., Ltd., Cal-Comp Precision (Yueyang) Co., Ltd., New Era AI Robotic Inc., Kinpo Asset Management Co., Ltd., iHELPER Inc., Cal-Comp Big Data, Inc. Vice-Chairman of PChome (Thailand) Co.,Ltd. Director of Ascendant Private Equity Investment Ltd., Cal-Comp Big Data International Ltd., Cal-Comp Electronics (USA) Co., Ltd., Cal-Comp Electronics de Mexico Co. S.A. de C.V., Cal-Comp Holding (Brasil) S.A., Cal-comp Industria De Semicondutores S.A., Cal-Comp Precision (Malaysia) SDN. BHD., Cal-Comp Precision (Singapore) Limited, Cal-Comp USA (San Diego), Inc., Castlenet Technology (BVI) Inc., Kinpo International (Singapore) Pte. Ltd., Kinpo International Ltd., Logistar International Holding Company Limited, QBit Semiconductor Holding, Ltd., Shennona Corporation, XYZprinting Netherlands, B.V., HippoScreen Neurotech Corp., Kinpo Group Management Service Company, Kinpo Electronics (China) Co., Ltd., Kinpo Electronics, Inc., Cal-Comp Electronics (Thailand) Public Company Limited, Cal-Comp Electronics &amp; Communications Co., Ltd., Cal-Comp Precision Holdings Co., Ltd., Qbit Semiconductor Ltd., NKG Advanced Intelligence &amp; Technology Development (Yueyang) Co., Ltd. President of Cal-Comp Electronics (USA) Co., Ltd., Cal-Comp Semiconductor, Ltd., Cal-Comp USA (San Diego), Inc., Kinpo Electronics (China) Co., Ltd., Kinpo Electronics, Inc., Cal-Comp Optoelectronics (Yueyang) Co., Ltd., Cal-Comp Optoelectronics (Suzhou) Co., Ltd., CalComp Electronics &amp; Communications Co., Ltd. Others: Convener of the Sustainable Development Committee of Kinpo Electronics, Inc., Member of the Risk Management Committee of Kinpo Electronics, Inc.</t>
  </si>
  <si>
    <t>267480-64P</t>
  </si>
  <si>
    <t>William Sheffield</t>
  </si>
  <si>
    <t>Hydro One Networks (Former)</t>
  </si>
  <si>
    <t>Sheffield</t>
  </si>
  <si>
    <t>www.hydroone.com</t>
  </si>
  <si>
    <t>Mr. William Sheffield serves as Board Member, Member of Governance &amp; Regulatory Committee &amp; Member of Indigenous Peoples, Safety &amp; Operations Committee at Hydro One Networks. Mr. Sheffield has sat on the board of Houston Wire &amp; Cable Company since 2006, and sits on the board of Velan Inc. Previous directorships include Canada Post Corporation, Ontario Power Generation, Corby Distilleries, Royal Group Technologies and SHAD. In addition to having served on the boards of a number of public companies, Mr. Sheffield is also a member of several advisory and not-for-profit boards.</t>
  </si>
  <si>
    <t>136886-32P</t>
  </si>
  <si>
    <t>Yarlagadda Choudhary</t>
  </si>
  <si>
    <t>+1 (201) 864-6454</t>
  </si>
  <si>
    <t>Mr. Yarlagadda Choudhary served as Chief Operating Officer at Chimera Investment.</t>
  </si>
  <si>
    <t>254069-83P</t>
  </si>
  <si>
    <t>John Lelliott</t>
  </si>
  <si>
    <t>Environment Agency Pension Fund</t>
  </si>
  <si>
    <t>Public Pension Fund</t>
  </si>
  <si>
    <t>Lelliott</t>
  </si>
  <si>
    <t>www.eapf.org.uk</t>
  </si>
  <si>
    <t>+44 (0)80 0121 6593</t>
  </si>
  <si>
    <t>Darlington, United Kingdom</t>
  </si>
  <si>
    <t>11b Lingfield Point</t>
  </si>
  <si>
    <t>Darlington</t>
  </si>
  <si>
    <t>DL1 1AX</t>
  </si>
  <si>
    <t>Mr. John Lelliott serves as Board Member at Environment Agency Pension Fund. He is also a member of the Flood and Coastal Risk Management Committee and is the Area Board member for East Midlands. John is currently a Board Member of the Covent Garden Market Authority where he chairs the Audit and Risk Committee. He is also Chair of the Natural Capital Coalition and Non-Executive of the Royal Bournemouth and Christchurch Hospital Foundation Trust where he chairs the Finance Committee and is a member of the Audit Committee. He is a member of H.R.M the Prince of Wales AHS Advisory Council and is also a chair of the A.C.C.A. Global Forum of Sustainability.</t>
  </si>
  <si>
    <t>64589-14P</t>
  </si>
  <si>
    <t>Stefan Cowell</t>
  </si>
  <si>
    <t>Nova Scotia Health Employees' Pension Plan</t>
  </si>
  <si>
    <t>Cowell</t>
  </si>
  <si>
    <t>www.nshepp.ca</t>
  </si>
  <si>
    <t>+1 (902) 518-0350</t>
  </si>
  <si>
    <t>stefan.cowell@nshepp.ca</t>
  </si>
  <si>
    <t>Dartmouth, Canada</t>
  </si>
  <si>
    <t>99 Wyse Road</t>
  </si>
  <si>
    <t>Suite 1600</t>
  </si>
  <si>
    <t>Dartmouth</t>
  </si>
  <si>
    <t>B3A 4S5</t>
  </si>
  <si>
    <t>+1 (902) 832-8506</t>
  </si>
  <si>
    <t>Mr. Stefan Cowell serves as Chief Executive Officer at Nova Scotia Health Employees' Pension Plan. He previously served as Head of Asset Management at Qatar Foundation Endowment.</t>
  </si>
  <si>
    <t>377790-40P</t>
  </si>
  <si>
    <t>Abdulla Binhabtoor</t>
  </si>
  <si>
    <t>Shamal Holding</t>
  </si>
  <si>
    <t>Real Estate</t>
  </si>
  <si>
    <t>Binhabtoor</t>
  </si>
  <si>
    <t>Abdulla</t>
  </si>
  <si>
    <t>www.shamal.com</t>
  </si>
  <si>
    <t>Sheikh Mohammed bin Rashid Boulevard</t>
  </si>
  <si>
    <t>Level 117, Burj Khalifa</t>
  </si>
  <si>
    <t>Mr. Abdulla Binhabtoor serves as Chief Executive Officer at Shamal Holding.</t>
  </si>
  <si>
    <t>121279-96P</t>
  </si>
  <si>
    <t>Abdullah Al Huraiz</t>
  </si>
  <si>
    <t>Zabeel Investments (Former)</t>
  </si>
  <si>
    <t>Al Huraiz</t>
  </si>
  <si>
    <t>Abdullah</t>
  </si>
  <si>
    <t>www.zabeel-investments.com</t>
  </si>
  <si>
    <t>Mr. Abdullah Al Huraiz serves as Board Member at Zabeel Investments.</t>
  </si>
  <si>
    <t>148529-53P</t>
  </si>
  <si>
    <t>André Yché</t>
  </si>
  <si>
    <t>CDC Habitat</t>
  </si>
  <si>
    <t>Yché</t>
  </si>
  <si>
    <t>groupe-cdc-habitat.com</t>
  </si>
  <si>
    <t>Chairman of the Supervisory Board</t>
  </si>
  <si>
    <t>+33 (0)4 91 04 95 53</t>
  </si>
  <si>
    <t>Marseille, France</t>
  </si>
  <si>
    <t>6, Place du 4 Septembre</t>
  </si>
  <si>
    <t>Marseille</t>
  </si>
  <si>
    <t>70025</t>
  </si>
  <si>
    <t>+33 (0)4 95 09 66 90</t>
  </si>
  <si>
    <t>Mr. André Yché serves as Chairman of the Supervisory Board at CDC Habitat. Mr. André Yché serves as Chairman at Groupe SNI. Former military pilot graduated from the Air Force Academy and the US Air Force Academy of Colorado Springs, André Yché is Controller General of the Armed Forces. A graduate in law and public administration, he graduated from the Institute of Business Administration and laureate of the Institute of Political Studies of Paris. Delegate for restructuring of the Ministry of Defense, then Secretary General for Regional Affairs of Aquitaine, he was deputy director of the civil and military cabinet of Alain Richard, Minister of Defense. He has been leading the SNI since 1999.</t>
  </si>
  <si>
    <t>236149-75P</t>
  </si>
  <si>
    <t>Christian Windfuhr</t>
  </si>
  <si>
    <t>Grand City Properties</t>
  </si>
  <si>
    <t>Windfuhr</t>
  </si>
  <si>
    <t>www.grandcityproperties.com</t>
  </si>
  <si>
    <t>+352 28 77 87 86</t>
  </si>
  <si>
    <t>37, Boulevard Joseph II</t>
  </si>
  <si>
    <t>1840</t>
  </si>
  <si>
    <t>Christian Windfuhr, Chairman. On 24 September 2020 the Board of Directors of the Company resolved that effective as of 1 October 2020, Mr. Christian Windfuhr withdraw from his position as the CEO in order to become as a member and Chairman of the Board of Directors. Before joining Grand City Mr. Windfuhr served as CEO of Maritim Hotels with 40 hotels inside and outside Germany. Prior to this he served as CEO of Movenpick hotels, where he achieved the financial turnaround of the company, drove international expansion, publicly listed the company, and worked out a strategic partnership with Kingdom Holding (HRH Prince Alwaleed) and JP Morgan. He also served as Director of TUI, Europe's largest tour operator. He served in high positions in Holiday Inn, Kempinski, and Southern Sun. Mr. Windfuhr graduated at Cornell University, USA.</t>
  </si>
  <si>
    <t>428570-38P</t>
  </si>
  <si>
    <t>Elliot Neumann</t>
  </si>
  <si>
    <t>Inspired Healthcare Capital</t>
  </si>
  <si>
    <t>Neumann</t>
  </si>
  <si>
    <t>Elliot</t>
  </si>
  <si>
    <t>www.ihcfunds.com</t>
  </si>
  <si>
    <t>+1 (855) 298-2988</t>
  </si>
  <si>
    <t>elliot.neumann@ihcfunds.com</t>
  </si>
  <si>
    <t>7047 East Greenway Parkway</t>
  </si>
  <si>
    <t>Mr. Elliot Neumann serves as Co-Chief Operating Officer at Inspired Healthcare Capital. Prior to IHC, He was the Chief Investment Officer with a Midwest real estate owner operator. In this role, he restructured investment strategy, process, and management for an emerging company. He was responsible for sourcing, underwriting, and managing multifaceted real estate investments in a changing market. He spent 10+ years in the Chief Operating Officer role at Acuity Capital Partners, a New York City-based portfolio of diverse real estate holdings totaling over $1 billion in equity. In this capacity, he designed real estate operating systems and strategy, completed over $2 billion of financings, and he oversaw the acquisition of $500 million of assets while bringing industry standards to an evolving portfolio.</t>
  </si>
  <si>
    <t>121280-23P</t>
  </si>
  <si>
    <t>Hani Al Hamli</t>
  </si>
  <si>
    <t>Al Hamli</t>
  </si>
  <si>
    <t>Hani</t>
  </si>
  <si>
    <t>Mr. Hani Al Hamli served as Board Member at Zabeel Investments.</t>
  </si>
  <si>
    <t>153989-65P</t>
  </si>
  <si>
    <t>Hawary Marshad</t>
  </si>
  <si>
    <t>Marshad</t>
  </si>
  <si>
    <t>Hawary</t>
  </si>
  <si>
    <t>Mr. Hawary Marshad served as Board Member at Zabeel Investments. He brings diversified finance experience, with a strong cross-functional corporate and entrepreneurial background in both public accounting and industry. Prior to joining Zabeel Investments he was the Chief Financial Officer for AMS Baeshen &amp; Co - a family led group in the Kingdom of Saudi Arabia, having earlier spent 11 years as Executive Manager for Audit and Assurance at Ernst &amp; Young Dubai.</t>
  </si>
  <si>
    <t>148531-69P</t>
  </si>
  <si>
    <t>Henri Guillaume</t>
  </si>
  <si>
    <t>CDC Habitat (Former)</t>
  </si>
  <si>
    <t>Guillaume</t>
  </si>
  <si>
    <t>Henri</t>
  </si>
  <si>
    <t>Mr. Henri Guillaume served as Chairman of Audit Committee at Groupe SNI.</t>
  </si>
  <si>
    <t>294468-94P</t>
  </si>
  <si>
    <t>Hugh Seaborne</t>
  </si>
  <si>
    <t>LXi REIT</t>
  </si>
  <si>
    <t>Seaborne</t>
  </si>
  <si>
    <t>www.lxireit.com</t>
  </si>
  <si>
    <t>5 Old Bailey</t>
  </si>
  <si>
    <t>EC4M 7BA</t>
  </si>
  <si>
    <t>Mr. Hugh Seaborne served as Board Member at LXi REIT. Mr. Seaborne brings over 35 years of real estate experience. He spent 13 years as a non-executive at TR Property Investment Trust plc, including four years as Chair, and is currently the CEO of Cadogan. He founded and chairs two Business improvement Districts, The Knightsbridge Partnership and The King's Road Partnership, and is Chair of the Knightsbridge Business Group. Previously, he was CEO of The Portman Estate and prior to that Director and Head of Investment Management at CBRE. Formerly, Hugh has been a member of the Council of the Duchy of Lancaster, Chair of the Westminster Property Association, Chair of the Estates Business Group, and a member of the Property Advisory Committee for the Natural History Museum. He is a Chartered Surveyor.</t>
  </si>
  <si>
    <t>163538-65P</t>
  </si>
  <si>
    <t>Jack DeCicco</t>
  </si>
  <si>
    <t>CYS Investments (Former)</t>
  </si>
  <si>
    <t>DeCicco</t>
  </si>
  <si>
    <t>www.cysinv.com</t>
  </si>
  <si>
    <t>Chief Financial Officer &amp; Treasurer</t>
  </si>
  <si>
    <t>Mr. Jack DeCicco served as Chief Financial Officer &amp; Treasurer at CYS Investments. From May 2013 to February 2016, Mr. DeCicco served as the Chief Financial Officer of Annaly Commercial Real Estate Group, Inc., the commercial real estate business of Annaly Capital Management, Inc. ( Annaly ), which was previously CreXus Investment Corp. ( CreXus ), where Mr. DeCicco was appointed as Chief Financial Officer in April 2013. He was most recently appointed to serve as Chief Accounting Officer of Annaly effective December 2015. In addition, Mr. DeCicco served as the Chief Financial Officer and Secretary of Annaly s wholly-owned captive insurance company since its inception in January 2014. From March 2012 until April 2013, Mr. DeCicco served as the Chief Accounting Officer of CreXus and Chimera Investment Corporation. From September 2002 to March 2012, Mr. DeCicco served in various roles of increasing responsibility within Ernst &amp; Young LLP s New York office Assurance practice. Most recently at Ernst &amp; Young LLP, Mr. DeCicco was a Senior Manager where he served in a dual capacity role as both a financial statement auditor, serving publicly traded companies (primarily mortgage REITs) and private companies, and as the technical accounting subject matter resident in Ernst &amp; Young LLP s Global Real Estate Center. Mr. DeCicco is a Certified Public Accountant and holds a B.S. degree from The Pennsylvania State University.</t>
  </si>
  <si>
    <t>327713-77P</t>
  </si>
  <si>
    <t>Jamal Al Falasi</t>
  </si>
  <si>
    <t>Al Falasi</t>
  </si>
  <si>
    <t>Mr. Jamal Al Falasi serves as Director at Shamal Holding.</t>
  </si>
  <si>
    <t>142960-60P</t>
  </si>
  <si>
    <t>Jbran Rahal</t>
  </si>
  <si>
    <t>Jbran</t>
  </si>
  <si>
    <t>Mr. Jbran Rahal served as Board Member at Zabeel Investments. As Managing Director of Zabeel Capital Jbran is responsible for the growth and diversification of Zabeel's current US$ 1 billion investment portfolio. He will oversee a dynamic approach to investment, through which the company will embark on partnerships that fit within the company strategy. The aim is that Zabeel Capital evolves in to a full-service investment house, with a steadfast focus on global best practice and sustainable profitability.</t>
  </si>
  <si>
    <t>148528-90P</t>
  </si>
  <si>
    <t>Jean-Pierre Balligand</t>
  </si>
  <si>
    <t>Balligand</t>
  </si>
  <si>
    <t>Jean-Pierre</t>
  </si>
  <si>
    <t>Vice-Chairman of the Supervisory Board</t>
  </si>
  <si>
    <t>Mr. Jean-Pierre Balligand serves as Vice-Chairman of the Supervisory Board at Groupe SNI.</t>
  </si>
  <si>
    <t>151646-23P</t>
  </si>
  <si>
    <t>GxP German Properties (Former)</t>
  </si>
  <si>
    <t>www.gxpag.com</t>
  </si>
  <si>
    <t>Mr. Johannes Meran served as Chief Executive Officer at GxP German Properties. He was a Senior Consultant with Roland Berger &amp; Partners from 1996 to 1999, before he moved to the investment banking division at Goldman Sachs &amp; Co. He then transferred his investment experience to the private equity company Cognetas LLP in London, England, where he oversaw numerous acquisitions and, as a member of the board of several portfolio companies, he advised a range on their investment and value creation strategies. In 2009, he co-founded Petrus Advisers LLP, a London-based investment company, for whom he acted as partner until early 2012. During his time with Petrus Advisers he successfully raised around €210 million for private equity transactions. In 2010, Petrus Advisers acquired a 25 percent share of conwert Immobilien Invest SE, a Viennese stock market corporation, before selling its stake to the Haselsteiner Family Foundation in 2012. Petrus Advisers Hedge Fund raised almost €60 million in equity capital between 2009 and 2012. He was the representative of Petrus Advisers on the board of conwert Immobilien Invest SE and acts as executive Chairman of conwert's Executive Board from 2010 until 2014. Thanks to his wide-reaching restructuring programme, he developed the company into one of the leading real estate stock market corporations in the German-speaking region. During his time with the company, Conwert sold real estate with a combined value of almost €1 billion and added around €600 million of property to its portfolio. Following the successful acquisition of KWG Kommunale Wohnen AG, he was appointed to KWG AG's Supervisory Board. At the same time he was also a member of Eco Business Immobilien AG's Supervisory Board and successfully drove the streamlining of the office and retail portfolio of this international real estate company. In 2014, he founded Equity Partner GmbH. The company provides M&amp;A and investment advisory services. The company successfully raised approximately €800 million of equity capital for a variety of German real estate portfolio acquisitions. He is also a shareholder in GxP Asset Management.</t>
  </si>
  <si>
    <t>148531-15P</t>
  </si>
  <si>
    <t>Manuel Flam</t>
  </si>
  <si>
    <t>Flam</t>
  </si>
  <si>
    <t>Manuel</t>
  </si>
  <si>
    <t>Member of the Executive Board &amp; Chief Executive Officer</t>
  </si>
  <si>
    <t>Mr. Manuel Flam serves as Member of the Executive Board &amp; Chief Executive Officer at Groupe SNI. Graduate of ESSEC (2002), Sciences-Po Paris (2004) and alumnus of the National School of Administration (promotion Simone Veil), Manuel Flam, 37, is, since July 2013, General Manager of the group SNI, in charge of social housing, and member of the Group's Management Board. Responsible for leading the implementation of the social recovery plan in the HLM subsidiaries of the SNI group, he is also, since January 2015, Chairman of the Management Board of Grand Paris Habitat, the GIE which brings together the development and management teams of work of SNI group subsidiaries in Île-de-France.</t>
  </si>
  <si>
    <t>181280-80P</t>
  </si>
  <si>
    <t>Marco Comensoli</t>
  </si>
  <si>
    <t>Colliers International</t>
  </si>
  <si>
    <t>Comensoli</t>
  </si>
  <si>
    <t>Marco</t>
  </si>
  <si>
    <t>www.colliers.com</t>
  </si>
  <si>
    <t>Head of Hotels and Leisure, Italy</t>
  </si>
  <si>
    <t>+39 02 6716 0201</t>
  </si>
  <si>
    <t>marco.comensoli@colliers.com</t>
  </si>
  <si>
    <t>Via Durini, 4</t>
  </si>
  <si>
    <t>Mr. Marco Comensoli serves as Head of Hotels and Leisure, Italy at Colliers International. Since one year, Marco Comensoli is heading Hotels &amp; Leisure at Colliers International in Italy. Using his international experience, Marco helps investors in improving the performance of their hotels portfolio and searching (and creating) new hospitality opportunities. In his previous roles in Italy, he was the Country Director for Luxury Hotel Partners Ltd, a company specialised in luxury hotel consulting and earlier Senior Hospitality Consultant for Advisor Hotels &amp; Tourism working with a number of high profile, international luxury hotel companies and independent properties. In Dubai, as Group Development Director for the hospitality division of Zabeel Investments, he was in charge of expanding the group's portfolio. A graduate of the Glion Hotel School in Switzerland, Marco has worked operationally at a number of international properties including the Boca Raton Resort and Club in the US and Hotel Saratz in Switzerland.</t>
  </si>
  <si>
    <t>148532-68P</t>
  </si>
  <si>
    <t>Marianne Laurent</t>
  </si>
  <si>
    <t>Marianne</t>
  </si>
  <si>
    <t>Deputy Director General, Group Finance</t>
  </si>
  <si>
    <t>Ms. Marianne Laurent served as Deputy Director General, Group Finance at Groupe SNI.</t>
  </si>
  <si>
    <t>442266-31P</t>
  </si>
  <si>
    <t>Mark Younger</t>
  </si>
  <si>
    <t>YardNine</t>
  </si>
  <si>
    <t>Younger</t>
  </si>
  <si>
    <t>www.yardnine.com</t>
  </si>
  <si>
    <t>+44 (0)20 3819 3700</t>
  </si>
  <si>
    <t>mark@yardnine.com</t>
  </si>
  <si>
    <t>Berwick Works</t>
  </si>
  <si>
    <t>82A Berwick Street</t>
  </si>
  <si>
    <t>W1F 8TS</t>
  </si>
  <si>
    <t>Mr. Mark Younger serves as Director at YardNine. Prior to joining YardNine, he was a Director at Exemplar, where he spent 13 years. He previously worked at MEPC, where he specialised in the development and asset management of out-of-town office space, and British Land, where he was involved with mixed-use, office,e and distribution projects. Outside YardNine, he sits on an advisory Board to the Duchy of Lancaster.</t>
  </si>
  <si>
    <t>381710-71P</t>
  </si>
  <si>
    <t>Michael McCloskey</t>
  </si>
  <si>
    <t>FRI Investors</t>
  </si>
  <si>
    <t>McCloskey</t>
  </si>
  <si>
    <t>www.frinv.com</t>
  </si>
  <si>
    <t>+1 (561) 615-3903</t>
  </si>
  <si>
    <t>mmccloskey@frinv.com</t>
  </si>
  <si>
    <t>West Palm Beach, FL</t>
  </si>
  <si>
    <t>625 North Flagler Drive</t>
  </si>
  <si>
    <t>West Palm Beach</t>
  </si>
  <si>
    <t>33401</t>
  </si>
  <si>
    <t>Mr. Michael McCloskey serves as Chief Executive Officer &amp; Chairman at FRI Investors. He founded Florida Realty Investments, which began with the acquisition of a 32,000-square-foot office building in West Palm Beach. Since then, Florida Realty Investments expanded its holdings to over 3 million square feet of owned office and industrial space throughout the southeast United States with an aggregate value of over $500,000,000. In recognition of this expansion, it has continued its activity in markets throughout the southeast United States. A third-generation builder and developer, His family has been influential in construction and development since the 1920s, building such landmarks as the Rayburn Congressional House Office Building and RFK Stadium in Washington DC and many other government, commercial, and residential projects throughout the United States. He graduated from Georgetown University. He and his family are active contributors to a host of charitable organizations, including The Preservation Foundation of Palm Beach, Palm Beach Zoo, Norton Museum of Art, Boys &amp; Girls Club, The Benjamin School, American Cancer Society, St. Jude Medical Center, University of Notre Dame, Duke University Medical Center, The Prince of Wales Foundation, and The Venetian Heritage Society, he serves on the Advisory Board of the Caron Foundation, the nation's leading, non-profit, provider of addiction and behavioral health services. He served on the Executive Board of the Cox School of Business at Southern Methodist University where two of his children have graduated..</t>
  </si>
  <si>
    <t>241923-16P</t>
  </si>
  <si>
    <t>Mitch Harris</t>
  </si>
  <si>
    <t>Mitch</t>
  </si>
  <si>
    <t>Mr. Mitch Harris serves as Co-Chief Operating Officer at Inspired Healthcare Capital. As chief operating officer, Harris is responsible for overseeing daily operations and team growth. Prior to joining IHC, he spent more than 18 years as the president and founder of the consulting firm, Communication Mastery. Harris has more than 30 years of executive and consulting experience spanning three industries, including financial services, sports marketing, and corporate consulting and coaching.</t>
  </si>
  <si>
    <t>22586-23P</t>
  </si>
  <si>
    <t>Mohammed Ali Al Hashimi</t>
  </si>
  <si>
    <t>Ali Al Hashimi</t>
  </si>
  <si>
    <t>Mr. Mohammed Ali Al Hashimi served as Executive Chairman at Zabeel Investments. A renowned Islamic finance expert, Mohammed Ali Al Hashimi, founded Zabeel Investments in February 2006 and has been responsible for its rapid strategic expansion. Mohammed plays a hands on role in the development of the company. As a member of the Young Arab Leaders organization, Mohammed believes in youth empowerment and education, particularly early childhood development. Mohammed was named as one of 2008s Young Global Leaders, recognising his professional accomplishments, commitment to society and potential to contribute to shaping the world's future.</t>
  </si>
  <si>
    <t>247112-56P</t>
  </si>
  <si>
    <t>Ramsey Mankarious</t>
  </si>
  <si>
    <t>Cedar Capital Partners</t>
  </si>
  <si>
    <t>Mankarious</t>
  </si>
  <si>
    <t>Ramsey</t>
  </si>
  <si>
    <t>www.cedarcp.com</t>
  </si>
  <si>
    <t>+44 (0)20 7484 3560</t>
  </si>
  <si>
    <t>rmankarious@cedarcp.com</t>
  </si>
  <si>
    <t>45 Albemarle Street</t>
  </si>
  <si>
    <t>W1S 4JL</t>
  </si>
  <si>
    <t>Mr. Ramsey Mankarious is the Founder &amp; serves as Chief Executive Officer at Cedar Capital Partners. He was previously Executive VP of Acquisitions &amp; Development for Kingdom Holding where he was jointly responsible for the company's $2.5 billion hotel investment and asset management activities within Europe, the Middle East, Africa, and Asia. He developed and acquired numerous luxury hotels and was actively involved with the firm's investment in the following management companies: Four Seasons, Fairmont and Mövenpick. He was previously with HVS, a leading hotel valuation and consulting firm, in their London and New York offices. While at HVS he conducted valuation and advisory transactions in over 30 countries. He has authored numerous hotel investment articles and is a frequent lecturer. He received his MA in Property Valuation and Law from City University Business School in London and holds a BA in Hotel and Restaurant Management from Michigan State University, USA.</t>
  </si>
  <si>
    <t>441890-38P</t>
  </si>
  <si>
    <t>Russell Gestl</t>
  </si>
  <si>
    <t>Buchanan Partners</t>
  </si>
  <si>
    <t>Gestl</t>
  </si>
  <si>
    <t>Russell</t>
  </si>
  <si>
    <t>+1 (301) 417-0510</t>
  </si>
  <si>
    <t>r.gestl@buchananpartners.com</t>
  </si>
  <si>
    <t>4747 Bethesda Avenue</t>
  </si>
  <si>
    <t>Suite 650</t>
  </si>
  <si>
    <t>20814</t>
  </si>
  <si>
    <t>Mr. Russ Gestl serves as a Principal at Buchanan Partners. He currently serves on the Board of the Northern Virginia Transportation Alliance and participates with the NAIOP Government Affairs Committees for Prince William and Loudoun Counties. He is also a member of the International Council of Shopping Centers, NVBIA and MBIA. He joined Buchanan Companies in 1988 and earned a Bachelors of Architectural Engineering degree from the Pennsylvania State University.</t>
  </si>
  <si>
    <t>120918-25P</t>
  </si>
  <si>
    <t>Sarmad Zok</t>
  </si>
  <si>
    <t>Kingdom Hotels Investments</t>
  </si>
  <si>
    <t>Zok</t>
  </si>
  <si>
    <t>Sarmad</t>
  </si>
  <si>
    <t>www.kingdomhotels.com</t>
  </si>
  <si>
    <t>+971 (0)4 361 1800</t>
  </si>
  <si>
    <t>szok@kingdomhotels.com</t>
  </si>
  <si>
    <t>P.O. Box 121223</t>
  </si>
  <si>
    <t>+971 (0)4 362 0500</t>
  </si>
  <si>
    <t>Mr. Sarmad Zok serves as Chief Executive Officer at Kingdom Hotels Investments. He serves as a Board Member at Kingdom Holding Company. He as served as Board Member at Mövenpick Hotels &amp; Resorts. Mr Zok sits as a Director on the boards of Kingdom Holding Company, Four Seasons Hotels and Resorts, Accor, BlackRock Frontiers Investment Trust plc. Mr Zok has been leading KHI for over two decades during which he took the Company Public in 2006 on the Dubai International Financial Exchange and the London Stock Exchange before a successful take-private in 2010. For over two decades KHI has invested by acquiring, developing, actively asset managing and monetizing 54 hotels globally. More recently Mr Zok led the sale of Fairmont Raffles to Accor and subsequent sale of Movenpick to Accor. Mr Zok holds a Bachelor of Science in Hotel Management from the University of Surrey and a Master of Arts in Property Valuation and Law from City University Business School in London.</t>
  </si>
  <si>
    <t>106192-45P</t>
  </si>
  <si>
    <t>Sheikh Faisal Al Thani</t>
  </si>
  <si>
    <t>Al Rayyan Tourism and Investment</t>
  </si>
  <si>
    <t>www.artic.com.qa</t>
  </si>
  <si>
    <t>Mr. Sheikh Faisal Al Thani serves as Chairman &amp; Board Member at Al Rayyan Tourism and Investment. Chairman of Aamal Company Q.P.S.C. since 2001. Chairman of the Qatari Businessmen Association and a Trustee of Qatar University. Founder and Chairman of Al Faisal Without Borders Foundation. Founder and Chairman of the board of trustees of Sheikh Faisal Bin Qassim Al Thani Museum. Chairman of the Gulf Qatari Classic Cars Association. Member of the Board of Trustees at the College of Business in DePaul University in Chicago.</t>
  </si>
  <si>
    <t>375624-82P</t>
  </si>
  <si>
    <t>Srinivasan Thiagarajan</t>
  </si>
  <si>
    <t>The Royal Group.</t>
  </si>
  <si>
    <t>Thiagarajan</t>
  </si>
  <si>
    <t>Srinivasan</t>
  </si>
  <si>
    <t>royalgroup.sg</t>
  </si>
  <si>
    <t>+65 6532 5005</t>
  </si>
  <si>
    <t>sthiagarajan@royalgroup.sg</t>
  </si>
  <si>
    <t>3 Phillip Street, Level 18</t>
  </si>
  <si>
    <t>+65 6534 5005</t>
  </si>
  <si>
    <t>Mr. Srinivasan Thiagarajan serves as Chief Executive Officer at The Royal Group. Mr. Thiagarajan has been associated with the Royal group for over two decades and is adept in financial management and accounts. He has guided the group through difficult and turbulent business cycles using prudent financial and sensible management directives including the recent financial crisis in the West. He is a Chartered accountant by qualification; is also a certified associate of the Indian Institute of Bankers and has a Master's degree in Commerce from Madras University.</t>
  </si>
  <si>
    <t>148531-33P</t>
  </si>
  <si>
    <t>Vincent Mahé</t>
  </si>
  <si>
    <t>Mahé</t>
  </si>
  <si>
    <t>Mr. Vincent Mahé served as Chief Executive Officer at CDC Habitat. A graduate of the Ecole Normale Supérieure (Ulm-Sèvres) and the National School of Administration (ENA), a graduate of Trinity College (Cambridge University), Vincent Mahé has been Secretary General of SNI since 2013 and President Ampère Gestion, a subsidiary of SNI approved by the Autorité des Marchés Financiers. In this capacity, he manages the expanding fund management business on behalf of SNI, which led in 2014 to the creation of the Intermediate Housing Fund (FLI), the largest housing fund in France.</t>
  </si>
  <si>
    <t>283989-97P</t>
  </si>
  <si>
    <t>Kwai Wong</t>
  </si>
  <si>
    <t>CK Hutchison</t>
  </si>
  <si>
    <t>Real Estate Investment Company</t>
  </si>
  <si>
    <t>Wong</t>
  </si>
  <si>
    <t>Kwai</t>
  </si>
  <si>
    <t>www.ckh.com.hk</t>
  </si>
  <si>
    <t>+852 2128 1188</t>
  </si>
  <si>
    <t>2 Queens Road Central</t>
  </si>
  <si>
    <t>48th Floor, Cheung Kong Center</t>
  </si>
  <si>
    <t>+852 2128 1705</t>
  </si>
  <si>
    <t>Dr. Kwai Lam Wong, aged 71, has been an Independent Non-executive Director and a member of the Audit Committee and the Remuneration Committee of the Company since 14 May 2020. He was a member of the Nomination Committee of the Company from 14 May 2020 to 25 November 2020. Mr Wong is an Independent Non-executive Director of HPHM as trustee-manager of HPH Trust, ARA Asset Management (Prosperity) Limited as manager of Prosperity Real Estate Investment Trust, K. Wah International Holdings Limited, LHIL Manager Limited as trustee-manager of Langham Hospitality Investments and Langham Hospitality Investments Limited. He has over 30 years of experience in the commercial and investment banking industry. He worked with Merrill Lynch (Asia Pacific) Ltd. (Merrill Lynch) from May 1993 to August 2009 where he served as a Managing Director in the Asia Investment Banking Division since January 1995. He was appointed as a Senior Client Advisor to Merrill Lynch in September 2009 and served in that position for one year. Prior to joining Merrill Lynch, Mr Wong had been a Director in the Investment Banking Division of CS First Boston (Hong Kong) Limited and a Director and the Head of Primary Market in Standard Chartered Asia Limited. Mr Wong is currently Chairman of IncitAdv Consultants Limited and The Chamber of Hong Kong Listed Companies, Vice Chairman of the Board of Trustees and a member of the Investment Sub-committee of the Board of Trustees of New Asia College of the Chinese University of Hong Kong, Member of the Hospital Governing Committee of the Prince of Wales Hospital, Director of CUHK Medical Centre Limited and Chairman and a Director of Hong Kong Grand Opera Company Limited. He is a former member of the Advisory Committee and of the REIT Committee of the Securities and Futures Commission in Hong Kong. Mr Wong holds a Bachelor of Arts degree and a PhD degree.</t>
  </si>
  <si>
    <t>468682-30P</t>
  </si>
  <si>
    <t>Chendo Gonzalez</t>
  </si>
  <si>
    <t>Spectrum Search Group</t>
  </si>
  <si>
    <t>Recruiting Firm</t>
  </si>
  <si>
    <t>Chendo</t>
  </si>
  <si>
    <t>spectrumsearchgroup.com</t>
  </si>
  <si>
    <t>Co-Founder &amp; Partner</t>
  </si>
  <si>
    <t>+1 (972) 546-2250</t>
  </si>
  <si>
    <t>chendo@spectrumsearchgroup.com</t>
  </si>
  <si>
    <t>15400 Knoll Trail</t>
  </si>
  <si>
    <t>Suite 450</t>
  </si>
  <si>
    <t>75248</t>
  </si>
  <si>
    <t>Mr. Chendo Gonzalez is a Co-Founder and serves as Partner at Spectrum Search Group. With over 15 years of recruiting experience, he began his recruiting career at Accounting Solutions. In 2000, he was one of the founding partners of Southwest Search, where he began to develop his expertise in banking and finance-related positions. In 2008, he founded Gold Lion Recruiting. In recent years, he has built new groups within recruiting firms, including the Banking/Capital Markets group for SNI Financial and the Banking group for VIP Search Group. He is a native Texan and earned a Bachelor of Business Administration from Texas A&amp;M.</t>
  </si>
  <si>
    <t>171180-28P</t>
  </si>
  <si>
    <t>Kelsey Sanders</t>
  </si>
  <si>
    <t>TalenTrust</t>
  </si>
  <si>
    <t>Sanders</t>
  </si>
  <si>
    <t>Kelsey</t>
  </si>
  <si>
    <t>www.talentrust.com</t>
  </si>
  <si>
    <t>Manager</t>
  </si>
  <si>
    <t>+1 (303) 838-3334</t>
  </si>
  <si>
    <t>50 South Steele Street</t>
  </si>
  <si>
    <t>80209</t>
  </si>
  <si>
    <t>+1 (303) 675-4559</t>
  </si>
  <si>
    <t>Ms. Kelsey Sanders serves as Manager at TalenTrust. Her background is in both business development and recruiting, including roles with CoBank as a corporate recruiter, SNI Financial as a Recruiting Manager, The Academy Group as a senior executive recruiter, and Accountants as a business development manager. She has a BA in Marketing from the University of Nebraska, Lincoln, and is an avid sports fan.</t>
  </si>
  <si>
    <t>468679-60P</t>
  </si>
  <si>
    <t>Kirk Kelley</t>
  </si>
  <si>
    <t>Kelley</t>
  </si>
  <si>
    <t>Kirk</t>
  </si>
  <si>
    <t>kirk@spectrumsearchgroup.com</t>
  </si>
  <si>
    <t>Mr. Kirk Kelley is a Co-Founder and serves as Managing Partner at Spectrum Search Group. He graduated from the University of North Texas with an Accounting degree and began his career in public accounting as a Financial Auditor. He later gained hands-on accounting experience when he was hired by a large healthcare company in Dallas. Kirk joined SNI Financial and spent five and a half years focused on the accounting and finance sector. He was promoted to an Associate Partner and maintained status as a top-biller nationwide.</t>
  </si>
  <si>
    <t>162853-30P</t>
  </si>
  <si>
    <t>Philippe Palacin</t>
  </si>
  <si>
    <t>Stanton Chase</t>
  </si>
  <si>
    <t>Palacin</t>
  </si>
  <si>
    <t>Philippe</t>
  </si>
  <si>
    <t>www.stantonchase.com</t>
  </si>
  <si>
    <t>+33 (0)1 53 02 26 90</t>
  </si>
  <si>
    <t>p.palacin@stantonchase.com</t>
  </si>
  <si>
    <t>37 rue de Lyon</t>
  </si>
  <si>
    <t>75012</t>
  </si>
  <si>
    <t>Mr. Philippe Palacin serves as Managing Partner at Stanton Chase. He is a member of Stanton Chase's Consumer Products &amp; Services, Industrial, Life Sciences, and Healthcare Practice Groups and is also the Global Sector Leader of Luxury Products &amp; Services. Philippe is also a member of the CFO and Private Equity Practice Groups. Thanks to his advisory expertise (talent management, executive assessment and coaching, leadership development, and change management) and his search expertise, he specializes in working with individuals, teams, and organizations for executive positions. Before Stanton Chase, Philippe worked for 14 years in an International Executive search company as an Executive Business Consultant. He was in charge of managing the Life Science Practice worldwide. He negotiated and managed several global agreements with international companies. Before this experience, he served as CFO and General Manager for 3 subsidiaries of the seed Group Limagrain in different contexts of restructurings, business development (B to C and B to B), and business turnarounds. Philippe earned a Master's in Business Administration from the Lyon Business School (EM Lyon). An MBTI-certified practitioner, he is also a qualified user of assessment and personal development tools.</t>
  </si>
  <si>
    <t>256229-02P</t>
  </si>
  <si>
    <t>Patrick Gloor</t>
  </si>
  <si>
    <t>Montana Capital Partners</t>
  </si>
  <si>
    <t>Secondary Buyer</t>
  </si>
  <si>
    <t>Gloor</t>
  </si>
  <si>
    <t>www.montana-capital-partners.eu</t>
  </si>
  <si>
    <t>+41 (0)41 511 7950</t>
  </si>
  <si>
    <t>patrick.gloor@mcp.eu</t>
  </si>
  <si>
    <t>Baar, Switzerland</t>
  </si>
  <si>
    <t>Oberneuhofstrasse 1</t>
  </si>
  <si>
    <t>Baar</t>
  </si>
  <si>
    <t>6340</t>
  </si>
  <si>
    <t>Mr. Patrick Gloor serves as Chief Technology Officer at Montana Capital Partners. He has over 15 years of experience in the IT and Finance industry. Before joining mcp, he worked as Senior System Engineer at LGT Bank Switzerland overseeing various IT Projects. In addition, he also worked for several years as IT Engineer at Capital Dynamics and had his own consulting business. He holds a Bachelor of Science in IT Business Solutions from the Lucerne University of Applied Sciences and Arts.</t>
  </si>
  <si>
    <t>161444-89P</t>
  </si>
  <si>
    <t>Andre Yche</t>
  </si>
  <si>
    <t>Caisse des Depots Group (Former)</t>
  </si>
  <si>
    <t>Sovereign Wealth Fund</t>
  </si>
  <si>
    <t>Yche</t>
  </si>
  <si>
    <t>www.caissedesdepots.fr</t>
  </si>
  <si>
    <t>Chairman of the Management Board of SNI</t>
  </si>
  <si>
    <t>Mr. Andre Yche serves as Chairman of the Management Board of SNI at Caisse des Dépôts Group.</t>
  </si>
  <si>
    <t>339247-72P</t>
  </si>
  <si>
    <t>Sheikh Tahnoon bin Zayed</t>
  </si>
  <si>
    <t>Abu Dhabi Investment Authority</t>
  </si>
  <si>
    <t>bin Zayed</t>
  </si>
  <si>
    <t>Sheikh Tahnoon</t>
  </si>
  <si>
    <t>www.adia.ae</t>
  </si>
  <si>
    <t>+971 (0)2 415 0000</t>
  </si>
  <si>
    <t>211 Corniche</t>
  </si>
  <si>
    <t>PO Box 3600</t>
  </si>
  <si>
    <t>+971 (0)2 415 1000</t>
  </si>
  <si>
    <t>Mr. Sheikh Tahnoon bin Zayed serves as Chairman at Abu Dhabi Investment Authority. Mr. Tahnoon is the UAE's national security adviser, but he also chairs the state holding company ADQ, the country's largest lender First Abu Dhabi Bank, and International Holding Company. IHC is a listed group linked to the ruling family that has undergone an astonishing rise to become the region's second-largest company by market capitalisation after the oil company Saudi Aramco.</t>
  </si>
  <si>
    <t>215035-21P</t>
  </si>
  <si>
    <t>Yasir AlSalman</t>
  </si>
  <si>
    <t>Saudi Arabia's Public Investment Fund</t>
  </si>
  <si>
    <t>AlSalman</t>
  </si>
  <si>
    <t>Yasir</t>
  </si>
  <si>
    <t>www.pif.gov.sa</t>
  </si>
  <si>
    <t>Chief Financial Officer and Head of Finance Division</t>
  </si>
  <si>
    <t>+966 (0)11 405 0000</t>
  </si>
  <si>
    <t>yalsalman@pif.gov.sa</t>
  </si>
  <si>
    <t>Daeri Altaqneeyah Road, CS01 Building</t>
  </si>
  <si>
    <t>AlRaidah Digital City</t>
  </si>
  <si>
    <t>Alnakheel District</t>
  </si>
  <si>
    <t>11442</t>
  </si>
  <si>
    <t>Mr. Yasir AlSalman serves as Chief Financial Officer and Head of Finance Division at Saudi Arabia's Public Investment Fund. He also serves as the Chairman for Tawal Telecommunications Towers Company. He started his career in 2001 at Arthur Andersen as an Auditor then as Senior Auditor at PricewaterhouseCoopers from 2002 to 2005, moving to become the Executive Manager of the Finance department at the Kingdom Holding Company in 2008, then joining Mobily Company as General Manager of investments from 2014 to 2015. following that, He was the Chief Financial Officer at the Saudi Agricultural and Livestock Investment Company in 2015. He received his postgraduate degree in Accounting and Information Systems from Middle Tennessee State University in 2007 and his BA in Accounting from King Saud University in 2001.</t>
  </si>
  <si>
    <t>233649-28P</t>
  </si>
  <si>
    <t>Walt Dwyer</t>
  </si>
  <si>
    <t>Carpenter's Pension Fund of Illinois</t>
  </si>
  <si>
    <t>Union Pension Fund</t>
  </si>
  <si>
    <t>Dwyer</t>
  </si>
  <si>
    <t>Walt</t>
  </si>
  <si>
    <t>Plan Administrator</t>
  </si>
  <si>
    <t>+1 (630) 845-3572</t>
  </si>
  <si>
    <t>Downers Grove, IL</t>
  </si>
  <si>
    <t>1431 Opus Place</t>
  </si>
  <si>
    <t>Downers Grove</t>
  </si>
  <si>
    <t>60515</t>
  </si>
  <si>
    <t>Mr. Walt Dwyer serves as Plan Administrator at Carpenter's Pension Fund of Illinois. He has been fundamental to the success of the organization since joining the team in 1992 as a project manager/estimator. His primary focus over the last 30 years has been working swithin the plant &amp; process and heavy/highway divisions; however, his role has expanded to the implementation and administration of all company policies and procedures for all of IHC's operations. His outstanding leadership and management skills have facilitated decades of steady growth for the organization. In addition to his work at IHC, he is active in several industry and community organizations. He currently serves as a management trustee for the Carpenter's Pension Fund of Illinois and is a member of the Carpenter Craft and Negotiating Committee for the Mid-America Regional Bargaining Association. He also continues to serve on the Board of the Association for Individual Development-H.U.D. Corporations.</t>
  </si>
  <si>
    <t>432000-01P</t>
  </si>
  <si>
    <t>Anne-Marie Laflamme</t>
  </si>
  <si>
    <t>Laval University</t>
  </si>
  <si>
    <t>University (Non-Endowment)</t>
  </si>
  <si>
    <t>Laflamme</t>
  </si>
  <si>
    <t>Anne-Marie</t>
  </si>
  <si>
    <t>www.ulaval.ca</t>
  </si>
  <si>
    <t>Secretary General</t>
  </si>
  <si>
    <t>+1 (418) 656-2131</t>
  </si>
  <si>
    <t>Quebec, Canada</t>
  </si>
  <si>
    <t>2325 Rue de l'Universite</t>
  </si>
  <si>
    <t>G1V 0A6</t>
  </si>
  <si>
    <t>Ms. Anne-Marie Laflamme serves as Secretary General at Laval University. Ms. Laflamme is also a lawyer and full professor at the Faculty of Law, which she led as Dean from 2017 to 2025, after serving as Vice-Dean of Studies and Continuing Education (2012 to 2014) and Director of Undergraduate Programs (2010 to 2012). A member of the Bar since 1985, she practised labour law as a partner in a major law firm in Quebec City before beginning her academic career. In addition to her academic and administrative roles, Anne-Marie Laflamme has served on several committees and boards of directors, including the Québec Community Legal Centre and the Québec Bar. In 2022, the Quebec Bar awarded her the distinction of Lawyer Emeritus, and in 2025, the Christine-Tourigny Award of Merit, recognizing her outstanding professional career, social impact, and contribution to the advancement of women in the legal profession. She also received the King Charles III Coronation Medal in 2025, in recognition of her significant contribution to Canadian society.</t>
  </si>
  <si>
    <t>425475-46P</t>
  </si>
  <si>
    <t>Eliot Whittington</t>
  </si>
  <si>
    <t>Cambridge Institute for Sustainability Leadership</t>
  </si>
  <si>
    <t>Whittington</t>
  </si>
  <si>
    <t>Eliot</t>
  </si>
  <si>
    <t>www.cisl.cam.ac.uk</t>
  </si>
  <si>
    <t>Executive Director, Chief Systems Change Officer; Director of CISL's Corporate Leaders Groups</t>
  </si>
  <si>
    <t>eliot.whittington@cisl.cam.ac.uk</t>
  </si>
  <si>
    <t>Cambridge, United Kingdom</t>
  </si>
  <si>
    <t>The Entopia Building</t>
  </si>
  <si>
    <t>1 Regent Street</t>
  </si>
  <si>
    <t>CB2 1GG</t>
  </si>
  <si>
    <t>Mr. Eliot Whittington serves as Executive Director, Chief Systems Change Officer; and Director of CISL's Corporate Leaders Groups at Cambridge Institute for Sustainability Leadership. He is part of CISL's leadership team and is responsible for both its Foresight and Convening work. His remit covers CISL's work developing new insights and analysis and its work bringing business, government, and financial institutions together to unlock wider change. Under him are teams delivering the work of CISL's Corporate Leaders Groups, which bring businesses together to positively engage with EU and UK policymakers; CISL's Centre for Sustainable Finance, which brings banks, insurers, and investors together to shift the financial system and CISL's research work including The Prince of Wales Global Sustainability Fellowship Programme.</t>
  </si>
  <si>
    <t>296045-74P</t>
  </si>
  <si>
    <t>Erik Shannon</t>
  </si>
  <si>
    <t>University of Virginia Health System (Former)</t>
  </si>
  <si>
    <t>Shannon</t>
  </si>
  <si>
    <t>Erik</t>
  </si>
  <si>
    <t>www.uvahealth.com</t>
  </si>
  <si>
    <t>Mr. Erik Shannon serves as Chief Executive Officer at UVA Community Health Culpeper &amp; Northern Virginia. He has more than 30 years of healthcare experience leading organizational and operational strategy, including strategic planning, operational improvement, restructuring and reorganization, financial planning, and physician practice management. He currently serves as chief executive officer of UVA Community Health. UVA Community Health includes an integrated network of outpatient services across Culpeper and Northern Virginia, together with UVA Culpeper Medical Center, UVA Haymarket Medical Center, and UVA Prince William Medical Center. He came to UVA Community Health from his role as a partner at Grant Thornton, a global consulting and advisory services firm, where he helped lead the transition work to integrate UVA Community Health into UVA Health after UVA Health became the full owner of the regional health system in July 2021.</t>
  </si>
  <si>
    <t>340573-78P</t>
  </si>
  <si>
    <t>Kahler Schuemann Ph.D</t>
  </si>
  <si>
    <t>Western Michigan University</t>
  </si>
  <si>
    <t>Schuemann</t>
  </si>
  <si>
    <t>Kahler</t>
  </si>
  <si>
    <t>wmich.edu</t>
  </si>
  <si>
    <t>Chief of Staff &amp; Secretary of the Board of Trustees</t>
  </si>
  <si>
    <t>+1 (269) 387-2361</t>
  </si>
  <si>
    <t>kahler.schuemann@wmich.edu</t>
  </si>
  <si>
    <t>Kalamazoo, MI</t>
  </si>
  <si>
    <t>Kalamazoo</t>
  </si>
  <si>
    <t>49008-5200</t>
  </si>
  <si>
    <t>+1 (269) 387-2355</t>
  </si>
  <si>
    <t>Dr. Kahler Schuemann serves as Chief of Staff &amp; Secretary of the Board of Trustees at Western Michigan University. He joined the Office of the President staff in 2006. Before serving as chief of staff and secretary to the Board of Trustees, he was assistant to the president at WMU from 2006 to 2017. Previously, he led Student Services at the University of Alaska, Prince William Sound Campus, and earlier served as director of Housing, Student, and Residential Life at Lake Superior State University. He was awarded the 2017 WMU Staff of the Year presented by the WMU Graduate Student Association in addition to a 2017 Outstanding Service Award from the Association of Public and Land Grant Universities. He serves as an adjunct faculty member in the WMU Department of Educational Leadership, Research, and Technology. He holds a Bachelor's degree in history from Lake Superior State University and Bachelor's degree in student affairs from Michigan State University, an M.A. in student affairs administration from WMU, and a Ph.D. in educational leadership from WMU in 2014.</t>
  </si>
  <si>
    <t>433089-01P</t>
  </si>
  <si>
    <t>Sultan Alqasimi</t>
  </si>
  <si>
    <t>University of Sharjah</t>
  </si>
  <si>
    <t>Alqasimi</t>
  </si>
  <si>
    <t>sharjah.ac.ae</t>
  </si>
  <si>
    <t>President &amp; Trustee</t>
  </si>
  <si>
    <t>+971 (0)6 558 5000</t>
  </si>
  <si>
    <t>P. O.Box 27272</t>
  </si>
  <si>
    <t>+971 (0)6 558 5099</t>
  </si>
  <si>
    <t>Dr. Sultan Alqasimi serves as President &amp; Trustee at the University of Sharjah. Deputy Chairman of the Sharjah Executive Council, is the Chairman of Sharjah Media Council, serving under the supervision of this Council: Sharjah Broadcasting Authority, Sharjah Government Media Bureau, Sharjah Media City "SHAMS Free Zone Authority", also H.H is occupying the position of chairman for Sharjah Petroleum Council and President of the University of Sharjah. Dr. Al Qasimi has chaired Basma Group since 2005, and chaired the Board of Directors of Sharjah National Oil Company since 2010, Tilal Properties LLC since 2014, and Arada Real Estate Development Company since 2017, also His Highness chaired the Board of Directors of Invest Bank since 2019. He holds a Bachelor of Science degree in Business Administration from Arkansas State University of the United States of America, and a master's degree in Computer Information Systems from the University of Detroit Mercy, in Michigan, USA.</t>
  </si>
  <si>
    <t>261182-53P</t>
  </si>
  <si>
    <t>Abdulla Al Nuaimi</t>
  </si>
  <si>
    <t>Seed Group</t>
  </si>
  <si>
    <t>Al Nuaimi</t>
  </si>
  <si>
    <t>www.seedgroup.com</t>
  </si>
  <si>
    <t>The H Dubai Office Tower, Level 17</t>
  </si>
  <si>
    <t>Sheikh Zayed Road, P.O. Box 9495</t>
  </si>
  <si>
    <t>Mr. Abdulla Al Nuaimi serves as an Advisor at Seed Group. He serves as Chief Executive Officer at Dubai National Insurance &amp; Reinsurance. He has over 25 years of experience working in the government and private sectors. He has held numerous roles, including Director of Operations and International Cooperation at Etihad Credit Insurance. Prior to that, he served for nine years as the Executive Vice President, of Shared Services at Abu Dhabi National Insurance Company. He graduated from Wharton Business School at the University of Pennsylvania with an EMBA in Leadership and Business Management. Also, a Higher Diploma in Advanced Trade Credit Insurance from Offenburg University of Applied Sciences, Germany</t>
  </si>
  <si>
    <t>286866-82P</t>
  </si>
  <si>
    <t>Adnane Filali</t>
  </si>
  <si>
    <t>Azur Innovation Management</t>
  </si>
  <si>
    <t>Filali</t>
  </si>
  <si>
    <t>Adnane</t>
  </si>
  <si>
    <t>www.azurinnov.com</t>
  </si>
  <si>
    <t>+212 (0)522251681</t>
  </si>
  <si>
    <t>a.filali@azurpartners.ma</t>
  </si>
  <si>
    <t>117 Avenue Hassan II</t>
  </si>
  <si>
    <t>Blue Park Tower, 11th floor</t>
  </si>
  <si>
    <t>20370</t>
  </si>
  <si>
    <t>Mr. Adnane Filali serves as Managing Director at Azur Innovation Management. He is a born entrepreneur with an entrepreneurial journey that started at the age of 20, with the takeover of a family company that operated in the offshore fishing sector in parallel with a successful academic career in business school. Then in Master Banking and Finance. He began his career with the SNI/ONA Group in 1998, where he held the positions of Trader on the Casablanca Stock Exchange and then Group Management Controller. In 2004, he joined the company COMANAV. Throughout his career, he has remained close to the entrepreneurial world with the creation and/or development of several companies in different sectors of activity, in particular high-end cosmetics, communication, health-oriented agri-food, and even advice on strategy and performance improvement. Furthermore, he remains very involved in civil society and in the business world, with a strong involvement at the level of international NGOs.</t>
  </si>
  <si>
    <t>399885-67P</t>
  </si>
  <si>
    <t>Ali Chraibi</t>
  </si>
  <si>
    <t>Al Mada Ventures (Former)</t>
  </si>
  <si>
    <t>Chraibi</t>
  </si>
  <si>
    <t>www.almadaventures.com</t>
  </si>
  <si>
    <t>Investment Officer</t>
  </si>
  <si>
    <t>Mr. Ali Chraibi served as Investment Officer at Al Mada Ventures. He brings with him strategy consulting experience, having supported numerous investment funds and corporations at Arthur D. Little. He previously worked on M&amp;A transactions at Deutsche Bank and Banque Hottinguer and in operations at fintech company Climb. He graduated from HEC Paris (MSc in Management - Grande Ecole program).</t>
  </si>
  <si>
    <t>305842-33P</t>
  </si>
  <si>
    <t>Anny Lin</t>
  </si>
  <si>
    <t>Green Seed Group</t>
  </si>
  <si>
    <t>Anny</t>
  </si>
  <si>
    <t>greenseedna.com</t>
  </si>
  <si>
    <t>Chief of Staff</t>
  </si>
  <si>
    <t>+1 (203) 226-6577</t>
  </si>
  <si>
    <t>annylin@greenseedna.com</t>
  </si>
  <si>
    <t>625 West Adams Street</t>
  </si>
  <si>
    <t>19th Floor</t>
  </si>
  <si>
    <t>60661</t>
  </si>
  <si>
    <t>Ms. Anny Lin serves as Chief of Staff at Green Seed Group. She brings in nearly 15 years of brand management expertise with an emphasis on strategy and client relations ranging from food to hospitality and is a valued subject-matter expert in the areas of new product launch, trade marketing activation, client relations and operational expansion with in-depth focus on internal systems to ensure high quality delivery for our clients, worldwide.</t>
  </si>
  <si>
    <t>270670-69P</t>
  </si>
  <si>
    <t>Seed Group (Former)</t>
  </si>
  <si>
    <t>Mr. Avinash Mansabdar served as Finance Director at Seed Group. He also served as Head of Finance and Corporate Governance at Seed Group. Mr. Mansabdar is a fellow of "The Chartered Institute of Management Accountants" and an MBA degree holder in Finance, with over two decades of Gulf experience in FMCG-MNCs like Unilever, A&amp;E, and Cracknell, and an annual turnover of $1.7 billion. At SEED Group, he supports and manages the financial expectations and investment needs of partners and conducts feasibility studies for them.</t>
  </si>
  <si>
    <t>368276-77P</t>
  </si>
  <si>
    <t>Camillo Schobesberger</t>
  </si>
  <si>
    <t>SandStorm VC</t>
  </si>
  <si>
    <t>Schobesberger</t>
  </si>
  <si>
    <t>Camillo</t>
  </si>
  <si>
    <t>www.sandstorm.vc</t>
  </si>
  <si>
    <t>camillo@sandstorm.vc</t>
  </si>
  <si>
    <t>Burj Khalifa Boulevard</t>
  </si>
  <si>
    <t>Mr. Camillo Schobesberger is the Founder of SandStorm VC. Mr. Schobesberger is a Co-Founder &amp; serves as Board Member at Modeliks. He initiator of sandstormVC. He is a professional investor at G42, abu dhabi's ai and cloud computing powerhouse and investment fund. He has experience in m&amp;a, tech investments, mgmt consulting, banking, fintech. His investment strategy: diversified mix of real estate properties, blue-chip stocks and ETFs, some future-bet ETFs. last but not least, very bullish on private markets angel investments in startups with top-notch founders and outstanding niche experience, soon LP investments in VC funds.</t>
  </si>
  <si>
    <t>337930-84P</t>
  </si>
  <si>
    <t>Christian Aoun</t>
  </si>
  <si>
    <t>Aoun</t>
  </si>
  <si>
    <t>Chief Partnership Officer</t>
  </si>
  <si>
    <t>Mr. Christian Aoun served as Chief Partnership Officer at Seed Group. He has 22 years of hands-on experience in the start-up and business world, having sustained long-term success in driving revenue and EBITDA growth. He has a proven track record in data centers and managed services, analyzing the needs of any organization and identifying deficiencies and potential opportunities while developing innovative and effective strategies.</t>
  </si>
  <si>
    <t>213196-15P</t>
  </si>
  <si>
    <t>David Wilson</t>
  </si>
  <si>
    <t>Founder, Owner &amp; Managing Director</t>
  </si>
  <si>
    <t>david.wilson@greenseedgroup.com</t>
  </si>
  <si>
    <t>Mr. David Wilson is the Founder and Owner &amp; serves as Managing Director at Green Seed Group. He oversees the operations of Green Seed North America and is a member of the Green Seed network executive board directing Green Seed's ten allied offices. Having lectured around the US, Europe, and the Middle East, he is one of the world's most respected subject matter experts in US startups in the natural and specialty retail food sector.</t>
  </si>
  <si>
    <t>363567-43P</t>
  </si>
  <si>
    <t>Dharuma Tharu</t>
  </si>
  <si>
    <t>Braxton Capital</t>
  </si>
  <si>
    <t>Tharu</t>
  </si>
  <si>
    <t>Dharuma</t>
  </si>
  <si>
    <t>braxton.com.sg</t>
  </si>
  <si>
    <t>dtharu@braxton.com</t>
  </si>
  <si>
    <t>137 Telok Ayer Street</t>
  </si>
  <si>
    <t>Number 08-01</t>
  </si>
  <si>
    <t>068602</t>
  </si>
  <si>
    <t>Mr. Dharuma Tharu serves as Advisor at Braxton Capital. He who has over 20 years of experience in the financial industry, has been, 2016, serving as the Co-Founder and Managing Partner of LT Capital Pte Ltd, an alternative direct investment firm based in Singapore that focuses on sourcing and structuring exclusive investment opportunities in partnership with trusted local partners, comprising family-run conglomerates in S.E. Asia. Prior to LT Capital, he served as Chief Operating Officer and Head of Compliance for Oclaner Asset Management Pte. Ltd. since 2010. During his tenure at Oclaner, he oversaw the operational setup of various family offices and investment platforms. Working closely with European and Asian families he was responsible for setting up personalized Family Offices. In 2013, he started the Direct Investment business arm for Oclaner, which involved the origination of unique Real Estate investment opportunities in Southeast Asia. Prior to Oclaner, he was a senior private banker at LGT Bank in 2009. From 2002 to 2009, he worked in HSBC under their regional manager program where he had roles as an FX trader in the Treasury &amp; Capital Markets department and as a private banker with HSBC Private Bank. During his career, he developed an extensive network of investors and business operators from Malaysia, Singapore, Indonesia, and Hong Kong. He has a Masters in Chemical Engineering (MEng) from University College London, which he acquired in 2001. He also has a diploma in basic accounting principles from the London School of Economics. In 2002, he concluded research on supercritical fluids and was awarded publication in the Chemical Engineering Transactions Journal for his contribution to the field of Chemical and Process Engineering.</t>
  </si>
  <si>
    <t>41993-29P</t>
  </si>
  <si>
    <t>Dyan Brasington</t>
  </si>
  <si>
    <t>The Maryland Angels Council (Former)</t>
  </si>
  <si>
    <t>Brasington</t>
  </si>
  <si>
    <t>Dyan</t>
  </si>
  <si>
    <t>dbrasington@towson.edu</t>
  </si>
  <si>
    <t>Ms.Dyan Brasington served as the President at Maryland Angels Council, LLC. Her experience includes being the Director of Economic Development for the State of West Virginia, the Director in Howard and Montgomery Counties, Maryland, and in Prince William County, Virginia and as an Industrial Representative for the Florida Department of Commerce. In her most recent past position as the President of the Technology Council of Maryland. Ms. Brasington is a Certified Economic Developer (CEcD), the professional designation in her field. She holds a Bachelors and Masters degree from Florida State University and is a graduate of the Economic Development Institute.</t>
  </si>
  <si>
    <t>304223-32P</t>
  </si>
  <si>
    <t>Ekta Tolani</t>
  </si>
  <si>
    <t>KBW Ventures</t>
  </si>
  <si>
    <t>Tolani</t>
  </si>
  <si>
    <t>Ekta</t>
  </si>
  <si>
    <t>www.kbw-ventures.com</t>
  </si>
  <si>
    <t>+1 (650) 643-8099</t>
  </si>
  <si>
    <t>Ms. Ekta Tolani serves as Chief Investment Officer at KBW Ventures. She served as Managing Director at Crown Capital (Atlanta). She led capital raising and portfolio management efforts at Crown Capital. She also provided strategic planning and business development support to management teams across the Crown portfolio. Before Crown, she served as one of the few women Chief Investment Officers at a large family office in the Middle East and has managed a well-diversified multi-asset class portfolio during her tenure. Her experience ranges from setting up new business verticals to managing the portfolio of operating companies and from identifying unicorns at an early stage to closing multi-million dollar private equity deals. She holds an MBA from The University of Chicago Booth School of Business. She is an ardent champion for Women in Business and sits on various alums and women's interest boards.</t>
  </si>
  <si>
    <t>466646-14P</t>
  </si>
  <si>
    <t>PROOF</t>
  </si>
  <si>
    <t>www.proof.vc</t>
  </si>
  <si>
    <t>Venture Partner</t>
  </si>
  <si>
    <t>+1 (703) 563-4100</t>
  </si>
  <si>
    <t>+1 (703) 563-4111</t>
  </si>
  <si>
    <t>Ms. Ekta Tolani serves as Venture Partner at PROOF. She is the Chief Investment Officer of KBW Ventures. She has deployed over +$1B worldwide into direct deals during her career. Over her 15 years of experience, she has driven investment strategy and process for sourcing, selecting, and winning direct Private Equity ($100M+) and Venture Capital ($1M - $5M) style deals across a variety of high-growth sectors. She has also allocated $100M+ to hedge funds, private credit, fixed income, and PE/VC funds. She has cultivated a solid network of both family offices and institutional investors across the Middle East, North America, and Asia. She currently manages a broad network of such active relationships; a global network of LPs, Family Offices, and GPs recording top quartile returns. She brings in a plethora of great opportunities and co-investors with her. She is a member of the Private Equity Women Investork Network, and an ardent champion for women's empowerment. She holds an MBA from the University of Chicago Booth School of Business.</t>
  </si>
  <si>
    <t>414878-86P</t>
  </si>
  <si>
    <t>Ethem Eldem</t>
  </si>
  <si>
    <t>Eldem</t>
  </si>
  <si>
    <t>Ethem</t>
  </si>
  <si>
    <t>Mr. Ethem Eldem serves as Advisor at Seed Group. He has held senior leadership roles at companies such as Turkcell Group, PwC Turkey, and Etisalat Group UAE. He contributed to Turkcell's transformation into a digital services company. As Senior Director at Etisalat, he led business units focused on emerging technologies such as AI, IoT, and smart cities. He is currently the Managing Partner of Canmar Consulting, where he helps technology and retail</t>
  </si>
  <si>
    <t>412776-01P</t>
  </si>
  <si>
    <t>Fida Chaaban</t>
  </si>
  <si>
    <t>Chaaban</t>
  </si>
  <si>
    <t>Fida</t>
  </si>
  <si>
    <t>Chief Communication Officer</t>
  </si>
  <si>
    <t>Ms. Fida Chaaban serves as Chief Communication Officer at KBW Ventures. Prior to joining KBW, she was the founding Editor in Chief of Entrepreneur Middle East and Entrepreneur Qatar magazines, and was the launch Editor for both publications. She also oversees stakeholder relations, and various other aspects of the wider Group interests.</t>
  </si>
  <si>
    <t>429130-36P</t>
  </si>
  <si>
    <t>Fiona Murray</t>
  </si>
  <si>
    <t>Oxford Science Enterprises</t>
  </si>
  <si>
    <t>Fiona</t>
  </si>
  <si>
    <t>www.oxfordscienceenterprises.com</t>
  </si>
  <si>
    <t>+44 (0)18 6595 0000</t>
  </si>
  <si>
    <t>Oxford, United Kingdom</t>
  </si>
  <si>
    <t>46 Woodstock Road</t>
  </si>
  <si>
    <t>Oxford</t>
  </si>
  <si>
    <t>OX2 6HT</t>
  </si>
  <si>
    <t>Ms. Fiona Murray serves as a Board Member at Oxford Science Enterprises. She is the Associate Dean of Innovation at the MIT School of Management and William Porter (1967) Professor of Entrepreneurship. Recognized as an international policy expert on global innovation, she served on the British Prime Minister's Council on Science and Technology and was awarded a CBE (Commander of the British Empire) for her services to innovation and entrepreneurship in the United Kingdom. She was appointed Dame Commander of St Michael and St George (DCMG) by His Majesty King Charles III for services to science, technology, and diversity. She serves as the Vice Chair of the NATO Innovation Fund - the first multi-sovereign venture fund to support deep tech ventures in defense, security, and resilience focus across Allied nations - and is a member of the Ministry of Defence Innovation Advisory Panel. She received her BA '89 and MA '90 from the University of Oxford in chemistry. She subsequently earned an AM '92 and PhD '96 from Harvard University in applied sciences.</t>
  </si>
  <si>
    <t>176669-83P</t>
  </si>
  <si>
    <t>François Aird</t>
  </si>
  <si>
    <t>Diagram Ventures (Former)</t>
  </si>
  <si>
    <t>Aird</t>
  </si>
  <si>
    <t>François</t>
  </si>
  <si>
    <t>diagram.vc</t>
  </si>
  <si>
    <t>Mr. François Aird serves as Limited Partner at Diagram Ventures. He Co-Founded &amp; served as Chairman &amp; President at CEDROM-SNi. After studying management at École des hautes études commerciales in Montreal, he joined forces with Philippe Gélinas in 1984 to create A&amp;G Conseil, a technology consulting firm. After being renamed Proximi-T, the company became part of Cossette in 2000. In 1988, the development of graphical user interfaces and the arrival of a new storage medium - the CD-ROM- led them to found CEDROM Technologies. The company would merge several years later with Société nationale d'information (SNI) to become CEDROM-SNi. In January 2000, he and his associates launched IXIASOFT, a company that stemmed from CEDROM-SNi's expertise in document indexing. IXIASOFT marketed software tools for managing XML and DITA documents. In addition to serving as Chairman of the Board of Directors of the Computer Research Institute of Montreal (CRIM), he has also chaired the Board of Directors at IXIASOFT and the Quebec Technology Association (AQT).</t>
  </si>
  <si>
    <t>195081-85P</t>
  </si>
  <si>
    <t>Fritz Backus</t>
  </si>
  <si>
    <t>KBW Ventures (Former)</t>
  </si>
  <si>
    <t>Backus</t>
  </si>
  <si>
    <t>Fritz</t>
  </si>
  <si>
    <t>Mr. Fritz Backus served as General Counsel at KBW Ventures. Fritz has more than 14 years overseeing legal affairs in the in vitro diagnostics industry, with experience encompassing FDA registration, CE marking, advertising, sales, biologics, and other licensing and acquisition, compliance, clinical trials, IP and other issues faced by life sciences companies operation both domestically and globally. Also a Partner at Outside GC, Fritz has focused on healthcare law, with extensive experience as a member of senior management advising on key strategic and organizational decisions and collaborating across functions to implement successful solutions. Prior to this, he was General Counsel and Chief Compliance Officer for Diagnostics Products Corporation (DPC), a NYSE listed, Global IVD medical device manufacturer, which was acquired in 2007 by Siemens Healthcare Diagnostics Inc., where Fritz remained as Vice President until 2015. Fritz began his legal career in Houston at the law firm Baker Botts LLP and also served as an attorney in the Boston offices of Goodwin Procter, LLP and Seyfarth Shaw. His broad practice has encompassed M&amp;A, securities laws (1933 and 1934 Acts) matters, venture capital investments, fund formation, FCPA and antikickback compliance, FDA compliance, tax law, and various business ventures. Fritz earned his law degree at Harvard Law School, where he was a Teagle Foundation Scholar. Fritz is also a graduate of the University of Chicago.</t>
  </si>
  <si>
    <t>106222-51P</t>
  </si>
  <si>
    <t>Concorde Investment Management</t>
  </si>
  <si>
    <t>www.concordeco.com</t>
  </si>
  <si>
    <t>+1 (972) 701-5400</t>
  </si>
  <si>
    <t>gbwood@concordeco.com</t>
  </si>
  <si>
    <t>8383 Preston Center Plaza Drive</t>
  </si>
  <si>
    <t>Suite 360</t>
  </si>
  <si>
    <t>75225</t>
  </si>
  <si>
    <t>+1 (972) 701-5420</t>
  </si>
  <si>
    <t>Dr. Gary Wood is the Founder and serves as Managing Director at Concorde Investment Management. Mr. Wood serves as Managing Director &amp; President at Omnimed Capital. He was the Co-Founder of eOriginal and served as Executive Chairman. Dr. Wood also serves as Chairman of the firm's Investment Policy Committees. His investment and business activities include domestic US and North America as well as Asia, Europe, and Latin America. Before founding Concorde, Dr. Wood worked for an independent trust company in Houston, Texas, as an investment and financial advisor. Dr. Wood is a co-founder and Chairman of the Board of the International Hospital Corporation (IHC), founded in 1991 to develop acute-care hospital facilities, specialty hospitals, and specialty clinics that are uniformly managed and branded in three countries in Latin America. Additionally, he is Chairman of the Board of eOriginal, Inc., a leading provider of comprehensive business-to-business digital transaction management (digital signatures and vaulting) and e-commerce solutions based in Baltimore. He has extensive business experience relating to healthcare, software, manufacturing, and investment management. He is also active in civic and charitable organizations in Dallas. He is currently a member of the Endowment Foundation Investment Committee and Advisory Board for the Children's Oncology Service of Texas (aka Ronald McDonald House) and a board member of Leader Formation International, an International Christian Leadership Development Mission. In February 2005, he completed six years serving on the board of the Parkland Health and Hospital System (Dallas County Hospital District), where he served on the Pension Investment oversight committee. He has twice served as past chairman (in 1988 and 1999) of the Society of International Business Fellows, a leadership organization consisting of 1400 senior business executive level, government officials, and NGO members in four regional networks in 45 countries, where he is a member in good standing. He was the founder and initial chairman of The Health Industry Council (1988-1998) in the Dallas Ft Worth region, a nine-county industry promoter and advocacy organization in North Texas, and he served as a board member for the Baylor Medical Research Institute (1987-2000). He received his bachelor's and master's degrees in electrical engineering from Texas Tech University and went on to receive only the third interdisciplinary Ph.D. awarded by Tech, emphasizing law, business, and statistics. He was named a Distinguished Graduate in Engineering in 1993.</t>
  </si>
  <si>
    <t>145817-02P</t>
  </si>
  <si>
    <t>H.E. Hisham Al Gurg</t>
  </si>
  <si>
    <t>AAF Management (Former)</t>
  </si>
  <si>
    <t>H.E. Hisham</t>
  </si>
  <si>
    <t>aaf.vc</t>
  </si>
  <si>
    <t>Mr. H.E. Hisham Al Gurg serves as Advisory Board Member at Arab Angel. With over 18 years of experience in setting up and running new ventures in the MENA region, He is a pioneer for his visionary approach, high profile networking, and for concluding and managing large regional projects and investments worth more than 1.06 Billion USD. Presently he is managing the private investments and strategic partnership activities of Sheikh Saeed Al Maktoum. He is also the Executive Counselor of Al Fajer Investments &amp; Development, an investment division of Al Fajer Enterprises, a holding group of companies owned by His Highness Sheikh Hasher Al Maktoum. Both Sheikhs are members of the royal family of Dubai. Currently, his main day-to-day activities are focused on managing SEED Group. As a Group C.E.O., he manages 8 growing companies in 6 diversified industries. The group's core activities are Telecom Services, Media Production, Legal Services, General Trading, Business Services, Interior &amp; Architecture Design, and Real Estate Investment and Management. He is also the UAE sponsor of the Chinese petroleum giant "Sinopec Petroleum". Sinopec is one of the five largest energy corporations in the world, headquartered in Beijing.</t>
  </si>
  <si>
    <t>153915-49P</t>
  </si>
  <si>
    <t>Hamad Al Kuwari Ph.D</t>
  </si>
  <si>
    <t>Qatar Science &amp; Technology Park (Former)</t>
  </si>
  <si>
    <t>Al Kuwari</t>
  </si>
  <si>
    <t>qstp.qa</t>
  </si>
  <si>
    <t>Dr. Hamad Al Kuwari served as a Chairman &amp; Executive Vice President of Research and Development at Qatar Science &amp; Technology Park. He joined Qatar Foundation in 2012 and served as Director of Planning and Strategic Initiatives at Qatar Foundation Research and Development (QF R&amp;D), Dr. Al-Ibrahim has contributed significantly to developing the 5-year business plan of QF R&amp;D and its research entities. Before joining QF in 2012, Dr. Al-Ibrahim had worked on designing the Qatar National Research Strategy as part of the RAND Think-tank team, where he led the Health component discussion of the strategy. While at RAND Qatar Policy Institute, he gained international experience in developing public policies working as a Research Project Manager and an Associate Analyst. Dr. Al-Ibrahim also worked with the Supreme Council for Health to develop a clinical services framework for clinical service planning. He also worked on two projects for the Qatar National Food Security Program to develop the budget for its master plan and to support human resources planning through the engagement of key stakeholders. Dr. Al-Ibrahim serves as a Board member of ESCWA Technology Centre Board of Governance and as a National Coordinator of the MENA Innovation Dashboard. Dr. Al-Ibrahim has a medical degree from the Royal College of Surgeons in Ireland, Executive M.B.A. from HEC Paris and currently he is pursuing his Ph.D. in Public Policy at King's College.</t>
  </si>
  <si>
    <t>160035-58P</t>
  </si>
  <si>
    <t>Hamad Al-Ibrahim Ph.D</t>
  </si>
  <si>
    <t>Dr. Hamad Al-Ibrahim served as Chairman at Qatar Science &amp; Technology Park. Dr. Al-Ibrahim joined Qatar Foundation in 2012 and served as Director of Planning and Strategic Initiatives at Qatar Foundation Research and Development (QF R&amp;D), Dr. Al-Ibrahim has contributed significantly to developing the 5-year business plan of QF R&amp;D and its research entities. Before joining QF in 2012, Dr. Al-Ibrahim had worked on designing the Qatar National Research Strategy as part of the RAND Think-tank team, where he led the Health component discussion of the strategy. While at RAND Qatar Policy Institute, he gained international experience in developing public policies working as a Research Project Manager and an Associate Analyst. Dr. Al-Ibrahim also worked with the Supreme Council for Health to develop a clinical services framework for clinical service planning. He also worked on two projects for the Qatar National Food Security Program to develop the budget for its master plan and to support human resources planning through the engagement of key stakeholders. Dr. Al-Ibrahim serves as a Board member of ESCWA Technology Centre Board of Governance and as a National Coordinator of the MENA Innovation Dashboard. Dr. Al-Ibrahim has a medical degree from the Royal College of Surgeons in Ireland, Executive M.B.A. from HEC Paris and currently he is pursuing his Ph.D. in Public Policy at King's College.</t>
  </si>
  <si>
    <t>352158-13P</t>
  </si>
  <si>
    <t>Jenny Shoemaker</t>
  </si>
  <si>
    <t>Shoemaker</t>
  </si>
  <si>
    <t>Jenny</t>
  </si>
  <si>
    <t>Financial Controller</t>
  </si>
  <si>
    <t>Ms. Jenny Shoemaker serves as Financial Controller at Green Seed Group. With over 15 years of experience in accounting, She has worked across all accounting functions in businesses at various stages of growth. She has worked in several full-cycle accounting roles in addition to working as an accounting consultant in the finance and technology fields supporting SaaS companies, portfolio management firms, and cloud-based web applications to name a few.</t>
  </si>
  <si>
    <t>13144-42P</t>
  </si>
  <si>
    <t>John Backus Jr.</t>
  </si>
  <si>
    <t>Co-Founder, Managing Partner &amp; Chief Investment Officer</t>
  </si>
  <si>
    <t>+1 (703) 563-4101</t>
  </si>
  <si>
    <t>backus@proof.vc</t>
  </si>
  <si>
    <t>Mr. John Backus is a Co-Founder and serves as Managing Partner &amp; Chief Investment Officer at PROOF. He serves as Senior Advisor at KBW Ventures. He also serves as Senior Advisor at Blue Heron Capital. He also served as a Board member at Spotflux and Two Six Labs. He also serves as Senior Advisor at Blue Heron Capital. He is also a Co-Founder and serves as Managing Partner at NAV.VC. Before becoming a venture capitalist, he co-founded US Order, which revolutionized online banking, went public in 1995, and was sold to Visa. He began his career at Bain &amp; Company and Bain Capital, where he was the first management consultant to take a full-time operating role in a portfolio company. He is currently serving on the NVCA Board of Directors. Additionally, he is Chairman Emeritus of the Northern Virginia Technology Council (NVTC) Board of Directors, the founding Chairman and current Board member of the NVTC TechPAC, and Chairman Emeritus of the Wolf Trap Foundation Board of Directors. He has served as a technology policy adviser to Virginia governors Gilmore, Warner, and McDonnell. He holds a B.A. in Economics from Stanford University and an M.B.A. from Stanford University Graduate School of Business.</t>
  </si>
  <si>
    <t>264016-45P</t>
  </si>
  <si>
    <t>Karan Maheshwari</t>
  </si>
  <si>
    <t>Maheshwari Investors</t>
  </si>
  <si>
    <t>Maheshwari</t>
  </si>
  <si>
    <t>Karan</t>
  </si>
  <si>
    <t>www.mipl.org</t>
  </si>
  <si>
    <t>+91 (0)22 6630 2000</t>
  </si>
  <si>
    <t>karan_maheshwari@mckinsey.com</t>
  </si>
  <si>
    <t>20A Maheshwari Mansion</t>
  </si>
  <si>
    <t>34 L Jagmohandas Marg (Napean Sea Road)</t>
  </si>
  <si>
    <t>400026</t>
  </si>
  <si>
    <t>Mr. Karan Maheshwari serves as Managing Director at Maheshwari Investors. Maheshwari presently serves as a Director of Samsonite India and was a former Director of Quadrum Solutions, RJ Investments and Baby Chakra (Infomoko Technology Private Limited). He currently serves as the Managing Trustee of the Triveni Sodani Foundation and was the former Chair Person of the YPO- Next generation Mumbai Chapter. Prior to joining the family business, Maheshwari worked at McKinsey and Company as a management consultant for several years where he advised corporations and governments focusing on the Infrastructure, Education and Healthcare sectors. Maheshwari also founded Ignite Education and has served as an adviser to the Government of Bhutan, the Qatar Foundation, the National Skill Development Institute, Pratham, Nandi and the Emergency Management and Research Institute. Maheshwari has graduated from Duke University and has a Diploma from Oxford University.</t>
  </si>
  <si>
    <t>67651-30P</t>
  </si>
  <si>
    <t>Karim Kawar</t>
  </si>
  <si>
    <t>Oasis500</t>
  </si>
  <si>
    <t>Kawar</t>
  </si>
  <si>
    <t>oasis500.com</t>
  </si>
  <si>
    <t>+962 (0)65805680</t>
  </si>
  <si>
    <t>King Hussein Business Park Oasis 500</t>
  </si>
  <si>
    <t>Building Number 7</t>
  </si>
  <si>
    <t>11822</t>
  </si>
  <si>
    <t>Mr. Karim Kawar is a Co-Founder and serves as Board Member at Oasis500. Mr. Kawar co-founded and served as President at Bridges of Understanding. He serves as Chairman at Kawar Energy. He is the President of Kawar Group, entrepreneur, former diplomat, and angel investor. He is also Chairman of Kawar Energy and is a Co-Founder and Chairman of IrisGuard, and has served as Jordan's Ambassador to the US from 2002-2007. He led the EDAMA Initiative: Jordan's blueprint for a green economy. He was appointed by Royal Decree to the Board of Trustees of the King Abdullah II Fund for Development, appointed on 21 September 2010 as the Chairman of the Board of Trustees of King's Academy, and previously appointed to the Economic Consultative Council by His Majesty King Abdullah II. Founder of ten companies in the field of information and communication technologies (ICT), He is an architect of the REACH Initiative, Jordan's blueprint for a knowledge economy, Founder and Chairman of the Information Technology Association of Jordan, Former President of the Jordan Computer Society, and a founding member of several business associations and NGOs, including AmCham and the Jordan Intellectual Property Association. He is also a Member of the Advisory Board of Talal Abu Ghazaleh College for Business and a Member of the Boards of Trustees of Madaba University. He is a principal shareholder and advisor to Optimiza. He serves as a member of the board of two additional Jordanian public shareholding companies, namely the Jordan Ahli Bank and the Jordan Wood Industries Company (JWICO). He is a Member of the Global Agenda Council; Young Global Leader; Global Leader for Tomorrow of the World Economic Forum; Eisenhower Fellow; Member of the Young Presidents' Organization (YPO); Founder and Board Member of the Jordan River Foundation, headed by Her Majesty Queen Rania Al-Abdullah; and Founder and President of Bridges of Understanding Foundation. He graduated from Boston College in 1987 with a BSc in Management, Finance, and Computer Science.</t>
  </si>
  <si>
    <t>405461-62P</t>
  </si>
  <si>
    <t>Kevin Vyse</t>
  </si>
  <si>
    <t>Archipelago Ventures (London)</t>
  </si>
  <si>
    <t>Vyse</t>
  </si>
  <si>
    <t>www.archipelagoventures.vc</t>
  </si>
  <si>
    <t>Special Advisor, Sector Specialist</t>
  </si>
  <si>
    <t>Langley Street</t>
  </si>
  <si>
    <t>WC2H 9JA</t>
  </si>
  <si>
    <t>Mr. Kevin Vyse serves as Special Advisor, Sector Specialist at Archipelago Ventures. He is advocate of the Circular Economy and has worked with the UK Government's Advisory Committee on Packaging, Ellen MacArthur Foundation on the New Plastics Economy, The HRH Prince Of Wales Sustainability Unit and also with the UN Transforming Tourism programme. In his current role he manages a team that continues to push the frontier on sustainable packaging and the applying of circular design principles to the creation of packaging solutions. He has a degree in Engineering and is a qualified Industrial Designer and Packaging Engineer.</t>
  </si>
  <si>
    <t>175652-74P</t>
  </si>
  <si>
    <t>Khaled Bin Alwaleed</t>
  </si>
  <si>
    <t>Bin Alwaleed</t>
  </si>
  <si>
    <t>+971 (0)7 363 8104</t>
  </si>
  <si>
    <t>kalwaleed@kbw-ventures.com</t>
  </si>
  <si>
    <t>Mr. Khaled Bin Alwaleed is the Founder and serves as Chief Executive Officer at KBW Ventures. He serves as an Advisory Board Member at BlueNalu. He is the Founder and serves as Chairman at KBW Investments. He serves as Chairman at Raimondi Cranes. He also serves as an Advisor at KittyHawk. He serves as an Advisor at TurtleTree Labs. He also served as Chairman at Crestmount Capital. Today, with holdings on five continents, he stands at the gateway between the Middle East's evolving economies and the Western world. He is the Founding Chairman of KBW Investments and a board member at Hampton Creek. He invests in an array of successful, but diverse global businesses - from promising technology start-ups to established companies. Consistently, his focus is on ventures and ideas at the intersection of innovation and economic growth. He is an Angel Investor. He also served as an Advisor at Big Idea Ventures. In the real estate and property markets, he serves as Executive Vice Chairman and co-founder of Arada, a UAE-based development company, and is the Chairman of Raimondi Cranes. As a venture capitalist who views nascent and emerging technologies as the path to alleviating many of today's pressing global issues, his sector agnostic investments in technology span several different disciplines including fintech, AgTech, food technology, B2B SaaS, aviation and transportation technologies, energy technology, biotechnology, entertainment and broadcast technologies, and more.</t>
  </si>
  <si>
    <t>303806-53P</t>
  </si>
  <si>
    <t>Kripa Joy</t>
  </si>
  <si>
    <t>Elevar Equity</t>
  </si>
  <si>
    <t>Joy</t>
  </si>
  <si>
    <t>Kripa</t>
  </si>
  <si>
    <t>www.elevarequity.com</t>
  </si>
  <si>
    <t>+91 (0)12 4363 1820</t>
  </si>
  <si>
    <t>kripa@elevarequity.com</t>
  </si>
  <si>
    <t>10th Floor Prestige Summit</t>
  </si>
  <si>
    <t>Number 6 Saint Johns Road, Ulsoor</t>
  </si>
  <si>
    <t>560042</t>
  </si>
  <si>
    <t>Ms. Kripa Joy serves as General Counsel at Elevar Equity. She serves as Board Member at BettrCredit. She has close to fifteen years of experience in legal transactional work, including in the impact investment space. She has previously worked with Cyril Amarchand Mangaldas in Mumbai and Paul, Weiss, Rifkind, Wharton &amp; Garrison LLP in New York. Immediately prior to joining Elevar, she was general counsel at Lightrock India, the impact investing initiative of the LGT Group. She has worked in diverse practice areas such as private equity, financing, and investment management, and has represented various stakeholders. She also headed the learning and training function at Cyril Amarchand Mangaldas, and has taught a seminar course at the National Law School of India University. She has completed an integrated Law and Arts degree from the National Law School of India University, Bangalore, a Master's degree in Law from Columbia Law School, New York, and a management degree from the Indian Institute of Management, Ahmedabad.</t>
  </si>
  <si>
    <t>213197-86P</t>
  </si>
  <si>
    <t>Linda Montecalvo</t>
  </si>
  <si>
    <t>Green Seed Group (Former)</t>
  </si>
  <si>
    <t>Montecalvo</t>
  </si>
  <si>
    <t>Ms. Linda Montecalvo serves as Director, Finance at Green Seed Group. She comes to Green Seed having spent the prior twenty years serving in senior multi-disciplinary positions across management, finance, and strategic planning. When not managing financials at Green Seed you can find her locating unusual travel destinations near and far, meditating, cooking, doing yoga and enjoying nature and wildlife every available moment. She lives in Connecticut.</t>
  </si>
  <si>
    <t>412719-58P</t>
  </si>
  <si>
    <t>Madison Marks</t>
  </si>
  <si>
    <t>UNICEF Venture Fund (Former)</t>
  </si>
  <si>
    <t>Marks</t>
  </si>
  <si>
    <t>www.unicefventurefund.org</t>
  </si>
  <si>
    <t>Portfolio Strategist</t>
  </si>
  <si>
    <t>Ms. Madison Marks served as Portfolio Strategist at UNICEF Venture Fund. Before joining UNICEF, she was Managing Director of the Johns Hopkins Social Innovation Lab, a mission-driven incubator for social ventures aimed at bettering livelihoods in Baltimore and beyond. Before this, most of her career was spent between Washington D.C. and the Middle East working with philanthropic funds, NGOs, the public sector, and the private sector on initiatives related to youth engagement, enterprise development, and driving tech innovation. These organizations include Expo 2020 Dubai, Rainmaking Innovation, Womena, SMEX, Qatar Foundation International, and American Councils for International Education.</t>
  </si>
  <si>
    <t>401244-04P</t>
  </si>
  <si>
    <t>Mark Müller</t>
  </si>
  <si>
    <t>Xlife Sciences</t>
  </si>
  <si>
    <t>Müller</t>
  </si>
  <si>
    <t>www.xlifesciences.ch</t>
  </si>
  <si>
    <t>+41 (0)44 385 8460</t>
  </si>
  <si>
    <t>Talacker 35</t>
  </si>
  <si>
    <t>Mr. Mark Müller serves as Member of the Board at Xlife Sciences. He has 20 years of experience in the financial services industry at LGT Bank AG. There he was mainly responsible for looking after wealthy private clients. From 2009 to 2015 he was responsible for the business development of the LGT subsidiary in Zurich as a representative of the Swiss Financial Market Supervisory Authority FINMA. Since September 1, 2015, he Müller has been looking after wealthy clients independently. With RRB Unternehmungsberatung AG, he Müller focuses on a multifamily office approach. His consulting services include asset management, wealth management and structuring. He performs the functions of foundation board member, board of directors and client advisor. He Müller has a broad network in the financial services industry in Switzerland. In addition, he is actively involved in political consulting and in promoting Switzerland as a business location.</t>
  </si>
  <si>
    <t>53685-91P</t>
  </si>
  <si>
    <t>marwanj@oasis500.com</t>
  </si>
  <si>
    <t>Mr. H.E. Marwan Juma is a Co-Founder and serves as Chairman of the Board of Directors at Oasis 500. Mr. Juma is the founder and Chairman of the Board of Kinz for Information Technology, the country's leading corporate data provider, and dot. jo, one of Jordan's top web application providers. He also served as the country's Minister of Information of Communications and Information Technology from Dec 2009 till Feb 2011. Prior to his government service, he was the Chief Executive Officer of Xpress Telecommunications, one of Jordan's leading mobile operators. Prior to his tenure at Xpress, he was the Chief Executive Officer of Batelco Jordan, the country's second fixed-line operator, and a leading data communication provider. Today he chairs Oasis500, the region's leading IT fund and accelerator, as well Urdon Shop, specializing in the promotion of local heritage products. In addition, he serves on several boards including King Abdullah II Fund for Development, King Abdullah II Center for Excellence, the Jordan Education Initiative, JEI, Princess Sumaya University for Technology, the recently established public broadcast TV station, Capital Investments, and Jordan International Insurance. In addition, he serves on the board of DAI, a US firm working in the global development arena. He also served on the "National Agenda's" Royal Steering Committee entrusted with developing the country's ten-year strategy for the years 2006 to 2015. In addition, he is a founding contributor to Jordan's national initiative for establishing Jordan's IT Industry, known as the "REACH Initiative". The REACH Initiative is a five-year action plan to advance Jordan's nascent IT sector and strengthen its position to compete in local, regional, and global markets. Holder of a Masters in Management from North Carolina State University, and two Bachelor degrees in Business Management and Economics from the same school, he has been an active player in Jordan's Information Technology sector since 1990. Upon completing his studies, he joined Ideal Group, (the Apple Computer and Compaq distributor in Jordan), and moved up the ranks to become Vice President. In 1995, he took over as the General Manager of NETS, Jordan's first email and second Internet Service Provider. Six years later, NETS, and a second data provider, Firstnet, and Bahrain Telecom, a regional leading telecom provider completed the first IT merger in Jordan and formed Batelco Jordan. An outspoken character, he has lobbied long and hard towards the establishment of world-class telecom infrastructure in Jordan and has been an ardent supporter for increased private-public partnerships to further enhance and accelerate the country's modernization and economic development.</t>
  </si>
  <si>
    <t>195082-21P</t>
  </si>
  <si>
    <t>Matthew Greathouse</t>
  </si>
  <si>
    <t>Greathouse</t>
  </si>
  <si>
    <t>+1 (909) 632-3032?</t>
  </si>
  <si>
    <t>Mr. Matthew Greathouse serves as Investment Director at KBW Ventures. Mr. Greathouse is a recent graduate of U.C. Berkeley, where he received a Bachelor's degree in Physics. During his time at Cal, he was an active member of the entrepreneurship organization Sigma Eta Pi and focused his academic career on courses that supported his passions at the intersection of sustainability, technology, and society.</t>
  </si>
  <si>
    <t>457894-00P</t>
  </si>
  <si>
    <t>Mohammed Ali Rashed Mohammed Alrashdi</t>
  </si>
  <si>
    <t>Mair Group</t>
  </si>
  <si>
    <t>Rashed Mohammed Alrashdi</t>
  </si>
  <si>
    <t>Mohammed Ali</t>
  </si>
  <si>
    <t>www.mairgroup.com</t>
  </si>
  <si>
    <t>Mina Center 20th Street</t>
  </si>
  <si>
    <t>Zayed Port Al Mina</t>
  </si>
  <si>
    <t>Mr. Mohammed Ali Rashed Mohammed Alrashdi serves as a Board Member at Mair Group. Bringing more than 10 years of experience, he sits on the Board of Directors at MAIR Group and is a member of its strategic investment committee. He also serves as the Chief Executive Officer of International Resources Holding (IRH), a subsidiary of 2PointZero/International Holding Company (IHC), overseeing the day-to-day operations. As well as serving as Chairman of the Emircom Board of Directors MW Energy Limited, Al Seer Marine Supplies &amp; Equipment Company PrJSC, and Abu Dhabi National Hotels PJSC. His previous roles include Acting Director for First Integrated Properties at Abu Dhabi Financial Group (ADFG). He holds a Bachelor of Science in Financial Economics and an International Relations and Business degree in International Relations and Business from the University of Rochester. He also has an MBA in Finance from Abu Dhabi University.</t>
  </si>
  <si>
    <t>306297-28P</t>
  </si>
  <si>
    <t>Mukami Wainaina</t>
  </si>
  <si>
    <t>Novastar Ventures</t>
  </si>
  <si>
    <t>Wainaina</t>
  </si>
  <si>
    <t>Mukami</t>
  </si>
  <si>
    <t>www.novastarventures.com</t>
  </si>
  <si>
    <t>mukami@novastarventures.com</t>
  </si>
  <si>
    <t>21-27 Lambs Conduit Street</t>
  </si>
  <si>
    <t>WC1N 3GS</t>
  </si>
  <si>
    <t>Ms. Mukami Wainaina served as Investment Officer at Al Mada Ventures. She serves as Associate Director at Novastar Ventures. She served as Investment Associate at Aldridge Wealth. Her cross-functional role sits across our Investment and Finance functions. She supports the Managing Investment Director in the sourcing, due diligence and execution of strategic opportunities, and in evaluating the ongoing performance of portfolio companies. She works with the Head of Group Finance on the accounting and finance functions of the business. She holds an LL.M. Master's degree in International Business Law from the London School of Economics and Political Science (LSE). Her studies focused on the Law and Practice of International Finance, M&amp;A and Restructuring, and Business Taxation. Prior to this, she achieved an LL.B (Hons) Law degree from the University of York. During her studies, she also found time to gain a wide variety of experiences, including working for an Investment Fund in Kenya, Corporate Law Firms in Zambia and Kenya, and a Legal Clinic in Washington D.C. She is an ICAEW qualified Chartered Accountant.</t>
  </si>
  <si>
    <t>399880-09P</t>
  </si>
  <si>
    <t>Narjisse Belmahi</t>
  </si>
  <si>
    <t>Al Mada Ventures</t>
  </si>
  <si>
    <t>Belmahi</t>
  </si>
  <si>
    <t>Narjisse</t>
  </si>
  <si>
    <t>60 Rue d'Alger</t>
  </si>
  <si>
    <t>Ms. Narjisse Belmahi serves as Chief Financial Officer &amp; Chief Operating Officer at Al Mada Ventures. She brings with her over two decades of financial expertise with a focus in debt engineering, cash optimization and profitability monitoring as well as a strong track record of leading highly structuring IT projects and redesigning processes in order to support business growth and operational efficiency. She holds a master's degree in Finance and an MBA from Ecole des Ponts Business School.</t>
  </si>
  <si>
    <t>351541-45P</t>
  </si>
  <si>
    <t>Nichin Sreekantaswamy</t>
  </si>
  <si>
    <t>Advaita Capital</t>
  </si>
  <si>
    <t>Sreekantaswamy</t>
  </si>
  <si>
    <t>Nichin</t>
  </si>
  <si>
    <t>www.advaitacap.com</t>
  </si>
  <si>
    <t>VC Investor Fellow</t>
  </si>
  <si>
    <t>+1 (978) 846-4458</t>
  </si>
  <si>
    <t>nsreekantaswamy@advaitacap.com</t>
  </si>
  <si>
    <t>Mr. Nichin Sreekantaswamy serves as VC Investor Fellow at Advaita Capital. He works on due diligence, technical analysis, deal analysis in Advaita Capital. He also leads Advaita Capital's effort in selecting startup nominee for Earthshot Prize, created by Prince William Foundation. He comes with an extensive hardware design background, having helped build iPhone Pro and Pro Max at Apple, Body Worn Cameras / Tasers at Axon and AgTech sensors at an early stage startup. He has also worked on iPhone's Motherboard design, A-Series Bionic Chips, Camera and Display systems, High Speed Digital Interfaces, Battery charging and management chips, Wireless Charging, Power Electronics, Rigid and Flexible PCB design, Product Safety and EMC/RF certifications, High Voltage Taser design, Wearable Cameras and Police LMR Radio design, etc. He holds degrees in Electrical Engineering from BITS Pilani and holds a Masters degree in Electrical Engineering from University of Pennsylvania.</t>
  </si>
  <si>
    <t>296506-54P</t>
  </si>
  <si>
    <t>Omar Alwir</t>
  </si>
  <si>
    <t>The Saudi Jordanian Investment Fund (Former)</t>
  </si>
  <si>
    <t>Alwir</t>
  </si>
  <si>
    <t>www.sjifund.com</t>
  </si>
  <si>
    <t>Mr. Omar Alwir served as Chief Executive Officer and Board Member at The Saudi Jordanian Investment Fund. Prior to assuming his current role, He was the CEO of AB Invest, the investment banking arm of Arab Bank. He also served as the CEO of Capital Investments, the investment banking arm of Capital Bank, and was the co-founder of Singularity Advisors, a corporate advisory service. Along with his distinguished career in the finance sector, He boasts a wealth of experience in the public sector, serving as Assistant for Policy at the Office of His Majesty King Abdullah II of Jordan, as well as a policy advisor to the Jordanian Minister of Finance and Minister of Planning and International Cooperation. He began his career in the United States, where he worked in the restructuring and bankruptcy consulting field with Chicago-based Navigant Consulting. He holds a bachelor's degree from the University of Pennsylvania, where he graduated magna cum laude with a major in economics, with distinction, and minors in history and psychology.</t>
  </si>
  <si>
    <t>414883-00P</t>
  </si>
  <si>
    <t>Omar Musharraf</t>
  </si>
  <si>
    <t>Musharraf</t>
  </si>
  <si>
    <t>Financial &amp; Investment Advisor</t>
  </si>
  <si>
    <t>Mr. Omar Musharraf serves as Financial &amp; Investment Advisor at Seed Group. He has executed over 100 debt transactions via debt capital markets and loan syndications with an aggregate value of over US $75 billion for supranationals, sovereigns, quasi-sovereigns, large corporations, and financial institutions. He has also developed and invested in several successful entrepreneurial ventures.</t>
  </si>
  <si>
    <t>251151-40P</t>
  </si>
  <si>
    <t>Paolo Limcaoco</t>
  </si>
  <si>
    <t>Accion Ventures</t>
  </si>
  <si>
    <t>Limcaoco</t>
  </si>
  <si>
    <t>Paolo</t>
  </si>
  <si>
    <t>www.accion.org</t>
  </si>
  <si>
    <t>Principal, Southeast Asia</t>
  </si>
  <si>
    <t>+1 (202) 393-5113</t>
  </si>
  <si>
    <t>plimcaoco@accion.org</t>
  </si>
  <si>
    <t>1101 15th Street, Northwest</t>
  </si>
  <si>
    <t>20005</t>
  </si>
  <si>
    <t>+1 (202) 545-0361</t>
  </si>
  <si>
    <t>Mr. Paolo Limcaoco serves as the Principal, Southeast Asia at Accion. He is the Southeast Asia Investment Officer for Accion Venture Lab, Accion's seed-stage impact investment initiative in fintech for the underserved. He has over nine years of experience across impact investing and investment banking. Before joining Venture Lab, he was the Southeast Asia Investment Manager for LGT Venture Philanthropy, the global impact investing arm of the LGT Group where he was responsible for the activities and investments in the region. He also spent some time in Uganda working for the Mango Fund, a non-profit financing institution that lends to and invests in Ugandan SMEs. He has a bachelor's degree from Ateneo De Manila University and an MBA from the MIT Sloan School of Management.</t>
  </si>
  <si>
    <t>269951-23P</t>
  </si>
  <si>
    <t>Great Chiliocosm Capital</t>
  </si>
  <si>
    <t>www.3qcapital.com</t>
  </si>
  <si>
    <t>+86 (0)10 6595 9908</t>
  </si>
  <si>
    <t>pxiao@3qcapital.com</t>
  </si>
  <si>
    <t>Beijing, China</t>
  </si>
  <si>
    <t>32nd Floor, Jiasheng Center</t>
  </si>
  <si>
    <t>No.19 A, East Third Ring North Road, Chaoyang District</t>
  </si>
  <si>
    <t>Beijing</t>
  </si>
  <si>
    <t>Mr. Peng Xiao serves as Partner at Great Chiliocosm Capital.</t>
  </si>
  <si>
    <t>367944-94P</t>
  </si>
  <si>
    <t>Prakash Ramaseshan</t>
  </si>
  <si>
    <t>Ramaseshan</t>
  </si>
  <si>
    <t>Prakash</t>
  </si>
  <si>
    <t>Investment &amp; Finance Advisor</t>
  </si>
  <si>
    <t>Mr. Prakash Ramaseshan serves as an Investment &amp; Finance Advisor at Seed Group. Over 3 decades of experience in India &amp; the Middle East working with Large Financial Institutions across a range of Financial Services Products (Debt, Equity &amp; Advisory). Recent experience focused on Technology Venture Capital representing Fund Managers and companies for fundraising and business Development activities.</t>
  </si>
  <si>
    <t>437972-41P</t>
  </si>
  <si>
    <t>Priyanka Vijayan</t>
  </si>
  <si>
    <t>Vijayan</t>
  </si>
  <si>
    <t>Priyanka</t>
  </si>
  <si>
    <t>Managing Director - Seed Ventures</t>
  </si>
  <si>
    <t>priyanka@seedgroup.com</t>
  </si>
  <si>
    <t>Ms. Priyanka Vijayan serves as Managing Director - Seed Ventures at Seed Group.</t>
  </si>
  <si>
    <t>414879-04P</t>
  </si>
  <si>
    <t>Reem Lebhar Ph.D</t>
  </si>
  <si>
    <t>Lebhar</t>
  </si>
  <si>
    <t>Dr. Reem Lebhar serves as Advisor at Seed Group. She has over 20 years of experience in strategy and digital transformation, having made an impact in the public sector and aviation. She's held key positions at Accenture and Bain, as well as at Dubai's RTA as the Director of Strategy and Investment. She later worked as Etihad Airways' Director of Strategy, overseeing digital technology and innovation. She's connected with the HBS Club GCC, and with a Ph.D. in Economics and a Harvard</t>
  </si>
  <si>
    <t>399878-47P</t>
  </si>
  <si>
    <t>Renato Rossi</t>
  </si>
  <si>
    <t>Rossi</t>
  </si>
  <si>
    <t>Renato</t>
  </si>
  <si>
    <t>Mr. Renato Rossi serves as Investment Officer at Al Mada Ventures. He brings with him broad entrepreneurial and operational experience, holding roles between East and West Africa at early-stage pan-African fund/incubator, MEST and most recently in North Africa with the Cathay AfricInvest Innovation Fund. He holds his Bachelor in Economics and Politics, and is a Committee Member at the Canada Africa Chamber of Business.</t>
  </si>
  <si>
    <t>449478-91P</t>
  </si>
  <si>
    <t>Rida Chahoud</t>
  </si>
  <si>
    <t>Chahoud</t>
  </si>
  <si>
    <t>Rida</t>
  </si>
  <si>
    <t>Vice President, Synergy and Business Development</t>
  </si>
  <si>
    <t>Mr. Rida Chahoud serves as Vice President, Synergy and Business Development at Al Mada Ventures. He previously served as an advisor to H.E. the Minister of Digital Transition and Administrative Reform, where he played a key role working on strategy, policy-making and programs design to promote Moroccan digital economy. He pursued his education in Mathematics &amp; Computer Science at Strasbourg University.</t>
  </si>
  <si>
    <t>195082-03P</t>
  </si>
  <si>
    <t>Roy Choi</t>
  </si>
  <si>
    <t>Director, Investments</t>
  </si>
  <si>
    <t>r.choi@kbw-ventures.com</t>
  </si>
  <si>
    <t>Mr. Roy Choi serves as Director, Investments at KBW Ventures. Roy's expertise is in operations, having worked at The Walt Disney Company for 11 years opening new resorts, theme parks, and experiences. Before joining KBW Ventures, he was the editor in chief of TechnoBuffalo, a tech/gadget news website where he made regular appearances on CNBC and Fox Business. Roy earned his Bachelor's degree in political science and sociology from UCLA (Go Bruins!) and his MBA from UC Irvine's Paul Merage School of Business.</t>
  </si>
  <si>
    <t>437972-59P</t>
  </si>
  <si>
    <t>Sami Mekki</t>
  </si>
  <si>
    <t>Mekki</t>
  </si>
  <si>
    <t>Sami</t>
  </si>
  <si>
    <t>Director - Seed Tech</t>
  </si>
  <si>
    <t>sami@seedgroup.com</t>
  </si>
  <si>
    <t>Mr. Sami Mekki serves as Director - Seed Tech at Seed Group.</t>
  </si>
  <si>
    <t>58823-11P</t>
  </si>
  <si>
    <t>Samih Toukan</t>
  </si>
  <si>
    <t>Jabbar Internet Group</t>
  </si>
  <si>
    <t>Toukan</t>
  </si>
  <si>
    <t>Samih</t>
  </si>
  <si>
    <t>www.jabbar.com</t>
  </si>
  <si>
    <t>Chairman &amp; Chief Executive Officer</t>
  </si>
  <si>
    <t>+971 (0)4 446 2767</t>
  </si>
  <si>
    <t>samih@jabbar.com</t>
  </si>
  <si>
    <t>Dubai Design District</t>
  </si>
  <si>
    <t>Building 4 Office A406</t>
  </si>
  <si>
    <t>Mr. Samih Toukan serves as Chairman &amp; Chief Executive Officer at Jabbar Internet Group. Mr. Toukan co-founded Souq. He co-founded Tahadi Games Media. He serves as Advisor at Ziina. He served as Board Member at Democrance. He is also an Angel Investor. He is Leading and managing maktoob.com the World's largest Arab online community and CashU.com the innovative secure online prepaid payment solution. He holds a Bachelor's degree in Electrical Engineering from the University of London and a Masters in Management and International Business from HEC University in France. In 2009 He received Al Hussein Medal for Distinguished Performance of the First Order from His Majesty King Abdullah II in recognition of his contribution to the IT and Telecommunications sector in Jordan and the region. In 2016 He received the Social Media Entrepreneurship Award for the private sector from His Highness Sheikh Mohammed Bin Rashed al Maktoom in Dubai. In 2011 and in 2012 He was named by ArabianBusiness magazine as one of the most 500 influential Arabs in the world. He serves as Board Member at eZhire.</t>
  </si>
  <si>
    <t>213196-87P</t>
  </si>
  <si>
    <t>Sanjay Panchal</t>
  </si>
  <si>
    <t>Panchal</t>
  </si>
  <si>
    <t>Partner &amp; Owner</t>
  </si>
  <si>
    <t>sanjay.panchal@greenseedgroup.com</t>
  </si>
  <si>
    <t>Mr. Sanjay Panchal is the Owner and serves as Partner at Green Seed Group. He serves as a Board Member at King Arthur Flour. Most recently, he was the US General Manager of Quorn Foods, where he was accountable to the CEO and Private Equity owners to accelerate growth in the world's largest meat alternative market. Over his 4 years at Quorn, he grew the business by over $15M, by creating an amazing team in Chicago that galvanized around a strong strategic plan and focused on flawless execution. Following the sale of Quorn to Monde Nissin for $830M, he continued with the business to facilitate a smooth transition of the plan and to set the business and team up for long-term success.</t>
  </si>
  <si>
    <t>368622-10P</t>
  </si>
  <si>
    <t>Semih Tumluk Ph.D</t>
  </si>
  <si>
    <t>Tumluk</t>
  </si>
  <si>
    <t>Semih</t>
  </si>
  <si>
    <t>Dr. Semih Tumluk serves as Advisor at Seed Group. Dr. Tumluk is an experienced executive and leader with a diverse background spanning over 13+ years in multinational companies across various sectors, including telecommunications, FMCG, consultancy, and training. Currently, he serves as the Head of AI and Digital Business Transformation Programmes at PwC, where he helps Middle Eastern organizations prepare for the future by leading digital business transformation programs. His Master's is in Engineering and Technology Management from Bogazici University, and his Ph.D. is in Finance in the Management Department at Yeditepe University. Additionally, he has completed an executive education program in branding at the Kellogg School of Management. Throughout his career, he has achieved numerous accomplishments, including leading Unilever innovation project teams, successfully managing CRM teams in 35 countries, and establishing HR analytics and employee experience programs. He also successfully launched the first AI program in the Middle East, and he has been recognized as a Top 50 Thought Leader in Artificial Intelligence by Thinkers360. He founded the Singularity University Dubai Chapter and has been selected as a Global AI Ambassador by SwissCognitive.</t>
  </si>
  <si>
    <t>58196-26P</t>
  </si>
  <si>
    <t>Shadi Sadeek Sanbar</t>
  </si>
  <si>
    <t>Green Sands Equity (Former)</t>
  </si>
  <si>
    <t>Sadeek Sanbar</t>
  </si>
  <si>
    <t>www.greensandsequity.com</t>
  </si>
  <si>
    <t>Mr. Shadi Sadeek Sanbar serves as Managing Director &amp; Board Member at Green Sands Equity. He also serves as Senior Financial Advisor &amp; Board Member at Kingdom Holding Company. Shadi is seasoned in the financial sector, highly versed in assurance, risk, and asset management. His deep understanding and active role investing in some of the world's most prominent companies holds its foundation in over 42 years of experience. He has advised clients and been an integral part of the investment, financing decisions including executive board management of the portfolio. Shadi was a Managing Partner at Arthur Andersen as head of their Media and Entertainment division. Later, he moved to Saudi Arabia with Ernst &amp; Young and became CFO of Kingdom Holding Company as part of the executive team that took it public in 2007. He has traveled extensively and has had the opportunity to work with royals, artistic celebrities and financial movers and shakers, giving him a deep appreciation for a wide variety of personalities, cultures, privacy and sensitivities.</t>
  </si>
  <si>
    <t>199102-42P</t>
  </si>
  <si>
    <t>Shadi Sanbar</t>
  </si>
  <si>
    <t>Sanbar</t>
  </si>
  <si>
    <t>Advisor &amp; Board Member</t>
  </si>
  <si>
    <t>Mr. Shadi Sanbar served as Advisor &amp; Board Member at Green Sands Equity. He is seasoned in the financial sector, highly versed in assurance, risk, and asset management. He has advised clients and been an integral part of the investment, financing decisions including executive board management of the portfolio. He was a Managing Partner at Arthur Andersen as head of their Media and Entertainment division. Later, he moved to Saudi Arabia with Ernst &amp; Young and became CFO of Kingdom Holding Company as part of the executive team that took it public in 2007. He has traveled extensively and has had the opportunity to work with royals, artistic celebrities, and financial movers and shakers, giving him a deep appreciation for a wide variety of personalities, cultures, privacy, and sensitivities.</t>
  </si>
  <si>
    <t>326542-78P</t>
  </si>
  <si>
    <t>Shamal Thakar</t>
  </si>
  <si>
    <t>Atomico</t>
  </si>
  <si>
    <t>Thakar</t>
  </si>
  <si>
    <t>www.atomico.com</t>
  </si>
  <si>
    <t>Director, Growth Acceleration</t>
  </si>
  <si>
    <t>+44 (0)20 7499 1093</t>
  </si>
  <si>
    <t>shamal@atomico.com</t>
  </si>
  <si>
    <t>29 Rathbone Street</t>
  </si>
  <si>
    <t>W1T 1NJ</t>
  </si>
  <si>
    <t>Mr. Shamal Thakar serves as Director, Growth Acceleration at Atomico. He works with our portfolio to build, structure and negotiate commercial and strategic partnerships with some of the world's most exciting brands.</t>
  </si>
  <si>
    <t>74404-63P</t>
  </si>
  <si>
    <t>Shaun Jamieson</t>
  </si>
  <si>
    <t>Cindicates</t>
  </si>
  <si>
    <t>Jamieson</t>
  </si>
  <si>
    <t>Shaun</t>
  </si>
  <si>
    <t>www.cindicates.com</t>
  </si>
  <si>
    <t>+1 (250) 240-8600</t>
  </si>
  <si>
    <t>Victoria, Canada</t>
  </si>
  <si>
    <t>777 Fort Street</t>
  </si>
  <si>
    <t>V8W 1H2</t>
  </si>
  <si>
    <t>Mr. Shaun Jamieson serves as Venture Partner at Cindicates. He serves as a Partner at EY Design Studio Canada. He served as Chief Executive Officer at SilkStart Technology. He holds a Degree from the Prince Of Wales and a degree in business and entrepreneurship from the British Columbia Institute of Technology. He served as Due Diligence Advisor at E-Fund</t>
  </si>
  <si>
    <t>371288-71P</t>
  </si>
  <si>
    <t>Shian-Jiun Shih Ph.D</t>
  </si>
  <si>
    <t>H7 BioCapital</t>
  </si>
  <si>
    <t>Shih</t>
  </si>
  <si>
    <t>Shian-Jiun</t>
  </si>
  <si>
    <t>www.h7biocapital.com</t>
  </si>
  <si>
    <t>Dr. Shian-Jiun Shih serves as an Advisor at H7 BioCapital. She is CEO and co-founder of Cellentia, a bioassay service provider that empowers biopharma clients to accelerate novel drug development. She served as VP of Product Development at Tessa Therapeutics from 2016-2021, leading analytical and process development for cell therapy products, viral vectors, external GMP, and biomarkers. Previously, she directed 29 scientists in immunoassays, nucleic acid-based assays, next-gen sequencing, mass spectrometry, flow cytometry, cell-based assays, IHC, and bioinformatics at Merck for six years. She holds a BS in Chemistry from National Taiwan University, a Ph.D. in Biochemistry from the University of Wisconsin-Madison, and completed post-doctoral training in Molecular Pharmacology at Stanford University.</t>
  </si>
  <si>
    <t>361592-92P</t>
  </si>
  <si>
    <t>Sofia Salomão</t>
  </si>
  <si>
    <t>Salomão</t>
  </si>
  <si>
    <t>Investment Principal</t>
  </si>
  <si>
    <t>Ms. Sofia Salomão serves as Investment Principal at Al Mada Ventures. She served as Chief Financial Officer at Rúmina. She worked at Amway do Brasil Ltda as the CFO for Brazil and also as the Head of Tax Brazil. She has also held positions at Natura as the Tax Planning Manager and Coordinator. She began her career at Ernst &amp; Young, where she worked as a Manager, Senior Tax Advisor, and Tax Advisor. She completed her Bachelor's degree in International Business Administration from Universidade Presbiteriana Mackenzie from 2003 to 2006. She further pursued a Master of Laws (LLM) with a specialization in Direito Tributario from FGV - Fundação Getulio Vargas.</t>
  </si>
  <si>
    <t>411464-89P</t>
  </si>
  <si>
    <t>Sophia Delavari</t>
  </si>
  <si>
    <t>Delavari</t>
  </si>
  <si>
    <t>Sophia</t>
  </si>
  <si>
    <t>Executive Manager</t>
  </si>
  <si>
    <t>Ms. Sophia Delavari serves as Executive Manager at KBW Ventures. Prior to joining KBW Ventures, she was an active entrepreneur in the health and wellness industry and continues to be active in the wider sector. She holds a Bachelors of Education from Dún Laoghaire Institute of Art, Design and Technology</t>
  </si>
  <si>
    <t>228457-00P</t>
  </si>
  <si>
    <t>Steven Kum</t>
  </si>
  <si>
    <t>M&amp;L Group</t>
  </si>
  <si>
    <t>Kum</t>
  </si>
  <si>
    <t>mlgroup.com.sg</t>
  </si>
  <si>
    <t>Chief Medical Officer</t>
  </si>
  <si>
    <t>+65 6222 3232</t>
  </si>
  <si>
    <t>skum@mnlhealthcare.com</t>
  </si>
  <si>
    <t>3 Church Street</t>
  </si>
  <si>
    <t>Number 12-02 Samsung Hub</t>
  </si>
  <si>
    <t>049483</t>
  </si>
  <si>
    <t>+65 6221 3232</t>
  </si>
  <si>
    <t>Dr. Steven Kum serves as Chief Medical Officer at M&amp;L Healthcare Investments. In 2012, he completed a second Fellowship on Advanced Techniques in Diabetic Limb Salvage and Wound Care Techniques in Milan. Since 2015, Dr Kum has been the Director of Vascular Surgery at Department of Surgery, Changi General Hospital Singapore and he was subsequently appointed as a Visiting Consultant in 2019. He currently maintains his practice at Mount Elizabeth Novena Hospital, Singapore. Dr Kum is a Clinical lecturer in both Yong Loo Lin and Lee Kong Chian School of Medicine in Singapore and is a Faculty member for General Surgical Residents for Singhealth. He regularly proctors physicians in Endovascular procedures in Europe and Asia. He is regularly invited to several regional and international meetings and is part of the organizing committee of LINC and VERVE. Dr Kum has a keen interest in clinical research revolving around Diabetic Limb Salvage. He is one of the pioneers in Percutaneous Deep Arterialization for no-option Critical Limb Ischemia for which he has authored and co-authored numerous papers. He is the PI or co-PI for several industry and physician led studies. He is also a keen innovator who is currently working on several disruptive technologies. Dr Kum received his medical degree from the National University of Singapore in 2000 and subsequently embarked on his surgical training with the Royal College of Surgeons, obtaining his Master of Medicine and Fellowship in 2007. In 2009, he completed his Postgraduate Fellowship in Vascular and Endovascular Surgery at the Prince of Wales Hospital, Sydney as well as at the Department of Angiology, Heart Centre Leipzig.</t>
  </si>
  <si>
    <t>321148-09P</t>
  </si>
  <si>
    <t>Tariq Hendi</t>
  </si>
  <si>
    <t>Global Ventures (Dubai) (Former)</t>
  </si>
  <si>
    <t>Hendi</t>
  </si>
  <si>
    <t>Tariq</t>
  </si>
  <si>
    <t>www.global.vc</t>
  </si>
  <si>
    <t>+971 (0)6 237 2508</t>
  </si>
  <si>
    <t>16th floor, WeWork</t>
  </si>
  <si>
    <t>Hub 71, Al Khatem Tower, Abu Dhabi Global Market Square, Al Maryah Island</t>
  </si>
  <si>
    <t>Dr. Tariq Hendi served as Senior Partner at Global Ventures. He is the Chairman of ENBD REIT and Edelman Middle East. Most recently, he served as the Chief Investment Officer at G42. Prior to G42, he was the Director General of the Abu Dhabi Investment Office, where he was tasked with expanding private sector activity in the Emirate. He held leadership roles at various institutions, including Emirates NBD, Mubadala, and Citibank. He also sits on a number of boards, including Gulf Capital, UAE University, DGCX, and Emirates Post Group. He holds a Ph.D. in Economics from Imperial College London and graduate (Master's) degrees from Columbia University and London Business School. He has an undergraduate degree in business from Clayton State University. He is also a member of YPO. He serves as a Board Member at Takalam Online Counseling.</t>
  </si>
  <si>
    <t>84365-65P</t>
  </si>
  <si>
    <t>Thomas Andrae</t>
  </si>
  <si>
    <t>Linden Capital</t>
  </si>
  <si>
    <t>Andrae</t>
  </si>
  <si>
    <t>www.lindencapital.de</t>
  </si>
  <si>
    <t>Founder, Managing Director &amp; Managing Partner</t>
  </si>
  <si>
    <t>+49 (0)30 5546 4818</t>
  </si>
  <si>
    <t>tandrae@lindencapital.de</t>
  </si>
  <si>
    <t>Mommsenstraße 1</t>
  </si>
  <si>
    <t>10629</t>
  </si>
  <si>
    <t>Mr. Thomas Andrae is the Founder and serves as Managing Director &amp; Managing Partner at Linden Capital. Mr. Andrae serves as a Member of the Supervisory Board at Merantix Capital. He is a Co-Founder at Cobrainer. He is a Co-Founder and serves as Head of Strategy at Delphi. He is a Co-Founder of Cobrainer. He serves as a Member of the Supervisory Board at Merantix. He served as an Advisor at Stellar. He is also an Angel Investor. Previously, he served as Chief Strategy Officer at Indigo Technologies and advisor at Circunomics. He also serves as an Advisory Board Member at Signals Venture Capital. After studying computer science, He began his career as a consultant in the context of IT strategy at Andersen Consulting and Price Waterhouse. Following his company foundation and successful sales, He founded the investment and consulting company Linden Capital with a focus on investments at the interface between creativity and technology. At the same time, He built the international holding company of the US technology group 3M from 2010 to 2016. He serves as an Advisor at Aware The Platform. He serves as Venture Partner at Deutsche Ventures. He served as Advisor at Q.ANT. He holds a Degree from Berlin University of Applied Sciences Berlin (1993).</t>
  </si>
  <si>
    <t>59001-22P</t>
  </si>
  <si>
    <t>Thomas Hyland</t>
  </si>
  <si>
    <t>Emphasis Ventures (EMVC)</t>
  </si>
  <si>
    <t>Hyland</t>
  </si>
  <si>
    <t>www.em.vc</t>
  </si>
  <si>
    <t>+91 (0)98 4514 3530</t>
  </si>
  <si>
    <t>10011</t>
  </si>
  <si>
    <t>Mr. Thomas Hyland serves as Advisor at Emphasis Ventures (EMVC). He Co-Founded and served as Partner at Lightrock. He is an active investor in India and was the co-founder of Aspada, an early-stage, impact venture capital fund based in Bangalore backing innovative models in financial services, agricultural supply chains and logistics, healthcare, and education. Anchored by the Soros Economic Development Fund, Aspada was sold to the LGT Group of Liechtenstein in late 2019 where it now anchors LGTs global sustainable fund effort, Lightrock.</t>
  </si>
  <si>
    <t>201272-59P</t>
  </si>
  <si>
    <t>Yassine Soual</t>
  </si>
  <si>
    <t>Soual</t>
  </si>
  <si>
    <t>Yassine</t>
  </si>
  <si>
    <t>Investment Principal &amp; Director, Investments</t>
  </si>
  <si>
    <t>Mr. Yassine Soual serves as Investment Principal &amp; Director, Investments at Al Mada Ventures. He served as Director of Participations at Bpifrance. He served as a Board Observer at Ynsect. He also serves as a Board Member at Ynsect. With € 1 billion, the fund invests more than € 10 million in companies with high capital requirements in the digital, environmental, and healthcare sectors. Prior to this, he was a consultant at L.E.K. Consulting and has also worked for high-growth e-commerce companies (Groupon, Rocket Internet). He is a graduate of ESSEC Business School and Centrale Nantes.</t>
  </si>
  <si>
    <t>53220-07P</t>
  </si>
  <si>
    <t>Yitzchak Bader</t>
  </si>
  <si>
    <t>Granot Ventures (Former)</t>
  </si>
  <si>
    <t>Yitzchak</t>
  </si>
  <si>
    <t>www.granot-ventures.com</t>
  </si>
  <si>
    <t>Yitzchak Bader served as Director at Granot Ventures. In his role at Granot Ventures, Yitzchak utilizes his strong network and industry knowledge to establish powerful relationships with key players in the Israeli and international markets. He is currently Chief Executive Officer of Granot Cooperative, with an annual turnover of over 900M USD. He is also Chairman of the Board of Directors of Alon Israel Oil Company Ltd., the largest Israeli energy corporation and multi-billion dollar international holding company.</t>
  </si>
  <si>
    <t>261008-74P</t>
  </si>
  <si>
    <t>Akhil Gupta</t>
  </si>
  <si>
    <t>360 ONE</t>
  </si>
  <si>
    <t>Wealth Management Firm</t>
  </si>
  <si>
    <t>Akhil</t>
  </si>
  <si>
    <t>www.360.one</t>
  </si>
  <si>
    <t>+91 (0)22 4876 5158</t>
  </si>
  <si>
    <t>360 ONE Center</t>
  </si>
  <si>
    <t>Kamala City, Senapati Bapat Marg, Lower Parel</t>
  </si>
  <si>
    <t>400013</t>
  </si>
  <si>
    <t>Mr. Akhil Gupta serves as Independent Director &amp; Chairman at 360 ONE. He serves as Vice Chairman at Bharti Enterprises. He serves as Board Member at Eutelsat OneWeb. He has led the formation of various partnerships for Bharti with leading international operators including British Telecom, Telecom Italia, Singapore Telecom and Vodafone in addition to induction of leading financial investors like Warburg Pincus, Temasek, KKR, Qatar Foundation Endowment, AIF and Sequoia among many other Private Equity funds. He has been instrumental in raising several billion dollars by way of project finance for the Group over the years from global banks, bond markets and Export Credit Agencies (ECAs). He has also spearheaded the successful public listings of Bharti Airtel (2002), Bharti Infratel (2012) and Airtel Africa (2019). He is currently the Chairman of TAIPA (Tower and Infrastructure Providers Association), President of TSSC (Telecom Sector Skill Council), a member of the Advisory Committee on the Service Providers of Insolvency and Bankruptcy Board of India, a member of the Sub Committee of the Insolvency Law Committee, Government of India, and a member of CII Task Force on Insolvency and Bankruptcy 2020-21. He represents the Indian Telecom Industry and Bharti regularly at various forums in India and abroad. He is a Chartered Accountant by qualification and is the recipient of numerous awards which include ET Telecom Lifetime Achievement Award, Voice&amp;Data Lifetime Contribution Award, EY Entrepreneur of the Year Award as an Entrepreneur CEO, CA Lifetime Achievement Award by ICAI, Lifetime Achievement Award by Amity University, CEO of the Year award at National Telecom Awards, CA Business Achiever award by ICAI, Asia Corporate Dealmaker award at the Asia Pacific M&amp;A Atlas Awards, Best CFO awards in multiple categories by CNBC-TV18 and induction to Hall of Fame by CFO India. He serves as Board Member at Zepto.</t>
  </si>
  <si>
    <t>327820-24P</t>
  </si>
  <si>
    <t>Brian Walsh Jr.</t>
  </si>
  <si>
    <t>Vested Advisors</t>
  </si>
  <si>
    <t>www.vestedadvisors.com</t>
  </si>
  <si>
    <t>Founder &amp; Managing Partner</t>
  </si>
  <si>
    <t>+1 (610) 688-4447</t>
  </si>
  <si>
    <t>brian.walsh@vestedadvisors.com</t>
  </si>
  <si>
    <t>Lansdale, PA</t>
  </si>
  <si>
    <t>480 Pennbrook Parkway</t>
  </si>
  <si>
    <t>Lansdale</t>
  </si>
  <si>
    <t>19446</t>
  </si>
  <si>
    <t>Mr. Brian Walsh is the Founder and serves as Managing Partner at Vested Advisors. Mr. Walsh is also a Partner in The Ascent Group, which is a Registered Investment Advisory (RIA) firm managing over $2.5 Billion of assets. His professionalism in the financial services business focuses on comprehensive financial planning, fee-only fiduciary advice, investment management, risk management, and ESG investing. Before his career in Finance, he was a Police Officer in Prince William County, Virginia. He was nominated as squad leader by his peers and led responses to high-risk calls and violent crimes. He was twice nominated for Officer of the Month. He is a CERTIFIED FINANCIAL PLANNER™ and holds the esteemed Certified Financial Fiduciary (CFF) and Certified Fund Specialist (CFS) designations. He earned his Finance and Portfolio Management MBA from Syracuse University's Whitman School of Management. He received his undergraduate degree from Cabrini College in Radnor, Pennsylvania. Brian understands that each client has a different set of goals and objectives, which is why he takes a comprehensive approach to financial planning. Brian works diligently with his clients to understand their needs which helps him build a custom financial plan unique to their individual goals. Brian has been featured in outlets such as CNBC, the Wall Street Journal, Bloomberg, and MarketWatch, among others, for his insights on market and economic outlooks and strategies to help maximize financial planning outcomes. Before his career in Finance, Brian was a Police Officer in Prince William County, Virginia. His peers nominated him squad leader and he led responses to high-risk calls and violent crimes. He was twice nominated for Officer of the Month-once for his work tracking down the victim and suspect involved in a kidnapping and once for assisting a victim of domestic abuse.</t>
  </si>
  <si>
    <t>457825-24P</t>
  </si>
  <si>
    <t>Ekaterina Osipova</t>
  </si>
  <si>
    <t>ULIT Capital</t>
  </si>
  <si>
    <t>Osipova</t>
  </si>
  <si>
    <t>Ekaterina</t>
  </si>
  <si>
    <t>ulit.ch</t>
  </si>
  <si>
    <t>Managing Partner and Chairwoman</t>
  </si>
  <si>
    <t>+41 (0)44 500 4680</t>
  </si>
  <si>
    <t>Rennweg 32</t>
  </si>
  <si>
    <t>Ms. Ekaterina Osipova serves as Managing Partner and Chairwoman at ULIT Capital. Ms. Ossipova held various management positions at LGT Bank (Switzerland) Ltd. in Zurich - including Team Leader, Head of Department for Central and Eastern Europe, and most recently Head of International Markets. Previously, she held senior positions at Clariden Leu AG (now UBS AG) and HSBC Private Bank. She earned a degree in Economics, Law, and Business Administration Specialization: Finance and Capital Markets from the University of St. Gallen, Switzerland.</t>
  </si>
  <si>
    <t>458452-99P</t>
  </si>
  <si>
    <t>Galina Bekker</t>
  </si>
  <si>
    <t>Bekker</t>
  </si>
  <si>
    <t>Galina</t>
  </si>
  <si>
    <t>Partner and Senior Investment Advisor</t>
  </si>
  <si>
    <t>Ms. Galina Bekker serves as Partner and Senior Investment Advisor at ULIT Capital. she worked as a Senior Investment Advisor at LGT Bank (Switzerland) Ltd. in Zurich, and for the past six years she headed the Advisory International team. she also held senior positions at Clariden Leu AG (later Credit Suisse AG), HSBC Private Bank, and UBS AG, where she served as a portfolio advisor focusing on emerging market fixed income. She developed investment ideas for private clients and actively supported relationship managers in client acquisition and relationship development. She holds a master's degree in chemical engineering, specializing in biotechnology.</t>
  </si>
  <si>
    <t>319982-95P</t>
  </si>
  <si>
    <t>Henri Leimer</t>
  </si>
  <si>
    <t>LGT Wealth India</t>
  </si>
  <si>
    <t>Leimer</t>
  </si>
  <si>
    <t>www.lgtindia.in</t>
  </si>
  <si>
    <t>+91 (0)22 5094 1000</t>
  </si>
  <si>
    <t>7th Floor, A Block, Shiv Sagar Estate</t>
  </si>
  <si>
    <t>Dr. Annie Besant Road, Worli</t>
  </si>
  <si>
    <t>400018</t>
  </si>
  <si>
    <t>Dr. Henri Leimer serves as Board Member at LGT Wealth India. He also serves as a Board Member at LGT Crestone Wealth Management. He has been CEO of Private Banking Asia Pacific at LGT Bank since 2013. He studied business administration at the University of St.Gallen, where he obtained his doctorate in 1990. From 1987, he worked for Swiss Bank Corporation, Basel, in various functions at different locations. In 1994, he joined LGT Bank in Liechtenstein at the Hong Kong location as Head of the Asia Pacific representative office and became CEO of LGT Bank, Hong Kong, in 2011. He graduated from St. Gallen Business School in Business Administration with Specialisation in Banking and completed his doctoral studies.</t>
  </si>
  <si>
    <t>410295-52P</t>
  </si>
  <si>
    <t>Michael Burge</t>
  </si>
  <si>
    <t>Burge</t>
  </si>
  <si>
    <t>Mr. Michael Burge serves as a Board Member at LGT Wealth India. He has served as Chief Financial Officer of LGT Private Banking since 2021 and of LGT Group since April 2023. In that capacity, he oversees financial strategy and reporting across the organization, drawing on decades of experience in banking and group-level financial management. He holds an undergraduate degree in business administration and a postgraduate Executive Master of Financial Planning and Consulting.</t>
  </si>
  <si>
    <t>387371-08P</t>
  </si>
  <si>
    <t>Mohammad Al Fares</t>
  </si>
  <si>
    <t>Rasameel Investment Company</t>
  </si>
  <si>
    <t>Al Fares</t>
  </si>
  <si>
    <t>www.rasameel.com</t>
  </si>
  <si>
    <t>+965 2247 8800</t>
  </si>
  <si>
    <t>Noor AlSalhiya Complex, AlQibla</t>
  </si>
  <si>
    <t>Floor 5, Office 5 &amp; 6</t>
  </si>
  <si>
    <t>13050</t>
  </si>
  <si>
    <t>+965 2247 6600</t>
  </si>
  <si>
    <t>Mr. Mohammad Al Fares serves as a Board Member at Rasameel Investment Company. He has more than 11 years of experience and is the owner and Chairman of Nat Capital Holding Company. In addition, he has been an advisor to the Board of Directors of Towell International Holding Company since June 2016. He earned a Bachelor's degree in Business Administration (Finance).</t>
  </si>
  <si>
    <t>465101-29P</t>
  </si>
  <si>
    <t>Reto Brunner</t>
  </si>
  <si>
    <t>IFS Independent Financial Services</t>
  </si>
  <si>
    <t>Brunner</t>
  </si>
  <si>
    <t>Reto</t>
  </si>
  <si>
    <t>ifsag.ch</t>
  </si>
  <si>
    <t>Head of Portfolio Management</t>
  </si>
  <si>
    <t>+41 (0)58 178 2800</t>
  </si>
  <si>
    <t>reto.brunner@ifsag.ch</t>
  </si>
  <si>
    <t>Lucerne, Switzerland</t>
  </si>
  <si>
    <t>Habsburgerstrasse 12</t>
  </si>
  <si>
    <t>Lucerne</t>
  </si>
  <si>
    <t>6003</t>
  </si>
  <si>
    <t>Mr. Reto Brunner serves as Head of Portfolio Management at IFS Independent Financial Services. He is primarily responsible for looking after wealth management mandates for private and institutional clients. He was previously at VZ Vermögens Zentrum and LGT Bank (Switzerland). Mr. Brunner has many years of experience in portfolio management and holds a Master's degree in finance from the London Business School. He has also completed further training to qualify as a CFTe (Certified Financial Technician).</t>
  </si>
  <si>
    <t>281208-52P</t>
  </si>
  <si>
    <t>Vicky Wong</t>
  </si>
  <si>
    <t>The Family Office Company</t>
  </si>
  <si>
    <t>Vicky</t>
  </si>
  <si>
    <t>www.tfoco.com</t>
  </si>
  <si>
    <t>+973 1757 8000</t>
  </si>
  <si>
    <t>Manama, Bahrain</t>
  </si>
  <si>
    <t>9th Floor, Al Zamil Tower</t>
  </si>
  <si>
    <t>305 Government Avenue</t>
  </si>
  <si>
    <t>Manama</t>
  </si>
  <si>
    <t>+973 1722 1178</t>
  </si>
  <si>
    <t>Ms. Vicky Wong serves as a Board Member at The Family Office Company. She Headed the Key Client Solutions with LGT Bank in Hong Kong, where she assisted LGT's most strategic Asian-based clients with the non-investment aspects of their wealth planning. She also played a key role in developing LGT's Asian business and served on LGT's Executive Board Asia. Before joining LGT Group, she was an Executive Director at Goldman Sachs (Asia) L.L.C. and the Head of its Strategic Wealth Advisory Team (Asia), for over 10 years, responsible for advising private clients of Goldman Sachs (Hong Kong) on the areas of cross-border planning, pre-IPO structuring, succession planning, and philanthropy. From 1995 to 2000, she was an attorney with Bryan Cave LLP based in Hong Kong and Los Angeles. Her practice focused on U.S. and international tax, succession, and corporate and charitable planning for ultra-high-net-worth Asian and American families. She began her law career as an Attorney with Stikeman, Elliott in Canada from 1991 to 1995, focusing on securities and general corporate law. She is qualified to practice law in 5 jurisdictions - California and Washington, U.S.A.; British Columbia, Canada, Hong Kong and England and Wales. She holds a B.A. in Psychology and a law degree both from the University of British Columbia.</t>
  </si>
  <si>
    <t>© PitchBook Data, Inc.  2025</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</si>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</sst>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2" formatCode="dd-mmm-yyyy"/>
    <numFmt numFmtId="83" formatCode="#,###"/>
  </numFmts>
  <fonts count="49">
    <font>
      <sz val="11"/>
      <color theme="1"/>
      <name val="Calibri"/>
      <family val="2"/>
      <scheme val="minor"/>
    </font>
    <font>
      <sz val="8"/>
      <color rgb="FF000000"/>
      <name val="Open Sans"/>
      <family val="2"/>
    </font>
    <font>
      <b/>
      <sz val="8"/>
      <color rgb="FF000000"/>
      <name val="Open Sans"/>
      <family val="2"/>
    </font>
    <font>
      <sz val="11"/>
      <color theme="1"/>
      <name val="Calibri"/>
      <family val="2"/>
      <scheme val="minor"/>
    </font>
    <font>
      <u/>
      <sz val="11"/>
      <color rgb="FF0563C1"/>
      <name val="Calibri"/>
    </font>
    <font>
      <b/>
      <sz val="8"/>
      <color rgb="FF26649E"/>
      <name val="Open Sans"/>
      <family val="2"/>
    </font>
    <font>
      <b/>
      <sz val="16"/>
      <color rgb="FF000000"/>
      <name val="Open Sans"/>
      <family val="2"/>
    </font>
    <font>
      <b/>
      <sz val="8"/>
      <color rgb="FFFFFFFF"/>
      <name val="Open Sans"/>
      <family val="2"/>
    </font>
    <font>
      <i/>
      <sz val="10"/>
      <color rgb="FF000000"/>
      <name val="Open Sans"/>
      <family val="2"/>
    </font>
    <font>
      <i/>
      <sz val="10"/>
      <color rgb="FF000000"/>
      <name val="Open Sans"/>
      <family val="2"/>
    </font>
    <font>
      <sz val="8"/>
      <color rgb="FF000000"/>
      <name val="Open Sans"/>
      <family val="2"/>
    </font>
    <font>
      <sz val="8"/>
      <color rgb="FF000000"/>
      <name val="Open Sans"/>
      <family val="2"/>
    </font>
    <font>
      <sz val="8"/>
      <color rgb="FF000000"/>
      <name val="Open Sans"/>
      <family val="2"/>
    </font>
    <font>
      <i/>
      <sz val="10"/>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b/>
      <sz val="8"/>
      <color rgb="FF000000"/>
      <name val="Open Sans"/>
      <family val="2"/>
    </font>
    <font>
      <b/>
      <sz val="8"/>
      <color rgb="FF000000"/>
      <name val="Open Sans"/>
      <family val="2"/>
    </font>
    <font>
      <b/>
      <sz val="8"/>
      <color rgb="FF000000"/>
      <name val="Open Sans"/>
      <family val="2"/>
    </font>
    <font>
      <b/>
      <sz val="8"/>
      <color rgb="FF26649E"/>
      <name val="Open Sans"/>
      <family val="2"/>
    </font>
    <font>
      <b/>
      <sz val="8"/>
      <color rgb="FF26649E"/>
      <name val="Open Sans"/>
      <family val="2"/>
    </font>
    <font>
      <b/>
      <sz val="8"/>
      <color rgb="FF26649E"/>
      <name val="Open Sans"/>
      <family val="2"/>
    </font>
    <font>
      <sz val="8"/>
      <color rgb="FF000000"/>
      <name val="Open Sans"/>
      <family val="2"/>
    </font>
    <font>
      <sz val="8"/>
      <color rgb="FF000000"/>
      <name val="Open Sans"/>
      <family val="2"/>
    </font>
    <font>
      <b/>
      <sz val="14"/>
      <color rgb="FF000000"/>
      <name val="Open Sans"/>
      <family val="2"/>
    </font>
    <font>
      <b/>
      <sz val="14"/>
      <color rgb="FF000000"/>
      <name val="Open Sans"/>
      <family val="2"/>
    </font>
    <font>
      <b/>
      <sz val="14"/>
      <color rgb="FF000000"/>
      <name val="Open Sans"/>
      <family val="2"/>
    </font>
    <font>
      <b/>
      <sz val="14"/>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26649E"/>
      <name val="Open Sans"/>
      <family val="2"/>
    </font>
    <font>
      <i/>
      <sz val="10"/>
      <color rgb="FF26649E"/>
      <name val="Open Sans"/>
      <family val="2"/>
    </font>
    <font>
      <i/>
      <sz val="10"/>
      <color rgb="FF26649E"/>
      <name val="Open Sans"/>
      <family val="2"/>
    </font>
    <font>
      <i/>
      <sz val="10"/>
      <color rgb="FF26649E"/>
      <name val="Open Sans"/>
      <family val="2"/>
    </font>
  </fonts>
  <fills count="6">
    <fill>
      <patternFill patternType="none"/>
    </fill>
    <fill>
      <patternFill patternType="gray125"/>
    </fill>
    <fill>
      <patternFill patternType="solid">
        <fgColor rgb="FF051C38"/>
        <bgColor rgb="FF051C38"/>
      </patternFill>
    </fill>
    <fill>
      <patternFill patternType="solid">
        <fgColor rgb="FFF8F5EF"/>
      </patternFill>
    </fill>
    <fill>
      <patternFill patternType="solid">
        <fgColor rgb="FFF0EBDE"/>
      </patternFill>
    </fill>
    <fill>
      <patternFill patternType="solid">
        <fgColor rgb="FFFFFFFF"/>
      </patternFill>
    </fill>
  </fills>
  <borders count="14">
    <border>
      <left/>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style="thin">
        <color rgb="FF78766F"/>
      </top>
      <bottom/>
      <diagonal/>
    </border>
    <border>
      <left/>
      <right style="thin">
        <color rgb="FFD3D3D3"/>
      </right>
      <top style="thin">
        <color rgb="FF78766F"/>
      </top>
      <bottom/>
      <diagonal/>
    </border>
  </borders>
  <cellStyleXfs count="26">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4" fillId="0" borderId="0" applyNumberFormat="0" applyFill="0" applyBorder="0" applyAlignment="0" applyProtection="0"/>
    <xf numFmtId="0" fontId="5" fillId="0" borderId="0">
      <alignment horizontal="left" vertical="top"/>
    </xf>
    <xf numFmtId="0" fontId="2" fillId="0" borderId="0">
      <alignment horizontal="left" vertical="top" wrapText="1"/>
    </xf>
    <xf numFmtId="0" fontId="6" fillId="0" borderId="0">
      <alignment horizontal="left" vertical="center"/>
    </xf>
    <xf numFmtId="0" fontId="7" fillId="0" borderId="0">
      <alignment horizontal="center" vertical="center" wrapText="1"/>
    </xf>
    <xf numFmtId="0" fontId="1" fillId="0" borderId="1">
      <alignment horizontal="left" vertical="center" indent="1"/>
    </xf>
    <xf numFmtId="0" fontId="1" fillId="3" borderId="1">
      <alignment horizontal="left" vertical="center" indent="1"/>
    </xf>
    <xf numFmtId="0" fontId="12" fillId="0" borderId="1">
      <alignment horizontal="right" vertical="center" indent="1"/>
    </xf>
    <xf numFmtId="0" fontId="12" fillId="3" borderId="1">
      <alignment horizontal="right" vertical="center" indent="1"/>
    </xf>
    <xf numFmtId="0" fontId="12" fillId="0" borderId="1">
      <alignment horizontal="center" vertical="center"/>
    </xf>
    <xf numFmtId="0" fontId="12" fillId="3" borderId="1">
      <alignment horizontal="center" vertical="center"/>
    </xf>
    <xf numFmtId="0" fontId="22" fillId="0" borderId="1">
      <alignment horizontal="left" vertical="center" indent="1"/>
    </xf>
    <xf numFmtId="0" fontId="22" fillId="3" borderId="1">
      <alignment horizontal="left" vertical="center" indent="1"/>
    </xf>
    <xf numFmtId="0" fontId="22" fillId="0" borderId="1">
      <alignment horizontal="right" vertical="center" indent="1"/>
    </xf>
    <xf numFmtId="0" fontId="22" fillId="3" borderId="11">
      <alignment horizontal="right" vertical="center" indent="1"/>
    </xf>
    <xf numFmtId="0" fontId="31" fillId="4" borderId="13">
      <alignment horizontal="left" vertical="center" indent="1"/>
    </xf>
    <xf numFmtId="0" fontId="34" fillId="4" borderId="13">
      <alignment horizontal="left" vertical="center" indent="1"/>
    </xf>
    <xf numFmtId="0" fontId="12" fillId="0" borderId="0">
      <alignment horizontal="left" vertical="center"/>
    </xf>
    <xf numFmtId="0" fontId="40" fillId="0" borderId="0">
      <alignment horizontal="left" vertical="center"/>
    </xf>
    <xf numFmtId="0" fontId="44" fillId="5" borderId="0">
      <alignment horizontal="left" vertical="center"/>
    </xf>
    <xf numFmtId="0" fontId="48" fillId="5" borderId="0">
      <alignment horizontal="left" vertical="center"/>
    </xf>
    <xf numFmtId="0" fontId="44" fillId="5" borderId="0">
      <alignment horizontal="right" vertical="center"/>
    </xf>
  </cellStyleXfs>
  <cellXfs count="40">
    <xf numFmtId="0" fontId="0" fillId="0" borderId="0" xfId="0"/>
    <xf numFmtId="0" fontId="1" fillId="0" borderId="0" xfId="1">
      <alignment horizontal="right" vertical="center"/>
    </xf>
    <xf numFmtId="0" fontId="2" fillId="0" borderId="0" xfId="2">
      <alignment horizontal="left" vertical="center"/>
    </xf>
    <xf numFmtId="82" fontId="2" fillId="0" borderId="0" xfId="2" applyNumberFormat="1">
      <alignment horizontal="left" vertical="center"/>
    </xf>
    <xf numFmtId="0" fontId="1" fillId="0" borderId="0" xfId="3">
      <alignment horizontal="right" vertical="top"/>
    </xf>
    <xf numFmtId="0" fontId="7" fillId="2" borderId="0" xfId="8" applyFill="1">
      <alignment horizontal="center" vertical="center" wrapText="1"/>
    </xf>
    <xf numFmtId="0" fontId="5" fillId="0" borderId="0" xfId="5">
      <alignment horizontal="left" vertical="top"/>
    </xf>
    <xf numFmtId="0" fontId="2" fillId="0" borderId="0" xfId="6">
      <alignment horizontal="left" vertical="top" wrapText="1"/>
    </xf>
    <xf numFmtId="0" fontId="6" fillId="0" borderId="0" xfId="7">
      <alignment horizontal="left" vertical="center"/>
    </xf>
    <xf numFmtId="0" fontId="0" fillId="0" borderId="0" xfId="0">
      <protection locked="0"/>
    </xf>
    <xf numFmtId="0" fontId="1" fillId="0" borderId="1" xfId="9">
      <alignment horizontal="left" vertical="center" indent="1"/>
    </xf>
    <xf numFmtId="0" fontId="1" fillId="3" borderId="1" xfId="10">
      <alignment horizontal="left" vertical="center" indent="1"/>
    </xf>
    <xf numFmtId="0" fontId="12" fillId="0" borderId="1" xfId="11">
      <alignment horizontal="right" vertical="center" indent="1"/>
    </xf>
    <xf numFmtId="0" fontId="12" fillId="3" borderId="1" xfId="12">
      <alignment horizontal="right" vertical="center" indent="1"/>
    </xf>
    <xf numFmtId="0" fontId="12" fillId="0" borderId="1" xfId="13">
      <alignment horizontal="center" vertical="center"/>
    </xf>
    <xf numFmtId="0" fontId="12" fillId="3" borderId="1" xfId="14">
      <alignment horizontal="center" vertical="center"/>
    </xf>
    <xf numFmtId="0" fontId="22" fillId="0" borderId="1" xfId="15">
      <alignment horizontal="left" vertical="center" indent="1"/>
    </xf>
    <xf numFmtId="0" fontId="22" fillId="3" borderId="1" xfId="16">
      <alignment horizontal="left" vertical="center" indent="1"/>
    </xf>
    <xf numFmtId="0" fontId="22" fillId="0" borderId="1" xfId="17">
      <alignment horizontal="right" vertical="center" indent="1"/>
    </xf>
    <xf numFmtId="0" fontId="22" fillId="3" borderId="11" xfId="18">
      <alignment horizontal="right" vertical="center" indent="1"/>
    </xf>
    <xf numFmtId="0" fontId="31" fillId="4" borderId="13" xfId="19">
      <alignment horizontal="left" vertical="center" indent="1"/>
    </xf>
    <xf numFmtId="0" fontId="34" fillId="4" borderId="13" xfId="20">
      <alignment horizontal="left" vertical="center" indent="1"/>
    </xf>
    <xf numFmtId="83" fontId="1" fillId="0" borderId="1" xfId="9" applyNumberFormat="1">
      <alignment horizontal="left" vertical="center" indent="1"/>
    </xf>
    <xf numFmtId="83" fontId="1" fillId="3" borderId="1" xfId="10" applyNumberFormat="1">
      <alignment horizontal="left" vertical="center" indent="1"/>
    </xf>
    <xf numFmtId="83" fontId="12" fillId="0" borderId="1" xfId="11" applyNumberFormat="1">
      <alignment horizontal="right" vertical="center" indent="1"/>
    </xf>
    <xf numFmtId="83" fontId="12" fillId="3" borderId="1" xfId="12" applyNumberFormat="1">
      <alignment horizontal="right" vertical="center" indent="1"/>
    </xf>
    <xf numFmtId="83" fontId="12" fillId="0" borderId="1" xfId="13" applyNumberFormat="1">
      <alignment horizontal="center" vertical="center"/>
    </xf>
    <xf numFmtId="83" fontId="12" fillId="3" borderId="1" xfId="14" applyNumberFormat="1">
      <alignment horizontal="center" vertical="center"/>
    </xf>
    <xf numFmtId="83" fontId="22" fillId="0" borderId="1" xfId="15" applyNumberFormat="1">
      <alignment horizontal="left" vertical="center" indent="1"/>
    </xf>
    <xf numFmtId="83" fontId="22" fillId="3" borderId="1" xfId="16" applyNumberFormat="1">
      <alignment horizontal="left" vertical="center" indent="1"/>
    </xf>
    <xf numFmtId="83" fontId="22" fillId="0" borderId="1" xfId="17" applyNumberFormat="1">
      <alignment horizontal="right" vertical="center" indent="1"/>
    </xf>
    <xf numFmtId="83" fontId="22" fillId="3" borderId="11" xfId="18" applyNumberFormat="1">
      <alignment horizontal="right" vertical="center" indent="1"/>
    </xf>
    <xf numFmtId="83" fontId="31" fillId="4" borderId="13" xfId="19" applyNumberFormat="1">
      <alignment horizontal="left" vertical="center" indent="1"/>
    </xf>
    <xf numFmtId="83" fontId="34" fillId="4" borderId="13" xfId="20" applyNumberFormat="1">
      <alignment horizontal="left" vertical="center" indent="1"/>
    </xf>
    <xf numFmtId="0" fontId="12" fillId="0" borderId="0" xfId="21">
      <alignment horizontal="left" vertical="center"/>
    </xf>
    <xf numFmtId="0" fontId="40" fillId="0" borderId="0" xfId="22">
      <alignment horizontal="left" vertical="center"/>
    </xf>
    <xf numFmtId="0" fontId="44" fillId="5" borderId="0" xfId="23">
      <alignment horizontal="left" vertical="center"/>
    </xf>
    <xf numFmtId="0" fontId="0" fillId="0" borderId="0" xfId="0">
      <protection locked="0"/>
    </xf>
    <xf numFmtId="0" fontId="48" fillId="5" borderId="0" xfId="24">
      <alignment horizontal="left" vertical="center"/>
    </xf>
    <xf numFmtId="0" fontId="44" fillId="5" borderId="0" xfId="25">
      <alignment horizontal="right" vertical="center"/>
    </xf>
  </cellXfs>
  <cellStyles count="26">
    <cellStyle name="Normal" xfId="0" builtinId="0"/>
    <cellStyle name="horizontalRight" xfId="1"/>
    <cellStyle name="bold" xfId="2"/>
    <cellStyle name="verticalTopHorizontalRight" xfId="3"/>
    <cellStyle name="Hyperlink" xfId="4" builtinId="8"/>
    <cellStyle name="verticalTopHyperlinkBold" xfId="5"/>
    <cellStyle name="verticalTopBoldWrapBold" xfId="6"/>
    <cellStyle name="fontSize16Bold" xfId="7"/>
    <cellStyle name="horizontalCenterWrapWhiteBold" xfId="8"/>
    <cellStyle name="tableCellStyleLeft" xfId="9"/>
    <cellStyle name="tableCellStyleLeftColored" xfId="10"/>
    <cellStyle name="tableCellStyleRight" xfId="11"/>
    <cellStyle name="tableCellStyleRightColored" xfId="12"/>
    <cellStyle name="tableCellStyleCenter" xfId="13"/>
    <cellStyle name="tableCellStyleCenterColored" xfId="14"/>
    <cellStyle name="tableCellStyleLeftHyperlink" xfId="15"/>
    <cellStyle name="tableCellStyleLeftHyperlinkColored" xfId="16"/>
    <cellStyle name="tableCellStyleRightHyperlink" xfId="17"/>
    <cellStyle name="tableCellStyleRightHyperlinkColored" xfId="18"/>
    <cellStyle name="tableCellStyleLeftGroupingColored" xfId="19"/>
    <cellStyle name="hyperlinkTableCellStyleLeftGroupingColored" xfId="20"/>
    <cellStyle name="defaultStyle" xfId="21"/>
    <cellStyle name="fontSize14Bold" xfId="22"/>
    <cellStyle name="fontSize10Italic" xfId="23"/>
    <cellStyle name="fontSize10ItalicHyperlink" xfId="24"/>
    <cellStyle name="fontSize10ItalicRight" xfId="25"/>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s>
</file>

<file path=xl/drawings/drawing1.xml><?xml version="1.0" encoding="utf-8"?>
<xdr:wsDr xmlns:a="http://schemas.openxmlformats.org/drawingml/2006/main" xmlns:xdr="http://schemas.openxmlformats.org/drawingml/2006/spreadsheetDrawing" xmlns:mc="http://schemas.openxmlformats.org/markup-compatibility/2006" xmlns:a14="http://schemas.microsoft.com/office/drawing/2010/main">
  <xdr:twoCellAnchor xmlns:xdr="http://schemas.openxmlformats.org/drawingml/2006/spreadsheetDrawing" editAs="absolute">
    <xdr:from>
      <xdr:col>0</xdr:col>
      <xdr:colOff>85725</xdr:colOff>
      <xdr:row>0</xdr:row>
      <xdr:rowOff>85725</xdr:rowOff>
    </xdr:from>
    <xdr:to>
      <xdr:col>0</xdr:col>
      <xdr:colOff>1400175</xdr:colOff>
      <xdr:row>0</xdr:row>
      <xdr:rowOff>304800</xdr:rowOff>
    </xdr:to>
    <xdr:pic xmlns:xdr="http://schemas.openxmlformats.org/drawingml/2006/spreadsheetDrawing">
      <xdr:nvPicPr xmlns:xdr="http://schemas.openxmlformats.org/drawingml/2006/spreadsheetDrawing">
        <xdr:cNvPr xmlns:xdr="http://schemas.openxmlformats.org/drawingml/2006/spreadsheetDrawing" id="2" name="Graphic 1"/>
        <xdr:cNvPicPr xmlns:xdr="http://schemas.openxmlformats.org/drawingml/2006/spreadsheetDrawing">
          <a:picLocks xmlns:a="http://schemas.openxmlformats.org/drawingml/2006/main" noChangeAspect="1"/>
          <a:extLst xmlns:a="http://schemas.openxmlformats.org/drawingml/2006/main"/>
        </xdr:cNvPicPr>
      </xdr:nvPicPr>
      <xdr:blipFill xmlns:xdr="http://schemas.openxmlformats.org/drawingml/2006/spreadsheetDrawing">
        <a:blip xmlns:a="http://schemas.openxmlformats.org/drawingml/2006/main" xmlns:r="http://schemas.openxmlformats.org/officeDocument/2006/relationships" r:embed="rId1">
          <a:extLst xmlns:a="http://schemas.openxmlformats.org/drawingml/2006/main">
            <a:ext xmlns:a="http://schemas.openxmlformats.org/drawingml/2006/main" uri="{96DAC541-7B7A-43D3-8B79-37D633B846F1}">
              <asvg:svgBlip xmlns:asvg="http://schemas.microsoft.com/office/drawing/2016/SVG/main" r:embed="rId2"/>
            </a:ext>
          </a:extLst>
        </a:blip>
        <a:srcRect/>
        <a:stretch xmlns:a="http://schemas.openxmlformats.org/drawingml/2006/main">
          <a:fillRect/>
        </a:stretch>
      </xdr:blipFill>
      <xdr:spPr xmlns:xdr="http://schemas.openxmlformats.org/drawingml/2006/spreadsheetDrawing">
        <a:xfrm xmlns:a="http://schemas.openxmlformats.org/drawingml/2006/main">
          <a:off x="85725" y="85725"/>
          <a:ext cx="1314450" cy="219075"/>
        </a:xfrm>
        <a:prstGeom xmlns:a="http://schemas.openxmlformats.org/drawingml/2006/main" prst="rect"/>
        <a:effectLst xmlns:a="http://schemas.openxmlformats.org/drawingml/2006/main"/>
        <a:extLst xmlns:a="http://schemas.openxmlformats.org/drawingml/2006/main"/>
      </xdr:spPr>
    </xdr:pic>
    <xdr:clientData/>
  </xdr:twoCellAnchor>
</xdr:wsDr>
</file>

<file path=xl/theme/theme1.xml><?xml version="1.0" encoding="utf-8"?>
<a:theme xmlns:a="http://schemas.openxmlformats.org/drawingml/2006/main" name="Office Theme">
  <a:themeElements>
    <a:clrScheme name="Office Them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xmlns:a="http://schemas.openxmlformats.org/drawingml/2006/main">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xmlns:a="http://schemas.openxmlformats.org/drawingml/2006/main">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xmlns:a="http://schemas.openxmlformats.org/drawingml/2006/main">
        <a:effectStyle>
          <a:effectLst/>
        </a:effectStyle>
        <a:effectStyle>
          <a:effectLst/>
        </a:effectStyle>
        <a:effectStyle>
          <a:effectLst>
            <a:outerShdw blurRad="57150" dist="19050" dir="5400000" algn="ctr" rotWithShape="0">
              <a:srgbClr val="000000">
                <a:alpha val="63000"/>
              </a:srgbClr>
            </a:outerShdw>
          </a:effectLst>
        </a:effectStyle>
      </a:effectStyleLst>
      <a:bgFillStyleLst xmlns:a="http://schemas.openxmlformats.org/drawingml/2006/main">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Id="rId1" Type="http://schemas.openxmlformats.org/officeDocument/2006/relationships/hyperlink" Target="https://my.pitchbook.com/?pcc=1234047-16" TargetMode="External"/><Relationship Id="rId2" Type="http://schemas.openxmlformats.org/officeDocument/2006/relationships/drawing" Target="../drawings/drawing1.xml"/></Relationships>
</file>

<file path=xl/worksheets/_rels/sheet3.xml.rels><?xml version="1.0" encoding="UTF-8"?><Relationships xmlns="http://schemas.openxmlformats.org/package/2006/relationships"><Relationship Id="rId1" Type="http://schemas.openxmlformats.org/officeDocument/2006/relationships/hyperlink" Target="support@pitchbook.com" TargetMode="External"/><Relationship Id="rId2" Type="http://schemas.openxmlformats.org/officeDocument/2006/relationships/hyperlink" Target="https://pitchbook.com/subscription-agreement" TargetMode="External"/><Relationship Id="rId3" Type="http://schemas.openxmlformats.org/officeDocument/2006/relationships/hyperlink" Target="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X1157"/>
  <sheetViews>
    <sheetView showGridLines="0" workbookViewId="0">
      <selection sqref="A1"/>
    </sheetView>
  </sheetViews>
  <sheetFormatPr defaultRowHeight="15"/>
  <cols>
    <col min="1" max="1" width="21.7109375" customWidth="1"/>
    <col min="2" max="2" width="44.140625" customWidth="1"/>
    <col min="3" max="3" width="36.85546875" customWidth="1"/>
    <col min="4" max="4" width="61.5703125" customWidth="1"/>
    <col min="5" max="5" width="31" customWidth="1"/>
    <col min="6" max="7" width="19.5703125" customWidth="1"/>
    <col min="8" max="8" width="31.85546875" customWidth="1"/>
    <col min="9" max="9" width="36.85546875" customWidth="1"/>
    <col min="10" max="10" width="18.7109375" customWidth="1"/>
    <col min="11" max="11" width="15.140625" customWidth="1"/>
    <col min="12" max="12" width="17.42578125" customWidth="1"/>
    <col min="13" max="13" width="15.85546875" customWidth="1"/>
    <col min="14" max="14" width="27.5703125" customWidth="1"/>
    <col min="15" max="15" width="35.42578125" customWidth="1"/>
    <col min="16" max="17" width="26.7109375" customWidth="1"/>
    <col min="18" max="18" width="18" customWidth="1"/>
    <col min="19" max="19" width="24.5703125" customWidth="1"/>
    <col min="20" max="20" width="17" customWidth="1"/>
    <col min="21" max="21" width="24.28515625" customWidth="1"/>
    <col min="22" max="22" width="15.85546875" customWidth="1"/>
    <col min="23" max="23" width="36.85546875" customWidth="1"/>
    <col min="24" max="24" width="18.7109375" customWidth="1"/>
  </cols>
  <sheetData>
    <row r="1" ht="25" customHeight="1">
      <c r="D1" s="8" t="s">
        <v>7</v>
      </c>
    </row>
    <row r="3">
      <c r="A3" s="1" t="s">
        <v>0</v>
      </c>
      <c r="B3" s="3">
        <v>45954</v>
      </c>
    </row>
    <row r="4">
      <c r="A4" s="1" t="s">
        <v>1</v>
      </c>
      <c r="B4" s="2" t="s">
        <v>2</v>
      </c>
    </row>
    <row r="5">
      <c r="A5" s="4" t="s">
        <v>3</v>
      </c>
      <c r="B5" s="6" t="s">
        <v>4</v>
      </c>
    </row>
    <row r="6" ht="30" customHeight="1">
      <c r="A6" s="4" t="s">
        <v>5</v>
      </c>
      <c r="B6" s="7" t="s">
        <v>6</v>
      </c>
    </row>
    <row r="8" ht="35" customHeight="1">
      <c r="A8" s="5" t="s">
        <v>8</v>
      </c>
      <c r="B8" s="5" t="s">
        <v>9</v>
      </c>
      <c r="C8" s="5" t="s">
        <v>10</v>
      </c>
      <c r="D8" s="5" t="s">
        <v>11</v>
      </c>
      <c r="E8" s="5" t="s">
        <v>12</v>
      </c>
      <c r="F8" s="5" t="s">
        <v>13</v>
      </c>
      <c r="G8" s="5" t="s">
        <v>14</v>
      </c>
      <c r="H8" s="5" t="s">
        <v>15</v>
      </c>
      <c r="I8" s="5" t="s">
        <v>16</v>
      </c>
      <c r="J8" s="5" t="s">
        <v>17</v>
      </c>
      <c r="K8" s="5" t="s">
        <v>18</v>
      </c>
      <c r="L8" s="5" t="s">
        <v>19</v>
      </c>
      <c r="M8" s="5" t="s">
        <v>20</v>
      </c>
      <c r="N8" s="5" t="s">
        <v>21</v>
      </c>
      <c r="O8" s="5" t="s">
        <v>22</v>
      </c>
      <c r="P8" s="5" t="s">
        <v>23</v>
      </c>
      <c r="Q8" s="5" t="s">
        <v>24</v>
      </c>
      <c r="R8" s="5" t="s">
        <v>25</v>
      </c>
      <c r="S8" s="5" t="s">
        <v>26</v>
      </c>
      <c r="T8" s="5" t="s">
        <v>27</v>
      </c>
      <c r="U8" s="5" t="s">
        <v>28</v>
      </c>
      <c r="V8" s="5" t="s">
        <v>29</v>
      </c>
      <c r="W8" s="5" t="s">
        <v>30</v>
      </c>
      <c r="X8" s="5" t="s">
        <v>31</v>
      </c>
    </row>
    <row r="9">
      <c r="A9" t="s" s="11">
        <v>32</v>
      </c>
      <c r="B9" t="s" s="11">
        <v>33</v>
      </c>
      <c r="C9" t="s" s="11">
        <v>34</v>
      </c>
      <c r="D9" t="s" s="11">
        <v>35</v>
      </c>
      <c r="E9" t="s" s="11">
        <v>36</v>
      </c>
      <c r="F9" t="s" s="11">
        <v>37</v>
      </c>
      <c r="G9" t="s" s="11">
        <v>38</v>
      </c>
      <c r="H9" s="17">
        <f>HYPERLINK("http://www.plexal.com", "www.plexal.com")</f>
      </c>
      <c r="I9" t="s" s="11">
        <v>40</v>
      </c>
      <c r="J9" t="s" s="25">
        <v>34</v>
      </c>
      <c r="K9" s="25">
        <v>21</v>
      </c>
      <c r="L9" s="25">
        <v>20</v>
      </c>
      <c r="M9" t="s" s="13">
        <v>41</v>
      </c>
      <c r="N9" t="s" s="11">
        <v>42</v>
      </c>
      <c r="O9" t="s" s="11">
        <v>43</v>
      </c>
      <c r="P9" t="s" s="11">
        <v>44</v>
      </c>
      <c r="Q9" t="s" s="11">
        <v>45</v>
      </c>
      <c r="R9" t="s" s="11">
        <v>46</v>
      </c>
      <c r="S9" t="s" s="11">
        <v>47</v>
      </c>
      <c r="T9" t="s" s="13">
        <v>48</v>
      </c>
      <c r="U9" t="s" s="11">
        <v>49</v>
      </c>
      <c r="V9" t="s" s="13">
        <v>34</v>
      </c>
      <c r="W9" t="s" s="11">
        <v>50</v>
      </c>
      <c r="X9" s="17">
        <f>HYPERLINK("https://my.pitchbook.com?p=208814-86P", "View People Online")</f>
      </c>
    </row>
    <row r="10">
      <c r="A10" t="s" s="10">
        <v>51</v>
      </c>
      <c r="B10" t="s" s="10">
        <v>52</v>
      </c>
      <c r="C10" t="s" s="10">
        <v>34</v>
      </c>
      <c r="D10" t="s" s="10">
        <v>53</v>
      </c>
      <c r="E10" t="s" s="10">
        <v>36</v>
      </c>
      <c r="F10" t="s" s="10">
        <v>54</v>
      </c>
      <c r="G10" t="s" s="10">
        <v>55</v>
      </c>
      <c r="H10" s="16">
        <f>HYPERLINK("http://wise-qatar.org", "wise-qatar.org")</f>
      </c>
      <c r="I10" t="s" s="10">
        <v>57</v>
      </c>
      <c r="J10" t="s" s="24">
        <v>34</v>
      </c>
      <c r="K10" s="24">
        <v>1</v>
      </c>
      <c r="L10" t="s" s="24">
        <v>34</v>
      </c>
      <c r="M10" t="s" s="12">
        <v>34</v>
      </c>
      <c r="N10" t="s" s="10">
        <v>58</v>
      </c>
      <c r="O10" t="s" s="10">
        <v>59</v>
      </c>
      <c r="P10" t="s" s="10">
        <v>60</v>
      </c>
      <c r="Q10" t="s" s="10">
        <v>61</v>
      </c>
      <c r="R10" t="s" s="10">
        <v>62</v>
      </c>
      <c r="S10" t="s" s="10">
        <v>34</v>
      </c>
      <c r="T10" t="s" s="12">
        <v>63</v>
      </c>
      <c r="U10" t="s" s="10">
        <v>64</v>
      </c>
      <c r="V10" t="s" s="12">
        <v>34</v>
      </c>
      <c r="W10" t="s" s="10">
        <v>65</v>
      </c>
      <c r="X10" s="16">
        <f>HYPERLINK("https://my.pitchbook.com?p=177244-12P", "View People Online")</f>
      </c>
    </row>
    <row r="11">
      <c r="A11" t="s" s="11">
        <v>66</v>
      </c>
      <c r="B11" t="s" s="11">
        <v>67</v>
      </c>
      <c r="C11" t="s" s="11">
        <v>34</v>
      </c>
      <c r="D11" t="s" s="11">
        <v>68</v>
      </c>
      <c r="E11" t="s" s="11">
        <v>36</v>
      </c>
      <c r="F11" t="s" s="11">
        <v>69</v>
      </c>
      <c r="G11" t="s" s="11">
        <v>70</v>
      </c>
      <c r="H11" s="17">
        <f>HYPERLINK("http://www.scigenom.com", "www.scigenom.com")</f>
      </c>
      <c r="I11" t="s" s="11">
        <v>72</v>
      </c>
      <c r="J11" t="s" s="25">
        <v>34</v>
      </c>
      <c r="K11" t="s" s="25">
        <v>34</v>
      </c>
      <c r="L11" t="s" s="25">
        <v>34</v>
      </c>
      <c r="M11" t="s" s="13">
        <v>34</v>
      </c>
      <c r="N11" t="s" s="11">
        <v>34</v>
      </c>
      <c r="O11" t="s" s="11">
        <v>34</v>
      </c>
      <c r="P11" t="s" s="11">
        <v>34</v>
      </c>
      <c r="Q11" t="s" s="11">
        <v>34</v>
      </c>
      <c r="R11" t="s" s="11">
        <v>34</v>
      </c>
      <c r="S11" t="s" s="11">
        <v>34</v>
      </c>
      <c r="T11" t="s" s="13">
        <v>34</v>
      </c>
      <c r="U11" t="s" s="11">
        <v>34</v>
      </c>
      <c r="V11" t="s" s="13">
        <v>34</v>
      </c>
      <c r="W11" t="s" s="11">
        <v>73</v>
      </c>
      <c r="X11" s="17">
        <f>HYPERLINK("https://my.pitchbook.com?p=83427-58P", "View People Online")</f>
      </c>
    </row>
    <row r="12">
      <c r="A12" t="s" s="10">
        <v>74</v>
      </c>
      <c r="B12" t="s" s="10">
        <v>75</v>
      </c>
      <c r="C12" t="s" s="10">
        <v>34</v>
      </c>
      <c r="D12" t="s" s="10">
        <v>76</v>
      </c>
      <c r="E12" t="s" s="10">
        <v>77</v>
      </c>
      <c r="F12" t="s" s="10">
        <v>78</v>
      </c>
      <c r="G12" t="s" s="10">
        <v>79</v>
      </c>
      <c r="H12" s="16">
        <f>HYPERLINK("http://www.eisneramper.com", "www.eisneramper.com")</f>
      </c>
      <c r="I12" t="s" s="10">
        <v>81</v>
      </c>
      <c r="J12" t="s" s="24">
        <v>34</v>
      </c>
      <c r="K12" s="24">
        <v>1</v>
      </c>
      <c r="L12" t="s" s="24">
        <v>34</v>
      </c>
      <c r="M12" t="s" s="12">
        <v>82</v>
      </c>
      <c r="N12" t="s" s="10">
        <v>83</v>
      </c>
      <c r="O12" t="s" s="10">
        <v>84</v>
      </c>
      <c r="P12" t="s" s="10">
        <v>85</v>
      </c>
      <c r="Q12" t="s" s="10">
        <v>34</v>
      </c>
      <c r="R12" t="s" s="10">
        <v>86</v>
      </c>
      <c r="S12" t="s" s="10">
        <v>86</v>
      </c>
      <c r="T12" t="s" s="12">
        <v>87</v>
      </c>
      <c r="U12" t="s" s="10">
        <v>88</v>
      </c>
      <c r="V12" t="s" s="12">
        <v>34</v>
      </c>
      <c r="W12" t="s" s="10">
        <v>89</v>
      </c>
      <c r="X12" s="16">
        <f>HYPERLINK("https://my.pitchbook.com?p=135614-80P", "View People Online")</f>
      </c>
    </row>
    <row r="13">
      <c r="A13" t="s" s="11">
        <v>90</v>
      </c>
      <c r="B13" t="s" s="11">
        <v>91</v>
      </c>
      <c r="C13" t="s" s="11">
        <v>34</v>
      </c>
      <c r="D13" t="s" s="11">
        <v>92</v>
      </c>
      <c r="E13" t="s" s="11">
        <v>77</v>
      </c>
      <c r="F13" t="s" s="11">
        <v>93</v>
      </c>
      <c r="G13" t="s" s="11">
        <v>94</v>
      </c>
      <c r="H13" s="17">
        <f>HYPERLINK("http://www.kpmg.com", "www.kpmg.com")</f>
      </c>
      <c r="I13" t="s" s="11">
        <v>96</v>
      </c>
      <c r="J13" s="25">
        <v>1</v>
      </c>
      <c r="K13" s="25">
        <v>1</v>
      </c>
      <c r="L13" t="s" s="25">
        <v>34</v>
      </c>
      <c r="M13" t="s" s="13">
        <v>97</v>
      </c>
      <c r="N13" t="s" s="11">
        <v>98</v>
      </c>
      <c r="O13" t="s" s="11">
        <v>99</v>
      </c>
      <c r="P13" t="s" s="11">
        <v>100</v>
      </c>
      <c r="Q13" t="s" s="11">
        <v>34</v>
      </c>
      <c r="R13" t="s" s="11">
        <v>101</v>
      </c>
      <c r="S13" t="s" s="11">
        <v>34</v>
      </c>
      <c r="T13" t="s" s="13">
        <v>102</v>
      </c>
      <c r="U13" t="s" s="11">
        <v>103</v>
      </c>
      <c r="V13" t="s" s="13">
        <v>34</v>
      </c>
      <c r="W13" t="s" s="11">
        <v>104</v>
      </c>
      <c r="X13" s="17">
        <f>HYPERLINK("https://my.pitchbook.com?p=75993-40P", "View People Online")</f>
      </c>
    </row>
    <row r="14">
      <c r="A14" t="s" s="10">
        <v>105</v>
      </c>
      <c r="B14" t="s" s="10">
        <v>106</v>
      </c>
      <c r="C14" t="s" s="10">
        <v>34</v>
      </c>
      <c r="D14" t="s" s="10">
        <v>107</v>
      </c>
      <c r="E14" t="s" s="10">
        <v>77</v>
      </c>
      <c r="F14" t="s" s="10">
        <v>108</v>
      </c>
      <c r="G14" t="s" s="10">
        <v>109</v>
      </c>
      <c r="H14" s="16">
        <f>HYPERLINK("http://www.squire.com", "www.squire.com")</f>
      </c>
      <c r="I14" t="s" s="10">
        <v>111</v>
      </c>
      <c r="J14" t="s" s="24">
        <v>34</v>
      </c>
      <c r="K14" s="24">
        <v>1</v>
      </c>
      <c r="L14" t="s" s="24">
        <v>34</v>
      </c>
      <c r="M14" t="s" s="12">
        <v>112</v>
      </c>
      <c r="N14" t="s" s="10">
        <v>113</v>
      </c>
      <c r="O14" t="s" s="10">
        <v>114</v>
      </c>
      <c r="P14" t="s" s="10">
        <v>115</v>
      </c>
      <c r="Q14" t="s" s="10">
        <v>34</v>
      </c>
      <c r="R14" t="s" s="10">
        <v>116</v>
      </c>
      <c r="S14" t="s" s="10">
        <v>117</v>
      </c>
      <c r="T14" t="s" s="12">
        <v>118</v>
      </c>
      <c r="U14" t="s" s="10">
        <v>88</v>
      </c>
      <c r="V14" t="s" s="12">
        <v>119</v>
      </c>
      <c r="W14" t="s" s="10">
        <v>120</v>
      </c>
      <c r="X14" s="16">
        <f>HYPERLINK("https://my.pitchbook.com?p=194159-80P", "View People Online")</f>
      </c>
    </row>
    <row r="15">
      <c r="A15" t="s" s="11">
        <v>121</v>
      </c>
      <c r="B15" t="s" s="11">
        <v>122</v>
      </c>
      <c r="C15" t="s" s="11">
        <v>34</v>
      </c>
      <c r="D15" t="s" s="11">
        <v>123</v>
      </c>
      <c r="E15" t="s" s="11">
        <v>77</v>
      </c>
      <c r="F15" t="s" s="11">
        <v>124</v>
      </c>
      <c r="G15" t="s" s="11">
        <v>125</v>
      </c>
      <c r="H15" s="17">
        <f>HYPERLINK("http://www.bdo.in", "www.bdo.in")</f>
      </c>
      <c r="I15" t="s" s="11">
        <v>127</v>
      </c>
      <c r="J15" t="s" s="25">
        <v>34</v>
      </c>
      <c r="K15" s="25">
        <v>4</v>
      </c>
      <c r="L15" s="25">
        <v>3</v>
      </c>
      <c r="M15" t="s" s="13">
        <v>34</v>
      </c>
      <c r="N15" t="s" s="11">
        <v>128</v>
      </c>
      <c r="O15" t="s" s="11">
        <v>129</v>
      </c>
      <c r="P15" t="s" s="11">
        <v>130</v>
      </c>
      <c r="Q15" t="s" s="11">
        <v>131</v>
      </c>
      <c r="R15" t="s" s="11">
        <v>132</v>
      </c>
      <c r="S15" t="s" s="11">
        <v>133</v>
      </c>
      <c r="T15" t="s" s="13">
        <v>134</v>
      </c>
      <c r="U15" t="s" s="11">
        <v>135</v>
      </c>
      <c r="V15" t="s" s="13">
        <v>34</v>
      </c>
      <c r="W15" t="s" s="11">
        <v>136</v>
      </c>
      <c r="X15" s="17">
        <f>HYPERLINK("https://my.pitchbook.com?p=375952-87P", "View People Online")</f>
      </c>
    </row>
    <row r="16">
      <c r="A16" t="s" s="10">
        <v>137</v>
      </c>
      <c r="B16" t="s" s="10">
        <v>138</v>
      </c>
      <c r="C16" t="s" s="10">
        <v>34</v>
      </c>
      <c r="D16" t="s" s="10">
        <v>139</v>
      </c>
      <c r="E16" t="s" s="10">
        <v>77</v>
      </c>
      <c r="F16" t="s" s="10">
        <v>140</v>
      </c>
      <c r="G16" t="s" s="10">
        <v>141</v>
      </c>
      <c r="H16" s="16">
        <f>HYPERLINK("http://www.pwc.com", "www.pwc.com")</f>
      </c>
      <c r="I16" t="s" s="10">
        <v>143</v>
      </c>
      <c r="J16" t="s" s="24">
        <v>34</v>
      </c>
      <c r="K16" t="s" s="24">
        <v>34</v>
      </c>
      <c r="L16" t="s" s="24">
        <v>34</v>
      </c>
      <c r="M16" t="s" s="12">
        <v>34</v>
      </c>
      <c r="N16" t="s" s="10">
        <v>34</v>
      </c>
      <c r="O16" t="s" s="10">
        <v>34</v>
      </c>
      <c r="P16" t="s" s="10">
        <v>34</v>
      </c>
      <c r="Q16" t="s" s="10">
        <v>34</v>
      </c>
      <c r="R16" t="s" s="10">
        <v>34</v>
      </c>
      <c r="S16" t="s" s="10">
        <v>34</v>
      </c>
      <c r="T16" t="s" s="12">
        <v>34</v>
      </c>
      <c r="U16" t="s" s="10">
        <v>34</v>
      </c>
      <c r="V16" t="s" s="12">
        <v>34</v>
      </c>
      <c r="W16" t="s" s="10">
        <v>144</v>
      </c>
      <c r="X16" s="16">
        <f>HYPERLINK("https://my.pitchbook.com?p=181162-09P", "View People Online")</f>
      </c>
    </row>
    <row r="17">
      <c r="A17" t="s" s="11">
        <v>145</v>
      </c>
      <c r="B17" t="s" s="11">
        <v>146</v>
      </c>
      <c r="C17" t="s" s="11">
        <v>34</v>
      </c>
      <c r="D17" t="s" s="11">
        <v>147</v>
      </c>
      <c r="E17" t="s" s="11">
        <v>77</v>
      </c>
      <c r="F17" t="s" s="11">
        <v>148</v>
      </c>
      <c r="G17" t="s" s="11">
        <v>149</v>
      </c>
      <c r="H17" s="17">
        <f>HYPERLINK("http://www.gma-cpa.com", "www.gma-cpa.com")</f>
      </c>
      <c r="I17" t="s" s="11">
        <v>151</v>
      </c>
      <c r="J17" t="s" s="25">
        <v>34</v>
      </c>
      <c r="K17" s="25">
        <v>1</v>
      </c>
      <c r="L17" t="s" s="25">
        <v>34</v>
      </c>
      <c r="M17" t="s" s="13">
        <v>152</v>
      </c>
      <c r="N17" t="s" s="11">
        <v>153</v>
      </c>
      <c r="O17" t="s" s="11">
        <v>154</v>
      </c>
      <c r="P17" t="s" s="11">
        <v>155</v>
      </c>
      <c r="Q17" t="s" s="11">
        <v>156</v>
      </c>
      <c r="R17" t="s" s="11">
        <v>157</v>
      </c>
      <c r="S17" t="s" s="11">
        <v>158</v>
      </c>
      <c r="T17" t="s" s="13">
        <v>159</v>
      </c>
      <c r="U17" t="s" s="11">
        <v>88</v>
      </c>
      <c r="V17" t="s" s="13">
        <v>160</v>
      </c>
      <c r="W17" t="s" s="11">
        <v>161</v>
      </c>
      <c r="X17" s="17">
        <f>HYPERLINK("https://my.pitchbook.com?p=175646-08P", "View People Online")</f>
      </c>
    </row>
    <row r="18">
      <c r="A18" t="s" s="10">
        <v>162</v>
      </c>
      <c r="B18" t="s" s="10">
        <v>163</v>
      </c>
      <c r="C18" t="s" s="10">
        <v>34</v>
      </c>
      <c r="D18" t="s" s="10">
        <v>76</v>
      </c>
      <c r="E18" t="s" s="10">
        <v>77</v>
      </c>
      <c r="F18" t="s" s="10">
        <v>164</v>
      </c>
      <c r="G18" t="s" s="10">
        <v>165</v>
      </c>
      <c r="H18" s="16">
        <f>HYPERLINK("http://www.eisneramper.com", "www.eisneramper.com")</f>
      </c>
      <c r="I18" t="s" s="10">
        <v>166</v>
      </c>
      <c r="J18" t="s" s="24">
        <v>34</v>
      </c>
      <c r="K18" s="24">
        <v>1</v>
      </c>
      <c r="L18" t="s" s="24">
        <v>34</v>
      </c>
      <c r="M18" t="s" s="12">
        <v>167</v>
      </c>
      <c r="N18" t="s" s="10">
        <v>168</v>
      </c>
      <c r="O18" t="s" s="10">
        <v>169</v>
      </c>
      <c r="P18" t="s" s="10">
        <v>170</v>
      </c>
      <c r="Q18" t="s" s="10">
        <v>171</v>
      </c>
      <c r="R18" t="s" s="10">
        <v>172</v>
      </c>
      <c r="S18" t="s" s="10">
        <v>173</v>
      </c>
      <c r="T18" t="s" s="12">
        <v>174</v>
      </c>
      <c r="U18" t="s" s="10">
        <v>88</v>
      </c>
      <c r="V18" t="s" s="12">
        <v>34</v>
      </c>
      <c r="W18" t="s" s="10">
        <v>175</v>
      </c>
      <c r="X18" s="16">
        <f>HYPERLINK("https://my.pitchbook.com?p=147645-46P", "View People Online")</f>
      </c>
    </row>
    <row r="19">
      <c r="A19" t="s" s="11">
        <v>176</v>
      </c>
      <c r="B19" t="s" s="11">
        <v>177</v>
      </c>
      <c r="C19" t="s" s="11">
        <v>34</v>
      </c>
      <c r="D19" t="s" s="11">
        <v>178</v>
      </c>
      <c r="E19" t="s" s="11">
        <v>77</v>
      </c>
      <c r="F19" t="s" s="11">
        <v>179</v>
      </c>
      <c r="G19" t="s" s="11">
        <v>180</v>
      </c>
      <c r="H19" s="17">
        <f>HYPERLINK("http://www.dlallc.com", "www.dlallc.com")</f>
      </c>
      <c r="I19" t="s" s="11">
        <v>182</v>
      </c>
      <c r="J19" t="s" s="25">
        <v>34</v>
      </c>
      <c r="K19" t="s" s="25">
        <v>34</v>
      </c>
      <c r="L19" t="s" s="25">
        <v>34</v>
      </c>
      <c r="M19" t="s" s="13">
        <v>34</v>
      </c>
      <c r="N19" t="s" s="11">
        <v>34</v>
      </c>
      <c r="O19" t="s" s="11">
        <v>34</v>
      </c>
      <c r="P19" t="s" s="11">
        <v>34</v>
      </c>
      <c r="Q19" t="s" s="11">
        <v>34</v>
      </c>
      <c r="R19" t="s" s="11">
        <v>34</v>
      </c>
      <c r="S19" t="s" s="11">
        <v>34</v>
      </c>
      <c r="T19" t="s" s="13">
        <v>34</v>
      </c>
      <c r="U19" t="s" s="11">
        <v>34</v>
      </c>
      <c r="V19" t="s" s="13">
        <v>34</v>
      </c>
      <c r="W19" t="s" s="11">
        <v>183</v>
      </c>
      <c r="X19" s="17">
        <f>HYPERLINK("https://my.pitchbook.com?p=274418-47P", "View People Online")</f>
      </c>
    </row>
    <row r="20">
      <c r="A20" t="s" s="10">
        <v>184</v>
      </c>
      <c r="B20" t="s" s="10">
        <v>185</v>
      </c>
      <c r="C20" t="s" s="10">
        <v>34</v>
      </c>
      <c r="D20" t="s" s="10">
        <v>186</v>
      </c>
      <c r="E20" t="s" s="10">
        <v>187</v>
      </c>
      <c r="F20" t="s" s="10">
        <v>188</v>
      </c>
      <c r="G20" t="s" s="10">
        <v>189</v>
      </c>
      <c r="H20" s="16">
        <f>HYPERLINK("http://www.salicainvestments.com", "www.salicainvestments.com")</f>
      </c>
      <c r="I20" t="s" s="10">
        <v>191</v>
      </c>
      <c r="J20" t="s" s="24">
        <v>34</v>
      </c>
      <c r="K20" s="24">
        <v>2</v>
      </c>
      <c r="L20" t="s" s="24">
        <v>34</v>
      </c>
      <c r="M20" t="s" s="12">
        <v>192</v>
      </c>
      <c r="N20" t="s" s="10">
        <v>193</v>
      </c>
      <c r="O20" t="s" s="10">
        <v>43</v>
      </c>
      <c r="P20" t="s" s="10">
        <v>194</v>
      </c>
      <c r="Q20" t="s" s="10">
        <v>34</v>
      </c>
      <c r="R20" t="s" s="10">
        <v>46</v>
      </c>
      <c r="S20" t="s" s="10">
        <v>47</v>
      </c>
      <c r="T20" t="s" s="12">
        <v>195</v>
      </c>
      <c r="U20" t="s" s="10">
        <v>49</v>
      </c>
      <c r="V20" t="s" s="12">
        <v>34</v>
      </c>
      <c r="W20" t="s" s="10">
        <v>196</v>
      </c>
      <c r="X20" s="16">
        <f>HYPERLINK("https://my.pitchbook.com?p=211078-99P", "View People Online")</f>
      </c>
    </row>
    <row r="21">
      <c r="A21" t="s" s="11">
        <v>197</v>
      </c>
      <c r="B21" t="s" s="11">
        <v>198</v>
      </c>
      <c r="C21" t="s" s="11">
        <v>34</v>
      </c>
      <c r="D21" t="s" s="11">
        <v>199</v>
      </c>
      <c r="E21" t="s" s="11">
        <v>187</v>
      </c>
      <c r="F21" t="s" s="11">
        <v>200</v>
      </c>
      <c r="G21" t="s" s="11">
        <v>201</v>
      </c>
      <c r="H21" s="17">
        <f>HYPERLINK("http://www.tnlcommunityfund.org.uk", "www.tnlcommunityfund.org.uk")</f>
      </c>
      <c r="I21" t="s" s="11">
        <v>203</v>
      </c>
      <c r="J21" s="25">
        <v>1</v>
      </c>
      <c r="K21" s="25">
        <v>1</v>
      </c>
      <c r="L21" t="s" s="25">
        <v>34</v>
      </c>
      <c r="M21" t="s" s="13">
        <v>204</v>
      </c>
      <c r="N21" t="s" s="11">
        <v>34</v>
      </c>
      <c r="O21" t="s" s="11">
        <v>205</v>
      </c>
      <c r="P21" t="s" s="11">
        <v>206</v>
      </c>
      <c r="Q21" t="s" s="11">
        <v>207</v>
      </c>
      <c r="R21" t="s" s="11">
        <v>208</v>
      </c>
      <c r="S21" t="s" s="11">
        <v>47</v>
      </c>
      <c r="T21" t="s" s="13">
        <v>209</v>
      </c>
      <c r="U21" t="s" s="11">
        <v>49</v>
      </c>
      <c r="V21" t="s" s="13">
        <v>210</v>
      </c>
      <c r="W21" t="s" s="11">
        <v>211</v>
      </c>
      <c r="X21" s="17">
        <f>HYPERLINK("https://my.pitchbook.com?p=435762-82P", "View People Online")</f>
      </c>
    </row>
    <row r="22">
      <c r="A22" t="s" s="10">
        <v>212</v>
      </c>
      <c r="B22" t="s" s="10">
        <v>213</v>
      </c>
      <c r="C22" t="s" s="10">
        <v>34</v>
      </c>
      <c r="D22" t="s" s="10">
        <v>214</v>
      </c>
      <c r="E22" t="s" s="10">
        <v>187</v>
      </c>
      <c r="F22" t="s" s="10">
        <v>215</v>
      </c>
      <c r="G22" t="s" s="10">
        <v>216</v>
      </c>
      <c r="H22" s="16">
        <f>HYPERLINK("http://www.internationalhospitalcorp.com", "www.internationalhospitalcorp.com")</f>
      </c>
      <c r="I22" t="s" s="10">
        <v>218</v>
      </c>
      <c r="J22" t="s" s="24">
        <v>34</v>
      </c>
      <c r="K22" s="24">
        <v>1</v>
      </c>
      <c r="L22" t="s" s="24">
        <v>34</v>
      </c>
      <c r="M22" t="s" s="12">
        <v>219</v>
      </c>
      <c r="N22" t="s" s="10">
        <v>220</v>
      </c>
      <c r="O22" t="s" s="10">
        <v>221</v>
      </c>
      <c r="P22" t="s" s="10">
        <v>222</v>
      </c>
      <c r="Q22" t="s" s="10">
        <v>223</v>
      </c>
      <c r="R22" t="s" s="10">
        <v>224</v>
      </c>
      <c r="S22" t="s" s="10">
        <v>225</v>
      </c>
      <c r="T22" t="s" s="12">
        <v>226</v>
      </c>
      <c r="U22" t="s" s="10">
        <v>88</v>
      </c>
      <c r="V22" t="s" s="12">
        <v>34</v>
      </c>
      <c r="W22" t="s" s="10">
        <v>227</v>
      </c>
      <c r="X22" s="16">
        <f>HYPERLINK("https://my.pitchbook.com?p=341916-67P", "View People Online")</f>
      </c>
    </row>
    <row r="23">
      <c r="A23" t="s" s="11">
        <v>228</v>
      </c>
      <c r="B23" t="s" s="11">
        <v>229</v>
      </c>
      <c r="C23" t="s" s="11">
        <v>34</v>
      </c>
      <c r="D23" t="s" s="11">
        <v>230</v>
      </c>
      <c r="E23" t="s" s="11">
        <v>187</v>
      </c>
      <c r="F23" t="s" s="11">
        <v>231</v>
      </c>
      <c r="G23" t="s" s="11">
        <v>232</v>
      </c>
      <c r="H23" s="17">
        <f>HYPERLINK("http://www.virtuzone.com", "www.virtuzone.com")</f>
      </c>
      <c r="I23" t="s" s="11">
        <v>234</v>
      </c>
      <c r="J23" t="s" s="25">
        <v>34</v>
      </c>
      <c r="K23" s="25">
        <v>2</v>
      </c>
      <c r="L23" s="25">
        <v>1</v>
      </c>
      <c r="M23" t="s" s="13">
        <v>235</v>
      </c>
      <c r="N23" t="s" s="11">
        <v>34</v>
      </c>
      <c r="O23" t="s" s="11">
        <v>236</v>
      </c>
      <c r="P23" t="s" s="11">
        <v>237</v>
      </c>
      <c r="Q23" t="s" s="11">
        <v>238</v>
      </c>
      <c r="R23" t="s" s="11">
        <v>239</v>
      </c>
      <c r="S23" t="s" s="11">
        <v>34</v>
      </c>
      <c r="T23" t="s" s="13">
        <v>34</v>
      </c>
      <c r="U23" t="s" s="11">
        <v>240</v>
      </c>
      <c r="V23" t="s" s="13">
        <v>34</v>
      </c>
      <c r="W23" t="s" s="11">
        <v>241</v>
      </c>
      <c r="X23" s="17">
        <f>HYPERLINK("https://my.pitchbook.com?p=360827-74P", "View People Online")</f>
      </c>
    </row>
    <row r="24">
      <c r="A24" t="s" s="10">
        <v>242</v>
      </c>
      <c r="B24" t="s" s="10">
        <v>243</v>
      </c>
      <c r="C24" t="s" s="10">
        <v>34</v>
      </c>
      <c r="D24" t="s" s="10">
        <v>214</v>
      </c>
      <c r="E24" t="s" s="10">
        <v>187</v>
      </c>
      <c r="F24" t="s" s="10">
        <v>244</v>
      </c>
      <c r="G24" t="s" s="10">
        <v>245</v>
      </c>
      <c r="H24" s="16">
        <f>HYPERLINK("http://www.internationalhospitalcorp.com", "www.internationalhospitalcorp.com")</f>
      </c>
      <c r="I24" t="s" s="10">
        <v>246</v>
      </c>
      <c r="J24" s="24">
        <v>1</v>
      </c>
      <c r="K24" s="24">
        <v>1</v>
      </c>
      <c r="L24" t="s" s="24">
        <v>34</v>
      </c>
      <c r="M24" t="s" s="12">
        <v>219</v>
      </c>
      <c r="N24" t="s" s="10">
        <v>247</v>
      </c>
      <c r="O24" t="s" s="10">
        <v>221</v>
      </c>
      <c r="P24" t="s" s="10">
        <v>222</v>
      </c>
      <c r="Q24" t="s" s="10">
        <v>223</v>
      </c>
      <c r="R24" t="s" s="10">
        <v>224</v>
      </c>
      <c r="S24" t="s" s="10">
        <v>225</v>
      </c>
      <c r="T24" t="s" s="12">
        <v>226</v>
      </c>
      <c r="U24" t="s" s="10">
        <v>88</v>
      </c>
      <c r="V24" t="s" s="12">
        <v>34</v>
      </c>
      <c r="W24" t="s" s="10">
        <v>248</v>
      </c>
      <c r="X24" s="16">
        <f>HYPERLINK("https://my.pitchbook.com?p=341917-39P", "View People Online")</f>
      </c>
    </row>
    <row r="25">
      <c r="A25" t="s" s="11">
        <v>249</v>
      </c>
      <c r="B25" t="s" s="11">
        <v>250</v>
      </c>
      <c r="C25" t="s" s="11">
        <v>34</v>
      </c>
      <c r="D25" t="s" s="11">
        <v>251</v>
      </c>
      <c r="E25" t="s" s="11">
        <v>187</v>
      </c>
      <c r="F25" t="s" s="11">
        <v>252</v>
      </c>
      <c r="G25" t="s" s="11">
        <v>253</v>
      </c>
      <c r="H25" s="17">
        <f>HYPERLINK("http://www.maxcrowdfund.com", "www.maxcrowdfund.com")</f>
      </c>
      <c r="I25" t="s" s="11">
        <v>255</v>
      </c>
      <c r="J25" t="s" s="25">
        <v>34</v>
      </c>
      <c r="K25" t="s" s="25">
        <v>34</v>
      </c>
      <c r="L25" t="s" s="25">
        <v>34</v>
      </c>
      <c r="M25" t="s" s="13">
        <v>34</v>
      </c>
      <c r="N25" t="s" s="11">
        <v>34</v>
      </c>
      <c r="O25" t="s" s="11">
        <v>34</v>
      </c>
      <c r="P25" t="s" s="11">
        <v>34</v>
      </c>
      <c r="Q25" t="s" s="11">
        <v>34</v>
      </c>
      <c r="R25" t="s" s="11">
        <v>34</v>
      </c>
      <c r="S25" t="s" s="11">
        <v>34</v>
      </c>
      <c r="T25" t="s" s="13">
        <v>34</v>
      </c>
      <c r="U25" t="s" s="11">
        <v>34</v>
      </c>
      <c r="V25" t="s" s="13">
        <v>34</v>
      </c>
      <c r="W25" t="s" s="11">
        <v>256</v>
      </c>
      <c r="X25" s="17">
        <f>HYPERLINK("https://my.pitchbook.com?p=73468-81P", "View People Online")</f>
      </c>
    </row>
    <row r="26">
      <c r="A26" t="s" s="10">
        <v>257</v>
      </c>
      <c r="B26" t="s" s="10">
        <v>258</v>
      </c>
      <c r="C26" t="s" s="10">
        <v>34</v>
      </c>
      <c r="D26" t="s" s="10">
        <v>214</v>
      </c>
      <c r="E26" t="s" s="10">
        <v>187</v>
      </c>
      <c r="F26" t="s" s="10">
        <v>259</v>
      </c>
      <c r="G26" t="s" s="10">
        <v>260</v>
      </c>
      <c r="H26" s="16">
        <f>HYPERLINK("http://www.internationalhospitalcorp.com", "www.internationalhospitalcorp.com")</f>
      </c>
      <c r="I26" t="s" s="10">
        <v>234</v>
      </c>
      <c r="J26" t="s" s="24">
        <v>34</v>
      </c>
      <c r="K26" s="24">
        <v>1</v>
      </c>
      <c r="L26" t="s" s="24">
        <v>34</v>
      </c>
      <c r="M26" t="s" s="12">
        <v>219</v>
      </c>
      <c r="N26" t="s" s="10">
        <v>261</v>
      </c>
      <c r="O26" t="s" s="10">
        <v>221</v>
      </c>
      <c r="P26" t="s" s="10">
        <v>222</v>
      </c>
      <c r="Q26" t="s" s="10">
        <v>223</v>
      </c>
      <c r="R26" t="s" s="10">
        <v>224</v>
      </c>
      <c r="S26" t="s" s="10">
        <v>225</v>
      </c>
      <c r="T26" t="s" s="12">
        <v>226</v>
      </c>
      <c r="U26" t="s" s="10">
        <v>88</v>
      </c>
      <c r="V26" t="s" s="12">
        <v>34</v>
      </c>
      <c r="W26" t="s" s="10">
        <v>262</v>
      </c>
      <c r="X26" s="16">
        <f>HYPERLINK("https://my.pitchbook.com?p=341916-31P", "View People Online")</f>
      </c>
    </row>
    <row r="27">
      <c r="A27" t="s" s="11">
        <v>263</v>
      </c>
      <c r="B27" t="s" s="11">
        <v>264</v>
      </c>
      <c r="C27" t="s" s="11">
        <v>34</v>
      </c>
      <c r="D27" t="s" s="11">
        <v>265</v>
      </c>
      <c r="E27" t="s" s="11">
        <v>187</v>
      </c>
      <c r="F27" t="s" s="11">
        <v>266</v>
      </c>
      <c r="G27" t="s" s="11">
        <v>267</v>
      </c>
      <c r="H27" t="s" s="11">
        <v>34</v>
      </c>
      <c r="I27" t="s" s="11">
        <v>268</v>
      </c>
      <c r="J27" t="s" s="25">
        <v>34</v>
      </c>
      <c r="K27" s="25">
        <v>2</v>
      </c>
      <c r="L27" s="25">
        <v>1</v>
      </c>
      <c r="M27" t="s" s="13">
        <v>34</v>
      </c>
      <c r="N27" t="s" s="11">
        <v>34</v>
      </c>
      <c r="O27" t="s" s="11">
        <v>34</v>
      </c>
      <c r="P27" t="s" s="11">
        <v>34</v>
      </c>
      <c r="Q27" t="s" s="11">
        <v>34</v>
      </c>
      <c r="R27" t="s" s="11">
        <v>34</v>
      </c>
      <c r="S27" t="s" s="11">
        <v>34</v>
      </c>
      <c r="T27" t="s" s="13">
        <v>34</v>
      </c>
      <c r="U27" t="s" s="11">
        <v>34</v>
      </c>
      <c r="V27" t="s" s="13">
        <v>34</v>
      </c>
      <c r="W27" t="s" s="11">
        <v>269</v>
      </c>
      <c r="X27" s="17">
        <f>HYPERLINK("https://my.pitchbook.com?p=65780-29P", "View People Online")</f>
      </c>
    </row>
    <row r="28">
      <c r="A28" t="s" s="10">
        <v>270</v>
      </c>
      <c r="B28" t="s" s="10">
        <v>271</v>
      </c>
      <c r="C28" t="s" s="10">
        <v>34</v>
      </c>
      <c r="D28" t="s" s="10">
        <v>272</v>
      </c>
      <c r="E28" t="s" s="10">
        <v>187</v>
      </c>
      <c r="F28" t="s" s="10">
        <v>273</v>
      </c>
      <c r="G28" t="s" s="10">
        <v>274</v>
      </c>
      <c r="H28" s="16">
        <f>HYPERLINK("http://wvumedicine.org", "wvumedicine.org")</f>
      </c>
      <c r="I28" t="s" s="10">
        <v>276</v>
      </c>
      <c r="J28" t="s" s="24">
        <v>34</v>
      </c>
      <c r="K28" s="24">
        <v>1</v>
      </c>
      <c r="L28" t="s" s="24">
        <v>34</v>
      </c>
      <c r="M28" t="s" s="12">
        <v>34</v>
      </c>
      <c r="N28" t="s" s="10">
        <v>34</v>
      </c>
      <c r="O28" t="s" s="10">
        <v>34</v>
      </c>
      <c r="P28" t="s" s="10">
        <v>34</v>
      </c>
      <c r="Q28" t="s" s="10">
        <v>34</v>
      </c>
      <c r="R28" t="s" s="10">
        <v>34</v>
      </c>
      <c r="S28" t="s" s="10">
        <v>34</v>
      </c>
      <c r="T28" t="s" s="12">
        <v>34</v>
      </c>
      <c r="U28" t="s" s="10">
        <v>34</v>
      </c>
      <c r="V28" t="s" s="12">
        <v>34</v>
      </c>
      <c r="W28" t="s" s="10">
        <v>277</v>
      </c>
      <c r="X28" s="16">
        <f>HYPERLINK("https://my.pitchbook.com?p=432982-09P", "View People Online")</f>
      </c>
    </row>
    <row r="29">
      <c r="A29" t="s" s="11">
        <v>278</v>
      </c>
      <c r="B29" t="s" s="11">
        <v>279</v>
      </c>
      <c r="C29" t="s" s="11">
        <v>34</v>
      </c>
      <c r="D29" t="s" s="11">
        <v>280</v>
      </c>
      <c r="E29" t="s" s="11">
        <v>187</v>
      </c>
      <c r="F29" t="s" s="11">
        <v>281</v>
      </c>
      <c r="G29" t="s" s="11">
        <v>282</v>
      </c>
      <c r="H29" s="17">
        <f>HYPERLINK("http://www.g42services.fi", "www.g42services.fi")</f>
      </c>
      <c r="I29" t="s" s="11">
        <v>284</v>
      </c>
      <c r="J29" t="s" s="25">
        <v>34</v>
      </c>
      <c r="K29" s="25">
        <v>1</v>
      </c>
      <c r="L29" t="s" s="25">
        <v>34</v>
      </c>
      <c r="M29" t="s" s="13">
        <v>285</v>
      </c>
      <c r="N29" t="s" s="11">
        <v>286</v>
      </c>
      <c r="O29" t="s" s="11">
        <v>287</v>
      </c>
      <c r="P29" t="s" s="11">
        <v>288</v>
      </c>
      <c r="Q29" t="s" s="11">
        <v>34</v>
      </c>
      <c r="R29" t="s" s="11">
        <v>289</v>
      </c>
      <c r="S29" t="s" s="11">
        <v>34</v>
      </c>
      <c r="T29" t="s" s="13">
        <v>290</v>
      </c>
      <c r="U29" t="s" s="11">
        <v>291</v>
      </c>
      <c r="V29" t="s" s="13">
        <v>34</v>
      </c>
      <c r="W29" t="s" s="11">
        <v>292</v>
      </c>
      <c r="X29" s="17">
        <f>HYPERLINK("https://my.pitchbook.com?p=448983-55P", "View People Online")</f>
      </c>
    </row>
    <row r="30">
      <c r="A30" t="s" s="10">
        <v>293</v>
      </c>
      <c r="B30" t="s" s="10">
        <v>294</v>
      </c>
      <c r="C30" t="s" s="10">
        <v>34</v>
      </c>
      <c r="D30" t="s" s="10">
        <v>295</v>
      </c>
      <c r="E30" t="s" s="10">
        <v>187</v>
      </c>
      <c r="F30" t="s" s="10">
        <v>296</v>
      </c>
      <c r="G30" t="s" s="10">
        <v>297</v>
      </c>
      <c r="H30" s="16">
        <f>HYPERLINK("http://www.inbrew.com", "www.inbrew.com")</f>
      </c>
      <c r="I30" t="s" s="10">
        <v>299</v>
      </c>
      <c r="J30" s="24">
        <v>1</v>
      </c>
      <c r="K30" s="24">
        <v>2</v>
      </c>
      <c r="L30" s="24">
        <v>1</v>
      </c>
      <c r="M30" t="s" s="12">
        <v>34</v>
      </c>
      <c r="N30" t="s" s="10">
        <v>300</v>
      </c>
      <c r="O30" t="s" s="10">
        <v>301</v>
      </c>
      <c r="P30" t="s" s="10">
        <v>302</v>
      </c>
      <c r="Q30" t="s" s="10">
        <v>303</v>
      </c>
      <c r="R30" t="s" s="10">
        <v>304</v>
      </c>
      <c r="S30" t="s" s="10">
        <v>34</v>
      </c>
      <c r="T30" t="s" s="12">
        <v>305</v>
      </c>
      <c r="U30" t="s" s="10">
        <v>135</v>
      </c>
      <c r="V30" t="s" s="12">
        <v>34</v>
      </c>
      <c r="W30" t="s" s="10">
        <v>306</v>
      </c>
      <c r="X30" s="16">
        <f>HYPERLINK("https://my.pitchbook.com?p=302924-44P", "View People Online")</f>
      </c>
    </row>
    <row r="31">
      <c r="A31" t="s" s="11">
        <v>307</v>
      </c>
      <c r="B31" t="s" s="11">
        <v>308</v>
      </c>
      <c r="C31" t="s" s="11">
        <v>34</v>
      </c>
      <c r="D31" t="s" s="11">
        <v>309</v>
      </c>
      <c r="E31" t="s" s="11">
        <v>187</v>
      </c>
      <c r="F31" t="s" s="11">
        <v>310</v>
      </c>
      <c r="G31" t="s" s="11">
        <v>311</v>
      </c>
      <c r="H31" s="17">
        <f>HYPERLINK("http://www.princewilliamliving.com", "www.princewilliamliving.com")</f>
      </c>
      <c r="I31" t="s" s="11">
        <v>313</v>
      </c>
      <c r="J31" t="s" s="25">
        <v>34</v>
      </c>
      <c r="K31" s="25">
        <v>2</v>
      </c>
      <c r="L31" s="25">
        <v>1</v>
      </c>
      <c r="M31" t="s" s="13">
        <v>34</v>
      </c>
      <c r="N31" t="s" s="11">
        <v>314</v>
      </c>
      <c r="O31" t="s" s="11">
        <v>34</v>
      </c>
      <c r="P31" t="s" s="11">
        <v>34</v>
      </c>
      <c r="Q31" t="s" s="11">
        <v>34</v>
      </c>
      <c r="R31" t="s" s="11">
        <v>34</v>
      </c>
      <c r="S31" t="s" s="11">
        <v>34</v>
      </c>
      <c r="T31" t="s" s="13">
        <v>34</v>
      </c>
      <c r="U31" t="s" s="11">
        <v>34</v>
      </c>
      <c r="V31" t="s" s="13">
        <v>34</v>
      </c>
      <c r="W31" t="s" s="11">
        <v>315</v>
      </c>
      <c r="X31" s="17">
        <f>HYPERLINK("https://my.pitchbook.com?p=164605-96P", "View People Online")</f>
      </c>
    </row>
    <row r="32">
      <c r="A32" t="s" s="10">
        <v>316</v>
      </c>
      <c r="B32" t="s" s="10">
        <v>317</v>
      </c>
      <c r="C32" t="s" s="10">
        <v>34</v>
      </c>
      <c r="D32" t="s" s="10">
        <v>318</v>
      </c>
      <c r="E32" t="s" s="10">
        <v>187</v>
      </c>
      <c r="F32" t="s" s="10">
        <v>319</v>
      </c>
      <c r="G32" t="s" s="10">
        <v>320</v>
      </c>
      <c r="H32" s="16">
        <f>HYPERLINK("http://www.ncvo.org.uk", "www.ncvo.org.uk")</f>
      </c>
      <c r="I32" t="s" s="10">
        <v>322</v>
      </c>
      <c r="J32" t="s" s="24">
        <v>34</v>
      </c>
      <c r="K32" s="24">
        <v>1</v>
      </c>
      <c r="L32" t="s" s="24">
        <v>34</v>
      </c>
      <c r="M32" t="s" s="12">
        <v>34</v>
      </c>
      <c r="N32" t="s" s="10">
        <v>323</v>
      </c>
      <c r="O32" t="s" s="10">
        <v>43</v>
      </c>
      <c r="P32" t="s" s="10">
        <v>324</v>
      </c>
      <c r="Q32" t="s" s="10">
        <v>34</v>
      </c>
      <c r="R32" t="s" s="10">
        <v>46</v>
      </c>
      <c r="S32" t="s" s="10">
        <v>47</v>
      </c>
      <c r="T32" t="s" s="12">
        <v>325</v>
      </c>
      <c r="U32" t="s" s="10">
        <v>49</v>
      </c>
      <c r="V32" t="s" s="12">
        <v>34</v>
      </c>
      <c r="W32" t="s" s="10">
        <v>326</v>
      </c>
      <c r="X32" s="16">
        <f>HYPERLINK("https://my.pitchbook.com?p=251899-93P", "View People Online")</f>
      </c>
    </row>
    <row r="33">
      <c r="A33" t="s" s="11">
        <v>327</v>
      </c>
      <c r="B33" t="s" s="11">
        <v>328</v>
      </c>
      <c r="C33" t="s" s="11">
        <v>34</v>
      </c>
      <c r="D33" t="s" s="11">
        <v>329</v>
      </c>
      <c r="E33" t="s" s="11">
        <v>187</v>
      </c>
      <c r="F33" t="s" s="11">
        <v>330</v>
      </c>
      <c r="G33" t="s" s="11">
        <v>331</v>
      </c>
      <c r="H33" s="17">
        <f>HYPERLINK("http://www.shamal.net", "www.shamal.net")</f>
      </c>
      <c r="I33" t="s" s="11">
        <v>333</v>
      </c>
      <c r="J33" t="s" s="25">
        <v>34</v>
      </c>
      <c r="K33" s="25">
        <v>1</v>
      </c>
      <c r="L33" t="s" s="25">
        <v>34</v>
      </c>
      <c r="M33" t="s" s="13">
        <v>334</v>
      </c>
      <c r="N33" t="s" s="11">
        <v>335</v>
      </c>
      <c r="O33" t="s" s="11">
        <v>336</v>
      </c>
      <c r="P33" t="s" s="11">
        <v>337</v>
      </c>
      <c r="Q33" t="s" s="11">
        <v>338</v>
      </c>
      <c r="R33" t="s" s="11">
        <v>339</v>
      </c>
      <c r="S33" t="s" s="11">
        <v>34</v>
      </c>
      <c r="T33" t="s" s="13">
        <v>340</v>
      </c>
      <c r="U33" t="s" s="11">
        <v>240</v>
      </c>
      <c r="V33" t="s" s="13">
        <v>341</v>
      </c>
      <c r="W33" t="s" s="11">
        <v>342</v>
      </c>
      <c r="X33" s="17">
        <f>HYPERLINK("https://my.pitchbook.com?p=386368-39P", "View People Online")</f>
      </c>
    </row>
    <row r="34">
      <c r="A34" t="s" s="10">
        <v>343</v>
      </c>
      <c r="B34" t="s" s="10">
        <v>344</v>
      </c>
      <c r="C34" t="s" s="10">
        <v>34</v>
      </c>
      <c r="D34" t="s" s="10">
        <v>344</v>
      </c>
      <c r="E34" t="s" s="10">
        <v>345</v>
      </c>
      <c r="F34" t="s" s="10">
        <v>346</v>
      </c>
      <c r="G34" t="s" s="10">
        <v>347</v>
      </c>
      <c r="H34" t="s" s="10">
        <v>34</v>
      </c>
      <c r="I34" t="s" s="10">
        <v>348</v>
      </c>
      <c r="J34" t="s" s="24">
        <v>34</v>
      </c>
      <c r="K34" s="24">
        <v>2</v>
      </c>
      <c r="L34" s="24">
        <v>1</v>
      </c>
      <c r="M34" t="s" s="12">
        <v>34</v>
      </c>
      <c r="N34" t="s" s="10">
        <v>34</v>
      </c>
      <c r="O34" t="s" s="10">
        <v>34</v>
      </c>
      <c r="P34" t="s" s="10">
        <v>34</v>
      </c>
      <c r="Q34" t="s" s="10">
        <v>34</v>
      </c>
      <c r="R34" t="s" s="10">
        <v>34</v>
      </c>
      <c r="S34" t="s" s="10">
        <v>34</v>
      </c>
      <c r="T34" t="s" s="12">
        <v>34</v>
      </c>
      <c r="U34" t="s" s="10">
        <v>34</v>
      </c>
      <c r="V34" t="s" s="12">
        <v>34</v>
      </c>
      <c r="W34" t="s" s="10">
        <v>349</v>
      </c>
      <c r="X34" s="16">
        <f>HYPERLINK("https://my.pitchbook.com?p=65257-48P", "View People Online")</f>
      </c>
    </row>
    <row r="35">
      <c r="A35" t="s" s="11">
        <v>350</v>
      </c>
      <c r="B35" t="s" s="11">
        <v>351</v>
      </c>
      <c r="C35" t="s" s="11">
        <v>34</v>
      </c>
      <c r="D35" t="s" s="11">
        <v>351</v>
      </c>
      <c r="E35" t="s" s="11">
        <v>345</v>
      </c>
      <c r="F35" t="s" s="11">
        <v>352</v>
      </c>
      <c r="G35" t="s" s="11">
        <v>353</v>
      </c>
      <c r="H35" t="s" s="11">
        <v>34</v>
      </c>
      <c r="I35" t="s" s="11">
        <v>348</v>
      </c>
      <c r="J35" s="25">
        <v>1</v>
      </c>
      <c r="K35" s="25">
        <v>4</v>
      </c>
      <c r="L35" s="25">
        <v>2</v>
      </c>
      <c r="M35" t="s" s="13">
        <v>354</v>
      </c>
      <c r="N35" t="s" s="11">
        <v>34</v>
      </c>
      <c r="O35" t="s" s="11">
        <v>355</v>
      </c>
      <c r="P35" t="s" s="11">
        <v>356</v>
      </c>
      <c r="Q35" t="s" s="11">
        <v>357</v>
      </c>
      <c r="R35" t="s" s="11">
        <v>358</v>
      </c>
      <c r="S35" t="s" s="11">
        <v>359</v>
      </c>
      <c r="T35" t="s" s="13">
        <v>360</v>
      </c>
      <c r="U35" t="s" s="11">
        <v>88</v>
      </c>
      <c r="V35" t="s" s="13">
        <v>34</v>
      </c>
      <c r="W35" t="s" s="11">
        <v>361</v>
      </c>
      <c r="X35" s="17">
        <f>HYPERLINK("https://my.pitchbook.com?p=48098-17P", "View People Online")</f>
      </c>
    </row>
    <row r="36">
      <c r="A36" t="s" s="10">
        <v>362</v>
      </c>
      <c r="B36" t="s" s="10">
        <v>363</v>
      </c>
      <c r="C36" t="s" s="10">
        <v>34</v>
      </c>
      <c r="D36" t="s" s="10">
        <v>364</v>
      </c>
      <c r="E36" t="s" s="10">
        <v>365</v>
      </c>
      <c r="F36" t="s" s="10">
        <v>366</v>
      </c>
      <c r="G36" t="s" s="10">
        <v>367</v>
      </c>
      <c r="H36" s="16">
        <f>HYPERLINK("http://www.embassy-capital.com", "www.embassy-capital.com")</f>
      </c>
      <c r="I36" t="s" s="10">
        <v>369</v>
      </c>
      <c r="J36" s="24">
        <v>1</v>
      </c>
      <c r="K36" s="24">
        <v>3</v>
      </c>
      <c r="L36" t="s" s="24">
        <v>34</v>
      </c>
      <c r="M36" t="s" s="12">
        <v>370</v>
      </c>
      <c r="N36" t="s" s="10">
        <v>371</v>
      </c>
      <c r="O36" t="s" s="10">
        <v>236</v>
      </c>
      <c r="P36" t="s" s="10">
        <v>372</v>
      </c>
      <c r="Q36" t="s" s="10">
        <v>373</v>
      </c>
      <c r="R36" t="s" s="10">
        <v>239</v>
      </c>
      <c r="S36" t="s" s="10">
        <v>34</v>
      </c>
      <c r="T36" t="s" s="12">
        <v>34</v>
      </c>
      <c r="U36" t="s" s="10">
        <v>240</v>
      </c>
      <c r="V36" t="s" s="12">
        <v>34</v>
      </c>
      <c r="W36" t="s" s="10">
        <v>374</v>
      </c>
      <c r="X36" s="16">
        <f>HYPERLINK("https://my.pitchbook.com?p=112457-53P", "View People Online")</f>
      </c>
    </row>
    <row r="37">
      <c r="A37" t="s" s="11">
        <v>375</v>
      </c>
      <c r="B37" t="s" s="11">
        <v>376</v>
      </c>
      <c r="C37" t="s" s="11">
        <v>377</v>
      </c>
      <c r="D37" t="s" s="11">
        <v>378</v>
      </c>
      <c r="E37" t="s" s="11">
        <v>365</v>
      </c>
      <c r="F37" t="s" s="11">
        <v>379</v>
      </c>
      <c r="G37" t="s" s="11">
        <v>380</v>
      </c>
      <c r="H37" s="17">
        <f>HYPERLINK("http://www.lunate.com", "www.lunate.com")</f>
      </c>
      <c r="I37" t="s" s="11">
        <v>382</v>
      </c>
      <c r="J37" t="s" s="25">
        <v>34</v>
      </c>
      <c r="K37" s="25">
        <v>1</v>
      </c>
      <c r="L37" t="s" s="25">
        <v>34</v>
      </c>
      <c r="M37" t="s" s="13">
        <v>383</v>
      </c>
      <c r="N37" t="s" s="11">
        <v>384</v>
      </c>
      <c r="O37" t="s" s="11">
        <v>385</v>
      </c>
      <c r="P37" t="s" s="11">
        <v>386</v>
      </c>
      <c r="Q37" t="s" s="11">
        <v>387</v>
      </c>
      <c r="R37" t="s" s="11">
        <v>388</v>
      </c>
      <c r="S37" t="s" s="11">
        <v>34</v>
      </c>
      <c r="T37" t="s" s="13">
        <v>34</v>
      </c>
      <c r="U37" t="s" s="11">
        <v>240</v>
      </c>
      <c r="V37" t="s" s="13">
        <v>34</v>
      </c>
      <c r="W37" t="s" s="11">
        <v>389</v>
      </c>
      <c r="X37" s="17">
        <f>HYPERLINK("https://my.pitchbook.com?p=418470-13P", "View People Online")</f>
      </c>
    </row>
    <row r="38">
      <c r="A38" t="s" s="10">
        <v>390</v>
      </c>
      <c r="B38" t="s" s="10">
        <v>391</v>
      </c>
      <c r="C38" t="s" s="10">
        <v>34</v>
      </c>
      <c r="D38" t="s" s="10">
        <v>378</v>
      </c>
      <c r="E38" t="s" s="10">
        <v>365</v>
      </c>
      <c r="F38" t="s" s="10">
        <v>392</v>
      </c>
      <c r="G38" t="s" s="10">
        <v>380</v>
      </c>
      <c r="H38" s="16">
        <f>HYPERLINK("http://www.lunate.com", "www.lunate.com")</f>
      </c>
      <c r="I38" t="s" s="10">
        <v>393</v>
      </c>
      <c r="J38" t="s" s="24">
        <v>34</v>
      </c>
      <c r="K38" s="24">
        <v>1</v>
      </c>
      <c r="L38" t="s" s="24">
        <v>34</v>
      </c>
      <c r="M38" t="s" s="12">
        <v>383</v>
      </c>
      <c r="N38" t="s" s="10">
        <v>394</v>
      </c>
      <c r="O38" t="s" s="10">
        <v>385</v>
      </c>
      <c r="P38" t="s" s="10">
        <v>386</v>
      </c>
      <c r="Q38" t="s" s="10">
        <v>387</v>
      </c>
      <c r="R38" t="s" s="10">
        <v>388</v>
      </c>
      <c r="S38" t="s" s="10">
        <v>34</v>
      </c>
      <c r="T38" t="s" s="12">
        <v>34</v>
      </c>
      <c r="U38" t="s" s="10">
        <v>240</v>
      </c>
      <c r="V38" t="s" s="12">
        <v>34</v>
      </c>
      <c r="W38" t="s" s="10">
        <v>395</v>
      </c>
      <c r="X38" s="16">
        <f>HYPERLINK("https://my.pitchbook.com?p=418521-16P", "View People Online")</f>
      </c>
    </row>
    <row r="39">
      <c r="A39" t="s" s="11">
        <v>396</v>
      </c>
      <c r="B39" t="s" s="11">
        <v>397</v>
      </c>
      <c r="C39" t="s" s="11">
        <v>34</v>
      </c>
      <c r="D39" t="s" s="11">
        <v>378</v>
      </c>
      <c r="E39" t="s" s="11">
        <v>365</v>
      </c>
      <c r="F39" t="s" s="11">
        <v>398</v>
      </c>
      <c r="G39" t="s" s="11">
        <v>399</v>
      </c>
      <c r="H39" s="17">
        <f>HYPERLINK("http://www.lunate.com", "www.lunate.com")</f>
      </c>
      <c r="I39" t="s" s="11">
        <v>400</v>
      </c>
      <c r="J39" t="s" s="25">
        <v>34</v>
      </c>
      <c r="K39" s="25">
        <v>1</v>
      </c>
      <c r="L39" t="s" s="25">
        <v>34</v>
      </c>
      <c r="M39" t="s" s="13">
        <v>383</v>
      </c>
      <c r="N39" t="s" s="11">
        <v>401</v>
      </c>
      <c r="O39" t="s" s="11">
        <v>385</v>
      </c>
      <c r="P39" t="s" s="11">
        <v>386</v>
      </c>
      <c r="Q39" t="s" s="11">
        <v>387</v>
      </c>
      <c r="R39" t="s" s="11">
        <v>388</v>
      </c>
      <c r="S39" t="s" s="11">
        <v>34</v>
      </c>
      <c r="T39" t="s" s="13">
        <v>34</v>
      </c>
      <c r="U39" t="s" s="11">
        <v>240</v>
      </c>
      <c r="V39" t="s" s="13">
        <v>34</v>
      </c>
      <c r="W39" t="s" s="11">
        <v>402</v>
      </c>
      <c r="X39" s="17">
        <f>HYPERLINK("https://my.pitchbook.com?p=418517-92P", "View People Online")</f>
      </c>
    </row>
    <row r="40">
      <c r="A40" t="s" s="10">
        <v>403</v>
      </c>
      <c r="B40" t="s" s="10">
        <v>404</v>
      </c>
      <c r="C40" t="s" s="10">
        <v>34</v>
      </c>
      <c r="D40" t="s" s="10">
        <v>378</v>
      </c>
      <c r="E40" t="s" s="10">
        <v>365</v>
      </c>
      <c r="F40" t="s" s="10">
        <v>405</v>
      </c>
      <c r="G40" t="s" s="10">
        <v>406</v>
      </c>
      <c r="H40" s="16">
        <f>HYPERLINK("http://www.lunate.com", "www.lunate.com")</f>
      </c>
      <c r="I40" t="s" s="10">
        <v>407</v>
      </c>
      <c r="J40" t="s" s="24">
        <v>34</v>
      </c>
      <c r="K40" s="24">
        <v>1</v>
      </c>
      <c r="L40" t="s" s="24">
        <v>34</v>
      </c>
      <c r="M40" t="s" s="12">
        <v>383</v>
      </c>
      <c r="N40" t="s" s="10">
        <v>408</v>
      </c>
      <c r="O40" t="s" s="10">
        <v>385</v>
      </c>
      <c r="P40" t="s" s="10">
        <v>386</v>
      </c>
      <c r="Q40" t="s" s="10">
        <v>387</v>
      </c>
      <c r="R40" t="s" s="10">
        <v>388</v>
      </c>
      <c r="S40" t="s" s="10">
        <v>34</v>
      </c>
      <c r="T40" t="s" s="12">
        <v>34</v>
      </c>
      <c r="U40" t="s" s="10">
        <v>240</v>
      </c>
      <c r="V40" t="s" s="12">
        <v>34</v>
      </c>
      <c r="W40" t="s" s="10">
        <v>409</v>
      </c>
      <c r="X40" s="16">
        <f>HYPERLINK("https://my.pitchbook.com?p=418475-44P", "View People Online")</f>
      </c>
    </row>
    <row r="41">
      <c r="A41" t="s" s="11">
        <v>410</v>
      </c>
      <c r="B41" t="s" s="11">
        <v>411</v>
      </c>
      <c r="C41" t="s" s="11">
        <v>34</v>
      </c>
      <c r="D41" t="s" s="11">
        <v>412</v>
      </c>
      <c r="E41" t="s" s="11">
        <v>365</v>
      </c>
      <c r="F41" t="s" s="11">
        <v>413</v>
      </c>
      <c r="G41" t="s" s="11">
        <v>414</v>
      </c>
      <c r="H41" s="17">
        <f>HYPERLINK("http://www.lgtcp.com", "www.lgtcp.com")</f>
      </c>
      <c r="I41" t="s" s="11">
        <v>111</v>
      </c>
      <c r="J41" t="s" s="25">
        <v>34</v>
      </c>
      <c r="K41" t="s" s="25">
        <v>34</v>
      </c>
      <c r="L41" t="s" s="25">
        <v>34</v>
      </c>
      <c r="M41" t="s" s="13">
        <v>34</v>
      </c>
      <c r="N41" t="s" s="11">
        <v>34</v>
      </c>
      <c r="O41" t="s" s="11">
        <v>34</v>
      </c>
      <c r="P41" t="s" s="11">
        <v>34</v>
      </c>
      <c r="Q41" t="s" s="11">
        <v>34</v>
      </c>
      <c r="R41" t="s" s="11">
        <v>34</v>
      </c>
      <c r="S41" t="s" s="11">
        <v>34</v>
      </c>
      <c r="T41" t="s" s="13">
        <v>34</v>
      </c>
      <c r="U41" t="s" s="11">
        <v>34</v>
      </c>
      <c r="V41" t="s" s="13">
        <v>34</v>
      </c>
      <c r="W41" t="s" s="11">
        <v>416</v>
      </c>
      <c r="X41" s="17">
        <f>HYPERLINK("https://my.pitchbook.com?p=77336-20P", "View People Online")</f>
      </c>
    </row>
    <row r="42">
      <c r="A42" t="s" s="10">
        <v>417</v>
      </c>
      <c r="B42" t="s" s="10">
        <v>418</v>
      </c>
      <c r="C42" t="s" s="10">
        <v>34</v>
      </c>
      <c r="D42" t="s" s="10">
        <v>412</v>
      </c>
      <c r="E42" t="s" s="10">
        <v>365</v>
      </c>
      <c r="F42" t="s" s="10">
        <v>419</v>
      </c>
      <c r="G42" t="s" s="10">
        <v>414</v>
      </c>
      <c r="H42" s="16">
        <f>HYPERLINK("http://www.lgtcp.com", "www.lgtcp.com")</f>
      </c>
      <c r="I42" t="s" s="10">
        <v>420</v>
      </c>
      <c r="J42" t="s" s="24">
        <v>34</v>
      </c>
      <c r="K42" t="s" s="24">
        <v>34</v>
      </c>
      <c r="L42" t="s" s="24">
        <v>34</v>
      </c>
      <c r="M42" t="s" s="12">
        <v>34</v>
      </c>
      <c r="N42" t="s" s="10">
        <v>34</v>
      </c>
      <c r="O42" t="s" s="10">
        <v>34</v>
      </c>
      <c r="P42" t="s" s="10">
        <v>34</v>
      </c>
      <c r="Q42" t="s" s="10">
        <v>34</v>
      </c>
      <c r="R42" t="s" s="10">
        <v>34</v>
      </c>
      <c r="S42" t="s" s="10">
        <v>34</v>
      </c>
      <c r="T42" t="s" s="12">
        <v>34</v>
      </c>
      <c r="U42" t="s" s="10">
        <v>34</v>
      </c>
      <c r="V42" t="s" s="12">
        <v>34</v>
      </c>
      <c r="W42" t="s" s="10">
        <v>421</v>
      </c>
      <c r="X42" s="16">
        <f>HYPERLINK("https://my.pitchbook.com?p=77334-76P", "View People Online")</f>
      </c>
    </row>
    <row r="43">
      <c r="A43" t="s" s="11">
        <v>422</v>
      </c>
      <c r="B43" t="s" s="11">
        <v>423</v>
      </c>
      <c r="C43" t="s" s="11">
        <v>34</v>
      </c>
      <c r="D43" t="s" s="11">
        <v>378</v>
      </c>
      <c r="E43" t="s" s="11">
        <v>365</v>
      </c>
      <c r="F43" t="s" s="11">
        <v>424</v>
      </c>
      <c r="G43" t="s" s="11">
        <v>425</v>
      </c>
      <c r="H43" s="17">
        <f>HYPERLINK("http://www.lunate.com", "www.lunate.com")</f>
      </c>
      <c r="I43" t="s" s="11">
        <v>426</v>
      </c>
      <c r="J43" t="s" s="25">
        <v>34</v>
      </c>
      <c r="K43" s="25">
        <v>1</v>
      </c>
      <c r="L43" t="s" s="25">
        <v>34</v>
      </c>
      <c r="M43" t="s" s="13">
        <v>383</v>
      </c>
      <c r="N43" t="s" s="11">
        <v>427</v>
      </c>
      <c r="O43" t="s" s="11">
        <v>385</v>
      </c>
      <c r="P43" t="s" s="11">
        <v>386</v>
      </c>
      <c r="Q43" t="s" s="11">
        <v>387</v>
      </c>
      <c r="R43" t="s" s="11">
        <v>388</v>
      </c>
      <c r="S43" t="s" s="11">
        <v>34</v>
      </c>
      <c r="T43" t="s" s="13">
        <v>34</v>
      </c>
      <c r="U43" t="s" s="11">
        <v>240</v>
      </c>
      <c r="V43" t="s" s="13">
        <v>34</v>
      </c>
      <c r="W43" t="s" s="11">
        <v>428</v>
      </c>
      <c r="X43" s="17">
        <f>HYPERLINK("https://my.pitchbook.com?p=418517-02P", "View People Online")</f>
      </c>
    </row>
    <row r="44">
      <c r="A44" t="s" s="10">
        <v>429</v>
      </c>
      <c r="B44" t="s" s="10">
        <v>430</v>
      </c>
      <c r="C44" t="s" s="10">
        <v>377</v>
      </c>
      <c r="D44" t="s" s="10">
        <v>378</v>
      </c>
      <c r="E44" t="s" s="10">
        <v>365</v>
      </c>
      <c r="F44" t="s" s="10">
        <v>431</v>
      </c>
      <c r="G44" t="s" s="10">
        <v>425</v>
      </c>
      <c r="H44" s="16">
        <f>HYPERLINK("http://www.lunate.com", "www.lunate.com")</f>
      </c>
      <c r="I44" t="s" s="10">
        <v>382</v>
      </c>
      <c r="J44" t="s" s="24">
        <v>34</v>
      </c>
      <c r="K44" s="24">
        <v>1</v>
      </c>
      <c r="L44" t="s" s="24">
        <v>34</v>
      </c>
      <c r="M44" t="s" s="12">
        <v>383</v>
      </c>
      <c r="N44" t="s" s="10">
        <v>432</v>
      </c>
      <c r="O44" t="s" s="10">
        <v>385</v>
      </c>
      <c r="P44" t="s" s="10">
        <v>386</v>
      </c>
      <c r="Q44" t="s" s="10">
        <v>387</v>
      </c>
      <c r="R44" t="s" s="10">
        <v>388</v>
      </c>
      <c r="S44" t="s" s="10">
        <v>34</v>
      </c>
      <c r="T44" t="s" s="12">
        <v>34</v>
      </c>
      <c r="U44" t="s" s="10">
        <v>240</v>
      </c>
      <c r="V44" t="s" s="12">
        <v>34</v>
      </c>
      <c r="W44" t="s" s="10">
        <v>433</v>
      </c>
      <c r="X44" s="16">
        <f>HYPERLINK("https://my.pitchbook.com?p=418481-38P", "View People Online")</f>
      </c>
    </row>
    <row r="45">
      <c r="A45" t="s" s="11">
        <v>434</v>
      </c>
      <c r="B45" t="s" s="11">
        <v>435</v>
      </c>
      <c r="C45" t="s" s="11">
        <v>377</v>
      </c>
      <c r="D45" t="s" s="11">
        <v>378</v>
      </c>
      <c r="E45" t="s" s="11">
        <v>365</v>
      </c>
      <c r="F45" t="s" s="11">
        <v>232</v>
      </c>
      <c r="G45" t="s" s="11">
        <v>436</v>
      </c>
      <c r="H45" s="17">
        <f>HYPERLINK("http://www.lunate.com", "www.lunate.com")</f>
      </c>
      <c r="I45" t="s" s="11">
        <v>437</v>
      </c>
      <c r="J45" t="s" s="25">
        <v>34</v>
      </c>
      <c r="K45" s="25">
        <v>1</v>
      </c>
      <c r="L45" t="s" s="25">
        <v>34</v>
      </c>
      <c r="M45" t="s" s="13">
        <v>383</v>
      </c>
      <c r="N45" t="s" s="11">
        <v>438</v>
      </c>
      <c r="O45" t="s" s="11">
        <v>385</v>
      </c>
      <c r="P45" t="s" s="11">
        <v>386</v>
      </c>
      <c r="Q45" t="s" s="11">
        <v>387</v>
      </c>
      <c r="R45" t="s" s="11">
        <v>388</v>
      </c>
      <c r="S45" t="s" s="11">
        <v>34</v>
      </c>
      <c r="T45" t="s" s="13">
        <v>34</v>
      </c>
      <c r="U45" t="s" s="11">
        <v>240</v>
      </c>
      <c r="V45" t="s" s="13">
        <v>34</v>
      </c>
      <c r="W45" t="s" s="11">
        <v>439</v>
      </c>
      <c r="X45" s="17">
        <f>HYPERLINK("https://my.pitchbook.com?p=209960-11P", "View People Online")</f>
      </c>
    </row>
    <row r="46">
      <c r="A46" t="s" s="10">
        <v>440</v>
      </c>
      <c r="B46" t="s" s="10">
        <v>441</v>
      </c>
      <c r="C46" t="s" s="10">
        <v>442</v>
      </c>
      <c r="D46" t="s" s="10">
        <v>378</v>
      </c>
      <c r="E46" t="s" s="10">
        <v>365</v>
      </c>
      <c r="F46" t="s" s="10">
        <v>443</v>
      </c>
      <c r="G46" t="s" s="10">
        <v>444</v>
      </c>
      <c r="H46" s="16">
        <f>HYPERLINK("http://www.lunate.com", "www.lunate.com")</f>
      </c>
      <c r="I46" t="s" s="10">
        <v>445</v>
      </c>
      <c r="J46" t="s" s="24">
        <v>34</v>
      </c>
      <c r="K46" s="24">
        <v>1</v>
      </c>
      <c r="L46" t="s" s="24">
        <v>34</v>
      </c>
      <c r="M46" t="s" s="12">
        <v>383</v>
      </c>
      <c r="N46" t="s" s="10">
        <v>446</v>
      </c>
      <c r="O46" t="s" s="10">
        <v>385</v>
      </c>
      <c r="P46" t="s" s="10">
        <v>386</v>
      </c>
      <c r="Q46" t="s" s="10">
        <v>387</v>
      </c>
      <c r="R46" t="s" s="10">
        <v>388</v>
      </c>
      <c r="S46" t="s" s="10">
        <v>34</v>
      </c>
      <c r="T46" t="s" s="12">
        <v>34</v>
      </c>
      <c r="U46" t="s" s="10">
        <v>240</v>
      </c>
      <c r="V46" t="s" s="12">
        <v>34</v>
      </c>
      <c r="W46" t="s" s="10">
        <v>447</v>
      </c>
      <c r="X46" s="16">
        <f>HYPERLINK("https://my.pitchbook.com?p=418447-27P", "View People Online")</f>
      </c>
    </row>
    <row r="47">
      <c r="A47" t="s" s="11">
        <v>448</v>
      </c>
      <c r="B47" t="s" s="11">
        <v>449</v>
      </c>
      <c r="C47" t="s" s="11">
        <v>377</v>
      </c>
      <c r="D47" t="s" s="11">
        <v>378</v>
      </c>
      <c r="E47" t="s" s="11">
        <v>365</v>
      </c>
      <c r="F47" t="s" s="11">
        <v>450</v>
      </c>
      <c r="G47" t="s" s="11">
        <v>451</v>
      </c>
      <c r="H47" s="17">
        <f>HYPERLINK("http://www.lunate.com", "www.lunate.com")</f>
      </c>
      <c r="I47" t="s" s="11">
        <v>452</v>
      </c>
      <c r="J47" t="s" s="25">
        <v>34</v>
      </c>
      <c r="K47" s="25">
        <v>1</v>
      </c>
      <c r="L47" t="s" s="25">
        <v>34</v>
      </c>
      <c r="M47" t="s" s="13">
        <v>383</v>
      </c>
      <c r="N47" t="s" s="11">
        <v>453</v>
      </c>
      <c r="O47" t="s" s="11">
        <v>385</v>
      </c>
      <c r="P47" t="s" s="11">
        <v>386</v>
      </c>
      <c r="Q47" t="s" s="11">
        <v>387</v>
      </c>
      <c r="R47" t="s" s="11">
        <v>388</v>
      </c>
      <c r="S47" t="s" s="11">
        <v>34</v>
      </c>
      <c r="T47" t="s" s="13">
        <v>34</v>
      </c>
      <c r="U47" t="s" s="11">
        <v>240</v>
      </c>
      <c r="V47" t="s" s="13">
        <v>34</v>
      </c>
      <c r="W47" t="s" s="11">
        <v>454</v>
      </c>
      <c r="X47" s="17">
        <f>HYPERLINK("https://my.pitchbook.com?p=339176-80P", "View People Online")</f>
      </c>
    </row>
    <row r="48">
      <c r="A48" t="s" s="10">
        <v>455</v>
      </c>
      <c r="B48" t="s" s="10">
        <v>456</v>
      </c>
      <c r="C48" t="s" s="10">
        <v>34</v>
      </c>
      <c r="D48" t="s" s="10">
        <v>378</v>
      </c>
      <c r="E48" t="s" s="10">
        <v>365</v>
      </c>
      <c r="F48" t="s" s="10">
        <v>457</v>
      </c>
      <c r="G48" t="s" s="10">
        <v>189</v>
      </c>
      <c r="H48" s="16">
        <f>HYPERLINK("http://www.lunate.com", "www.lunate.com")</f>
      </c>
      <c r="I48" t="s" s="10">
        <v>458</v>
      </c>
      <c r="J48" t="s" s="24">
        <v>34</v>
      </c>
      <c r="K48" s="24">
        <v>1</v>
      </c>
      <c r="L48" t="s" s="24">
        <v>34</v>
      </c>
      <c r="M48" t="s" s="12">
        <v>383</v>
      </c>
      <c r="N48" t="s" s="10">
        <v>459</v>
      </c>
      <c r="O48" t="s" s="10">
        <v>385</v>
      </c>
      <c r="P48" t="s" s="10">
        <v>386</v>
      </c>
      <c r="Q48" t="s" s="10">
        <v>387</v>
      </c>
      <c r="R48" t="s" s="10">
        <v>388</v>
      </c>
      <c r="S48" t="s" s="10">
        <v>34</v>
      </c>
      <c r="T48" t="s" s="12">
        <v>34</v>
      </c>
      <c r="U48" t="s" s="10">
        <v>240</v>
      </c>
      <c r="V48" t="s" s="12">
        <v>34</v>
      </c>
      <c r="W48" t="s" s="10">
        <v>460</v>
      </c>
      <c r="X48" s="16">
        <f>HYPERLINK("https://my.pitchbook.com?p=418479-22P", "View People Online")</f>
      </c>
    </row>
    <row r="49">
      <c r="A49" t="s" s="11">
        <v>461</v>
      </c>
      <c r="B49" t="s" s="11">
        <v>462</v>
      </c>
      <c r="C49" t="s" s="11">
        <v>34</v>
      </c>
      <c r="D49" t="s" s="11">
        <v>378</v>
      </c>
      <c r="E49" t="s" s="11">
        <v>365</v>
      </c>
      <c r="F49" t="s" s="11">
        <v>463</v>
      </c>
      <c r="G49" t="s" s="11">
        <v>464</v>
      </c>
      <c r="H49" s="17">
        <f>HYPERLINK("http://www.lunate.com", "www.lunate.com")</f>
      </c>
      <c r="I49" t="s" s="11">
        <v>465</v>
      </c>
      <c r="J49" t="s" s="25">
        <v>34</v>
      </c>
      <c r="K49" s="25">
        <v>1</v>
      </c>
      <c r="L49" t="s" s="25">
        <v>34</v>
      </c>
      <c r="M49" t="s" s="13">
        <v>383</v>
      </c>
      <c r="N49" t="s" s="11">
        <v>466</v>
      </c>
      <c r="O49" t="s" s="11">
        <v>385</v>
      </c>
      <c r="P49" t="s" s="11">
        <v>386</v>
      </c>
      <c r="Q49" t="s" s="11">
        <v>387</v>
      </c>
      <c r="R49" t="s" s="11">
        <v>388</v>
      </c>
      <c r="S49" t="s" s="11">
        <v>34</v>
      </c>
      <c r="T49" t="s" s="13">
        <v>34</v>
      </c>
      <c r="U49" t="s" s="11">
        <v>240</v>
      </c>
      <c r="V49" t="s" s="13">
        <v>34</v>
      </c>
      <c r="W49" t="s" s="11">
        <v>467</v>
      </c>
      <c r="X49" s="17">
        <f>HYPERLINK("https://my.pitchbook.com?p=418445-65P", "View People Online")</f>
      </c>
    </row>
    <row r="50">
      <c r="A50" t="s" s="10">
        <v>468</v>
      </c>
      <c r="B50" t="s" s="10">
        <v>469</v>
      </c>
      <c r="C50" t="s" s="10">
        <v>34</v>
      </c>
      <c r="D50" t="s" s="10">
        <v>378</v>
      </c>
      <c r="E50" t="s" s="10">
        <v>365</v>
      </c>
      <c r="F50" t="s" s="10">
        <v>470</v>
      </c>
      <c r="G50" t="s" s="10">
        <v>471</v>
      </c>
      <c r="H50" s="16">
        <f>HYPERLINK("http://www.lunate.com", "www.lunate.com")</f>
      </c>
      <c r="I50" t="s" s="10">
        <v>472</v>
      </c>
      <c r="J50" t="s" s="24">
        <v>34</v>
      </c>
      <c r="K50" s="24">
        <v>1</v>
      </c>
      <c r="L50" t="s" s="24">
        <v>34</v>
      </c>
      <c r="M50" t="s" s="12">
        <v>383</v>
      </c>
      <c r="N50" t="s" s="10">
        <v>473</v>
      </c>
      <c r="O50" t="s" s="10">
        <v>385</v>
      </c>
      <c r="P50" t="s" s="10">
        <v>386</v>
      </c>
      <c r="Q50" t="s" s="10">
        <v>387</v>
      </c>
      <c r="R50" t="s" s="10">
        <v>388</v>
      </c>
      <c r="S50" t="s" s="10">
        <v>34</v>
      </c>
      <c r="T50" t="s" s="12">
        <v>34</v>
      </c>
      <c r="U50" t="s" s="10">
        <v>240</v>
      </c>
      <c r="V50" t="s" s="12">
        <v>34</v>
      </c>
      <c r="W50" t="s" s="10">
        <v>474</v>
      </c>
      <c r="X50" s="16">
        <f>HYPERLINK("https://my.pitchbook.com?p=418478-32P", "View People Online")</f>
      </c>
    </row>
    <row r="51">
      <c r="A51" t="s" s="11">
        <v>475</v>
      </c>
      <c r="B51" t="s" s="11">
        <v>476</v>
      </c>
      <c r="C51" t="s" s="11">
        <v>377</v>
      </c>
      <c r="D51" t="s" s="11">
        <v>378</v>
      </c>
      <c r="E51" t="s" s="11">
        <v>365</v>
      </c>
      <c r="F51" t="s" s="11">
        <v>477</v>
      </c>
      <c r="G51" t="s" s="11">
        <v>478</v>
      </c>
      <c r="H51" s="17">
        <f>HYPERLINK("http://www.lunate.com", "www.lunate.com")</f>
      </c>
      <c r="I51" t="s" s="11">
        <v>382</v>
      </c>
      <c r="J51" t="s" s="25">
        <v>34</v>
      </c>
      <c r="K51" s="25">
        <v>1</v>
      </c>
      <c r="L51" t="s" s="25">
        <v>34</v>
      </c>
      <c r="M51" t="s" s="13">
        <v>383</v>
      </c>
      <c r="N51" t="s" s="11">
        <v>479</v>
      </c>
      <c r="O51" t="s" s="11">
        <v>385</v>
      </c>
      <c r="P51" t="s" s="11">
        <v>386</v>
      </c>
      <c r="Q51" t="s" s="11">
        <v>387</v>
      </c>
      <c r="R51" t="s" s="11">
        <v>388</v>
      </c>
      <c r="S51" t="s" s="11">
        <v>34</v>
      </c>
      <c r="T51" t="s" s="13">
        <v>34</v>
      </c>
      <c r="U51" t="s" s="11">
        <v>240</v>
      </c>
      <c r="V51" t="s" s="13">
        <v>34</v>
      </c>
      <c r="W51" t="s" s="11">
        <v>480</v>
      </c>
      <c r="X51" s="17">
        <f>HYPERLINK("https://my.pitchbook.com?p=418526-11P", "View People Online")</f>
      </c>
    </row>
    <row r="52">
      <c r="A52" t="s" s="10">
        <v>481</v>
      </c>
      <c r="B52" t="s" s="10">
        <v>482</v>
      </c>
      <c r="C52" t="s" s="10">
        <v>377</v>
      </c>
      <c r="D52" t="s" s="10">
        <v>378</v>
      </c>
      <c r="E52" t="s" s="10">
        <v>365</v>
      </c>
      <c r="F52" t="s" s="10">
        <v>483</v>
      </c>
      <c r="G52" t="s" s="10">
        <v>484</v>
      </c>
      <c r="H52" s="16">
        <f>HYPERLINK("http://www.lunate.com", "www.lunate.com")</f>
      </c>
      <c r="I52" t="s" s="10">
        <v>485</v>
      </c>
      <c r="J52" t="s" s="24">
        <v>34</v>
      </c>
      <c r="K52" s="24">
        <v>1</v>
      </c>
      <c r="L52" t="s" s="24">
        <v>34</v>
      </c>
      <c r="M52" t="s" s="12">
        <v>383</v>
      </c>
      <c r="N52" t="s" s="10">
        <v>486</v>
      </c>
      <c r="O52" t="s" s="10">
        <v>385</v>
      </c>
      <c r="P52" t="s" s="10">
        <v>386</v>
      </c>
      <c r="Q52" t="s" s="10">
        <v>387</v>
      </c>
      <c r="R52" t="s" s="10">
        <v>388</v>
      </c>
      <c r="S52" t="s" s="10">
        <v>34</v>
      </c>
      <c r="T52" t="s" s="12">
        <v>34</v>
      </c>
      <c r="U52" t="s" s="10">
        <v>240</v>
      </c>
      <c r="V52" t="s" s="12">
        <v>34</v>
      </c>
      <c r="W52" t="s" s="10">
        <v>487</v>
      </c>
      <c r="X52" s="16">
        <f>HYPERLINK("https://my.pitchbook.com?p=138671-47P", "View People Online")</f>
      </c>
    </row>
    <row r="53">
      <c r="A53" t="s" s="11">
        <v>488</v>
      </c>
      <c r="B53" t="s" s="11">
        <v>489</v>
      </c>
      <c r="C53" t="s" s="11">
        <v>34</v>
      </c>
      <c r="D53" t="s" s="11">
        <v>378</v>
      </c>
      <c r="E53" t="s" s="11">
        <v>365</v>
      </c>
      <c r="F53" t="s" s="11">
        <v>490</v>
      </c>
      <c r="G53" t="s" s="11">
        <v>491</v>
      </c>
      <c r="H53" s="17">
        <f>HYPERLINK("http://www.lunate.com", "www.lunate.com")</f>
      </c>
      <c r="I53" t="s" s="11">
        <v>492</v>
      </c>
      <c r="J53" t="s" s="25">
        <v>34</v>
      </c>
      <c r="K53" s="25">
        <v>1</v>
      </c>
      <c r="L53" t="s" s="25">
        <v>34</v>
      </c>
      <c r="M53" t="s" s="13">
        <v>383</v>
      </c>
      <c r="N53" t="s" s="11">
        <v>493</v>
      </c>
      <c r="O53" t="s" s="11">
        <v>385</v>
      </c>
      <c r="P53" t="s" s="11">
        <v>386</v>
      </c>
      <c r="Q53" t="s" s="11">
        <v>387</v>
      </c>
      <c r="R53" t="s" s="11">
        <v>388</v>
      </c>
      <c r="S53" t="s" s="11">
        <v>34</v>
      </c>
      <c r="T53" t="s" s="13">
        <v>34</v>
      </c>
      <c r="U53" t="s" s="11">
        <v>240</v>
      </c>
      <c r="V53" t="s" s="13">
        <v>34</v>
      </c>
      <c r="W53" t="s" s="11">
        <v>494</v>
      </c>
      <c r="X53" s="17">
        <f>HYPERLINK("https://my.pitchbook.com?p=418515-49P", "View People Online")</f>
      </c>
    </row>
    <row r="54">
      <c r="A54" t="s" s="10">
        <v>495</v>
      </c>
      <c r="B54" t="s" s="10">
        <v>496</v>
      </c>
      <c r="C54" t="s" s="10">
        <v>442</v>
      </c>
      <c r="D54" t="s" s="10">
        <v>378</v>
      </c>
      <c r="E54" t="s" s="10">
        <v>365</v>
      </c>
      <c r="F54" t="s" s="10">
        <v>497</v>
      </c>
      <c r="G54" t="s" s="10">
        <v>498</v>
      </c>
      <c r="H54" s="16">
        <f>HYPERLINK("http://www.lunate.com", "www.lunate.com")</f>
      </c>
      <c r="I54" t="s" s="10">
        <v>499</v>
      </c>
      <c r="J54" t="s" s="24">
        <v>34</v>
      </c>
      <c r="K54" s="24">
        <v>1</v>
      </c>
      <c r="L54" t="s" s="24">
        <v>34</v>
      </c>
      <c r="M54" t="s" s="12">
        <v>383</v>
      </c>
      <c r="N54" t="s" s="10">
        <v>500</v>
      </c>
      <c r="O54" t="s" s="10">
        <v>385</v>
      </c>
      <c r="P54" t="s" s="10">
        <v>386</v>
      </c>
      <c r="Q54" t="s" s="10">
        <v>387</v>
      </c>
      <c r="R54" t="s" s="10">
        <v>388</v>
      </c>
      <c r="S54" t="s" s="10">
        <v>34</v>
      </c>
      <c r="T54" t="s" s="12">
        <v>34</v>
      </c>
      <c r="U54" t="s" s="10">
        <v>240</v>
      </c>
      <c r="V54" t="s" s="12">
        <v>34</v>
      </c>
      <c r="W54" t="s" s="10">
        <v>501</v>
      </c>
      <c r="X54" s="16">
        <f>HYPERLINK("https://my.pitchbook.com?p=418494-61P", "View People Online")</f>
      </c>
    </row>
    <row r="55">
      <c r="A55" t="s" s="11">
        <v>502</v>
      </c>
      <c r="B55" t="s" s="11">
        <v>503</v>
      </c>
      <c r="C55" t="s" s="11">
        <v>34</v>
      </c>
      <c r="D55" t="s" s="11">
        <v>378</v>
      </c>
      <c r="E55" t="s" s="11">
        <v>365</v>
      </c>
      <c r="F55" t="s" s="11">
        <v>504</v>
      </c>
      <c r="G55" t="s" s="11">
        <v>505</v>
      </c>
      <c r="H55" s="17">
        <f>HYPERLINK("http://www.lunate.com", "www.lunate.com")</f>
      </c>
      <c r="I55" t="s" s="11">
        <v>506</v>
      </c>
      <c r="J55" t="s" s="25">
        <v>34</v>
      </c>
      <c r="K55" s="25">
        <v>1</v>
      </c>
      <c r="L55" t="s" s="25">
        <v>34</v>
      </c>
      <c r="M55" t="s" s="13">
        <v>383</v>
      </c>
      <c r="N55" t="s" s="11">
        <v>507</v>
      </c>
      <c r="O55" t="s" s="11">
        <v>385</v>
      </c>
      <c r="P55" t="s" s="11">
        <v>386</v>
      </c>
      <c r="Q55" t="s" s="11">
        <v>387</v>
      </c>
      <c r="R55" t="s" s="11">
        <v>388</v>
      </c>
      <c r="S55" t="s" s="11">
        <v>34</v>
      </c>
      <c r="T55" t="s" s="13">
        <v>34</v>
      </c>
      <c r="U55" t="s" s="11">
        <v>240</v>
      </c>
      <c r="V55" t="s" s="13">
        <v>34</v>
      </c>
      <c r="W55" t="s" s="11">
        <v>508</v>
      </c>
      <c r="X55" s="17">
        <f>HYPERLINK("https://my.pitchbook.com?p=418519-09P", "View People Online")</f>
      </c>
    </row>
    <row r="56">
      <c r="A56" t="s" s="10">
        <v>509</v>
      </c>
      <c r="B56" t="s" s="10">
        <v>510</v>
      </c>
      <c r="C56" t="s" s="10">
        <v>34</v>
      </c>
      <c r="D56" t="s" s="10">
        <v>378</v>
      </c>
      <c r="E56" t="s" s="10">
        <v>365</v>
      </c>
      <c r="F56" t="s" s="10">
        <v>511</v>
      </c>
      <c r="G56" t="s" s="10">
        <v>512</v>
      </c>
      <c r="H56" s="16">
        <f>HYPERLINK("http://www.lunate.com", "www.lunate.com")</f>
      </c>
      <c r="I56" t="s" s="10">
        <v>513</v>
      </c>
      <c r="J56" t="s" s="24">
        <v>34</v>
      </c>
      <c r="K56" s="24">
        <v>1</v>
      </c>
      <c r="L56" t="s" s="24">
        <v>34</v>
      </c>
      <c r="M56" t="s" s="12">
        <v>383</v>
      </c>
      <c r="N56" t="s" s="10">
        <v>514</v>
      </c>
      <c r="O56" t="s" s="10">
        <v>385</v>
      </c>
      <c r="P56" t="s" s="10">
        <v>386</v>
      </c>
      <c r="Q56" t="s" s="10">
        <v>387</v>
      </c>
      <c r="R56" t="s" s="10">
        <v>388</v>
      </c>
      <c r="S56" t="s" s="10">
        <v>34</v>
      </c>
      <c r="T56" t="s" s="12">
        <v>34</v>
      </c>
      <c r="U56" t="s" s="10">
        <v>240</v>
      </c>
      <c r="V56" t="s" s="12">
        <v>34</v>
      </c>
      <c r="W56" t="s" s="10">
        <v>515</v>
      </c>
      <c r="X56" s="16">
        <f>HYPERLINK("https://my.pitchbook.com?p=418472-29P", "View People Online")</f>
      </c>
    </row>
    <row r="57">
      <c r="A57" t="s" s="11">
        <v>516</v>
      </c>
      <c r="B57" t="s" s="11">
        <v>517</v>
      </c>
      <c r="C57" t="s" s="11">
        <v>34</v>
      </c>
      <c r="D57" t="s" s="11">
        <v>518</v>
      </c>
      <c r="E57" t="s" s="11">
        <v>365</v>
      </c>
      <c r="F57" t="s" s="11">
        <v>519</v>
      </c>
      <c r="G57" t="s" s="11">
        <v>520</v>
      </c>
      <c r="H57" s="17">
        <f>HYPERLINK("http://quantumasset.com", "quantumasset.com")</f>
      </c>
      <c r="I57" t="s" s="11">
        <v>522</v>
      </c>
      <c r="J57" t="s" s="25">
        <v>34</v>
      </c>
      <c r="K57" s="25">
        <v>1</v>
      </c>
      <c r="L57" t="s" s="25">
        <v>34</v>
      </c>
      <c r="M57" t="s" s="13">
        <v>523</v>
      </c>
      <c r="N57" t="s" s="11">
        <v>524</v>
      </c>
      <c r="O57" t="s" s="11">
        <v>525</v>
      </c>
      <c r="P57" t="s" s="11">
        <v>526</v>
      </c>
      <c r="Q57" t="s" s="11">
        <v>527</v>
      </c>
      <c r="R57" t="s" s="11">
        <v>528</v>
      </c>
      <c r="S57" t="s" s="11">
        <v>34</v>
      </c>
      <c r="T57" t="s" s="13">
        <v>529</v>
      </c>
      <c r="U57" t="s" s="11">
        <v>528</v>
      </c>
      <c r="V57" t="s" s="13">
        <v>34</v>
      </c>
      <c r="W57" t="s" s="11">
        <v>530</v>
      </c>
      <c r="X57" s="17">
        <f>HYPERLINK("https://my.pitchbook.com?p=448225-03P", "View People Online")</f>
      </c>
    </row>
    <row r="58">
      <c r="A58" t="s" s="10">
        <v>531</v>
      </c>
      <c r="B58" t="s" s="10">
        <v>532</v>
      </c>
      <c r="C58" t="s" s="10">
        <v>34</v>
      </c>
      <c r="D58" t="s" s="10">
        <v>533</v>
      </c>
      <c r="E58" t="s" s="10">
        <v>365</v>
      </c>
      <c r="F58" t="s" s="10">
        <v>534</v>
      </c>
      <c r="G58" t="s" s="10">
        <v>535</v>
      </c>
      <c r="H58" s="16">
        <f>HYPERLINK("http://www.lgtcp.com", "www.lgtcp.com")</f>
      </c>
      <c r="I58" t="s" s="10">
        <v>536</v>
      </c>
      <c r="J58" t="s" s="24">
        <v>34</v>
      </c>
      <c r="K58" s="24">
        <v>1</v>
      </c>
      <c r="L58" t="s" s="24">
        <v>34</v>
      </c>
      <c r="M58" t="s" s="12">
        <v>537</v>
      </c>
      <c r="N58" t="s" s="10">
        <v>538</v>
      </c>
      <c r="O58" t="s" s="10">
        <v>539</v>
      </c>
      <c r="P58" t="s" s="10">
        <v>540</v>
      </c>
      <c r="Q58" t="s" s="10">
        <v>541</v>
      </c>
      <c r="R58" t="s" s="10">
        <v>542</v>
      </c>
      <c r="S58" t="s" s="10">
        <v>34</v>
      </c>
      <c r="T58" t="s" s="12">
        <v>543</v>
      </c>
      <c r="U58" t="s" s="10">
        <v>544</v>
      </c>
      <c r="V58" t="s" s="12">
        <v>34</v>
      </c>
      <c r="W58" t="s" s="10">
        <v>545</v>
      </c>
      <c r="X58" s="16">
        <f>HYPERLINK("https://my.pitchbook.com?p=78789-70P", "View People Online")</f>
      </c>
    </row>
    <row r="59">
      <c r="A59" t="s" s="11">
        <v>546</v>
      </c>
      <c r="B59" t="s" s="11">
        <v>547</v>
      </c>
      <c r="C59" t="s" s="11">
        <v>34</v>
      </c>
      <c r="D59" t="s" s="11">
        <v>533</v>
      </c>
      <c r="E59" t="s" s="11">
        <v>365</v>
      </c>
      <c r="F59" t="s" s="11">
        <v>548</v>
      </c>
      <c r="G59" t="s" s="11">
        <v>549</v>
      </c>
      <c r="H59" s="17">
        <f>HYPERLINK("http://www.lgtcp.com", "www.lgtcp.com")</f>
      </c>
      <c r="I59" t="s" s="11">
        <v>111</v>
      </c>
      <c r="J59" t="s" s="25">
        <v>34</v>
      </c>
      <c r="K59" s="25">
        <v>1</v>
      </c>
      <c r="L59" t="s" s="25">
        <v>34</v>
      </c>
      <c r="M59" t="s" s="13">
        <v>550</v>
      </c>
      <c r="N59" t="s" s="11">
        <v>551</v>
      </c>
      <c r="O59" t="s" s="11">
        <v>552</v>
      </c>
      <c r="P59" t="s" s="11">
        <v>553</v>
      </c>
      <c r="Q59" t="s" s="11">
        <v>554</v>
      </c>
      <c r="R59" t="s" s="11">
        <v>555</v>
      </c>
      <c r="S59" t="s" s="11">
        <v>34</v>
      </c>
      <c r="T59" t="s" s="13">
        <v>556</v>
      </c>
      <c r="U59" t="s" s="11">
        <v>555</v>
      </c>
      <c r="V59" t="s" s="13">
        <v>34</v>
      </c>
      <c r="W59" t="s" s="11">
        <v>557</v>
      </c>
      <c r="X59" s="17">
        <f>HYPERLINK("https://my.pitchbook.com?p=35481-43P", "View People Online")</f>
      </c>
    </row>
    <row r="60">
      <c r="A60" t="s" s="10">
        <v>558</v>
      </c>
      <c r="B60" t="s" s="10">
        <v>559</v>
      </c>
      <c r="C60" t="s" s="10">
        <v>34</v>
      </c>
      <c r="D60" t="s" s="10">
        <v>378</v>
      </c>
      <c r="E60" t="s" s="10">
        <v>365</v>
      </c>
      <c r="F60" t="s" s="10">
        <v>560</v>
      </c>
      <c r="G60" t="s" s="10">
        <v>561</v>
      </c>
      <c r="H60" s="16">
        <f>HYPERLINK("http://www.lunate.com", "www.lunate.com")</f>
      </c>
      <c r="I60" t="s" s="10">
        <v>562</v>
      </c>
      <c r="J60" t="s" s="24">
        <v>34</v>
      </c>
      <c r="K60" s="24">
        <v>1</v>
      </c>
      <c r="L60" t="s" s="24">
        <v>34</v>
      </c>
      <c r="M60" t="s" s="12">
        <v>383</v>
      </c>
      <c r="N60" t="s" s="10">
        <v>563</v>
      </c>
      <c r="O60" t="s" s="10">
        <v>385</v>
      </c>
      <c r="P60" t="s" s="10">
        <v>386</v>
      </c>
      <c r="Q60" t="s" s="10">
        <v>387</v>
      </c>
      <c r="R60" t="s" s="10">
        <v>388</v>
      </c>
      <c r="S60" t="s" s="10">
        <v>34</v>
      </c>
      <c r="T60" t="s" s="12">
        <v>34</v>
      </c>
      <c r="U60" t="s" s="10">
        <v>240</v>
      </c>
      <c r="V60" t="s" s="12">
        <v>34</v>
      </c>
      <c r="W60" t="s" s="10">
        <v>564</v>
      </c>
      <c r="X60" s="16">
        <f>HYPERLINK("https://my.pitchbook.com?p=172995-85P", "View People Online")</f>
      </c>
    </row>
    <row r="61">
      <c r="A61" t="s" s="11">
        <v>565</v>
      </c>
      <c r="B61" t="s" s="11">
        <v>566</v>
      </c>
      <c r="C61" t="s" s="11">
        <v>34</v>
      </c>
      <c r="D61" t="s" s="11">
        <v>567</v>
      </c>
      <c r="E61" t="s" s="11">
        <v>365</v>
      </c>
      <c r="F61" t="s" s="11">
        <v>568</v>
      </c>
      <c r="G61" t="s" s="11">
        <v>569</v>
      </c>
      <c r="H61" s="17">
        <f>HYPERLINK("http://www.qia.qa", "www.qia.qa")</f>
      </c>
      <c r="I61" t="s" s="11">
        <v>571</v>
      </c>
      <c r="J61" s="25">
        <v>1</v>
      </c>
      <c r="K61" s="25">
        <v>1</v>
      </c>
      <c r="L61" t="s" s="25">
        <v>34</v>
      </c>
      <c r="M61" t="s" s="13">
        <v>572</v>
      </c>
      <c r="N61" t="s" s="11">
        <v>34</v>
      </c>
      <c r="O61" t="s" s="11">
        <v>59</v>
      </c>
      <c r="P61" t="s" s="11">
        <v>573</v>
      </c>
      <c r="Q61" t="s" s="11">
        <v>574</v>
      </c>
      <c r="R61" t="s" s="11">
        <v>62</v>
      </c>
      <c r="S61" t="s" s="11">
        <v>34</v>
      </c>
      <c r="T61" t="s" s="13">
        <v>34</v>
      </c>
      <c r="U61" t="s" s="11">
        <v>64</v>
      </c>
      <c r="V61" t="s" s="13">
        <v>575</v>
      </c>
      <c r="W61" t="s" s="11">
        <v>576</v>
      </c>
      <c r="X61" s="17">
        <f>HYPERLINK("https://my.pitchbook.com?p=466387-75P", "View People Online")</f>
      </c>
    </row>
    <row r="62">
      <c r="A62" t="s" s="10">
        <v>577</v>
      </c>
      <c r="B62" t="s" s="10">
        <v>578</v>
      </c>
      <c r="C62" t="s" s="10">
        <v>377</v>
      </c>
      <c r="D62" t="s" s="10">
        <v>378</v>
      </c>
      <c r="E62" t="s" s="10">
        <v>365</v>
      </c>
      <c r="F62" t="s" s="10">
        <v>579</v>
      </c>
      <c r="G62" t="s" s="10">
        <v>580</v>
      </c>
      <c r="H62" s="16">
        <f>HYPERLINK("http://www.lunate.com", "www.lunate.com")</f>
      </c>
      <c r="I62" t="s" s="10">
        <v>437</v>
      </c>
      <c r="J62" t="s" s="24">
        <v>34</v>
      </c>
      <c r="K62" s="24">
        <v>1</v>
      </c>
      <c r="L62" t="s" s="24">
        <v>34</v>
      </c>
      <c r="M62" t="s" s="12">
        <v>383</v>
      </c>
      <c r="N62" t="s" s="10">
        <v>581</v>
      </c>
      <c r="O62" t="s" s="10">
        <v>385</v>
      </c>
      <c r="P62" t="s" s="10">
        <v>386</v>
      </c>
      <c r="Q62" t="s" s="10">
        <v>387</v>
      </c>
      <c r="R62" t="s" s="10">
        <v>388</v>
      </c>
      <c r="S62" t="s" s="10">
        <v>34</v>
      </c>
      <c r="T62" t="s" s="12">
        <v>34</v>
      </c>
      <c r="U62" t="s" s="10">
        <v>240</v>
      </c>
      <c r="V62" t="s" s="12">
        <v>34</v>
      </c>
      <c r="W62" t="s" s="10">
        <v>582</v>
      </c>
      <c r="X62" s="16">
        <f>HYPERLINK("https://my.pitchbook.com?p=418476-61P", "View People Online")</f>
      </c>
    </row>
    <row r="63">
      <c r="A63" t="s" s="11">
        <v>583</v>
      </c>
      <c r="B63" t="s" s="11">
        <v>584</v>
      </c>
      <c r="C63" t="s" s="11">
        <v>34</v>
      </c>
      <c r="D63" t="s" s="11">
        <v>533</v>
      </c>
      <c r="E63" t="s" s="11">
        <v>365</v>
      </c>
      <c r="F63" t="s" s="11">
        <v>585</v>
      </c>
      <c r="G63" t="s" s="11">
        <v>586</v>
      </c>
      <c r="H63" s="17">
        <f>HYPERLINK("http://www.lgtcp.com", "www.lgtcp.com")</f>
      </c>
      <c r="I63" t="s" s="11">
        <v>587</v>
      </c>
      <c r="J63" t="s" s="25">
        <v>34</v>
      </c>
      <c r="K63" s="25">
        <v>1</v>
      </c>
      <c r="L63" t="s" s="25">
        <v>34</v>
      </c>
      <c r="M63" t="s" s="13">
        <v>588</v>
      </c>
      <c r="N63" t="s" s="11">
        <v>589</v>
      </c>
      <c r="O63" t="s" s="11">
        <v>539</v>
      </c>
      <c r="P63" t="s" s="11">
        <v>540</v>
      </c>
      <c r="Q63" t="s" s="11">
        <v>541</v>
      </c>
      <c r="R63" t="s" s="11">
        <v>542</v>
      </c>
      <c r="S63" t="s" s="11">
        <v>34</v>
      </c>
      <c r="T63" t="s" s="13">
        <v>543</v>
      </c>
      <c r="U63" t="s" s="11">
        <v>544</v>
      </c>
      <c r="V63" t="s" s="13">
        <v>34</v>
      </c>
      <c r="W63" t="s" s="11">
        <v>590</v>
      </c>
      <c r="X63" s="17">
        <f>HYPERLINK("https://my.pitchbook.com?p=223725-43P", "View People Online")</f>
      </c>
    </row>
    <row r="64">
      <c r="A64" t="s" s="10">
        <v>591</v>
      </c>
      <c r="B64" t="s" s="10">
        <v>592</v>
      </c>
      <c r="C64" t="s" s="10">
        <v>442</v>
      </c>
      <c r="D64" t="s" s="10">
        <v>378</v>
      </c>
      <c r="E64" t="s" s="10">
        <v>365</v>
      </c>
      <c r="F64" t="s" s="10">
        <v>593</v>
      </c>
      <c r="G64" t="s" s="10">
        <v>594</v>
      </c>
      <c r="H64" s="16">
        <f>HYPERLINK("http://www.lunate.com", "www.lunate.com")</f>
      </c>
      <c r="I64" t="s" s="10">
        <v>499</v>
      </c>
      <c r="J64" s="24">
        <v>1</v>
      </c>
      <c r="K64" s="24">
        <v>3</v>
      </c>
      <c r="L64" s="24">
        <v>1</v>
      </c>
      <c r="M64" t="s" s="12">
        <v>383</v>
      </c>
      <c r="N64" t="s" s="10">
        <v>595</v>
      </c>
      <c r="O64" t="s" s="10">
        <v>385</v>
      </c>
      <c r="P64" t="s" s="10">
        <v>386</v>
      </c>
      <c r="Q64" t="s" s="10">
        <v>387</v>
      </c>
      <c r="R64" t="s" s="10">
        <v>388</v>
      </c>
      <c r="S64" t="s" s="10">
        <v>34</v>
      </c>
      <c r="T64" t="s" s="12">
        <v>34</v>
      </c>
      <c r="U64" t="s" s="10">
        <v>240</v>
      </c>
      <c r="V64" t="s" s="12">
        <v>34</v>
      </c>
      <c r="W64" t="s" s="10">
        <v>596</v>
      </c>
      <c r="X64" s="16">
        <f>HYPERLINK("https://my.pitchbook.com?p=399527-56P", "View People Online")</f>
      </c>
    </row>
    <row r="65">
      <c r="A65" t="s" s="11">
        <v>597</v>
      </c>
      <c r="B65" t="s" s="11">
        <v>598</v>
      </c>
      <c r="C65" t="s" s="11">
        <v>377</v>
      </c>
      <c r="D65" t="s" s="11">
        <v>378</v>
      </c>
      <c r="E65" t="s" s="11">
        <v>365</v>
      </c>
      <c r="F65" t="s" s="11">
        <v>599</v>
      </c>
      <c r="G65" t="s" s="11">
        <v>600</v>
      </c>
      <c r="H65" s="17">
        <f>HYPERLINK("http://www.lunate.com", "www.lunate.com")</f>
      </c>
      <c r="I65" t="s" s="11">
        <v>437</v>
      </c>
      <c r="J65" t="s" s="25">
        <v>34</v>
      </c>
      <c r="K65" s="25">
        <v>1</v>
      </c>
      <c r="L65" t="s" s="25">
        <v>34</v>
      </c>
      <c r="M65" t="s" s="13">
        <v>383</v>
      </c>
      <c r="N65" t="s" s="11">
        <v>601</v>
      </c>
      <c r="O65" t="s" s="11">
        <v>385</v>
      </c>
      <c r="P65" t="s" s="11">
        <v>386</v>
      </c>
      <c r="Q65" t="s" s="11">
        <v>387</v>
      </c>
      <c r="R65" t="s" s="11">
        <v>388</v>
      </c>
      <c r="S65" t="s" s="11">
        <v>34</v>
      </c>
      <c r="T65" t="s" s="13">
        <v>34</v>
      </c>
      <c r="U65" t="s" s="11">
        <v>240</v>
      </c>
      <c r="V65" t="s" s="13">
        <v>34</v>
      </c>
      <c r="W65" t="s" s="11">
        <v>602</v>
      </c>
      <c r="X65" s="17">
        <f>HYPERLINK("https://my.pitchbook.com?p=418528-54P", "View People Online")</f>
      </c>
    </row>
    <row r="66">
      <c r="A66" t="s" s="10">
        <v>603</v>
      </c>
      <c r="B66" t="s" s="10">
        <v>604</v>
      </c>
      <c r="C66" t="s" s="10">
        <v>377</v>
      </c>
      <c r="D66" t="s" s="10">
        <v>378</v>
      </c>
      <c r="E66" t="s" s="10">
        <v>365</v>
      </c>
      <c r="F66" t="s" s="10">
        <v>605</v>
      </c>
      <c r="G66" t="s" s="10">
        <v>606</v>
      </c>
      <c r="H66" s="16">
        <f>HYPERLINK("http://www.lunate.com", "www.lunate.com")</f>
      </c>
      <c r="I66" t="s" s="10">
        <v>437</v>
      </c>
      <c r="J66" t="s" s="24">
        <v>34</v>
      </c>
      <c r="K66" s="24">
        <v>1</v>
      </c>
      <c r="L66" t="s" s="24">
        <v>34</v>
      </c>
      <c r="M66" t="s" s="12">
        <v>383</v>
      </c>
      <c r="N66" t="s" s="10">
        <v>607</v>
      </c>
      <c r="O66" t="s" s="10">
        <v>385</v>
      </c>
      <c r="P66" t="s" s="10">
        <v>386</v>
      </c>
      <c r="Q66" t="s" s="10">
        <v>387</v>
      </c>
      <c r="R66" t="s" s="10">
        <v>388</v>
      </c>
      <c r="S66" t="s" s="10">
        <v>34</v>
      </c>
      <c r="T66" t="s" s="12">
        <v>34</v>
      </c>
      <c r="U66" t="s" s="10">
        <v>240</v>
      </c>
      <c r="V66" t="s" s="12">
        <v>34</v>
      </c>
      <c r="W66" t="s" s="10">
        <v>608</v>
      </c>
      <c r="X66" s="16">
        <f>HYPERLINK("https://my.pitchbook.com?p=418514-50P", "View People Online")</f>
      </c>
    </row>
    <row r="67">
      <c r="A67" t="s" s="11">
        <v>609</v>
      </c>
      <c r="B67" t="s" s="11">
        <v>610</v>
      </c>
      <c r="C67" t="s" s="11">
        <v>34</v>
      </c>
      <c r="D67" t="s" s="11">
        <v>378</v>
      </c>
      <c r="E67" t="s" s="11">
        <v>365</v>
      </c>
      <c r="F67" t="s" s="11">
        <v>611</v>
      </c>
      <c r="G67" t="s" s="11">
        <v>612</v>
      </c>
      <c r="H67" s="17">
        <f>HYPERLINK("http://www.lunate.com", "www.lunate.com")</f>
      </c>
      <c r="I67" t="s" s="11">
        <v>613</v>
      </c>
      <c r="J67" t="s" s="25">
        <v>34</v>
      </c>
      <c r="K67" s="25">
        <v>1</v>
      </c>
      <c r="L67" t="s" s="25">
        <v>34</v>
      </c>
      <c r="M67" t="s" s="13">
        <v>383</v>
      </c>
      <c r="N67" t="s" s="11">
        <v>614</v>
      </c>
      <c r="O67" t="s" s="11">
        <v>385</v>
      </c>
      <c r="P67" t="s" s="11">
        <v>386</v>
      </c>
      <c r="Q67" t="s" s="11">
        <v>387</v>
      </c>
      <c r="R67" t="s" s="11">
        <v>388</v>
      </c>
      <c r="S67" t="s" s="11">
        <v>34</v>
      </c>
      <c r="T67" t="s" s="13">
        <v>34</v>
      </c>
      <c r="U67" t="s" s="11">
        <v>240</v>
      </c>
      <c r="V67" t="s" s="13">
        <v>34</v>
      </c>
      <c r="W67" t="s" s="11">
        <v>615</v>
      </c>
      <c r="X67" s="17">
        <f>HYPERLINK("https://my.pitchbook.com?p=418531-15P", "View People Online")</f>
      </c>
    </row>
    <row r="68">
      <c r="A68" t="s" s="10">
        <v>616</v>
      </c>
      <c r="B68" t="s" s="10">
        <v>617</v>
      </c>
      <c r="C68" t="s" s="10">
        <v>34</v>
      </c>
      <c r="D68" t="s" s="10">
        <v>618</v>
      </c>
      <c r="E68" t="s" s="10">
        <v>365</v>
      </c>
      <c r="F68" t="s" s="10">
        <v>619</v>
      </c>
      <c r="G68" t="s" s="10">
        <v>620</v>
      </c>
      <c r="H68" s="16">
        <f>HYPERLINK("http://www.palisades.us.com", "www.palisades.us.com")</f>
      </c>
      <c r="I68" t="s" s="10">
        <v>622</v>
      </c>
      <c r="J68" t="s" s="24">
        <v>34</v>
      </c>
      <c r="K68" s="24">
        <v>3</v>
      </c>
      <c r="L68" s="24">
        <v>1</v>
      </c>
      <c r="M68" t="s" s="12">
        <v>623</v>
      </c>
      <c r="N68" t="s" s="10">
        <v>624</v>
      </c>
      <c r="O68" t="s" s="10">
        <v>625</v>
      </c>
      <c r="P68" t="s" s="10">
        <v>626</v>
      </c>
      <c r="Q68" t="s" s="10">
        <v>627</v>
      </c>
      <c r="R68" t="s" s="10">
        <v>628</v>
      </c>
      <c r="S68" t="s" s="10">
        <v>225</v>
      </c>
      <c r="T68" t="s" s="12">
        <v>629</v>
      </c>
      <c r="U68" t="s" s="10">
        <v>88</v>
      </c>
      <c r="V68" t="s" s="12">
        <v>34</v>
      </c>
      <c r="W68" t="s" s="10">
        <v>630</v>
      </c>
      <c r="X68" s="16">
        <f>HYPERLINK("https://my.pitchbook.com?p=87276-61P", "View People Online")</f>
      </c>
    </row>
    <row r="69">
      <c r="A69" t="s" s="11">
        <v>631</v>
      </c>
      <c r="B69" t="s" s="11">
        <v>632</v>
      </c>
      <c r="C69" t="s" s="11">
        <v>34</v>
      </c>
      <c r="D69" t="s" s="11">
        <v>378</v>
      </c>
      <c r="E69" t="s" s="11">
        <v>365</v>
      </c>
      <c r="F69" t="s" s="11">
        <v>633</v>
      </c>
      <c r="G69" t="s" s="11">
        <v>620</v>
      </c>
      <c r="H69" s="17">
        <f>HYPERLINK("http://www.lunate.com", "www.lunate.com")</f>
      </c>
      <c r="I69" t="s" s="11">
        <v>634</v>
      </c>
      <c r="J69" t="s" s="25">
        <v>34</v>
      </c>
      <c r="K69" s="25">
        <v>1</v>
      </c>
      <c r="L69" t="s" s="25">
        <v>34</v>
      </c>
      <c r="M69" t="s" s="13">
        <v>383</v>
      </c>
      <c r="N69" t="s" s="11">
        <v>635</v>
      </c>
      <c r="O69" t="s" s="11">
        <v>385</v>
      </c>
      <c r="P69" t="s" s="11">
        <v>386</v>
      </c>
      <c r="Q69" t="s" s="11">
        <v>387</v>
      </c>
      <c r="R69" t="s" s="11">
        <v>388</v>
      </c>
      <c r="S69" t="s" s="11">
        <v>34</v>
      </c>
      <c r="T69" t="s" s="13">
        <v>34</v>
      </c>
      <c r="U69" t="s" s="11">
        <v>240</v>
      </c>
      <c r="V69" t="s" s="13">
        <v>34</v>
      </c>
      <c r="W69" t="s" s="11">
        <v>636</v>
      </c>
      <c r="X69" s="17">
        <f>HYPERLINK("https://my.pitchbook.com?p=418505-68P", "View People Online")</f>
      </c>
    </row>
    <row r="70">
      <c r="A70" t="s" s="10">
        <v>637</v>
      </c>
      <c r="B70" t="s" s="10">
        <v>638</v>
      </c>
      <c r="C70" t="s" s="10">
        <v>34</v>
      </c>
      <c r="D70" t="s" s="10">
        <v>378</v>
      </c>
      <c r="E70" t="s" s="10">
        <v>365</v>
      </c>
      <c r="F70" t="s" s="10">
        <v>639</v>
      </c>
      <c r="G70" t="s" s="10">
        <v>640</v>
      </c>
      <c r="H70" s="16">
        <f>HYPERLINK("http://www.lunate.com", "www.lunate.com")</f>
      </c>
      <c r="I70" t="s" s="10">
        <v>641</v>
      </c>
      <c r="J70" t="s" s="24">
        <v>34</v>
      </c>
      <c r="K70" s="24">
        <v>2</v>
      </c>
      <c r="L70" s="24">
        <v>1</v>
      </c>
      <c r="M70" t="s" s="12">
        <v>383</v>
      </c>
      <c r="N70" t="s" s="10">
        <v>642</v>
      </c>
      <c r="O70" t="s" s="10">
        <v>385</v>
      </c>
      <c r="P70" t="s" s="10">
        <v>386</v>
      </c>
      <c r="Q70" t="s" s="10">
        <v>387</v>
      </c>
      <c r="R70" t="s" s="10">
        <v>388</v>
      </c>
      <c r="S70" t="s" s="10">
        <v>34</v>
      </c>
      <c r="T70" t="s" s="12">
        <v>34</v>
      </c>
      <c r="U70" t="s" s="10">
        <v>240</v>
      </c>
      <c r="V70" t="s" s="12">
        <v>34</v>
      </c>
      <c r="W70" t="s" s="10">
        <v>643</v>
      </c>
      <c r="X70" s="16">
        <f>HYPERLINK("https://my.pitchbook.com?p=267889-06P", "View People Online")</f>
      </c>
    </row>
    <row r="71">
      <c r="A71" t="s" s="11">
        <v>644</v>
      </c>
      <c r="B71" t="s" s="11">
        <v>645</v>
      </c>
      <c r="C71" t="s" s="11">
        <v>34</v>
      </c>
      <c r="D71" t="s" s="11">
        <v>646</v>
      </c>
      <c r="E71" t="s" s="11">
        <v>365</v>
      </c>
      <c r="F71" t="s" s="11">
        <v>647</v>
      </c>
      <c r="G71" t="s" s="11">
        <v>253</v>
      </c>
      <c r="H71" s="17">
        <f>HYPERLINK("http://www.blackrock.com", "www.blackrock.com")</f>
      </c>
      <c r="I71" t="s" s="11">
        <v>649</v>
      </c>
      <c r="J71" t="s" s="25">
        <v>34</v>
      </c>
      <c r="K71" t="s" s="25">
        <v>34</v>
      </c>
      <c r="L71" t="s" s="25">
        <v>34</v>
      </c>
      <c r="M71" t="s" s="13">
        <v>34</v>
      </c>
      <c r="N71" t="s" s="11">
        <v>34</v>
      </c>
      <c r="O71" t="s" s="11">
        <v>34</v>
      </c>
      <c r="P71" t="s" s="11">
        <v>34</v>
      </c>
      <c r="Q71" t="s" s="11">
        <v>34</v>
      </c>
      <c r="R71" t="s" s="11">
        <v>34</v>
      </c>
      <c r="S71" t="s" s="11">
        <v>34</v>
      </c>
      <c r="T71" t="s" s="13">
        <v>34</v>
      </c>
      <c r="U71" t="s" s="11">
        <v>34</v>
      </c>
      <c r="V71" t="s" s="13">
        <v>34</v>
      </c>
      <c r="W71" t="s" s="11">
        <v>650</v>
      </c>
      <c r="X71" s="17">
        <f>HYPERLINK("https://my.pitchbook.com?p=18193-78P", "View People Online")</f>
      </c>
    </row>
    <row r="72">
      <c r="A72" t="s" s="10">
        <v>651</v>
      </c>
      <c r="B72" t="s" s="10">
        <v>652</v>
      </c>
      <c r="C72" t="s" s="10">
        <v>34</v>
      </c>
      <c r="D72" t="s" s="10">
        <v>378</v>
      </c>
      <c r="E72" t="s" s="10">
        <v>365</v>
      </c>
      <c r="F72" t="s" s="10">
        <v>653</v>
      </c>
      <c r="G72" t="s" s="10">
        <v>654</v>
      </c>
      <c r="H72" s="16">
        <f>HYPERLINK("http://www.lunate.com", "www.lunate.com")</f>
      </c>
      <c r="I72" t="s" s="10">
        <v>655</v>
      </c>
      <c r="J72" t="s" s="24">
        <v>34</v>
      </c>
      <c r="K72" s="24">
        <v>1</v>
      </c>
      <c r="L72" t="s" s="24">
        <v>34</v>
      </c>
      <c r="M72" t="s" s="12">
        <v>383</v>
      </c>
      <c r="N72" t="s" s="10">
        <v>656</v>
      </c>
      <c r="O72" t="s" s="10">
        <v>385</v>
      </c>
      <c r="P72" t="s" s="10">
        <v>386</v>
      </c>
      <c r="Q72" t="s" s="10">
        <v>387</v>
      </c>
      <c r="R72" t="s" s="10">
        <v>388</v>
      </c>
      <c r="S72" t="s" s="10">
        <v>34</v>
      </c>
      <c r="T72" t="s" s="12">
        <v>34</v>
      </c>
      <c r="U72" t="s" s="10">
        <v>240</v>
      </c>
      <c r="V72" t="s" s="12">
        <v>34</v>
      </c>
      <c r="W72" t="s" s="10">
        <v>657</v>
      </c>
      <c r="X72" s="16">
        <f>HYPERLINK("https://my.pitchbook.com?p=399309-94P", "View People Online")</f>
      </c>
    </row>
    <row r="73">
      <c r="A73" t="s" s="11">
        <v>658</v>
      </c>
      <c r="B73" t="s" s="11">
        <v>659</v>
      </c>
      <c r="C73" t="s" s="11">
        <v>34</v>
      </c>
      <c r="D73" t="s" s="11">
        <v>378</v>
      </c>
      <c r="E73" t="s" s="11">
        <v>365</v>
      </c>
      <c r="F73" t="s" s="11">
        <v>660</v>
      </c>
      <c r="G73" t="s" s="11">
        <v>661</v>
      </c>
      <c r="H73" s="17">
        <f>HYPERLINK("http://www.lunate.com", "www.lunate.com")</f>
      </c>
      <c r="I73" t="s" s="11">
        <v>662</v>
      </c>
      <c r="J73" t="s" s="25">
        <v>34</v>
      </c>
      <c r="K73" s="25">
        <v>3</v>
      </c>
      <c r="L73" t="s" s="25">
        <v>34</v>
      </c>
      <c r="M73" t="s" s="13">
        <v>383</v>
      </c>
      <c r="N73" t="s" s="11">
        <v>663</v>
      </c>
      <c r="O73" t="s" s="11">
        <v>385</v>
      </c>
      <c r="P73" t="s" s="11">
        <v>386</v>
      </c>
      <c r="Q73" t="s" s="11">
        <v>387</v>
      </c>
      <c r="R73" t="s" s="11">
        <v>388</v>
      </c>
      <c r="S73" t="s" s="11">
        <v>34</v>
      </c>
      <c r="T73" t="s" s="13">
        <v>34</v>
      </c>
      <c r="U73" t="s" s="11">
        <v>240</v>
      </c>
      <c r="V73" t="s" s="13">
        <v>34</v>
      </c>
      <c r="W73" t="s" s="11">
        <v>664</v>
      </c>
      <c r="X73" s="17">
        <f>HYPERLINK("https://my.pitchbook.com?p=243780-13P", "View People Online")</f>
      </c>
    </row>
    <row r="74">
      <c r="A74" t="s" s="10">
        <v>665</v>
      </c>
      <c r="B74" t="s" s="10">
        <v>666</v>
      </c>
      <c r="C74" t="s" s="10">
        <v>34</v>
      </c>
      <c r="D74" t="s" s="10">
        <v>378</v>
      </c>
      <c r="E74" t="s" s="10">
        <v>365</v>
      </c>
      <c r="F74" t="s" s="10">
        <v>667</v>
      </c>
      <c r="G74" t="s" s="10">
        <v>668</v>
      </c>
      <c r="H74" s="16">
        <f>HYPERLINK("http://www.lunate.com", "www.lunate.com")</f>
      </c>
      <c r="I74" t="s" s="10">
        <v>669</v>
      </c>
      <c r="J74" t="s" s="24">
        <v>34</v>
      </c>
      <c r="K74" s="24">
        <v>1</v>
      </c>
      <c r="L74" t="s" s="24">
        <v>34</v>
      </c>
      <c r="M74" t="s" s="12">
        <v>383</v>
      </c>
      <c r="N74" t="s" s="10">
        <v>670</v>
      </c>
      <c r="O74" t="s" s="10">
        <v>385</v>
      </c>
      <c r="P74" t="s" s="10">
        <v>386</v>
      </c>
      <c r="Q74" t="s" s="10">
        <v>387</v>
      </c>
      <c r="R74" t="s" s="10">
        <v>388</v>
      </c>
      <c r="S74" t="s" s="10">
        <v>34</v>
      </c>
      <c r="T74" t="s" s="12">
        <v>34</v>
      </c>
      <c r="U74" t="s" s="10">
        <v>240</v>
      </c>
      <c r="V74" t="s" s="12">
        <v>34</v>
      </c>
      <c r="W74" t="s" s="10">
        <v>671</v>
      </c>
      <c r="X74" s="16">
        <f>HYPERLINK("https://my.pitchbook.com?p=418496-05P", "View People Online")</f>
      </c>
    </row>
    <row r="75">
      <c r="A75" t="s" s="11">
        <v>672</v>
      </c>
      <c r="B75" t="s" s="11">
        <v>673</v>
      </c>
      <c r="C75" t="s" s="11">
        <v>34</v>
      </c>
      <c r="D75" t="s" s="11">
        <v>378</v>
      </c>
      <c r="E75" t="s" s="11">
        <v>365</v>
      </c>
      <c r="F75" t="s" s="11">
        <v>674</v>
      </c>
      <c r="G75" t="s" s="11">
        <v>675</v>
      </c>
      <c r="H75" s="17">
        <f>HYPERLINK("http://www.lunate.com", "www.lunate.com")</f>
      </c>
      <c r="I75" t="s" s="11">
        <v>676</v>
      </c>
      <c r="J75" t="s" s="25">
        <v>34</v>
      </c>
      <c r="K75" s="25">
        <v>1</v>
      </c>
      <c r="L75" t="s" s="25">
        <v>34</v>
      </c>
      <c r="M75" t="s" s="13">
        <v>383</v>
      </c>
      <c r="N75" t="s" s="11">
        <v>677</v>
      </c>
      <c r="O75" t="s" s="11">
        <v>385</v>
      </c>
      <c r="P75" t="s" s="11">
        <v>386</v>
      </c>
      <c r="Q75" t="s" s="11">
        <v>387</v>
      </c>
      <c r="R75" t="s" s="11">
        <v>388</v>
      </c>
      <c r="S75" t="s" s="11">
        <v>34</v>
      </c>
      <c r="T75" t="s" s="13">
        <v>34</v>
      </c>
      <c r="U75" t="s" s="11">
        <v>240</v>
      </c>
      <c r="V75" t="s" s="13">
        <v>34</v>
      </c>
      <c r="W75" t="s" s="11">
        <v>678</v>
      </c>
      <c r="X75" s="17">
        <f>HYPERLINK("https://my.pitchbook.com?p=418498-12P", "View People Online")</f>
      </c>
    </row>
    <row r="76">
      <c r="A76" t="s" s="10">
        <v>679</v>
      </c>
      <c r="B76" t="s" s="10">
        <v>680</v>
      </c>
      <c r="C76" t="s" s="10">
        <v>34</v>
      </c>
      <c r="D76" t="s" s="10">
        <v>681</v>
      </c>
      <c r="E76" t="s" s="10">
        <v>365</v>
      </c>
      <c r="F76" t="s" s="10">
        <v>682</v>
      </c>
      <c r="G76" t="s" s="10">
        <v>683</v>
      </c>
      <c r="H76" s="16">
        <f>HYPERLINK("http://www.vinacapital.sg", "www.vinacapital.sg")</f>
      </c>
      <c r="I76" t="s" s="10">
        <v>34</v>
      </c>
      <c r="J76" t="s" s="24">
        <v>34</v>
      </c>
      <c r="K76" t="s" s="24">
        <v>34</v>
      </c>
      <c r="L76" t="s" s="24">
        <v>34</v>
      </c>
      <c r="M76" t="s" s="12">
        <v>34</v>
      </c>
      <c r="N76" t="s" s="10">
        <v>34</v>
      </c>
      <c r="O76" t="s" s="10">
        <v>34</v>
      </c>
      <c r="P76" t="s" s="10">
        <v>34</v>
      </c>
      <c r="Q76" t="s" s="10">
        <v>34</v>
      </c>
      <c r="R76" t="s" s="10">
        <v>34</v>
      </c>
      <c r="S76" t="s" s="10">
        <v>34</v>
      </c>
      <c r="T76" t="s" s="12">
        <v>34</v>
      </c>
      <c r="U76" t="s" s="10">
        <v>34</v>
      </c>
      <c r="V76" t="s" s="12">
        <v>34</v>
      </c>
      <c r="W76" t="s" s="10">
        <v>685</v>
      </c>
      <c r="X76" s="16">
        <f>HYPERLINK("https://my.pitchbook.com?p=31303-09P", "View People Online")</f>
      </c>
    </row>
    <row r="77">
      <c r="A77" t="s" s="11">
        <v>686</v>
      </c>
      <c r="B77" t="s" s="11">
        <v>687</v>
      </c>
      <c r="C77" t="s" s="11">
        <v>34</v>
      </c>
      <c r="D77" t="s" s="11">
        <v>378</v>
      </c>
      <c r="E77" t="s" s="11">
        <v>365</v>
      </c>
      <c r="F77" t="s" s="11">
        <v>688</v>
      </c>
      <c r="G77" t="s" s="11">
        <v>689</v>
      </c>
      <c r="H77" s="17">
        <f>HYPERLINK("http://www.lunate.com", "www.lunate.com")</f>
      </c>
      <c r="I77" t="s" s="11">
        <v>690</v>
      </c>
      <c r="J77" s="25">
        <v>3</v>
      </c>
      <c r="K77" s="25">
        <v>8</v>
      </c>
      <c r="L77" s="25">
        <v>4</v>
      </c>
      <c r="M77" t="s" s="13">
        <v>383</v>
      </c>
      <c r="N77" t="s" s="11">
        <v>34</v>
      </c>
      <c r="O77" t="s" s="11">
        <v>385</v>
      </c>
      <c r="P77" t="s" s="11">
        <v>386</v>
      </c>
      <c r="Q77" t="s" s="11">
        <v>387</v>
      </c>
      <c r="R77" t="s" s="11">
        <v>388</v>
      </c>
      <c r="S77" t="s" s="11">
        <v>34</v>
      </c>
      <c r="T77" t="s" s="13">
        <v>34</v>
      </c>
      <c r="U77" t="s" s="11">
        <v>240</v>
      </c>
      <c r="V77" t="s" s="13">
        <v>34</v>
      </c>
      <c r="W77" t="s" s="11">
        <v>691</v>
      </c>
      <c r="X77" s="17">
        <f>HYPERLINK("https://my.pitchbook.com?p=261403-39P", "View People Online")</f>
      </c>
    </row>
    <row r="78">
      <c r="A78" t="s" s="10">
        <v>692</v>
      </c>
      <c r="B78" t="s" s="10">
        <v>693</v>
      </c>
      <c r="C78" t="s" s="10">
        <v>34</v>
      </c>
      <c r="D78" t="s" s="10">
        <v>378</v>
      </c>
      <c r="E78" t="s" s="10">
        <v>365</v>
      </c>
      <c r="F78" t="s" s="10">
        <v>694</v>
      </c>
      <c r="G78" t="s" s="10">
        <v>695</v>
      </c>
      <c r="H78" s="16">
        <f>HYPERLINK("http://www.lunate.com", "www.lunate.com")</f>
      </c>
      <c r="I78" t="s" s="10">
        <v>587</v>
      </c>
      <c r="J78" t="s" s="24">
        <v>34</v>
      </c>
      <c r="K78" s="24">
        <v>1</v>
      </c>
      <c r="L78" t="s" s="24">
        <v>34</v>
      </c>
      <c r="M78" t="s" s="12">
        <v>383</v>
      </c>
      <c r="N78" t="s" s="10">
        <v>696</v>
      </c>
      <c r="O78" t="s" s="10">
        <v>385</v>
      </c>
      <c r="P78" t="s" s="10">
        <v>386</v>
      </c>
      <c r="Q78" t="s" s="10">
        <v>387</v>
      </c>
      <c r="R78" t="s" s="10">
        <v>388</v>
      </c>
      <c r="S78" t="s" s="10">
        <v>34</v>
      </c>
      <c r="T78" t="s" s="12">
        <v>34</v>
      </c>
      <c r="U78" t="s" s="10">
        <v>240</v>
      </c>
      <c r="V78" t="s" s="12">
        <v>34</v>
      </c>
      <c r="W78" t="s" s="10">
        <v>697</v>
      </c>
      <c r="X78" s="16">
        <f>HYPERLINK("https://my.pitchbook.com?p=446936-77P", "View People Online")</f>
      </c>
    </row>
    <row r="79">
      <c r="A79" t="s" s="11">
        <v>698</v>
      </c>
      <c r="B79" t="s" s="11">
        <v>699</v>
      </c>
      <c r="C79" t="s" s="11">
        <v>34</v>
      </c>
      <c r="D79" t="s" s="11">
        <v>533</v>
      </c>
      <c r="E79" t="s" s="11">
        <v>365</v>
      </c>
      <c r="F79" t="s" s="11">
        <v>700</v>
      </c>
      <c r="G79" t="s" s="11">
        <v>701</v>
      </c>
      <c r="H79" s="17">
        <f>HYPERLINK("http://www.lgtcp.com", "www.lgtcp.com")</f>
      </c>
      <c r="I79" t="s" s="11">
        <v>111</v>
      </c>
      <c r="J79" t="s" s="25">
        <v>34</v>
      </c>
      <c r="K79" s="25">
        <v>1</v>
      </c>
      <c r="L79" t="s" s="25">
        <v>34</v>
      </c>
      <c r="M79" t="s" s="13">
        <v>537</v>
      </c>
      <c r="N79" t="s" s="11">
        <v>702</v>
      </c>
      <c r="O79" t="s" s="11">
        <v>539</v>
      </c>
      <c r="P79" t="s" s="11">
        <v>540</v>
      </c>
      <c r="Q79" t="s" s="11">
        <v>541</v>
      </c>
      <c r="R79" t="s" s="11">
        <v>542</v>
      </c>
      <c r="S79" t="s" s="11">
        <v>34</v>
      </c>
      <c r="T79" t="s" s="13">
        <v>543</v>
      </c>
      <c r="U79" t="s" s="11">
        <v>544</v>
      </c>
      <c r="V79" t="s" s="13">
        <v>34</v>
      </c>
      <c r="W79" t="s" s="11">
        <v>703</v>
      </c>
      <c r="X79" s="17">
        <f>HYPERLINK("https://my.pitchbook.com?p=77334-40P", "View People Online")</f>
      </c>
    </row>
    <row r="80">
      <c r="A80" t="s" s="10">
        <v>704</v>
      </c>
      <c r="B80" t="s" s="10">
        <v>705</v>
      </c>
      <c r="C80" t="s" s="10">
        <v>34</v>
      </c>
      <c r="D80" t="s" s="10">
        <v>378</v>
      </c>
      <c r="E80" t="s" s="10">
        <v>365</v>
      </c>
      <c r="F80" t="s" s="10">
        <v>706</v>
      </c>
      <c r="G80" t="s" s="10">
        <v>707</v>
      </c>
      <c r="H80" s="16">
        <f>HYPERLINK("http://www.lunate.com", "www.lunate.com")</f>
      </c>
      <c r="I80" t="s" s="10">
        <v>708</v>
      </c>
      <c r="J80" t="s" s="24">
        <v>34</v>
      </c>
      <c r="K80" s="24">
        <v>1</v>
      </c>
      <c r="L80" t="s" s="24">
        <v>34</v>
      </c>
      <c r="M80" t="s" s="12">
        <v>383</v>
      </c>
      <c r="N80" t="s" s="10">
        <v>709</v>
      </c>
      <c r="O80" t="s" s="10">
        <v>385</v>
      </c>
      <c r="P80" t="s" s="10">
        <v>386</v>
      </c>
      <c r="Q80" t="s" s="10">
        <v>387</v>
      </c>
      <c r="R80" t="s" s="10">
        <v>388</v>
      </c>
      <c r="S80" t="s" s="10">
        <v>34</v>
      </c>
      <c r="T80" t="s" s="12">
        <v>34</v>
      </c>
      <c r="U80" t="s" s="10">
        <v>240</v>
      </c>
      <c r="V80" t="s" s="12">
        <v>34</v>
      </c>
      <c r="W80" t="s" s="10">
        <v>710</v>
      </c>
      <c r="X80" s="16">
        <f>HYPERLINK("https://my.pitchbook.com?p=418533-76P", "View People Online")</f>
      </c>
    </row>
    <row r="81">
      <c r="A81" t="s" s="11">
        <v>711</v>
      </c>
      <c r="B81" t="s" s="11">
        <v>712</v>
      </c>
      <c r="C81" t="s" s="11">
        <v>34</v>
      </c>
      <c r="D81" t="s" s="11">
        <v>378</v>
      </c>
      <c r="E81" t="s" s="11">
        <v>365</v>
      </c>
      <c r="F81" t="s" s="11">
        <v>713</v>
      </c>
      <c r="G81" t="s" s="11">
        <v>714</v>
      </c>
      <c r="H81" s="17">
        <f>HYPERLINK("http://www.lunate.com", "www.lunate.com")</f>
      </c>
      <c r="I81" t="s" s="11">
        <v>715</v>
      </c>
      <c r="J81" t="s" s="25">
        <v>34</v>
      </c>
      <c r="K81" s="25">
        <v>1</v>
      </c>
      <c r="L81" t="s" s="25">
        <v>34</v>
      </c>
      <c r="M81" t="s" s="13">
        <v>383</v>
      </c>
      <c r="N81" t="s" s="11">
        <v>716</v>
      </c>
      <c r="O81" t="s" s="11">
        <v>385</v>
      </c>
      <c r="P81" t="s" s="11">
        <v>386</v>
      </c>
      <c r="Q81" t="s" s="11">
        <v>387</v>
      </c>
      <c r="R81" t="s" s="11">
        <v>388</v>
      </c>
      <c r="S81" t="s" s="11">
        <v>34</v>
      </c>
      <c r="T81" t="s" s="13">
        <v>34</v>
      </c>
      <c r="U81" t="s" s="11">
        <v>240</v>
      </c>
      <c r="V81" t="s" s="13">
        <v>34</v>
      </c>
      <c r="W81" t="s" s="11">
        <v>717</v>
      </c>
      <c r="X81" s="17">
        <f>HYPERLINK("https://my.pitchbook.com?p=418443-40P", "View People Online")</f>
      </c>
    </row>
    <row r="82">
      <c r="A82" t="s" s="10">
        <v>718</v>
      </c>
      <c r="B82" t="s" s="10">
        <v>719</v>
      </c>
      <c r="C82" t="s" s="10">
        <v>34</v>
      </c>
      <c r="D82" t="s" s="10">
        <v>378</v>
      </c>
      <c r="E82" t="s" s="10">
        <v>365</v>
      </c>
      <c r="F82" t="s" s="10">
        <v>720</v>
      </c>
      <c r="G82" t="s" s="10">
        <v>721</v>
      </c>
      <c r="H82" s="16">
        <f>HYPERLINK("http://www.lunate.com", "www.lunate.com")</f>
      </c>
      <c r="I82" t="s" s="10">
        <v>722</v>
      </c>
      <c r="J82" t="s" s="24">
        <v>34</v>
      </c>
      <c r="K82" s="24">
        <v>1</v>
      </c>
      <c r="L82" t="s" s="24">
        <v>34</v>
      </c>
      <c r="M82" t="s" s="12">
        <v>383</v>
      </c>
      <c r="N82" t="s" s="10">
        <v>723</v>
      </c>
      <c r="O82" t="s" s="10">
        <v>385</v>
      </c>
      <c r="P82" t="s" s="10">
        <v>386</v>
      </c>
      <c r="Q82" t="s" s="10">
        <v>387</v>
      </c>
      <c r="R82" t="s" s="10">
        <v>388</v>
      </c>
      <c r="S82" t="s" s="10">
        <v>34</v>
      </c>
      <c r="T82" t="s" s="12">
        <v>34</v>
      </c>
      <c r="U82" t="s" s="10">
        <v>240</v>
      </c>
      <c r="V82" t="s" s="12">
        <v>34</v>
      </c>
      <c r="W82" t="s" s="10">
        <v>724</v>
      </c>
      <c r="X82" s="16">
        <f>HYPERLINK("https://my.pitchbook.com?p=418527-01P", "View People Online")</f>
      </c>
    </row>
    <row r="83">
      <c r="A83" t="s" s="11">
        <v>725</v>
      </c>
      <c r="B83" t="s" s="11">
        <v>726</v>
      </c>
      <c r="C83" t="s" s="11">
        <v>34</v>
      </c>
      <c r="D83" t="s" s="11">
        <v>727</v>
      </c>
      <c r="E83" t="s" s="11">
        <v>365</v>
      </c>
      <c r="F83" t="s" s="11">
        <v>728</v>
      </c>
      <c r="G83" t="s" s="11">
        <v>729</v>
      </c>
      <c r="H83" s="17">
        <f>HYPERLINK("http://www.amwalqa.com", "www.amwalqa.com")</f>
      </c>
      <c r="I83" t="s" s="11">
        <v>731</v>
      </c>
      <c r="J83" t="s" s="25">
        <v>34</v>
      </c>
      <c r="K83" t="s" s="25">
        <v>34</v>
      </c>
      <c r="L83" t="s" s="25">
        <v>34</v>
      </c>
      <c r="M83" t="s" s="13">
        <v>34</v>
      </c>
      <c r="N83" t="s" s="11">
        <v>34</v>
      </c>
      <c r="O83" t="s" s="11">
        <v>34</v>
      </c>
      <c r="P83" t="s" s="11">
        <v>34</v>
      </c>
      <c r="Q83" t="s" s="11">
        <v>34</v>
      </c>
      <c r="R83" t="s" s="11">
        <v>34</v>
      </c>
      <c r="S83" t="s" s="11">
        <v>34</v>
      </c>
      <c r="T83" t="s" s="13">
        <v>34</v>
      </c>
      <c r="U83" t="s" s="11">
        <v>34</v>
      </c>
      <c r="V83" t="s" s="13">
        <v>34</v>
      </c>
      <c r="W83" t="s" s="11">
        <v>732</v>
      </c>
      <c r="X83" s="17">
        <f>HYPERLINK("https://my.pitchbook.com?p=168750-46P", "View People Online")</f>
      </c>
    </row>
    <row r="84">
      <c r="A84" t="s" s="10">
        <v>733</v>
      </c>
      <c r="B84" t="s" s="10">
        <v>734</v>
      </c>
      <c r="C84" t="s" s="10">
        <v>34</v>
      </c>
      <c r="D84" t="s" s="10">
        <v>378</v>
      </c>
      <c r="E84" t="s" s="10">
        <v>365</v>
      </c>
      <c r="F84" t="s" s="10">
        <v>735</v>
      </c>
      <c r="G84" t="s" s="10">
        <v>736</v>
      </c>
      <c r="H84" s="16">
        <f>HYPERLINK("http://www.lunate.com", "www.lunate.com")</f>
      </c>
      <c r="I84" t="s" s="10">
        <v>737</v>
      </c>
      <c r="J84" t="s" s="24">
        <v>34</v>
      </c>
      <c r="K84" s="24">
        <v>1</v>
      </c>
      <c r="L84" t="s" s="24">
        <v>34</v>
      </c>
      <c r="M84" t="s" s="12">
        <v>383</v>
      </c>
      <c r="N84" t="s" s="10">
        <v>738</v>
      </c>
      <c r="O84" t="s" s="10">
        <v>385</v>
      </c>
      <c r="P84" t="s" s="10">
        <v>386</v>
      </c>
      <c r="Q84" t="s" s="10">
        <v>387</v>
      </c>
      <c r="R84" t="s" s="10">
        <v>388</v>
      </c>
      <c r="S84" t="s" s="10">
        <v>34</v>
      </c>
      <c r="T84" t="s" s="12">
        <v>34</v>
      </c>
      <c r="U84" t="s" s="10">
        <v>240</v>
      </c>
      <c r="V84" t="s" s="12">
        <v>34</v>
      </c>
      <c r="W84" t="s" s="10">
        <v>739</v>
      </c>
      <c r="X84" s="16">
        <f>HYPERLINK("https://my.pitchbook.com?p=418474-36P", "View People Online")</f>
      </c>
    </row>
    <row r="85">
      <c r="A85" t="s" s="11">
        <v>740</v>
      </c>
      <c r="B85" t="s" s="11">
        <v>741</v>
      </c>
      <c r="C85" t="s" s="11">
        <v>34</v>
      </c>
      <c r="D85" t="s" s="11">
        <v>378</v>
      </c>
      <c r="E85" t="s" s="11">
        <v>365</v>
      </c>
      <c r="F85" t="s" s="11">
        <v>742</v>
      </c>
      <c r="G85" t="s" s="11">
        <v>743</v>
      </c>
      <c r="H85" s="17">
        <f>HYPERLINK("http://www.lunate.com", "www.lunate.com")</f>
      </c>
      <c r="I85" t="s" s="11">
        <v>744</v>
      </c>
      <c r="J85" t="s" s="25">
        <v>34</v>
      </c>
      <c r="K85" s="25">
        <v>7</v>
      </c>
      <c r="L85" s="25">
        <v>5</v>
      </c>
      <c r="M85" t="s" s="13">
        <v>383</v>
      </c>
      <c r="N85" t="s" s="11">
        <v>745</v>
      </c>
      <c r="O85" t="s" s="11">
        <v>385</v>
      </c>
      <c r="P85" t="s" s="11">
        <v>386</v>
      </c>
      <c r="Q85" t="s" s="11">
        <v>387</v>
      </c>
      <c r="R85" t="s" s="11">
        <v>388</v>
      </c>
      <c r="S85" t="s" s="11">
        <v>34</v>
      </c>
      <c r="T85" t="s" s="13">
        <v>34</v>
      </c>
      <c r="U85" t="s" s="11">
        <v>240</v>
      </c>
      <c r="V85" t="s" s="13">
        <v>34</v>
      </c>
      <c r="W85" t="s" s="11">
        <v>746</v>
      </c>
      <c r="X85" s="17">
        <f>HYPERLINK("https://my.pitchbook.com?p=293068-18P", "View People Online")</f>
      </c>
    </row>
    <row r="86">
      <c r="A86" t="s" s="10">
        <v>747</v>
      </c>
      <c r="B86" t="s" s="10">
        <v>748</v>
      </c>
      <c r="C86" t="s" s="10">
        <v>34</v>
      </c>
      <c r="D86" t="s" s="10">
        <v>378</v>
      </c>
      <c r="E86" t="s" s="10">
        <v>365</v>
      </c>
      <c r="F86" t="s" s="10">
        <v>749</v>
      </c>
      <c r="G86" t="s" s="10">
        <v>750</v>
      </c>
      <c r="H86" s="16">
        <f>HYPERLINK("http://www.lunate.com", "www.lunate.com")</f>
      </c>
      <c r="I86" t="s" s="10">
        <v>751</v>
      </c>
      <c r="J86" t="s" s="24">
        <v>34</v>
      </c>
      <c r="K86" s="24">
        <v>1</v>
      </c>
      <c r="L86" t="s" s="24">
        <v>34</v>
      </c>
      <c r="M86" t="s" s="12">
        <v>383</v>
      </c>
      <c r="N86" t="s" s="10">
        <v>752</v>
      </c>
      <c r="O86" t="s" s="10">
        <v>385</v>
      </c>
      <c r="P86" t="s" s="10">
        <v>386</v>
      </c>
      <c r="Q86" t="s" s="10">
        <v>387</v>
      </c>
      <c r="R86" t="s" s="10">
        <v>388</v>
      </c>
      <c r="S86" t="s" s="10">
        <v>34</v>
      </c>
      <c r="T86" t="s" s="12">
        <v>34</v>
      </c>
      <c r="U86" t="s" s="10">
        <v>240</v>
      </c>
      <c r="V86" t="s" s="12">
        <v>34</v>
      </c>
      <c r="W86" t="s" s="10">
        <v>753</v>
      </c>
      <c r="X86" s="16">
        <f>HYPERLINK("https://my.pitchbook.com?p=399633-85P", "View People Online")</f>
      </c>
    </row>
    <row r="87">
      <c r="A87" t="s" s="11">
        <v>754</v>
      </c>
      <c r="B87" t="s" s="11">
        <v>755</v>
      </c>
      <c r="C87" t="s" s="11">
        <v>34</v>
      </c>
      <c r="D87" t="s" s="11">
        <v>378</v>
      </c>
      <c r="E87" t="s" s="11">
        <v>365</v>
      </c>
      <c r="F87" t="s" s="11">
        <v>756</v>
      </c>
      <c r="G87" t="s" s="11">
        <v>757</v>
      </c>
      <c r="H87" s="17">
        <f>HYPERLINK("http://www.lunate.com", "www.lunate.com")</f>
      </c>
      <c r="I87" t="s" s="11">
        <v>437</v>
      </c>
      <c r="J87" t="s" s="25">
        <v>34</v>
      </c>
      <c r="K87" s="25">
        <v>1</v>
      </c>
      <c r="L87" t="s" s="25">
        <v>34</v>
      </c>
      <c r="M87" t="s" s="13">
        <v>383</v>
      </c>
      <c r="N87" t="s" s="11">
        <v>758</v>
      </c>
      <c r="O87" t="s" s="11">
        <v>385</v>
      </c>
      <c r="P87" t="s" s="11">
        <v>386</v>
      </c>
      <c r="Q87" t="s" s="11">
        <v>387</v>
      </c>
      <c r="R87" t="s" s="11">
        <v>388</v>
      </c>
      <c r="S87" t="s" s="11">
        <v>34</v>
      </c>
      <c r="T87" t="s" s="13">
        <v>34</v>
      </c>
      <c r="U87" t="s" s="11">
        <v>240</v>
      </c>
      <c r="V87" t="s" s="13">
        <v>34</v>
      </c>
      <c r="W87" t="s" s="11">
        <v>759</v>
      </c>
      <c r="X87" s="17">
        <f>HYPERLINK("https://my.pitchbook.com?p=418497-49P", "View People Online")</f>
      </c>
    </row>
    <row r="88">
      <c r="A88" t="s" s="10">
        <v>760</v>
      </c>
      <c r="B88" t="s" s="10">
        <v>761</v>
      </c>
      <c r="C88" t="s" s="10">
        <v>34</v>
      </c>
      <c r="D88" t="s" s="10">
        <v>378</v>
      </c>
      <c r="E88" t="s" s="10">
        <v>365</v>
      </c>
      <c r="F88" t="s" s="10">
        <v>762</v>
      </c>
      <c r="G88" t="s" s="10">
        <v>763</v>
      </c>
      <c r="H88" s="16">
        <f>HYPERLINK("http://www.lunate.com", "www.lunate.com")</f>
      </c>
      <c r="I88" t="s" s="10">
        <v>764</v>
      </c>
      <c r="J88" t="s" s="24">
        <v>34</v>
      </c>
      <c r="K88" s="24">
        <v>1</v>
      </c>
      <c r="L88" t="s" s="24">
        <v>34</v>
      </c>
      <c r="M88" t="s" s="12">
        <v>383</v>
      </c>
      <c r="N88" t="s" s="10">
        <v>765</v>
      </c>
      <c r="O88" t="s" s="10">
        <v>385</v>
      </c>
      <c r="P88" t="s" s="10">
        <v>386</v>
      </c>
      <c r="Q88" t="s" s="10">
        <v>387</v>
      </c>
      <c r="R88" t="s" s="10">
        <v>388</v>
      </c>
      <c r="S88" t="s" s="10">
        <v>34</v>
      </c>
      <c r="T88" t="s" s="12">
        <v>34</v>
      </c>
      <c r="U88" t="s" s="10">
        <v>240</v>
      </c>
      <c r="V88" t="s" s="12">
        <v>34</v>
      </c>
      <c r="W88" t="s" s="10">
        <v>766</v>
      </c>
      <c r="X88" s="16">
        <f>HYPERLINK("https://my.pitchbook.com?p=418506-94P", "View People Online")</f>
      </c>
    </row>
    <row r="89">
      <c r="A89" t="s" s="11">
        <v>767</v>
      </c>
      <c r="B89" t="s" s="11">
        <v>768</v>
      </c>
      <c r="C89" t="s" s="11">
        <v>34</v>
      </c>
      <c r="D89" t="s" s="11">
        <v>378</v>
      </c>
      <c r="E89" t="s" s="11">
        <v>365</v>
      </c>
      <c r="F89" t="s" s="11">
        <v>769</v>
      </c>
      <c r="G89" t="s" s="11">
        <v>770</v>
      </c>
      <c r="H89" s="17">
        <f>HYPERLINK("http://www.lunate.com", "www.lunate.com")</f>
      </c>
      <c r="I89" t="s" s="11">
        <v>426</v>
      </c>
      <c r="J89" t="s" s="25">
        <v>34</v>
      </c>
      <c r="K89" s="25">
        <v>1</v>
      </c>
      <c r="L89" t="s" s="25">
        <v>34</v>
      </c>
      <c r="M89" t="s" s="13">
        <v>383</v>
      </c>
      <c r="N89" t="s" s="11">
        <v>771</v>
      </c>
      <c r="O89" t="s" s="11">
        <v>385</v>
      </c>
      <c r="P89" t="s" s="11">
        <v>386</v>
      </c>
      <c r="Q89" t="s" s="11">
        <v>387</v>
      </c>
      <c r="R89" t="s" s="11">
        <v>388</v>
      </c>
      <c r="S89" t="s" s="11">
        <v>34</v>
      </c>
      <c r="T89" t="s" s="13">
        <v>34</v>
      </c>
      <c r="U89" t="s" s="11">
        <v>240</v>
      </c>
      <c r="V89" t="s" s="13">
        <v>34</v>
      </c>
      <c r="W89" t="s" s="11">
        <v>772</v>
      </c>
      <c r="X89" s="17">
        <f>HYPERLINK("https://my.pitchbook.com?p=418518-46P", "View People Online")</f>
      </c>
    </row>
    <row r="90">
      <c r="A90" t="s" s="10">
        <v>773</v>
      </c>
      <c r="B90" t="s" s="10">
        <v>774</v>
      </c>
      <c r="C90" t="s" s="10">
        <v>34</v>
      </c>
      <c r="D90" t="s" s="10">
        <v>378</v>
      </c>
      <c r="E90" t="s" s="10">
        <v>365</v>
      </c>
      <c r="F90" t="s" s="10">
        <v>775</v>
      </c>
      <c r="G90" t="s" s="10">
        <v>776</v>
      </c>
      <c r="H90" s="16">
        <f>HYPERLINK("http://www.lunate.com", "www.lunate.com")</f>
      </c>
      <c r="I90" t="s" s="10">
        <v>777</v>
      </c>
      <c r="J90" t="s" s="24">
        <v>34</v>
      </c>
      <c r="K90" s="24">
        <v>1</v>
      </c>
      <c r="L90" t="s" s="24">
        <v>34</v>
      </c>
      <c r="M90" t="s" s="12">
        <v>383</v>
      </c>
      <c r="N90" t="s" s="10">
        <v>778</v>
      </c>
      <c r="O90" t="s" s="10">
        <v>385</v>
      </c>
      <c r="P90" t="s" s="10">
        <v>386</v>
      </c>
      <c r="Q90" t="s" s="10">
        <v>387</v>
      </c>
      <c r="R90" t="s" s="10">
        <v>388</v>
      </c>
      <c r="S90" t="s" s="10">
        <v>34</v>
      </c>
      <c r="T90" t="s" s="12">
        <v>34</v>
      </c>
      <c r="U90" t="s" s="10">
        <v>240</v>
      </c>
      <c r="V90" t="s" s="12">
        <v>34</v>
      </c>
      <c r="W90" t="s" s="10">
        <v>779</v>
      </c>
      <c r="X90" s="16">
        <f>HYPERLINK("https://my.pitchbook.com?p=71283-43P", "View People Online")</f>
      </c>
    </row>
    <row r="91">
      <c r="A91" t="s" s="11">
        <v>780</v>
      </c>
      <c r="B91" t="s" s="11">
        <v>781</v>
      </c>
      <c r="C91" t="s" s="11">
        <v>377</v>
      </c>
      <c r="D91" t="s" s="11">
        <v>378</v>
      </c>
      <c r="E91" t="s" s="11">
        <v>365</v>
      </c>
      <c r="F91" t="s" s="11">
        <v>782</v>
      </c>
      <c r="G91" t="s" s="11">
        <v>783</v>
      </c>
      <c r="H91" s="17">
        <f>HYPERLINK("http://www.lunate.com", "www.lunate.com")</f>
      </c>
      <c r="I91" t="s" s="11">
        <v>382</v>
      </c>
      <c r="J91" t="s" s="25">
        <v>34</v>
      </c>
      <c r="K91" s="25">
        <v>1</v>
      </c>
      <c r="L91" t="s" s="25">
        <v>34</v>
      </c>
      <c r="M91" t="s" s="13">
        <v>383</v>
      </c>
      <c r="N91" t="s" s="11">
        <v>784</v>
      </c>
      <c r="O91" t="s" s="11">
        <v>385</v>
      </c>
      <c r="P91" t="s" s="11">
        <v>386</v>
      </c>
      <c r="Q91" t="s" s="11">
        <v>387</v>
      </c>
      <c r="R91" t="s" s="11">
        <v>388</v>
      </c>
      <c r="S91" t="s" s="11">
        <v>34</v>
      </c>
      <c r="T91" t="s" s="13">
        <v>34</v>
      </c>
      <c r="U91" t="s" s="11">
        <v>240</v>
      </c>
      <c r="V91" t="s" s="13">
        <v>34</v>
      </c>
      <c r="W91" t="s" s="11">
        <v>785</v>
      </c>
      <c r="X91" s="17">
        <f>HYPERLINK("https://my.pitchbook.com?p=34486-39P", "View People Online")</f>
      </c>
    </row>
    <row r="92">
      <c r="A92" t="s" s="10">
        <v>786</v>
      </c>
      <c r="B92" t="s" s="10">
        <v>787</v>
      </c>
      <c r="C92" t="s" s="10">
        <v>34</v>
      </c>
      <c r="D92" t="s" s="10">
        <v>378</v>
      </c>
      <c r="E92" t="s" s="10">
        <v>365</v>
      </c>
      <c r="F92" t="s" s="10">
        <v>788</v>
      </c>
      <c r="G92" t="s" s="10">
        <v>789</v>
      </c>
      <c r="H92" s="16">
        <f>HYPERLINK("http://www.lunate.com", "www.lunate.com")</f>
      </c>
      <c r="I92" t="s" s="10">
        <v>790</v>
      </c>
      <c r="J92" t="s" s="24">
        <v>34</v>
      </c>
      <c r="K92" s="24">
        <v>1</v>
      </c>
      <c r="L92" t="s" s="24">
        <v>34</v>
      </c>
      <c r="M92" t="s" s="12">
        <v>791</v>
      </c>
      <c r="N92" t="s" s="10">
        <v>792</v>
      </c>
      <c r="O92" t="s" s="10">
        <v>385</v>
      </c>
      <c r="P92" t="s" s="10">
        <v>386</v>
      </c>
      <c r="Q92" t="s" s="10">
        <v>387</v>
      </c>
      <c r="R92" t="s" s="10">
        <v>388</v>
      </c>
      <c r="S92" t="s" s="10">
        <v>34</v>
      </c>
      <c r="T92" t="s" s="12">
        <v>34</v>
      </c>
      <c r="U92" t="s" s="10">
        <v>240</v>
      </c>
      <c r="V92" t="s" s="12">
        <v>34</v>
      </c>
      <c r="W92" t="s" s="10">
        <v>793</v>
      </c>
      <c r="X92" s="16">
        <f>HYPERLINK("https://my.pitchbook.com?p=373959-10P", "View People Online")</f>
      </c>
    </row>
    <row r="93">
      <c r="A93" t="s" s="11">
        <v>794</v>
      </c>
      <c r="B93" t="s" s="11">
        <v>795</v>
      </c>
      <c r="C93" t="s" s="11">
        <v>34</v>
      </c>
      <c r="D93" t="s" s="11">
        <v>378</v>
      </c>
      <c r="E93" t="s" s="11">
        <v>365</v>
      </c>
      <c r="F93" t="s" s="11">
        <v>796</v>
      </c>
      <c r="G93" t="s" s="11">
        <v>797</v>
      </c>
      <c r="H93" s="17">
        <f>HYPERLINK("http://www.lunate.com", "www.lunate.com")</f>
      </c>
      <c r="I93" t="s" s="11">
        <v>798</v>
      </c>
      <c r="J93" t="s" s="25">
        <v>34</v>
      </c>
      <c r="K93" s="25">
        <v>4</v>
      </c>
      <c r="L93" s="25">
        <v>1</v>
      </c>
      <c r="M93" t="s" s="13">
        <v>383</v>
      </c>
      <c r="N93" t="s" s="11">
        <v>799</v>
      </c>
      <c r="O93" t="s" s="11">
        <v>385</v>
      </c>
      <c r="P93" t="s" s="11">
        <v>386</v>
      </c>
      <c r="Q93" t="s" s="11">
        <v>387</v>
      </c>
      <c r="R93" t="s" s="11">
        <v>388</v>
      </c>
      <c r="S93" t="s" s="11">
        <v>34</v>
      </c>
      <c r="T93" t="s" s="13">
        <v>34</v>
      </c>
      <c r="U93" t="s" s="11">
        <v>240</v>
      </c>
      <c r="V93" t="s" s="13">
        <v>34</v>
      </c>
      <c r="W93" t="s" s="11">
        <v>800</v>
      </c>
      <c r="X93" s="17">
        <f>HYPERLINK("https://my.pitchbook.com?p=278420-50P", "View People Online")</f>
      </c>
    </row>
    <row r="94">
      <c r="A94" t="s" s="10">
        <v>801</v>
      </c>
      <c r="B94" t="s" s="10">
        <v>802</v>
      </c>
      <c r="C94" t="s" s="10">
        <v>34</v>
      </c>
      <c r="D94" t="s" s="10">
        <v>803</v>
      </c>
      <c r="E94" t="s" s="10">
        <v>365</v>
      </c>
      <c r="F94" t="s" s="10">
        <v>804</v>
      </c>
      <c r="G94" t="s" s="10">
        <v>805</v>
      </c>
      <c r="H94" s="16">
        <f>HYPERLINK("http://www.woodman.ch", "www.woodman.ch")</f>
      </c>
      <c r="I94" t="s" s="10">
        <v>807</v>
      </c>
      <c r="J94" s="24">
        <v>1</v>
      </c>
      <c r="K94" s="24">
        <v>2</v>
      </c>
      <c r="L94" s="24">
        <v>1</v>
      </c>
      <c r="M94" t="s" s="12">
        <v>808</v>
      </c>
      <c r="N94" t="s" s="10">
        <v>809</v>
      </c>
      <c r="O94" t="s" s="10">
        <v>810</v>
      </c>
      <c r="P94" t="s" s="10">
        <v>811</v>
      </c>
      <c r="Q94" t="s" s="10">
        <v>34</v>
      </c>
      <c r="R94" t="s" s="10">
        <v>812</v>
      </c>
      <c r="S94" t="s" s="10">
        <v>34</v>
      </c>
      <c r="T94" t="s" s="12">
        <v>813</v>
      </c>
      <c r="U94" t="s" s="10">
        <v>544</v>
      </c>
      <c r="V94" t="s" s="12">
        <v>34</v>
      </c>
      <c r="W94" t="s" s="10">
        <v>814</v>
      </c>
      <c r="X94" s="16">
        <f>HYPERLINK("https://my.pitchbook.com?p=215865-46P", "View People Online")</f>
      </c>
    </row>
    <row r="95">
      <c r="A95" t="s" s="11">
        <v>815</v>
      </c>
      <c r="B95" t="s" s="11">
        <v>816</v>
      </c>
      <c r="C95" t="s" s="11">
        <v>34</v>
      </c>
      <c r="D95" t="s" s="11">
        <v>378</v>
      </c>
      <c r="E95" t="s" s="11">
        <v>365</v>
      </c>
      <c r="F95" t="s" s="11">
        <v>817</v>
      </c>
      <c r="G95" t="s" s="11">
        <v>149</v>
      </c>
      <c r="H95" s="17">
        <f>HYPERLINK("http://www.lunate.com", "www.lunate.com")</f>
      </c>
      <c r="I95" t="s" s="11">
        <v>818</v>
      </c>
      <c r="J95" t="s" s="25">
        <v>34</v>
      </c>
      <c r="K95" s="25">
        <v>1</v>
      </c>
      <c r="L95" t="s" s="25">
        <v>34</v>
      </c>
      <c r="M95" t="s" s="13">
        <v>383</v>
      </c>
      <c r="N95" t="s" s="11">
        <v>819</v>
      </c>
      <c r="O95" t="s" s="11">
        <v>385</v>
      </c>
      <c r="P95" t="s" s="11">
        <v>386</v>
      </c>
      <c r="Q95" t="s" s="11">
        <v>387</v>
      </c>
      <c r="R95" t="s" s="11">
        <v>388</v>
      </c>
      <c r="S95" t="s" s="11">
        <v>34</v>
      </c>
      <c r="T95" t="s" s="13">
        <v>34</v>
      </c>
      <c r="U95" t="s" s="11">
        <v>240</v>
      </c>
      <c r="V95" t="s" s="13">
        <v>34</v>
      </c>
      <c r="W95" t="s" s="11">
        <v>820</v>
      </c>
      <c r="X95" s="17">
        <f>HYPERLINK("https://my.pitchbook.com?p=418512-70P", "View People Online")</f>
      </c>
    </row>
    <row r="96">
      <c r="A96" t="s" s="10">
        <v>821</v>
      </c>
      <c r="B96" t="s" s="10">
        <v>822</v>
      </c>
      <c r="C96" t="s" s="10">
        <v>34</v>
      </c>
      <c r="D96" t="s" s="10">
        <v>378</v>
      </c>
      <c r="E96" t="s" s="10">
        <v>365</v>
      </c>
      <c r="F96" t="s" s="10">
        <v>823</v>
      </c>
      <c r="G96" t="s" s="10">
        <v>353</v>
      </c>
      <c r="H96" s="16">
        <f>HYPERLINK("http://www.lunate.com", "www.lunate.com")</f>
      </c>
      <c r="I96" t="s" s="10">
        <v>824</v>
      </c>
      <c r="J96" t="s" s="24">
        <v>34</v>
      </c>
      <c r="K96" s="24">
        <v>1</v>
      </c>
      <c r="L96" t="s" s="24">
        <v>34</v>
      </c>
      <c r="M96" t="s" s="12">
        <v>383</v>
      </c>
      <c r="N96" t="s" s="10">
        <v>825</v>
      </c>
      <c r="O96" t="s" s="10">
        <v>385</v>
      </c>
      <c r="P96" t="s" s="10">
        <v>386</v>
      </c>
      <c r="Q96" t="s" s="10">
        <v>387</v>
      </c>
      <c r="R96" t="s" s="10">
        <v>388</v>
      </c>
      <c r="S96" t="s" s="10">
        <v>34</v>
      </c>
      <c r="T96" t="s" s="12">
        <v>34</v>
      </c>
      <c r="U96" t="s" s="10">
        <v>240</v>
      </c>
      <c r="V96" t="s" s="12">
        <v>34</v>
      </c>
      <c r="W96" t="s" s="10">
        <v>826</v>
      </c>
      <c r="X96" s="16">
        <f>HYPERLINK("https://my.pitchbook.com?p=200149-21P", "View People Online")</f>
      </c>
    </row>
    <row r="97">
      <c r="A97" t="s" s="11">
        <v>827</v>
      </c>
      <c r="B97" t="s" s="11">
        <v>828</v>
      </c>
      <c r="C97" t="s" s="11">
        <v>34</v>
      </c>
      <c r="D97" t="s" s="11">
        <v>829</v>
      </c>
      <c r="E97" t="s" s="11">
        <v>365</v>
      </c>
      <c r="F97" t="s" s="11">
        <v>830</v>
      </c>
      <c r="G97" t="s" s="11">
        <v>831</v>
      </c>
      <c r="H97" s="17">
        <f>HYPERLINK("http://www.man.com", "www.man.com")</f>
      </c>
      <c r="I97" t="s" s="11">
        <v>833</v>
      </c>
      <c r="J97" t="s" s="25">
        <v>34</v>
      </c>
      <c r="K97" t="s" s="25">
        <v>34</v>
      </c>
      <c r="L97" t="s" s="25">
        <v>34</v>
      </c>
      <c r="M97" t="s" s="13">
        <v>34</v>
      </c>
      <c r="N97" t="s" s="11">
        <v>34</v>
      </c>
      <c r="O97" t="s" s="11">
        <v>34</v>
      </c>
      <c r="P97" t="s" s="11">
        <v>34</v>
      </c>
      <c r="Q97" t="s" s="11">
        <v>34</v>
      </c>
      <c r="R97" t="s" s="11">
        <v>34</v>
      </c>
      <c r="S97" t="s" s="11">
        <v>34</v>
      </c>
      <c r="T97" t="s" s="13">
        <v>34</v>
      </c>
      <c r="U97" t="s" s="11">
        <v>34</v>
      </c>
      <c r="V97" t="s" s="13">
        <v>34</v>
      </c>
      <c r="W97" t="s" s="11">
        <v>834</v>
      </c>
      <c r="X97" s="17">
        <f>HYPERLINK("https://my.pitchbook.com?p=48688-48P", "View People Online")</f>
      </c>
    </row>
    <row r="98">
      <c r="A98" t="s" s="10">
        <v>835</v>
      </c>
      <c r="B98" t="s" s="10">
        <v>836</v>
      </c>
      <c r="C98" t="s" s="10">
        <v>34</v>
      </c>
      <c r="D98" t="s" s="10">
        <v>533</v>
      </c>
      <c r="E98" t="s" s="10">
        <v>365</v>
      </c>
      <c r="F98" t="s" s="10">
        <v>837</v>
      </c>
      <c r="G98" t="s" s="10">
        <v>838</v>
      </c>
      <c r="H98" s="16">
        <f>HYPERLINK("http://www.lgtcp.com", "www.lgtcp.com")</f>
      </c>
      <c r="I98" t="s" s="10">
        <v>839</v>
      </c>
      <c r="J98" t="s" s="24">
        <v>34</v>
      </c>
      <c r="K98" s="24">
        <v>1</v>
      </c>
      <c r="L98" t="s" s="24">
        <v>34</v>
      </c>
      <c r="M98" t="s" s="12">
        <v>537</v>
      </c>
      <c r="N98" t="s" s="10">
        <v>840</v>
      </c>
      <c r="O98" t="s" s="10">
        <v>539</v>
      </c>
      <c r="P98" t="s" s="10">
        <v>540</v>
      </c>
      <c r="Q98" t="s" s="10">
        <v>541</v>
      </c>
      <c r="R98" t="s" s="10">
        <v>542</v>
      </c>
      <c r="S98" t="s" s="10">
        <v>34</v>
      </c>
      <c r="T98" t="s" s="12">
        <v>543</v>
      </c>
      <c r="U98" t="s" s="10">
        <v>544</v>
      </c>
      <c r="V98" t="s" s="12">
        <v>34</v>
      </c>
      <c r="W98" t="s" s="10">
        <v>841</v>
      </c>
      <c r="X98" s="16">
        <f>HYPERLINK("https://my.pitchbook.com?p=79888-42P", "View People Online")</f>
      </c>
    </row>
    <row r="99">
      <c r="A99" t="s" s="11">
        <v>842</v>
      </c>
      <c r="B99" t="s" s="11">
        <v>843</v>
      </c>
      <c r="C99" t="s" s="11">
        <v>377</v>
      </c>
      <c r="D99" t="s" s="11">
        <v>533</v>
      </c>
      <c r="E99" t="s" s="11">
        <v>365</v>
      </c>
      <c r="F99" t="s" s="11">
        <v>844</v>
      </c>
      <c r="G99" t="s" s="11">
        <v>845</v>
      </c>
      <c r="H99" s="17">
        <f>HYPERLINK("http://www.lgtcp.com", "www.lgtcp.com")</f>
      </c>
      <c r="I99" t="s" s="11">
        <v>846</v>
      </c>
      <c r="J99" t="s" s="25">
        <v>34</v>
      </c>
      <c r="K99" s="25">
        <v>6</v>
      </c>
      <c r="L99" s="25">
        <v>4</v>
      </c>
      <c r="M99" t="s" s="13">
        <v>588</v>
      </c>
      <c r="N99" t="s" s="11">
        <v>847</v>
      </c>
      <c r="O99" t="s" s="11">
        <v>539</v>
      </c>
      <c r="P99" t="s" s="11">
        <v>540</v>
      </c>
      <c r="Q99" t="s" s="11">
        <v>541</v>
      </c>
      <c r="R99" t="s" s="11">
        <v>542</v>
      </c>
      <c r="S99" t="s" s="11">
        <v>34</v>
      </c>
      <c r="T99" t="s" s="13">
        <v>543</v>
      </c>
      <c r="U99" t="s" s="11">
        <v>544</v>
      </c>
      <c r="V99" t="s" s="13">
        <v>34</v>
      </c>
      <c r="W99" t="s" s="11">
        <v>848</v>
      </c>
      <c r="X99" s="17">
        <f>HYPERLINK("https://my.pitchbook.com?p=14664-52P", "View People Online")</f>
      </c>
    </row>
    <row r="100">
      <c r="A100" t="s" s="10">
        <v>849</v>
      </c>
      <c r="B100" t="s" s="10">
        <v>850</v>
      </c>
      <c r="C100" t="s" s="10">
        <v>34</v>
      </c>
      <c r="D100" t="s" s="10">
        <v>533</v>
      </c>
      <c r="E100" t="s" s="10">
        <v>365</v>
      </c>
      <c r="F100" t="s" s="10">
        <v>851</v>
      </c>
      <c r="G100" t="s" s="10">
        <v>852</v>
      </c>
      <c r="H100" s="16">
        <f>HYPERLINK("http://www.lgtcp.com", "www.lgtcp.com")</f>
      </c>
      <c r="I100" t="s" s="10">
        <v>111</v>
      </c>
      <c r="J100" t="s" s="24">
        <v>34</v>
      </c>
      <c r="K100" s="24">
        <v>1</v>
      </c>
      <c r="L100" t="s" s="24">
        <v>34</v>
      </c>
      <c r="M100" t="s" s="12">
        <v>537</v>
      </c>
      <c r="N100" t="s" s="10">
        <v>853</v>
      </c>
      <c r="O100" t="s" s="10">
        <v>539</v>
      </c>
      <c r="P100" t="s" s="10">
        <v>540</v>
      </c>
      <c r="Q100" t="s" s="10">
        <v>541</v>
      </c>
      <c r="R100" t="s" s="10">
        <v>542</v>
      </c>
      <c r="S100" t="s" s="10">
        <v>34</v>
      </c>
      <c r="T100" t="s" s="12">
        <v>543</v>
      </c>
      <c r="U100" t="s" s="10">
        <v>544</v>
      </c>
      <c r="V100" t="s" s="12">
        <v>34</v>
      </c>
      <c r="W100" t="s" s="10">
        <v>854</v>
      </c>
      <c r="X100" s="16">
        <f>HYPERLINK("https://my.pitchbook.com?p=59323-51P", "View People Online")</f>
      </c>
    </row>
    <row r="101">
      <c r="A101" t="s" s="11">
        <v>855</v>
      </c>
      <c r="B101" t="s" s="11">
        <v>856</v>
      </c>
      <c r="C101" t="s" s="11">
        <v>34</v>
      </c>
      <c r="D101" t="s" s="11">
        <v>681</v>
      </c>
      <c r="E101" t="s" s="11">
        <v>365</v>
      </c>
      <c r="F101" t="s" s="11">
        <v>857</v>
      </c>
      <c r="G101" t="s" s="11">
        <v>858</v>
      </c>
      <c r="H101" s="17">
        <f>HYPERLINK("http://www.vinacapital.sg", "www.vinacapital.sg")</f>
      </c>
      <c r="I101" t="s" s="11">
        <v>859</v>
      </c>
      <c r="J101" t="s" s="25">
        <v>34</v>
      </c>
      <c r="K101" t="s" s="25">
        <v>34</v>
      </c>
      <c r="L101" t="s" s="25">
        <v>34</v>
      </c>
      <c r="M101" t="s" s="13">
        <v>34</v>
      </c>
      <c r="N101" t="s" s="11">
        <v>34</v>
      </c>
      <c r="O101" t="s" s="11">
        <v>34</v>
      </c>
      <c r="P101" t="s" s="11">
        <v>34</v>
      </c>
      <c r="Q101" t="s" s="11">
        <v>34</v>
      </c>
      <c r="R101" t="s" s="11">
        <v>34</v>
      </c>
      <c r="S101" t="s" s="11">
        <v>34</v>
      </c>
      <c r="T101" t="s" s="13">
        <v>34</v>
      </c>
      <c r="U101" t="s" s="11">
        <v>34</v>
      </c>
      <c r="V101" t="s" s="13">
        <v>34</v>
      </c>
      <c r="W101" t="s" s="11">
        <v>860</v>
      </c>
      <c r="X101" s="17">
        <f>HYPERLINK("https://my.pitchbook.com?p=108705-70P", "View People Online")</f>
      </c>
    </row>
    <row r="102">
      <c r="A102" t="s" s="10">
        <v>861</v>
      </c>
      <c r="B102" t="s" s="10">
        <v>862</v>
      </c>
      <c r="C102" t="s" s="10">
        <v>34</v>
      </c>
      <c r="D102" t="s" s="10">
        <v>378</v>
      </c>
      <c r="E102" t="s" s="10">
        <v>365</v>
      </c>
      <c r="F102" t="s" s="10">
        <v>863</v>
      </c>
      <c r="G102" t="s" s="10">
        <v>864</v>
      </c>
      <c r="H102" s="16">
        <f>HYPERLINK("http://www.lunate.com", "www.lunate.com")</f>
      </c>
      <c r="I102" t="s" s="10">
        <v>865</v>
      </c>
      <c r="J102" t="s" s="24">
        <v>34</v>
      </c>
      <c r="K102" s="24">
        <v>1</v>
      </c>
      <c r="L102" t="s" s="24">
        <v>34</v>
      </c>
      <c r="M102" t="s" s="12">
        <v>383</v>
      </c>
      <c r="N102" t="s" s="10">
        <v>866</v>
      </c>
      <c r="O102" t="s" s="10">
        <v>385</v>
      </c>
      <c r="P102" t="s" s="10">
        <v>386</v>
      </c>
      <c r="Q102" t="s" s="10">
        <v>387</v>
      </c>
      <c r="R102" t="s" s="10">
        <v>388</v>
      </c>
      <c r="S102" t="s" s="10">
        <v>34</v>
      </c>
      <c r="T102" t="s" s="12">
        <v>34</v>
      </c>
      <c r="U102" t="s" s="10">
        <v>240</v>
      </c>
      <c r="V102" t="s" s="12">
        <v>34</v>
      </c>
      <c r="W102" t="s" s="10">
        <v>867</v>
      </c>
      <c r="X102" s="16">
        <f>HYPERLINK("https://my.pitchbook.com?p=460873-27P", "View People Online")</f>
      </c>
    </row>
    <row r="103">
      <c r="A103" t="s" s="11">
        <v>868</v>
      </c>
      <c r="B103" t="s" s="11">
        <v>869</v>
      </c>
      <c r="C103" t="s" s="11">
        <v>377</v>
      </c>
      <c r="D103" t="s" s="11">
        <v>378</v>
      </c>
      <c r="E103" t="s" s="11">
        <v>365</v>
      </c>
      <c r="F103" t="s" s="11">
        <v>870</v>
      </c>
      <c r="G103" t="s" s="11">
        <v>871</v>
      </c>
      <c r="H103" s="17">
        <f>HYPERLINK("http://www.lunate.com", "www.lunate.com")</f>
      </c>
      <c r="I103" t="s" s="11">
        <v>437</v>
      </c>
      <c r="J103" t="s" s="25">
        <v>34</v>
      </c>
      <c r="K103" s="25">
        <v>1</v>
      </c>
      <c r="L103" t="s" s="25">
        <v>34</v>
      </c>
      <c r="M103" t="s" s="13">
        <v>383</v>
      </c>
      <c r="N103" t="s" s="11">
        <v>872</v>
      </c>
      <c r="O103" t="s" s="11">
        <v>385</v>
      </c>
      <c r="P103" t="s" s="11">
        <v>386</v>
      </c>
      <c r="Q103" t="s" s="11">
        <v>387</v>
      </c>
      <c r="R103" t="s" s="11">
        <v>388</v>
      </c>
      <c r="S103" t="s" s="11">
        <v>34</v>
      </c>
      <c r="T103" t="s" s="13">
        <v>34</v>
      </c>
      <c r="U103" t="s" s="11">
        <v>240</v>
      </c>
      <c r="V103" t="s" s="13">
        <v>34</v>
      </c>
      <c r="W103" t="s" s="11">
        <v>873</v>
      </c>
      <c r="X103" s="17">
        <f>HYPERLINK("https://my.pitchbook.com?p=418499-20P", "View People Online")</f>
      </c>
    </row>
    <row r="104">
      <c r="A104" t="s" s="10">
        <v>874</v>
      </c>
      <c r="B104" t="s" s="10">
        <v>875</v>
      </c>
      <c r="C104" t="s" s="10">
        <v>34</v>
      </c>
      <c r="D104" t="s" s="10">
        <v>378</v>
      </c>
      <c r="E104" t="s" s="10">
        <v>365</v>
      </c>
      <c r="F104" t="s" s="10">
        <v>876</v>
      </c>
      <c r="G104" t="s" s="10">
        <v>877</v>
      </c>
      <c r="H104" s="16">
        <f>HYPERLINK("http://www.lunate.com", "www.lunate.com")</f>
      </c>
      <c r="I104" t="s" s="10">
        <v>744</v>
      </c>
      <c r="J104" s="24">
        <v>1</v>
      </c>
      <c r="K104" s="24">
        <v>4</v>
      </c>
      <c r="L104" s="24">
        <v>1</v>
      </c>
      <c r="M104" t="s" s="12">
        <v>383</v>
      </c>
      <c r="N104" t="s" s="10">
        <v>878</v>
      </c>
      <c r="O104" t="s" s="10">
        <v>385</v>
      </c>
      <c r="P104" t="s" s="10">
        <v>386</v>
      </c>
      <c r="Q104" t="s" s="10">
        <v>387</v>
      </c>
      <c r="R104" t="s" s="10">
        <v>388</v>
      </c>
      <c r="S104" t="s" s="10">
        <v>34</v>
      </c>
      <c r="T104" t="s" s="12">
        <v>34</v>
      </c>
      <c r="U104" t="s" s="10">
        <v>240</v>
      </c>
      <c r="V104" t="s" s="12">
        <v>34</v>
      </c>
      <c r="W104" t="s" s="10">
        <v>879</v>
      </c>
      <c r="X104" s="16">
        <f>HYPERLINK("https://my.pitchbook.com?p=81865-90P", "View People Online")</f>
      </c>
    </row>
    <row r="105">
      <c r="A105" t="s" s="11">
        <v>880</v>
      </c>
      <c r="B105" t="s" s="11">
        <v>881</v>
      </c>
      <c r="C105" t="s" s="11">
        <v>34</v>
      </c>
      <c r="D105" t="s" s="11">
        <v>882</v>
      </c>
      <c r="E105" t="s" s="11">
        <v>365</v>
      </c>
      <c r="F105" t="s" s="11">
        <v>883</v>
      </c>
      <c r="G105" t="s" s="11">
        <v>762</v>
      </c>
      <c r="H105" s="17">
        <f>HYPERLINK("http://www.shuaa.com", "www.shuaa.com")</f>
      </c>
      <c r="I105" t="s" s="11">
        <v>885</v>
      </c>
      <c r="J105" t="s" s="25">
        <v>34</v>
      </c>
      <c r="K105" s="25">
        <v>1</v>
      </c>
      <c r="L105" s="25">
        <v>1</v>
      </c>
      <c r="M105" t="s" s="13">
        <v>34</v>
      </c>
      <c r="N105" t="s" s="11">
        <v>34</v>
      </c>
      <c r="O105" t="s" s="11">
        <v>34</v>
      </c>
      <c r="P105" t="s" s="11">
        <v>34</v>
      </c>
      <c r="Q105" t="s" s="11">
        <v>34</v>
      </c>
      <c r="R105" t="s" s="11">
        <v>34</v>
      </c>
      <c r="S105" t="s" s="11">
        <v>34</v>
      </c>
      <c r="T105" t="s" s="13">
        <v>34</v>
      </c>
      <c r="U105" t="s" s="11">
        <v>34</v>
      </c>
      <c r="V105" t="s" s="13">
        <v>34</v>
      </c>
      <c r="W105" t="s" s="11">
        <v>886</v>
      </c>
      <c r="X105" s="17">
        <f>HYPERLINK("https://my.pitchbook.com?p=30347-56P", "View People Online")</f>
      </c>
    </row>
    <row r="106">
      <c r="A106" t="s" s="10">
        <v>887</v>
      </c>
      <c r="B106" t="s" s="10">
        <v>888</v>
      </c>
      <c r="C106" t="s" s="10">
        <v>34</v>
      </c>
      <c r="D106" t="s" s="10">
        <v>378</v>
      </c>
      <c r="E106" t="s" s="10">
        <v>365</v>
      </c>
      <c r="F106" t="s" s="10">
        <v>889</v>
      </c>
      <c r="G106" t="s" s="10">
        <v>890</v>
      </c>
      <c r="H106" s="16">
        <f>HYPERLINK("http://www.lunate.com", "www.lunate.com")</f>
      </c>
      <c r="I106" t="s" s="10">
        <v>891</v>
      </c>
      <c r="J106" t="s" s="24">
        <v>34</v>
      </c>
      <c r="K106" s="24">
        <v>1</v>
      </c>
      <c r="L106" t="s" s="24">
        <v>34</v>
      </c>
      <c r="M106" t="s" s="12">
        <v>383</v>
      </c>
      <c r="N106" t="s" s="10">
        <v>892</v>
      </c>
      <c r="O106" t="s" s="10">
        <v>385</v>
      </c>
      <c r="P106" t="s" s="10">
        <v>386</v>
      </c>
      <c r="Q106" t="s" s="10">
        <v>387</v>
      </c>
      <c r="R106" t="s" s="10">
        <v>388</v>
      </c>
      <c r="S106" t="s" s="10">
        <v>34</v>
      </c>
      <c r="T106" t="s" s="12">
        <v>34</v>
      </c>
      <c r="U106" t="s" s="10">
        <v>240</v>
      </c>
      <c r="V106" t="s" s="12">
        <v>34</v>
      </c>
      <c r="W106" t="s" s="10">
        <v>893</v>
      </c>
      <c r="X106" s="16">
        <f>HYPERLINK("https://my.pitchbook.com?p=418532-77P", "View People Online")</f>
      </c>
    </row>
    <row r="107">
      <c r="A107" t="s" s="11">
        <v>894</v>
      </c>
      <c r="B107" t="s" s="11">
        <v>895</v>
      </c>
      <c r="C107" t="s" s="11">
        <v>34</v>
      </c>
      <c r="D107" t="s" s="11">
        <v>378</v>
      </c>
      <c r="E107" t="s" s="11">
        <v>365</v>
      </c>
      <c r="F107" t="s" s="11">
        <v>896</v>
      </c>
      <c r="G107" t="s" s="11">
        <v>890</v>
      </c>
      <c r="H107" s="17">
        <f>HYPERLINK("http://www.lunate.com", "www.lunate.com")</f>
      </c>
      <c r="I107" t="s" s="11">
        <v>897</v>
      </c>
      <c r="J107" t="s" s="25">
        <v>34</v>
      </c>
      <c r="K107" s="25">
        <v>1</v>
      </c>
      <c r="L107" t="s" s="25">
        <v>34</v>
      </c>
      <c r="M107" t="s" s="13">
        <v>383</v>
      </c>
      <c r="N107" t="s" s="11">
        <v>898</v>
      </c>
      <c r="O107" t="s" s="11">
        <v>385</v>
      </c>
      <c r="P107" t="s" s="11">
        <v>386</v>
      </c>
      <c r="Q107" t="s" s="11">
        <v>387</v>
      </c>
      <c r="R107" t="s" s="11">
        <v>388</v>
      </c>
      <c r="S107" t="s" s="11">
        <v>34</v>
      </c>
      <c r="T107" t="s" s="13">
        <v>34</v>
      </c>
      <c r="U107" t="s" s="11">
        <v>240</v>
      </c>
      <c r="V107" t="s" s="13">
        <v>34</v>
      </c>
      <c r="W107" t="s" s="11">
        <v>899</v>
      </c>
      <c r="X107" s="17">
        <f>HYPERLINK("https://my.pitchbook.com?p=83512-45P", "View People Online")</f>
      </c>
    </row>
    <row r="108">
      <c r="A108" t="s" s="10">
        <v>900</v>
      </c>
      <c r="B108" t="s" s="10">
        <v>901</v>
      </c>
      <c r="C108" t="s" s="10">
        <v>377</v>
      </c>
      <c r="D108" t="s" s="10">
        <v>378</v>
      </c>
      <c r="E108" t="s" s="10">
        <v>365</v>
      </c>
      <c r="F108" t="s" s="10">
        <v>902</v>
      </c>
      <c r="G108" t="s" s="10">
        <v>903</v>
      </c>
      <c r="H108" s="16">
        <f>HYPERLINK("http://www.lunate.com", "www.lunate.com")</f>
      </c>
      <c r="I108" t="s" s="10">
        <v>437</v>
      </c>
      <c r="J108" t="s" s="24">
        <v>34</v>
      </c>
      <c r="K108" s="24">
        <v>1</v>
      </c>
      <c r="L108" t="s" s="24">
        <v>34</v>
      </c>
      <c r="M108" t="s" s="12">
        <v>383</v>
      </c>
      <c r="N108" t="s" s="10">
        <v>904</v>
      </c>
      <c r="O108" t="s" s="10">
        <v>385</v>
      </c>
      <c r="P108" t="s" s="10">
        <v>386</v>
      </c>
      <c r="Q108" t="s" s="10">
        <v>387</v>
      </c>
      <c r="R108" t="s" s="10">
        <v>388</v>
      </c>
      <c r="S108" t="s" s="10">
        <v>34</v>
      </c>
      <c r="T108" t="s" s="12">
        <v>34</v>
      </c>
      <c r="U108" t="s" s="10">
        <v>240</v>
      </c>
      <c r="V108" t="s" s="12">
        <v>34</v>
      </c>
      <c r="W108" t="s" s="10">
        <v>905</v>
      </c>
      <c r="X108" s="16">
        <f>HYPERLINK("https://my.pitchbook.com?p=418476-97P", "View People Online")</f>
      </c>
    </row>
    <row r="109">
      <c r="A109" t="s" s="11">
        <v>906</v>
      </c>
      <c r="B109" t="s" s="11">
        <v>907</v>
      </c>
      <c r="C109" t="s" s="11">
        <v>34</v>
      </c>
      <c r="D109" t="s" s="11">
        <v>533</v>
      </c>
      <c r="E109" t="s" s="11">
        <v>365</v>
      </c>
      <c r="F109" t="s" s="11">
        <v>908</v>
      </c>
      <c r="G109" t="s" s="11">
        <v>909</v>
      </c>
      <c r="H109" s="17">
        <f>HYPERLINK("http://www.lgtcp.com", "www.lgtcp.com")</f>
      </c>
      <c r="I109" t="s" s="11">
        <v>111</v>
      </c>
      <c r="J109" t="s" s="25">
        <v>34</v>
      </c>
      <c r="K109" s="25">
        <v>1</v>
      </c>
      <c r="L109" t="s" s="25">
        <v>34</v>
      </c>
      <c r="M109" t="s" s="13">
        <v>537</v>
      </c>
      <c r="N109" t="s" s="11">
        <v>910</v>
      </c>
      <c r="O109" t="s" s="11">
        <v>539</v>
      </c>
      <c r="P109" t="s" s="11">
        <v>540</v>
      </c>
      <c r="Q109" t="s" s="11">
        <v>541</v>
      </c>
      <c r="R109" t="s" s="11">
        <v>542</v>
      </c>
      <c r="S109" t="s" s="11">
        <v>34</v>
      </c>
      <c r="T109" t="s" s="13">
        <v>543</v>
      </c>
      <c r="U109" t="s" s="11">
        <v>544</v>
      </c>
      <c r="V109" t="s" s="13">
        <v>34</v>
      </c>
      <c r="W109" t="s" s="11">
        <v>911</v>
      </c>
      <c r="X109" s="17">
        <f>HYPERLINK("https://my.pitchbook.com?p=77335-66P", "View People Online")</f>
      </c>
    </row>
    <row r="110">
      <c r="A110" t="s" s="10">
        <v>912</v>
      </c>
      <c r="B110" t="s" s="10">
        <v>913</v>
      </c>
      <c r="C110" t="s" s="10">
        <v>34</v>
      </c>
      <c r="D110" t="s" s="10">
        <v>378</v>
      </c>
      <c r="E110" t="s" s="10">
        <v>365</v>
      </c>
      <c r="F110" t="s" s="10">
        <v>914</v>
      </c>
      <c r="G110" t="s" s="10">
        <v>915</v>
      </c>
      <c r="H110" s="16">
        <f>HYPERLINK("http://www.lunate.com", "www.lunate.com")</f>
      </c>
      <c r="I110" t="s" s="10">
        <v>916</v>
      </c>
      <c r="J110" t="s" s="24">
        <v>34</v>
      </c>
      <c r="K110" s="24">
        <v>1</v>
      </c>
      <c r="L110" t="s" s="24">
        <v>34</v>
      </c>
      <c r="M110" t="s" s="12">
        <v>383</v>
      </c>
      <c r="N110" t="s" s="10">
        <v>917</v>
      </c>
      <c r="O110" t="s" s="10">
        <v>385</v>
      </c>
      <c r="P110" t="s" s="10">
        <v>386</v>
      </c>
      <c r="Q110" t="s" s="10">
        <v>387</v>
      </c>
      <c r="R110" t="s" s="10">
        <v>388</v>
      </c>
      <c r="S110" t="s" s="10">
        <v>34</v>
      </c>
      <c r="T110" t="s" s="12">
        <v>34</v>
      </c>
      <c r="U110" t="s" s="10">
        <v>240</v>
      </c>
      <c r="V110" t="s" s="12">
        <v>34</v>
      </c>
      <c r="W110" t="s" s="10">
        <v>918</v>
      </c>
      <c r="X110" s="16">
        <f>HYPERLINK("https://my.pitchbook.com?p=418468-69P", "View People Online")</f>
      </c>
    </row>
    <row r="111">
      <c r="A111" t="s" s="11">
        <v>919</v>
      </c>
      <c r="B111" t="s" s="11">
        <v>920</v>
      </c>
      <c r="C111" t="s" s="11">
        <v>34</v>
      </c>
      <c r="D111" t="s" s="11">
        <v>921</v>
      </c>
      <c r="E111" t="s" s="11">
        <v>365</v>
      </c>
      <c r="F111" t="s" s="11">
        <v>922</v>
      </c>
      <c r="G111" t="s" s="11">
        <v>93</v>
      </c>
      <c r="H111" s="17">
        <f>HYPERLINK("http://www.saba7am.ch", "www.saba7am.ch")</f>
      </c>
      <c r="I111" t="s" s="11">
        <v>924</v>
      </c>
      <c r="J111" t="s" s="25">
        <v>34</v>
      </c>
      <c r="K111" s="25">
        <v>1</v>
      </c>
      <c r="L111" t="s" s="25">
        <v>34</v>
      </c>
      <c r="M111" t="s" s="13">
        <v>925</v>
      </c>
      <c r="N111" t="s" s="11">
        <v>34</v>
      </c>
      <c r="O111" t="s" s="11">
        <v>926</v>
      </c>
      <c r="P111" t="s" s="11">
        <v>927</v>
      </c>
      <c r="Q111" t="s" s="11">
        <v>34</v>
      </c>
      <c r="R111" t="s" s="11">
        <v>928</v>
      </c>
      <c r="S111" t="s" s="11">
        <v>928</v>
      </c>
      <c r="T111" t="s" s="13">
        <v>929</v>
      </c>
      <c r="U111" t="s" s="11">
        <v>544</v>
      </c>
      <c r="V111" t="s" s="13">
        <v>930</v>
      </c>
      <c r="W111" t="s" s="11">
        <v>931</v>
      </c>
      <c r="X111" s="17">
        <f>HYPERLINK("https://my.pitchbook.com?p=454607-47P", "View People Online")</f>
      </c>
    </row>
    <row r="112">
      <c r="A112" t="s" s="10">
        <v>932</v>
      </c>
      <c r="B112" t="s" s="10">
        <v>933</v>
      </c>
      <c r="C112" t="s" s="10">
        <v>34</v>
      </c>
      <c r="D112" t="s" s="10">
        <v>533</v>
      </c>
      <c r="E112" t="s" s="10">
        <v>365</v>
      </c>
      <c r="F112" t="s" s="10">
        <v>934</v>
      </c>
      <c r="G112" t="s" s="10">
        <v>93</v>
      </c>
      <c r="H112" s="16">
        <f>HYPERLINK("http://www.lgtcp.com", "www.lgtcp.com")</f>
      </c>
      <c r="I112" t="s" s="10">
        <v>191</v>
      </c>
      <c r="J112" t="s" s="24">
        <v>34</v>
      </c>
      <c r="K112" s="24">
        <v>1</v>
      </c>
      <c r="L112" t="s" s="24">
        <v>34</v>
      </c>
      <c r="M112" t="s" s="12">
        <v>588</v>
      </c>
      <c r="N112" t="s" s="10">
        <v>935</v>
      </c>
      <c r="O112" t="s" s="10">
        <v>539</v>
      </c>
      <c r="P112" t="s" s="10">
        <v>540</v>
      </c>
      <c r="Q112" t="s" s="10">
        <v>541</v>
      </c>
      <c r="R112" t="s" s="10">
        <v>542</v>
      </c>
      <c r="S112" t="s" s="10">
        <v>34</v>
      </c>
      <c r="T112" t="s" s="12">
        <v>543</v>
      </c>
      <c r="U112" t="s" s="10">
        <v>544</v>
      </c>
      <c r="V112" t="s" s="12">
        <v>34</v>
      </c>
      <c r="W112" t="s" s="10">
        <v>936</v>
      </c>
      <c r="X112" s="16">
        <f>HYPERLINK("https://my.pitchbook.com?p=14665-06P", "View People Online")</f>
      </c>
    </row>
    <row r="113">
      <c r="A113" t="s" s="11">
        <v>937</v>
      </c>
      <c r="B113" t="s" s="11">
        <v>938</v>
      </c>
      <c r="C113" t="s" s="11">
        <v>377</v>
      </c>
      <c r="D113" t="s" s="11">
        <v>378</v>
      </c>
      <c r="E113" t="s" s="11">
        <v>365</v>
      </c>
      <c r="F113" t="s" s="11">
        <v>939</v>
      </c>
      <c r="G113" t="s" s="11">
        <v>940</v>
      </c>
      <c r="H113" s="17">
        <f>HYPERLINK("http://www.lunate.com", "www.lunate.com")</f>
      </c>
      <c r="I113" t="s" s="11">
        <v>941</v>
      </c>
      <c r="J113" t="s" s="25">
        <v>34</v>
      </c>
      <c r="K113" s="25">
        <v>1</v>
      </c>
      <c r="L113" t="s" s="25">
        <v>34</v>
      </c>
      <c r="M113" t="s" s="13">
        <v>383</v>
      </c>
      <c r="N113" t="s" s="11">
        <v>942</v>
      </c>
      <c r="O113" t="s" s="11">
        <v>385</v>
      </c>
      <c r="P113" t="s" s="11">
        <v>386</v>
      </c>
      <c r="Q113" t="s" s="11">
        <v>387</v>
      </c>
      <c r="R113" t="s" s="11">
        <v>388</v>
      </c>
      <c r="S113" t="s" s="11">
        <v>34</v>
      </c>
      <c r="T113" t="s" s="13">
        <v>34</v>
      </c>
      <c r="U113" t="s" s="11">
        <v>240</v>
      </c>
      <c r="V113" t="s" s="13">
        <v>34</v>
      </c>
      <c r="W113" t="s" s="11">
        <v>943</v>
      </c>
      <c r="X113" s="17">
        <f>HYPERLINK("https://my.pitchbook.com?p=399429-01P", "View People Online")</f>
      </c>
    </row>
    <row r="114">
      <c r="A114" t="s" s="10">
        <v>944</v>
      </c>
      <c r="B114" t="s" s="10">
        <v>945</v>
      </c>
      <c r="C114" t="s" s="10">
        <v>34</v>
      </c>
      <c r="D114" t="s" s="10">
        <v>946</v>
      </c>
      <c r="E114" t="s" s="10">
        <v>365</v>
      </c>
      <c r="F114" t="s" s="10">
        <v>947</v>
      </c>
      <c r="G114" t="s" s="10">
        <v>948</v>
      </c>
      <c r="H114" s="16">
        <f>HYPERLINK("http://turkialmadhi.com", "turkialmadhi.com")</f>
      </c>
      <c r="I114" t="s" s="10">
        <v>950</v>
      </c>
      <c r="J114" t="s" s="24">
        <v>34</v>
      </c>
      <c r="K114" s="24">
        <v>2</v>
      </c>
      <c r="L114" s="24">
        <v>1</v>
      </c>
      <c r="M114" t="s" s="12">
        <v>951</v>
      </c>
      <c r="N114" t="s" s="10">
        <v>952</v>
      </c>
      <c r="O114" t="s" s="10">
        <v>84</v>
      </c>
      <c r="P114" t="s" s="10">
        <v>953</v>
      </c>
      <c r="Q114" t="s" s="10">
        <v>954</v>
      </c>
      <c r="R114" t="s" s="10">
        <v>86</v>
      </c>
      <c r="S114" t="s" s="10">
        <v>86</v>
      </c>
      <c r="T114" t="s" s="12">
        <v>955</v>
      </c>
      <c r="U114" t="s" s="10">
        <v>88</v>
      </c>
      <c r="V114" t="s" s="12">
        <v>34</v>
      </c>
      <c r="W114" t="s" s="10">
        <v>956</v>
      </c>
      <c r="X114" s="16">
        <f>HYPERLINK("https://my.pitchbook.com?p=149865-58P", "View People Online")</f>
      </c>
    </row>
    <row r="115">
      <c r="A115" t="s" s="11">
        <v>957</v>
      </c>
      <c r="B115" t="s" s="11">
        <v>958</v>
      </c>
      <c r="C115" t="s" s="11">
        <v>34</v>
      </c>
      <c r="D115" t="s" s="11">
        <v>378</v>
      </c>
      <c r="E115" t="s" s="11">
        <v>365</v>
      </c>
      <c r="F115" t="s" s="11">
        <v>959</v>
      </c>
      <c r="G115" t="s" s="11">
        <v>960</v>
      </c>
      <c r="H115" s="17">
        <f>HYPERLINK("http://www.lunate.com", "www.lunate.com")</f>
      </c>
      <c r="I115" t="s" s="11">
        <v>961</v>
      </c>
      <c r="J115" t="s" s="25">
        <v>34</v>
      </c>
      <c r="K115" s="25">
        <v>1</v>
      </c>
      <c r="L115" t="s" s="25">
        <v>34</v>
      </c>
      <c r="M115" t="s" s="13">
        <v>383</v>
      </c>
      <c r="N115" t="s" s="11">
        <v>962</v>
      </c>
      <c r="O115" t="s" s="11">
        <v>385</v>
      </c>
      <c r="P115" t="s" s="11">
        <v>386</v>
      </c>
      <c r="Q115" t="s" s="11">
        <v>387</v>
      </c>
      <c r="R115" t="s" s="11">
        <v>388</v>
      </c>
      <c r="S115" t="s" s="11">
        <v>34</v>
      </c>
      <c r="T115" t="s" s="13">
        <v>34</v>
      </c>
      <c r="U115" t="s" s="11">
        <v>240</v>
      </c>
      <c r="V115" t="s" s="13">
        <v>34</v>
      </c>
      <c r="W115" t="s" s="11">
        <v>963</v>
      </c>
      <c r="X115" s="17">
        <f>HYPERLINK("https://my.pitchbook.com?p=418521-97P", "View People Online")</f>
      </c>
    </row>
    <row r="116">
      <c r="A116" t="s" s="10">
        <v>964</v>
      </c>
      <c r="B116" t="s" s="10">
        <v>965</v>
      </c>
      <c r="C116" t="s" s="10">
        <v>34</v>
      </c>
      <c r="D116" t="s" s="10">
        <v>378</v>
      </c>
      <c r="E116" t="s" s="10">
        <v>365</v>
      </c>
      <c r="F116" t="s" s="10">
        <v>966</v>
      </c>
      <c r="G116" t="s" s="10">
        <v>967</v>
      </c>
      <c r="H116" s="16">
        <f>HYPERLINK("http://www.lunate.com", "www.lunate.com")</f>
      </c>
      <c r="I116" t="s" s="10">
        <v>968</v>
      </c>
      <c r="J116" t="s" s="24">
        <v>34</v>
      </c>
      <c r="K116" s="24">
        <v>1</v>
      </c>
      <c r="L116" t="s" s="24">
        <v>34</v>
      </c>
      <c r="M116" t="s" s="12">
        <v>383</v>
      </c>
      <c r="N116" t="s" s="10">
        <v>969</v>
      </c>
      <c r="O116" t="s" s="10">
        <v>385</v>
      </c>
      <c r="P116" t="s" s="10">
        <v>386</v>
      </c>
      <c r="Q116" t="s" s="10">
        <v>387</v>
      </c>
      <c r="R116" t="s" s="10">
        <v>388</v>
      </c>
      <c r="S116" t="s" s="10">
        <v>34</v>
      </c>
      <c r="T116" t="s" s="12">
        <v>34</v>
      </c>
      <c r="U116" t="s" s="10">
        <v>240</v>
      </c>
      <c r="V116" t="s" s="12">
        <v>34</v>
      </c>
      <c r="W116" t="s" s="10">
        <v>970</v>
      </c>
      <c r="X116" s="16">
        <f>HYPERLINK("https://my.pitchbook.com?p=459943-66P", "View People Online")</f>
      </c>
    </row>
    <row r="117">
      <c r="A117" t="s" s="11">
        <v>971</v>
      </c>
      <c r="B117" t="s" s="11">
        <v>972</v>
      </c>
      <c r="C117" t="s" s="11">
        <v>377</v>
      </c>
      <c r="D117" t="s" s="11">
        <v>378</v>
      </c>
      <c r="E117" t="s" s="11">
        <v>365</v>
      </c>
      <c r="F117" t="s" s="11">
        <v>973</v>
      </c>
      <c r="G117" t="s" s="11">
        <v>974</v>
      </c>
      <c r="H117" s="17">
        <f>HYPERLINK("http://www.lunate.com", "www.lunate.com")</f>
      </c>
      <c r="I117" t="s" s="11">
        <v>975</v>
      </c>
      <c r="J117" t="s" s="25">
        <v>34</v>
      </c>
      <c r="K117" s="25">
        <v>1</v>
      </c>
      <c r="L117" t="s" s="25">
        <v>34</v>
      </c>
      <c r="M117" t="s" s="13">
        <v>383</v>
      </c>
      <c r="N117" t="s" s="11">
        <v>976</v>
      </c>
      <c r="O117" t="s" s="11">
        <v>385</v>
      </c>
      <c r="P117" t="s" s="11">
        <v>386</v>
      </c>
      <c r="Q117" t="s" s="11">
        <v>387</v>
      </c>
      <c r="R117" t="s" s="11">
        <v>388</v>
      </c>
      <c r="S117" t="s" s="11">
        <v>34</v>
      </c>
      <c r="T117" t="s" s="13">
        <v>34</v>
      </c>
      <c r="U117" t="s" s="11">
        <v>240</v>
      </c>
      <c r="V117" t="s" s="13">
        <v>34</v>
      </c>
      <c r="W117" t="s" s="11">
        <v>977</v>
      </c>
      <c r="X117" s="17">
        <f>HYPERLINK("https://my.pitchbook.com?p=207385-12P", "View People Online")</f>
      </c>
    </row>
    <row r="118">
      <c r="A118" t="s" s="10">
        <v>978</v>
      </c>
      <c r="B118" t="s" s="10">
        <v>979</v>
      </c>
      <c r="C118" t="s" s="10">
        <v>34</v>
      </c>
      <c r="D118" t="s" s="10">
        <v>980</v>
      </c>
      <c r="E118" t="s" s="10">
        <v>365</v>
      </c>
      <c r="F118" t="s" s="10">
        <v>981</v>
      </c>
      <c r="G118" t="s" s="10">
        <v>982</v>
      </c>
      <c r="H118" s="16">
        <f>HYPERLINK("http://www.tramondo.ch", "www.tramondo.ch")</f>
      </c>
      <c r="I118" t="s" s="10">
        <v>984</v>
      </c>
      <c r="J118" s="24">
        <v>1</v>
      </c>
      <c r="K118" s="24">
        <v>1</v>
      </c>
      <c r="L118" t="s" s="24">
        <v>34</v>
      </c>
      <c r="M118" t="s" s="12">
        <v>985</v>
      </c>
      <c r="N118" t="s" s="10">
        <v>986</v>
      </c>
      <c r="O118" t="s" s="10">
        <v>810</v>
      </c>
      <c r="P118" t="s" s="10">
        <v>987</v>
      </c>
      <c r="Q118" t="s" s="10">
        <v>34</v>
      </c>
      <c r="R118" t="s" s="10">
        <v>812</v>
      </c>
      <c r="S118" t="s" s="10">
        <v>34</v>
      </c>
      <c r="T118" t="s" s="12">
        <v>988</v>
      </c>
      <c r="U118" t="s" s="10">
        <v>544</v>
      </c>
      <c r="V118" t="s" s="12">
        <v>34</v>
      </c>
      <c r="W118" t="s" s="10">
        <v>989</v>
      </c>
      <c r="X118" s="16">
        <f>HYPERLINK("https://my.pitchbook.com?p=340477-30P", "View People Online")</f>
      </c>
    </row>
    <row r="119">
      <c r="A119" t="s" s="11">
        <v>990</v>
      </c>
      <c r="B119" t="s" s="11">
        <v>991</v>
      </c>
      <c r="C119" t="s" s="11">
        <v>34</v>
      </c>
      <c r="D119" t="s" s="11">
        <v>992</v>
      </c>
      <c r="E119" t="s" s="11">
        <v>365</v>
      </c>
      <c r="F119" t="s" s="11">
        <v>993</v>
      </c>
      <c r="G119" t="s" s="11">
        <v>994</v>
      </c>
      <c r="H119" s="17">
        <f>HYPERLINK("http://mandeleo.co.uk", "mandeleo.co.uk")</f>
      </c>
      <c r="I119" t="s" s="11">
        <v>996</v>
      </c>
      <c r="J119" t="s" s="25">
        <v>34</v>
      </c>
      <c r="K119" s="25">
        <v>1</v>
      </c>
      <c r="L119" t="s" s="25">
        <v>34</v>
      </c>
      <c r="M119" t="s" s="13">
        <v>997</v>
      </c>
      <c r="N119" t="s" s="11">
        <v>998</v>
      </c>
      <c r="O119" t="s" s="11">
        <v>43</v>
      </c>
      <c r="P119" t="s" s="11">
        <v>999</v>
      </c>
      <c r="Q119" t="s" s="11">
        <v>34</v>
      </c>
      <c r="R119" t="s" s="11">
        <v>46</v>
      </c>
      <c r="S119" t="s" s="11">
        <v>47</v>
      </c>
      <c r="T119" t="s" s="13">
        <v>1000</v>
      </c>
      <c r="U119" t="s" s="11">
        <v>49</v>
      </c>
      <c r="V119" t="s" s="13">
        <v>34</v>
      </c>
      <c r="W119" t="s" s="11">
        <v>1001</v>
      </c>
      <c r="X119" s="17">
        <f>HYPERLINK("https://my.pitchbook.com?p=453198-07P", "View People Online")</f>
      </c>
    </row>
    <row r="120">
      <c r="A120" t="s" s="10">
        <v>1002</v>
      </c>
      <c r="B120" t="s" s="10">
        <v>1003</v>
      </c>
      <c r="C120" t="s" s="10">
        <v>34</v>
      </c>
      <c r="D120" t="s" s="10">
        <v>378</v>
      </c>
      <c r="E120" t="s" s="10">
        <v>365</v>
      </c>
      <c r="F120" t="s" s="10">
        <v>1004</v>
      </c>
      <c r="G120" t="s" s="10">
        <v>1005</v>
      </c>
      <c r="H120" s="16">
        <f>HYPERLINK("http://www.lunate.com", "www.lunate.com")</f>
      </c>
      <c r="I120" t="s" s="10">
        <v>1006</v>
      </c>
      <c r="J120" t="s" s="24">
        <v>34</v>
      </c>
      <c r="K120" s="24">
        <v>1</v>
      </c>
      <c r="L120" t="s" s="24">
        <v>34</v>
      </c>
      <c r="M120" t="s" s="12">
        <v>383</v>
      </c>
      <c r="N120" t="s" s="10">
        <v>1007</v>
      </c>
      <c r="O120" t="s" s="10">
        <v>385</v>
      </c>
      <c r="P120" t="s" s="10">
        <v>386</v>
      </c>
      <c r="Q120" t="s" s="10">
        <v>387</v>
      </c>
      <c r="R120" t="s" s="10">
        <v>388</v>
      </c>
      <c r="S120" t="s" s="10">
        <v>34</v>
      </c>
      <c r="T120" t="s" s="12">
        <v>34</v>
      </c>
      <c r="U120" t="s" s="10">
        <v>240</v>
      </c>
      <c r="V120" t="s" s="12">
        <v>34</v>
      </c>
      <c r="W120" t="s" s="10">
        <v>1008</v>
      </c>
      <c r="X120" s="16">
        <f>HYPERLINK("https://my.pitchbook.com?p=418524-40P", "View People Online")</f>
      </c>
    </row>
    <row r="121">
      <c r="A121" t="s" s="11">
        <v>1009</v>
      </c>
      <c r="B121" t="s" s="11">
        <v>1010</v>
      </c>
      <c r="C121" t="s" s="11">
        <v>34</v>
      </c>
      <c r="D121" t="s" s="11">
        <v>378</v>
      </c>
      <c r="E121" t="s" s="11">
        <v>365</v>
      </c>
      <c r="F121" t="s" s="11">
        <v>1011</v>
      </c>
      <c r="G121" t="s" s="11">
        <v>1012</v>
      </c>
      <c r="H121" s="17">
        <f>HYPERLINK("http://www.lunate.com", "www.lunate.com")</f>
      </c>
      <c r="I121" t="s" s="11">
        <v>407</v>
      </c>
      <c r="J121" t="s" s="25">
        <v>34</v>
      </c>
      <c r="K121" s="25">
        <v>1</v>
      </c>
      <c r="L121" t="s" s="25">
        <v>34</v>
      </c>
      <c r="M121" t="s" s="13">
        <v>383</v>
      </c>
      <c r="N121" t="s" s="11">
        <v>1013</v>
      </c>
      <c r="O121" t="s" s="11">
        <v>385</v>
      </c>
      <c r="P121" t="s" s="11">
        <v>386</v>
      </c>
      <c r="Q121" t="s" s="11">
        <v>387</v>
      </c>
      <c r="R121" t="s" s="11">
        <v>388</v>
      </c>
      <c r="S121" t="s" s="11">
        <v>34</v>
      </c>
      <c r="T121" t="s" s="13">
        <v>34</v>
      </c>
      <c r="U121" t="s" s="11">
        <v>240</v>
      </c>
      <c r="V121" t="s" s="13">
        <v>34</v>
      </c>
      <c r="W121" t="s" s="11">
        <v>1014</v>
      </c>
      <c r="X121" s="17">
        <f>HYPERLINK("https://my.pitchbook.com?p=418508-38P", "View People Online")</f>
      </c>
    </row>
    <row r="122">
      <c r="A122" t="s" s="10">
        <v>1015</v>
      </c>
      <c r="B122" t="s" s="10">
        <v>1016</v>
      </c>
      <c r="C122" t="s" s="10">
        <v>34</v>
      </c>
      <c r="D122" t="s" s="10">
        <v>1017</v>
      </c>
      <c r="E122" t="s" s="10">
        <v>1018</v>
      </c>
      <c r="F122" t="s" s="10">
        <v>1019</v>
      </c>
      <c r="G122" t="s" s="10">
        <v>1020</v>
      </c>
      <c r="H122" s="16">
        <f>HYPERLINK("http://www.qdb.qa", "www.qdb.qa")</f>
      </c>
      <c r="I122" t="s" s="10">
        <v>1022</v>
      </c>
      <c r="J122" t="s" s="24">
        <v>34</v>
      </c>
      <c r="K122" s="24">
        <v>1</v>
      </c>
      <c r="L122" t="s" s="24">
        <v>34</v>
      </c>
      <c r="M122" t="s" s="12">
        <v>1023</v>
      </c>
      <c r="N122" t="s" s="10">
        <v>1024</v>
      </c>
      <c r="O122" t="s" s="10">
        <v>59</v>
      </c>
      <c r="P122" t="s" s="10">
        <v>1025</v>
      </c>
      <c r="Q122" t="s" s="10">
        <v>1026</v>
      </c>
      <c r="R122" t="s" s="10">
        <v>62</v>
      </c>
      <c r="S122" t="s" s="10">
        <v>34</v>
      </c>
      <c r="T122" t="s" s="12">
        <v>34</v>
      </c>
      <c r="U122" t="s" s="10">
        <v>64</v>
      </c>
      <c r="V122" t="s" s="12">
        <v>1027</v>
      </c>
      <c r="W122" t="s" s="10">
        <v>1028</v>
      </c>
      <c r="X122" s="16">
        <f>HYPERLINK("https://my.pitchbook.com?p=168749-38P", "View People Online")</f>
      </c>
    </row>
    <row r="123">
      <c r="A123" t="s" s="11">
        <v>1029</v>
      </c>
      <c r="B123" t="s" s="11">
        <v>1030</v>
      </c>
      <c r="C123" t="s" s="11">
        <v>34</v>
      </c>
      <c r="D123" t="s" s="11">
        <v>1031</v>
      </c>
      <c r="E123" t="s" s="11">
        <v>1032</v>
      </c>
      <c r="F123" t="s" s="11">
        <v>1033</v>
      </c>
      <c r="G123" t="s" s="11">
        <v>1034</v>
      </c>
      <c r="H123" s="17">
        <f>HYPERLINK("http://www.onboardpartners.com", "www.onboardpartners.com")</f>
      </c>
      <c r="I123" t="s" s="11">
        <v>1036</v>
      </c>
      <c r="J123" t="s" s="25">
        <v>34</v>
      </c>
      <c r="K123" s="25">
        <v>1</v>
      </c>
      <c r="L123" s="25">
        <v>1</v>
      </c>
      <c r="M123" t="s" s="13">
        <v>34</v>
      </c>
      <c r="N123" t="s" s="11">
        <v>1037</v>
      </c>
      <c r="O123" t="s" s="11">
        <v>34</v>
      </c>
      <c r="P123" t="s" s="11">
        <v>34</v>
      </c>
      <c r="Q123" t="s" s="11">
        <v>34</v>
      </c>
      <c r="R123" t="s" s="11">
        <v>34</v>
      </c>
      <c r="S123" t="s" s="11">
        <v>34</v>
      </c>
      <c r="T123" t="s" s="13">
        <v>34</v>
      </c>
      <c r="U123" t="s" s="11">
        <v>34</v>
      </c>
      <c r="V123" t="s" s="13">
        <v>34</v>
      </c>
      <c r="W123" t="s" s="11">
        <v>1038</v>
      </c>
      <c r="X123" s="17">
        <f>HYPERLINK("https://my.pitchbook.com?p=12087-55P", "View People Online")</f>
      </c>
    </row>
    <row r="124">
      <c r="A124" t="s" s="10">
        <v>1039</v>
      </c>
      <c r="B124" t="s" s="10">
        <v>1040</v>
      </c>
      <c r="C124" t="s" s="10">
        <v>34</v>
      </c>
      <c r="D124" t="s" s="10">
        <v>1041</v>
      </c>
      <c r="E124" t="s" s="10">
        <v>1042</v>
      </c>
      <c r="F124" t="s" s="10">
        <v>1043</v>
      </c>
      <c r="G124" t="s" s="10">
        <v>1044</v>
      </c>
      <c r="H124" s="16">
        <f>HYPERLINK("http://www.leshabank.com", "www.leshabank.com")</f>
      </c>
      <c r="I124" t="s" s="10">
        <v>622</v>
      </c>
      <c r="J124" t="s" s="24">
        <v>34</v>
      </c>
      <c r="K124" s="24">
        <v>1</v>
      </c>
      <c r="L124" t="s" s="24">
        <v>34</v>
      </c>
      <c r="M124" t="s" s="12">
        <v>1046</v>
      </c>
      <c r="N124" t="s" s="10">
        <v>1047</v>
      </c>
      <c r="O124" t="s" s="10">
        <v>59</v>
      </c>
      <c r="P124" t="s" s="10">
        <v>1048</v>
      </c>
      <c r="Q124" t="s" s="10">
        <v>1049</v>
      </c>
      <c r="R124" t="s" s="10">
        <v>62</v>
      </c>
      <c r="S124" t="s" s="10">
        <v>34</v>
      </c>
      <c r="T124" t="s" s="12">
        <v>34</v>
      </c>
      <c r="U124" t="s" s="10">
        <v>64</v>
      </c>
      <c r="V124" t="s" s="12">
        <v>34</v>
      </c>
      <c r="W124" t="s" s="10">
        <v>1050</v>
      </c>
      <c r="X124" s="16">
        <f>HYPERLINK("https://my.pitchbook.com?p=64590-58P", "View People Online")</f>
      </c>
    </row>
    <row r="125">
      <c r="A125" t="s" s="11">
        <v>1051</v>
      </c>
      <c r="B125" t="s" s="11">
        <v>1052</v>
      </c>
      <c r="C125" t="s" s="11">
        <v>34</v>
      </c>
      <c r="D125" t="s" s="11">
        <v>1053</v>
      </c>
      <c r="E125" t="s" s="11">
        <v>1042</v>
      </c>
      <c r="F125" t="s" s="11">
        <v>1054</v>
      </c>
      <c r="G125" t="s" s="11">
        <v>1055</v>
      </c>
      <c r="H125" s="17">
        <f>HYPERLINK("http://www.bankfab.com", "www.bankfab.com")</f>
      </c>
      <c r="I125" t="s" s="11">
        <v>1057</v>
      </c>
      <c r="J125" t="s" s="25">
        <v>34</v>
      </c>
      <c r="K125" t="s" s="25">
        <v>34</v>
      </c>
      <c r="L125" t="s" s="25">
        <v>34</v>
      </c>
      <c r="M125" t="s" s="13">
        <v>34</v>
      </c>
      <c r="N125" t="s" s="11">
        <v>34</v>
      </c>
      <c r="O125" t="s" s="11">
        <v>34</v>
      </c>
      <c r="P125" t="s" s="11">
        <v>34</v>
      </c>
      <c r="Q125" t="s" s="11">
        <v>34</v>
      </c>
      <c r="R125" t="s" s="11">
        <v>34</v>
      </c>
      <c r="S125" t="s" s="11">
        <v>34</v>
      </c>
      <c r="T125" t="s" s="13">
        <v>34</v>
      </c>
      <c r="U125" t="s" s="11">
        <v>34</v>
      </c>
      <c r="V125" t="s" s="13">
        <v>34</v>
      </c>
      <c r="W125" t="s" s="11">
        <v>1058</v>
      </c>
      <c r="X125" s="17">
        <f>HYPERLINK("https://my.pitchbook.com?p=178131-79P", "View People Online")</f>
      </c>
    </row>
    <row r="126">
      <c r="A126" t="s" s="10">
        <v>1059</v>
      </c>
      <c r="B126" t="s" s="10">
        <v>1060</v>
      </c>
      <c r="C126" t="s" s="10">
        <v>34</v>
      </c>
      <c r="D126" t="s" s="10">
        <v>1061</v>
      </c>
      <c r="E126" t="s" s="10">
        <v>1042</v>
      </c>
      <c r="F126" t="s" s="10">
        <v>1062</v>
      </c>
      <c r="G126" t="s" s="10">
        <v>1063</v>
      </c>
      <c r="H126" s="16">
        <f>HYPERLINK("http://www.bil.com", "www.bil.com")</f>
      </c>
      <c r="I126" t="s" s="10">
        <v>1065</v>
      </c>
      <c r="J126" t="s" s="24">
        <v>34</v>
      </c>
      <c r="K126" t="s" s="24">
        <v>34</v>
      </c>
      <c r="L126" t="s" s="24">
        <v>34</v>
      </c>
      <c r="M126" t="s" s="12">
        <v>34</v>
      </c>
      <c r="N126" t="s" s="10">
        <v>34</v>
      </c>
      <c r="O126" t="s" s="10">
        <v>34</v>
      </c>
      <c r="P126" t="s" s="10">
        <v>34</v>
      </c>
      <c r="Q126" t="s" s="10">
        <v>34</v>
      </c>
      <c r="R126" t="s" s="10">
        <v>34</v>
      </c>
      <c r="S126" t="s" s="10">
        <v>34</v>
      </c>
      <c r="T126" t="s" s="12">
        <v>34</v>
      </c>
      <c r="U126" t="s" s="10">
        <v>34</v>
      </c>
      <c r="V126" t="s" s="12">
        <v>34</v>
      </c>
      <c r="W126" t="s" s="10">
        <v>1066</v>
      </c>
      <c r="X126" s="16">
        <f>HYPERLINK("https://my.pitchbook.com?p=79619-14P", "View People Online")</f>
      </c>
    </row>
    <row r="127">
      <c r="A127" t="s" s="11">
        <v>1067</v>
      </c>
      <c r="B127" t="s" s="11">
        <v>1068</v>
      </c>
      <c r="C127" t="s" s="11">
        <v>34</v>
      </c>
      <c r="D127" t="s" s="11">
        <v>1069</v>
      </c>
      <c r="E127" t="s" s="11">
        <v>1042</v>
      </c>
      <c r="F127" t="s" s="11">
        <v>1070</v>
      </c>
      <c r="G127" t="s" s="11">
        <v>1071</v>
      </c>
      <c r="H127" s="17">
        <f>HYPERLINK("http://www.co-operativebank.co.uk", "www.co-operativebank.co.uk")</f>
      </c>
      <c r="I127" t="s" s="11">
        <v>1073</v>
      </c>
      <c r="J127" s="25">
        <v>1</v>
      </c>
      <c r="K127" s="25">
        <v>1</v>
      </c>
      <c r="L127" t="s" s="25">
        <v>34</v>
      </c>
      <c r="M127" t="s" s="13">
        <v>1074</v>
      </c>
      <c r="N127" t="s" s="11">
        <v>34</v>
      </c>
      <c r="O127" t="s" s="11">
        <v>1075</v>
      </c>
      <c r="P127" t="s" s="11">
        <v>1076</v>
      </c>
      <c r="Q127" t="s" s="11">
        <v>34</v>
      </c>
      <c r="R127" t="s" s="11">
        <v>1077</v>
      </c>
      <c r="S127" t="s" s="11">
        <v>47</v>
      </c>
      <c r="T127" t="s" s="13">
        <v>1078</v>
      </c>
      <c r="U127" t="s" s="11">
        <v>49</v>
      </c>
      <c r="V127" t="s" s="13">
        <v>34</v>
      </c>
      <c r="W127" t="s" s="11">
        <v>1079</v>
      </c>
      <c r="X127" s="17">
        <f>HYPERLINK("https://my.pitchbook.com?p=456295-33P", "View People Online")</f>
      </c>
    </row>
    <row r="128">
      <c r="A128" t="s" s="10">
        <v>1080</v>
      </c>
      <c r="B128" t="s" s="10">
        <v>1081</v>
      </c>
      <c r="C128" t="s" s="10">
        <v>34</v>
      </c>
      <c r="D128" t="s" s="10">
        <v>1082</v>
      </c>
      <c r="E128" t="s" s="10">
        <v>1042</v>
      </c>
      <c r="F128" t="s" s="10">
        <v>1083</v>
      </c>
      <c r="G128" t="s" s="10">
        <v>1084</v>
      </c>
      <c r="H128" s="16">
        <f>HYPERLINK("http://www.abnamro.com", "www.abnamro.com")</f>
      </c>
      <c r="I128" t="s" s="10">
        <v>1086</v>
      </c>
      <c r="J128" t="s" s="24">
        <v>34</v>
      </c>
      <c r="K128" s="24">
        <v>1</v>
      </c>
      <c r="L128" t="s" s="24">
        <v>34</v>
      </c>
      <c r="M128" t="s" s="12">
        <v>1087</v>
      </c>
      <c r="N128" t="s" s="10">
        <v>1088</v>
      </c>
      <c r="O128" t="s" s="10">
        <v>99</v>
      </c>
      <c r="P128" t="s" s="10">
        <v>1089</v>
      </c>
      <c r="Q128" t="s" s="10">
        <v>34</v>
      </c>
      <c r="R128" t="s" s="10">
        <v>101</v>
      </c>
      <c r="S128" t="s" s="10">
        <v>34</v>
      </c>
      <c r="T128" t="s" s="12">
        <v>1090</v>
      </c>
      <c r="U128" t="s" s="10">
        <v>103</v>
      </c>
      <c r="V128" t="s" s="12">
        <v>34</v>
      </c>
      <c r="W128" t="s" s="10">
        <v>1091</v>
      </c>
      <c r="X128" s="16">
        <f>HYPERLINK("https://my.pitchbook.com?p=417647-53P", "View People Online")</f>
      </c>
    </row>
    <row r="129">
      <c r="A129" t="s" s="11">
        <v>1092</v>
      </c>
      <c r="B129" t="s" s="11">
        <v>1093</v>
      </c>
      <c r="C129" t="s" s="11">
        <v>34</v>
      </c>
      <c r="D129" t="s" s="11">
        <v>1094</v>
      </c>
      <c r="E129" t="s" s="11">
        <v>1042</v>
      </c>
      <c r="F129" t="s" s="11">
        <v>1095</v>
      </c>
      <c r="G129" t="s" s="11">
        <v>1096</v>
      </c>
      <c r="H129" s="17">
        <f>HYPERLINK("http://www.tressis.com", "www.tressis.com")</f>
      </c>
      <c r="I129" t="s" s="11">
        <v>1098</v>
      </c>
      <c r="J129" t="s" s="25">
        <v>34</v>
      </c>
      <c r="K129" s="25">
        <v>2</v>
      </c>
      <c r="L129" t="s" s="25">
        <v>34</v>
      </c>
      <c r="M129" t="s" s="13">
        <v>1099</v>
      </c>
      <c r="N129" t="s" s="11">
        <v>1100</v>
      </c>
      <c r="O129" t="s" s="11">
        <v>1101</v>
      </c>
      <c r="P129" t="s" s="11">
        <v>1102</v>
      </c>
      <c r="Q129" t="s" s="11">
        <v>34</v>
      </c>
      <c r="R129" t="s" s="11">
        <v>1103</v>
      </c>
      <c r="S129" t="s" s="11">
        <v>34</v>
      </c>
      <c r="T129" t="s" s="13">
        <v>1104</v>
      </c>
      <c r="U129" t="s" s="11">
        <v>1105</v>
      </c>
      <c r="V129" t="s" s="13">
        <v>34</v>
      </c>
      <c r="W129" t="s" s="11">
        <v>1106</v>
      </c>
      <c r="X129" s="17">
        <f>HYPERLINK("https://my.pitchbook.com?p=90341-92P", "View People Online")</f>
      </c>
    </row>
    <row r="130">
      <c r="A130" t="s" s="10">
        <v>1107</v>
      </c>
      <c r="B130" t="s" s="10">
        <v>1108</v>
      </c>
      <c r="C130" t="s" s="10">
        <v>34</v>
      </c>
      <c r="D130" t="s" s="10">
        <v>1109</v>
      </c>
      <c r="E130" t="s" s="10">
        <v>1042</v>
      </c>
      <c r="F130" t="s" s="10">
        <v>1110</v>
      </c>
      <c r="G130" t="s" s="10">
        <v>1111</v>
      </c>
      <c r="H130" s="16">
        <f>HYPERLINK("http://www.attijariwafabank.com.eg", "www.attijariwafabank.com.eg")</f>
      </c>
      <c r="I130" t="s" s="10">
        <v>1113</v>
      </c>
      <c r="J130" t="s" s="24">
        <v>34</v>
      </c>
      <c r="K130" t="s" s="24">
        <v>34</v>
      </c>
      <c r="L130" t="s" s="24">
        <v>34</v>
      </c>
      <c r="M130" t="s" s="12">
        <v>34</v>
      </c>
      <c r="N130" t="s" s="10">
        <v>34</v>
      </c>
      <c r="O130" t="s" s="10">
        <v>34</v>
      </c>
      <c r="P130" t="s" s="10">
        <v>34</v>
      </c>
      <c r="Q130" t="s" s="10">
        <v>34</v>
      </c>
      <c r="R130" t="s" s="10">
        <v>34</v>
      </c>
      <c r="S130" t="s" s="10">
        <v>34</v>
      </c>
      <c r="T130" t="s" s="12">
        <v>34</v>
      </c>
      <c r="U130" t="s" s="10">
        <v>34</v>
      </c>
      <c r="V130" t="s" s="12">
        <v>34</v>
      </c>
      <c r="W130" t="s" s="10">
        <v>1114</v>
      </c>
      <c r="X130" s="16">
        <f>HYPERLINK("https://my.pitchbook.com?p=61034-05P", "View People Online")</f>
      </c>
    </row>
    <row r="131">
      <c r="A131" t="s" s="11">
        <v>1115</v>
      </c>
      <c r="B131" t="s" s="11">
        <v>1116</v>
      </c>
      <c r="C131" t="s" s="11">
        <v>34</v>
      </c>
      <c r="D131" t="s" s="11">
        <v>1117</v>
      </c>
      <c r="E131" t="s" s="11">
        <v>1042</v>
      </c>
      <c r="F131" t="s" s="11">
        <v>1118</v>
      </c>
      <c r="G131" t="s" s="11">
        <v>1119</v>
      </c>
      <c r="H131" s="17">
        <f>HYPERLINK("http://www.kfh.com", "www.kfh.com")</f>
      </c>
      <c r="I131" t="s" s="11">
        <v>1121</v>
      </c>
      <c r="J131" s="25">
        <v>1</v>
      </c>
      <c r="K131" s="25">
        <v>1</v>
      </c>
      <c r="L131" t="s" s="25">
        <v>34</v>
      </c>
      <c r="M131" t="s" s="13">
        <v>1122</v>
      </c>
      <c r="N131" t="s" s="11">
        <v>1123</v>
      </c>
      <c r="O131" t="s" s="11">
        <v>1124</v>
      </c>
      <c r="P131" t="s" s="11">
        <v>1125</v>
      </c>
      <c r="Q131" t="s" s="11">
        <v>1126</v>
      </c>
      <c r="R131" t="s" s="11">
        <v>1127</v>
      </c>
      <c r="S131" t="s" s="11">
        <v>34</v>
      </c>
      <c r="T131" t="s" s="13">
        <v>1128</v>
      </c>
      <c r="U131" t="s" s="11">
        <v>1129</v>
      </c>
      <c r="V131" t="s" s="13">
        <v>1130</v>
      </c>
      <c r="W131" t="s" s="11">
        <v>1131</v>
      </c>
      <c r="X131" s="17">
        <f>HYPERLINK("https://my.pitchbook.com?p=89503-93P", "View People Online")</f>
      </c>
    </row>
    <row r="132">
      <c r="A132" t="s" s="10">
        <v>1132</v>
      </c>
      <c r="B132" t="s" s="10">
        <v>1133</v>
      </c>
      <c r="C132" t="s" s="10">
        <v>34</v>
      </c>
      <c r="D132" t="s" s="10">
        <v>1134</v>
      </c>
      <c r="E132" t="s" s="10">
        <v>1042</v>
      </c>
      <c r="F132" t="s" s="10">
        <v>1135</v>
      </c>
      <c r="G132" t="s" s="10">
        <v>1136</v>
      </c>
      <c r="H132" s="16">
        <f>HYPERLINK("http://www.scb.co.th", "www.scb.co.th")</f>
      </c>
      <c r="I132" t="s" s="10">
        <v>1138</v>
      </c>
      <c r="J132" s="24">
        <v>2</v>
      </c>
      <c r="K132" s="24">
        <v>2</v>
      </c>
      <c r="L132" t="s" s="24">
        <v>34</v>
      </c>
      <c r="M132" t="s" s="12">
        <v>1139</v>
      </c>
      <c r="N132" t="s" s="10">
        <v>34</v>
      </c>
      <c r="O132" t="s" s="10">
        <v>1140</v>
      </c>
      <c r="P132" t="s" s="10">
        <v>1141</v>
      </c>
      <c r="Q132" t="s" s="10">
        <v>1142</v>
      </c>
      <c r="R132" t="s" s="10">
        <v>1143</v>
      </c>
      <c r="S132" t="s" s="10">
        <v>34</v>
      </c>
      <c r="T132" t="s" s="12">
        <v>1144</v>
      </c>
      <c r="U132" t="s" s="10">
        <v>1145</v>
      </c>
      <c r="V132" t="s" s="12">
        <v>34</v>
      </c>
      <c r="W132" t="s" s="10">
        <v>1146</v>
      </c>
      <c r="X132" s="16">
        <f>HYPERLINK("https://my.pitchbook.com?p=285620-14P", "View People Online")</f>
      </c>
    </row>
    <row r="133">
      <c r="A133" t="s" s="11">
        <v>1147</v>
      </c>
      <c r="B133" t="s" s="11">
        <v>1148</v>
      </c>
      <c r="C133" t="s" s="11">
        <v>34</v>
      </c>
      <c r="D133" t="s" s="11">
        <v>1149</v>
      </c>
      <c r="E133" t="s" s="11">
        <v>1042</v>
      </c>
      <c r="F133" t="s" s="11">
        <v>1150</v>
      </c>
      <c r="G133" t="s" s="11">
        <v>1151</v>
      </c>
      <c r="H133" s="17">
        <f>HYPERLINK("http://www.coutts.com", "www.coutts.com")</f>
      </c>
      <c r="I133" t="s" s="11">
        <v>1153</v>
      </c>
      <c r="J133" t="s" s="25">
        <v>34</v>
      </c>
      <c r="K133" t="s" s="25">
        <v>34</v>
      </c>
      <c r="L133" t="s" s="25">
        <v>34</v>
      </c>
      <c r="M133" t="s" s="13">
        <v>34</v>
      </c>
      <c r="N133" t="s" s="11">
        <v>34</v>
      </c>
      <c r="O133" t="s" s="11">
        <v>34</v>
      </c>
      <c r="P133" t="s" s="11">
        <v>34</v>
      </c>
      <c r="Q133" t="s" s="11">
        <v>34</v>
      </c>
      <c r="R133" t="s" s="11">
        <v>34</v>
      </c>
      <c r="S133" t="s" s="11">
        <v>34</v>
      </c>
      <c r="T133" t="s" s="13">
        <v>34</v>
      </c>
      <c r="U133" t="s" s="11">
        <v>34</v>
      </c>
      <c r="V133" t="s" s="13">
        <v>34</v>
      </c>
      <c r="W133" t="s" s="11">
        <v>1154</v>
      </c>
      <c r="X133" s="17">
        <f>HYPERLINK("https://my.pitchbook.com?p=153698-14P", "View People Online")</f>
      </c>
    </row>
    <row r="134">
      <c r="A134" t="s" s="10">
        <v>1155</v>
      </c>
      <c r="B134" t="s" s="10">
        <v>1156</v>
      </c>
      <c r="C134" t="s" s="10">
        <v>34</v>
      </c>
      <c r="D134" t="s" s="10">
        <v>1157</v>
      </c>
      <c r="E134" t="s" s="10">
        <v>1158</v>
      </c>
      <c r="F134" t="s" s="10">
        <v>1150</v>
      </c>
      <c r="G134" t="s" s="10">
        <v>1159</v>
      </c>
      <c r="H134" t="s" s="10">
        <v>34</v>
      </c>
      <c r="I134" t="s" s="10">
        <v>1160</v>
      </c>
      <c r="J134" t="s" s="24">
        <v>34</v>
      </c>
      <c r="K134" s="24">
        <v>1</v>
      </c>
      <c r="L134" t="s" s="24">
        <v>34</v>
      </c>
      <c r="M134" t="s" s="12">
        <v>1161</v>
      </c>
      <c r="N134" t="s" s="10">
        <v>34</v>
      </c>
      <c r="O134" t="s" s="10">
        <v>1162</v>
      </c>
      <c r="P134" t="s" s="10">
        <v>1163</v>
      </c>
      <c r="Q134" t="s" s="10">
        <v>34</v>
      </c>
      <c r="R134" t="s" s="10">
        <v>1164</v>
      </c>
      <c r="S134" t="s" s="10">
        <v>47</v>
      </c>
      <c r="T134" t="s" s="12">
        <v>1165</v>
      </c>
      <c r="U134" t="s" s="10">
        <v>49</v>
      </c>
      <c r="V134" t="s" s="12">
        <v>34</v>
      </c>
      <c r="W134" t="s" s="10">
        <v>1166</v>
      </c>
      <c r="X134" s="16">
        <f>HYPERLINK("https://my.pitchbook.com?p=107842-78P", "View People Online")</f>
      </c>
    </row>
    <row r="135">
      <c r="A135" t="s" s="11">
        <v>1167</v>
      </c>
      <c r="B135" t="s" s="11">
        <v>1168</v>
      </c>
      <c r="C135" t="s" s="11">
        <v>34</v>
      </c>
      <c r="D135" t="s" s="11">
        <v>1169</v>
      </c>
      <c r="E135" t="s" s="11">
        <v>1170</v>
      </c>
      <c r="F135" t="s" s="11">
        <v>1171</v>
      </c>
      <c r="G135" t="s" s="11">
        <v>1172</v>
      </c>
      <c r="H135" s="17">
        <f>HYPERLINK("http://www.vorwerkventures.com", "www.vorwerkventures.com")</f>
      </c>
      <c r="I135" t="s" s="11">
        <v>1174</v>
      </c>
      <c r="J135" t="s" s="25">
        <v>34</v>
      </c>
      <c r="K135" s="25">
        <v>1</v>
      </c>
      <c r="L135" t="s" s="25">
        <v>34</v>
      </c>
      <c r="M135" t="s" s="13">
        <v>1175</v>
      </c>
      <c r="N135" t="s" s="11">
        <v>1176</v>
      </c>
      <c r="O135" t="s" s="11">
        <v>1177</v>
      </c>
      <c r="P135" t="s" s="11">
        <v>1178</v>
      </c>
      <c r="Q135" t="s" s="11">
        <v>34</v>
      </c>
      <c r="R135" t="s" s="11">
        <v>1179</v>
      </c>
      <c r="S135" t="s" s="11">
        <v>34</v>
      </c>
      <c r="T135" t="s" s="13">
        <v>1180</v>
      </c>
      <c r="U135" t="s" s="11">
        <v>1181</v>
      </c>
      <c r="V135" t="s" s="13">
        <v>34</v>
      </c>
      <c r="W135" t="s" s="11">
        <v>1182</v>
      </c>
      <c r="X135" s="17">
        <f>HYPERLINK("https://my.pitchbook.com?p=244844-38P", "View People Online")</f>
      </c>
    </row>
    <row r="136">
      <c r="A136" t="s" s="10">
        <v>1183</v>
      </c>
      <c r="B136" t="s" s="10">
        <v>1184</v>
      </c>
      <c r="C136" t="s" s="10">
        <v>34</v>
      </c>
      <c r="D136" t="s" s="10">
        <v>1185</v>
      </c>
      <c r="E136" t="s" s="10">
        <v>1186</v>
      </c>
      <c r="F136" t="s" s="10">
        <v>1187</v>
      </c>
      <c r="G136" t="s" s="10">
        <v>1188</v>
      </c>
      <c r="H136" s="16">
        <f>HYPERLINK("http://muhaidib.com", "muhaidib.com")</f>
      </c>
      <c r="I136" t="s" s="10">
        <v>1190</v>
      </c>
      <c r="J136" t="s" s="24">
        <v>34</v>
      </c>
      <c r="K136" t="s" s="24">
        <v>34</v>
      </c>
      <c r="L136" t="s" s="24">
        <v>34</v>
      </c>
      <c r="M136" t="s" s="12">
        <v>34</v>
      </c>
      <c r="N136" t="s" s="10">
        <v>1191</v>
      </c>
      <c r="O136" t="s" s="10">
        <v>34</v>
      </c>
      <c r="P136" t="s" s="10">
        <v>34</v>
      </c>
      <c r="Q136" t="s" s="10">
        <v>34</v>
      </c>
      <c r="R136" t="s" s="10">
        <v>34</v>
      </c>
      <c r="S136" t="s" s="10">
        <v>34</v>
      </c>
      <c r="T136" t="s" s="12">
        <v>34</v>
      </c>
      <c r="U136" t="s" s="10">
        <v>34</v>
      </c>
      <c r="V136" t="s" s="12">
        <v>34</v>
      </c>
      <c r="W136" t="s" s="10">
        <v>1192</v>
      </c>
      <c r="X136" s="16">
        <f>HYPERLINK("https://my.pitchbook.com?p=125899-12P", "View People Online")</f>
      </c>
    </row>
    <row r="137">
      <c r="A137" t="s" s="11">
        <v>1193</v>
      </c>
      <c r="B137" t="s" s="11">
        <v>1194</v>
      </c>
      <c r="C137" t="s" s="11">
        <v>34</v>
      </c>
      <c r="D137" t="s" s="11">
        <v>1195</v>
      </c>
      <c r="E137" t="s" s="11">
        <v>1186</v>
      </c>
      <c r="F137" t="s" s="11">
        <v>1196</v>
      </c>
      <c r="G137" t="s" s="11">
        <v>1197</v>
      </c>
      <c r="H137" s="17">
        <f>HYPERLINK("http://www.hjsoo.com", "www.hjsoo.com")</f>
      </c>
      <c r="I137" t="s" s="11">
        <v>34</v>
      </c>
      <c r="J137" t="s" s="25">
        <v>34</v>
      </c>
      <c r="K137" t="s" s="25">
        <v>34</v>
      </c>
      <c r="L137" t="s" s="25">
        <v>34</v>
      </c>
      <c r="M137" t="s" s="13">
        <v>34</v>
      </c>
      <c r="N137" t="s" s="11">
        <v>34</v>
      </c>
      <c r="O137" t="s" s="11">
        <v>34</v>
      </c>
      <c r="P137" t="s" s="11">
        <v>34</v>
      </c>
      <c r="Q137" t="s" s="11">
        <v>34</v>
      </c>
      <c r="R137" t="s" s="11">
        <v>34</v>
      </c>
      <c r="S137" t="s" s="11">
        <v>34</v>
      </c>
      <c r="T137" t="s" s="13">
        <v>34</v>
      </c>
      <c r="U137" t="s" s="11">
        <v>34</v>
      </c>
      <c r="V137" t="s" s="13">
        <v>34</v>
      </c>
      <c r="W137" t="s" s="11">
        <v>1199</v>
      </c>
      <c r="X137" s="17">
        <f>HYPERLINK("https://my.pitchbook.com?p=264897-01P", "View People Online")</f>
      </c>
    </row>
    <row r="138">
      <c r="A138" t="s" s="10">
        <v>1200</v>
      </c>
      <c r="B138" t="s" s="10">
        <v>1201</v>
      </c>
      <c r="C138" t="s" s="10">
        <v>34</v>
      </c>
      <c r="D138" t="s" s="10">
        <v>1202</v>
      </c>
      <c r="E138" t="s" s="10">
        <v>1203</v>
      </c>
      <c r="F138" t="s" s="10">
        <v>1204</v>
      </c>
      <c r="G138" t="s" s="10">
        <v>1205</v>
      </c>
      <c r="H138" s="16">
        <f>HYPERLINK("http://www.kafd.jo", "www.kafd.jo")</f>
      </c>
      <c r="I138" t="s" s="10">
        <v>1207</v>
      </c>
      <c r="J138" t="s" s="24">
        <v>34</v>
      </c>
      <c r="K138" s="24">
        <v>1</v>
      </c>
      <c r="L138" t="s" s="24">
        <v>34</v>
      </c>
      <c r="M138" t="s" s="12">
        <v>1208</v>
      </c>
      <c r="N138" t="s" s="10">
        <v>34</v>
      </c>
      <c r="O138" t="s" s="10">
        <v>1209</v>
      </c>
      <c r="P138" t="s" s="10">
        <v>1210</v>
      </c>
      <c r="Q138" t="s" s="10">
        <v>34</v>
      </c>
      <c r="R138" t="s" s="10">
        <v>1211</v>
      </c>
      <c r="S138" t="s" s="10">
        <v>34</v>
      </c>
      <c r="T138" t="s" s="12">
        <v>1212</v>
      </c>
      <c r="U138" t="s" s="10">
        <v>1213</v>
      </c>
      <c r="V138" t="s" s="12">
        <v>1214</v>
      </c>
      <c r="W138" t="s" s="10">
        <v>1215</v>
      </c>
      <c r="X138" s="16">
        <f>HYPERLINK("https://my.pitchbook.com?p=443095-93P", "View People Online")</f>
      </c>
    </row>
    <row r="139">
      <c r="A139" t="s" s="11">
        <v>1216</v>
      </c>
      <c r="B139" t="s" s="11">
        <v>1217</v>
      </c>
      <c r="C139" t="s" s="11">
        <v>34</v>
      </c>
      <c r="D139" t="s" s="11">
        <v>1218</v>
      </c>
      <c r="E139" t="s" s="11">
        <v>1203</v>
      </c>
      <c r="F139" t="s" s="11">
        <v>1219</v>
      </c>
      <c r="G139" t="s" s="11">
        <v>1220</v>
      </c>
      <c r="H139" s="17">
        <f>HYPERLINK("http://www.kafd.jo", "www.kafd.jo")</f>
      </c>
      <c r="I139" t="s" s="11">
        <v>1221</v>
      </c>
      <c r="J139" t="s" s="25">
        <v>34</v>
      </c>
      <c r="K139" t="s" s="25">
        <v>34</v>
      </c>
      <c r="L139" t="s" s="25">
        <v>34</v>
      </c>
      <c r="M139" t="s" s="13">
        <v>34</v>
      </c>
      <c r="N139" t="s" s="11">
        <v>34</v>
      </c>
      <c r="O139" t="s" s="11">
        <v>34</v>
      </c>
      <c r="P139" t="s" s="11">
        <v>34</v>
      </c>
      <c r="Q139" t="s" s="11">
        <v>34</v>
      </c>
      <c r="R139" t="s" s="11">
        <v>34</v>
      </c>
      <c r="S139" t="s" s="11">
        <v>34</v>
      </c>
      <c r="T139" t="s" s="13">
        <v>34</v>
      </c>
      <c r="U139" t="s" s="11">
        <v>34</v>
      </c>
      <c r="V139" t="s" s="13">
        <v>34</v>
      </c>
      <c r="W139" t="s" s="11">
        <v>1222</v>
      </c>
      <c r="X139" s="17">
        <f>HYPERLINK("https://my.pitchbook.com?p=59234-59P", "View People Online")</f>
      </c>
    </row>
    <row r="140">
      <c r="A140" t="s" s="10">
        <v>1223</v>
      </c>
      <c r="B140" t="s" s="10">
        <v>1224</v>
      </c>
      <c r="C140" t="s" s="10">
        <v>34</v>
      </c>
      <c r="D140" t="s" s="10">
        <v>1202</v>
      </c>
      <c r="E140" t="s" s="10">
        <v>1203</v>
      </c>
      <c r="F140" t="s" s="10">
        <v>1225</v>
      </c>
      <c r="G140" t="s" s="10">
        <v>1226</v>
      </c>
      <c r="H140" s="16">
        <f>HYPERLINK("http://www.kafd.jo", "www.kafd.jo")</f>
      </c>
      <c r="I140" t="s" s="10">
        <v>1207</v>
      </c>
      <c r="J140" t="s" s="24">
        <v>34</v>
      </c>
      <c r="K140" s="24">
        <v>1</v>
      </c>
      <c r="L140" t="s" s="24">
        <v>34</v>
      </c>
      <c r="M140" t="s" s="12">
        <v>1208</v>
      </c>
      <c r="N140" t="s" s="10">
        <v>34</v>
      </c>
      <c r="O140" t="s" s="10">
        <v>1209</v>
      </c>
      <c r="P140" t="s" s="10">
        <v>1210</v>
      </c>
      <c r="Q140" t="s" s="10">
        <v>34</v>
      </c>
      <c r="R140" t="s" s="10">
        <v>1211</v>
      </c>
      <c r="S140" t="s" s="10">
        <v>34</v>
      </c>
      <c r="T140" t="s" s="12">
        <v>1212</v>
      </c>
      <c r="U140" t="s" s="10">
        <v>1213</v>
      </c>
      <c r="V140" t="s" s="12">
        <v>1214</v>
      </c>
      <c r="W140" t="s" s="10">
        <v>1227</v>
      </c>
      <c r="X140" s="16">
        <f>HYPERLINK("https://my.pitchbook.com?p=443095-84P", "View People Online")</f>
      </c>
    </row>
    <row r="141">
      <c r="A141" t="s" s="11">
        <v>1228</v>
      </c>
      <c r="B141" t="s" s="11">
        <v>1229</v>
      </c>
      <c r="C141" t="s" s="11">
        <v>34</v>
      </c>
      <c r="D141" t="s" s="11">
        <v>1218</v>
      </c>
      <c r="E141" t="s" s="11">
        <v>1203</v>
      </c>
      <c r="F141" t="s" s="11">
        <v>1230</v>
      </c>
      <c r="G141" t="s" s="11">
        <v>484</v>
      </c>
      <c r="H141" s="17">
        <f>HYPERLINK("http://www.kafd.jo", "www.kafd.jo")</f>
      </c>
      <c r="I141" t="s" s="11">
        <v>1207</v>
      </c>
      <c r="J141" t="s" s="25">
        <v>34</v>
      </c>
      <c r="K141" t="s" s="25">
        <v>34</v>
      </c>
      <c r="L141" t="s" s="25">
        <v>34</v>
      </c>
      <c r="M141" t="s" s="13">
        <v>34</v>
      </c>
      <c r="N141" t="s" s="11">
        <v>34</v>
      </c>
      <c r="O141" t="s" s="11">
        <v>34</v>
      </c>
      <c r="P141" t="s" s="11">
        <v>34</v>
      </c>
      <c r="Q141" t="s" s="11">
        <v>34</v>
      </c>
      <c r="R141" t="s" s="11">
        <v>34</v>
      </c>
      <c r="S141" t="s" s="11">
        <v>34</v>
      </c>
      <c r="T141" t="s" s="13">
        <v>34</v>
      </c>
      <c r="U141" t="s" s="11">
        <v>34</v>
      </c>
      <c r="V141" t="s" s="13">
        <v>34</v>
      </c>
      <c r="W141" t="s" s="11">
        <v>1231</v>
      </c>
      <c r="X141" s="17">
        <f>HYPERLINK("https://my.pitchbook.com?p=343522-81P", "View People Online")</f>
      </c>
    </row>
    <row r="142">
      <c r="A142" t="s" s="10">
        <v>1232</v>
      </c>
      <c r="B142" t="s" s="10">
        <v>1233</v>
      </c>
      <c r="C142" t="s" s="10">
        <v>34</v>
      </c>
      <c r="D142" t="s" s="10">
        <v>1218</v>
      </c>
      <c r="E142" t="s" s="10">
        <v>1203</v>
      </c>
      <c r="F142" t="s" s="10">
        <v>1234</v>
      </c>
      <c r="G142" t="s" s="10">
        <v>1235</v>
      </c>
      <c r="H142" s="16">
        <f>HYPERLINK("http://www.kafd.jo", "www.kafd.jo")</f>
      </c>
      <c r="I142" t="s" s="10">
        <v>1207</v>
      </c>
      <c r="J142" t="s" s="24">
        <v>34</v>
      </c>
      <c r="K142" t="s" s="24">
        <v>34</v>
      </c>
      <c r="L142" t="s" s="24">
        <v>34</v>
      </c>
      <c r="M142" t="s" s="12">
        <v>34</v>
      </c>
      <c r="N142" t="s" s="10">
        <v>34</v>
      </c>
      <c r="O142" t="s" s="10">
        <v>34</v>
      </c>
      <c r="P142" t="s" s="10">
        <v>34</v>
      </c>
      <c r="Q142" t="s" s="10">
        <v>34</v>
      </c>
      <c r="R142" t="s" s="10">
        <v>34</v>
      </c>
      <c r="S142" t="s" s="10">
        <v>34</v>
      </c>
      <c r="T142" t="s" s="12">
        <v>34</v>
      </c>
      <c r="U142" t="s" s="10">
        <v>34</v>
      </c>
      <c r="V142" t="s" s="12">
        <v>34</v>
      </c>
      <c r="W142" t="s" s="10">
        <v>1236</v>
      </c>
      <c r="X142" s="16">
        <f>HYPERLINK("https://my.pitchbook.com?p=343522-72P", "View People Online")</f>
      </c>
    </row>
    <row r="143">
      <c r="A143" t="s" s="11">
        <v>1237</v>
      </c>
      <c r="B143" t="s" s="11">
        <v>1238</v>
      </c>
      <c r="C143" t="s" s="11">
        <v>34</v>
      </c>
      <c r="D143" t="s" s="11">
        <v>1202</v>
      </c>
      <c r="E143" t="s" s="11">
        <v>1203</v>
      </c>
      <c r="F143" t="s" s="11">
        <v>1239</v>
      </c>
      <c r="G143" t="s" s="11">
        <v>1240</v>
      </c>
      <c r="H143" s="17">
        <f>HYPERLINK("http://www.kafd.jo", "www.kafd.jo")</f>
      </c>
      <c r="I143" t="s" s="11">
        <v>1241</v>
      </c>
      <c r="J143" s="25">
        <v>1</v>
      </c>
      <c r="K143" s="25">
        <v>1</v>
      </c>
      <c r="L143" t="s" s="25">
        <v>34</v>
      </c>
      <c r="M143" t="s" s="13">
        <v>1208</v>
      </c>
      <c r="N143" t="s" s="11">
        <v>34</v>
      </c>
      <c r="O143" t="s" s="11">
        <v>1209</v>
      </c>
      <c r="P143" t="s" s="11">
        <v>1210</v>
      </c>
      <c r="Q143" t="s" s="11">
        <v>34</v>
      </c>
      <c r="R143" t="s" s="11">
        <v>1211</v>
      </c>
      <c r="S143" t="s" s="11">
        <v>34</v>
      </c>
      <c r="T143" t="s" s="13">
        <v>1212</v>
      </c>
      <c r="U143" t="s" s="11">
        <v>1213</v>
      </c>
      <c r="V143" t="s" s="13">
        <v>1214</v>
      </c>
      <c r="W143" t="s" s="11">
        <v>1242</v>
      </c>
      <c r="X143" s="17">
        <f>HYPERLINK("https://my.pitchbook.com?p=443095-57P", "View People Online")</f>
      </c>
    </row>
    <row r="144">
      <c r="A144" t="s" s="10">
        <v>1243</v>
      </c>
      <c r="B144" t="s" s="10">
        <v>1244</v>
      </c>
      <c r="C144" t="s" s="10">
        <v>34</v>
      </c>
      <c r="D144" t="s" s="10">
        <v>1218</v>
      </c>
      <c r="E144" t="s" s="10">
        <v>1203</v>
      </c>
      <c r="F144" t="s" s="10">
        <v>1245</v>
      </c>
      <c r="G144" t="s" s="10">
        <v>1246</v>
      </c>
      <c r="H144" s="16">
        <f>HYPERLINK("http://www.kafd.jo", "www.kafd.jo")</f>
      </c>
      <c r="I144" t="s" s="10">
        <v>1073</v>
      </c>
      <c r="J144" t="s" s="24">
        <v>34</v>
      </c>
      <c r="K144" t="s" s="24">
        <v>34</v>
      </c>
      <c r="L144" t="s" s="24">
        <v>34</v>
      </c>
      <c r="M144" t="s" s="12">
        <v>34</v>
      </c>
      <c r="N144" t="s" s="10">
        <v>34</v>
      </c>
      <c r="O144" t="s" s="10">
        <v>34</v>
      </c>
      <c r="P144" t="s" s="10">
        <v>34</v>
      </c>
      <c r="Q144" t="s" s="10">
        <v>34</v>
      </c>
      <c r="R144" t="s" s="10">
        <v>34</v>
      </c>
      <c r="S144" t="s" s="10">
        <v>34</v>
      </c>
      <c r="T144" t="s" s="12">
        <v>34</v>
      </c>
      <c r="U144" t="s" s="10">
        <v>34</v>
      </c>
      <c r="V144" t="s" s="12">
        <v>34</v>
      </c>
      <c r="W144" t="s" s="10">
        <v>1247</v>
      </c>
      <c r="X144" s="16">
        <f>HYPERLINK("https://my.pitchbook.com?p=153262-81P", "View People Online")</f>
      </c>
    </row>
    <row r="145">
      <c r="A145" t="s" s="11">
        <v>1248</v>
      </c>
      <c r="B145" t="s" s="11">
        <v>1249</v>
      </c>
      <c r="C145" t="s" s="11">
        <v>34</v>
      </c>
      <c r="D145" t="s" s="11">
        <v>1202</v>
      </c>
      <c r="E145" t="s" s="11">
        <v>1203</v>
      </c>
      <c r="F145" t="s" s="11">
        <v>1250</v>
      </c>
      <c r="G145" t="s" s="11">
        <v>1251</v>
      </c>
      <c r="H145" s="17">
        <f>HYPERLINK("http://www.kafd.jo", "www.kafd.jo")</f>
      </c>
      <c r="I145" t="s" s="11">
        <v>1207</v>
      </c>
      <c r="J145" t="s" s="25">
        <v>34</v>
      </c>
      <c r="K145" s="25">
        <v>1</v>
      </c>
      <c r="L145" t="s" s="25">
        <v>34</v>
      </c>
      <c r="M145" t="s" s="13">
        <v>1208</v>
      </c>
      <c r="N145" t="s" s="11">
        <v>34</v>
      </c>
      <c r="O145" t="s" s="11">
        <v>1209</v>
      </c>
      <c r="P145" t="s" s="11">
        <v>1210</v>
      </c>
      <c r="Q145" t="s" s="11">
        <v>34</v>
      </c>
      <c r="R145" t="s" s="11">
        <v>1211</v>
      </c>
      <c r="S145" t="s" s="11">
        <v>34</v>
      </c>
      <c r="T145" t="s" s="13">
        <v>1212</v>
      </c>
      <c r="U145" t="s" s="11">
        <v>1213</v>
      </c>
      <c r="V145" t="s" s="13">
        <v>1214</v>
      </c>
      <c r="W145" t="s" s="11">
        <v>1252</v>
      </c>
      <c r="X145" s="17">
        <f>HYPERLINK("https://my.pitchbook.com?p=443096-11P", "View People Online")</f>
      </c>
    </row>
    <row r="146">
      <c r="A146" t="s" s="10">
        <v>1253</v>
      </c>
      <c r="B146" t="s" s="10">
        <v>1254</v>
      </c>
      <c r="C146" t="s" s="10">
        <v>34</v>
      </c>
      <c r="D146" t="s" s="10">
        <v>1255</v>
      </c>
      <c r="E146" t="s" s="10">
        <v>1203</v>
      </c>
      <c r="F146" t="s" s="10">
        <v>1256</v>
      </c>
      <c r="G146" t="s" s="10">
        <v>729</v>
      </c>
      <c r="H146" s="16">
        <f>HYPERLINK("http://www.invest.qa", "www.invest.qa")</f>
      </c>
      <c r="I146" t="s" s="10">
        <v>1258</v>
      </c>
      <c r="J146" t="s" s="24">
        <v>34</v>
      </c>
      <c r="K146" s="24">
        <v>1</v>
      </c>
      <c r="L146" t="s" s="24">
        <v>34</v>
      </c>
      <c r="M146" t="s" s="12">
        <v>1259</v>
      </c>
      <c r="N146" t="s" s="10">
        <v>34</v>
      </c>
      <c r="O146" t="s" s="10">
        <v>59</v>
      </c>
      <c r="P146" t="s" s="10">
        <v>1260</v>
      </c>
      <c r="Q146" t="s" s="10">
        <v>1261</v>
      </c>
      <c r="R146" t="s" s="10">
        <v>62</v>
      </c>
      <c r="S146" t="s" s="10">
        <v>34</v>
      </c>
      <c r="T146" t="s" s="12">
        <v>34</v>
      </c>
      <c r="U146" t="s" s="10">
        <v>64</v>
      </c>
      <c r="V146" t="s" s="12">
        <v>1262</v>
      </c>
      <c r="W146" t="s" s="10">
        <v>1263</v>
      </c>
      <c r="X146" s="16">
        <f>HYPERLINK("https://my.pitchbook.com?p=327229-57P", "View People Online")</f>
      </c>
    </row>
    <row r="147">
      <c r="A147" t="s" s="11">
        <v>1264</v>
      </c>
      <c r="B147" t="s" s="11">
        <v>1265</v>
      </c>
      <c r="C147" t="s" s="11">
        <v>34</v>
      </c>
      <c r="D147" t="s" s="11">
        <v>1218</v>
      </c>
      <c r="E147" t="s" s="11">
        <v>1203</v>
      </c>
      <c r="F147" t="s" s="11">
        <v>1266</v>
      </c>
      <c r="G147" t="s" s="11">
        <v>1267</v>
      </c>
      <c r="H147" s="17">
        <f>HYPERLINK("http://www.kafd.jo", "www.kafd.jo")</f>
      </c>
      <c r="I147" t="s" s="11">
        <v>1268</v>
      </c>
      <c r="J147" t="s" s="25">
        <v>34</v>
      </c>
      <c r="K147" t="s" s="25">
        <v>34</v>
      </c>
      <c r="L147" t="s" s="25">
        <v>34</v>
      </c>
      <c r="M147" t="s" s="13">
        <v>34</v>
      </c>
      <c r="N147" t="s" s="11">
        <v>34</v>
      </c>
      <c r="O147" t="s" s="11">
        <v>34</v>
      </c>
      <c r="P147" t="s" s="11">
        <v>34</v>
      </c>
      <c r="Q147" t="s" s="11">
        <v>34</v>
      </c>
      <c r="R147" t="s" s="11">
        <v>34</v>
      </c>
      <c r="S147" t="s" s="11">
        <v>34</v>
      </c>
      <c r="T147" t="s" s="13">
        <v>34</v>
      </c>
      <c r="U147" t="s" s="11">
        <v>34</v>
      </c>
      <c r="V147" t="s" s="13">
        <v>34</v>
      </c>
      <c r="W147" t="s" s="11">
        <v>1269</v>
      </c>
      <c r="X147" s="17">
        <f>HYPERLINK("https://my.pitchbook.com?p=119916-46P", "View People Online")</f>
      </c>
    </row>
    <row r="148">
      <c r="A148" t="s" s="10">
        <v>1270</v>
      </c>
      <c r="B148" t="s" s="10">
        <v>1271</v>
      </c>
      <c r="C148" t="s" s="10">
        <v>34</v>
      </c>
      <c r="D148" t="s" s="10">
        <v>1218</v>
      </c>
      <c r="E148" t="s" s="10">
        <v>1203</v>
      </c>
      <c r="F148" t="s" s="10">
        <v>1272</v>
      </c>
      <c r="G148" t="s" s="10">
        <v>1273</v>
      </c>
      <c r="H148" s="16">
        <f>HYPERLINK("http://www.kafd.jo", "www.kafd.jo")</f>
      </c>
      <c r="I148" t="s" s="10">
        <v>1207</v>
      </c>
      <c r="J148" t="s" s="24">
        <v>34</v>
      </c>
      <c r="K148" t="s" s="24">
        <v>34</v>
      </c>
      <c r="L148" t="s" s="24">
        <v>34</v>
      </c>
      <c r="M148" t="s" s="12">
        <v>34</v>
      </c>
      <c r="N148" t="s" s="10">
        <v>34</v>
      </c>
      <c r="O148" t="s" s="10">
        <v>34</v>
      </c>
      <c r="P148" t="s" s="10">
        <v>34</v>
      </c>
      <c r="Q148" t="s" s="10">
        <v>34</v>
      </c>
      <c r="R148" t="s" s="10">
        <v>34</v>
      </c>
      <c r="S148" t="s" s="10">
        <v>34</v>
      </c>
      <c r="T148" t="s" s="12">
        <v>34</v>
      </c>
      <c r="U148" t="s" s="10">
        <v>34</v>
      </c>
      <c r="V148" t="s" s="12">
        <v>34</v>
      </c>
      <c r="W148" t="s" s="10">
        <v>1274</v>
      </c>
      <c r="X148" s="16">
        <f>HYPERLINK("https://my.pitchbook.com?p=343522-54P", "View People Online")</f>
      </c>
    </row>
    <row r="149">
      <c r="A149" t="s" s="11">
        <v>1275</v>
      </c>
      <c r="B149" t="s" s="11">
        <v>1276</v>
      </c>
      <c r="C149" t="s" s="11">
        <v>34</v>
      </c>
      <c r="D149" t="s" s="11">
        <v>1202</v>
      </c>
      <c r="E149" t="s" s="11">
        <v>1203</v>
      </c>
      <c r="F149" t="s" s="11">
        <v>1277</v>
      </c>
      <c r="G149" t="s" s="11">
        <v>1278</v>
      </c>
      <c r="H149" s="17">
        <f>HYPERLINK("http://www.kafd.jo", "www.kafd.jo")</f>
      </c>
      <c r="I149" t="s" s="11">
        <v>1207</v>
      </c>
      <c r="J149" t="s" s="25">
        <v>34</v>
      </c>
      <c r="K149" s="25">
        <v>1</v>
      </c>
      <c r="L149" t="s" s="25">
        <v>34</v>
      </c>
      <c r="M149" t="s" s="13">
        <v>1208</v>
      </c>
      <c r="N149" t="s" s="11">
        <v>34</v>
      </c>
      <c r="O149" t="s" s="11">
        <v>1209</v>
      </c>
      <c r="P149" t="s" s="11">
        <v>1210</v>
      </c>
      <c r="Q149" t="s" s="11">
        <v>34</v>
      </c>
      <c r="R149" t="s" s="11">
        <v>1211</v>
      </c>
      <c r="S149" t="s" s="11">
        <v>34</v>
      </c>
      <c r="T149" t="s" s="13">
        <v>1212</v>
      </c>
      <c r="U149" t="s" s="11">
        <v>1213</v>
      </c>
      <c r="V149" t="s" s="13">
        <v>1214</v>
      </c>
      <c r="W149" t="s" s="11">
        <v>1279</v>
      </c>
      <c r="X149" s="17">
        <f>HYPERLINK("https://my.pitchbook.com?p=443096-02P", "View People Online")</f>
      </c>
    </row>
    <row r="150">
      <c r="A150" t="s" s="10">
        <v>1280</v>
      </c>
      <c r="B150" t="s" s="10">
        <v>1281</v>
      </c>
      <c r="C150" t="s" s="10">
        <v>34</v>
      </c>
      <c r="D150" t="s" s="10">
        <v>1218</v>
      </c>
      <c r="E150" t="s" s="10">
        <v>1203</v>
      </c>
      <c r="F150" t="s" s="10">
        <v>1282</v>
      </c>
      <c r="G150" t="s" s="10">
        <v>1283</v>
      </c>
      <c r="H150" s="16">
        <f>HYPERLINK("http://www.kafd.jo", "www.kafd.jo")</f>
      </c>
      <c r="I150" t="s" s="10">
        <v>1241</v>
      </c>
      <c r="J150" t="s" s="24">
        <v>34</v>
      </c>
      <c r="K150" t="s" s="24">
        <v>34</v>
      </c>
      <c r="L150" t="s" s="24">
        <v>34</v>
      </c>
      <c r="M150" t="s" s="12">
        <v>34</v>
      </c>
      <c r="N150" t="s" s="10">
        <v>34</v>
      </c>
      <c r="O150" t="s" s="10">
        <v>34</v>
      </c>
      <c r="P150" t="s" s="10">
        <v>34</v>
      </c>
      <c r="Q150" t="s" s="10">
        <v>34</v>
      </c>
      <c r="R150" t="s" s="10">
        <v>34</v>
      </c>
      <c r="S150" t="s" s="10">
        <v>34</v>
      </c>
      <c r="T150" t="s" s="12">
        <v>34</v>
      </c>
      <c r="U150" t="s" s="10">
        <v>34</v>
      </c>
      <c r="V150" t="s" s="12">
        <v>34</v>
      </c>
      <c r="W150" t="s" s="10">
        <v>1284</v>
      </c>
      <c r="X150" s="16">
        <f>HYPERLINK("https://my.pitchbook.com?p=286908-49P", "View People Online")</f>
      </c>
    </row>
    <row r="151">
      <c r="A151" t="s" s="11">
        <v>1285</v>
      </c>
      <c r="B151" t="s" s="11">
        <v>1286</v>
      </c>
      <c r="C151" t="s" s="11">
        <v>34</v>
      </c>
      <c r="D151" t="s" s="11">
        <v>1218</v>
      </c>
      <c r="E151" t="s" s="11">
        <v>1203</v>
      </c>
      <c r="F151" t="s" s="11">
        <v>1287</v>
      </c>
      <c r="G151" t="s" s="11">
        <v>1288</v>
      </c>
      <c r="H151" s="17">
        <f>HYPERLINK("http://www.kafd.jo", "www.kafd.jo")</f>
      </c>
      <c r="I151" t="s" s="11">
        <v>1207</v>
      </c>
      <c r="J151" t="s" s="25">
        <v>34</v>
      </c>
      <c r="K151" t="s" s="25">
        <v>34</v>
      </c>
      <c r="L151" t="s" s="25">
        <v>34</v>
      </c>
      <c r="M151" t="s" s="13">
        <v>34</v>
      </c>
      <c r="N151" t="s" s="11">
        <v>34</v>
      </c>
      <c r="O151" t="s" s="11">
        <v>34</v>
      </c>
      <c r="P151" t="s" s="11">
        <v>34</v>
      </c>
      <c r="Q151" t="s" s="11">
        <v>34</v>
      </c>
      <c r="R151" t="s" s="11">
        <v>34</v>
      </c>
      <c r="S151" t="s" s="11">
        <v>34</v>
      </c>
      <c r="T151" t="s" s="13">
        <v>34</v>
      </c>
      <c r="U151" t="s" s="11">
        <v>34</v>
      </c>
      <c r="V151" t="s" s="13">
        <v>34</v>
      </c>
      <c r="W151" t="s" s="11">
        <v>1289</v>
      </c>
      <c r="X151" s="17">
        <f>HYPERLINK("https://my.pitchbook.com?p=394615-45P", "View People Online")</f>
      </c>
    </row>
    <row r="152">
      <c r="A152" t="s" s="10">
        <v>1290</v>
      </c>
      <c r="B152" t="s" s="10">
        <v>1291</v>
      </c>
      <c r="C152" t="s" s="10">
        <v>34</v>
      </c>
      <c r="D152" t="s" s="10">
        <v>1292</v>
      </c>
      <c r="E152" t="s" s="10">
        <v>1203</v>
      </c>
      <c r="F152" t="s" s="10">
        <v>1293</v>
      </c>
      <c r="G152" t="s" s="10">
        <v>1294</v>
      </c>
      <c r="H152" s="16">
        <f>HYPERLINK("http://dced.pa.gov", "dced.pa.gov")</f>
      </c>
      <c r="I152" t="s" s="10">
        <v>1296</v>
      </c>
      <c r="J152" s="24">
        <v>1</v>
      </c>
      <c r="K152" s="24">
        <v>2</v>
      </c>
      <c r="L152" t="s" s="24">
        <v>34</v>
      </c>
      <c r="M152" t="s" s="12">
        <v>1297</v>
      </c>
      <c r="N152" t="s" s="10">
        <v>1298</v>
      </c>
      <c r="O152" t="s" s="10">
        <v>1299</v>
      </c>
      <c r="P152" t="s" s="10">
        <v>1300</v>
      </c>
      <c r="Q152" t="s" s="10">
        <v>1301</v>
      </c>
      <c r="R152" t="s" s="10">
        <v>1302</v>
      </c>
      <c r="S152" t="s" s="10">
        <v>1303</v>
      </c>
      <c r="T152" t="s" s="12">
        <v>1304</v>
      </c>
      <c r="U152" t="s" s="10">
        <v>88</v>
      </c>
      <c r="V152" t="s" s="12">
        <v>34</v>
      </c>
      <c r="W152" t="s" s="10">
        <v>1305</v>
      </c>
      <c r="X152" s="16">
        <f>HYPERLINK("https://my.pitchbook.com?p=394213-42P", "View People Online")</f>
      </c>
    </row>
    <row r="153">
      <c r="A153" t="s" s="11">
        <v>1306</v>
      </c>
      <c r="B153" t="s" s="11">
        <v>1307</v>
      </c>
      <c r="C153" t="s" s="11">
        <v>34</v>
      </c>
      <c r="D153" t="s" s="11">
        <v>1308</v>
      </c>
      <c r="E153" t="s" s="11">
        <v>1309</v>
      </c>
      <c r="F153" t="s" s="11">
        <v>1310</v>
      </c>
      <c r="G153" t="s" s="11">
        <v>1311</v>
      </c>
      <c r="H153" t="s" s="11">
        <v>34</v>
      </c>
      <c r="I153" t="s" s="11">
        <v>1312</v>
      </c>
      <c r="J153" t="s" s="25">
        <v>34</v>
      </c>
      <c r="K153" s="25">
        <v>1</v>
      </c>
      <c r="L153" t="s" s="25">
        <v>34</v>
      </c>
      <c r="M153" t="s" s="13">
        <v>34</v>
      </c>
      <c r="N153" t="s" s="11">
        <v>34</v>
      </c>
      <c r="O153" t="s" s="11">
        <v>1313</v>
      </c>
      <c r="P153" t="s" s="11">
        <v>1314</v>
      </c>
      <c r="Q153" t="s" s="11">
        <v>34</v>
      </c>
      <c r="R153" t="s" s="11">
        <v>1315</v>
      </c>
      <c r="S153" t="s" s="11">
        <v>47</v>
      </c>
      <c r="T153" t="s" s="13">
        <v>1316</v>
      </c>
      <c r="U153" t="s" s="11">
        <v>49</v>
      </c>
      <c r="V153" t="s" s="13">
        <v>34</v>
      </c>
      <c r="W153" t="s" s="11">
        <v>1317</v>
      </c>
      <c r="X153" s="17">
        <f>HYPERLINK("https://my.pitchbook.com?p=94445-83P", "View People Online")</f>
      </c>
    </row>
    <row r="154">
      <c r="A154" t="s" s="10">
        <v>1318</v>
      </c>
      <c r="B154" t="s" s="10">
        <v>1319</v>
      </c>
      <c r="C154" t="s" s="10">
        <v>34</v>
      </c>
      <c r="D154" t="s" s="10">
        <v>1320</v>
      </c>
      <c r="E154" t="s" s="10">
        <v>1309</v>
      </c>
      <c r="F154" t="s" s="10">
        <v>1321</v>
      </c>
      <c r="G154" t="s" s="10">
        <v>1322</v>
      </c>
      <c r="H154" s="16">
        <f>HYPERLINK("http://www.qf.org.qa", "www.qf.org.qa")</f>
      </c>
      <c r="I154" t="s" s="10">
        <v>234</v>
      </c>
      <c r="J154" t="s" s="24">
        <v>34</v>
      </c>
      <c r="K154" t="s" s="24">
        <v>34</v>
      </c>
      <c r="L154" t="s" s="24">
        <v>34</v>
      </c>
      <c r="M154" t="s" s="12">
        <v>1324</v>
      </c>
      <c r="N154" t="s" s="10">
        <v>1325</v>
      </c>
      <c r="O154" t="s" s="10">
        <v>34</v>
      </c>
      <c r="P154" t="s" s="10">
        <v>34</v>
      </c>
      <c r="Q154" t="s" s="10">
        <v>34</v>
      </c>
      <c r="R154" t="s" s="10">
        <v>34</v>
      </c>
      <c r="S154" t="s" s="10">
        <v>34</v>
      </c>
      <c r="T154" t="s" s="12">
        <v>34</v>
      </c>
      <c r="U154" t="s" s="10">
        <v>34</v>
      </c>
      <c r="V154" t="s" s="12">
        <v>34</v>
      </c>
      <c r="W154" t="s" s="10">
        <v>1326</v>
      </c>
      <c r="X154" s="16">
        <f>HYPERLINK("https://my.pitchbook.com?p=64589-41P", "View People Online")</f>
      </c>
    </row>
    <row r="155">
      <c r="A155" t="s" s="11">
        <v>1327</v>
      </c>
      <c r="B155" t="s" s="11">
        <v>1328</v>
      </c>
      <c r="C155" t="s" s="11">
        <v>34</v>
      </c>
      <c r="D155" t="s" s="11">
        <v>1329</v>
      </c>
      <c r="E155" t="s" s="11">
        <v>1309</v>
      </c>
      <c r="F155" t="s" s="11">
        <v>1330</v>
      </c>
      <c r="G155" t="s" s="11">
        <v>1331</v>
      </c>
      <c r="H155" s="17">
        <f>HYPERLINK("http://www.qf.org.qa", "www.qf.org.qa")</f>
      </c>
      <c r="I155" t="s" s="11">
        <v>1332</v>
      </c>
      <c r="J155" t="s" s="25">
        <v>34</v>
      </c>
      <c r="K155" s="25">
        <v>1</v>
      </c>
      <c r="L155" t="s" s="25">
        <v>34</v>
      </c>
      <c r="M155" t="s" s="13">
        <v>1333</v>
      </c>
      <c r="N155" t="s" s="11">
        <v>34</v>
      </c>
      <c r="O155" t="s" s="11">
        <v>1334</v>
      </c>
      <c r="P155" t="s" s="11">
        <v>34</v>
      </c>
      <c r="Q155" t="s" s="11">
        <v>34</v>
      </c>
      <c r="R155" t="s" s="11">
        <v>1335</v>
      </c>
      <c r="S155" t="s" s="11">
        <v>34</v>
      </c>
      <c r="T155" t="s" s="13">
        <v>63</v>
      </c>
      <c r="U155" t="s" s="11">
        <v>64</v>
      </c>
      <c r="V155" t="s" s="13">
        <v>1336</v>
      </c>
      <c r="W155" t="s" s="11">
        <v>1337</v>
      </c>
      <c r="X155" s="17">
        <f>HYPERLINK("https://my.pitchbook.com?p=64590-04P", "View People Online")</f>
      </c>
    </row>
    <row r="156">
      <c r="A156" t="s" s="10">
        <v>1338</v>
      </c>
      <c r="B156" t="s" s="10">
        <v>1339</v>
      </c>
      <c r="C156" t="s" s="10">
        <v>34</v>
      </c>
      <c r="D156" t="s" s="10">
        <v>1329</v>
      </c>
      <c r="E156" t="s" s="10">
        <v>1309</v>
      </c>
      <c r="F156" t="s" s="10">
        <v>1340</v>
      </c>
      <c r="G156" t="s" s="10">
        <v>1341</v>
      </c>
      <c r="H156" s="16">
        <f>HYPERLINK("http://www.qf.org.qa", "www.qf.org.qa")</f>
      </c>
      <c r="I156" t="s" s="10">
        <v>649</v>
      </c>
      <c r="J156" s="24">
        <v>1</v>
      </c>
      <c r="K156" s="24">
        <v>1</v>
      </c>
      <c r="L156" t="s" s="24">
        <v>34</v>
      </c>
      <c r="M156" t="s" s="12">
        <v>1333</v>
      </c>
      <c r="N156" t="s" s="10">
        <v>34</v>
      </c>
      <c r="O156" t="s" s="10">
        <v>1334</v>
      </c>
      <c r="P156" t="s" s="10">
        <v>34</v>
      </c>
      <c r="Q156" t="s" s="10">
        <v>34</v>
      </c>
      <c r="R156" t="s" s="10">
        <v>1335</v>
      </c>
      <c r="S156" t="s" s="10">
        <v>34</v>
      </c>
      <c r="T156" t="s" s="12">
        <v>63</v>
      </c>
      <c r="U156" t="s" s="10">
        <v>64</v>
      </c>
      <c r="V156" t="s" s="12">
        <v>1336</v>
      </c>
      <c r="W156" t="s" s="10">
        <v>1342</v>
      </c>
      <c r="X156" s="16">
        <f>HYPERLINK("https://my.pitchbook.com?p=417739-87P", "View People Online")</f>
      </c>
    </row>
    <row r="157">
      <c r="A157" t="s" s="11">
        <v>1343</v>
      </c>
      <c r="B157" t="s" s="11">
        <v>1344</v>
      </c>
      <c r="C157" t="s" s="11">
        <v>34</v>
      </c>
      <c r="D157" t="s" s="11">
        <v>1329</v>
      </c>
      <c r="E157" t="s" s="11">
        <v>1309</v>
      </c>
      <c r="F157" t="s" s="11">
        <v>568</v>
      </c>
      <c r="G157" t="s" s="11">
        <v>1345</v>
      </c>
      <c r="H157" s="17">
        <f>HYPERLINK("http://www.qf.org.qa", "www.qf.org.qa")</f>
      </c>
      <c r="I157" t="s" s="11">
        <v>1346</v>
      </c>
      <c r="J157" t="s" s="25">
        <v>34</v>
      </c>
      <c r="K157" s="25">
        <v>1</v>
      </c>
      <c r="L157" t="s" s="25">
        <v>34</v>
      </c>
      <c r="M157" t="s" s="13">
        <v>1333</v>
      </c>
      <c r="N157" t="s" s="11">
        <v>34</v>
      </c>
      <c r="O157" t="s" s="11">
        <v>1334</v>
      </c>
      <c r="P157" t="s" s="11">
        <v>34</v>
      </c>
      <c r="Q157" t="s" s="11">
        <v>34</v>
      </c>
      <c r="R157" t="s" s="11">
        <v>1335</v>
      </c>
      <c r="S157" t="s" s="11">
        <v>34</v>
      </c>
      <c r="T157" t="s" s="13">
        <v>63</v>
      </c>
      <c r="U157" t="s" s="11">
        <v>64</v>
      </c>
      <c r="V157" t="s" s="13">
        <v>1336</v>
      </c>
      <c r="W157" t="s" s="11">
        <v>1347</v>
      </c>
      <c r="X157" s="17">
        <f>HYPERLINK("https://my.pitchbook.com?p=204724-81P", "View People Online")</f>
      </c>
    </row>
    <row r="158">
      <c r="A158" t="s" s="10">
        <v>1348</v>
      </c>
      <c r="B158" t="s" s="10">
        <v>1349</v>
      </c>
      <c r="C158" t="s" s="10">
        <v>34</v>
      </c>
      <c r="D158" t="s" s="10">
        <v>1329</v>
      </c>
      <c r="E158" t="s" s="10">
        <v>1309</v>
      </c>
      <c r="F158" t="s" s="10">
        <v>1350</v>
      </c>
      <c r="G158" t="s" s="10">
        <v>1351</v>
      </c>
      <c r="H158" s="16">
        <f>HYPERLINK("http://www.qf.org.qa", "www.qf.org.qa")</f>
      </c>
      <c r="I158" t="s" s="10">
        <v>622</v>
      </c>
      <c r="J158" t="s" s="24">
        <v>34</v>
      </c>
      <c r="K158" s="24">
        <v>1</v>
      </c>
      <c r="L158" t="s" s="24">
        <v>34</v>
      </c>
      <c r="M158" t="s" s="12">
        <v>1333</v>
      </c>
      <c r="N158" t="s" s="10">
        <v>1352</v>
      </c>
      <c r="O158" t="s" s="10">
        <v>1334</v>
      </c>
      <c r="P158" t="s" s="10">
        <v>34</v>
      </c>
      <c r="Q158" t="s" s="10">
        <v>34</v>
      </c>
      <c r="R158" t="s" s="10">
        <v>1335</v>
      </c>
      <c r="S158" t="s" s="10">
        <v>34</v>
      </c>
      <c r="T158" t="s" s="12">
        <v>63</v>
      </c>
      <c r="U158" t="s" s="10">
        <v>64</v>
      </c>
      <c r="V158" t="s" s="12">
        <v>1336</v>
      </c>
      <c r="W158" t="s" s="10">
        <v>1353</v>
      </c>
      <c r="X158" s="16">
        <f>HYPERLINK("https://my.pitchbook.com?p=397689-94P", "View People Online")</f>
      </c>
    </row>
    <row r="159">
      <c r="A159" t="s" s="11">
        <v>1354</v>
      </c>
      <c r="B159" t="s" s="11">
        <v>1355</v>
      </c>
      <c r="C159" t="s" s="11">
        <v>34</v>
      </c>
      <c r="D159" t="s" s="11">
        <v>1329</v>
      </c>
      <c r="E159" t="s" s="11">
        <v>1309</v>
      </c>
      <c r="F159" t="s" s="11">
        <v>1356</v>
      </c>
      <c r="G159" t="s" s="11">
        <v>1357</v>
      </c>
      <c r="H159" s="17">
        <f>HYPERLINK("http://www.qf.org.qa", "www.qf.org.qa")</f>
      </c>
      <c r="I159" t="s" s="11">
        <v>1358</v>
      </c>
      <c r="J159" t="s" s="25">
        <v>34</v>
      </c>
      <c r="K159" s="25">
        <v>1</v>
      </c>
      <c r="L159" t="s" s="25">
        <v>34</v>
      </c>
      <c r="M159" t="s" s="13">
        <v>1333</v>
      </c>
      <c r="N159" t="s" s="11">
        <v>1359</v>
      </c>
      <c r="O159" t="s" s="11">
        <v>1334</v>
      </c>
      <c r="P159" t="s" s="11">
        <v>34</v>
      </c>
      <c r="Q159" t="s" s="11">
        <v>34</v>
      </c>
      <c r="R159" t="s" s="11">
        <v>1335</v>
      </c>
      <c r="S159" t="s" s="11">
        <v>34</v>
      </c>
      <c r="T159" t="s" s="13">
        <v>63</v>
      </c>
      <c r="U159" t="s" s="11">
        <v>64</v>
      </c>
      <c r="V159" t="s" s="13">
        <v>1336</v>
      </c>
      <c r="W159" t="s" s="11">
        <v>1360</v>
      </c>
      <c r="X159" s="17">
        <f>HYPERLINK("https://my.pitchbook.com?p=417732-76P", "View People Online")</f>
      </c>
    </row>
    <row r="160">
      <c r="A160" t="s" s="10">
        <v>1361</v>
      </c>
      <c r="B160" t="s" s="10">
        <v>1362</v>
      </c>
      <c r="C160" t="s" s="10">
        <v>34</v>
      </c>
      <c r="D160" t="s" s="10">
        <v>1329</v>
      </c>
      <c r="E160" t="s" s="10">
        <v>1309</v>
      </c>
      <c r="F160" t="s" s="10">
        <v>1363</v>
      </c>
      <c r="G160" t="s" s="10">
        <v>1364</v>
      </c>
      <c r="H160" s="16">
        <f>HYPERLINK("http://www.qf.org.qa", "www.qf.org.qa")</f>
      </c>
      <c r="I160" t="s" s="10">
        <v>649</v>
      </c>
      <c r="J160" s="24">
        <v>1</v>
      </c>
      <c r="K160" s="24">
        <v>1</v>
      </c>
      <c r="L160" t="s" s="24">
        <v>34</v>
      </c>
      <c r="M160" t="s" s="12">
        <v>1333</v>
      </c>
      <c r="N160" t="s" s="10">
        <v>34</v>
      </c>
      <c r="O160" t="s" s="10">
        <v>1334</v>
      </c>
      <c r="P160" t="s" s="10">
        <v>34</v>
      </c>
      <c r="Q160" t="s" s="10">
        <v>34</v>
      </c>
      <c r="R160" t="s" s="10">
        <v>1335</v>
      </c>
      <c r="S160" t="s" s="10">
        <v>34</v>
      </c>
      <c r="T160" t="s" s="12">
        <v>63</v>
      </c>
      <c r="U160" t="s" s="10">
        <v>64</v>
      </c>
      <c r="V160" t="s" s="12">
        <v>1336</v>
      </c>
      <c r="W160" t="s" s="10">
        <v>1365</v>
      </c>
      <c r="X160" s="16">
        <f>HYPERLINK("https://my.pitchbook.com?p=57712-15P", "View People Online")</f>
      </c>
    </row>
    <row r="161">
      <c r="A161" t="s" s="11">
        <v>1366</v>
      </c>
      <c r="B161" t="s" s="11">
        <v>1367</v>
      </c>
      <c r="C161" t="s" s="11">
        <v>34</v>
      </c>
      <c r="D161" t="s" s="11">
        <v>1320</v>
      </c>
      <c r="E161" t="s" s="11">
        <v>1309</v>
      </c>
      <c r="F161" t="s" s="11">
        <v>1368</v>
      </c>
      <c r="G161" t="s" s="11">
        <v>1369</v>
      </c>
      <c r="H161" s="17">
        <f>HYPERLINK("http://www.qf.org.qa", "www.qf.org.qa")</f>
      </c>
      <c r="I161" t="s" s="11">
        <v>1370</v>
      </c>
      <c r="J161" t="s" s="25">
        <v>34</v>
      </c>
      <c r="K161" t="s" s="25">
        <v>34</v>
      </c>
      <c r="L161" t="s" s="25">
        <v>34</v>
      </c>
      <c r="M161" t="s" s="13">
        <v>34</v>
      </c>
      <c r="N161" t="s" s="11">
        <v>34</v>
      </c>
      <c r="O161" t="s" s="11">
        <v>34</v>
      </c>
      <c r="P161" t="s" s="11">
        <v>34</v>
      </c>
      <c r="Q161" t="s" s="11">
        <v>34</v>
      </c>
      <c r="R161" t="s" s="11">
        <v>34</v>
      </c>
      <c r="S161" t="s" s="11">
        <v>34</v>
      </c>
      <c r="T161" t="s" s="13">
        <v>34</v>
      </c>
      <c r="U161" t="s" s="11">
        <v>34</v>
      </c>
      <c r="V161" t="s" s="13">
        <v>34</v>
      </c>
      <c r="W161" t="s" s="11">
        <v>1371</v>
      </c>
      <c r="X161" s="17">
        <f>HYPERLINK("https://my.pitchbook.com?p=38677-24P", "View People Online")</f>
      </c>
    </row>
    <row r="162">
      <c r="A162" t="s" s="10">
        <v>1372</v>
      </c>
      <c r="B162" t="s" s="10">
        <v>1373</v>
      </c>
      <c r="C162" t="s" s="10">
        <v>34</v>
      </c>
      <c r="D162" t="s" s="10">
        <v>1320</v>
      </c>
      <c r="E162" t="s" s="10">
        <v>1309</v>
      </c>
      <c r="F162" t="s" s="10">
        <v>1374</v>
      </c>
      <c r="G162" t="s" s="10">
        <v>253</v>
      </c>
      <c r="H162" s="16">
        <f>HYPERLINK("http://www.qf.org.qa", "www.qf.org.qa")</f>
      </c>
      <c r="I162" t="s" s="10">
        <v>1375</v>
      </c>
      <c r="J162" t="s" s="24">
        <v>34</v>
      </c>
      <c r="K162" t="s" s="24">
        <v>34</v>
      </c>
      <c r="L162" t="s" s="24">
        <v>34</v>
      </c>
      <c r="M162" t="s" s="12">
        <v>1376</v>
      </c>
      <c r="N162" t="s" s="10">
        <v>34</v>
      </c>
      <c r="O162" t="s" s="10">
        <v>34</v>
      </c>
      <c r="P162" t="s" s="10">
        <v>34</v>
      </c>
      <c r="Q162" t="s" s="10">
        <v>34</v>
      </c>
      <c r="R162" t="s" s="10">
        <v>34</v>
      </c>
      <c r="S162" t="s" s="10">
        <v>34</v>
      </c>
      <c r="T162" t="s" s="12">
        <v>34</v>
      </c>
      <c r="U162" t="s" s="10">
        <v>34</v>
      </c>
      <c r="V162" t="s" s="12">
        <v>34</v>
      </c>
      <c r="W162" t="s" s="10">
        <v>1377</v>
      </c>
      <c r="X162" s="16">
        <f>HYPERLINK("https://my.pitchbook.com?p=185235-22P", "View People Online")</f>
      </c>
    </row>
    <row r="163">
      <c r="A163" t="s" s="11">
        <v>1378</v>
      </c>
      <c r="B163" t="s" s="11">
        <v>1379</v>
      </c>
      <c r="C163" t="s" s="11">
        <v>34</v>
      </c>
      <c r="D163" t="s" s="11">
        <v>1380</v>
      </c>
      <c r="E163" t="s" s="11">
        <v>1309</v>
      </c>
      <c r="F163" t="s" s="11">
        <v>1381</v>
      </c>
      <c r="G163" t="s" s="11">
        <v>1382</v>
      </c>
      <c r="H163" t="s" s="11">
        <v>34</v>
      </c>
      <c r="I163" t="s" s="11">
        <v>1383</v>
      </c>
      <c r="J163" t="s" s="25">
        <v>34</v>
      </c>
      <c r="K163" s="25">
        <v>1</v>
      </c>
      <c r="L163" t="s" s="25">
        <v>34</v>
      </c>
      <c r="M163" t="s" s="13">
        <v>1384</v>
      </c>
      <c r="N163" t="s" s="11">
        <v>34</v>
      </c>
      <c r="O163" t="s" s="11">
        <v>1385</v>
      </c>
      <c r="P163" t="s" s="11">
        <v>1386</v>
      </c>
      <c r="Q163" t="s" s="11">
        <v>1387</v>
      </c>
      <c r="R163" t="s" s="11">
        <v>1388</v>
      </c>
      <c r="S163" t="s" s="11">
        <v>47</v>
      </c>
      <c r="T163" t="s" s="13">
        <v>1389</v>
      </c>
      <c r="U163" t="s" s="11">
        <v>49</v>
      </c>
      <c r="V163" t="s" s="13">
        <v>34</v>
      </c>
      <c r="W163" t="s" s="11">
        <v>1390</v>
      </c>
      <c r="X163" s="17">
        <f>HYPERLINK("https://my.pitchbook.com?p=129094-93P", "View People Online")</f>
      </c>
    </row>
    <row r="164">
      <c r="A164" t="s" s="10">
        <v>1391</v>
      </c>
      <c r="B164" t="s" s="10">
        <v>1392</v>
      </c>
      <c r="C164" t="s" s="10">
        <v>34</v>
      </c>
      <c r="D164" t="s" s="10">
        <v>1329</v>
      </c>
      <c r="E164" t="s" s="10">
        <v>1309</v>
      </c>
      <c r="F164" t="s" s="10">
        <v>1393</v>
      </c>
      <c r="G164" t="s" s="10">
        <v>1394</v>
      </c>
      <c r="H164" s="16">
        <f>HYPERLINK("http://www.qf.org.qa", "www.qf.org.qa")</f>
      </c>
      <c r="I164" t="s" s="10">
        <v>1395</v>
      </c>
      <c r="J164" t="s" s="24">
        <v>34</v>
      </c>
      <c r="K164" s="24">
        <v>1</v>
      </c>
      <c r="L164" t="s" s="24">
        <v>34</v>
      </c>
      <c r="M164" t="s" s="12">
        <v>1333</v>
      </c>
      <c r="N164" t="s" s="10">
        <v>1396</v>
      </c>
      <c r="O164" t="s" s="10">
        <v>1334</v>
      </c>
      <c r="P164" t="s" s="10">
        <v>34</v>
      </c>
      <c r="Q164" t="s" s="10">
        <v>34</v>
      </c>
      <c r="R164" t="s" s="10">
        <v>1335</v>
      </c>
      <c r="S164" t="s" s="10">
        <v>34</v>
      </c>
      <c r="T164" t="s" s="12">
        <v>63</v>
      </c>
      <c r="U164" t="s" s="10">
        <v>64</v>
      </c>
      <c r="V164" t="s" s="12">
        <v>1336</v>
      </c>
      <c r="W164" t="s" s="10">
        <v>1397</v>
      </c>
      <c r="X164" s="16">
        <f>HYPERLINK("https://my.pitchbook.com?p=417736-63P", "View People Online")</f>
      </c>
    </row>
    <row r="165">
      <c r="A165" t="s" s="11">
        <v>1398</v>
      </c>
      <c r="B165" t="s" s="11">
        <v>1399</v>
      </c>
      <c r="C165" t="s" s="11">
        <v>34</v>
      </c>
      <c r="D165" t="s" s="11">
        <v>1320</v>
      </c>
      <c r="E165" t="s" s="11">
        <v>1309</v>
      </c>
      <c r="F165" t="s" s="11">
        <v>1400</v>
      </c>
      <c r="G165" t="s" s="11">
        <v>1401</v>
      </c>
      <c r="H165" s="17">
        <f>HYPERLINK("http://www.qf.org.qa", "www.qf.org.qa")</f>
      </c>
      <c r="I165" t="s" s="11">
        <v>34</v>
      </c>
      <c r="J165" t="s" s="25">
        <v>34</v>
      </c>
      <c r="K165" t="s" s="25">
        <v>34</v>
      </c>
      <c r="L165" t="s" s="25">
        <v>34</v>
      </c>
      <c r="M165" t="s" s="13">
        <v>34</v>
      </c>
      <c r="N165" t="s" s="11">
        <v>34</v>
      </c>
      <c r="O165" t="s" s="11">
        <v>34</v>
      </c>
      <c r="P165" t="s" s="11">
        <v>34</v>
      </c>
      <c r="Q165" t="s" s="11">
        <v>34</v>
      </c>
      <c r="R165" t="s" s="11">
        <v>34</v>
      </c>
      <c r="S165" t="s" s="11">
        <v>34</v>
      </c>
      <c r="T165" t="s" s="13">
        <v>34</v>
      </c>
      <c r="U165" t="s" s="11">
        <v>34</v>
      </c>
      <c r="V165" t="s" s="13">
        <v>34</v>
      </c>
      <c r="W165" t="s" s="11">
        <v>1402</v>
      </c>
      <c r="X165" s="17">
        <f>HYPERLINK("https://my.pitchbook.com?p=322258-60P", "View People Online")</f>
      </c>
    </row>
    <row r="166">
      <c r="A166" t="s" s="10">
        <v>1403</v>
      </c>
      <c r="B166" t="s" s="10">
        <v>1404</v>
      </c>
      <c r="C166" t="s" s="10">
        <v>34</v>
      </c>
      <c r="D166" t="s" s="10">
        <v>1329</v>
      </c>
      <c r="E166" t="s" s="10">
        <v>1309</v>
      </c>
      <c r="F166" t="s" s="10">
        <v>1405</v>
      </c>
      <c r="G166" t="s" s="10">
        <v>274</v>
      </c>
      <c r="H166" s="16">
        <f>HYPERLINK("http://www.qf.org.qa", "www.qf.org.qa")</f>
      </c>
      <c r="I166" t="s" s="10">
        <v>1406</v>
      </c>
      <c r="J166" t="s" s="24">
        <v>34</v>
      </c>
      <c r="K166" s="24">
        <v>1</v>
      </c>
      <c r="L166" t="s" s="24">
        <v>34</v>
      </c>
      <c r="M166" t="s" s="12">
        <v>1333</v>
      </c>
      <c r="N166" t="s" s="10">
        <v>1407</v>
      </c>
      <c r="O166" t="s" s="10">
        <v>1334</v>
      </c>
      <c r="P166" t="s" s="10">
        <v>34</v>
      </c>
      <c r="Q166" t="s" s="10">
        <v>34</v>
      </c>
      <c r="R166" t="s" s="10">
        <v>1335</v>
      </c>
      <c r="S166" t="s" s="10">
        <v>34</v>
      </c>
      <c r="T166" t="s" s="12">
        <v>63</v>
      </c>
      <c r="U166" t="s" s="10">
        <v>64</v>
      </c>
      <c r="V166" t="s" s="12">
        <v>1336</v>
      </c>
      <c r="W166" t="s" s="10">
        <v>1408</v>
      </c>
      <c r="X166" s="16">
        <f>HYPERLINK("https://my.pitchbook.com?p=204728-50P", "View People Online")</f>
      </c>
    </row>
    <row r="167">
      <c r="A167" t="s" s="11">
        <v>1409</v>
      </c>
      <c r="B167" t="s" s="11">
        <v>1410</v>
      </c>
      <c r="C167" t="s" s="11">
        <v>34</v>
      </c>
      <c r="D167" t="s" s="11">
        <v>1329</v>
      </c>
      <c r="E167" t="s" s="11">
        <v>1309</v>
      </c>
      <c r="F167" t="s" s="11">
        <v>1411</v>
      </c>
      <c r="G167" t="s" s="11">
        <v>1412</v>
      </c>
      <c r="H167" s="17">
        <f>HYPERLINK("http://www.qf.org.qa", "www.qf.org.qa")</f>
      </c>
      <c r="I167" t="s" s="11">
        <v>322</v>
      </c>
      <c r="J167" t="s" s="25">
        <v>34</v>
      </c>
      <c r="K167" s="25">
        <v>1</v>
      </c>
      <c r="L167" t="s" s="25">
        <v>34</v>
      </c>
      <c r="M167" t="s" s="13">
        <v>1333</v>
      </c>
      <c r="N167" t="s" s="11">
        <v>34</v>
      </c>
      <c r="O167" t="s" s="11">
        <v>1334</v>
      </c>
      <c r="P167" t="s" s="11">
        <v>34</v>
      </c>
      <c r="Q167" t="s" s="11">
        <v>34</v>
      </c>
      <c r="R167" t="s" s="11">
        <v>1335</v>
      </c>
      <c r="S167" t="s" s="11">
        <v>34</v>
      </c>
      <c r="T167" t="s" s="13">
        <v>63</v>
      </c>
      <c r="U167" t="s" s="11">
        <v>64</v>
      </c>
      <c r="V167" t="s" s="13">
        <v>1336</v>
      </c>
      <c r="W167" t="s" s="11">
        <v>1413</v>
      </c>
      <c r="X167" s="17">
        <f>HYPERLINK("https://my.pitchbook.com?p=417738-61P", "View People Online")</f>
      </c>
    </row>
    <row r="168">
      <c r="A168" t="s" s="10">
        <v>1414</v>
      </c>
      <c r="B168" t="s" s="10">
        <v>1415</v>
      </c>
      <c r="C168" t="s" s="10">
        <v>34</v>
      </c>
      <c r="D168" t="s" s="10">
        <v>1320</v>
      </c>
      <c r="E168" t="s" s="10">
        <v>1309</v>
      </c>
      <c r="F168" t="s" s="10">
        <v>1416</v>
      </c>
      <c r="G168" t="s" s="10">
        <v>1417</v>
      </c>
      <c r="H168" s="16">
        <f>HYPERLINK("http://www.qf.org.qa", "www.qf.org.qa")</f>
      </c>
      <c r="I168" t="s" s="10">
        <v>1418</v>
      </c>
      <c r="J168" t="s" s="24">
        <v>34</v>
      </c>
      <c r="K168" t="s" s="24">
        <v>34</v>
      </c>
      <c r="L168" t="s" s="24">
        <v>34</v>
      </c>
      <c r="M168" t="s" s="12">
        <v>34</v>
      </c>
      <c r="N168" t="s" s="10">
        <v>1419</v>
      </c>
      <c r="O168" t="s" s="10">
        <v>34</v>
      </c>
      <c r="P168" t="s" s="10">
        <v>34</v>
      </c>
      <c r="Q168" t="s" s="10">
        <v>34</v>
      </c>
      <c r="R168" t="s" s="10">
        <v>34</v>
      </c>
      <c r="S168" t="s" s="10">
        <v>34</v>
      </c>
      <c r="T168" t="s" s="12">
        <v>34</v>
      </c>
      <c r="U168" t="s" s="10">
        <v>34</v>
      </c>
      <c r="V168" t="s" s="12">
        <v>34</v>
      </c>
      <c r="W168" t="s" s="10">
        <v>1420</v>
      </c>
      <c r="X168" s="16">
        <f>HYPERLINK("https://my.pitchbook.com?p=149328-37P", "View People Online")</f>
      </c>
    </row>
    <row r="169">
      <c r="A169" t="s" s="11">
        <v>1421</v>
      </c>
      <c r="B169" t="s" s="11">
        <v>1422</v>
      </c>
      <c r="C169" t="s" s="11">
        <v>34</v>
      </c>
      <c r="D169" t="s" s="11">
        <v>1320</v>
      </c>
      <c r="E169" t="s" s="11">
        <v>1309</v>
      </c>
      <c r="F169" t="s" s="11">
        <v>1423</v>
      </c>
      <c r="G169" t="s" s="11">
        <v>1424</v>
      </c>
      <c r="H169" s="17">
        <f>HYPERLINK("http://www.qf.org.qa", "www.qf.org.qa")</f>
      </c>
      <c r="I169" t="s" s="11">
        <v>649</v>
      </c>
      <c r="J169" t="s" s="25">
        <v>34</v>
      </c>
      <c r="K169" t="s" s="25">
        <v>34</v>
      </c>
      <c r="L169" t="s" s="25">
        <v>34</v>
      </c>
      <c r="M169" t="s" s="13">
        <v>34</v>
      </c>
      <c r="N169" t="s" s="11">
        <v>34</v>
      </c>
      <c r="O169" t="s" s="11">
        <v>34</v>
      </c>
      <c r="P169" t="s" s="11">
        <v>34</v>
      </c>
      <c r="Q169" t="s" s="11">
        <v>34</v>
      </c>
      <c r="R169" t="s" s="11">
        <v>34</v>
      </c>
      <c r="S169" t="s" s="11">
        <v>34</v>
      </c>
      <c r="T169" t="s" s="13">
        <v>34</v>
      </c>
      <c r="U169" t="s" s="11">
        <v>34</v>
      </c>
      <c r="V169" t="s" s="13">
        <v>34</v>
      </c>
      <c r="W169" t="s" s="11">
        <v>1425</v>
      </c>
      <c r="X169" s="17">
        <f>HYPERLINK("https://my.pitchbook.com?p=54186-94P", "View People Online")</f>
      </c>
    </row>
    <row r="170">
      <c r="A170" t="s" s="10">
        <v>1426</v>
      </c>
      <c r="B170" t="s" s="10">
        <v>1427</v>
      </c>
      <c r="C170" t="s" s="10">
        <v>34</v>
      </c>
      <c r="D170" t="s" s="10">
        <v>1320</v>
      </c>
      <c r="E170" t="s" s="10">
        <v>1309</v>
      </c>
      <c r="F170" t="s" s="10">
        <v>1256</v>
      </c>
      <c r="G170" t="s" s="10">
        <v>1428</v>
      </c>
      <c r="H170" s="16">
        <f>HYPERLINK("http://www.qf.org.qa", "www.qf.org.qa")</f>
      </c>
      <c r="I170" t="s" s="10">
        <v>34</v>
      </c>
      <c r="J170" t="s" s="24">
        <v>34</v>
      </c>
      <c r="K170" t="s" s="24">
        <v>34</v>
      </c>
      <c r="L170" t="s" s="24">
        <v>34</v>
      </c>
      <c r="M170" t="s" s="12">
        <v>34</v>
      </c>
      <c r="N170" t="s" s="10">
        <v>34</v>
      </c>
      <c r="O170" t="s" s="10">
        <v>34</v>
      </c>
      <c r="P170" t="s" s="10">
        <v>34</v>
      </c>
      <c r="Q170" t="s" s="10">
        <v>34</v>
      </c>
      <c r="R170" t="s" s="10">
        <v>34</v>
      </c>
      <c r="S170" t="s" s="10">
        <v>34</v>
      </c>
      <c r="T170" t="s" s="12">
        <v>34</v>
      </c>
      <c r="U170" t="s" s="10">
        <v>34</v>
      </c>
      <c r="V170" t="s" s="12">
        <v>34</v>
      </c>
      <c r="W170" t="s" s="10">
        <v>1429</v>
      </c>
      <c r="X170" s="16">
        <f>HYPERLINK("https://my.pitchbook.com?p=185234-14P", "View People Online")</f>
      </c>
    </row>
    <row r="171">
      <c r="A171" t="s" s="11">
        <v>1430</v>
      </c>
      <c r="B171" t="s" s="11">
        <v>1431</v>
      </c>
      <c r="C171" t="s" s="11">
        <v>34</v>
      </c>
      <c r="D171" t="s" s="11">
        <v>1329</v>
      </c>
      <c r="E171" t="s" s="11">
        <v>1309</v>
      </c>
      <c r="F171" t="s" s="11">
        <v>568</v>
      </c>
      <c r="G171" t="s" s="11">
        <v>1432</v>
      </c>
      <c r="H171" s="17">
        <f>HYPERLINK("http://www.qf.org.qa", "www.qf.org.qa")</f>
      </c>
      <c r="I171" t="s" s="11">
        <v>1433</v>
      </c>
      <c r="J171" t="s" s="25">
        <v>34</v>
      </c>
      <c r="K171" s="25">
        <v>1</v>
      </c>
      <c r="L171" t="s" s="25">
        <v>34</v>
      </c>
      <c r="M171" t="s" s="13">
        <v>1434</v>
      </c>
      <c r="N171" t="s" s="11">
        <v>34</v>
      </c>
      <c r="O171" t="s" s="11">
        <v>1334</v>
      </c>
      <c r="P171" t="s" s="11">
        <v>34</v>
      </c>
      <c r="Q171" t="s" s="11">
        <v>34</v>
      </c>
      <c r="R171" t="s" s="11">
        <v>1335</v>
      </c>
      <c r="S171" t="s" s="11">
        <v>34</v>
      </c>
      <c r="T171" t="s" s="13">
        <v>63</v>
      </c>
      <c r="U171" t="s" s="11">
        <v>64</v>
      </c>
      <c r="V171" t="s" s="13">
        <v>1336</v>
      </c>
      <c r="W171" t="s" s="11">
        <v>1435</v>
      </c>
      <c r="X171" s="17">
        <f>HYPERLINK("https://my.pitchbook.com?p=379974-88P", "View People Online")</f>
      </c>
    </row>
    <row r="172">
      <c r="A172" t="s" s="10">
        <v>1436</v>
      </c>
      <c r="B172" t="s" s="10">
        <v>1437</v>
      </c>
      <c r="C172" t="s" s="10">
        <v>34</v>
      </c>
      <c r="D172" t="s" s="10">
        <v>1329</v>
      </c>
      <c r="E172" t="s" s="10">
        <v>1309</v>
      </c>
      <c r="F172" t="s" s="10">
        <v>1256</v>
      </c>
      <c r="G172" t="s" s="10">
        <v>1438</v>
      </c>
      <c r="H172" s="16">
        <f>HYPERLINK("http://www.qf.org.qa", "www.qf.org.qa")</f>
      </c>
      <c r="I172" t="s" s="10">
        <v>234</v>
      </c>
      <c r="J172" t="s" s="24">
        <v>34</v>
      </c>
      <c r="K172" s="24">
        <v>1</v>
      </c>
      <c r="L172" t="s" s="24">
        <v>34</v>
      </c>
      <c r="M172" t="s" s="12">
        <v>1333</v>
      </c>
      <c r="N172" t="s" s="10">
        <v>1439</v>
      </c>
      <c r="O172" t="s" s="10">
        <v>1334</v>
      </c>
      <c r="P172" t="s" s="10">
        <v>34</v>
      </c>
      <c r="Q172" t="s" s="10">
        <v>34</v>
      </c>
      <c r="R172" t="s" s="10">
        <v>1335</v>
      </c>
      <c r="S172" t="s" s="10">
        <v>34</v>
      </c>
      <c r="T172" t="s" s="12">
        <v>63</v>
      </c>
      <c r="U172" t="s" s="10">
        <v>64</v>
      </c>
      <c r="V172" t="s" s="12">
        <v>1336</v>
      </c>
      <c r="W172" t="s" s="10">
        <v>1440</v>
      </c>
      <c r="X172" s="16">
        <f>HYPERLINK("https://my.pitchbook.com?p=260778-07P", "View People Online")</f>
      </c>
    </row>
    <row r="173">
      <c r="A173" t="s" s="11">
        <v>1441</v>
      </c>
      <c r="B173" t="s" s="11">
        <v>1442</v>
      </c>
      <c r="C173" t="s" s="11">
        <v>34</v>
      </c>
      <c r="D173" t="s" s="11">
        <v>1329</v>
      </c>
      <c r="E173" t="s" s="11">
        <v>1309</v>
      </c>
      <c r="F173" t="s" s="11">
        <v>568</v>
      </c>
      <c r="G173" t="s" s="11">
        <v>1443</v>
      </c>
      <c r="H173" s="17">
        <f>HYPERLINK("http://www.qf.org.qa", "www.qf.org.qa")</f>
      </c>
      <c r="I173" t="s" s="11">
        <v>1444</v>
      </c>
      <c r="J173" s="25">
        <v>1</v>
      </c>
      <c r="K173" s="25">
        <v>1</v>
      </c>
      <c r="L173" t="s" s="25">
        <v>34</v>
      </c>
      <c r="M173" t="s" s="13">
        <v>1333</v>
      </c>
      <c r="N173" t="s" s="11">
        <v>1445</v>
      </c>
      <c r="O173" t="s" s="11">
        <v>1334</v>
      </c>
      <c r="P173" t="s" s="11">
        <v>34</v>
      </c>
      <c r="Q173" t="s" s="11">
        <v>34</v>
      </c>
      <c r="R173" t="s" s="11">
        <v>1335</v>
      </c>
      <c r="S173" t="s" s="11">
        <v>34</v>
      </c>
      <c r="T173" t="s" s="13">
        <v>63</v>
      </c>
      <c r="U173" t="s" s="11">
        <v>64</v>
      </c>
      <c r="V173" t="s" s="13">
        <v>1336</v>
      </c>
      <c r="W173" t="s" s="11">
        <v>1446</v>
      </c>
      <c r="X173" s="17">
        <f>HYPERLINK("https://my.pitchbook.com?p=185234-32P", "View People Online")</f>
      </c>
    </row>
    <row r="174">
      <c r="A174" t="s" s="10">
        <v>1447</v>
      </c>
      <c r="B174" t="s" s="10">
        <v>1448</v>
      </c>
      <c r="C174" t="s" s="10">
        <v>34</v>
      </c>
      <c r="D174" t="s" s="10">
        <v>1329</v>
      </c>
      <c r="E174" t="s" s="10">
        <v>1309</v>
      </c>
      <c r="F174" t="s" s="10">
        <v>1283</v>
      </c>
      <c r="G174" t="s" s="10">
        <v>1449</v>
      </c>
      <c r="H174" s="16">
        <f>HYPERLINK("http://www.qf.org.qa", "www.qf.org.qa")</f>
      </c>
      <c r="I174" t="s" s="10">
        <v>1450</v>
      </c>
      <c r="J174" s="24">
        <v>1</v>
      </c>
      <c r="K174" s="24">
        <v>1</v>
      </c>
      <c r="L174" t="s" s="24">
        <v>34</v>
      </c>
      <c r="M174" t="s" s="12">
        <v>1451</v>
      </c>
      <c r="N174" t="s" s="10">
        <v>1452</v>
      </c>
      <c r="O174" t="s" s="10">
        <v>1334</v>
      </c>
      <c r="P174" t="s" s="10">
        <v>34</v>
      </c>
      <c r="Q174" t="s" s="10">
        <v>34</v>
      </c>
      <c r="R174" t="s" s="10">
        <v>1335</v>
      </c>
      <c r="S174" t="s" s="10">
        <v>34</v>
      </c>
      <c r="T174" t="s" s="12">
        <v>63</v>
      </c>
      <c r="U174" t="s" s="10">
        <v>64</v>
      </c>
      <c r="V174" t="s" s="12">
        <v>1336</v>
      </c>
      <c r="W174" t="s" s="10">
        <v>1453</v>
      </c>
      <c r="X174" s="16">
        <f>HYPERLINK("https://my.pitchbook.com?p=63431-38P", "View People Online")</f>
      </c>
    </row>
    <row r="175">
      <c r="A175" t="s" s="11">
        <v>1454</v>
      </c>
      <c r="B175" t="s" s="11">
        <v>1455</v>
      </c>
      <c r="C175" t="s" s="11">
        <v>34</v>
      </c>
      <c r="D175" t="s" s="11">
        <v>1329</v>
      </c>
      <c r="E175" t="s" s="11">
        <v>1309</v>
      </c>
      <c r="F175" t="s" s="11">
        <v>1456</v>
      </c>
      <c r="G175" t="s" s="11">
        <v>1457</v>
      </c>
      <c r="H175" s="17">
        <f>HYPERLINK("http://www.qf.org.qa", "www.qf.org.qa")</f>
      </c>
      <c r="I175" t="s" s="11">
        <v>322</v>
      </c>
      <c r="J175" t="s" s="25">
        <v>34</v>
      </c>
      <c r="K175" s="25">
        <v>1</v>
      </c>
      <c r="L175" t="s" s="25">
        <v>34</v>
      </c>
      <c r="M175" t="s" s="13">
        <v>1333</v>
      </c>
      <c r="N175" t="s" s="11">
        <v>34</v>
      </c>
      <c r="O175" t="s" s="11">
        <v>1334</v>
      </c>
      <c r="P175" t="s" s="11">
        <v>34</v>
      </c>
      <c r="Q175" t="s" s="11">
        <v>34</v>
      </c>
      <c r="R175" t="s" s="11">
        <v>1335</v>
      </c>
      <c r="S175" t="s" s="11">
        <v>34</v>
      </c>
      <c r="T175" t="s" s="13">
        <v>63</v>
      </c>
      <c r="U175" t="s" s="11">
        <v>64</v>
      </c>
      <c r="V175" t="s" s="13">
        <v>1336</v>
      </c>
      <c r="W175" t="s" s="11">
        <v>1458</v>
      </c>
      <c r="X175" s="17">
        <f>HYPERLINK("https://my.pitchbook.com?p=447988-78P", "View People Online")</f>
      </c>
    </row>
    <row r="176">
      <c r="A176" t="s" s="10">
        <v>1459</v>
      </c>
      <c r="B176" t="s" s="10">
        <v>1460</v>
      </c>
      <c r="C176" t="s" s="10">
        <v>34</v>
      </c>
      <c r="D176" t="s" s="10">
        <v>1461</v>
      </c>
      <c r="E176" t="s" s="10">
        <v>1462</v>
      </c>
      <c r="F176" t="s" s="10">
        <v>1463</v>
      </c>
      <c r="G176" t="s" s="10">
        <v>561</v>
      </c>
      <c r="H176" s="16">
        <f>HYPERLINK("http://www.octogone.ch", "www.octogone.ch")</f>
      </c>
      <c r="I176" t="s" s="10">
        <v>1465</v>
      </c>
      <c r="J176" t="s" s="24">
        <v>34</v>
      </c>
      <c r="K176" s="24">
        <v>1</v>
      </c>
      <c r="L176" t="s" s="24">
        <v>34</v>
      </c>
      <c r="M176" t="s" s="12">
        <v>1466</v>
      </c>
      <c r="N176" t="s" s="10">
        <v>1467</v>
      </c>
      <c r="O176" t="s" s="10">
        <v>1468</v>
      </c>
      <c r="P176" t="s" s="10">
        <v>1469</v>
      </c>
      <c r="Q176" t="s" s="10">
        <v>34</v>
      </c>
      <c r="R176" t="s" s="10">
        <v>1470</v>
      </c>
      <c r="S176" t="s" s="10">
        <v>34</v>
      </c>
      <c r="T176" t="s" s="12">
        <v>1471</v>
      </c>
      <c r="U176" t="s" s="10">
        <v>544</v>
      </c>
      <c r="V176" t="s" s="12">
        <v>1472</v>
      </c>
      <c r="W176" t="s" s="10">
        <v>1473</v>
      </c>
      <c r="X176" s="16">
        <f>HYPERLINK("https://my.pitchbook.com?p=323873-38P", "View People Online")</f>
      </c>
    </row>
    <row r="177">
      <c r="A177" t="s" s="11">
        <v>1474</v>
      </c>
      <c r="B177" t="s" s="11">
        <v>1475</v>
      </c>
      <c r="C177" t="s" s="11">
        <v>34</v>
      </c>
      <c r="D177" t="s" s="11">
        <v>1461</v>
      </c>
      <c r="E177" t="s" s="11">
        <v>1462</v>
      </c>
      <c r="F177" t="s" s="11">
        <v>1476</v>
      </c>
      <c r="G177" t="s" s="11">
        <v>1477</v>
      </c>
      <c r="H177" s="17">
        <f>HYPERLINK("http://www.octogone.ch", "www.octogone.ch")</f>
      </c>
      <c r="I177" t="s" s="11">
        <v>1465</v>
      </c>
      <c r="J177" t="s" s="25">
        <v>34</v>
      </c>
      <c r="K177" s="25">
        <v>1</v>
      </c>
      <c r="L177" t="s" s="25">
        <v>34</v>
      </c>
      <c r="M177" t="s" s="13">
        <v>1466</v>
      </c>
      <c r="N177" t="s" s="11">
        <v>1478</v>
      </c>
      <c r="O177" t="s" s="11">
        <v>1468</v>
      </c>
      <c r="P177" t="s" s="11">
        <v>1469</v>
      </c>
      <c r="Q177" t="s" s="11">
        <v>34</v>
      </c>
      <c r="R177" t="s" s="11">
        <v>1470</v>
      </c>
      <c r="S177" t="s" s="11">
        <v>34</v>
      </c>
      <c r="T177" t="s" s="13">
        <v>1471</v>
      </c>
      <c r="U177" t="s" s="11">
        <v>544</v>
      </c>
      <c r="V177" t="s" s="13">
        <v>1472</v>
      </c>
      <c r="W177" t="s" s="11">
        <v>1479</v>
      </c>
      <c r="X177" s="17">
        <f>HYPERLINK("https://my.pitchbook.com?p=281714-95P", "View People Online")</f>
      </c>
    </row>
    <row r="178">
      <c r="A178" t="s" s="10">
        <v>1480</v>
      </c>
      <c r="B178" t="s" s="10">
        <v>1481</v>
      </c>
      <c r="C178" t="s" s="10">
        <v>34</v>
      </c>
      <c r="D178" t="s" s="10">
        <v>1482</v>
      </c>
      <c r="E178" t="s" s="10">
        <v>1483</v>
      </c>
      <c r="F178" t="s" s="10">
        <v>1484</v>
      </c>
      <c r="G178" t="s" s="10">
        <v>425</v>
      </c>
      <c r="H178" s="16">
        <f>HYPERLINK("http://www.lgt.com", "www.lgt.com")</f>
      </c>
      <c r="I178" t="s" s="10">
        <v>34</v>
      </c>
      <c r="J178" t="s" s="24">
        <v>34</v>
      </c>
      <c r="K178" t="s" s="24">
        <v>34</v>
      </c>
      <c r="L178" t="s" s="24">
        <v>34</v>
      </c>
      <c r="M178" t="s" s="12">
        <v>1486</v>
      </c>
      <c r="N178" t="s" s="10">
        <v>1487</v>
      </c>
      <c r="O178" t="s" s="10">
        <v>34</v>
      </c>
      <c r="P178" t="s" s="10">
        <v>34</v>
      </c>
      <c r="Q178" t="s" s="10">
        <v>34</v>
      </c>
      <c r="R178" t="s" s="10">
        <v>34</v>
      </c>
      <c r="S178" t="s" s="10">
        <v>34</v>
      </c>
      <c r="T178" t="s" s="12">
        <v>34</v>
      </c>
      <c r="U178" t="s" s="10">
        <v>34</v>
      </c>
      <c r="V178" t="s" s="12">
        <v>34</v>
      </c>
      <c r="W178" t="s" s="10">
        <v>1488</v>
      </c>
      <c r="X178" s="16">
        <f>HYPERLINK("https://my.pitchbook.com?p=323645-23P", "View People Online")</f>
      </c>
    </row>
    <row r="179">
      <c r="A179" t="s" s="11">
        <v>1489</v>
      </c>
      <c r="B179" t="s" s="11">
        <v>1490</v>
      </c>
      <c r="C179" t="s" s="11">
        <v>34</v>
      </c>
      <c r="D179" t="s" s="11">
        <v>1482</v>
      </c>
      <c r="E179" t="s" s="11">
        <v>1483</v>
      </c>
      <c r="F179" t="s" s="11">
        <v>1491</v>
      </c>
      <c r="G179" t="s" s="11">
        <v>1492</v>
      </c>
      <c r="H179" s="17">
        <f>HYPERLINK("http://www.lgt.com", "www.lgt.com")</f>
      </c>
      <c r="I179" t="s" s="11">
        <v>34</v>
      </c>
      <c r="J179" s="25">
        <v>1</v>
      </c>
      <c r="K179" s="25">
        <v>1</v>
      </c>
      <c r="L179" t="s" s="25">
        <v>34</v>
      </c>
      <c r="M179" t="s" s="13">
        <v>1493</v>
      </c>
      <c r="N179" t="s" s="11">
        <v>1494</v>
      </c>
      <c r="O179" t="s" s="11">
        <v>43</v>
      </c>
      <c r="P179" t="s" s="11">
        <v>1495</v>
      </c>
      <c r="Q179" t="s" s="11">
        <v>34</v>
      </c>
      <c r="R179" t="s" s="11">
        <v>46</v>
      </c>
      <c r="S179" t="s" s="11">
        <v>47</v>
      </c>
      <c r="T179" t="s" s="13">
        <v>1496</v>
      </c>
      <c r="U179" t="s" s="11">
        <v>49</v>
      </c>
      <c r="V179" t="s" s="13">
        <v>1497</v>
      </c>
      <c r="W179" t="s" s="11">
        <v>1498</v>
      </c>
      <c r="X179" s="17">
        <f>HYPERLINK("https://my.pitchbook.com?p=35475-67P", "View People Online")</f>
      </c>
    </row>
    <row r="180">
      <c r="A180" t="s" s="10">
        <v>1499</v>
      </c>
      <c r="B180" t="s" s="10">
        <v>1500</v>
      </c>
      <c r="C180" t="s" s="10">
        <v>34</v>
      </c>
      <c r="D180" t="s" s="10">
        <v>1482</v>
      </c>
      <c r="E180" t="s" s="10">
        <v>1483</v>
      </c>
      <c r="F180" t="s" s="10">
        <v>1501</v>
      </c>
      <c r="G180" t="s" s="10">
        <v>1502</v>
      </c>
      <c r="H180" s="16">
        <f>HYPERLINK("http://www.lgt.com", "www.lgt.com")</f>
      </c>
      <c r="I180" t="s" s="10">
        <v>1503</v>
      </c>
      <c r="J180" t="s" s="24">
        <v>34</v>
      </c>
      <c r="K180" t="s" s="24">
        <v>34</v>
      </c>
      <c r="L180" t="s" s="24">
        <v>34</v>
      </c>
      <c r="M180" t="s" s="12">
        <v>34</v>
      </c>
      <c r="N180" t="s" s="10">
        <v>34</v>
      </c>
      <c r="O180" t="s" s="10">
        <v>34</v>
      </c>
      <c r="P180" t="s" s="10">
        <v>34</v>
      </c>
      <c r="Q180" t="s" s="10">
        <v>34</v>
      </c>
      <c r="R180" t="s" s="10">
        <v>34</v>
      </c>
      <c r="S180" t="s" s="10">
        <v>34</v>
      </c>
      <c r="T180" t="s" s="12">
        <v>34</v>
      </c>
      <c r="U180" t="s" s="10">
        <v>34</v>
      </c>
      <c r="V180" t="s" s="12">
        <v>34</v>
      </c>
      <c r="W180" t="s" s="10">
        <v>1504</v>
      </c>
      <c r="X180" s="16">
        <f>HYPERLINK("https://my.pitchbook.com?p=165192-31P", "View People Online")</f>
      </c>
    </row>
    <row r="181">
      <c r="A181" t="s" s="11">
        <v>1505</v>
      </c>
      <c r="B181" t="s" s="11">
        <v>1506</v>
      </c>
      <c r="C181" t="s" s="11">
        <v>34</v>
      </c>
      <c r="D181" t="s" s="11">
        <v>1507</v>
      </c>
      <c r="E181" t="s" s="11">
        <v>1483</v>
      </c>
      <c r="F181" t="s" s="11">
        <v>1508</v>
      </c>
      <c r="G181" t="s" s="11">
        <v>1509</v>
      </c>
      <c r="H181" s="17">
        <f>HYPERLINK("http://www.lgt.com", "www.lgt.com")</f>
      </c>
      <c r="I181" t="s" s="11">
        <v>1510</v>
      </c>
      <c r="J181" t="s" s="25">
        <v>34</v>
      </c>
      <c r="K181" s="25">
        <v>1</v>
      </c>
      <c r="L181" t="s" s="25">
        <v>34</v>
      </c>
      <c r="M181" t="s" s="13">
        <v>1511</v>
      </c>
      <c r="N181" t="s" s="11">
        <v>1512</v>
      </c>
      <c r="O181" t="s" s="11">
        <v>1513</v>
      </c>
      <c r="P181" t="s" s="11">
        <v>1514</v>
      </c>
      <c r="Q181" t="s" s="11">
        <v>34</v>
      </c>
      <c r="R181" t="s" s="11">
        <v>1515</v>
      </c>
      <c r="S181" t="s" s="11">
        <v>34</v>
      </c>
      <c r="T181" t="s" s="13">
        <v>1516</v>
      </c>
      <c r="U181" t="s" s="11">
        <v>1517</v>
      </c>
      <c r="V181" t="s" s="13">
        <v>34</v>
      </c>
      <c r="W181" t="s" s="11">
        <v>1518</v>
      </c>
      <c r="X181" s="17">
        <f>HYPERLINK("https://my.pitchbook.com?p=200886-94P", "View People Online")</f>
      </c>
    </row>
    <row r="182">
      <c r="A182" t="s" s="10">
        <v>1519</v>
      </c>
      <c r="B182" t="s" s="10">
        <v>1520</v>
      </c>
      <c r="C182" t="s" s="10">
        <v>34</v>
      </c>
      <c r="D182" t="s" s="10">
        <v>1482</v>
      </c>
      <c r="E182" t="s" s="10">
        <v>1483</v>
      </c>
      <c r="F182" t="s" s="10">
        <v>1521</v>
      </c>
      <c r="G182" t="s" s="10">
        <v>1522</v>
      </c>
      <c r="H182" s="16">
        <f>HYPERLINK("http://www.lgt.com", "www.lgt.com")</f>
      </c>
      <c r="I182" t="s" s="10">
        <v>34</v>
      </c>
      <c r="J182" t="s" s="24">
        <v>34</v>
      </c>
      <c r="K182" t="s" s="24">
        <v>34</v>
      </c>
      <c r="L182" t="s" s="24">
        <v>34</v>
      </c>
      <c r="M182" t="s" s="12">
        <v>34</v>
      </c>
      <c r="N182" t="s" s="10">
        <v>34</v>
      </c>
      <c r="O182" t="s" s="10">
        <v>34</v>
      </c>
      <c r="P182" t="s" s="10">
        <v>34</v>
      </c>
      <c r="Q182" t="s" s="10">
        <v>34</v>
      </c>
      <c r="R182" t="s" s="10">
        <v>34</v>
      </c>
      <c r="S182" t="s" s="10">
        <v>34</v>
      </c>
      <c r="T182" t="s" s="12">
        <v>34</v>
      </c>
      <c r="U182" t="s" s="10">
        <v>34</v>
      </c>
      <c r="V182" t="s" s="12">
        <v>34</v>
      </c>
      <c r="W182" t="s" s="10">
        <v>1523</v>
      </c>
      <c r="X182" s="16">
        <f>HYPERLINK("https://my.pitchbook.com?p=269749-90P", "View People Online")</f>
      </c>
    </row>
    <row r="183">
      <c r="A183" t="s" s="11">
        <v>1524</v>
      </c>
      <c r="B183" t="s" s="11">
        <v>1525</v>
      </c>
      <c r="C183" t="s" s="11">
        <v>34</v>
      </c>
      <c r="D183" t="s" s="11">
        <v>1482</v>
      </c>
      <c r="E183" t="s" s="11">
        <v>1483</v>
      </c>
      <c r="F183" t="s" s="11">
        <v>981</v>
      </c>
      <c r="G183" t="s" s="11">
        <v>1526</v>
      </c>
      <c r="H183" s="17">
        <f>HYPERLINK("http://www.lgt.com", "www.lgt.com")</f>
      </c>
      <c r="I183" t="s" s="11">
        <v>649</v>
      </c>
      <c r="J183" t="s" s="25">
        <v>34</v>
      </c>
      <c r="K183" t="s" s="25">
        <v>34</v>
      </c>
      <c r="L183" t="s" s="25">
        <v>34</v>
      </c>
      <c r="M183" t="s" s="13">
        <v>34</v>
      </c>
      <c r="N183" t="s" s="11">
        <v>34</v>
      </c>
      <c r="O183" t="s" s="11">
        <v>34</v>
      </c>
      <c r="P183" t="s" s="11">
        <v>34</v>
      </c>
      <c r="Q183" t="s" s="11">
        <v>34</v>
      </c>
      <c r="R183" t="s" s="11">
        <v>34</v>
      </c>
      <c r="S183" t="s" s="11">
        <v>34</v>
      </c>
      <c r="T183" t="s" s="13">
        <v>34</v>
      </c>
      <c r="U183" t="s" s="11">
        <v>34</v>
      </c>
      <c r="V183" t="s" s="13">
        <v>34</v>
      </c>
      <c r="W183" t="s" s="11">
        <v>1527</v>
      </c>
      <c r="X183" s="17">
        <f>HYPERLINK("https://my.pitchbook.com?p=161329-51P", "View People Online")</f>
      </c>
    </row>
    <row r="184">
      <c r="A184" t="s" s="10">
        <v>1528</v>
      </c>
      <c r="B184" t="s" s="10">
        <v>1529</v>
      </c>
      <c r="C184" t="s" s="10">
        <v>34</v>
      </c>
      <c r="D184" t="s" s="10">
        <v>1482</v>
      </c>
      <c r="E184" t="s" s="10">
        <v>1483</v>
      </c>
      <c r="F184" t="s" s="10">
        <v>1530</v>
      </c>
      <c r="G184" t="s" s="10">
        <v>216</v>
      </c>
      <c r="H184" s="16">
        <f>HYPERLINK("http://www.lgt.com", "www.lgt.com")</f>
      </c>
      <c r="I184" t="s" s="10">
        <v>1531</v>
      </c>
      <c r="J184" t="s" s="24">
        <v>34</v>
      </c>
      <c r="K184" t="s" s="24">
        <v>34</v>
      </c>
      <c r="L184" t="s" s="24">
        <v>34</v>
      </c>
      <c r="M184" t="s" s="12">
        <v>34</v>
      </c>
      <c r="N184" t="s" s="10">
        <v>34</v>
      </c>
      <c r="O184" t="s" s="10">
        <v>34</v>
      </c>
      <c r="P184" t="s" s="10">
        <v>34</v>
      </c>
      <c r="Q184" t="s" s="10">
        <v>34</v>
      </c>
      <c r="R184" t="s" s="10">
        <v>34</v>
      </c>
      <c r="S184" t="s" s="10">
        <v>34</v>
      </c>
      <c r="T184" t="s" s="12">
        <v>34</v>
      </c>
      <c r="U184" t="s" s="10">
        <v>34</v>
      </c>
      <c r="V184" t="s" s="12">
        <v>34</v>
      </c>
      <c r="W184" t="s" s="10">
        <v>1532</v>
      </c>
      <c r="X184" s="16">
        <f>HYPERLINK("https://my.pitchbook.com?p=78015-25P", "View People Online")</f>
      </c>
    </row>
    <row r="185">
      <c r="A185" t="s" s="11">
        <v>1533</v>
      </c>
      <c r="B185" t="s" s="11">
        <v>1534</v>
      </c>
      <c r="C185" t="s" s="11">
        <v>34</v>
      </c>
      <c r="D185" t="s" s="11">
        <v>1507</v>
      </c>
      <c r="E185" t="s" s="11">
        <v>1483</v>
      </c>
      <c r="F185" t="s" s="11">
        <v>1535</v>
      </c>
      <c r="G185" t="s" s="11">
        <v>1536</v>
      </c>
      <c r="H185" s="17">
        <f>HYPERLINK("http://www.lgt.com", "www.lgt.com")</f>
      </c>
      <c r="I185" t="s" s="11">
        <v>1537</v>
      </c>
      <c r="J185" t="s" s="25">
        <v>34</v>
      </c>
      <c r="K185" s="25">
        <v>1</v>
      </c>
      <c r="L185" t="s" s="25">
        <v>34</v>
      </c>
      <c r="M185" t="s" s="13">
        <v>1511</v>
      </c>
      <c r="N185" t="s" s="11">
        <v>1538</v>
      </c>
      <c r="O185" t="s" s="11">
        <v>1513</v>
      </c>
      <c r="P185" t="s" s="11">
        <v>1514</v>
      </c>
      <c r="Q185" t="s" s="11">
        <v>34</v>
      </c>
      <c r="R185" t="s" s="11">
        <v>1515</v>
      </c>
      <c r="S185" t="s" s="11">
        <v>34</v>
      </c>
      <c r="T185" t="s" s="13">
        <v>1516</v>
      </c>
      <c r="U185" t="s" s="11">
        <v>1517</v>
      </c>
      <c r="V185" t="s" s="13">
        <v>34</v>
      </c>
      <c r="W185" t="s" s="11">
        <v>1539</v>
      </c>
      <c r="X185" s="17">
        <f>HYPERLINK("https://my.pitchbook.com?p=466525-63P", "View People Online")</f>
      </c>
    </row>
    <row r="186">
      <c r="A186" t="s" s="10">
        <v>1540</v>
      </c>
      <c r="B186" t="s" s="10">
        <v>1541</v>
      </c>
      <c r="C186" t="s" s="10">
        <v>34</v>
      </c>
      <c r="D186" t="s" s="10">
        <v>1507</v>
      </c>
      <c r="E186" t="s" s="10">
        <v>1483</v>
      </c>
      <c r="F186" t="s" s="10">
        <v>1517</v>
      </c>
      <c r="G186" t="s" s="10">
        <v>1542</v>
      </c>
      <c r="H186" s="16">
        <f>HYPERLINK("http://www.lgt.com", "www.lgt.com")</f>
      </c>
      <c r="I186" t="s" s="10">
        <v>649</v>
      </c>
      <c r="J186" s="24">
        <v>1</v>
      </c>
      <c r="K186" s="24">
        <v>1</v>
      </c>
      <c r="L186" t="s" s="24">
        <v>34</v>
      </c>
      <c r="M186" t="s" s="12">
        <v>1511</v>
      </c>
      <c r="N186" t="s" s="10">
        <v>34</v>
      </c>
      <c r="O186" t="s" s="10">
        <v>1513</v>
      </c>
      <c r="P186" t="s" s="10">
        <v>1514</v>
      </c>
      <c r="Q186" t="s" s="10">
        <v>34</v>
      </c>
      <c r="R186" t="s" s="10">
        <v>1515</v>
      </c>
      <c r="S186" t="s" s="10">
        <v>34</v>
      </c>
      <c r="T186" t="s" s="12">
        <v>1516</v>
      </c>
      <c r="U186" t="s" s="10">
        <v>1517</v>
      </c>
      <c r="V186" t="s" s="12">
        <v>34</v>
      </c>
      <c r="W186" t="s" s="10">
        <v>1543</v>
      </c>
      <c r="X186" s="16">
        <f>HYPERLINK("https://my.pitchbook.com?p=257496-94P", "View People Online")</f>
      </c>
    </row>
    <row r="187">
      <c r="A187" t="s" s="11">
        <v>1544</v>
      </c>
      <c r="B187" t="s" s="11">
        <v>1545</v>
      </c>
      <c r="C187" t="s" s="11">
        <v>34</v>
      </c>
      <c r="D187" t="s" s="11">
        <v>1482</v>
      </c>
      <c r="E187" t="s" s="11">
        <v>1483</v>
      </c>
      <c r="F187" t="s" s="11">
        <v>1546</v>
      </c>
      <c r="G187" t="s" s="11">
        <v>1547</v>
      </c>
      <c r="H187" s="17">
        <f>HYPERLINK("http://www.lgt.com", "www.lgt.com")</f>
      </c>
      <c r="I187" t="s" s="11">
        <v>34</v>
      </c>
      <c r="J187" t="s" s="25">
        <v>34</v>
      </c>
      <c r="K187" t="s" s="25">
        <v>34</v>
      </c>
      <c r="L187" t="s" s="25">
        <v>34</v>
      </c>
      <c r="M187" t="s" s="13">
        <v>34</v>
      </c>
      <c r="N187" t="s" s="11">
        <v>1548</v>
      </c>
      <c r="O187" t="s" s="11">
        <v>34</v>
      </c>
      <c r="P187" t="s" s="11">
        <v>34</v>
      </c>
      <c r="Q187" t="s" s="11">
        <v>34</v>
      </c>
      <c r="R187" t="s" s="11">
        <v>34</v>
      </c>
      <c r="S187" t="s" s="11">
        <v>34</v>
      </c>
      <c r="T187" t="s" s="13">
        <v>34</v>
      </c>
      <c r="U187" t="s" s="11">
        <v>34</v>
      </c>
      <c r="V187" t="s" s="13">
        <v>34</v>
      </c>
      <c r="W187" t="s" s="11">
        <v>1549</v>
      </c>
      <c r="X187" s="17">
        <f>HYPERLINK("https://my.pitchbook.com?p=348768-46P", "View People Online")</f>
      </c>
    </row>
    <row r="188">
      <c r="A188" t="s" s="10">
        <v>1550</v>
      </c>
      <c r="B188" t="s" s="10">
        <v>1551</v>
      </c>
      <c r="C188" t="s" s="10">
        <v>34</v>
      </c>
      <c r="D188" t="s" s="10">
        <v>1552</v>
      </c>
      <c r="E188" t="s" s="10">
        <v>1483</v>
      </c>
      <c r="F188" t="s" s="10">
        <v>1553</v>
      </c>
      <c r="G188" t="s" s="10">
        <v>1554</v>
      </c>
      <c r="H188" t="s" s="10">
        <v>34</v>
      </c>
      <c r="I188" t="s" s="10">
        <v>111</v>
      </c>
      <c r="J188" t="s" s="24">
        <v>34</v>
      </c>
      <c r="K188" t="s" s="24">
        <v>34</v>
      </c>
      <c r="L188" t="s" s="24">
        <v>34</v>
      </c>
      <c r="M188" t="s" s="12">
        <v>34</v>
      </c>
      <c r="N188" t="s" s="10">
        <v>34</v>
      </c>
      <c r="O188" t="s" s="10">
        <v>34</v>
      </c>
      <c r="P188" t="s" s="10">
        <v>34</v>
      </c>
      <c r="Q188" t="s" s="10">
        <v>34</v>
      </c>
      <c r="R188" t="s" s="10">
        <v>34</v>
      </c>
      <c r="S188" t="s" s="10">
        <v>34</v>
      </c>
      <c r="T188" t="s" s="12">
        <v>34</v>
      </c>
      <c r="U188" t="s" s="10">
        <v>34</v>
      </c>
      <c r="V188" t="s" s="12">
        <v>34</v>
      </c>
      <c r="W188" t="s" s="10">
        <v>1555</v>
      </c>
      <c r="X188" s="16">
        <f>HYPERLINK("https://my.pitchbook.com?p=193681-72P", "View People Online")</f>
      </c>
    </row>
    <row r="189">
      <c r="A189" t="s" s="11">
        <v>1556</v>
      </c>
      <c r="B189" t="s" s="11">
        <v>1557</v>
      </c>
      <c r="C189" t="s" s="11">
        <v>34</v>
      </c>
      <c r="D189" t="s" s="11">
        <v>1482</v>
      </c>
      <c r="E189" t="s" s="11">
        <v>1483</v>
      </c>
      <c r="F189" t="s" s="11">
        <v>1558</v>
      </c>
      <c r="G189" t="s" s="11">
        <v>1559</v>
      </c>
      <c r="H189" s="17">
        <f>HYPERLINK("http://www.lgt.com", "www.lgt.com")</f>
      </c>
      <c r="I189" t="s" s="11">
        <v>649</v>
      </c>
      <c r="J189" t="s" s="25">
        <v>34</v>
      </c>
      <c r="K189" t="s" s="25">
        <v>34</v>
      </c>
      <c r="L189" t="s" s="25">
        <v>34</v>
      </c>
      <c r="M189" t="s" s="13">
        <v>34</v>
      </c>
      <c r="N189" t="s" s="11">
        <v>34</v>
      </c>
      <c r="O189" t="s" s="11">
        <v>34</v>
      </c>
      <c r="P189" t="s" s="11">
        <v>34</v>
      </c>
      <c r="Q189" t="s" s="11">
        <v>34</v>
      </c>
      <c r="R189" t="s" s="11">
        <v>34</v>
      </c>
      <c r="S189" t="s" s="11">
        <v>34</v>
      </c>
      <c r="T189" t="s" s="13">
        <v>34</v>
      </c>
      <c r="U189" t="s" s="11">
        <v>34</v>
      </c>
      <c r="V189" t="s" s="13">
        <v>34</v>
      </c>
      <c r="W189" t="s" s="11">
        <v>1560</v>
      </c>
      <c r="X189" s="17">
        <f>HYPERLINK("https://my.pitchbook.com?p=273307-06P", "View People Online")</f>
      </c>
    </row>
    <row r="190">
      <c r="A190" t="s" s="10">
        <v>1561</v>
      </c>
      <c r="B190" t="s" s="10">
        <v>1562</v>
      </c>
      <c r="C190" t="s" s="10">
        <v>34</v>
      </c>
      <c r="D190" t="s" s="10">
        <v>1507</v>
      </c>
      <c r="E190" t="s" s="10">
        <v>1483</v>
      </c>
      <c r="F190" t="s" s="10">
        <v>1563</v>
      </c>
      <c r="G190" t="s" s="10">
        <v>1564</v>
      </c>
      <c r="H190" s="16">
        <f>HYPERLINK("http://www.lgt.com", "www.lgt.com")</f>
      </c>
      <c r="I190" t="s" s="10">
        <v>649</v>
      </c>
      <c r="J190" s="24">
        <v>2</v>
      </c>
      <c r="K190" s="24">
        <v>2</v>
      </c>
      <c r="L190" t="s" s="24">
        <v>34</v>
      </c>
      <c r="M190" t="s" s="12">
        <v>1511</v>
      </c>
      <c r="N190" t="s" s="10">
        <v>1565</v>
      </c>
      <c r="O190" t="s" s="10">
        <v>1513</v>
      </c>
      <c r="P190" t="s" s="10">
        <v>1514</v>
      </c>
      <c r="Q190" t="s" s="10">
        <v>34</v>
      </c>
      <c r="R190" t="s" s="10">
        <v>1515</v>
      </c>
      <c r="S190" t="s" s="10">
        <v>34</v>
      </c>
      <c r="T190" t="s" s="12">
        <v>1516</v>
      </c>
      <c r="U190" t="s" s="10">
        <v>1517</v>
      </c>
      <c r="V190" t="s" s="12">
        <v>34</v>
      </c>
      <c r="W190" t="s" s="10">
        <v>1566</v>
      </c>
      <c r="X190" s="16">
        <f>HYPERLINK("https://my.pitchbook.com?p=273306-43P", "View People Online")</f>
      </c>
    </row>
    <row r="191">
      <c r="A191" t="s" s="11">
        <v>1567</v>
      </c>
      <c r="B191" t="s" s="11">
        <v>1568</v>
      </c>
      <c r="C191" t="s" s="11">
        <v>34</v>
      </c>
      <c r="D191" t="s" s="11">
        <v>1569</v>
      </c>
      <c r="E191" t="s" s="11">
        <v>1483</v>
      </c>
      <c r="F191" t="s" s="11">
        <v>1570</v>
      </c>
      <c r="G191" t="s" s="11">
        <v>1571</v>
      </c>
      <c r="H191" s="17">
        <f>HYPERLINK("http://portascapital.com", "portascapital.com")</f>
      </c>
      <c r="I191" t="s" s="11">
        <v>111</v>
      </c>
      <c r="J191" t="s" s="25">
        <v>34</v>
      </c>
      <c r="K191" s="25">
        <v>1</v>
      </c>
      <c r="L191" t="s" s="25">
        <v>34</v>
      </c>
      <c r="M191" t="s" s="13">
        <v>1573</v>
      </c>
      <c r="N191" t="s" s="11">
        <v>1574</v>
      </c>
      <c r="O191" t="s" s="11">
        <v>926</v>
      </c>
      <c r="P191" t="s" s="11">
        <v>1575</v>
      </c>
      <c r="Q191" t="s" s="11">
        <v>34</v>
      </c>
      <c r="R191" t="s" s="11">
        <v>928</v>
      </c>
      <c r="S191" t="s" s="11">
        <v>34</v>
      </c>
      <c r="T191" t="s" s="13">
        <v>1576</v>
      </c>
      <c r="U191" t="s" s="11">
        <v>544</v>
      </c>
      <c r="V191" t="s" s="13">
        <v>34</v>
      </c>
      <c r="W191" t="s" s="11">
        <v>1577</v>
      </c>
      <c r="X191" s="17">
        <f>HYPERLINK("https://my.pitchbook.com?p=396356-77P", "View People Online")</f>
      </c>
    </row>
    <row r="192">
      <c r="A192" t="s" s="10">
        <v>1578</v>
      </c>
      <c r="B192" t="s" s="10">
        <v>1579</v>
      </c>
      <c r="C192" t="s" s="10">
        <v>34</v>
      </c>
      <c r="D192" t="s" s="10">
        <v>1507</v>
      </c>
      <c r="E192" t="s" s="10">
        <v>1483</v>
      </c>
      <c r="F192" t="s" s="10">
        <v>1517</v>
      </c>
      <c r="G192" t="s" s="10">
        <v>1580</v>
      </c>
      <c r="H192" s="16">
        <f>HYPERLINK("http://www.lgt.com", "www.lgt.com")</f>
      </c>
      <c r="I192" t="s" s="10">
        <v>1581</v>
      </c>
      <c r="J192" s="24">
        <v>2</v>
      </c>
      <c r="K192" s="24">
        <v>10</v>
      </c>
      <c r="L192" s="24">
        <v>8</v>
      </c>
      <c r="M192" t="s" s="12">
        <v>1582</v>
      </c>
      <c r="N192" t="s" s="10">
        <v>34</v>
      </c>
      <c r="O192" t="s" s="10">
        <v>84</v>
      </c>
      <c r="P192" t="s" s="10">
        <v>1583</v>
      </c>
      <c r="Q192" t="s" s="10">
        <v>1584</v>
      </c>
      <c r="R192" t="s" s="10">
        <v>86</v>
      </c>
      <c r="S192" t="s" s="10">
        <v>86</v>
      </c>
      <c r="T192" t="s" s="12">
        <v>1585</v>
      </c>
      <c r="U192" t="s" s="10">
        <v>88</v>
      </c>
      <c r="V192" t="s" s="12">
        <v>1586</v>
      </c>
      <c r="W192" t="s" s="10">
        <v>1587</v>
      </c>
      <c r="X192" s="16">
        <f>HYPERLINK("https://my.pitchbook.com?p=35475-13P", "View People Online")</f>
      </c>
    </row>
    <row r="193">
      <c r="A193" t="s" s="11">
        <v>1588</v>
      </c>
      <c r="B193" t="s" s="11">
        <v>1589</v>
      </c>
      <c r="C193" t="s" s="11">
        <v>34</v>
      </c>
      <c r="D193" t="s" s="11">
        <v>1507</v>
      </c>
      <c r="E193" t="s" s="11">
        <v>1483</v>
      </c>
      <c r="F193" t="s" s="11">
        <v>1590</v>
      </c>
      <c r="G193" t="s" s="11">
        <v>274</v>
      </c>
      <c r="H193" s="17">
        <f>HYPERLINK("http://www.lgt.com", "www.lgt.com")</f>
      </c>
      <c r="I193" t="s" s="11">
        <v>234</v>
      </c>
      <c r="J193" s="25">
        <v>2</v>
      </c>
      <c r="K193" s="25">
        <v>2</v>
      </c>
      <c r="L193" t="s" s="25">
        <v>34</v>
      </c>
      <c r="M193" t="s" s="13">
        <v>1511</v>
      </c>
      <c r="N193" t="s" s="11">
        <v>34</v>
      </c>
      <c r="O193" t="s" s="11">
        <v>1513</v>
      </c>
      <c r="P193" t="s" s="11">
        <v>1514</v>
      </c>
      <c r="Q193" t="s" s="11">
        <v>34</v>
      </c>
      <c r="R193" t="s" s="11">
        <v>1515</v>
      </c>
      <c r="S193" t="s" s="11">
        <v>34</v>
      </c>
      <c r="T193" t="s" s="13">
        <v>1516</v>
      </c>
      <c r="U193" t="s" s="11">
        <v>1517</v>
      </c>
      <c r="V193" t="s" s="13">
        <v>34</v>
      </c>
      <c r="W193" t="s" s="11">
        <v>1591</v>
      </c>
      <c r="X193" s="17">
        <f>HYPERLINK("https://my.pitchbook.com?p=256381-93P", "View People Online")</f>
      </c>
    </row>
    <row r="194">
      <c r="A194" t="s" s="10">
        <v>1592</v>
      </c>
      <c r="B194" t="s" s="10">
        <v>1593</v>
      </c>
      <c r="C194" t="s" s="10">
        <v>34</v>
      </c>
      <c r="D194" t="s" s="10">
        <v>1507</v>
      </c>
      <c r="E194" t="s" s="10">
        <v>1483</v>
      </c>
      <c r="F194" t="s" s="10">
        <v>1594</v>
      </c>
      <c r="G194" t="s" s="10">
        <v>274</v>
      </c>
      <c r="H194" s="16">
        <f>HYPERLINK("http://www.lgt.com", "www.lgt.com")</f>
      </c>
      <c r="I194" t="s" s="10">
        <v>369</v>
      </c>
      <c r="J194" t="s" s="24">
        <v>34</v>
      </c>
      <c r="K194" s="24">
        <v>1</v>
      </c>
      <c r="L194" t="s" s="24">
        <v>34</v>
      </c>
      <c r="M194" t="s" s="12">
        <v>1595</v>
      </c>
      <c r="N194" t="s" s="10">
        <v>1596</v>
      </c>
      <c r="O194" t="s" s="10">
        <v>84</v>
      </c>
      <c r="P194" t="s" s="10">
        <v>1583</v>
      </c>
      <c r="Q194" t="s" s="10">
        <v>1584</v>
      </c>
      <c r="R194" t="s" s="10">
        <v>86</v>
      </c>
      <c r="S194" t="s" s="10">
        <v>86</v>
      </c>
      <c r="T194" t="s" s="12">
        <v>1585</v>
      </c>
      <c r="U194" t="s" s="10">
        <v>88</v>
      </c>
      <c r="V194" t="s" s="12">
        <v>1586</v>
      </c>
      <c r="W194" t="s" s="10">
        <v>1597</v>
      </c>
      <c r="X194" s="16">
        <f>HYPERLINK("https://my.pitchbook.com?p=162567-73P", "View People Online")</f>
      </c>
    </row>
    <row r="195">
      <c r="A195" t="s" s="11">
        <v>1598</v>
      </c>
      <c r="B195" t="s" s="11">
        <v>1599</v>
      </c>
      <c r="C195" t="s" s="11">
        <v>34</v>
      </c>
      <c r="D195" t="s" s="11">
        <v>1600</v>
      </c>
      <c r="E195" t="s" s="11">
        <v>1483</v>
      </c>
      <c r="F195" t="s" s="11">
        <v>1601</v>
      </c>
      <c r="G195" t="s" s="11">
        <v>1602</v>
      </c>
      <c r="H195" s="17">
        <f>HYPERLINK("http://oceancapital.ca", "oceancapital.ca")</f>
      </c>
      <c r="I195" t="s" s="11">
        <v>1604</v>
      </c>
      <c r="J195" t="s" s="25">
        <v>34</v>
      </c>
      <c r="K195" s="25">
        <v>1</v>
      </c>
      <c r="L195" t="s" s="25">
        <v>34</v>
      </c>
      <c r="M195" t="s" s="13">
        <v>1605</v>
      </c>
      <c r="N195" t="s" s="11">
        <v>1606</v>
      </c>
      <c r="O195" t="s" s="11">
        <v>1607</v>
      </c>
      <c r="P195" t="s" s="11">
        <v>1608</v>
      </c>
      <c r="Q195" t="s" s="11">
        <v>1609</v>
      </c>
      <c r="R195" t="s" s="11">
        <v>1610</v>
      </c>
      <c r="S195" t="s" s="11">
        <v>1611</v>
      </c>
      <c r="T195" t="s" s="13">
        <v>1612</v>
      </c>
      <c r="U195" t="s" s="11">
        <v>1613</v>
      </c>
      <c r="V195" t="s" s="13">
        <v>34</v>
      </c>
      <c r="W195" t="s" s="11">
        <v>1614</v>
      </c>
      <c r="X195" s="17">
        <f>HYPERLINK("https://my.pitchbook.com?p=32673-07P", "View People Online")</f>
      </c>
    </row>
    <row r="196">
      <c r="A196" t="s" s="10">
        <v>1615</v>
      </c>
      <c r="B196" t="s" s="10">
        <v>1616</v>
      </c>
      <c r="C196" t="s" s="10">
        <v>34</v>
      </c>
      <c r="D196" t="s" s="10">
        <v>1507</v>
      </c>
      <c r="E196" t="s" s="10">
        <v>1483</v>
      </c>
      <c r="F196" t="s" s="10">
        <v>1617</v>
      </c>
      <c r="G196" t="s" s="10">
        <v>1602</v>
      </c>
      <c r="H196" s="16">
        <f>HYPERLINK("http://www.lgt.com", "www.lgt.com")</f>
      </c>
      <c r="I196" t="s" s="10">
        <v>1618</v>
      </c>
      <c r="J196" t="s" s="24">
        <v>34</v>
      </c>
      <c r="K196" s="24">
        <v>1</v>
      </c>
      <c r="L196" t="s" s="24">
        <v>34</v>
      </c>
      <c r="M196" t="s" s="12">
        <v>1511</v>
      </c>
      <c r="N196" t="s" s="10">
        <v>1619</v>
      </c>
      <c r="O196" t="s" s="10">
        <v>1513</v>
      </c>
      <c r="P196" t="s" s="10">
        <v>1514</v>
      </c>
      <c r="Q196" t="s" s="10">
        <v>34</v>
      </c>
      <c r="R196" t="s" s="10">
        <v>1515</v>
      </c>
      <c r="S196" t="s" s="10">
        <v>34</v>
      </c>
      <c r="T196" t="s" s="12">
        <v>1516</v>
      </c>
      <c r="U196" t="s" s="10">
        <v>1517</v>
      </c>
      <c r="V196" t="s" s="12">
        <v>34</v>
      </c>
      <c r="W196" t="s" s="10">
        <v>1620</v>
      </c>
      <c r="X196" s="16">
        <f>HYPERLINK("https://my.pitchbook.com?p=404741-89P", "View People Online")</f>
      </c>
    </row>
    <row r="197">
      <c r="A197" t="s" s="11">
        <v>1621</v>
      </c>
      <c r="B197" t="s" s="11">
        <v>1622</v>
      </c>
      <c r="C197" t="s" s="11">
        <v>34</v>
      </c>
      <c r="D197" t="s" s="11">
        <v>1507</v>
      </c>
      <c r="E197" t="s" s="11">
        <v>1483</v>
      </c>
      <c r="F197" t="s" s="11">
        <v>1623</v>
      </c>
      <c r="G197" t="s" s="11">
        <v>1624</v>
      </c>
      <c r="H197" s="17">
        <f>HYPERLINK("http://www.lgt.com", "www.lgt.com")</f>
      </c>
      <c r="I197" t="s" s="11">
        <v>1625</v>
      </c>
      <c r="J197" s="25">
        <v>3</v>
      </c>
      <c r="K197" s="25">
        <v>3</v>
      </c>
      <c r="L197" t="s" s="25">
        <v>34</v>
      </c>
      <c r="M197" t="s" s="13">
        <v>1582</v>
      </c>
      <c r="N197" t="s" s="11">
        <v>1626</v>
      </c>
      <c r="O197" t="s" s="11">
        <v>84</v>
      </c>
      <c r="P197" t="s" s="11">
        <v>1583</v>
      </c>
      <c r="Q197" t="s" s="11">
        <v>1584</v>
      </c>
      <c r="R197" t="s" s="11">
        <v>86</v>
      </c>
      <c r="S197" t="s" s="11">
        <v>86</v>
      </c>
      <c r="T197" t="s" s="13">
        <v>1585</v>
      </c>
      <c r="U197" t="s" s="11">
        <v>88</v>
      </c>
      <c r="V197" t="s" s="13">
        <v>1586</v>
      </c>
      <c r="W197" t="s" s="11">
        <v>1627</v>
      </c>
      <c r="X197" s="17">
        <f>HYPERLINK("https://my.pitchbook.com?p=35476-12P", "View People Online")</f>
      </c>
    </row>
    <row r="198">
      <c r="A198" t="s" s="10">
        <v>1628</v>
      </c>
      <c r="B198" t="s" s="10">
        <v>1629</v>
      </c>
      <c r="C198" t="s" s="10">
        <v>34</v>
      </c>
      <c r="D198" t="s" s="10">
        <v>1507</v>
      </c>
      <c r="E198" t="s" s="10">
        <v>1483</v>
      </c>
      <c r="F198" t="s" s="10">
        <v>1630</v>
      </c>
      <c r="G198" t="s" s="10">
        <v>1631</v>
      </c>
      <c r="H198" s="16">
        <f>HYPERLINK("http://www.lgt.com", "www.lgt.com")</f>
      </c>
      <c r="I198" t="s" s="10">
        <v>1632</v>
      </c>
      <c r="J198" t="s" s="24">
        <v>34</v>
      </c>
      <c r="K198" s="24">
        <v>1</v>
      </c>
      <c r="L198" t="s" s="24">
        <v>34</v>
      </c>
      <c r="M198" t="s" s="12">
        <v>1511</v>
      </c>
      <c r="N198" t="s" s="10">
        <v>1633</v>
      </c>
      <c r="O198" t="s" s="10">
        <v>1513</v>
      </c>
      <c r="P198" t="s" s="10">
        <v>1514</v>
      </c>
      <c r="Q198" t="s" s="10">
        <v>34</v>
      </c>
      <c r="R198" t="s" s="10">
        <v>1515</v>
      </c>
      <c r="S198" t="s" s="10">
        <v>34</v>
      </c>
      <c r="T198" t="s" s="12">
        <v>1516</v>
      </c>
      <c r="U198" t="s" s="10">
        <v>1517</v>
      </c>
      <c r="V198" t="s" s="12">
        <v>34</v>
      </c>
      <c r="W198" t="s" s="10">
        <v>1634</v>
      </c>
      <c r="X198" s="16">
        <f>HYPERLINK("https://my.pitchbook.com?p=296259-67P", "View People Online")</f>
      </c>
    </row>
    <row r="199">
      <c r="A199" t="s" s="11">
        <v>1635</v>
      </c>
      <c r="B199" t="s" s="11">
        <v>1636</v>
      </c>
      <c r="C199" t="s" s="11">
        <v>34</v>
      </c>
      <c r="D199" t="s" s="11">
        <v>1482</v>
      </c>
      <c r="E199" t="s" s="11">
        <v>1483</v>
      </c>
      <c r="F199" t="s" s="11">
        <v>1517</v>
      </c>
      <c r="G199" t="s" s="11">
        <v>1637</v>
      </c>
      <c r="H199" s="17">
        <f>HYPERLINK("http://www.lgt.com", "www.lgt.com")</f>
      </c>
      <c r="I199" t="s" s="11">
        <v>1638</v>
      </c>
      <c r="J199" t="s" s="25">
        <v>34</v>
      </c>
      <c r="K199" t="s" s="25">
        <v>34</v>
      </c>
      <c r="L199" t="s" s="25">
        <v>34</v>
      </c>
      <c r="M199" t="s" s="13">
        <v>34</v>
      </c>
      <c r="N199" t="s" s="11">
        <v>34</v>
      </c>
      <c r="O199" t="s" s="11">
        <v>34</v>
      </c>
      <c r="P199" t="s" s="11">
        <v>34</v>
      </c>
      <c r="Q199" t="s" s="11">
        <v>34</v>
      </c>
      <c r="R199" t="s" s="11">
        <v>34</v>
      </c>
      <c r="S199" t="s" s="11">
        <v>34</v>
      </c>
      <c r="T199" t="s" s="13">
        <v>34</v>
      </c>
      <c r="U199" t="s" s="11">
        <v>34</v>
      </c>
      <c r="V199" t="s" s="13">
        <v>34</v>
      </c>
      <c r="W199" t="s" s="11">
        <v>1639</v>
      </c>
      <c r="X199" s="17">
        <f>HYPERLINK("https://my.pitchbook.com?p=83726-74P", "View People Online")</f>
      </c>
    </row>
    <row r="200">
      <c r="A200" t="s" s="10">
        <v>1640</v>
      </c>
      <c r="B200" t="s" s="10">
        <v>828</v>
      </c>
      <c r="C200" t="s" s="10">
        <v>34</v>
      </c>
      <c r="D200" t="s" s="10">
        <v>1482</v>
      </c>
      <c r="E200" t="s" s="10">
        <v>1483</v>
      </c>
      <c r="F200" t="s" s="10">
        <v>830</v>
      </c>
      <c r="G200" t="s" s="10">
        <v>831</v>
      </c>
      <c r="H200" s="16">
        <f>HYPERLINK("http://www.lgt.com", "www.lgt.com")</f>
      </c>
      <c r="I200" t="s" s="10">
        <v>649</v>
      </c>
      <c r="J200" t="s" s="24">
        <v>34</v>
      </c>
      <c r="K200" t="s" s="24">
        <v>34</v>
      </c>
      <c r="L200" t="s" s="24">
        <v>34</v>
      </c>
      <c r="M200" t="s" s="12">
        <v>34</v>
      </c>
      <c r="N200" t="s" s="10">
        <v>34</v>
      </c>
      <c r="O200" t="s" s="10">
        <v>34</v>
      </c>
      <c r="P200" t="s" s="10">
        <v>34</v>
      </c>
      <c r="Q200" t="s" s="10">
        <v>34</v>
      </c>
      <c r="R200" t="s" s="10">
        <v>34</v>
      </c>
      <c r="S200" t="s" s="10">
        <v>34</v>
      </c>
      <c r="T200" t="s" s="12">
        <v>34</v>
      </c>
      <c r="U200" t="s" s="10">
        <v>34</v>
      </c>
      <c r="V200" t="s" s="12">
        <v>34</v>
      </c>
      <c r="W200" t="s" s="10">
        <v>1641</v>
      </c>
      <c r="X200" s="16">
        <f>HYPERLINK("https://my.pitchbook.com?p=114829-48P", "View People Online")</f>
      </c>
    </row>
    <row r="201">
      <c r="A201" t="s" s="11">
        <v>1642</v>
      </c>
      <c r="B201" t="s" s="11">
        <v>1643</v>
      </c>
      <c r="C201" t="s" s="11">
        <v>34</v>
      </c>
      <c r="D201" t="s" s="11">
        <v>1644</v>
      </c>
      <c r="E201" t="s" s="11">
        <v>1483</v>
      </c>
      <c r="F201" t="s" s="11">
        <v>1645</v>
      </c>
      <c r="G201" t="s" s="11">
        <v>1646</v>
      </c>
      <c r="H201" s="17">
        <f>HYPERLINK("http://www.farrocapital.com", "www.farrocapital.com")</f>
      </c>
      <c r="I201" t="s" s="11">
        <v>1648</v>
      </c>
      <c r="J201" t="s" s="25">
        <v>34</v>
      </c>
      <c r="K201" s="25">
        <v>1</v>
      </c>
      <c r="L201" t="s" s="25">
        <v>34</v>
      </c>
      <c r="M201" t="s" s="13">
        <v>1649</v>
      </c>
      <c r="N201" t="s" s="11">
        <v>1650</v>
      </c>
      <c r="O201" t="s" s="11">
        <v>525</v>
      </c>
      <c r="P201" t="s" s="11">
        <v>1651</v>
      </c>
      <c r="Q201" t="s" s="11">
        <v>1652</v>
      </c>
      <c r="R201" t="s" s="11">
        <v>528</v>
      </c>
      <c r="S201" t="s" s="11">
        <v>34</v>
      </c>
      <c r="T201" t="s" s="13">
        <v>1653</v>
      </c>
      <c r="U201" t="s" s="11">
        <v>528</v>
      </c>
      <c r="V201" t="s" s="13">
        <v>34</v>
      </c>
      <c r="W201" t="s" s="11">
        <v>1654</v>
      </c>
      <c r="X201" s="17">
        <f>HYPERLINK("https://my.pitchbook.com?p=438072-40P", "View People Online")</f>
      </c>
    </row>
    <row r="202">
      <c r="A202" t="s" s="10">
        <v>1655</v>
      </c>
      <c r="B202" t="s" s="10">
        <v>1656</v>
      </c>
      <c r="C202" t="s" s="10">
        <v>34</v>
      </c>
      <c r="D202" t="s" s="10">
        <v>1657</v>
      </c>
      <c r="E202" t="s" s="10">
        <v>1483</v>
      </c>
      <c r="F202" t="s" s="10">
        <v>1658</v>
      </c>
      <c r="G202" t="s" s="10">
        <v>1659</v>
      </c>
      <c r="H202" s="16">
        <f>HYPERLINK("http://www.fpltd.net", "www.fpltd.net")</f>
      </c>
      <c r="I202" t="s" s="10">
        <v>649</v>
      </c>
      <c r="J202" s="24">
        <v>1</v>
      </c>
      <c r="K202" s="24">
        <v>1</v>
      </c>
      <c r="L202" t="s" s="24">
        <v>34</v>
      </c>
      <c r="M202" t="s" s="12">
        <v>1661</v>
      </c>
      <c r="N202" t="s" s="10">
        <v>1662</v>
      </c>
      <c r="O202" t="s" s="10">
        <v>1513</v>
      </c>
      <c r="P202" t="s" s="10">
        <v>1663</v>
      </c>
      <c r="Q202" t="s" s="10">
        <v>34</v>
      </c>
      <c r="R202" t="s" s="10">
        <v>1515</v>
      </c>
      <c r="S202" t="s" s="10">
        <v>34</v>
      </c>
      <c r="T202" t="s" s="12">
        <v>1516</v>
      </c>
      <c r="U202" t="s" s="10">
        <v>1517</v>
      </c>
      <c r="V202" t="s" s="12">
        <v>1664</v>
      </c>
      <c r="W202" t="s" s="10">
        <v>1665</v>
      </c>
      <c r="X202" s="16">
        <f>HYPERLINK("https://my.pitchbook.com?p=61962-58P", "View People Online")</f>
      </c>
    </row>
    <row r="203">
      <c r="A203" t="s" s="11">
        <v>1666</v>
      </c>
      <c r="B203" t="s" s="11">
        <v>1667</v>
      </c>
      <c r="C203" t="s" s="11">
        <v>1668</v>
      </c>
      <c r="D203" t="s" s="11">
        <v>1507</v>
      </c>
      <c r="E203" t="s" s="11">
        <v>1483</v>
      </c>
      <c r="F203" t="s" s="11">
        <v>1669</v>
      </c>
      <c r="G203" t="s" s="11">
        <v>1670</v>
      </c>
      <c r="H203" s="17">
        <f>HYPERLINK("http://www.lgt.com", "www.lgt.com")</f>
      </c>
      <c r="I203" t="s" s="11">
        <v>1671</v>
      </c>
      <c r="J203" t="s" s="25">
        <v>34</v>
      </c>
      <c r="K203" s="25">
        <v>1</v>
      </c>
      <c r="L203" t="s" s="25">
        <v>34</v>
      </c>
      <c r="M203" t="s" s="13">
        <v>1511</v>
      </c>
      <c r="N203" t="s" s="11">
        <v>1672</v>
      </c>
      <c r="O203" t="s" s="11">
        <v>1513</v>
      </c>
      <c r="P203" t="s" s="11">
        <v>1514</v>
      </c>
      <c r="Q203" t="s" s="11">
        <v>34</v>
      </c>
      <c r="R203" t="s" s="11">
        <v>1515</v>
      </c>
      <c r="S203" t="s" s="11">
        <v>34</v>
      </c>
      <c r="T203" t="s" s="13">
        <v>1516</v>
      </c>
      <c r="U203" t="s" s="11">
        <v>1517</v>
      </c>
      <c r="V203" t="s" s="13">
        <v>34</v>
      </c>
      <c r="W203" t="s" s="11">
        <v>1673</v>
      </c>
      <c r="X203" s="17">
        <f>HYPERLINK("https://my.pitchbook.com?p=193182-31P", "View People Online")</f>
      </c>
    </row>
    <row r="204">
      <c r="A204" t="s" s="10">
        <v>1674</v>
      </c>
      <c r="B204" t="s" s="10">
        <v>1675</v>
      </c>
      <c r="C204" t="s" s="10">
        <v>34</v>
      </c>
      <c r="D204" t="s" s="10">
        <v>1507</v>
      </c>
      <c r="E204" t="s" s="10">
        <v>1483</v>
      </c>
      <c r="F204" t="s" s="10">
        <v>1676</v>
      </c>
      <c r="G204" t="s" s="10">
        <v>93</v>
      </c>
      <c r="H204" s="16">
        <f>HYPERLINK("http://www.lgt.com", "www.lgt.com")</f>
      </c>
      <c r="I204" t="s" s="10">
        <v>649</v>
      </c>
      <c r="J204" s="24">
        <v>1</v>
      </c>
      <c r="K204" s="24">
        <v>1</v>
      </c>
      <c r="L204" t="s" s="24">
        <v>34</v>
      </c>
      <c r="M204" t="s" s="12">
        <v>1582</v>
      </c>
      <c r="N204" t="s" s="10">
        <v>34</v>
      </c>
      <c r="O204" t="s" s="10">
        <v>84</v>
      </c>
      <c r="P204" t="s" s="10">
        <v>1583</v>
      </c>
      <c r="Q204" t="s" s="10">
        <v>1584</v>
      </c>
      <c r="R204" t="s" s="10">
        <v>86</v>
      </c>
      <c r="S204" t="s" s="10">
        <v>86</v>
      </c>
      <c r="T204" t="s" s="12">
        <v>1585</v>
      </c>
      <c r="U204" t="s" s="10">
        <v>88</v>
      </c>
      <c r="V204" t="s" s="12">
        <v>1586</v>
      </c>
      <c r="W204" t="s" s="10">
        <v>1677</v>
      </c>
      <c r="X204" s="16">
        <f>HYPERLINK("https://my.pitchbook.com?p=35475-85P", "View People Online")</f>
      </c>
    </row>
    <row r="205">
      <c r="A205" t="s" s="11">
        <v>1678</v>
      </c>
      <c r="B205" t="s" s="11">
        <v>1679</v>
      </c>
      <c r="C205" t="s" s="11">
        <v>34</v>
      </c>
      <c r="D205" t="s" s="11">
        <v>1507</v>
      </c>
      <c r="E205" t="s" s="11">
        <v>1483</v>
      </c>
      <c r="F205" t="s" s="11">
        <v>1680</v>
      </c>
      <c r="G205" t="s" s="11">
        <v>1681</v>
      </c>
      <c r="H205" s="17">
        <f>HYPERLINK("http://www.lgt.com", "www.lgt.com")</f>
      </c>
      <c r="I205" t="s" s="11">
        <v>1682</v>
      </c>
      <c r="J205" t="s" s="25">
        <v>34</v>
      </c>
      <c r="K205" s="25">
        <v>1</v>
      </c>
      <c r="L205" t="s" s="25">
        <v>34</v>
      </c>
      <c r="M205" t="s" s="13">
        <v>1511</v>
      </c>
      <c r="N205" t="s" s="11">
        <v>1683</v>
      </c>
      <c r="O205" t="s" s="11">
        <v>1513</v>
      </c>
      <c r="P205" t="s" s="11">
        <v>1514</v>
      </c>
      <c r="Q205" t="s" s="11">
        <v>34</v>
      </c>
      <c r="R205" t="s" s="11">
        <v>1515</v>
      </c>
      <c r="S205" t="s" s="11">
        <v>34</v>
      </c>
      <c r="T205" t="s" s="13">
        <v>1516</v>
      </c>
      <c r="U205" t="s" s="11">
        <v>1517</v>
      </c>
      <c r="V205" t="s" s="13">
        <v>34</v>
      </c>
      <c r="W205" t="s" s="11">
        <v>1684</v>
      </c>
      <c r="X205" s="17">
        <f>HYPERLINK("https://my.pitchbook.com?p=296257-33P", "View People Online")</f>
      </c>
    </row>
    <row r="206">
      <c r="A206" t="s" s="10">
        <v>1685</v>
      </c>
      <c r="B206" t="s" s="10">
        <v>1686</v>
      </c>
      <c r="C206" t="s" s="10">
        <v>442</v>
      </c>
      <c r="D206" t="s" s="10">
        <v>1687</v>
      </c>
      <c r="E206" t="s" s="10">
        <v>1688</v>
      </c>
      <c r="F206" t="s" s="10">
        <v>1689</v>
      </c>
      <c r="G206" t="s" s="10">
        <v>380</v>
      </c>
      <c r="H206" t="s" s="10">
        <v>34</v>
      </c>
      <c r="I206" t="s" s="10">
        <v>1690</v>
      </c>
      <c r="J206" t="s" s="24">
        <v>34</v>
      </c>
      <c r="K206" s="24">
        <v>1</v>
      </c>
      <c r="L206" t="s" s="24">
        <v>34</v>
      </c>
      <c r="M206" t="s" s="12">
        <v>1691</v>
      </c>
      <c r="N206" t="s" s="10">
        <v>1692</v>
      </c>
      <c r="O206" t="s" s="10">
        <v>236</v>
      </c>
      <c r="P206" t="s" s="10">
        <v>1693</v>
      </c>
      <c r="Q206" t="s" s="10">
        <v>34</v>
      </c>
      <c r="R206" t="s" s="10">
        <v>239</v>
      </c>
      <c r="S206" t="s" s="10">
        <v>34</v>
      </c>
      <c r="T206" t="s" s="12">
        <v>34</v>
      </c>
      <c r="U206" t="s" s="10">
        <v>240</v>
      </c>
      <c r="V206" t="s" s="12">
        <v>1694</v>
      </c>
      <c r="W206" t="s" s="10">
        <v>1695</v>
      </c>
      <c r="X206" s="16">
        <f>HYPERLINK("https://my.pitchbook.com?p=213331-78P", "View People Online")</f>
      </c>
    </row>
    <row r="207">
      <c r="A207" t="s" s="11">
        <v>1696</v>
      </c>
      <c r="B207" t="s" s="11">
        <v>1697</v>
      </c>
      <c r="C207" t="s" s="11">
        <v>442</v>
      </c>
      <c r="D207" t="s" s="11">
        <v>1698</v>
      </c>
      <c r="E207" t="s" s="11">
        <v>1688</v>
      </c>
      <c r="F207" t="s" s="11">
        <v>1699</v>
      </c>
      <c r="G207" t="s" s="11">
        <v>1700</v>
      </c>
      <c r="H207" t="s" s="11">
        <v>34</v>
      </c>
      <c r="I207" t="s" s="11">
        <v>1701</v>
      </c>
      <c r="J207" t="s" s="25">
        <v>34</v>
      </c>
      <c r="K207" t="s" s="25">
        <v>34</v>
      </c>
      <c r="L207" t="s" s="25">
        <v>34</v>
      </c>
      <c r="M207" t="s" s="13">
        <v>34</v>
      </c>
      <c r="N207" t="s" s="11">
        <v>1702</v>
      </c>
      <c r="O207" t="s" s="11">
        <v>34</v>
      </c>
      <c r="P207" t="s" s="11">
        <v>34</v>
      </c>
      <c r="Q207" t="s" s="11">
        <v>34</v>
      </c>
      <c r="R207" t="s" s="11">
        <v>34</v>
      </c>
      <c r="S207" t="s" s="11">
        <v>34</v>
      </c>
      <c r="T207" t="s" s="13">
        <v>34</v>
      </c>
      <c r="U207" t="s" s="11">
        <v>34</v>
      </c>
      <c r="V207" t="s" s="13">
        <v>34</v>
      </c>
      <c r="W207" t="s" s="11">
        <v>1703</v>
      </c>
      <c r="X207" s="17">
        <f>HYPERLINK("https://my.pitchbook.com?p=251639-83P", "View People Online")</f>
      </c>
    </row>
    <row r="208">
      <c r="A208" t="s" s="10">
        <v>1704</v>
      </c>
      <c r="B208" t="s" s="10">
        <v>1705</v>
      </c>
      <c r="C208" t="s" s="10">
        <v>34</v>
      </c>
      <c r="D208" t="s" s="10">
        <v>1687</v>
      </c>
      <c r="E208" t="s" s="10">
        <v>1688</v>
      </c>
      <c r="F208" t="s" s="10">
        <v>1706</v>
      </c>
      <c r="G208" t="s" s="10">
        <v>1707</v>
      </c>
      <c r="H208" t="s" s="10">
        <v>34</v>
      </c>
      <c r="I208" t="s" s="10">
        <v>1708</v>
      </c>
      <c r="J208" t="s" s="24">
        <v>34</v>
      </c>
      <c r="K208" s="24">
        <v>1</v>
      </c>
      <c r="L208" t="s" s="24">
        <v>34</v>
      </c>
      <c r="M208" t="s" s="12">
        <v>1709</v>
      </c>
      <c r="N208" t="s" s="10">
        <v>1710</v>
      </c>
      <c r="O208" t="s" s="10">
        <v>236</v>
      </c>
      <c r="P208" t="s" s="10">
        <v>1693</v>
      </c>
      <c r="Q208" t="s" s="10">
        <v>34</v>
      </c>
      <c r="R208" t="s" s="10">
        <v>239</v>
      </c>
      <c r="S208" t="s" s="10">
        <v>34</v>
      </c>
      <c r="T208" t="s" s="12">
        <v>34</v>
      </c>
      <c r="U208" t="s" s="10">
        <v>240</v>
      </c>
      <c r="V208" t="s" s="12">
        <v>1694</v>
      </c>
      <c r="W208" t="s" s="10">
        <v>1711</v>
      </c>
      <c r="X208" s="16">
        <f>HYPERLINK("https://my.pitchbook.com?p=288160-03P", "View People Online")</f>
      </c>
    </row>
    <row r="209">
      <c r="A209" t="s" s="11">
        <v>1712</v>
      </c>
      <c r="B209" t="s" s="11">
        <v>1713</v>
      </c>
      <c r="C209" t="s" s="11">
        <v>34</v>
      </c>
      <c r="D209" t="s" s="11">
        <v>1687</v>
      </c>
      <c r="E209" t="s" s="11">
        <v>1688</v>
      </c>
      <c r="F209" t="s" s="11">
        <v>1714</v>
      </c>
      <c r="G209" t="s" s="11">
        <v>1715</v>
      </c>
      <c r="H209" t="s" s="11">
        <v>34</v>
      </c>
      <c r="I209" t="s" s="11">
        <v>322</v>
      </c>
      <c r="J209" t="s" s="25">
        <v>34</v>
      </c>
      <c r="K209" s="25">
        <v>3</v>
      </c>
      <c r="L209" s="25">
        <v>1</v>
      </c>
      <c r="M209" t="s" s="13">
        <v>1691</v>
      </c>
      <c r="N209" t="s" s="11">
        <v>1716</v>
      </c>
      <c r="O209" t="s" s="11">
        <v>236</v>
      </c>
      <c r="P209" t="s" s="11">
        <v>1693</v>
      </c>
      <c r="Q209" t="s" s="11">
        <v>34</v>
      </c>
      <c r="R209" t="s" s="11">
        <v>239</v>
      </c>
      <c r="S209" t="s" s="11">
        <v>34</v>
      </c>
      <c r="T209" t="s" s="13">
        <v>34</v>
      </c>
      <c r="U209" t="s" s="11">
        <v>240</v>
      </c>
      <c r="V209" t="s" s="13">
        <v>1694</v>
      </c>
      <c r="W209" t="s" s="11">
        <v>1717</v>
      </c>
      <c r="X209" s="17">
        <f>HYPERLINK("https://my.pitchbook.com?p=213357-43P", "View People Online")</f>
      </c>
    </row>
    <row r="210">
      <c r="A210" t="s" s="10">
        <v>1718</v>
      </c>
      <c r="B210" t="s" s="10">
        <v>1719</v>
      </c>
      <c r="C210" t="s" s="10">
        <v>34</v>
      </c>
      <c r="D210" t="s" s="10">
        <v>1720</v>
      </c>
      <c r="E210" t="s" s="10">
        <v>1688</v>
      </c>
      <c r="F210" t="s" s="10">
        <v>1721</v>
      </c>
      <c r="G210" t="s" s="10">
        <v>967</v>
      </c>
      <c r="H210" s="16">
        <f>HYPERLINK("http://www.kfsuisse.com", "www.kfsuisse.com")</f>
      </c>
      <c r="I210" t="s" s="10">
        <v>1723</v>
      </c>
      <c r="J210" t="s" s="24">
        <v>34</v>
      </c>
      <c r="K210" t="s" s="24">
        <v>34</v>
      </c>
      <c r="L210" t="s" s="24">
        <v>34</v>
      </c>
      <c r="M210" t="s" s="12">
        <v>34</v>
      </c>
      <c r="N210" t="s" s="10">
        <v>34</v>
      </c>
      <c r="O210" t="s" s="10">
        <v>34</v>
      </c>
      <c r="P210" t="s" s="10">
        <v>34</v>
      </c>
      <c r="Q210" t="s" s="10">
        <v>34</v>
      </c>
      <c r="R210" t="s" s="10">
        <v>34</v>
      </c>
      <c r="S210" t="s" s="10">
        <v>34</v>
      </c>
      <c r="T210" t="s" s="12">
        <v>34</v>
      </c>
      <c r="U210" t="s" s="10">
        <v>34</v>
      </c>
      <c r="V210" t="s" s="12">
        <v>34</v>
      </c>
      <c r="W210" t="s" s="10">
        <v>1724</v>
      </c>
      <c r="X210" s="16">
        <f>HYPERLINK("https://my.pitchbook.com?p=61767-28P", "View People Online")</f>
      </c>
    </row>
    <row r="211">
      <c r="A211" t="s" s="11">
        <v>1725</v>
      </c>
      <c r="B211" t="s" s="11">
        <v>1726</v>
      </c>
      <c r="C211" t="s" s="11">
        <v>34</v>
      </c>
      <c r="D211" t="s" s="11">
        <v>1687</v>
      </c>
      <c r="E211" t="s" s="11">
        <v>1688</v>
      </c>
      <c r="F211" t="s" s="11">
        <v>1727</v>
      </c>
      <c r="G211" t="s" s="11">
        <v>1728</v>
      </c>
      <c r="H211" t="s" s="11">
        <v>34</v>
      </c>
      <c r="I211" t="s" s="11">
        <v>1701</v>
      </c>
      <c r="J211" t="s" s="25">
        <v>34</v>
      </c>
      <c r="K211" s="25">
        <v>1</v>
      </c>
      <c r="L211" t="s" s="25">
        <v>34</v>
      </c>
      <c r="M211" t="s" s="13">
        <v>1691</v>
      </c>
      <c r="N211" t="s" s="11">
        <v>1729</v>
      </c>
      <c r="O211" t="s" s="11">
        <v>236</v>
      </c>
      <c r="P211" t="s" s="11">
        <v>1693</v>
      </c>
      <c r="Q211" t="s" s="11">
        <v>34</v>
      </c>
      <c r="R211" t="s" s="11">
        <v>239</v>
      </c>
      <c r="S211" t="s" s="11">
        <v>34</v>
      </c>
      <c r="T211" t="s" s="13">
        <v>34</v>
      </c>
      <c r="U211" t="s" s="11">
        <v>240</v>
      </c>
      <c r="V211" t="s" s="13">
        <v>1694</v>
      </c>
      <c r="W211" t="s" s="11">
        <v>1730</v>
      </c>
      <c r="X211" s="17">
        <f>HYPERLINK("https://my.pitchbook.com?p=306631-63P", "View People Online")</f>
      </c>
    </row>
    <row r="212">
      <c r="A212" t="s" s="10">
        <v>1731</v>
      </c>
      <c r="B212" t="s" s="10">
        <v>1732</v>
      </c>
      <c r="C212" t="s" s="10">
        <v>34</v>
      </c>
      <c r="D212" t="s" s="10">
        <v>1733</v>
      </c>
      <c r="E212" t="s" s="10">
        <v>1734</v>
      </c>
      <c r="F212" t="s" s="10">
        <v>1735</v>
      </c>
      <c r="G212" t="s" s="10">
        <v>1736</v>
      </c>
      <c r="H212" s="16">
        <f>HYPERLINK("http://www.interlinkdc.com", "www.interlinkdc.com")</f>
      </c>
      <c r="I212" t="s" s="10">
        <v>1738</v>
      </c>
      <c r="J212" t="s" s="24">
        <v>34</v>
      </c>
      <c r="K212" t="s" s="24">
        <v>34</v>
      </c>
      <c r="L212" t="s" s="24">
        <v>34</v>
      </c>
      <c r="M212" t="s" s="12">
        <v>34</v>
      </c>
      <c r="N212" t="s" s="10">
        <v>34</v>
      </c>
      <c r="O212" t="s" s="10">
        <v>34</v>
      </c>
      <c r="P212" t="s" s="10">
        <v>34</v>
      </c>
      <c r="Q212" t="s" s="10">
        <v>34</v>
      </c>
      <c r="R212" t="s" s="10">
        <v>34</v>
      </c>
      <c r="S212" t="s" s="10">
        <v>34</v>
      </c>
      <c r="T212" t="s" s="12">
        <v>34</v>
      </c>
      <c r="U212" t="s" s="10">
        <v>34</v>
      </c>
      <c r="V212" t="s" s="12">
        <v>34</v>
      </c>
      <c r="W212" t="s" s="10">
        <v>1739</v>
      </c>
      <c r="X212" s="16">
        <f>HYPERLINK("https://my.pitchbook.com?p=158124-16P", "View People Online")</f>
      </c>
    </row>
    <row r="213">
      <c r="A213" t="s" s="11">
        <v>1740</v>
      </c>
      <c r="B213" t="s" s="11">
        <v>1741</v>
      </c>
      <c r="C213" t="s" s="11">
        <v>34</v>
      </c>
      <c r="D213" t="s" s="11">
        <v>1742</v>
      </c>
      <c r="E213" t="s" s="11">
        <v>1734</v>
      </c>
      <c r="F213" t="s" s="11">
        <v>1743</v>
      </c>
      <c r="G213" t="s" s="11">
        <v>1744</v>
      </c>
      <c r="H213" s="17">
        <f>HYPERLINK("http://cleoncapital.com", "cleoncapital.com")</f>
      </c>
      <c r="I213" t="s" s="11">
        <v>111</v>
      </c>
      <c r="J213" s="25">
        <v>1</v>
      </c>
      <c r="K213" s="25">
        <v>3</v>
      </c>
      <c r="L213" s="25">
        <v>1</v>
      </c>
      <c r="M213" t="s" s="13">
        <v>34</v>
      </c>
      <c r="N213" t="s" s="11">
        <v>1746</v>
      </c>
      <c r="O213" t="s" s="11">
        <v>1101</v>
      </c>
      <c r="P213" t="s" s="11">
        <v>1747</v>
      </c>
      <c r="Q213" t="s" s="11">
        <v>1748</v>
      </c>
      <c r="R213" t="s" s="11">
        <v>1103</v>
      </c>
      <c r="S213" t="s" s="11">
        <v>1103</v>
      </c>
      <c r="T213" t="s" s="13">
        <v>1104</v>
      </c>
      <c r="U213" t="s" s="11">
        <v>1105</v>
      </c>
      <c r="V213" t="s" s="13">
        <v>34</v>
      </c>
      <c r="W213" t="s" s="11">
        <v>1749</v>
      </c>
      <c r="X213" s="17">
        <f>HYPERLINK("https://my.pitchbook.com?p=244662-13P", "View People Online")</f>
      </c>
    </row>
    <row r="214">
      <c r="A214" t="s" s="10">
        <v>1750</v>
      </c>
      <c r="B214" t="s" s="10">
        <v>1751</v>
      </c>
      <c r="C214" t="s" s="10">
        <v>34</v>
      </c>
      <c r="D214" t="s" s="10">
        <v>1752</v>
      </c>
      <c r="E214" t="s" s="10">
        <v>1734</v>
      </c>
      <c r="F214" t="s" s="10">
        <v>1753</v>
      </c>
      <c r="G214" t="s" s="10">
        <v>1754</v>
      </c>
      <c r="H214" s="16">
        <f>HYPERLINK("http://www.geraldeve.com", "www.geraldeve.com")</f>
      </c>
      <c r="I214" t="s" s="10">
        <v>111</v>
      </c>
      <c r="J214" t="s" s="24">
        <v>34</v>
      </c>
      <c r="K214" t="s" s="24">
        <v>34</v>
      </c>
      <c r="L214" t="s" s="24">
        <v>34</v>
      </c>
      <c r="M214" t="s" s="12">
        <v>1756</v>
      </c>
      <c r="N214" t="s" s="10">
        <v>34</v>
      </c>
      <c r="O214" t="s" s="10">
        <v>34</v>
      </c>
      <c r="P214" t="s" s="10">
        <v>34</v>
      </c>
      <c r="Q214" t="s" s="10">
        <v>34</v>
      </c>
      <c r="R214" t="s" s="10">
        <v>34</v>
      </c>
      <c r="S214" t="s" s="10">
        <v>34</v>
      </c>
      <c r="T214" t="s" s="12">
        <v>34</v>
      </c>
      <c r="U214" t="s" s="10">
        <v>34</v>
      </c>
      <c r="V214" t="s" s="12">
        <v>34</v>
      </c>
      <c r="W214" t="s" s="10">
        <v>1757</v>
      </c>
      <c r="X214" s="16">
        <f>HYPERLINK("https://my.pitchbook.com?p=373731-76P", "View People Online")</f>
      </c>
    </row>
    <row r="215">
      <c r="A215" t="s" s="11">
        <v>1758</v>
      </c>
      <c r="B215" t="s" s="11">
        <v>1759</v>
      </c>
      <c r="C215" t="s" s="11">
        <v>34</v>
      </c>
      <c r="D215" t="s" s="11">
        <v>1760</v>
      </c>
      <c r="E215" t="s" s="11">
        <v>1734</v>
      </c>
      <c r="F215" t="s" s="11">
        <v>1761</v>
      </c>
      <c r="G215" t="s" s="11">
        <v>1762</v>
      </c>
      <c r="H215" s="17">
        <f>HYPERLINK("http://www.snicapitaladvisors.com", "www.snicapitaladvisors.com")</f>
      </c>
      <c r="I215" t="s" s="11">
        <v>839</v>
      </c>
      <c r="J215" t="s" s="25">
        <v>34</v>
      </c>
      <c r="K215" s="25">
        <v>1</v>
      </c>
      <c r="L215" t="s" s="25">
        <v>34</v>
      </c>
      <c r="M215" t="s" s="13">
        <v>1764</v>
      </c>
      <c r="N215" t="s" s="11">
        <v>1765</v>
      </c>
      <c r="O215" t="s" s="11">
        <v>301</v>
      </c>
      <c r="P215" t="s" s="11">
        <v>1766</v>
      </c>
      <c r="Q215" t="s" s="11">
        <v>1767</v>
      </c>
      <c r="R215" t="s" s="11">
        <v>304</v>
      </c>
      <c r="S215" t="s" s="11">
        <v>34</v>
      </c>
      <c r="T215" t="s" s="13">
        <v>1768</v>
      </c>
      <c r="U215" t="s" s="11">
        <v>135</v>
      </c>
      <c r="V215" t="s" s="13">
        <v>1769</v>
      </c>
      <c r="W215" t="s" s="11">
        <v>1770</v>
      </c>
      <c r="X215" s="17">
        <f>HYPERLINK("https://my.pitchbook.com?p=249759-73P", "View People Online")</f>
      </c>
    </row>
    <row r="216">
      <c r="A216" t="s" s="10">
        <v>1771</v>
      </c>
      <c r="B216" t="s" s="10">
        <v>1772</v>
      </c>
      <c r="C216" t="s" s="10">
        <v>34</v>
      </c>
      <c r="D216" t="s" s="10">
        <v>1760</v>
      </c>
      <c r="E216" t="s" s="10">
        <v>1734</v>
      </c>
      <c r="F216" t="s" s="10">
        <v>1773</v>
      </c>
      <c r="G216" t="s" s="10">
        <v>1774</v>
      </c>
      <c r="H216" s="16">
        <f>HYPERLINK("http://www.snicapitaladvisors.com", "www.snicapitaladvisors.com")</f>
      </c>
      <c r="I216" t="s" s="10">
        <v>839</v>
      </c>
      <c r="J216" t="s" s="24">
        <v>34</v>
      </c>
      <c r="K216" s="24">
        <v>1</v>
      </c>
      <c r="L216" t="s" s="24">
        <v>34</v>
      </c>
      <c r="M216" t="s" s="12">
        <v>1764</v>
      </c>
      <c r="N216" t="s" s="10">
        <v>1775</v>
      </c>
      <c r="O216" t="s" s="10">
        <v>301</v>
      </c>
      <c r="P216" t="s" s="10">
        <v>1766</v>
      </c>
      <c r="Q216" t="s" s="10">
        <v>1767</v>
      </c>
      <c r="R216" t="s" s="10">
        <v>304</v>
      </c>
      <c r="S216" t="s" s="10">
        <v>34</v>
      </c>
      <c r="T216" t="s" s="12">
        <v>1768</v>
      </c>
      <c r="U216" t="s" s="10">
        <v>135</v>
      </c>
      <c r="V216" t="s" s="12">
        <v>1769</v>
      </c>
      <c r="W216" t="s" s="10">
        <v>1776</v>
      </c>
      <c r="X216" s="16">
        <f>HYPERLINK("https://my.pitchbook.com?p=249762-88P", "View People Online")</f>
      </c>
    </row>
    <row r="217">
      <c r="A217" t="s" s="11">
        <v>1777</v>
      </c>
      <c r="B217" t="s" s="11">
        <v>1778</v>
      </c>
      <c r="C217" t="s" s="11">
        <v>34</v>
      </c>
      <c r="D217" t="s" s="11">
        <v>1779</v>
      </c>
      <c r="E217" t="s" s="11">
        <v>1734</v>
      </c>
      <c r="F217" t="s" s="11">
        <v>1780</v>
      </c>
      <c r="G217" t="s" s="11">
        <v>1781</v>
      </c>
      <c r="H217" s="17">
        <f>HYPERLINK("http://www.snicapitaladvisors.com", "www.snicapitaladvisors.com")</f>
      </c>
      <c r="I217" t="s" s="11">
        <v>34</v>
      </c>
      <c r="J217" t="s" s="25">
        <v>34</v>
      </c>
      <c r="K217" t="s" s="25">
        <v>34</v>
      </c>
      <c r="L217" t="s" s="25">
        <v>34</v>
      </c>
      <c r="M217" t="s" s="13">
        <v>34</v>
      </c>
      <c r="N217" t="s" s="11">
        <v>34</v>
      </c>
      <c r="O217" t="s" s="11">
        <v>34</v>
      </c>
      <c r="P217" t="s" s="11">
        <v>34</v>
      </c>
      <c r="Q217" t="s" s="11">
        <v>34</v>
      </c>
      <c r="R217" t="s" s="11">
        <v>34</v>
      </c>
      <c r="S217" t="s" s="11">
        <v>34</v>
      </c>
      <c r="T217" t="s" s="13">
        <v>34</v>
      </c>
      <c r="U217" t="s" s="11">
        <v>34</v>
      </c>
      <c r="V217" t="s" s="13">
        <v>34</v>
      </c>
      <c r="W217" t="s" s="11">
        <v>1782</v>
      </c>
      <c r="X217" s="17">
        <f>HYPERLINK("https://my.pitchbook.com?p=235162-54P", "View People Online")</f>
      </c>
    </row>
    <row r="218">
      <c r="A218" t="s" s="10">
        <v>1783</v>
      </c>
      <c r="B218" t="s" s="10">
        <v>1784</v>
      </c>
      <c r="C218" t="s" s="10">
        <v>34</v>
      </c>
      <c r="D218" t="s" s="10">
        <v>1785</v>
      </c>
      <c r="E218" t="s" s="10">
        <v>1734</v>
      </c>
      <c r="F218" t="s" s="10">
        <v>1786</v>
      </c>
      <c r="G218" t="s" s="10">
        <v>1787</v>
      </c>
      <c r="H218" s="16">
        <f>HYPERLINK("http://www.pollinationgroup.com", "www.pollinationgroup.com")</f>
      </c>
      <c r="I218" t="s" s="10">
        <v>246</v>
      </c>
      <c r="J218" s="24">
        <v>1</v>
      </c>
      <c r="K218" s="24">
        <v>1</v>
      </c>
      <c r="L218" t="s" s="24">
        <v>34</v>
      </c>
      <c r="M218" t="s" s="12">
        <v>1789</v>
      </c>
      <c r="N218" t="s" s="10">
        <v>1790</v>
      </c>
      <c r="O218" t="s" s="10">
        <v>43</v>
      </c>
      <c r="P218" t="s" s="10">
        <v>1791</v>
      </c>
      <c r="Q218" t="s" s="10">
        <v>34</v>
      </c>
      <c r="R218" t="s" s="10">
        <v>46</v>
      </c>
      <c r="S218" t="s" s="10">
        <v>47</v>
      </c>
      <c r="T218" t="s" s="12">
        <v>1792</v>
      </c>
      <c r="U218" t="s" s="10">
        <v>49</v>
      </c>
      <c r="V218" t="s" s="12">
        <v>34</v>
      </c>
      <c r="W218" t="s" s="10">
        <v>1793</v>
      </c>
      <c r="X218" s="16">
        <f>HYPERLINK("https://my.pitchbook.com?p=318293-20P", "View People Online")</f>
      </c>
    </row>
    <row r="219">
      <c r="A219" t="s" s="11">
        <v>1794</v>
      </c>
      <c r="B219" t="s" s="11">
        <v>1795</v>
      </c>
      <c r="C219" t="s" s="11">
        <v>34</v>
      </c>
      <c r="D219" t="s" s="11">
        <v>1779</v>
      </c>
      <c r="E219" t="s" s="11">
        <v>1734</v>
      </c>
      <c r="F219" t="s" s="11">
        <v>1796</v>
      </c>
      <c r="G219" t="s" s="11">
        <v>1797</v>
      </c>
      <c r="H219" s="17">
        <f>HYPERLINK("http://www.snicapitaladvisors.com", "www.snicapitaladvisors.com")</f>
      </c>
      <c r="I219" t="s" s="11">
        <v>34</v>
      </c>
      <c r="J219" t="s" s="25">
        <v>34</v>
      </c>
      <c r="K219" t="s" s="25">
        <v>34</v>
      </c>
      <c r="L219" t="s" s="25">
        <v>34</v>
      </c>
      <c r="M219" t="s" s="13">
        <v>34</v>
      </c>
      <c r="N219" t="s" s="11">
        <v>34</v>
      </c>
      <c r="O219" t="s" s="11">
        <v>34</v>
      </c>
      <c r="P219" t="s" s="11">
        <v>34</v>
      </c>
      <c r="Q219" t="s" s="11">
        <v>34</v>
      </c>
      <c r="R219" t="s" s="11">
        <v>34</v>
      </c>
      <c r="S219" t="s" s="11">
        <v>34</v>
      </c>
      <c r="T219" t="s" s="13">
        <v>34</v>
      </c>
      <c r="U219" t="s" s="11">
        <v>34</v>
      </c>
      <c r="V219" t="s" s="13">
        <v>34</v>
      </c>
      <c r="W219" t="s" s="11">
        <v>1798</v>
      </c>
      <c r="X219" s="17">
        <f>HYPERLINK("https://my.pitchbook.com?p=235178-29P", "View People Online")</f>
      </c>
    </row>
    <row r="220">
      <c r="A220" t="s" s="10">
        <v>1799</v>
      </c>
      <c r="B220" t="s" s="10">
        <v>1800</v>
      </c>
      <c r="C220" t="s" s="10">
        <v>34</v>
      </c>
      <c r="D220" t="s" s="10">
        <v>1801</v>
      </c>
      <c r="E220" t="s" s="10">
        <v>1734</v>
      </c>
      <c r="F220" t="s" s="10">
        <v>1802</v>
      </c>
      <c r="G220" t="s" s="10">
        <v>1803</v>
      </c>
      <c r="H220" s="16">
        <f>HYPERLINK("http://www.uscwealth.com", "www.uscwealth.com")</f>
      </c>
      <c r="I220" t="s" s="10">
        <v>1358</v>
      </c>
      <c r="J220" t="s" s="24">
        <v>34</v>
      </c>
      <c r="K220" s="24">
        <v>1</v>
      </c>
      <c r="L220" t="s" s="24">
        <v>34</v>
      </c>
      <c r="M220" t="s" s="12">
        <v>1805</v>
      </c>
      <c r="N220" t="s" s="10">
        <v>1806</v>
      </c>
      <c r="O220" t="s" s="10">
        <v>1807</v>
      </c>
      <c r="P220" t="s" s="10">
        <v>1808</v>
      </c>
      <c r="Q220" t="s" s="10">
        <v>1809</v>
      </c>
      <c r="R220" t="s" s="10">
        <v>1810</v>
      </c>
      <c r="S220" t="s" s="10">
        <v>225</v>
      </c>
      <c r="T220" t="s" s="12">
        <v>1811</v>
      </c>
      <c r="U220" t="s" s="10">
        <v>88</v>
      </c>
      <c r="V220" t="s" s="12">
        <v>34</v>
      </c>
      <c r="W220" t="s" s="10">
        <v>1812</v>
      </c>
      <c r="X220" s="16">
        <f>HYPERLINK("https://my.pitchbook.com?p=262689-22P", "View People Online")</f>
      </c>
    </row>
    <row r="221">
      <c r="A221" t="s" s="11">
        <v>1813</v>
      </c>
      <c r="B221" t="s" s="11">
        <v>1814</v>
      </c>
      <c r="C221" t="s" s="11">
        <v>34</v>
      </c>
      <c r="D221" t="s" s="11">
        <v>1815</v>
      </c>
      <c r="E221" t="s" s="11">
        <v>1816</v>
      </c>
      <c r="F221" t="s" s="11">
        <v>1817</v>
      </c>
      <c r="G221" t="s" s="11">
        <v>1311</v>
      </c>
      <c r="H221" s="17">
        <f>HYPERLINK("http://www.duchyoflancaster.co.uk", "www.duchyoflancaster.co.uk")</f>
      </c>
      <c r="I221" t="s" s="11">
        <v>1819</v>
      </c>
      <c r="J221" t="s" s="25">
        <v>34</v>
      </c>
      <c r="K221" t="s" s="25">
        <v>34</v>
      </c>
      <c r="L221" t="s" s="25">
        <v>34</v>
      </c>
      <c r="M221" t="s" s="13">
        <v>34</v>
      </c>
      <c r="N221" t="s" s="11">
        <v>34</v>
      </c>
      <c r="O221" t="s" s="11">
        <v>34</v>
      </c>
      <c r="P221" t="s" s="11">
        <v>34</v>
      </c>
      <c r="Q221" t="s" s="11">
        <v>34</v>
      </c>
      <c r="R221" t="s" s="11">
        <v>34</v>
      </c>
      <c r="S221" t="s" s="11">
        <v>34</v>
      </c>
      <c r="T221" t="s" s="13">
        <v>34</v>
      </c>
      <c r="U221" t="s" s="11">
        <v>34</v>
      </c>
      <c r="V221" t="s" s="13">
        <v>34</v>
      </c>
      <c r="W221" t="s" s="11">
        <v>1820</v>
      </c>
      <c r="X221" s="17">
        <f>HYPERLINK("https://my.pitchbook.com?p=198630-82P", "View People Online")</f>
      </c>
    </row>
    <row r="222">
      <c r="A222" t="s" s="10">
        <v>1821</v>
      </c>
      <c r="B222" t="s" s="10">
        <v>1822</v>
      </c>
      <c r="C222" t="s" s="10">
        <v>34</v>
      </c>
      <c r="D222" t="s" s="10">
        <v>1823</v>
      </c>
      <c r="E222" t="s" s="10">
        <v>1816</v>
      </c>
      <c r="F222" t="s" s="10">
        <v>1824</v>
      </c>
      <c r="G222" t="s" s="10">
        <v>1825</v>
      </c>
      <c r="H222" s="16">
        <f>HYPERLINK("http://www.duchyoflancaster.co.uk", "www.duchyoflancaster.co.uk")</f>
      </c>
      <c r="I222" t="s" s="10">
        <v>1826</v>
      </c>
      <c r="J222" t="s" s="24">
        <v>34</v>
      </c>
      <c r="K222" s="24">
        <v>1</v>
      </c>
      <c r="L222" t="s" s="24">
        <v>34</v>
      </c>
      <c r="M222" t="s" s="12">
        <v>1827</v>
      </c>
      <c r="N222" t="s" s="10">
        <v>1828</v>
      </c>
      <c r="O222" t="s" s="10">
        <v>43</v>
      </c>
      <c r="P222" t="s" s="10">
        <v>1829</v>
      </c>
      <c r="Q222" t="s" s="10">
        <v>1830</v>
      </c>
      <c r="R222" t="s" s="10">
        <v>46</v>
      </c>
      <c r="S222" t="s" s="10">
        <v>47</v>
      </c>
      <c r="T222" t="s" s="12">
        <v>1831</v>
      </c>
      <c r="U222" t="s" s="10">
        <v>49</v>
      </c>
      <c r="V222" t="s" s="12">
        <v>34</v>
      </c>
      <c r="W222" t="s" s="10">
        <v>1832</v>
      </c>
      <c r="X222" s="16">
        <f>HYPERLINK("https://my.pitchbook.com?p=428207-05P", "View People Online")</f>
      </c>
    </row>
    <row r="223">
      <c r="A223" t="s" s="11">
        <v>1833</v>
      </c>
      <c r="B223" t="s" s="11">
        <v>1834</v>
      </c>
      <c r="C223" t="s" s="11">
        <v>34</v>
      </c>
      <c r="D223" t="s" s="11">
        <v>1823</v>
      </c>
      <c r="E223" t="s" s="11">
        <v>1816</v>
      </c>
      <c r="F223" t="s" s="11">
        <v>1835</v>
      </c>
      <c r="G223" t="s" s="11">
        <v>1836</v>
      </c>
      <c r="H223" s="17">
        <f>HYPERLINK("http://www.duchyoflancaster.co.uk", "www.duchyoflancaster.co.uk")</f>
      </c>
      <c r="I223" t="s" s="11">
        <v>1837</v>
      </c>
      <c r="J223" s="25">
        <v>1</v>
      </c>
      <c r="K223" s="25">
        <v>1</v>
      </c>
      <c r="L223" t="s" s="25">
        <v>34</v>
      </c>
      <c r="M223" t="s" s="13">
        <v>1827</v>
      </c>
      <c r="N223" t="s" s="11">
        <v>34</v>
      </c>
      <c r="O223" t="s" s="11">
        <v>43</v>
      </c>
      <c r="P223" t="s" s="11">
        <v>1829</v>
      </c>
      <c r="Q223" t="s" s="11">
        <v>1830</v>
      </c>
      <c r="R223" t="s" s="11">
        <v>46</v>
      </c>
      <c r="S223" t="s" s="11">
        <v>47</v>
      </c>
      <c r="T223" t="s" s="13">
        <v>1831</v>
      </c>
      <c r="U223" t="s" s="11">
        <v>49</v>
      </c>
      <c r="V223" t="s" s="13">
        <v>34</v>
      </c>
      <c r="W223" t="s" s="11">
        <v>1838</v>
      </c>
      <c r="X223" s="17">
        <f>HYPERLINK("https://my.pitchbook.com?p=428208-04P", "View People Online")</f>
      </c>
    </row>
    <row r="224">
      <c r="A224" t="s" s="10">
        <v>1839</v>
      </c>
      <c r="B224" t="s" s="10">
        <v>1840</v>
      </c>
      <c r="C224" t="s" s="10">
        <v>34</v>
      </c>
      <c r="D224" t="s" s="10">
        <v>1841</v>
      </c>
      <c r="E224" t="s" s="10">
        <v>1816</v>
      </c>
      <c r="F224" t="s" s="10">
        <v>1842</v>
      </c>
      <c r="G224" t="s" s="10">
        <v>1843</v>
      </c>
      <c r="H224" s="16">
        <f>HYPERLINK("http://joanmitchellfoundation.org", "joanmitchellfoundation.org")</f>
      </c>
      <c r="I224" t="s" s="10">
        <v>649</v>
      </c>
      <c r="J224" s="24">
        <v>1</v>
      </c>
      <c r="K224" s="24">
        <v>1</v>
      </c>
      <c r="L224" t="s" s="24">
        <v>34</v>
      </c>
      <c r="M224" t="s" s="12">
        <v>1845</v>
      </c>
      <c r="N224" t="s" s="10">
        <v>34</v>
      </c>
      <c r="O224" t="s" s="10">
        <v>84</v>
      </c>
      <c r="P224" t="s" s="10">
        <v>1846</v>
      </c>
      <c r="Q224" t="s" s="10">
        <v>1847</v>
      </c>
      <c r="R224" t="s" s="10">
        <v>86</v>
      </c>
      <c r="S224" t="s" s="10">
        <v>86</v>
      </c>
      <c r="T224" t="s" s="12">
        <v>1848</v>
      </c>
      <c r="U224" t="s" s="10">
        <v>88</v>
      </c>
      <c r="V224" t="s" s="12">
        <v>34</v>
      </c>
      <c r="W224" t="s" s="10">
        <v>1849</v>
      </c>
      <c r="X224" s="16">
        <f>HYPERLINK("https://my.pitchbook.com?p=385887-52P", "View People Online")</f>
      </c>
    </row>
    <row r="225">
      <c r="A225" t="s" s="11">
        <v>1850</v>
      </c>
      <c r="B225" t="s" s="11">
        <v>1851</v>
      </c>
      <c r="C225" t="s" s="11">
        <v>34</v>
      </c>
      <c r="D225" t="s" s="11">
        <v>1815</v>
      </c>
      <c r="E225" t="s" s="11">
        <v>1816</v>
      </c>
      <c r="F225" t="s" s="11">
        <v>1852</v>
      </c>
      <c r="G225" t="s" s="11">
        <v>1853</v>
      </c>
      <c r="H225" s="17">
        <f>HYPERLINK("http://www.duchyoflancaster.co.uk", "www.duchyoflancaster.co.uk")</f>
      </c>
      <c r="I225" t="s" s="11">
        <v>1854</v>
      </c>
      <c r="J225" t="s" s="25">
        <v>34</v>
      </c>
      <c r="K225" t="s" s="25">
        <v>34</v>
      </c>
      <c r="L225" t="s" s="25">
        <v>34</v>
      </c>
      <c r="M225" t="s" s="13">
        <v>34</v>
      </c>
      <c r="N225" t="s" s="11">
        <v>34</v>
      </c>
      <c r="O225" t="s" s="11">
        <v>34</v>
      </c>
      <c r="P225" t="s" s="11">
        <v>34</v>
      </c>
      <c r="Q225" t="s" s="11">
        <v>34</v>
      </c>
      <c r="R225" t="s" s="11">
        <v>34</v>
      </c>
      <c r="S225" t="s" s="11">
        <v>34</v>
      </c>
      <c r="T225" t="s" s="13">
        <v>34</v>
      </c>
      <c r="U225" t="s" s="11">
        <v>34</v>
      </c>
      <c r="V225" t="s" s="13">
        <v>34</v>
      </c>
      <c r="W225" t="s" s="11">
        <v>1855</v>
      </c>
      <c r="X225" s="17">
        <f>HYPERLINK("https://my.pitchbook.com?p=55688-05P", "View People Online")</f>
      </c>
    </row>
    <row r="226">
      <c r="A226" t="s" s="10">
        <v>1856</v>
      </c>
      <c r="B226" t="s" s="10">
        <v>1857</v>
      </c>
      <c r="C226" t="s" s="10">
        <v>34</v>
      </c>
      <c r="D226" t="s" s="10">
        <v>1815</v>
      </c>
      <c r="E226" t="s" s="10">
        <v>1816</v>
      </c>
      <c r="F226" t="s" s="10">
        <v>1858</v>
      </c>
      <c r="G226" t="s" s="10">
        <v>216</v>
      </c>
      <c r="H226" s="16">
        <f>HYPERLINK("http://www.duchyoflancaster.co.uk", "www.duchyoflancaster.co.uk")</f>
      </c>
      <c r="I226" t="s" s="10">
        <v>1312</v>
      </c>
      <c r="J226" t="s" s="24">
        <v>34</v>
      </c>
      <c r="K226" t="s" s="24">
        <v>34</v>
      </c>
      <c r="L226" t="s" s="24">
        <v>34</v>
      </c>
      <c r="M226" t="s" s="12">
        <v>34</v>
      </c>
      <c r="N226" t="s" s="10">
        <v>34</v>
      </c>
      <c r="O226" t="s" s="10">
        <v>34</v>
      </c>
      <c r="P226" t="s" s="10">
        <v>34</v>
      </c>
      <c r="Q226" t="s" s="10">
        <v>34</v>
      </c>
      <c r="R226" t="s" s="10">
        <v>34</v>
      </c>
      <c r="S226" t="s" s="10">
        <v>34</v>
      </c>
      <c r="T226" t="s" s="12">
        <v>34</v>
      </c>
      <c r="U226" t="s" s="10">
        <v>34</v>
      </c>
      <c r="V226" t="s" s="12">
        <v>34</v>
      </c>
      <c r="W226" t="s" s="10">
        <v>1859</v>
      </c>
      <c r="X226" s="16">
        <f>HYPERLINK("https://my.pitchbook.com?p=198631-09P", "View People Online")</f>
      </c>
    </row>
    <row r="227">
      <c r="A227" t="s" s="11">
        <v>1860</v>
      </c>
      <c r="B227" t="s" s="11">
        <v>1861</v>
      </c>
      <c r="C227" t="s" s="11">
        <v>34</v>
      </c>
      <c r="D227" t="s" s="11">
        <v>1862</v>
      </c>
      <c r="E227" t="s" s="11">
        <v>1816</v>
      </c>
      <c r="F227" t="s" s="11">
        <v>1863</v>
      </c>
      <c r="G227" t="s" s="11">
        <v>1864</v>
      </c>
      <c r="H227" s="17">
        <f>HYPERLINK("http://www.pwcf.org.uk", "www.pwcf.org.uk")</f>
      </c>
      <c r="I227" t="s" s="11">
        <v>1866</v>
      </c>
      <c r="J227" t="s" s="25">
        <v>34</v>
      </c>
      <c r="K227" s="25">
        <v>1</v>
      </c>
      <c r="L227" t="s" s="25">
        <v>34</v>
      </c>
      <c r="M227" t="s" s="13">
        <v>34</v>
      </c>
      <c r="N227" t="s" s="11">
        <v>1867</v>
      </c>
      <c r="O227" t="s" s="11">
        <v>43</v>
      </c>
      <c r="P227" t="s" s="11">
        <v>1868</v>
      </c>
      <c r="Q227" t="s" s="11">
        <v>1869</v>
      </c>
      <c r="R227" t="s" s="11">
        <v>46</v>
      </c>
      <c r="S227" t="s" s="11">
        <v>47</v>
      </c>
      <c r="T227" t="s" s="13">
        <v>1870</v>
      </c>
      <c r="U227" t="s" s="11">
        <v>49</v>
      </c>
      <c r="V227" t="s" s="13">
        <v>34</v>
      </c>
      <c r="W227" t="s" s="11">
        <v>1871</v>
      </c>
      <c r="X227" s="17">
        <f>HYPERLINK("https://my.pitchbook.com?p=415766-35P", "View People Online")</f>
      </c>
    </row>
    <row r="228">
      <c r="A228" t="s" s="10">
        <v>1872</v>
      </c>
      <c r="B228" t="s" s="10">
        <v>1873</v>
      </c>
      <c r="C228" t="s" s="10">
        <v>34</v>
      </c>
      <c r="D228" t="s" s="10">
        <v>1823</v>
      </c>
      <c r="E228" t="s" s="10">
        <v>1816</v>
      </c>
      <c r="F228" t="s" s="10">
        <v>1874</v>
      </c>
      <c r="G228" t="s" s="10">
        <v>1875</v>
      </c>
      <c r="H228" s="16">
        <f>HYPERLINK("http://www.duchyoflancaster.co.uk", "www.duchyoflancaster.co.uk")</f>
      </c>
      <c r="I228" t="s" s="10">
        <v>1876</v>
      </c>
      <c r="J228" t="s" s="24">
        <v>34</v>
      </c>
      <c r="K228" s="24">
        <v>1</v>
      </c>
      <c r="L228" t="s" s="24">
        <v>34</v>
      </c>
      <c r="M228" t="s" s="12">
        <v>1827</v>
      </c>
      <c r="N228" t="s" s="10">
        <v>1877</v>
      </c>
      <c r="O228" t="s" s="10">
        <v>43</v>
      </c>
      <c r="P228" t="s" s="10">
        <v>1829</v>
      </c>
      <c r="Q228" t="s" s="10">
        <v>1830</v>
      </c>
      <c r="R228" t="s" s="10">
        <v>46</v>
      </c>
      <c r="S228" t="s" s="10">
        <v>47</v>
      </c>
      <c r="T228" t="s" s="12">
        <v>1831</v>
      </c>
      <c r="U228" t="s" s="10">
        <v>49</v>
      </c>
      <c r="V228" t="s" s="12">
        <v>34</v>
      </c>
      <c r="W228" t="s" s="10">
        <v>1878</v>
      </c>
      <c r="X228" s="16">
        <f>HYPERLINK("https://my.pitchbook.com?p=382987-27P", "View People Online")</f>
      </c>
    </row>
    <row r="229">
      <c r="A229" t="s" s="11">
        <v>1879</v>
      </c>
      <c r="B229" t="s" s="11">
        <v>1880</v>
      </c>
      <c r="C229" t="s" s="11">
        <v>34</v>
      </c>
      <c r="D229" t="s" s="11">
        <v>1815</v>
      </c>
      <c r="E229" t="s" s="11">
        <v>1816</v>
      </c>
      <c r="F229" t="s" s="11">
        <v>1881</v>
      </c>
      <c r="G229" t="s" s="11">
        <v>1875</v>
      </c>
      <c r="H229" s="17">
        <f>HYPERLINK("http://www.duchyoflancaster.co.uk", "www.duchyoflancaster.co.uk")</f>
      </c>
      <c r="I229" t="s" s="11">
        <v>1837</v>
      </c>
      <c r="J229" t="s" s="25">
        <v>34</v>
      </c>
      <c r="K229" t="s" s="25">
        <v>34</v>
      </c>
      <c r="L229" t="s" s="25">
        <v>34</v>
      </c>
      <c r="M229" t="s" s="13">
        <v>34</v>
      </c>
      <c r="N229" t="s" s="11">
        <v>34</v>
      </c>
      <c r="O229" t="s" s="11">
        <v>34</v>
      </c>
      <c r="P229" t="s" s="11">
        <v>34</v>
      </c>
      <c r="Q229" t="s" s="11">
        <v>34</v>
      </c>
      <c r="R229" t="s" s="11">
        <v>34</v>
      </c>
      <c r="S229" t="s" s="11">
        <v>34</v>
      </c>
      <c r="T229" t="s" s="13">
        <v>34</v>
      </c>
      <c r="U229" t="s" s="11">
        <v>34</v>
      </c>
      <c r="V229" t="s" s="13">
        <v>34</v>
      </c>
      <c r="W229" t="s" s="11">
        <v>1882</v>
      </c>
      <c r="X229" s="17">
        <f>HYPERLINK("https://my.pitchbook.com?p=383021-56P", "View People Online")</f>
      </c>
    </row>
    <row r="230">
      <c r="A230" t="s" s="10">
        <v>1883</v>
      </c>
      <c r="B230" t="s" s="10">
        <v>1884</v>
      </c>
      <c r="C230" t="s" s="10">
        <v>34</v>
      </c>
      <c r="D230" t="s" s="10">
        <v>1885</v>
      </c>
      <c r="E230" t="s" s="10">
        <v>1816</v>
      </c>
      <c r="F230" t="s" s="10">
        <v>1886</v>
      </c>
      <c r="G230" t="s" s="10">
        <v>1887</v>
      </c>
      <c r="H230" s="16">
        <f>HYPERLINK("http://oglesbycharitabletrust.org.uk", "oglesbycharitabletrust.org.uk")</f>
      </c>
      <c r="I230" t="s" s="10">
        <v>1889</v>
      </c>
      <c r="J230" t="s" s="24">
        <v>34</v>
      </c>
      <c r="K230" s="24">
        <v>1</v>
      </c>
      <c r="L230" t="s" s="24">
        <v>34</v>
      </c>
      <c r="M230" t="s" s="12">
        <v>34</v>
      </c>
      <c r="N230" t="s" s="10">
        <v>1890</v>
      </c>
      <c r="O230" t="s" s="10">
        <v>1075</v>
      </c>
      <c r="P230" t="s" s="10">
        <v>1891</v>
      </c>
      <c r="Q230" t="s" s="10">
        <v>34</v>
      </c>
      <c r="R230" t="s" s="10">
        <v>1077</v>
      </c>
      <c r="S230" t="s" s="10">
        <v>47</v>
      </c>
      <c r="T230" t="s" s="12">
        <v>1892</v>
      </c>
      <c r="U230" t="s" s="10">
        <v>49</v>
      </c>
      <c r="V230" t="s" s="12">
        <v>34</v>
      </c>
      <c r="W230" t="s" s="10">
        <v>1893</v>
      </c>
      <c r="X230" s="16">
        <f>HYPERLINK("https://my.pitchbook.com?p=423321-58P", "View People Online")</f>
      </c>
    </row>
    <row r="231">
      <c r="A231" t="s" s="11">
        <v>1894</v>
      </c>
      <c r="B231" t="s" s="11">
        <v>1895</v>
      </c>
      <c r="C231" t="s" s="11">
        <v>34</v>
      </c>
      <c r="D231" t="s" s="11">
        <v>1896</v>
      </c>
      <c r="E231" t="s" s="11">
        <v>1816</v>
      </c>
      <c r="F231" t="s" s="11">
        <v>1897</v>
      </c>
      <c r="G231" t="s" s="11">
        <v>253</v>
      </c>
      <c r="H231" s="17">
        <f>HYPERLINK("http://www.getty.edu", "www.getty.edu")</f>
      </c>
      <c r="I231" t="s" s="11">
        <v>1899</v>
      </c>
      <c r="J231" t="s" s="25">
        <v>34</v>
      </c>
      <c r="K231" s="25">
        <v>1</v>
      </c>
      <c r="L231" t="s" s="25">
        <v>34</v>
      </c>
      <c r="M231" t="s" s="13">
        <v>1900</v>
      </c>
      <c r="N231" t="s" s="11">
        <v>34</v>
      </c>
      <c r="O231" t="s" s="11">
        <v>1901</v>
      </c>
      <c r="P231" t="s" s="11">
        <v>1902</v>
      </c>
      <c r="Q231" t="s" s="11">
        <v>34</v>
      </c>
      <c r="R231" t="s" s="11">
        <v>1903</v>
      </c>
      <c r="S231" t="s" s="11">
        <v>1904</v>
      </c>
      <c r="T231" t="s" s="13">
        <v>1905</v>
      </c>
      <c r="U231" t="s" s="11">
        <v>88</v>
      </c>
      <c r="V231" t="s" s="13">
        <v>1906</v>
      </c>
      <c r="W231" t="s" s="11">
        <v>1907</v>
      </c>
      <c r="X231" s="17">
        <f>HYPERLINK("https://my.pitchbook.com?p=16304-05P", "View People Online")</f>
      </c>
    </row>
    <row r="232">
      <c r="A232" t="s" s="10">
        <v>1908</v>
      </c>
      <c r="B232" t="s" s="10">
        <v>1909</v>
      </c>
      <c r="C232" t="s" s="10">
        <v>34</v>
      </c>
      <c r="D232" t="s" s="10">
        <v>1823</v>
      </c>
      <c r="E232" t="s" s="10">
        <v>1816</v>
      </c>
      <c r="F232" t="s" s="10">
        <v>1910</v>
      </c>
      <c r="G232" t="s" s="10">
        <v>1911</v>
      </c>
      <c r="H232" s="16">
        <f>HYPERLINK("http://www.duchyoflancaster.co.uk", "www.duchyoflancaster.co.uk")</f>
      </c>
      <c r="I232" t="s" s="10">
        <v>1912</v>
      </c>
      <c r="J232" t="s" s="24">
        <v>34</v>
      </c>
      <c r="K232" s="24">
        <v>1</v>
      </c>
      <c r="L232" t="s" s="24">
        <v>34</v>
      </c>
      <c r="M232" t="s" s="12">
        <v>1827</v>
      </c>
      <c r="N232" t="s" s="10">
        <v>1913</v>
      </c>
      <c r="O232" t="s" s="10">
        <v>43</v>
      </c>
      <c r="P232" t="s" s="10">
        <v>1829</v>
      </c>
      <c r="Q232" t="s" s="10">
        <v>1830</v>
      </c>
      <c r="R232" t="s" s="10">
        <v>46</v>
      </c>
      <c r="S232" t="s" s="10">
        <v>47</v>
      </c>
      <c r="T232" t="s" s="12">
        <v>1831</v>
      </c>
      <c r="U232" t="s" s="10">
        <v>49</v>
      </c>
      <c r="V232" t="s" s="12">
        <v>34</v>
      </c>
      <c r="W232" t="s" s="10">
        <v>1914</v>
      </c>
      <c r="X232" s="16">
        <f>HYPERLINK("https://my.pitchbook.com?p=382986-82P", "View People Online")</f>
      </c>
    </row>
    <row r="233">
      <c r="A233" t="s" s="11">
        <v>1915</v>
      </c>
      <c r="B233" t="s" s="11">
        <v>1916</v>
      </c>
      <c r="C233" t="s" s="11">
        <v>34</v>
      </c>
      <c r="D233" t="s" s="11">
        <v>1862</v>
      </c>
      <c r="E233" t="s" s="11">
        <v>1816</v>
      </c>
      <c r="F233" t="s" s="11">
        <v>1917</v>
      </c>
      <c r="G233" t="s" s="11">
        <v>1918</v>
      </c>
      <c r="H233" s="17">
        <f>HYPERLINK("http://www.pwcf.org.uk", "www.pwcf.org.uk")</f>
      </c>
      <c r="I233" t="s" s="11">
        <v>1207</v>
      </c>
      <c r="J233" s="25">
        <v>1</v>
      </c>
      <c r="K233" s="25">
        <v>2</v>
      </c>
      <c r="L233" t="s" s="25">
        <v>34</v>
      </c>
      <c r="M233" t="s" s="13">
        <v>34</v>
      </c>
      <c r="N233" t="s" s="11">
        <v>34</v>
      </c>
      <c r="O233" t="s" s="11">
        <v>43</v>
      </c>
      <c r="P233" t="s" s="11">
        <v>1868</v>
      </c>
      <c r="Q233" t="s" s="11">
        <v>1869</v>
      </c>
      <c r="R233" t="s" s="11">
        <v>46</v>
      </c>
      <c r="S233" t="s" s="11">
        <v>47</v>
      </c>
      <c r="T233" t="s" s="13">
        <v>1870</v>
      </c>
      <c r="U233" t="s" s="11">
        <v>49</v>
      </c>
      <c r="V233" t="s" s="13">
        <v>34</v>
      </c>
      <c r="W233" t="s" s="11">
        <v>1919</v>
      </c>
      <c r="X233" s="17">
        <f>HYPERLINK("https://my.pitchbook.com?p=246027-79P", "View People Online")</f>
      </c>
    </row>
    <row r="234">
      <c r="A234" t="s" s="10">
        <v>1920</v>
      </c>
      <c r="B234" t="s" s="10">
        <v>1921</v>
      </c>
      <c r="C234" t="s" s="10">
        <v>34</v>
      </c>
      <c r="D234" t="s" s="10">
        <v>1815</v>
      </c>
      <c r="E234" t="s" s="10">
        <v>1816</v>
      </c>
      <c r="F234" t="s" s="10">
        <v>1922</v>
      </c>
      <c r="G234" t="s" s="10">
        <v>1159</v>
      </c>
      <c r="H234" s="16">
        <f>HYPERLINK("http://www.duchyoflancaster.co.uk", "www.duchyoflancaster.co.uk")</f>
      </c>
      <c r="I234" t="s" s="10">
        <v>1819</v>
      </c>
      <c r="J234" t="s" s="24">
        <v>34</v>
      </c>
      <c r="K234" t="s" s="24">
        <v>34</v>
      </c>
      <c r="L234" t="s" s="24">
        <v>34</v>
      </c>
      <c r="M234" t="s" s="12">
        <v>34</v>
      </c>
      <c r="N234" t="s" s="10">
        <v>34</v>
      </c>
      <c r="O234" t="s" s="10">
        <v>34</v>
      </c>
      <c r="P234" t="s" s="10">
        <v>34</v>
      </c>
      <c r="Q234" t="s" s="10">
        <v>34</v>
      </c>
      <c r="R234" t="s" s="10">
        <v>34</v>
      </c>
      <c r="S234" t="s" s="10">
        <v>34</v>
      </c>
      <c r="T234" t="s" s="12">
        <v>34</v>
      </c>
      <c r="U234" t="s" s="10">
        <v>34</v>
      </c>
      <c r="V234" t="s" s="12">
        <v>34</v>
      </c>
      <c r="W234" t="s" s="10">
        <v>1923</v>
      </c>
      <c r="X234" s="16">
        <f>HYPERLINK("https://my.pitchbook.com?p=55689-76P", "View People Online")</f>
      </c>
    </row>
    <row r="235">
      <c r="A235" t="s" s="11">
        <v>1924</v>
      </c>
      <c r="B235" t="s" s="11">
        <v>1925</v>
      </c>
      <c r="C235" t="s" s="11">
        <v>34</v>
      </c>
      <c r="D235" t="s" s="11">
        <v>1815</v>
      </c>
      <c r="E235" t="s" s="11">
        <v>1816</v>
      </c>
      <c r="F235" t="s" s="11">
        <v>1926</v>
      </c>
      <c r="G235" t="s" s="11">
        <v>1564</v>
      </c>
      <c r="H235" s="17">
        <f>HYPERLINK("http://www.duchyoflancaster.co.uk", "www.duchyoflancaster.co.uk")</f>
      </c>
      <c r="I235" t="s" s="11">
        <v>1819</v>
      </c>
      <c r="J235" t="s" s="25">
        <v>34</v>
      </c>
      <c r="K235" t="s" s="25">
        <v>34</v>
      </c>
      <c r="L235" t="s" s="25">
        <v>34</v>
      </c>
      <c r="M235" t="s" s="13">
        <v>34</v>
      </c>
      <c r="N235" t="s" s="11">
        <v>34</v>
      </c>
      <c r="O235" t="s" s="11">
        <v>34</v>
      </c>
      <c r="P235" t="s" s="11">
        <v>34</v>
      </c>
      <c r="Q235" t="s" s="11">
        <v>34</v>
      </c>
      <c r="R235" t="s" s="11">
        <v>34</v>
      </c>
      <c r="S235" t="s" s="11">
        <v>34</v>
      </c>
      <c r="T235" t="s" s="13">
        <v>34</v>
      </c>
      <c r="U235" t="s" s="11">
        <v>34</v>
      </c>
      <c r="V235" t="s" s="13">
        <v>34</v>
      </c>
      <c r="W235" t="s" s="11">
        <v>1927</v>
      </c>
      <c r="X235" s="17">
        <f>HYPERLINK("https://my.pitchbook.com?p=90257-41P", "View People Online")</f>
      </c>
    </row>
    <row r="236">
      <c r="A236" t="s" s="10">
        <v>1928</v>
      </c>
      <c r="B236" t="s" s="10">
        <v>1929</v>
      </c>
      <c r="C236" t="s" s="10">
        <v>34</v>
      </c>
      <c r="D236" t="s" s="10">
        <v>1815</v>
      </c>
      <c r="E236" t="s" s="10">
        <v>1816</v>
      </c>
      <c r="F236" t="s" s="10">
        <v>1930</v>
      </c>
      <c r="G236" t="s" s="10">
        <v>274</v>
      </c>
      <c r="H236" s="16">
        <f>HYPERLINK("http://www.duchyoflancaster.co.uk", "www.duchyoflancaster.co.uk")</f>
      </c>
      <c r="I236" t="s" s="10">
        <v>1931</v>
      </c>
      <c r="J236" t="s" s="24">
        <v>34</v>
      </c>
      <c r="K236" t="s" s="24">
        <v>34</v>
      </c>
      <c r="L236" t="s" s="24">
        <v>34</v>
      </c>
      <c r="M236" t="s" s="12">
        <v>34</v>
      </c>
      <c r="N236" t="s" s="10">
        <v>34</v>
      </c>
      <c r="O236" t="s" s="10">
        <v>34</v>
      </c>
      <c r="P236" t="s" s="10">
        <v>34</v>
      </c>
      <c r="Q236" t="s" s="10">
        <v>34</v>
      </c>
      <c r="R236" t="s" s="10">
        <v>34</v>
      </c>
      <c r="S236" t="s" s="10">
        <v>34</v>
      </c>
      <c r="T236" t="s" s="12">
        <v>34</v>
      </c>
      <c r="U236" t="s" s="10">
        <v>34</v>
      </c>
      <c r="V236" t="s" s="12">
        <v>34</v>
      </c>
      <c r="W236" t="s" s="10">
        <v>1932</v>
      </c>
      <c r="X236" s="16">
        <f>HYPERLINK("https://my.pitchbook.com?p=90257-05P", "View People Online")</f>
      </c>
    </row>
    <row r="237">
      <c r="A237" t="s" s="11">
        <v>1933</v>
      </c>
      <c r="B237" t="s" s="11">
        <v>1934</v>
      </c>
      <c r="C237" t="s" s="11">
        <v>34</v>
      </c>
      <c r="D237" t="s" s="11">
        <v>1935</v>
      </c>
      <c r="E237" t="s" s="11">
        <v>1816</v>
      </c>
      <c r="F237" t="s" s="11">
        <v>1936</v>
      </c>
      <c r="G237" t="s" s="11">
        <v>274</v>
      </c>
      <c r="H237" s="17">
        <f>HYPERLINK("http://meltonfoundation.org", "meltonfoundation.org")</f>
      </c>
      <c r="I237" t="s" s="11">
        <v>203</v>
      </c>
      <c r="J237" t="s" s="25">
        <v>34</v>
      </c>
      <c r="K237" t="s" s="25">
        <v>34</v>
      </c>
      <c r="L237" t="s" s="25">
        <v>34</v>
      </c>
      <c r="M237" t="s" s="13">
        <v>34</v>
      </c>
      <c r="N237" t="s" s="11">
        <v>34</v>
      </c>
      <c r="O237" t="s" s="11">
        <v>34</v>
      </c>
      <c r="P237" t="s" s="11">
        <v>34</v>
      </c>
      <c r="Q237" t="s" s="11">
        <v>34</v>
      </c>
      <c r="R237" t="s" s="11">
        <v>34</v>
      </c>
      <c r="S237" t="s" s="11">
        <v>34</v>
      </c>
      <c r="T237" t="s" s="13">
        <v>34</v>
      </c>
      <c r="U237" t="s" s="11">
        <v>34</v>
      </c>
      <c r="V237" t="s" s="13">
        <v>34</v>
      </c>
      <c r="W237" t="s" s="11">
        <v>1938</v>
      </c>
      <c r="X237" s="17">
        <f>HYPERLINK("https://my.pitchbook.com?p=95406-13P", "View People Online")</f>
      </c>
    </row>
    <row r="238">
      <c r="A238" t="s" s="10">
        <v>1939</v>
      </c>
      <c r="B238" t="s" s="10">
        <v>1940</v>
      </c>
      <c r="C238" t="s" s="10">
        <v>34</v>
      </c>
      <c r="D238" t="s" s="10">
        <v>1823</v>
      </c>
      <c r="E238" t="s" s="10">
        <v>1816</v>
      </c>
      <c r="F238" t="s" s="10">
        <v>273</v>
      </c>
      <c r="G238" t="s" s="10">
        <v>274</v>
      </c>
      <c r="H238" s="16">
        <f>HYPERLINK("http://www.duchyoflancaster.co.uk", "www.duchyoflancaster.co.uk")</f>
      </c>
      <c r="I238" t="s" s="10">
        <v>1941</v>
      </c>
      <c r="J238" s="24">
        <v>1</v>
      </c>
      <c r="K238" s="24">
        <v>1</v>
      </c>
      <c r="L238" t="s" s="24">
        <v>34</v>
      </c>
      <c r="M238" t="s" s="12">
        <v>1827</v>
      </c>
      <c r="N238" t="s" s="10">
        <v>34</v>
      </c>
      <c r="O238" t="s" s="10">
        <v>43</v>
      </c>
      <c r="P238" t="s" s="10">
        <v>1829</v>
      </c>
      <c r="Q238" t="s" s="10">
        <v>1830</v>
      </c>
      <c r="R238" t="s" s="10">
        <v>46</v>
      </c>
      <c r="S238" t="s" s="10">
        <v>47</v>
      </c>
      <c r="T238" t="s" s="12">
        <v>1831</v>
      </c>
      <c r="U238" t="s" s="10">
        <v>49</v>
      </c>
      <c r="V238" t="s" s="12">
        <v>34</v>
      </c>
      <c r="W238" t="s" s="10">
        <v>1942</v>
      </c>
      <c r="X238" s="16">
        <f>HYPERLINK("https://my.pitchbook.com?p=383020-39P", "View People Online")</f>
      </c>
    </row>
    <row r="239">
      <c r="A239" t="s" s="11">
        <v>1943</v>
      </c>
      <c r="B239" t="s" s="11">
        <v>1944</v>
      </c>
      <c r="C239" t="s" s="11">
        <v>34</v>
      </c>
      <c r="D239" t="s" s="11">
        <v>1945</v>
      </c>
      <c r="E239" t="s" s="11">
        <v>1816</v>
      </c>
      <c r="F239" t="s" s="11">
        <v>273</v>
      </c>
      <c r="G239" t="s" s="11">
        <v>274</v>
      </c>
      <c r="H239" s="17">
        <f>HYPERLINK("http://www.oct.org.nz", "www.oct.org.nz")</f>
      </c>
      <c r="I239" t="s" s="11">
        <v>1207</v>
      </c>
      <c r="J239" t="s" s="25">
        <v>34</v>
      </c>
      <c r="K239" s="25">
        <v>1</v>
      </c>
      <c r="L239" t="s" s="25">
        <v>34</v>
      </c>
      <c r="M239" t="s" s="13">
        <v>1947</v>
      </c>
      <c r="N239" t="s" s="11">
        <v>34</v>
      </c>
      <c r="O239" t="s" s="11">
        <v>1948</v>
      </c>
      <c r="P239" t="s" s="11">
        <v>1949</v>
      </c>
      <c r="Q239" t="s" s="11">
        <v>1950</v>
      </c>
      <c r="R239" t="s" s="11">
        <v>1951</v>
      </c>
      <c r="S239" t="s" s="11">
        <v>34</v>
      </c>
      <c r="T239" t="s" s="13">
        <v>1952</v>
      </c>
      <c r="U239" t="s" s="11">
        <v>1953</v>
      </c>
      <c r="V239" t="s" s="13">
        <v>1954</v>
      </c>
      <c r="W239" t="s" s="11">
        <v>1955</v>
      </c>
      <c r="X239" s="17">
        <f>HYPERLINK("https://my.pitchbook.com?p=371289-70P", "View People Online")</f>
      </c>
    </row>
    <row r="240">
      <c r="A240" t="s" s="10">
        <v>1956</v>
      </c>
      <c r="B240" t="s" s="10">
        <v>1957</v>
      </c>
      <c r="C240" t="s" s="10">
        <v>34</v>
      </c>
      <c r="D240" t="s" s="10">
        <v>1958</v>
      </c>
      <c r="E240" t="s" s="10">
        <v>1816</v>
      </c>
      <c r="F240" t="s" s="10">
        <v>1959</v>
      </c>
      <c r="G240" t="s" s="10">
        <v>1960</v>
      </c>
      <c r="H240" s="16">
        <f>HYPERLINK("http://www.foundationnorth.org.nz", "www.foundationnorth.org.nz")</f>
      </c>
      <c r="I240" t="s" s="10">
        <v>1207</v>
      </c>
      <c r="J240" t="s" s="24">
        <v>34</v>
      </c>
      <c r="K240" t="s" s="24">
        <v>34</v>
      </c>
      <c r="L240" t="s" s="24">
        <v>34</v>
      </c>
      <c r="M240" t="s" s="12">
        <v>34</v>
      </c>
      <c r="N240" t="s" s="10">
        <v>34</v>
      </c>
      <c r="O240" t="s" s="10">
        <v>34</v>
      </c>
      <c r="P240" t="s" s="10">
        <v>34</v>
      </c>
      <c r="Q240" t="s" s="10">
        <v>34</v>
      </c>
      <c r="R240" t="s" s="10">
        <v>34</v>
      </c>
      <c r="S240" t="s" s="10">
        <v>34</v>
      </c>
      <c r="T240" t="s" s="12">
        <v>34</v>
      </c>
      <c r="U240" t="s" s="10">
        <v>34</v>
      </c>
      <c r="V240" t="s" s="12">
        <v>34</v>
      </c>
      <c r="W240" t="s" s="10">
        <v>1962</v>
      </c>
      <c r="X240" s="16">
        <f>HYPERLINK("https://my.pitchbook.com?p=140002-66P", "View People Online")</f>
      </c>
    </row>
    <row r="241">
      <c r="A241" t="s" s="11">
        <v>1963</v>
      </c>
      <c r="B241" t="s" s="11">
        <v>1964</v>
      </c>
      <c r="C241" t="s" s="11">
        <v>34</v>
      </c>
      <c r="D241" t="s" s="11">
        <v>1815</v>
      </c>
      <c r="E241" t="s" s="11">
        <v>1816</v>
      </c>
      <c r="F241" t="s" s="11">
        <v>1965</v>
      </c>
      <c r="G241" t="s" s="11">
        <v>1966</v>
      </c>
      <c r="H241" s="17">
        <f>HYPERLINK("http://www.duchyoflancaster.co.uk", "www.duchyoflancaster.co.uk")</f>
      </c>
      <c r="I241" t="s" s="11">
        <v>1967</v>
      </c>
      <c r="J241" t="s" s="25">
        <v>34</v>
      </c>
      <c r="K241" t="s" s="25">
        <v>34</v>
      </c>
      <c r="L241" t="s" s="25">
        <v>34</v>
      </c>
      <c r="M241" t="s" s="13">
        <v>34</v>
      </c>
      <c r="N241" t="s" s="11">
        <v>34</v>
      </c>
      <c r="O241" t="s" s="11">
        <v>34</v>
      </c>
      <c r="P241" t="s" s="11">
        <v>34</v>
      </c>
      <c r="Q241" t="s" s="11">
        <v>34</v>
      </c>
      <c r="R241" t="s" s="11">
        <v>34</v>
      </c>
      <c r="S241" t="s" s="11">
        <v>34</v>
      </c>
      <c r="T241" t="s" s="13">
        <v>34</v>
      </c>
      <c r="U241" t="s" s="11">
        <v>34</v>
      </c>
      <c r="V241" t="s" s="13">
        <v>34</v>
      </c>
      <c r="W241" t="s" s="11">
        <v>1968</v>
      </c>
      <c r="X241" s="17">
        <f>HYPERLINK("https://my.pitchbook.com?p=55688-41P", "View People Online")</f>
      </c>
    </row>
    <row r="242">
      <c r="A242" t="s" s="10">
        <v>1969</v>
      </c>
      <c r="B242" t="s" s="10">
        <v>1970</v>
      </c>
      <c r="C242" t="s" s="10">
        <v>34</v>
      </c>
      <c r="D242" t="s" s="10">
        <v>1862</v>
      </c>
      <c r="E242" t="s" s="10">
        <v>1816</v>
      </c>
      <c r="F242" t="s" s="10">
        <v>1971</v>
      </c>
      <c r="G242" t="s" s="10">
        <v>1972</v>
      </c>
      <c r="H242" s="16">
        <f>HYPERLINK("http://www.pwcf.org.uk", "www.pwcf.org.uk")</f>
      </c>
      <c r="I242" t="s" s="10">
        <v>839</v>
      </c>
      <c r="J242" t="s" s="24">
        <v>34</v>
      </c>
      <c r="K242" s="24">
        <v>1</v>
      </c>
      <c r="L242" t="s" s="24">
        <v>34</v>
      </c>
      <c r="M242" t="s" s="12">
        <v>34</v>
      </c>
      <c r="N242" t="s" s="10">
        <v>1973</v>
      </c>
      <c r="O242" t="s" s="10">
        <v>43</v>
      </c>
      <c r="P242" t="s" s="10">
        <v>1868</v>
      </c>
      <c r="Q242" t="s" s="10">
        <v>1869</v>
      </c>
      <c r="R242" t="s" s="10">
        <v>46</v>
      </c>
      <c r="S242" t="s" s="10">
        <v>47</v>
      </c>
      <c r="T242" t="s" s="12">
        <v>1870</v>
      </c>
      <c r="U242" t="s" s="10">
        <v>49</v>
      </c>
      <c r="V242" t="s" s="12">
        <v>34</v>
      </c>
      <c r="W242" t="s" s="10">
        <v>1974</v>
      </c>
      <c r="X242" s="16">
        <f>HYPERLINK("https://my.pitchbook.com?p=415765-54P", "View People Online")</f>
      </c>
    </row>
    <row r="243">
      <c r="A243" t="s" s="11">
        <v>1975</v>
      </c>
      <c r="B243" t="s" s="11">
        <v>1976</v>
      </c>
      <c r="C243" t="s" s="11">
        <v>34</v>
      </c>
      <c r="D243" t="s" s="11">
        <v>1815</v>
      </c>
      <c r="E243" t="s" s="11">
        <v>1816</v>
      </c>
      <c r="F243" t="s" s="11">
        <v>1977</v>
      </c>
      <c r="G243" t="s" s="11">
        <v>783</v>
      </c>
      <c r="H243" s="17">
        <f>HYPERLINK("http://www.duchyoflancaster.co.uk", "www.duchyoflancaster.co.uk")</f>
      </c>
      <c r="I243" t="s" s="11">
        <v>1312</v>
      </c>
      <c r="J243" t="s" s="25">
        <v>34</v>
      </c>
      <c r="K243" t="s" s="25">
        <v>34</v>
      </c>
      <c r="L243" t="s" s="25">
        <v>34</v>
      </c>
      <c r="M243" t="s" s="13">
        <v>34</v>
      </c>
      <c r="N243" t="s" s="11">
        <v>34</v>
      </c>
      <c r="O243" t="s" s="11">
        <v>34</v>
      </c>
      <c r="P243" t="s" s="11">
        <v>34</v>
      </c>
      <c r="Q243" t="s" s="11">
        <v>34</v>
      </c>
      <c r="R243" t="s" s="11">
        <v>34</v>
      </c>
      <c r="S243" t="s" s="11">
        <v>34</v>
      </c>
      <c r="T243" t="s" s="13">
        <v>34</v>
      </c>
      <c r="U243" t="s" s="11">
        <v>34</v>
      </c>
      <c r="V243" t="s" s="13">
        <v>34</v>
      </c>
      <c r="W243" t="s" s="11">
        <v>1978</v>
      </c>
      <c r="X243" s="17">
        <f>HYPERLINK("https://my.pitchbook.com?p=336269-08P", "View People Online")</f>
      </c>
    </row>
    <row r="244">
      <c r="A244" t="s" s="10">
        <v>1979</v>
      </c>
      <c r="B244" t="s" s="10">
        <v>1980</v>
      </c>
      <c r="C244" t="s" s="10">
        <v>34</v>
      </c>
      <c r="D244" t="s" s="10">
        <v>1823</v>
      </c>
      <c r="E244" t="s" s="10">
        <v>1816</v>
      </c>
      <c r="F244" t="s" s="10">
        <v>1981</v>
      </c>
      <c r="G244" t="s" s="10">
        <v>1982</v>
      </c>
      <c r="H244" s="16">
        <f>HYPERLINK("http://www.duchyoflancaster.co.uk", "www.duchyoflancaster.co.uk")</f>
      </c>
      <c r="I244" t="s" s="10">
        <v>1312</v>
      </c>
      <c r="J244" t="s" s="24">
        <v>34</v>
      </c>
      <c r="K244" s="24">
        <v>1</v>
      </c>
      <c r="L244" t="s" s="24">
        <v>34</v>
      </c>
      <c r="M244" t="s" s="12">
        <v>1827</v>
      </c>
      <c r="N244" t="s" s="10">
        <v>34</v>
      </c>
      <c r="O244" t="s" s="10">
        <v>43</v>
      </c>
      <c r="P244" t="s" s="10">
        <v>1829</v>
      </c>
      <c r="Q244" t="s" s="10">
        <v>1830</v>
      </c>
      <c r="R244" t="s" s="10">
        <v>46</v>
      </c>
      <c r="S244" t="s" s="10">
        <v>47</v>
      </c>
      <c r="T244" t="s" s="12">
        <v>1831</v>
      </c>
      <c r="U244" t="s" s="10">
        <v>49</v>
      </c>
      <c r="V244" t="s" s="12">
        <v>34</v>
      </c>
      <c r="W244" t="s" s="10">
        <v>1983</v>
      </c>
      <c r="X244" s="16">
        <f>HYPERLINK("https://my.pitchbook.com?p=428202-46P", "View People Online")</f>
      </c>
    </row>
    <row r="245">
      <c r="A245" t="s" s="11">
        <v>1984</v>
      </c>
      <c r="B245" t="s" s="11">
        <v>1985</v>
      </c>
      <c r="C245" t="s" s="11">
        <v>34</v>
      </c>
      <c r="D245" t="s" s="11">
        <v>1986</v>
      </c>
      <c r="E245" t="s" s="11">
        <v>1816</v>
      </c>
      <c r="F245" t="s" s="11">
        <v>1987</v>
      </c>
      <c r="G245" t="s" s="11">
        <v>1988</v>
      </c>
      <c r="H245" s="17">
        <f>HYPERLINK("http://www.trff.org", "www.trff.org")</f>
      </c>
      <c r="I245" t="s" s="11">
        <v>1990</v>
      </c>
      <c r="J245" t="s" s="25">
        <v>34</v>
      </c>
      <c r="K245" t="s" s="25">
        <v>34</v>
      </c>
      <c r="L245" t="s" s="25">
        <v>34</v>
      </c>
      <c r="M245" t="s" s="13">
        <v>34</v>
      </c>
      <c r="N245" t="s" s="11">
        <v>34</v>
      </c>
      <c r="O245" t="s" s="11">
        <v>34</v>
      </c>
      <c r="P245" t="s" s="11">
        <v>34</v>
      </c>
      <c r="Q245" t="s" s="11">
        <v>34</v>
      </c>
      <c r="R245" t="s" s="11">
        <v>34</v>
      </c>
      <c r="S245" t="s" s="11">
        <v>34</v>
      </c>
      <c r="T245" t="s" s="13">
        <v>34</v>
      </c>
      <c r="U245" t="s" s="11">
        <v>34</v>
      </c>
      <c r="V245" t="s" s="13">
        <v>34</v>
      </c>
      <c r="W245" t="s" s="11">
        <v>1991</v>
      </c>
      <c r="X245" s="17">
        <f>HYPERLINK("https://my.pitchbook.com?p=98037-64P", "View People Online")</f>
      </c>
    </row>
    <row r="246">
      <c r="A246" t="s" s="10">
        <v>1992</v>
      </c>
      <c r="B246" t="s" s="10">
        <v>1993</v>
      </c>
      <c r="C246" t="s" s="10">
        <v>34</v>
      </c>
      <c r="D246" t="s" s="10">
        <v>1994</v>
      </c>
      <c r="E246" t="s" s="10">
        <v>1816</v>
      </c>
      <c r="F246" t="s" s="10">
        <v>1995</v>
      </c>
      <c r="G246" t="s" s="10">
        <v>1996</v>
      </c>
      <c r="H246" s="16">
        <f>HYPERLINK("http://www.youthfoundationofjerseycity.org", "www.youthfoundationofjerseycity.org")</f>
      </c>
      <c r="I246" t="s" s="10">
        <v>649</v>
      </c>
      <c r="J246" s="24">
        <v>1</v>
      </c>
      <c r="K246" s="24">
        <v>1</v>
      </c>
      <c r="L246" t="s" s="24">
        <v>34</v>
      </c>
      <c r="M246" t="s" s="12">
        <v>1998</v>
      </c>
      <c r="N246" t="s" s="10">
        <v>34</v>
      </c>
      <c r="O246" t="s" s="10">
        <v>1999</v>
      </c>
      <c r="P246" t="s" s="10">
        <v>2000</v>
      </c>
      <c r="Q246" t="s" s="10">
        <v>2001</v>
      </c>
      <c r="R246" t="s" s="10">
        <v>2002</v>
      </c>
      <c r="S246" t="s" s="10">
        <v>2003</v>
      </c>
      <c r="T246" t="s" s="12">
        <v>2004</v>
      </c>
      <c r="U246" t="s" s="10">
        <v>88</v>
      </c>
      <c r="V246" t="s" s="12">
        <v>34</v>
      </c>
      <c r="W246" t="s" s="10">
        <v>2005</v>
      </c>
      <c r="X246" s="16">
        <f>HYPERLINK("https://my.pitchbook.com?p=405172-18P", "View People Online")</f>
      </c>
    </row>
    <row r="247">
      <c r="A247" t="s" s="11">
        <v>2006</v>
      </c>
      <c r="B247" t="s" s="11">
        <v>2007</v>
      </c>
      <c r="C247" t="s" s="11">
        <v>34</v>
      </c>
      <c r="D247" t="s" s="11">
        <v>1823</v>
      </c>
      <c r="E247" t="s" s="11">
        <v>1816</v>
      </c>
      <c r="F247" t="s" s="11">
        <v>2008</v>
      </c>
      <c r="G247" t="s" s="11">
        <v>2009</v>
      </c>
      <c r="H247" s="17">
        <f>HYPERLINK("http://www.duchyoflancaster.co.uk", "www.duchyoflancaster.co.uk")</f>
      </c>
      <c r="I247" t="s" s="11">
        <v>2010</v>
      </c>
      <c r="J247" s="25">
        <v>1</v>
      </c>
      <c r="K247" s="25">
        <v>1</v>
      </c>
      <c r="L247" t="s" s="25">
        <v>34</v>
      </c>
      <c r="M247" t="s" s="13">
        <v>1827</v>
      </c>
      <c r="N247" t="s" s="11">
        <v>34</v>
      </c>
      <c r="O247" t="s" s="11">
        <v>43</v>
      </c>
      <c r="P247" t="s" s="11">
        <v>1829</v>
      </c>
      <c r="Q247" t="s" s="11">
        <v>1830</v>
      </c>
      <c r="R247" t="s" s="11">
        <v>46</v>
      </c>
      <c r="S247" t="s" s="11">
        <v>47</v>
      </c>
      <c r="T247" t="s" s="13">
        <v>1831</v>
      </c>
      <c r="U247" t="s" s="11">
        <v>49</v>
      </c>
      <c r="V247" t="s" s="13">
        <v>34</v>
      </c>
      <c r="W247" t="s" s="11">
        <v>2011</v>
      </c>
      <c r="X247" s="17">
        <f>HYPERLINK("https://my.pitchbook.com?p=383020-93P", "View People Online")</f>
      </c>
    </row>
    <row r="248">
      <c r="A248" t="s" s="10">
        <v>2012</v>
      </c>
      <c r="B248" t="s" s="10">
        <v>2013</v>
      </c>
      <c r="C248" t="s" s="10">
        <v>34</v>
      </c>
      <c r="D248" t="s" s="10">
        <v>1815</v>
      </c>
      <c r="E248" t="s" s="10">
        <v>1816</v>
      </c>
      <c r="F248" t="s" s="10">
        <v>2014</v>
      </c>
      <c r="G248" t="s" s="10">
        <v>940</v>
      </c>
      <c r="H248" s="16">
        <f>HYPERLINK("http://www.duchyoflancaster.co.uk", "www.duchyoflancaster.co.uk")</f>
      </c>
      <c r="I248" t="s" s="10">
        <v>2015</v>
      </c>
      <c r="J248" t="s" s="24">
        <v>34</v>
      </c>
      <c r="K248" t="s" s="24">
        <v>34</v>
      </c>
      <c r="L248" t="s" s="24">
        <v>34</v>
      </c>
      <c r="M248" t="s" s="12">
        <v>34</v>
      </c>
      <c r="N248" t="s" s="10">
        <v>34</v>
      </c>
      <c r="O248" t="s" s="10">
        <v>34</v>
      </c>
      <c r="P248" t="s" s="10">
        <v>34</v>
      </c>
      <c r="Q248" t="s" s="10">
        <v>34</v>
      </c>
      <c r="R248" t="s" s="10">
        <v>34</v>
      </c>
      <c r="S248" t="s" s="10">
        <v>34</v>
      </c>
      <c r="T248" t="s" s="12">
        <v>34</v>
      </c>
      <c r="U248" t="s" s="10">
        <v>34</v>
      </c>
      <c r="V248" t="s" s="12">
        <v>34</v>
      </c>
      <c r="W248" t="s" s="10">
        <v>2016</v>
      </c>
      <c r="X248" s="16">
        <f>HYPERLINK("https://my.pitchbook.com?p=90256-06P", "View People Online")</f>
      </c>
    </row>
    <row r="249">
      <c r="A249" t="s" s="11">
        <v>2017</v>
      </c>
      <c r="B249" t="s" s="11">
        <v>2018</v>
      </c>
      <c r="C249" t="s" s="11">
        <v>34</v>
      </c>
      <c r="D249" t="s" s="11">
        <v>2019</v>
      </c>
      <c r="E249" t="s" s="11">
        <v>1816</v>
      </c>
      <c r="F249" t="s" s="11">
        <v>2020</v>
      </c>
      <c r="G249" t="s" s="11">
        <v>2021</v>
      </c>
      <c r="H249" s="17">
        <f>HYPERLINK("http://www.carnegie.org", "www.carnegie.org")</f>
      </c>
      <c r="I249" t="s" s="11">
        <v>1207</v>
      </c>
      <c r="J249" t="s" s="25">
        <v>34</v>
      </c>
      <c r="K249" t="s" s="25">
        <v>34</v>
      </c>
      <c r="L249" t="s" s="25">
        <v>34</v>
      </c>
      <c r="M249" t="s" s="13">
        <v>34</v>
      </c>
      <c r="N249" t="s" s="11">
        <v>2023</v>
      </c>
      <c r="O249" t="s" s="11">
        <v>34</v>
      </c>
      <c r="P249" t="s" s="11">
        <v>34</v>
      </c>
      <c r="Q249" t="s" s="11">
        <v>34</v>
      </c>
      <c r="R249" t="s" s="11">
        <v>34</v>
      </c>
      <c r="S249" t="s" s="11">
        <v>34</v>
      </c>
      <c r="T249" t="s" s="13">
        <v>34</v>
      </c>
      <c r="U249" t="s" s="11">
        <v>34</v>
      </c>
      <c r="V249" t="s" s="13">
        <v>34</v>
      </c>
      <c r="W249" t="s" s="11">
        <v>2024</v>
      </c>
      <c r="X249" s="17">
        <f>HYPERLINK("https://my.pitchbook.com?p=73824-31P", "View People Online")</f>
      </c>
    </row>
    <row r="250">
      <c r="A250" t="s" s="10">
        <v>2025</v>
      </c>
      <c r="B250" t="s" s="10">
        <v>2026</v>
      </c>
      <c r="C250" t="s" s="10">
        <v>34</v>
      </c>
      <c r="D250" t="s" s="10">
        <v>2027</v>
      </c>
      <c r="E250" t="s" s="10">
        <v>2028</v>
      </c>
      <c r="F250" t="s" s="10">
        <v>2029</v>
      </c>
      <c r="G250" t="s" s="10">
        <v>2030</v>
      </c>
      <c r="H250" s="16">
        <f>HYPERLINK("http://www.castlepe.com", "www.castlepe.com")</f>
      </c>
      <c r="I250" t="s" s="10">
        <v>2032</v>
      </c>
      <c r="J250" s="24">
        <v>1</v>
      </c>
      <c r="K250" s="24">
        <v>3</v>
      </c>
      <c r="L250" t="s" s="24">
        <v>34</v>
      </c>
      <c r="M250" t="s" s="12">
        <v>2033</v>
      </c>
      <c r="N250" t="s" s="10">
        <v>34</v>
      </c>
      <c r="O250" t="s" s="10">
        <v>539</v>
      </c>
      <c r="P250" t="s" s="10">
        <v>2034</v>
      </c>
      <c r="Q250" t="s" s="10">
        <v>34</v>
      </c>
      <c r="R250" t="s" s="10">
        <v>542</v>
      </c>
      <c r="S250" t="s" s="10">
        <v>34</v>
      </c>
      <c r="T250" t="s" s="12">
        <v>543</v>
      </c>
      <c r="U250" t="s" s="10">
        <v>544</v>
      </c>
      <c r="V250" t="s" s="12">
        <v>34</v>
      </c>
      <c r="W250" t="s" s="10">
        <v>2035</v>
      </c>
      <c r="X250" s="16">
        <f>HYPERLINK("https://my.pitchbook.com?p=77817-97P", "View People Online")</f>
      </c>
    </row>
    <row r="251">
      <c r="A251" t="s" s="11">
        <v>2036</v>
      </c>
      <c r="B251" t="s" s="11">
        <v>2037</v>
      </c>
      <c r="C251" t="s" s="11">
        <v>34</v>
      </c>
      <c r="D251" t="s" s="11">
        <v>2027</v>
      </c>
      <c r="E251" t="s" s="11">
        <v>2028</v>
      </c>
      <c r="F251" t="s" s="11">
        <v>2038</v>
      </c>
      <c r="G251" t="s" s="11">
        <v>2039</v>
      </c>
      <c r="H251" s="17">
        <f>HYPERLINK("http://www.castlepe.com", "www.castlepe.com")</f>
      </c>
      <c r="I251" t="s" s="11">
        <v>2040</v>
      </c>
      <c r="J251" t="s" s="25">
        <v>34</v>
      </c>
      <c r="K251" s="25">
        <v>1</v>
      </c>
      <c r="L251" t="s" s="25">
        <v>34</v>
      </c>
      <c r="M251" t="s" s="13">
        <v>2033</v>
      </c>
      <c r="N251" t="s" s="11">
        <v>34</v>
      </c>
      <c r="O251" t="s" s="11">
        <v>539</v>
      </c>
      <c r="P251" t="s" s="11">
        <v>2034</v>
      </c>
      <c r="Q251" t="s" s="11">
        <v>34</v>
      </c>
      <c r="R251" t="s" s="11">
        <v>542</v>
      </c>
      <c r="S251" t="s" s="11">
        <v>34</v>
      </c>
      <c r="T251" t="s" s="13">
        <v>543</v>
      </c>
      <c r="U251" t="s" s="11">
        <v>544</v>
      </c>
      <c r="V251" t="s" s="13">
        <v>34</v>
      </c>
      <c r="W251" t="s" s="11">
        <v>2041</v>
      </c>
      <c r="X251" s="17">
        <f>HYPERLINK("https://my.pitchbook.com?p=50636-98P", "View People Online")</f>
      </c>
    </row>
    <row r="252">
      <c r="A252" t="s" s="10">
        <v>2042</v>
      </c>
      <c r="B252" t="s" s="10">
        <v>2037</v>
      </c>
      <c r="C252" t="s" s="10">
        <v>34</v>
      </c>
      <c r="D252" t="s" s="10">
        <v>2043</v>
      </c>
      <c r="E252" t="s" s="10">
        <v>2028</v>
      </c>
      <c r="F252" t="s" s="10">
        <v>2038</v>
      </c>
      <c r="G252" t="s" s="10">
        <v>2039</v>
      </c>
      <c r="H252" t="s" s="10">
        <v>34</v>
      </c>
      <c r="I252" t="s" s="10">
        <v>2044</v>
      </c>
      <c r="J252" t="s" s="24">
        <v>34</v>
      </c>
      <c r="K252" t="s" s="24">
        <v>34</v>
      </c>
      <c r="L252" t="s" s="24">
        <v>34</v>
      </c>
      <c r="M252" t="s" s="12">
        <v>34</v>
      </c>
      <c r="N252" t="s" s="10">
        <v>34</v>
      </c>
      <c r="O252" t="s" s="10">
        <v>34</v>
      </c>
      <c r="P252" t="s" s="10">
        <v>34</v>
      </c>
      <c r="Q252" t="s" s="10">
        <v>34</v>
      </c>
      <c r="R252" t="s" s="10">
        <v>34</v>
      </c>
      <c r="S252" t="s" s="10">
        <v>34</v>
      </c>
      <c r="T252" t="s" s="12">
        <v>34</v>
      </c>
      <c r="U252" t="s" s="10">
        <v>34</v>
      </c>
      <c r="V252" t="s" s="12">
        <v>34</v>
      </c>
      <c r="W252" t="s" s="10">
        <v>2045</v>
      </c>
      <c r="X252" s="16">
        <f>HYPERLINK("https://my.pitchbook.com?p=177215-77P", "View People Online")</f>
      </c>
    </row>
    <row r="253">
      <c r="A253" t="s" s="11">
        <v>2046</v>
      </c>
      <c r="B253" t="s" s="11">
        <v>2047</v>
      </c>
      <c r="C253" t="s" s="11">
        <v>2048</v>
      </c>
      <c r="D253" t="s" s="11">
        <v>2049</v>
      </c>
      <c r="E253" t="s" s="11">
        <v>2028</v>
      </c>
      <c r="F253" t="s" s="11">
        <v>2050</v>
      </c>
      <c r="G253" t="s" s="11">
        <v>2051</v>
      </c>
      <c r="H253" s="17">
        <f>HYPERLINK("http://www.stepstonegroup.com", "www.stepstonegroup.com")</f>
      </c>
      <c r="I253" t="s" s="11">
        <v>731</v>
      </c>
      <c r="J253" t="s" s="25">
        <v>34</v>
      </c>
      <c r="K253" s="25">
        <v>1</v>
      </c>
      <c r="L253" t="s" s="25">
        <v>34</v>
      </c>
      <c r="M253" t="s" s="13">
        <v>2053</v>
      </c>
      <c r="N253" t="s" s="11">
        <v>2054</v>
      </c>
      <c r="O253" t="s" s="11">
        <v>926</v>
      </c>
      <c r="P253" t="s" s="11">
        <v>2055</v>
      </c>
      <c r="Q253" t="s" s="11">
        <v>34</v>
      </c>
      <c r="R253" t="s" s="11">
        <v>928</v>
      </c>
      <c r="S253" t="s" s="11">
        <v>34</v>
      </c>
      <c r="T253" t="s" s="13">
        <v>1576</v>
      </c>
      <c r="U253" t="s" s="11">
        <v>544</v>
      </c>
      <c r="V253" t="s" s="13">
        <v>34</v>
      </c>
      <c r="W253" t="s" s="11">
        <v>2056</v>
      </c>
      <c r="X253" s="17">
        <f>HYPERLINK("https://my.pitchbook.com?p=446349-88P", "View People Online")</f>
      </c>
    </row>
    <row r="254">
      <c r="A254" t="s" s="10">
        <v>2057</v>
      </c>
      <c r="B254" t="s" s="10">
        <v>1307</v>
      </c>
      <c r="C254" t="s" s="10">
        <v>34</v>
      </c>
      <c r="D254" t="s" s="10">
        <v>2058</v>
      </c>
      <c r="E254" t="s" s="10">
        <v>2059</v>
      </c>
      <c r="F254" t="s" s="10">
        <v>1310</v>
      </c>
      <c r="G254" t="s" s="10">
        <v>1311</v>
      </c>
      <c r="H254" t="s" s="10">
        <v>34</v>
      </c>
      <c r="I254" t="s" s="10">
        <v>2060</v>
      </c>
      <c r="J254" t="s" s="24">
        <v>34</v>
      </c>
      <c r="K254" s="24">
        <v>1</v>
      </c>
      <c r="L254" t="s" s="24">
        <v>34</v>
      </c>
      <c r="M254" t="s" s="12">
        <v>2061</v>
      </c>
      <c r="N254" t="s" s="10">
        <v>34</v>
      </c>
      <c r="O254" t="s" s="10">
        <v>43</v>
      </c>
      <c r="P254" t="s" s="10">
        <v>2062</v>
      </c>
      <c r="Q254" t="s" s="10">
        <v>34</v>
      </c>
      <c r="R254" t="s" s="10">
        <v>46</v>
      </c>
      <c r="S254" t="s" s="10">
        <v>47</v>
      </c>
      <c r="T254" t="s" s="12">
        <v>2063</v>
      </c>
      <c r="U254" t="s" s="10">
        <v>49</v>
      </c>
      <c r="V254" t="s" s="12">
        <v>2064</v>
      </c>
      <c r="W254" t="s" s="10">
        <v>2065</v>
      </c>
      <c r="X254" s="16">
        <f>HYPERLINK("https://my.pitchbook.com?p=438741-10P", "View People Online")</f>
      </c>
    </row>
    <row r="255">
      <c r="A255" t="s" s="11">
        <v>2066</v>
      </c>
      <c r="B255" t="s" s="11">
        <v>2067</v>
      </c>
      <c r="C255" t="s" s="11">
        <v>34</v>
      </c>
      <c r="D255" t="s" s="11">
        <v>2068</v>
      </c>
      <c r="E255" t="s" s="11">
        <v>2059</v>
      </c>
      <c r="F255" t="s" s="11">
        <v>2069</v>
      </c>
      <c r="G255" t="s" s="11">
        <v>2070</v>
      </c>
      <c r="H255" s="17">
        <f>HYPERLINK("http://www.pwcded.org", "www.pwcded.org")</f>
      </c>
      <c r="I255" t="s" s="11">
        <v>2072</v>
      </c>
      <c r="J255" t="s" s="25">
        <v>34</v>
      </c>
      <c r="K255" s="25">
        <v>2</v>
      </c>
      <c r="L255" s="25">
        <v>1</v>
      </c>
      <c r="M255" t="s" s="13">
        <v>2073</v>
      </c>
      <c r="N255" t="s" s="11">
        <v>2074</v>
      </c>
      <c r="O255" t="s" s="11">
        <v>2075</v>
      </c>
      <c r="P255" t="s" s="11">
        <v>2076</v>
      </c>
      <c r="Q255" t="s" s="11">
        <v>2077</v>
      </c>
      <c r="R255" t="s" s="11">
        <v>34</v>
      </c>
      <c r="S255" t="s" s="11">
        <v>2078</v>
      </c>
      <c r="T255" t="s" s="13">
        <v>2079</v>
      </c>
      <c r="U255" t="s" s="11">
        <v>88</v>
      </c>
      <c r="V255" t="s" s="13">
        <v>34</v>
      </c>
      <c r="W255" t="s" s="11">
        <v>2080</v>
      </c>
      <c r="X255" s="17">
        <f>HYPERLINK("https://my.pitchbook.com?p=241684-66P", "View People Online")</f>
      </c>
    </row>
    <row r="256">
      <c r="A256" t="s" s="10">
        <v>2081</v>
      </c>
      <c r="B256" t="s" s="10">
        <v>2082</v>
      </c>
      <c r="C256" t="s" s="10">
        <v>34</v>
      </c>
      <c r="D256" t="s" s="10">
        <v>2083</v>
      </c>
      <c r="E256" t="s" s="10">
        <v>2059</v>
      </c>
      <c r="F256" t="s" s="10">
        <v>2084</v>
      </c>
      <c r="G256" t="s" s="10">
        <v>2085</v>
      </c>
      <c r="H256" s="16">
        <f>HYPERLINK("http://www.pwcded.org", "www.pwcded.org")</f>
      </c>
      <c r="I256" t="s" s="10">
        <v>839</v>
      </c>
      <c r="J256" t="s" s="24">
        <v>34</v>
      </c>
      <c r="K256" s="24">
        <v>1</v>
      </c>
      <c r="L256" s="24">
        <v>1</v>
      </c>
      <c r="M256" t="s" s="12">
        <v>34</v>
      </c>
      <c r="N256" t="s" s="10">
        <v>34</v>
      </c>
      <c r="O256" t="s" s="10">
        <v>34</v>
      </c>
      <c r="P256" t="s" s="10">
        <v>34</v>
      </c>
      <c r="Q256" t="s" s="10">
        <v>34</v>
      </c>
      <c r="R256" t="s" s="10">
        <v>34</v>
      </c>
      <c r="S256" t="s" s="10">
        <v>34</v>
      </c>
      <c r="T256" t="s" s="12">
        <v>34</v>
      </c>
      <c r="U256" t="s" s="10">
        <v>34</v>
      </c>
      <c r="V256" t="s" s="12">
        <v>34</v>
      </c>
      <c r="W256" t="s" s="10">
        <v>2086</v>
      </c>
      <c r="X256" s="16">
        <f>HYPERLINK("https://my.pitchbook.com?p=197405-47P", "View People Online")</f>
      </c>
    </row>
    <row r="257">
      <c r="A257" t="s" s="11">
        <v>2087</v>
      </c>
      <c r="B257" t="s" s="11">
        <v>2088</v>
      </c>
      <c r="C257" t="s" s="11">
        <v>34</v>
      </c>
      <c r="D257" t="s" s="11">
        <v>2089</v>
      </c>
      <c r="E257" t="s" s="11">
        <v>2059</v>
      </c>
      <c r="F257" t="s" s="11">
        <v>729</v>
      </c>
      <c r="G257" t="s" s="11">
        <v>2090</v>
      </c>
      <c r="H257" t="s" s="11">
        <v>34</v>
      </c>
      <c r="I257" t="s" s="11">
        <v>34</v>
      </c>
      <c r="J257" t="s" s="25">
        <v>34</v>
      </c>
      <c r="K257" t="s" s="25">
        <v>34</v>
      </c>
      <c r="L257" t="s" s="25">
        <v>34</v>
      </c>
      <c r="M257" t="s" s="13">
        <v>34</v>
      </c>
      <c r="N257" t="s" s="11">
        <v>34</v>
      </c>
      <c r="O257" t="s" s="11">
        <v>34</v>
      </c>
      <c r="P257" t="s" s="11">
        <v>34</v>
      </c>
      <c r="Q257" t="s" s="11">
        <v>34</v>
      </c>
      <c r="R257" t="s" s="11">
        <v>34</v>
      </c>
      <c r="S257" t="s" s="11">
        <v>34</v>
      </c>
      <c r="T257" t="s" s="13">
        <v>34</v>
      </c>
      <c r="U257" t="s" s="11">
        <v>34</v>
      </c>
      <c r="V257" t="s" s="13">
        <v>34</v>
      </c>
      <c r="W257" t="s" s="11">
        <v>2091</v>
      </c>
      <c r="X257" s="17">
        <f>HYPERLINK("https://my.pitchbook.com?p=296651-80P", "View People Online")</f>
      </c>
    </row>
    <row r="258">
      <c r="A258" t="s" s="10">
        <v>2092</v>
      </c>
      <c r="B258" t="s" s="10">
        <v>2093</v>
      </c>
      <c r="C258" t="s" s="10">
        <v>34</v>
      </c>
      <c r="D258" t="s" s="10">
        <v>2094</v>
      </c>
      <c r="E258" t="s" s="10">
        <v>2095</v>
      </c>
      <c r="F258" t="s" s="10">
        <v>2096</v>
      </c>
      <c r="G258" t="s" s="10">
        <v>2097</v>
      </c>
      <c r="H258" s="16">
        <f>HYPERLINK("http://dpc.vic.gov.au", "dpc.vic.gov.au")</f>
      </c>
      <c r="I258" t="s" s="10">
        <v>2099</v>
      </c>
      <c r="J258" s="24">
        <v>1</v>
      </c>
      <c r="K258" s="24">
        <v>1</v>
      </c>
      <c r="L258" t="s" s="24">
        <v>34</v>
      </c>
      <c r="M258" t="s" s="12">
        <v>2100</v>
      </c>
      <c r="N258" t="s" s="10">
        <v>34</v>
      </c>
      <c r="O258" t="s" s="10">
        <v>2101</v>
      </c>
      <c r="P258" t="s" s="10">
        <v>2102</v>
      </c>
      <c r="Q258" t="s" s="10">
        <v>34</v>
      </c>
      <c r="R258" t="s" s="10">
        <v>2103</v>
      </c>
      <c r="S258" t="s" s="10">
        <v>967</v>
      </c>
      <c r="T258" t="s" s="12">
        <v>2104</v>
      </c>
      <c r="U258" t="s" s="10">
        <v>2105</v>
      </c>
      <c r="V258" t="s" s="12">
        <v>34</v>
      </c>
      <c r="W258" t="s" s="10">
        <v>2106</v>
      </c>
      <c r="X258" s="16">
        <f>HYPERLINK("https://my.pitchbook.com?p=440824-33P", "View People Online")</f>
      </c>
    </row>
    <row r="259">
      <c r="A259" t="s" s="11">
        <v>2107</v>
      </c>
      <c r="B259" t="s" s="11">
        <v>2108</v>
      </c>
      <c r="C259" t="s" s="11">
        <v>34</v>
      </c>
      <c r="D259" t="s" s="11">
        <v>2109</v>
      </c>
      <c r="E259" t="s" s="11">
        <v>2095</v>
      </c>
      <c r="F259" t="s" s="11">
        <v>2110</v>
      </c>
      <c r="G259" t="s" s="11">
        <v>2111</v>
      </c>
      <c r="H259" s="17">
        <f>HYPERLINK("http://www.henricoschools.us", "www.henricoschools.us")</f>
      </c>
      <c r="I259" t="s" s="11">
        <v>649</v>
      </c>
      <c r="J259" t="s" s="25">
        <v>34</v>
      </c>
      <c r="K259" t="s" s="25">
        <v>34</v>
      </c>
      <c r="L259" t="s" s="25">
        <v>34</v>
      </c>
      <c r="M259" t="s" s="13">
        <v>34</v>
      </c>
      <c r="N259" t="s" s="11">
        <v>34</v>
      </c>
      <c r="O259" t="s" s="11">
        <v>34</v>
      </c>
      <c r="P259" t="s" s="11">
        <v>34</v>
      </c>
      <c r="Q259" t="s" s="11">
        <v>34</v>
      </c>
      <c r="R259" t="s" s="11">
        <v>34</v>
      </c>
      <c r="S259" t="s" s="11">
        <v>34</v>
      </c>
      <c r="T259" t="s" s="13">
        <v>34</v>
      </c>
      <c r="U259" t="s" s="11">
        <v>34</v>
      </c>
      <c r="V259" t="s" s="13">
        <v>34</v>
      </c>
      <c r="W259" t="s" s="11">
        <v>2113</v>
      </c>
      <c r="X259" s="17">
        <f>HYPERLINK("https://my.pitchbook.com?p=178229-71P", "View People Online")</f>
      </c>
    </row>
    <row r="260">
      <c r="A260" t="s" s="10">
        <v>2114</v>
      </c>
      <c r="B260" t="s" s="10">
        <v>2115</v>
      </c>
      <c r="C260" t="s" s="10">
        <v>34</v>
      </c>
      <c r="D260" t="s" s="10">
        <v>2116</v>
      </c>
      <c r="E260" t="s" s="10">
        <v>2095</v>
      </c>
      <c r="F260" t="s" s="10">
        <v>2117</v>
      </c>
      <c r="G260" t="s" s="10">
        <v>2118</v>
      </c>
      <c r="H260" s="16">
        <f>HYPERLINK("http://hmtreasury.gov.uk", "hmtreasury.gov.uk")</f>
      </c>
      <c r="I260" t="s" s="10">
        <v>2120</v>
      </c>
      <c r="J260" t="s" s="24">
        <v>34</v>
      </c>
      <c r="K260" s="24">
        <v>1</v>
      </c>
      <c r="L260" t="s" s="24">
        <v>34</v>
      </c>
      <c r="M260" t="s" s="12">
        <v>2121</v>
      </c>
      <c r="N260" t="s" s="10">
        <v>2122</v>
      </c>
      <c r="O260" t="s" s="10">
        <v>43</v>
      </c>
      <c r="P260" t="s" s="10">
        <v>2123</v>
      </c>
      <c r="Q260" t="s" s="10">
        <v>2124</v>
      </c>
      <c r="R260" t="s" s="10">
        <v>46</v>
      </c>
      <c r="S260" t="s" s="10">
        <v>47</v>
      </c>
      <c r="T260" t="s" s="12">
        <v>2125</v>
      </c>
      <c r="U260" t="s" s="10">
        <v>49</v>
      </c>
      <c r="V260" t="s" s="12">
        <v>34</v>
      </c>
      <c r="W260" t="s" s="10">
        <v>2126</v>
      </c>
      <c r="X260" s="16">
        <f>HYPERLINK("https://my.pitchbook.com?p=250561-00P", "View People Online")</f>
      </c>
    </row>
    <row r="261">
      <c r="A261" t="s" s="11">
        <v>2127</v>
      </c>
      <c r="B261" t="s" s="11">
        <v>2128</v>
      </c>
      <c r="C261" t="s" s="11">
        <v>34</v>
      </c>
      <c r="D261" t="s" s="11">
        <v>2129</v>
      </c>
      <c r="E261" t="s" s="11">
        <v>2095</v>
      </c>
      <c r="F261" t="s" s="11">
        <v>2130</v>
      </c>
      <c r="G261" t="s" s="11">
        <v>2118</v>
      </c>
      <c r="H261" s="17">
        <f>HYPERLINK("http://ottawa.ca", "ottawa.ca")</f>
      </c>
      <c r="I261" t="s" s="11">
        <v>2132</v>
      </c>
      <c r="J261" s="25">
        <v>1</v>
      </c>
      <c r="K261" s="25">
        <v>1</v>
      </c>
      <c r="L261" t="s" s="25">
        <v>34</v>
      </c>
      <c r="M261" t="s" s="13">
        <v>2133</v>
      </c>
      <c r="N261" t="s" s="11">
        <v>2134</v>
      </c>
      <c r="O261" t="s" s="11">
        <v>2135</v>
      </c>
      <c r="P261" t="s" s="11">
        <v>2136</v>
      </c>
      <c r="Q261" t="s" s="11">
        <v>34</v>
      </c>
      <c r="R261" t="s" s="11">
        <v>2137</v>
      </c>
      <c r="S261" t="s" s="11">
        <v>2138</v>
      </c>
      <c r="T261" t="s" s="13">
        <v>2139</v>
      </c>
      <c r="U261" t="s" s="11">
        <v>1613</v>
      </c>
      <c r="V261" t="s" s="13">
        <v>2140</v>
      </c>
      <c r="W261" t="s" s="11">
        <v>2141</v>
      </c>
      <c r="X261" s="17">
        <f>HYPERLINK("https://my.pitchbook.com?p=463121-02P", "View People Online")</f>
      </c>
    </row>
    <row r="262">
      <c r="A262" t="s" s="10">
        <v>2142</v>
      </c>
      <c r="B262" t="s" s="10">
        <v>2143</v>
      </c>
      <c r="C262" t="s" s="10">
        <v>34</v>
      </c>
      <c r="D262" t="s" s="10">
        <v>2144</v>
      </c>
      <c r="E262" t="s" s="10">
        <v>2145</v>
      </c>
      <c r="F262" t="s" s="10">
        <v>2146</v>
      </c>
      <c r="G262" t="s" s="10">
        <v>2147</v>
      </c>
      <c r="H262" s="16">
        <f>HYPERLINK("http://www.dagrosacp.com", "www.dagrosacp.com")</f>
      </c>
      <c r="I262" t="s" s="10">
        <v>2149</v>
      </c>
      <c r="J262" s="24">
        <v>1</v>
      </c>
      <c r="K262" s="24">
        <v>2</v>
      </c>
      <c r="L262" t="s" s="24">
        <v>34</v>
      </c>
      <c r="M262" t="s" s="12">
        <v>2150</v>
      </c>
      <c r="N262" t="s" s="10">
        <v>2151</v>
      </c>
      <c r="O262" t="s" s="10">
        <v>2152</v>
      </c>
      <c r="P262" t="s" s="10">
        <v>2153</v>
      </c>
      <c r="Q262" t="s" s="10">
        <v>2154</v>
      </c>
      <c r="R262" t="s" s="10">
        <v>2155</v>
      </c>
      <c r="S262" t="s" s="10">
        <v>2156</v>
      </c>
      <c r="T262" t="s" s="12">
        <v>2157</v>
      </c>
      <c r="U262" t="s" s="10">
        <v>88</v>
      </c>
      <c r="V262" t="s" s="12">
        <v>34</v>
      </c>
      <c r="W262" t="s" s="10">
        <v>2158</v>
      </c>
      <c r="X262" s="16">
        <f>HYPERLINK("https://my.pitchbook.com?p=271909-63P", "View People Online")</f>
      </c>
    </row>
    <row r="263">
      <c r="A263" t="s" s="11">
        <v>2159</v>
      </c>
      <c r="B263" t="s" s="11">
        <v>2160</v>
      </c>
      <c r="C263" t="s" s="11">
        <v>34</v>
      </c>
      <c r="D263" t="s" s="11">
        <v>2161</v>
      </c>
      <c r="E263" t="s" s="11">
        <v>2145</v>
      </c>
      <c r="F263" t="s" s="11">
        <v>2162</v>
      </c>
      <c r="G263" t="s" s="11">
        <v>2163</v>
      </c>
      <c r="H263" s="17">
        <f>HYPERLINK("http://www.infraviacapital.com", "www.infraviacapital.com")</f>
      </c>
      <c r="I263" t="s" s="11">
        <v>2165</v>
      </c>
      <c r="J263" t="s" s="25">
        <v>34</v>
      </c>
      <c r="K263" s="25">
        <v>1</v>
      </c>
      <c r="L263" t="s" s="25">
        <v>34</v>
      </c>
      <c r="M263" t="s" s="13">
        <v>2166</v>
      </c>
      <c r="N263" t="s" s="11">
        <v>2167</v>
      </c>
      <c r="O263" t="s" s="11">
        <v>2168</v>
      </c>
      <c r="P263" t="s" s="11">
        <v>2169</v>
      </c>
      <c r="Q263" t="s" s="11">
        <v>34</v>
      </c>
      <c r="R263" t="s" s="11">
        <v>2170</v>
      </c>
      <c r="S263" t="s" s="11">
        <v>34</v>
      </c>
      <c r="T263" t="s" s="13">
        <v>2171</v>
      </c>
      <c r="U263" t="s" s="11">
        <v>2172</v>
      </c>
      <c r="V263" t="s" s="13">
        <v>34</v>
      </c>
      <c r="W263" t="s" s="11">
        <v>2173</v>
      </c>
      <c r="X263" s="17">
        <f>HYPERLINK("https://my.pitchbook.com?p=331165-99P", "View People Online")</f>
      </c>
    </row>
    <row r="264">
      <c r="A264" t="s" s="10">
        <v>2174</v>
      </c>
      <c r="B264" t="s" s="10">
        <v>2175</v>
      </c>
      <c r="C264" t="s" s="10">
        <v>34</v>
      </c>
      <c r="D264" t="s" s="10">
        <v>2176</v>
      </c>
      <c r="E264" t="s" s="10">
        <v>2145</v>
      </c>
      <c r="F264" t="s" s="10">
        <v>2177</v>
      </c>
      <c r="G264" t="s" s="10">
        <v>2178</v>
      </c>
      <c r="H264" s="16">
        <f>HYPERLINK("http://www.helvetica-capital.ch", "www.helvetica-capital.ch")</f>
      </c>
      <c r="I264" t="s" s="10">
        <v>2180</v>
      </c>
      <c r="J264" t="s" s="24">
        <v>34</v>
      </c>
      <c r="K264" s="24">
        <v>1</v>
      </c>
      <c r="L264" t="s" s="24">
        <v>34</v>
      </c>
      <c r="M264" t="s" s="12">
        <v>2181</v>
      </c>
      <c r="N264" t="s" s="10">
        <v>34</v>
      </c>
      <c r="O264" t="s" s="10">
        <v>926</v>
      </c>
      <c r="P264" t="s" s="10">
        <v>2182</v>
      </c>
      <c r="Q264" t="s" s="10">
        <v>34</v>
      </c>
      <c r="R264" t="s" s="10">
        <v>928</v>
      </c>
      <c r="S264" t="s" s="10">
        <v>34</v>
      </c>
      <c r="T264" t="s" s="12">
        <v>2183</v>
      </c>
      <c r="U264" t="s" s="10">
        <v>544</v>
      </c>
      <c r="V264" t="s" s="12">
        <v>34</v>
      </c>
      <c r="W264" t="s" s="10">
        <v>2184</v>
      </c>
      <c r="X264" s="16">
        <f>HYPERLINK("https://my.pitchbook.com?p=442048-78P", "View People Online")</f>
      </c>
    </row>
    <row r="265">
      <c r="A265" t="s" s="11">
        <v>2185</v>
      </c>
      <c r="B265" t="s" s="11">
        <v>2186</v>
      </c>
      <c r="C265" t="s" s="11">
        <v>34</v>
      </c>
      <c r="D265" t="s" s="11">
        <v>2187</v>
      </c>
      <c r="E265" t="s" s="11">
        <v>2145</v>
      </c>
      <c r="F265" t="s" s="11">
        <v>2188</v>
      </c>
      <c r="G265" t="s" s="11">
        <v>253</v>
      </c>
      <c r="H265" s="17">
        <f>HYPERLINK("http://www.healthcorpartners.com", "www.healthcorpartners.com")</f>
      </c>
      <c r="I265" t="s" s="11">
        <v>2190</v>
      </c>
      <c r="J265" t="s" s="25">
        <v>34</v>
      </c>
      <c r="K265" t="s" s="25">
        <v>34</v>
      </c>
      <c r="L265" t="s" s="25">
        <v>34</v>
      </c>
      <c r="M265" t="s" s="13">
        <v>34</v>
      </c>
      <c r="N265" t="s" s="11">
        <v>34</v>
      </c>
      <c r="O265" t="s" s="11">
        <v>34</v>
      </c>
      <c r="P265" t="s" s="11">
        <v>34</v>
      </c>
      <c r="Q265" t="s" s="11">
        <v>34</v>
      </c>
      <c r="R265" t="s" s="11">
        <v>34</v>
      </c>
      <c r="S265" t="s" s="11">
        <v>34</v>
      </c>
      <c r="T265" t="s" s="13">
        <v>34</v>
      </c>
      <c r="U265" t="s" s="11">
        <v>34</v>
      </c>
      <c r="V265" t="s" s="13">
        <v>34</v>
      </c>
      <c r="W265" t="s" s="11">
        <v>2191</v>
      </c>
      <c r="X265" s="17">
        <f>HYPERLINK("https://my.pitchbook.com?p=46258-39P", "View People Online")</f>
      </c>
    </row>
    <row r="266">
      <c r="A266" t="s" s="10">
        <v>2192</v>
      </c>
      <c r="B266" t="s" s="10">
        <v>2193</v>
      </c>
      <c r="C266" t="s" s="10">
        <v>34</v>
      </c>
      <c r="D266" t="s" s="10">
        <v>2194</v>
      </c>
      <c r="E266" t="s" s="10">
        <v>2145</v>
      </c>
      <c r="F266" t="s" s="10">
        <v>2195</v>
      </c>
      <c r="G266" t="s" s="10">
        <v>1960</v>
      </c>
      <c r="H266" s="16">
        <f>HYPERLINK("http://genesiscapital.nz", "genesiscapital.nz")</f>
      </c>
      <c r="I266" t="s" s="10">
        <v>839</v>
      </c>
      <c r="J266" t="s" s="24">
        <v>34</v>
      </c>
      <c r="K266" s="24">
        <v>1</v>
      </c>
      <c r="L266" t="s" s="24">
        <v>34</v>
      </c>
      <c r="M266" t="s" s="12">
        <v>2197</v>
      </c>
      <c r="N266" t="s" s="10">
        <v>2198</v>
      </c>
      <c r="O266" t="s" s="10">
        <v>2199</v>
      </c>
      <c r="P266" t="s" s="10">
        <v>2200</v>
      </c>
      <c r="Q266" t="s" s="10">
        <v>2201</v>
      </c>
      <c r="R266" t="s" s="10">
        <v>2202</v>
      </c>
      <c r="S266" t="s" s="10">
        <v>34</v>
      </c>
      <c r="T266" t="s" s="12">
        <v>2203</v>
      </c>
      <c r="U266" t="s" s="10">
        <v>1953</v>
      </c>
      <c r="V266" t="s" s="12">
        <v>34</v>
      </c>
      <c r="W266" t="s" s="10">
        <v>2204</v>
      </c>
      <c r="X266" s="16">
        <f>HYPERLINK("https://my.pitchbook.com?p=341182-00P", "View People Online")</f>
      </c>
    </row>
    <row r="267">
      <c r="A267" t="s" s="11">
        <v>2205</v>
      </c>
      <c r="B267" t="s" s="11">
        <v>2206</v>
      </c>
      <c r="C267" t="s" s="11">
        <v>34</v>
      </c>
      <c r="D267" t="s" s="11">
        <v>2207</v>
      </c>
      <c r="E267" t="s" s="11">
        <v>2145</v>
      </c>
      <c r="F267" t="s" s="11">
        <v>2208</v>
      </c>
      <c r="G267" t="s" s="11">
        <v>2209</v>
      </c>
      <c r="H267" s="17">
        <f>HYPERLINK("http://www.blueashvacapital.com", "www.blueashvacapital.com")</f>
      </c>
      <c r="I267" t="s" s="11">
        <v>2211</v>
      </c>
      <c r="J267" t="s" s="25">
        <v>34</v>
      </c>
      <c r="K267" s="25">
        <v>1</v>
      </c>
      <c r="L267" t="s" s="25">
        <v>34</v>
      </c>
      <c r="M267" t="s" s="13">
        <v>34</v>
      </c>
      <c r="N267" t="s" s="11">
        <v>34</v>
      </c>
      <c r="O267" t="s" s="11">
        <v>528</v>
      </c>
      <c r="P267" t="s" s="11">
        <v>2212</v>
      </c>
      <c r="Q267" t="s" s="11">
        <v>2213</v>
      </c>
      <c r="R267" t="s" s="11">
        <v>34</v>
      </c>
      <c r="S267" t="s" s="11">
        <v>34</v>
      </c>
      <c r="T267" t="s" s="13">
        <v>2214</v>
      </c>
      <c r="U267" t="s" s="11">
        <v>528</v>
      </c>
      <c r="V267" t="s" s="13">
        <v>34</v>
      </c>
      <c r="W267" t="s" s="11">
        <v>2215</v>
      </c>
      <c r="X267" s="17">
        <f>HYPERLINK("https://my.pitchbook.com?p=225161-74P", "View People Online")</f>
      </c>
    </row>
    <row r="268">
      <c r="A268" t="s" s="10">
        <v>2216</v>
      </c>
      <c r="B268" t="s" s="10">
        <v>2217</v>
      </c>
      <c r="C268" t="s" s="10">
        <v>34</v>
      </c>
      <c r="D268" t="s" s="10">
        <v>2218</v>
      </c>
      <c r="E268" t="s" s="10">
        <v>2145</v>
      </c>
      <c r="F268" t="s" s="10">
        <v>2219</v>
      </c>
      <c r="G268" t="s" s="10">
        <v>2220</v>
      </c>
      <c r="H268" s="16">
        <f>HYPERLINK("http://www.mcapitalp.com", "www.mcapitalp.com")</f>
      </c>
      <c r="I268" t="s" s="10">
        <v>2222</v>
      </c>
      <c r="J268" s="24">
        <v>2</v>
      </c>
      <c r="K268" s="24">
        <v>3</v>
      </c>
      <c r="L268" t="s" s="24">
        <v>34</v>
      </c>
      <c r="M268" t="s" s="12">
        <v>2223</v>
      </c>
      <c r="N268" t="s" s="10">
        <v>2224</v>
      </c>
      <c r="O268" t="s" s="10">
        <v>2225</v>
      </c>
      <c r="P268" t="s" s="10">
        <v>2226</v>
      </c>
      <c r="Q268" t="s" s="10">
        <v>2227</v>
      </c>
      <c r="R268" t="s" s="10">
        <v>2228</v>
      </c>
      <c r="S268" t="s" s="10">
        <v>34</v>
      </c>
      <c r="T268" t="s" s="12">
        <v>2229</v>
      </c>
      <c r="U268" t="s" s="10">
        <v>2230</v>
      </c>
      <c r="V268" t="s" s="12">
        <v>34</v>
      </c>
      <c r="W268" t="s" s="10">
        <v>2231</v>
      </c>
      <c r="X268" s="16">
        <f>HYPERLINK("https://my.pitchbook.com?p=50754-52P", "View People Online")</f>
      </c>
    </row>
    <row r="269">
      <c r="A269" t="s" s="11">
        <v>2232</v>
      </c>
      <c r="B269" t="s" s="11">
        <v>2233</v>
      </c>
      <c r="C269" t="s" s="11">
        <v>34</v>
      </c>
      <c r="D269" t="s" s="11">
        <v>2234</v>
      </c>
      <c r="E269" t="s" s="11">
        <v>2235</v>
      </c>
      <c r="F269" t="s" s="11">
        <v>2236</v>
      </c>
      <c r="G269" t="s" s="11">
        <v>2237</v>
      </c>
      <c r="H269" s="17">
        <f>HYPERLINK("http://www.enpa.ch", "www.enpa.ch")</f>
      </c>
      <c r="I269" t="s" s="11">
        <v>2239</v>
      </c>
      <c r="J269" t="s" s="25">
        <v>34</v>
      </c>
      <c r="K269" s="25">
        <v>1</v>
      </c>
      <c r="L269" t="s" s="25">
        <v>34</v>
      </c>
      <c r="M269" t="s" s="13">
        <v>2240</v>
      </c>
      <c r="N269" t="s" s="11">
        <v>2241</v>
      </c>
      <c r="O269" t="s" s="11">
        <v>926</v>
      </c>
      <c r="P269" t="s" s="11">
        <v>2242</v>
      </c>
      <c r="Q269" t="s" s="11">
        <v>2243</v>
      </c>
      <c r="R269" t="s" s="11">
        <v>928</v>
      </c>
      <c r="S269" t="s" s="11">
        <v>34</v>
      </c>
      <c r="T269" t="s" s="13">
        <v>2244</v>
      </c>
      <c r="U269" t="s" s="11">
        <v>544</v>
      </c>
      <c r="V269" t="s" s="13">
        <v>34</v>
      </c>
      <c r="W269" t="s" s="11">
        <v>2245</v>
      </c>
      <c r="X269" s="17">
        <f>HYPERLINK("https://my.pitchbook.com?p=283230-91P", "View People Online")</f>
      </c>
    </row>
    <row r="270">
      <c r="A270" t="s" s="10">
        <v>2246</v>
      </c>
      <c r="B270" t="s" s="10">
        <v>2247</v>
      </c>
      <c r="C270" t="s" s="10">
        <v>34</v>
      </c>
      <c r="D270" t="s" s="10">
        <v>2248</v>
      </c>
      <c r="E270" t="s" s="10">
        <v>2235</v>
      </c>
      <c r="F270" t="s" s="10">
        <v>2249</v>
      </c>
      <c r="G270" t="s" s="10">
        <v>2030</v>
      </c>
      <c r="H270" s="16">
        <f>HYPERLINK("http://www.lhgcm.com", "www.lhgcm.com")</f>
      </c>
      <c r="I270" t="s" s="10">
        <v>2251</v>
      </c>
      <c r="J270" t="s" s="24">
        <v>34</v>
      </c>
      <c r="K270" s="24">
        <v>1</v>
      </c>
      <c r="L270" t="s" s="24">
        <v>34</v>
      </c>
      <c r="M270" t="s" s="12">
        <v>2252</v>
      </c>
      <c r="N270" t="s" s="10">
        <v>2253</v>
      </c>
      <c r="O270" t="s" s="10">
        <v>2254</v>
      </c>
      <c r="P270" t="s" s="10">
        <v>2255</v>
      </c>
      <c r="Q270" t="s" s="10">
        <v>2256</v>
      </c>
      <c r="R270" t="s" s="10">
        <v>2257</v>
      </c>
      <c r="S270" t="s" s="10">
        <v>34</v>
      </c>
      <c r="T270" t="s" s="12">
        <v>2183</v>
      </c>
      <c r="U270" t="s" s="10">
        <v>544</v>
      </c>
      <c r="V270" t="s" s="12">
        <v>34</v>
      </c>
      <c r="W270" t="s" s="10">
        <v>2258</v>
      </c>
      <c r="X270" s="16">
        <f>HYPERLINK("https://my.pitchbook.com?p=313170-67P", "View People Online")</f>
      </c>
    </row>
    <row r="271">
      <c r="A271" t="s" s="11">
        <v>2259</v>
      </c>
      <c r="B271" t="s" s="11">
        <v>2260</v>
      </c>
      <c r="C271" t="s" s="11">
        <v>34</v>
      </c>
      <c r="D271" t="s" s="11">
        <v>2261</v>
      </c>
      <c r="E271" t="s" s="11">
        <v>2235</v>
      </c>
      <c r="F271" t="s" s="11">
        <v>2262</v>
      </c>
      <c r="G271" t="s" s="11">
        <v>2263</v>
      </c>
      <c r="H271" s="17">
        <f>HYPERLINK("http://ifmfunds.com/default.aspx", "ifmfunds.com/default.aspx")</f>
      </c>
      <c r="I271" t="s" s="11">
        <v>369</v>
      </c>
      <c r="J271" s="25">
        <v>2</v>
      </c>
      <c r="K271" s="25">
        <v>3</v>
      </c>
      <c r="L271" t="s" s="25">
        <v>34</v>
      </c>
      <c r="M271" t="s" s="13">
        <v>2265</v>
      </c>
      <c r="N271" t="s" s="11">
        <v>2266</v>
      </c>
      <c r="O271" t="s" s="11">
        <v>2267</v>
      </c>
      <c r="P271" t="s" s="11">
        <v>2268</v>
      </c>
      <c r="Q271" t="s" s="11">
        <v>34</v>
      </c>
      <c r="R271" t="s" s="11">
        <v>2269</v>
      </c>
      <c r="S271" t="s" s="11">
        <v>34</v>
      </c>
      <c r="T271" t="s" s="13">
        <v>2270</v>
      </c>
      <c r="U271" t="s" s="11">
        <v>1517</v>
      </c>
      <c r="V271" t="s" s="13">
        <v>2271</v>
      </c>
      <c r="W271" t="s" s="11">
        <v>2272</v>
      </c>
      <c r="X271" s="17">
        <f>HYPERLINK("https://my.pitchbook.com?p=274297-06P", "View People Online")</f>
      </c>
    </row>
    <row r="272">
      <c r="A272" t="s" s="10">
        <v>2273</v>
      </c>
      <c r="B272" t="s" s="10">
        <v>1940</v>
      </c>
      <c r="C272" t="s" s="10">
        <v>34</v>
      </c>
      <c r="D272" t="s" s="10">
        <v>2274</v>
      </c>
      <c r="E272" t="s" s="10">
        <v>2235</v>
      </c>
      <c r="F272" t="s" s="10">
        <v>273</v>
      </c>
      <c r="G272" t="s" s="10">
        <v>274</v>
      </c>
      <c r="H272" s="16">
        <f>HYPERLINK("http://www.agcapital.co.za", "www.agcapital.co.za")</f>
      </c>
      <c r="I272" t="s" s="10">
        <v>2276</v>
      </c>
      <c r="J272" t="s" s="24">
        <v>34</v>
      </c>
      <c r="K272" s="24">
        <v>1</v>
      </c>
      <c r="L272" t="s" s="24">
        <v>34</v>
      </c>
      <c r="M272" t="s" s="12">
        <v>2277</v>
      </c>
      <c r="N272" t="s" s="10">
        <v>2278</v>
      </c>
      <c r="O272" t="s" s="10">
        <v>2279</v>
      </c>
      <c r="P272" t="s" s="10">
        <v>2280</v>
      </c>
      <c r="Q272" t="s" s="10">
        <v>2281</v>
      </c>
      <c r="R272" t="s" s="10">
        <v>2282</v>
      </c>
      <c r="S272" t="s" s="10">
        <v>34</v>
      </c>
      <c r="T272" t="s" s="12">
        <v>2283</v>
      </c>
      <c r="U272" t="s" s="10">
        <v>2284</v>
      </c>
      <c r="V272" t="s" s="12">
        <v>34</v>
      </c>
      <c r="W272" t="s" s="10">
        <v>2285</v>
      </c>
      <c r="X272" s="16">
        <f>HYPERLINK("https://my.pitchbook.com?p=435192-76P", "View People Online")</f>
      </c>
    </row>
    <row r="273">
      <c r="A273" t="s" s="11">
        <v>2286</v>
      </c>
      <c r="B273" t="s" s="11">
        <v>2287</v>
      </c>
      <c r="C273" t="s" s="11">
        <v>34</v>
      </c>
      <c r="D273" t="s" s="11">
        <v>2288</v>
      </c>
      <c r="E273" t="s" s="11">
        <v>2235</v>
      </c>
      <c r="F273" t="s" s="11">
        <v>2289</v>
      </c>
      <c r="G273" t="s" s="11">
        <v>1996</v>
      </c>
      <c r="H273" s="17">
        <f>HYPERLINK("http://www.isp.capital", "www.isp.capital")</f>
      </c>
      <c r="I273" t="s" s="11">
        <v>2291</v>
      </c>
      <c r="J273" t="s" s="25">
        <v>34</v>
      </c>
      <c r="K273" t="s" s="25">
        <v>34</v>
      </c>
      <c r="L273" t="s" s="25">
        <v>34</v>
      </c>
      <c r="M273" t="s" s="13">
        <v>34</v>
      </c>
      <c r="N273" t="s" s="11">
        <v>34</v>
      </c>
      <c r="O273" t="s" s="11">
        <v>34</v>
      </c>
      <c r="P273" t="s" s="11">
        <v>34</v>
      </c>
      <c r="Q273" t="s" s="11">
        <v>34</v>
      </c>
      <c r="R273" t="s" s="11">
        <v>34</v>
      </c>
      <c r="S273" t="s" s="11">
        <v>34</v>
      </c>
      <c r="T273" t="s" s="13">
        <v>34</v>
      </c>
      <c r="U273" t="s" s="11">
        <v>34</v>
      </c>
      <c r="V273" t="s" s="13">
        <v>34</v>
      </c>
      <c r="W273" t="s" s="11">
        <v>2292</v>
      </c>
      <c r="X273" s="17">
        <f>HYPERLINK("https://my.pitchbook.com?p=163590-94P", "View People Online")</f>
      </c>
    </row>
    <row r="274">
      <c r="A274" t="s" s="10">
        <v>2293</v>
      </c>
      <c r="B274" t="s" s="10">
        <v>2294</v>
      </c>
      <c r="C274" t="s" s="10">
        <v>34</v>
      </c>
      <c r="D274" t="s" s="10">
        <v>2294</v>
      </c>
      <c r="E274" t="s" s="10">
        <v>2295</v>
      </c>
      <c r="F274" t="s" s="10">
        <v>2296</v>
      </c>
      <c r="G274" t="s" s="10">
        <v>125</v>
      </c>
      <c r="H274" s="16">
        <f>HYPERLINK("http://www.harrydjanogly.co.uk", "www.harrydjanogly.co.uk")</f>
      </c>
      <c r="I274" t="s" s="10">
        <v>348</v>
      </c>
      <c r="J274" t="s" s="24">
        <v>34</v>
      </c>
      <c r="K274" s="24">
        <v>1</v>
      </c>
      <c r="L274" t="s" s="24">
        <v>34</v>
      </c>
      <c r="M274" t="s" s="12">
        <v>34</v>
      </c>
      <c r="N274" t="s" s="10">
        <v>34</v>
      </c>
      <c r="O274" t="s" s="10">
        <v>2298</v>
      </c>
      <c r="P274" t="s" s="10">
        <v>34</v>
      </c>
      <c r="Q274" t="s" s="10">
        <v>34</v>
      </c>
      <c r="R274" t="s" s="10">
        <v>2299</v>
      </c>
      <c r="S274" t="s" s="10">
        <v>47</v>
      </c>
      <c r="T274" t="s" s="12">
        <v>34</v>
      </c>
      <c r="U274" t="s" s="10">
        <v>49</v>
      </c>
      <c r="V274" t="s" s="12">
        <v>34</v>
      </c>
      <c r="W274" t="s" s="10">
        <v>2300</v>
      </c>
      <c r="X274" s="16">
        <f>HYPERLINK("https://my.pitchbook.com?p=163183-51P", "View People Online")</f>
      </c>
    </row>
    <row r="275">
      <c r="A275" t="s" s="11">
        <v>2301</v>
      </c>
      <c r="B275" t="s" s="11">
        <v>2302</v>
      </c>
      <c r="C275" t="s" s="11">
        <v>34</v>
      </c>
      <c r="D275" t="s" s="11">
        <v>2303</v>
      </c>
      <c r="E275" t="s" s="11">
        <v>2304</v>
      </c>
      <c r="F275" t="s" s="11">
        <v>2305</v>
      </c>
      <c r="G275" t="s" s="11">
        <v>2306</v>
      </c>
      <c r="H275" s="17">
        <f>HYPERLINK("http://lamar-holding.com", "lamar-holding.com")</f>
      </c>
      <c r="I275" t="s" s="11">
        <v>2308</v>
      </c>
      <c r="J275" t="s" s="25">
        <v>34</v>
      </c>
      <c r="K275" s="25">
        <v>1</v>
      </c>
      <c r="L275" t="s" s="25">
        <v>34</v>
      </c>
      <c r="M275" t="s" s="13">
        <v>34</v>
      </c>
      <c r="N275" t="s" s="11">
        <v>2309</v>
      </c>
      <c r="O275" t="s" s="11">
        <v>2310</v>
      </c>
      <c r="P275" t="s" s="11">
        <v>2311</v>
      </c>
      <c r="Q275" t="s" s="11">
        <v>2312</v>
      </c>
      <c r="R275" t="s" s="11">
        <v>2313</v>
      </c>
      <c r="S275" t="s" s="11">
        <v>34</v>
      </c>
      <c r="T275" t="s" s="13">
        <v>34</v>
      </c>
      <c r="U275" t="s" s="11">
        <v>2314</v>
      </c>
      <c r="V275" t="s" s="13">
        <v>34</v>
      </c>
      <c r="W275" t="s" s="11">
        <v>2315</v>
      </c>
      <c r="X275" s="17">
        <f>HYPERLINK("https://my.pitchbook.com?p=245849-86P", "View People Online")</f>
      </c>
    </row>
    <row r="276">
      <c r="A276" t="s" s="10">
        <v>2316</v>
      </c>
      <c r="B276" t="s" s="10">
        <v>2317</v>
      </c>
      <c r="C276" t="s" s="10">
        <v>34</v>
      </c>
      <c r="D276" t="s" s="10">
        <v>2318</v>
      </c>
      <c r="E276" t="s" s="10">
        <v>2304</v>
      </c>
      <c r="F276" t="s" s="10">
        <v>2319</v>
      </c>
      <c r="G276" t="s" s="10">
        <v>1159</v>
      </c>
      <c r="H276" s="16">
        <f>HYPERLINK("http://www.hampden.co.uk", "www.hampden.co.uk")</f>
      </c>
      <c r="I276" t="s" s="10">
        <v>2321</v>
      </c>
      <c r="J276" s="24">
        <v>2</v>
      </c>
      <c r="K276" s="24">
        <v>2</v>
      </c>
      <c r="L276" t="s" s="24">
        <v>34</v>
      </c>
      <c r="M276" t="s" s="12">
        <v>2322</v>
      </c>
      <c r="N276" t="s" s="10">
        <v>2323</v>
      </c>
      <c r="O276" t="s" s="10">
        <v>43</v>
      </c>
      <c r="P276" t="s" s="10">
        <v>2324</v>
      </c>
      <c r="Q276" t="s" s="10">
        <v>34</v>
      </c>
      <c r="R276" t="s" s="10">
        <v>46</v>
      </c>
      <c r="S276" t="s" s="10">
        <v>47</v>
      </c>
      <c r="T276" t="s" s="12">
        <v>2325</v>
      </c>
      <c r="U276" t="s" s="10">
        <v>49</v>
      </c>
      <c r="V276" t="s" s="12">
        <v>34</v>
      </c>
      <c r="W276" t="s" s="10">
        <v>2326</v>
      </c>
      <c r="X276" s="16">
        <f>HYPERLINK("https://my.pitchbook.com?p=185584-15P", "View People Online")</f>
      </c>
    </row>
    <row r="277">
      <c r="A277" t="s" s="11">
        <v>2327</v>
      </c>
      <c r="B277" t="s" s="11">
        <v>2328</v>
      </c>
      <c r="C277" t="s" s="11">
        <v>34</v>
      </c>
      <c r="D277" t="s" s="11">
        <v>2329</v>
      </c>
      <c r="E277" t="s" s="11">
        <v>2304</v>
      </c>
      <c r="F277" t="s" s="11">
        <v>2330</v>
      </c>
      <c r="G277" t="s" s="11">
        <v>2331</v>
      </c>
      <c r="H277" s="17">
        <f>HYPERLINK("http://www.alfaisalholding.com", "www.alfaisalholding.com")</f>
      </c>
      <c r="I277" t="s" s="11">
        <v>2333</v>
      </c>
      <c r="J277" s="25">
        <v>1</v>
      </c>
      <c r="K277" s="25">
        <v>1</v>
      </c>
      <c r="L277" t="s" s="25">
        <v>34</v>
      </c>
      <c r="M277" t="s" s="13">
        <v>2334</v>
      </c>
      <c r="N277" t="s" s="11">
        <v>34</v>
      </c>
      <c r="O277" t="s" s="11">
        <v>59</v>
      </c>
      <c r="P277" t="s" s="11">
        <v>2335</v>
      </c>
      <c r="Q277" t="s" s="11">
        <v>2336</v>
      </c>
      <c r="R277" t="s" s="11">
        <v>62</v>
      </c>
      <c r="S277" t="s" s="11">
        <v>34</v>
      </c>
      <c r="T277" t="s" s="13">
        <v>2337</v>
      </c>
      <c r="U277" t="s" s="11">
        <v>64</v>
      </c>
      <c r="V277" t="s" s="13">
        <v>2338</v>
      </c>
      <c r="W277" t="s" s="11">
        <v>2339</v>
      </c>
      <c r="X277" s="17">
        <f>HYPERLINK("https://my.pitchbook.com?p=244547-83P", "View People Online")</f>
      </c>
    </row>
    <row r="278">
      <c r="A278" t="s" s="10">
        <v>2340</v>
      </c>
      <c r="B278" t="s" s="10">
        <v>2341</v>
      </c>
      <c r="C278" t="s" s="10">
        <v>34</v>
      </c>
      <c r="D278" t="s" s="10">
        <v>2342</v>
      </c>
      <c r="E278" t="s" s="10">
        <v>2304</v>
      </c>
      <c r="F278" t="s" s="10">
        <v>2343</v>
      </c>
      <c r="G278" t="s" s="10">
        <v>2344</v>
      </c>
      <c r="H278" s="16">
        <f>HYPERLINK("http://www.royalgroup.com.kh", "www.royalgroup.com.kh")</f>
      </c>
      <c r="I278" t="s" s="10">
        <v>2346</v>
      </c>
      <c r="J278" s="24">
        <v>1</v>
      </c>
      <c r="K278" s="24">
        <v>3</v>
      </c>
      <c r="L278" s="24">
        <v>2</v>
      </c>
      <c r="M278" t="s" s="12">
        <v>34</v>
      </c>
      <c r="N278" t="s" s="10">
        <v>34</v>
      </c>
      <c r="O278" t="s" s="10">
        <v>2347</v>
      </c>
      <c r="P278" t="s" s="10">
        <v>2348</v>
      </c>
      <c r="Q278" t="s" s="10">
        <v>34</v>
      </c>
      <c r="R278" t="s" s="10">
        <v>2349</v>
      </c>
      <c r="S278" t="s" s="10">
        <v>34</v>
      </c>
      <c r="T278" t="s" s="12">
        <v>34</v>
      </c>
      <c r="U278" t="s" s="10">
        <v>2350</v>
      </c>
      <c r="V278" t="s" s="12">
        <v>34</v>
      </c>
      <c r="W278" t="s" s="10">
        <v>2351</v>
      </c>
      <c r="X278" s="16">
        <f>HYPERLINK("https://my.pitchbook.com?p=323553-52P", "View People Online")</f>
      </c>
    </row>
    <row r="279">
      <c r="A279" t="s" s="11">
        <v>2352</v>
      </c>
      <c r="B279" t="s" s="11">
        <v>2353</v>
      </c>
      <c r="C279" t="s" s="11">
        <v>34</v>
      </c>
      <c r="D279" t="s" s="11">
        <v>2329</v>
      </c>
      <c r="E279" t="s" s="11">
        <v>2304</v>
      </c>
      <c r="F279" t="s" s="11">
        <v>2354</v>
      </c>
      <c r="G279" t="s" s="11">
        <v>2355</v>
      </c>
      <c r="H279" s="17">
        <f>HYPERLINK("http://www.alfaisalholding.com", "www.alfaisalholding.com")</f>
      </c>
      <c r="I279" t="s" s="11">
        <v>2356</v>
      </c>
      <c r="J279" t="s" s="25">
        <v>34</v>
      </c>
      <c r="K279" s="25">
        <v>1</v>
      </c>
      <c r="L279" t="s" s="25">
        <v>34</v>
      </c>
      <c r="M279" t="s" s="13">
        <v>2334</v>
      </c>
      <c r="N279" t="s" s="11">
        <v>34</v>
      </c>
      <c r="O279" t="s" s="11">
        <v>59</v>
      </c>
      <c r="P279" t="s" s="11">
        <v>2335</v>
      </c>
      <c r="Q279" t="s" s="11">
        <v>2336</v>
      </c>
      <c r="R279" t="s" s="11">
        <v>62</v>
      </c>
      <c r="S279" t="s" s="11">
        <v>34</v>
      </c>
      <c r="T279" t="s" s="13">
        <v>2337</v>
      </c>
      <c r="U279" t="s" s="11">
        <v>64</v>
      </c>
      <c r="V279" t="s" s="13">
        <v>2338</v>
      </c>
      <c r="W279" t="s" s="11">
        <v>2357</v>
      </c>
      <c r="X279" s="17">
        <f>HYPERLINK("https://my.pitchbook.com?p=419885-83P", "View People Online")</f>
      </c>
    </row>
    <row r="280">
      <c r="A280" t="s" s="10">
        <v>2358</v>
      </c>
      <c r="B280" t="s" s="10">
        <v>2359</v>
      </c>
      <c r="C280" t="s" s="10">
        <v>34</v>
      </c>
      <c r="D280" t="s" s="10">
        <v>2329</v>
      </c>
      <c r="E280" t="s" s="10">
        <v>2304</v>
      </c>
      <c r="F280" t="s" s="10">
        <v>2360</v>
      </c>
      <c r="G280" t="s" s="10">
        <v>2361</v>
      </c>
      <c r="H280" s="16">
        <f>HYPERLINK("http://www.alfaisalholding.com", "www.alfaisalholding.com")</f>
      </c>
      <c r="I280" t="s" s="10">
        <v>2362</v>
      </c>
      <c r="J280" s="24">
        <v>2</v>
      </c>
      <c r="K280" s="24">
        <v>7</v>
      </c>
      <c r="L280" s="24">
        <v>5</v>
      </c>
      <c r="M280" t="s" s="12">
        <v>2334</v>
      </c>
      <c r="N280" t="s" s="10">
        <v>34</v>
      </c>
      <c r="O280" t="s" s="10">
        <v>59</v>
      </c>
      <c r="P280" t="s" s="10">
        <v>2335</v>
      </c>
      <c r="Q280" t="s" s="10">
        <v>2336</v>
      </c>
      <c r="R280" t="s" s="10">
        <v>62</v>
      </c>
      <c r="S280" t="s" s="10">
        <v>34</v>
      </c>
      <c r="T280" t="s" s="12">
        <v>2337</v>
      </c>
      <c r="U280" t="s" s="10">
        <v>64</v>
      </c>
      <c r="V280" t="s" s="12">
        <v>2338</v>
      </c>
      <c r="W280" t="s" s="10">
        <v>2363</v>
      </c>
      <c r="X280" s="16">
        <f>HYPERLINK("https://my.pitchbook.com?p=149521-51P", "View People Online")</f>
      </c>
    </row>
    <row r="281">
      <c r="A281" t="s" s="11">
        <v>2364</v>
      </c>
      <c r="B281" t="s" s="11">
        <v>2365</v>
      </c>
      <c r="C281" t="s" s="11">
        <v>34</v>
      </c>
      <c r="D281" t="s" s="11">
        <v>2366</v>
      </c>
      <c r="E281" t="s" s="11">
        <v>2367</v>
      </c>
      <c r="F281" t="s" s="11">
        <v>2368</v>
      </c>
      <c r="G281" t="s" s="11">
        <v>2369</v>
      </c>
      <c r="H281" s="17">
        <f>HYPERLINK("http://www.thehumancapital.dev", "www.thehumancapital.dev")</f>
      </c>
      <c r="I281" t="s" s="11">
        <v>2371</v>
      </c>
      <c r="J281" t="s" s="25">
        <v>34</v>
      </c>
      <c r="K281" s="25">
        <v>1</v>
      </c>
      <c r="L281" t="s" s="25">
        <v>34</v>
      </c>
      <c r="M281" t="s" s="13">
        <v>34</v>
      </c>
      <c r="N281" t="s" s="11">
        <v>34</v>
      </c>
      <c r="O281" t="s" s="11">
        <v>2372</v>
      </c>
      <c r="P281" t="s" s="11">
        <v>2373</v>
      </c>
      <c r="Q281" t="s" s="11">
        <v>2374</v>
      </c>
      <c r="R281" t="s" s="11">
        <v>2375</v>
      </c>
      <c r="S281" t="s" s="11">
        <v>2376</v>
      </c>
      <c r="T281" t="s" s="13">
        <v>2377</v>
      </c>
      <c r="U281" t="s" s="11">
        <v>88</v>
      </c>
      <c r="V281" t="s" s="13">
        <v>34</v>
      </c>
      <c r="W281" t="s" s="11">
        <v>2378</v>
      </c>
      <c r="X281" s="17">
        <f>HYPERLINK("https://my.pitchbook.com?p=335519-20P", "View People Online")</f>
      </c>
    </row>
    <row r="282">
      <c r="A282" t="s" s="10">
        <v>2379</v>
      </c>
      <c r="B282" t="s" s="10">
        <v>2380</v>
      </c>
      <c r="C282" t="s" s="10">
        <v>34</v>
      </c>
      <c r="D282" t="s" s="10">
        <v>2381</v>
      </c>
      <c r="E282" t="s" s="10">
        <v>2367</v>
      </c>
      <c r="F282" t="s" s="10">
        <v>2382</v>
      </c>
      <c r="G282" t="s" s="10">
        <v>2383</v>
      </c>
      <c r="H282" s="16">
        <f>HYPERLINK("http://www.boundless.earth", "www.boundless.earth")</f>
      </c>
      <c r="I282" t="s" s="10">
        <v>2385</v>
      </c>
      <c r="J282" t="s" s="24">
        <v>34</v>
      </c>
      <c r="K282" s="24">
        <v>1</v>
      </c>
      <c r="L282" t="s" s="24">
        <v>34</v>
      </c>
      <c r="M282" t="s" s="12">
        <v>34</v>
      </c>
      <c r="N282" t="s" s="10">
        <v>2386</v>
      </c>
      <c r="O282" t="s" s="10">
        <v>2105</v>
      </c>
      <c r="P282" t="s" s="10">
        <v>34</v>
      </c>
      <c r="Q282" t="s" s="10">
        <v>34</v>
      </c>
      <c r="R282" t="s" s="10">
        <v>34</v>
      </c>
      <c r="S282" t="s" s="10">
        <v>34</v>
      </c>
      <c r="T282" t="s" s="12">
        <v>34</v>
      </c>
      <c r="U282" t="s" s="10">
        <v>2105</v>
      </c>
      <c r="V282" t="s" s="12">
        <v>34</v>
      </c>
      <c r="W282" t="s" s="10">
        <v>2387</v>
      </c>
      <c r="X282" s="16">
        <f>HYPERLINK("https://my.pitchbook.com?p=237882-34P", "View People Online")</f>
      </c>
    </row>
    <row r="283">
      <c r="A283" t="s" s="11">
        <v>2388</v>
      </c>
      <c r="B283" t="s" s="11">
        <v>2389</v>
      </c>
      <c r="C283" t="s" s="11">
        <v>34</v>
      </c>
      <c r="D283" t="s" s="11">
        <v>2390</v>
      </c>
      <c r="E283" t="s" s="11">
        <v>2367</v>
      </c>
      <c r="F283" t="s" s="11">
        <v>2391</v>
      </c>
      <c r="G283" t="s" s="11">
        <v>2392</v>
      </c>
      <c r="H283" s="17">
        <f>HYPERLINK("http://www.lightrock.com", "www.lightrock.com")</f>
      </c>
      <c r="I283" t="s" s="11">
        <v>2394</v>
      </c>
      <c r="J283" t="s" s="25">
        <v>34</v>
      </c>
      <c r="K283" s="25">
        <v>1</v>
      </c>
      <c r="L283" t="s" s="25">
        <v>34</v>
      </c>
      <c r="M283" t="s" s="13">
        <v>34</v>
      </c>
      <c r="N283" t="s" s="11">
        <v>2395</v>
      </c>
      <c r="O283" t="s" s="11">
        <v>926</v>
      </c>
      <c r="P283" t="s" s="11">
        <v>2396</v>
      </c>
      <c r="Q283" t="s" s="11">
        <v>34</v>
      </c>
      <c r="R283" t="s" s="11">
        <v>928</v>
      </c>
      <c r="S283" t="s" s="11">
        <v>34</v>
      </c>
      <c r="T283" t="s" s="13">
        <v>2397</v>
      </c>
      <c r="U283" t="s" s="11">
        <v>544</v>
      </c>
      <c r="V283" t="s" s="13">
        <v>34</v>
      </c>
      <c r="W283" t="s" s="11">
        <v>2398</v>
      </c>
      <c r="X283" s="17">
        <f>HYPERLINK("https://my.pitchbook.com?p=72633-88P", "View People Online")</f>
      </c>
    </row>
    <row r="284">
      <c r="A284" t="s" s="10">
        <v>2399</v>
      </c>
      <c r="B284" t="s" s="10">
        <v>2400</v>
      </c>
      <c r="C284" t="s" s="10">
        <v>34</v>
      </c>
      <c r="D284" t="s" s="10">
        <v>2401</v>
      </c>
      <c r="E284" t="s" s="10">
        <v>2367</v>
      </c>
      <c r="F284" t="s" s="10">
        <v>2402</v>
      </c>
      <c r="G284" t="s" s="10">
        <v>2403</v>
      </c>
      <c r="H284" s="16">
        <f>HYPERLINK("http://www.infusion51a.com", "www.infusion51a.com")</f>
      </c>
      <c r="I284" t="s" s="10">
        <v>2211</v>
      </c>
      <c r="J284" t="s" s="24">
        <v>34</v>
      </c>
      <c r="K284" s="24">
        <v>1</v>
      </c>
      <c r="L284" t="s" s="24">
        <v>34</v>
      </c>
      <c r="M284" t="s" s="12">
        <v>2405</v>
      </c>
      <c r="N284" t="s" s="10">
        <v>34</v>
      </c>
      <c r="O284" t="s" s="10">
        <v>2372</v>
      </c>
      <c r="P284" t="s" s="10">
        <v>2406</v>
      </c>
      <c r="Q284" t="s" s="10">
        <v>2407</v>
      </c>
      <c r="R284" t="s" s="10">
        <v>2375</v>
      </c>
      <c r="S284" t="s" s="10">
        <v>2376</v>
      </c>
      <c r="T284" t="s" s="12">
        <v>2408</v>
      </c>
      <c r="U284" t="s" s="10">
        <v>88</v>
      </c>
      <c r="V284" t="s" s="12">
        <v>34</v>
      </c>
      <c r="W284" t="s" s="10">
        <v>2409</v>
      </c>
      <c r="X284" s="16">
        <f>HYPERLINK("https://my.pitchbook.com?p=395231-59P", "View People Online")</f>
      </c>
    </row>
    <row r="285">
      <c r="A285" t="s" s="11">
        <v>2410</v>
      </c>
      <c r="B285" t="s" s="11">
        <v>2411</v>
      </c>
      <c r="C285" t="s" s="11">
        <v>34</v>
      </c>
      <c r="D285" t="s" s="11">
        <v>2412</v>
      </c>
      <c r="E285" t="s" s="11">
        <v>2367</v>
      </c>
      <c r="F285" t="s" s="11">
        <v>2413</v>
      </c>
      <c r="G285" t="s" s="11">
        <v>2414</v>
      </c>
      <c r="H285" s="17">
        <f>HYPERLINK("http://www.lightrock.com", "www.lightrock.com")</f>
      </c>
      <c r="I285" t="s" s="11">
        <v>649</v>
      </c>
      <c r="J285" t="s" s="25">
        <v>34</v>
      </c>
      <c r="K285" t="s" s="25">
        <v>34</v>
      </c>
      <c r="L285" t="s" s="25">
        <v>34</v>
      </c>
      <c r="M285" t="s" s="13">
        <v>34</v>
      </c>
      <c r="N285" t="s" s="11">
        <v>34</v>
      </c>
      <c r="O285" t="s" s="11">
        <v>34</v>
      </c>
      <c r="P285" t="s" s="11">
        <v>34</v>
      </c>
      <c r="Q285" t="s" s="11">
        <v>34</v>
      </c>
      <c r="R285" t="s" s="11">
        <v>34</v>
      </c>
      <c r="S285" t="s" s="11">
        <v>34</v>
      </c>
      <c r="T285" t="s" s="13">
        <v>34</v>
      </c>
      <c r="U285" t="s" s="11">
        <v>34</v>
      </c>
      <c r="V285" t="s" s="13">
        <v>34</v>
      </c>
      <c r="W285" t="s" s="11">
        <v>2415</v>
      </c>
      <c r="X285" s="17">
        <f>HYPERLINK("https://my.pitchbook.com?p=114828-67P", "View People Online")</f>
      </c>
    </row>
    <row r="286">
      <c r="A286" t="s" s="10">
        <v>2416</v>
      </c>
      <c r="B286" t="s" s="10">
        <v>2417</v>
      </c>
      <c r="C286" t="s" s="10">
        <v>34</v>
      </c>
      <c r="D286" t="s" s="10">
        <v>2418</v>
      </c>
      <c r="E286" t="s" s="10">
        <v>2419</v>
      </c>
      <c r="F286" t="s" s="10">
        <v>2420</v>
      </c>
      <c r="G286" t="s" s="10">
        <v>2421</v>
      </c>
      <c r="H286" s="16">
        <f>HYPERLINK("http://www.nfumutual.co.uk", "www.nfumutual.co.uk")</f>
      </c>
      <c r="I286" t="s" s="10">
        <v>2423</v>
      </c>
      <c r="J286" t="s" s="24">
        <v>34</v>
      </c>
      <c r="K286" t="s" s="24">
        <v>34</v>
      </c>
      <c r="L286" t="s" s="24">
        <v>34</v>
      </c>
      <c r="M286" t="s" s="12">
        <v>34</v>
      </c>
      <c r="N286" t="s" s="10">
        <v>34</v>
      </c>
      <c r="O286" t="s" s="10">
        <v>34</v>
      </c>
      <c r="P286" t="s" s="10">
        <v>34</v>
      </c>
      <c r="Q286" t="s" s="10">
        <v>34</v>
      </c>
      <c r="R286" t="s" s="10">
        <v>34</v>
      </c>
      <c r="S286" t="s" s="10">
        <v>34</v>
      </c>
      <c r="T286" t="s" s="12">
        <v>34</v>
      </c>
      <c r="U286" t="s" s="10">
        <v>34</v>
      </c>
      <c r="V286" t="s" s="12">
        <v>34</v>
      </c>
      <c r="W286" t="s" s="10">
        <v>2424</v>
      </c>
      <c r="X286" s="16">
        <f>HYPERLINK("https://my.pitchbook.com?p=356482-72P", "View People Online")</f>
      </c>
    </row>
    <row r="287">
      <c r="A287" t="s" s="11">
        <v>2425</v>
      </c>
      <c r="B287" t="s" s="11">
        <v>2426</v>
      </c>
      <c r="C287" t="s" s="11">
        <v>34</v>
      </c>
      <c r="D287" t="s" s="11">
        <v>2427</v>
      </c>
      <c r="E287" t="s" s="11">
        <v>2419</v>
      </c>
      <c r="F287" t="s" s="11">
        <v>1019</v>
      </c>
      <c r="G287" t="s" s="11">
        <v>2428</v>
      </c>
      <c r="H287" s="17">
        <f>HYPERLINK("http://www.qic.online", "www.qic.online")</f>
      </c>
      <c r="I287" t="s" s="11">
        <v>2430</v>
      </c>
      <c r="J287" t="s" s="25">
        <v>34</v>
      </c>
      <c r="K287" t="s" s="25">
        <v>34</v>
      </c>
      <c r="L287" t="s" s="25">
        <v>34</v>
      </c>
      <c r="M287" t="s" s="13">
        <v>34</v>
      </c>
      <c r="N287" t="s" s="11">
        <v>34</v>
      </c>
      <c r="O287" t="s" s="11">
        <v>34</v>
      </c>
      <c r="P287" t="s" s="11">
        <v>34</v>
      </c>
      <c r="Q287" t="s" s="11">
        <v>34</v>
      </c>
      <c r="R287" t="s" s="11">
        <v>34</v>
      </c>
      <c r="S287" t="s" s="11">
        <v>34</v>
      </c>
      <c r="T287" t="s" s="13">
        <v>34</v>
      </c>
      <c r="U287" t="s" s="11">
        <v>34</v>
      </c>
      <c r="V287" t="s" s="13">
        <v>34</v>
      </c>
      <c r="W287" t="s" s="11">
        <v>2431</v>
      </c>
      <c r="X287" s="17">
        <f>HYPERLINK("https://my.pitchbook.com?p=304275-16P", "View People Online")</f>
      </c>
    </row>
    <row r="288">
      <c r="A288" t="s" s="10">
        <v>2432</v>
      </c>
      <c r="B288" t="s" s="10">
        <v>2433</v>
      </c>
      <c r="C288" t="s" s="10">
        <v>34</v>
      </c>
      <c r="D288" t="s" s="10">
        <v>2434</v>
      </c>
      <c r="E288" t="s" s="10">
        <v>2435</v>
      </c>
      <c r="F288" t="s" s="10">
        <v>2436</v>
      </c>
      <c r="G288" t="s" s="10">
        <v>2437</v>
      </c>
      <c r="H288" s="16">
        <f>HYPERLINK("http://plexusinvestments.com", "plexusinvestments.com")</f>
      </c>
      <c r="I288" t="s" s="10">
        <v>191</v>
      </c>
      <c r="J288" t="s" s="24">
        <v>34</v>
      </c>
      <c r="K288" s="24">
        <v>1</v>
      </c>
      <c r="L288" t="s" s="24">
        <v>34</v>
      </c>
      <c r="M288" t="s" s="12">
        <v>2439</v>
      </c>
      <c r="N288" t="s" s="10">
        <v>2440</v>
      </c>
      <c r="O288" t="s" s="10">
        <v>2441</v>
      </c>
      <c r="P288" t="s" s="10">
        <v>2442</v>
      </c>
      <c r="Q288" t="s" s="10">
        <v>34</v>
      </c>
      <c r="R288" t="s" s="10">
        <v>2443</v>
      </c>
      <c r="S288" t="s" s="10">
        <v>34</v>
      </c>
      <c r="T288" t="s" s="12">
        <v>2444</v>
      </c>
      <c r="U288" t="s" s="10">
        <v>1517</v>
      </c>
      <c r="V288" t="s" s="12">
        <v>2445</v>
      </c>
      <c r="W288" t="s" s="10">
        <v>2446</v>
      </c>
      <c r="X288" s="16">
        <f>HYPERLINK("https://my.pitchbook.com?p=257856-49P", "View People Online")</f>
      </c>
    </row>
    <row r="289">
      <c r="A289" t="s" s="11">
        <v>2447</v>
      </c>
      <c r="B289" t="s" s="11">
        <v>2448</v>
      </c>
      <c r="C289" t="s" s="11">
        <v>34</v>
      </c>
      <c r="D289" t="s" s="11">
        <v>2449</v>
      </c>
      <c r="E289" t="s" s="11">
        <v>2450</v>
      </c>
      <c r="F289" t="s" s="11">
        <v>2451</v>
      </c>
      <c r="G289" t="s" s="11">
        <v>2452</v>
      </c>
      <c r="H289" s="17">
        <f>HYPERLINK("http://www.bwb.earth", "www.bwb.earth")</f>
      </c>
      <c r="I289" t="s" s="11">
        <v>2454</v>
      </c>
      <c r="J289" s="25">
        <v>1</v>
      </c>
      <c r="K289" s="25">
        <v>1</v>
      </c>
      <c r="L289" t="s" s="25">
        <v>34</v>
      </c>
      <c r="M289" t="s" s="13">
        <v>2455</v>
      </c>
      <c r="N289" t="s" s="11">
        <v>2456</v>
      </c>
      <c r="O289" t="s" s="11">
        <v>43</v>
      </c>
      <c r="P289" t="s" s="11">
        <v>34</v>
      </c>
      <c r="Q289" t="s" s="11">
        <v>2457</v>
      </c>
      <c r="R289" t="s" s="11">
        <v>46</v>
      </c>
      <c r="S289" t="s" s="11">
        <v>47</v>
      </c>
      <c r="T289" t="s" s="13">
        <v>2458</v>
      </c>
      <c r="U289" t="s" s="11">
        <v>49</v>
      </c>
      <c r="V289" t="s" s="13">
        <v>34</v>
      </c>
      <c r="W289" t="s" s="11">
        <v>2459</v>
      </c>
      <c r="X289" s="17">
        <f>HYPERLINK("https://my.pitchbook.com?p=322250-59P", "View People Online")</f>
      </c>
    </row>
    <row r="290">
      <c r="A290" t="s" s="10">
        <v>2460</v>
      </c>
      <c r="B290" t="s" s="10">
        <v>2461</v>
      </c>
      <c r="C290" t="s" s="10">
        <v>34</v>
      </c>
      <c r="D290" t="s" s="10">
        <v>2462</v>
      </c>
      <c r="E290" t="s" s="10">
        <v>2450</v>
      </c>
      <c r="F290" t="s" s="10">
        <v>2463</v>
      </c>
      <c r="G290" t="s" s="10">
        <v>2464</v>
      </c>
      <c r="H290" s="16">
        <f>HYPERLINK("http://www.lgt.at", "www.lgt.at")</f>
      </c>
      <c r="I290" t="s" s="10">
        <v>322</v>
      </c>
      <c r="J290" t="s" s="24">
        <v>34</v>
      </c>
      <c r="K290" s="24">
        <v>1</v>
      </c>
      <c r="L290" t="s" s="24">
        <v>34</v>
      </c>
      <c r="M290" t="s" s="12">
        <v>2466</v>
      </c>
      <c r="N290" t="s" s="10">
        <v>2467</v>
      </c>
      <c r="O290" t="s" s="10">
        <v>2468</v>
      </c>
      <c r="P290" t="s" s="10">
        <v>2469</v>
      </c>
      <c r="Q290" t="s" s="10">
        <v>34</v>
      </c>
      <c r="R290" t="s" s="10">
        <v>2470</v>
      </c>
      <c r="S290" t="s" s="10">
        <v>34</v>
      </c>
      <c r="T290" t="s" s="12">
        <v>34</v>
      </c>
      <c r="U290" t="s" s="10">
        <v>2471</v>
      </c>
      <c r="V290" t="s" s="12">
        <v>2472</v>
      </c>
      <c r="W290" t="s" s="10">
        <v>2473</v>
      </c>
      <c r="X290" s="16">
        <f>HYPERLINK("https://my.pitchbook.com?p=423627-04P", "View People Online")</f>
      </c>
    </row>
    <row r="291">
      <c r="A291" t="s" s="11">
        <v>2474</v>
      </c>
      <c r="B291" t="s" s="11">
        <v>2475</v>
      </c>
      <c r="C291" t="s" s="11">
        <v>34</v>
      </c>
      <c r="D291" t="s" s="11">
        <v>2476</v>
      </c>
      <c r="E291" t="s" s="11">
        <v>2450</v>
      </c>
      <c r="F291" t="s" s="11">
        <v>2477</v>
      </c>
      <c r="G291" t="s" s="11">
        <v>2478</v>
      </c>
      <c r="H291" s="17">
        <f>HYPERLINK("http://www.shkco.com", "www.shkco.com")</f>
      </c>
      <c r="I291" t="s" s="11">
        <v>649</v>
      </c>
      <c r="J291" s="25">
        <v>1</v>
      </c>
      <c r="K291" s="25">
        <v>1</v>
      </c>
      <c r="L291" t="s" s="25">
        <v>34</v>
      </c>
      <c r="M291" t="s" s="13">
        <v>2480</v>
      </c>
      <c r="N291" t="s" s="11">
        <v>34</v>
      </c>
      <c r="O291" t="s" s="11">
        <v>552</v>
      </c>
      <c r="P291" t="s" s="11">
        <v>2481</v>
      </c>
      <c r="Q291" t="s" s="11">
        <v>2482</v>
      </c>
      <c r="R291" t="s" s="11">
        <v>555</v>
      </c>
      <c r="S291" t="s" s="11">
        <v>34</v>
      </c>
      <c r="T291" t="s" s="13">
        <v>34</v>
      </c>
      <c r="U291" t="s" s="11">
        <v>555</v>
      </c>
      <c r="V291" t="s" s="13">
        <v>2483</v>
      </c>
      <c r="W291" t="s" s="11">
        <v>2484</v>
      </c>
      <c r="X291" s="17">
        <f>HYPERLINK("https://my.pitchbook.com?p=140764-69P", "View People Online")</f>
      </c>
    </row>
    <row r="292">
      <c r="A292" t="s" s="10">
        <v>2485</v>
      </c>
      <c r="B292" t="s" s="10">
        <v>2486</v>
      </c>
      <c r="C292" t="s" s="10">
        <v>34</v>
      </c>
      <c r="D292" t="s" s="10">
        <v>2487</v>
      </c>
      <c r="E292" t="s" s="10">
        <v>2450</v>
      </c>
      <c r="F292" t="s" s="10">
        <v>2488</v>
      </c>
      <c r="G292" t="s" s="10">
        <v>1887</v>
      </c>
      <c r="H292" s="16">
        <f>HYPERLINK("http://www.tigressfp.com", "www.tigressfp.com")</f>
      </c>
      <c r="I292" t="s" s="10">
        <v>2490</v>
      </c>
      <c r="J292" t="s" s="24">
        <v>34</v>
      </c>
      <c r="K292" s="24">
        <v>1</v>
      </c>
      <c r="L292" t="s" s="24">
        <v>34</v>
      </c>
      <c r="M292" t="s" s="12">
        <v>2491</v>
      </c>
      <c r="N292" t="s" s="10">
        <v>2492</v>
      </c>
      <c r="O292" t="s" s="10">
        <v>84</v>
      </c>
      <c r="P292" t="s" s="10">
        <v>2493</v>
      </c>
      <c r="Q292" t="s" s="10">
        <v>2494</v>
      </c>
      <c r="R292" t="s" s="10">
        <v>86</v>
      </c>
      <c r="S292" t="s" s="10">
        <v>86</v>
      </c>
      <c r="T292" t="s" s="12">
        <v>2495</v>
      </c>
      <c r="U292" t="s" s="10">
        <v>88</v>
      </c>
      <c r="V292" t="s" s="12">
        <v>34</v>
      </c>
      <c r="W292" t="s" s="10">
        <v>2496</v>
      </c>
      <c r="X292" s="16">
        <f>HYPERLINK("https://my.pitchbook.com?p=178054-21P", "View People Online")</f>
      </c>
    </row>
    <row r="293">
      <c r="A293" t="s" s="11">
        <v>2497</v>
      </c>
      <c r="B293" t="s" s="11">
        <v>2498</v>
      </c>
      <c r="C293" t="s" s="11">
        <v>34</v>
      </c>
      <c r="D293" t="s" s="11">
        <v>2499</v>
      </c>
      <c r="E293" t="s" s="11">
        <v>2450</v>
      </c>
      <c r="F293" t="s" s="11">
        <v>2500</v>
      </c>
      <c r="G293" t="s" s="11">
        <v>1911</v>
      </c>
      <c r="H293" s="17">
        <f>HYPERLINK("http://www.evercore.com", "www.evercore.com")</f>
      </c>
      <c r="I293" t="s" s="11">
        <v>2502</v>
      </c>
      <c r="J293" t="s" s="25">
        <v>34</v>
      </c>
      <c r="K293" s="25">
        <v>7</v>
      </c>
      <c r="L293" s="25">
        <v>6</v>
      </c>
      <c r="M293" t="s" s="13">
        <v>2503</v>
      </c>
      <c r="N293" t="s" s="11">
        <v>2504</v>
      </c>
      <c r="O293" t="s" s="11">
        <v>84</v>
      </c>
      <c r="P293" t="s" s="11">
        <v>2505</v>
      </c>
      <c r="Q293" t="s" s="11">
        <v>34</v>
      </c>
      <c r="R293" t="s" s="11">
        <v>86</v>
      </c>
      <c r="S293" t="s" s="11">
        <v>86</v>
      </c>
      <c r="T293" t="s" s="13">
        <v>2506</v>
      </c>
      <c r="U293" t="s" s="11">
        <v>88</v>
      </c>
      <c r="V293" t="s" s="13">
        <v>34</v>
      </c>
      <c r="W293" t="s" s="11">
        <v>2507</v>
      </c>
      <c r="X293" s="17">
        <f>HYPERLINK("https://my.pitchbook.com?p=15253-03P", "View People Online")</f>
      </c>
    </row>
    <row r="294">
      <c r="A294" t="s" s="10">
        <v>2508</v>
      </c>
      <c r="B294" t="s" s="10">
        <v>2509</v>
      </c>
      <c r="C294" t="s" s="10">
        <v>34</v>
      </c>
      <c r="D294" t="s" s="10">
        <v>2510</v>
      </c>
      <c r="E294" t="s" s="10">
        <v>2450</v>
      </c>
      <c r="F294" t="s" s="10">
        <v>2511</v>
      </c>
      <c r="G294" t="s" s="10">
        <v>274</v>
      </c>
      <c r="H294" s="16">
        <f>HYPERLINK("http://www.rbccm.com", "www.rbccm.com")</f>
      </c>
      <c r="I294" t="s" s="10">
        <v>2513</v>
      </c>
      <c r="J294" t="s" s="24">
        <v>34</v>
      </c>
      <c r="K294" t="s" s="24">
        <v>34</v>
      </c>
      <c r="L294" t="s" s="24">
        <v>34</v>
      </c>
      <c r="M294" t="s" s="12">
        <v>34</v>
      </c>
      <c r="N294" t="s" s="10">
        <v>34</v>
      </c>
      <c r="O294" t="s" s="10">
        <v>34</v>
      </c>
      <c r="P294" t="s" s="10">
        <v>34</v>
      </c>
      <c r="Q294" t="s" s="10">
        <v>34</v>
      </c>
      <c r="R294" t="s" s="10">
        <v>34</v>
      </c>
      <c r="S294" t="s" s="10">
        <v>34</v>
      </c>
      <c r="T294" t="s" s="12">
        <v>34</v>
      </c>
      <c r="U294" t="s" s="10">
        <v>34</v>
      </c>
      <c r="V294" t="s" s="12">
        <v>34</v>
      </c>
      <c r="W294" t="s" s="10">
        <v>2514</v>
      </c>
      <c r="X294" s="16">
        <f>HYPERLINK("https://my.pitchbook.com?p=58939-57P", "View People Online")</f>
      </c>
    </row>
    <row r="295">
      <c r="A295" t="s" s="11">
        <v>2515</v>
      </c>
      <c r="B295" t="s" s="11">
        <v>1940</v>
      </c>
      <c r="C295" t="s" s="11">
        <v>34</v>
      </c>
      <c r="D295" t="s" s="11">
        <v>2516</v>
      </c>
      <c r="E295" t="s" s="11">
        <v>2450</v>
      </c>
      <c r="F295" t="s" s="11">
        <v>273</v>
      </c>
      <c r="G295" t="s" s="11">
        <v>274</v>
      </c>
      <c r="H295" s="17">
        <f>HYPERLINK("http://www.danoyes.com", "www.danoyes.com")</f>
      </c>
      <c r="I295" t="s" s="11">
        <v>2518</v>
      </c>
      <c r="J295" t="s" s="25">
        <v>34</v>
      </c>
      <c r="K295" t="s" s="25">
        <v>34</v>
      </c>
      <c r="L295" t="s" s="25">
        <v>34</v>
      </c>
      <c r="M295" t="s" s="13">
        <v>2519</v>
      </c>
      <c r="N295" t="s" s="11">
        <v>34</v>
      </c>
      <c r="O295" t="s" s="11">
        <v>34</v>
      </c>
      <c r="P295" t="s" s="11">
        <v>34</v>
      </c>
      <c r="Q295" t="s" s="11">
        <v>34</v>
      </c>
      <c r="R295" t="s" s="11">
        <v>34</v>
      </c>
      <c r="S295" t="s" s="11">
        <v>34</v>
      </c>
      <c r="T295" t="s" s="13">
        <v>34</v>
      </c>
      <c r="U295" t="s" s="11">
        <v>34</v>
      </c>
      <c r="V295" t="s" s="13">
        <v>34</v>
      </c>
      <c r="W295" t="s" s="11">
        <v>2520</v>
      </c>
      <c r="X295" s="17">
        <f>HYPERLINK("https://my.pitchbook.com?p=74670-49P", "View People Online")</f>
      </c>
    </row>
    <row r="296">
      <c r="A296" t="s" s="10">
        <v>2521</v>
      </c>
      <c r="B296" t="s" s="10">
        <v>1940</v>
      </c>
      <c r="C296" t="s" s="10">
        <v>34</v>
      </c>
      <c r="D296" t="s" s="10">
        <v>2522</v>
      </c>
      <c r="E296" t="s" s="10">
        <v>2450</v>
      </c>
      <c r="F296" t="s" s="10">
        <v>273</v>
      </c>
      <c r="G296" t="s" s="10">
        <v>274</v>
      </c>
      <c r="H296" s="16">
        <f>HYPERLINK("http://www.incapital.com", "www.incapital.com")</f>
      </c>
      <c r="I296" t="s" s="10">
        <v>2524</v>
      </c>
      <c r="J296" t="s" s="24">
        <v>34</v>
      </c>
      <c r="K296" t="s" s="24">
        <v>34</v>
      </c>
      <c r="L296" t="s" s="24">
        <v>34</v>
      </c>
      <c r="M296" t="s" s="12">
        <v>34</v>
      </c>
      <c r="N296" t="s" s="10">
        <v>34</v>
      </c>
      <c r="O296" t="s" s="10">
        <v>34</v>
      </c>
      <c r="P296" t="s" s="10">
        <v>34</v>
      </c>
      <c r="Q296" t="s" s="10">
        <v>34</v>
      </c>
      <c r="R296" t="s" s="10">
        <v>34</v>
      </c>
      <c r="S296" t="s" s="10">
        <v>34</v>
      </c>
      <c r="T296" t="s" s="12">
        <v>34</v>
      </c>
      <c r="U296" t="s" s="10">
        <v>34</v>
      </c>
      <c r="V296" t="s" s="12">
        <v>34</v>
      </c>
      <c r="W296" t="s" s="10">
        <v>2525</v>
      </c>
      <c r="X296" s="16">
        <f>HYPERLINK("https://my.pitchbook.com?p=231769-81P", "View People Online")</f>
      </c>
    </row>
    <row r="297">
      <c r="A297" t="s" s="11">
        <v>2526</v>
      </c>
      <c r="B297" t="s" s="11">
        <v>2527</v>
      </c>
      <c r="C297" t="s" s="11">
        <v>34</v>
      </c>
      <c r="D297" t="s" s="11">
        <v>2528</v>
      </c>
      <c r="E297" t="s" s="11">
        <v>2450</v>
      </c>
      <c r="F297" t="s" s="11">
        <v>2529</v>
      </c>
      <c r="G297" t="s" s="11">
        <v>2530</v>
      </c>
      <c r="H297" s="17">
        <f>HYPERLINK("http://www.qinvest.com", "www.qinvest.com")</f>
      </c>
      <c r="I297" t="s" s="11">
        <v>255</v>
      </c>
      <c r="J297" t="s" s="25">
        <v>34</v>
      </c>
      <c r="K297" s="25">
        <v>1</v>
      </c>
      <c r="L297" t="s" s="25">
        <v>34</v>
      </c>
      <c r="M297" t="s" s="13">
        <v>2532</v>
      </c>
      <c r="N297" t="s" s="11">
        <v>34</v>
      </c>
      <c r="O297" t="s" s="11">
        <v>59</v>
      </c>
      <c r="P297" t="s" s="11">
        <v>2533</v>
      </c>
      <c r="Q297" t="s" s="11">
        <v>34</v>
      </c>
      <c r="R297" t="s" s="11">
        <v>62</v>
      </c>
      <c r="S297" t="s" s="11">
        <v>34</v>
      </c>
      <c r="T297" t="s" s="13">
        <v>2534</v>
      </c>
      <c r="U297" t="s" s="11">
        <v>64</v>
      </c>
      <c r="V297" t="s" s="13">
        <v>2535</v>
      </c>
      <c r="W297" t="s" s="11">
        <v>2536</v>
      </c>
      <c r="X297" s="17">
        <f>HYPERLINK("https://my.pitchbook.com?p=79237-00P", "View People Online")</f>
      </c>
    </row>
    <row r="298">
      <c r="A298" t="s" s="10">
        <v>2537</v>
      </c>
      <c r="B298" t="s" s="10">
        <v>2538</v>
      </c>
      <c r="C298" t="s" s="10">
        <v>34</v>
      </c>
      <c r="D298" t="s" s="10">
        <v>2539</v>
      </c>
      <c r="E298" t="s" s="10">
        <v>2450</v>
      </c>
      <c r="F298" t="s" s="10">
        <v>2540</v>
      </c>
      <c r="G298" t="s" s="10">
        <v>2541</v>
      </c>
      <c r="H298" s="16">
        <f>HYPERLINK("http://www.raymondjames.com", "www.raymondjames.com")</f>
      </c>
      <c r="I298" t="s" s="10">
        <v>2543</v>
      </c>
      <c r="J298" t="s" s="24">
        <v>34</v>
      </c>
      <c r="K298" t="s" s="24">
        <v>34</v>
      </c>
      <c r="L298" t="s" s="24">
        <v>34</v>
      </c>
      <c r="M298" t="s" s="12">
        <v>34</v>
      </c>
      <c r="N298" t="s" s="10">
        <v>34</v>
      </c>
      <c r="O298" t="s" s="10">
        <v>34</v>
      </c>
      <c r="P298" t="s" s="10">
        <v>34</v>
      </c>
      <c r="Q298" t="s" s="10">
        <v>34</v>
      </c>
      <c r="R298" t="s" s="10">
        <v>34</v>
      </c>
      <c r="S298" t="s" s="10">
        <v>34</v>
      </c>
      <c r="T298" t="s" s="12">
        <v>34</v>
      </c>
      <c r="U298" t="s" s="10">
        <v>34</v>
      </c>
      <c r="V298" t="s" s="12">
        <v>34</v>
      </c>
      <c r="W298" t="s" s="10">
        <v>2544</v>
      </c>
      <c r="X298" s="16">
        <f>HYPERLINK("https://my.pitchbook.com?p=142172-65P", "View People Online")</f>
      </c>
    </row>
    <row r="299">
      <c r="A299" t="s" s="11">
        <v>2545</v>
      </c>
      <c r="B299" t="s" s="11">
        <v>2546</v>
      </c>
      <c r="C299" t="s" s="11">
        <v>34</v>
      </c>
      <c r="D299" t="s" s="11">
        <v>2547</v>
      </c>
      <c r="E299" t="s" s="11">
        <v>2450</v>
      </c>
      <c r="F299" t="s" s="11">
        <v>2548</v>
      </c>
      <c r="G299" t="s" s="11">
        <v>2549</v>
      </c>
      <c r="H299" s="17">
        <f>HYPERLINK("http://www.pwpartners.com", "www.pwpartners.com")</f>
      </c>
      <c r="I299" t="s" s="11">
        <v>2551</v>
      </c>
      <c r="J299" t="s" s="25">
        <v>34</v>
      </c>
      <c r="K299" t="s" s="25">
        <v>34</v>
      </c>
      <c r="L299" t="s" s="25">
        <v>34</v>
      </c>
      <c r="M299" t="s" s="13">
        <v>34</v>
      </c>
      <c r="N299" t="s" s="11">
        <v>34</v>
      </c>
      <c r="O299" t="s" s="11">
        <v>34</v>
      </c>
      <c r="P299" t="s" s="11">
        <v>34</v>
      </c>
      <c r="Q299" t="s" s="11">
        <v>34</v>
      </c>
      <c r="R299" t="s" s="11">
        <v>34</v>
      </c>
      <c r="S299" t="s" s="11">
        <v>34</v>
      </c>
      <c r="T299" t="s" s="13">
        <v>34</v>
      </c>
      <c r="U299" t="s" s="11">
        <v>34</v>
      </c>
      <c r="V299" t="s" s="13">
        <v>34</v>
      </c>
      <c r="W299" t="s" s="11">
        <v>2552</v>
      </c>
      <c r="X299" s="17">
        <f>HYPERLINK("https://my.pitchbook.com?p=181654-39P", "View People Online")</f>
      </c>
    </row>
    <row r="300">
      <c r="A300" t="s" s="10">
        <v>2553</v>
      </c>
      <c r="B300" t="s" s="10">
        <v>2554</v>
      </c>
      <c r="C300" t="s" s="10">
        <v>34</v>
      </c>
      <c r="D300" t="s" s="10">
        <v>2555</v>
      </c>
      <c r="E300" t="s" s="10">
        <v>2450</v>
      </c>
      <c r="F300" t="s" s="10">
        <v>2556</v>
      </c>
      <c r="G300" t="s" s="10">
        <v>2557</v>
      </c>
      <c r="H300" s="16">
        <f>HYPERLINK("http://www.hl.com", "www.hl.com")</f>
      </c>
      <c r="I300" t="s" s="10">
        <v>2559</v>
      </c>
      <c r="J300" t="s" s="24">
        <v>34</v>
      </c>
      <c r="K300" s="24">
        <v>4</v>
      </c>
      <c r="L300" s="24">
        <v>3</v>
      </c>
      <c r="M300" t="s" s="12">
        <v>2560</v>
      </c>
      <c r="N300" t="s" s="10">
        <v>2561</v>
      </c>
      <c r="O300" t="s" s="10">
        <v>2562</v>
      </c>
      <c r="P300" t="s" s="10">
        <v>2563</v>
      </c>
      <c r="Q300" t="s" s="10">
        <v>34</v>
      </c>
      <c r="R300" t="s" s="10">
        <v>2564</v>
      </c>
      <c r="S300" t="s" s="10">
        <v>34</v>
      </c>
      <c r="T300" t="s" s="12">
        <v>2565</v>
      </c>
      <c r="U300" t="s" s="10">
        <v>2566</v>
      </c>
      <c r="V300" t="s" s="12">
        <v>34</v>
      </c>
      <c r="W300" t="s" s="10">
        <v>2567</v>
      </c>
      <c r="X300" s="16">
        <f>HYPERLINK("https://my.pitchbook.com?p=318077-74P", "View People Online")</f>
      </c>
    </row>
    <row r="301">
      <c r="A301" t="s" s="11">
        <v>2568</v>
      </c>
      <c r="B301" t="s" s="11">
        <v>2569</v>
      </c>
      <c r="C301" t="s" s="11">
        <v>34</v>
      </c>
      <c r="D301" t="s" s="11">
        <v>2570</v>
      </c>
      <c r="E301" t="s" s="11">
        <v>2571</v>
      </c>
      <c r="F301" t="s" s="11">
        <v>2572</v>
      </c>
      <c r="G301" t="s" s="11">
        <v>2573</v>
      </c>
      <c r="H301" s="17">
        <f>HYPERLINK("http://thesheikhoffice.com", "thesheikhoffice.com")</f>
      </c>
      <c r="I301" t="s" s="11">
        <v>622</v>
      </c>
      <c r="J301" t="s" s="25">
        <v>34</v>
      </c>
      <c r="K301" t="s" s="25">
        <v>34</v>
      </c>
      <c r="L301" t="s" s="25">
        <v>34</v>
      </c>
      <c r="M301" t="s" s="13">
        <v>34</v>
      </c>
      <c r="N301" t="s" s="11">
        <v>34</v>
      </c>
      <c r="O301" t="s" s="11">
        <v>34</v>
      </c>
      <c r="P301" t="s" s="11">
        <v>34</v>
      </c>
      <c r="Q301" t="s" s="11">
        <v>34</v>
      </c>
      <c r="R301" t="s" s="11">
        <v>34</v>
      </c>
      <c r="S301" t="s" s="11">
        <v>34</v>
      </c>
      <c r="T301" t="s" s="13">
        <v>34</v>
      </c>
      <c r="U301" t="s" s="11">
        <v>34</v>
      </c>
      <c r="V301" t="s" s="13">
        <v>34</v>
      </c>
      <c r="W301" t="s" s="11">
        <v>2575</v>
      </c>
      <c r="X301" s="17">
        <f>HYPERLINK("https://my.pitchbook.com?p=248006-71P", "View People Online")</f>
      </c>
    </row>
    <row r="302">
      <c r="A302" t="s" s="10">
        <v>2576</v>
      </c>
      <c r="B302" t="s" s="10">
        <v>2577</v>
      </c>
      <c r="C302" t="s" s="10">
        <v>34</v>
      </c>
      <c r="D302" t="s" s="10">
        <v>2578</v>
      </c>
      <c r="E302" t="s" s="10">
        <v>2571</v>
      </c>
      <c r="F302" t="s" s="10">
        <v>2579</v>
      </c>
      <c r="G302" t="s" s="10">
        <v>2580</v>
      </c>
      <c r="H302" s="16">
        <f>HYPERLINK("http://www.crownproperty.or.th", "www.crownproperty.or.th")</f>
      </c>
      <c r="I302" t="s" s="10">
        <v>649</v>
      </c>
      <c r="J302" s="24">
        <v>1</v>
      </c>
      <c r="K302" s="24">
        <v>1</v>
      </c>
      <c r="L302" t="s" s="24">
        <v>34</v>
      </c>
      <c r="M302" t="s" s="12">
        <v>2582</v>
      </c>
      <c r="N302" t="s" s="10">
        <v>34</v>
      </c>
      <c r="O302" t="s" s="10">
        <v>1140</v>
      </c>
      <c r="P302" t="s" s="10">
        <v>2583</v>
      </c>
      <c r="Q302" t="s" s="10">
        <v>2584</v>
      </c>
      <c r="R302" t="s" s="10">
        <v>1143</v>
      </c>
      <c r="S302" t="s" s="10">
        <v>34</v>
      </c>
      <c r="T302" t="s" s="12">
        <v>2585</v>
      </c>
      <c r="U302" t="s" s="10">
        <v>1145</v>
      </c>
      <c r="V302" t="s" s="12">
        <v>34</v>
      </c>
      <c r="W302" t="s" s="10">
        <v>2586</v>
      </c>
      <c r="X302" s="16">
        <f>HYPERLINK("https://my.pitchbook.com?p=371462-32P", "View People Online")</f>
      </c>
    </row>
    <row r="303">
      <c r="A303" t="s" s="11">
        <v>2587</v>
      </c>
      <c r="B303" t="s" s="11">
        <v>2588</v>
      </c>
      <c r="C303" t="s" s="11">
        <v>34</v>
      </c>
      <c r="D303" t="s" s="11">
        <v>2589</v>
      </c>
      <c r="E303" t="s" s="11">
        <v>2571</v>
      </c>
      <c r="F303" t="s" s="11">
        <v>2590</v>
      </c>
      <c r="G303" t="s" s="11">
        <v>2591</v>
      </c>
      <c r="H303" s="17">
        <f>HYPERLINK("http://www.finad.com", "www.finad.com")</f>
      </c>
      <c r="I303" t="s" s="11">
        <v>2593</v>
      </c>
      <c r="J303" t="s" s="25">
        <v>34</v>
      </c>
      <c r="K303" s="25">
        <v>1</v>
      </c>
      <c r="L303" t="s" s="25">
        <v>34</v>
      </c>
      <c r="M303" t="s" s="13">
        <v>2594</v>
      </c>
      <c r="N303" t="s" s="11">
        <v>2595</v>
      </c>
      <c r="O303" t="s" s="11">
        <v>926</v>
      </c>
      <c r="P303" t="s" s="11">
        <v>2596</v>
      </c>
      <c r="Q303" t="s" s="11">
        <v>34</v>
      </c>
      <c r="R303" t="s" s="11">
        <v>928</v>
      </c>
      <c r="S303" t="s" s="11">
        <v>34</v>
      </c>
      <c r="T303" t="s" s="13">
        <v>2183</v>
      </c>
      <c r="U303" t="s" s="11">
        <v>544</v>
      </c>
      <c r="V303" t="s" s="13">
        <v>2597</v>
      </c>
      <c r="W303" t="s" s="11">
        <v>2598</v>
      </c>
      <c r="X303" s="17">
        <f>HYPERLINK("https://my.pitchbook.com?p=184072-15P", "View People Online")</f>
      </c>
    </row>
    <row r="304">
      <c r="A304" t="s" s="10">
        <v>2599</v>
      </c>
      <c r="B304" t="s" s="10">
        <v>2600</v>
      </c>
      <c r="C304" t="s" s="10">
        <v>34</v>
      </c>
      <c r="D304" t="s" s="10">
        <v>2601</v>
      </c>
      <c r="E304" t="s" s="10">
        <v>2571</v>
      </c>
      <c r="F304" t="s" s="10">
        <v>2602</v>
      </c>
      <c r="G304" t="s" s="10">
        <v>216</v>
      </c>
      <c r="H304" s="16">
        <f>HYPERLINK("http://www.dalmacapital.com", "www.dalmacapital.com")</f>
      </c>
      <c r="I304" t="s" s="10">
        <v>255</v>
      </c>
      <c r="J304" t="s" s="24">
        <v>34</v>
      </c>
      <c r="K304" s="24">
        <v>3</v>
      </c>
      <c r="L304" s="24">
        <v>1</v>
      </c>
      <c r="M304" t="s" s="12">
        <v>2604</v>
      </c>
      <c r="N304" t="s" s="10">
        <v>34</v>
      </c>
      <c r="O304" t="s" s="10">
        <v>236</v>
      </c>
      <c r="P304" t="s" s="10">
        <v>2605</v>
      </c>
      <c r="Q304" t="s" s="10">
        <v>2606</v>
      </c>
      <c r="R304" t="s" s="10">
        <v>239</v>
      </c>
      <c r="S304" t="s" s="10">
        <v>34</v>
      </c>
      <c r="T304" t="s" s="12">
        <v>2607</v>
      </c>
      <c r="U304" t="s" s="10">
        <v>240</v>
      </c>
      <c r="V304" t="s" s="12">
        <v>34</v>
      </c>
      <c r="W304" t="s" s="10">
        <v>2608</v>
      </c>
      <c r="X304" s="16">
        <f>HYPERLINK("https://my.pitchbook.com?p=193075-57P", "View People Online")</f>
      </c>
    </row>
    <row r="305">
      <c r="A305" t="s" s="11">
        <v>2609</v>
      </c>
      <c r="B305" t="s" s="11">
        <v>2610</v>
      </c>
      <c r="C305" t="s" s="11">
        <v>34</v>
      </c>
      <c r="D305" t="s" s="11">
        <v>2611</v>
      </c>
      <c r="E305" t="s" s="11">
        <v>2571</v>
      </c>
      <c r="F305" t="s" s="11">
        <v>2612</v>
      </c>
      <c r="G305" t="s" s="11">
        <v>2613</v>
      </c>
      <c r="H305" s="17">
        <f>HYPERLINK("http://www.ktscapital.ch", "www.ktscapital.ch")</f>
      </c>
      <c r="I305" t="s" s="11">
        <v>2615</v>
      </c>
      <c r="J305" t="s" s="25">
        <v>34</v>
      </c>
      <c r="K305" t="s" s="25">
        <v>34</v>
      </c>
      <c r="L305" t="s" s="25">
        <v>34</v>
      </c>
      <c r="M305" t="s" s="13">
        <v>34</v>
      </c>
      <c r="N305" t="s" s="11">
        <v>34</v>
      </c>
      <c r="O305" t="s" s="11">
        <v>34</v>
      </c>
      <c r="P305" t="s" s="11">
        <v>34</v>
      </c>
      <c r="Q305" t="s" s="11">
        <v>34</v>
      </c>
      <c r="R305" t="s" s="11">
        <v>34</v>
      </c>
      <c r="S305" t="s" s="11">
        <v>34</v>
      </c>
      <c r="T305" t="s" s="13">
        <v>34</v>
      </c>
      <c r="U305" t="s" s="11">
        <v>34</v>
      </c>
      <c r="V305" t="s" s="13">
        <v>34</v>
      </c>
      <c r="W305" t="s" s="11">
        <v>2616</v>
      </c>
      <c r="X305" s="17">
        <f>HYPERLINK("https://my.pitchbook.com?p=374545-90P", "View People Online")</f>
      </c>
    </row>
    <row r="306">
      <c r="A306" t="s" s="10">
        <v>2617</v>
      </c>
      <c r="B306" t="s" s="10">
        <v>2618</v>
      </c>
      <c r="C306" t="s" s="10">
        <v>34</v>
      </c>
      <c r="D306" t="s" s="10">
        <v>2619</v>
      </c>
      <c r="E306" t="s" s="10">
        <v>2571</v>
      </c>
      <c r="F306" t="s" s="10">
        <v>2620</v>
      </c>
      <c r="G306" t="s" s="10">
        <v>2621</v>
      </c>
      <c r="H306" s="16">
        <f>HYPERLINK("http://www.crownproperty.or.th", "www.crownproperty.or.th")</f>
      </c>
      <c r="I306" t="s" s="10">
        <v>34</v>
      </c>
      <c r="J306" t="s" s="24">
        <v>34</v>
      </c>
      <c r="K306" t="s" s="24">
        <v>34</v>
      </c>
      <c r="L306" t="s" s="24">
        <v>34</v>
      </c>
      <c r="M306" t="s" s="12">
        <v>34</v>
      </c>
      <c r="N306" t="s" s="10">
        <v>34</v>
      </c>
      <c r="O306" t="s" s="10">
        <v>34</v>
      </c>
      <c r="P306" t="s" s="10">
        <v>34</v>
      </c>
      <c r="Q306" t="s" s="10">
        <v>34</v>
      </c>
      <c r="R306" t="s" s="10">
        <v>34</v>
      </c>
      <c r="S306" t="s" s="10">
        <v>34</v>
      </c>
      <c r="T306" t="s" s="12">
        <v>34</v>
      </c>
      <c r="U306" t="s" s="10">
        <v>34</v>
      </c>
      <c r="V306" t="s" s="12">
        <v>34</v>
      </c>
      <c r="W306" t="s" s="10">
        <v>2622</v>
      </c>
      <c r="X306" s="16">
        <f>HYPERLINK("https://my.pitchbook.com?p=371461-33P", "View People Online")</f>
      </c>
    </row>
    <row r="307">
      <c r="A307" t="s" s="11">
        <v>2623</v>
      </c>
      <c r="B307" t="s" s="11">
        <v>2624</v>
      </c>
      <c r="C307" t="s" s="11">
        <v>2625</v>
      </c>
      <c r="D307" t="s" s="11">
        <v>2626</v>
      </c>
      <c r="E307" t="s" s="11">
        <v>2571</v>
      </c>
      <c r="F307" t="s" s="11">
        <v>1054</v>
      </c>
      <c r="G307" t="s" s="11">
        <v>2627</v>
      </c>
      <c r="H307" s="17">
        <f>HYPERLINK("http://www.mubadala.com", "www.mubadala.com")</f>
      </c>
      <c r="I307" t="s" s="11">
        <v>2629</v>
      </c>
      <c r="J307" s="25">
        <v>6</v>
      </c>
      <c r="K307" s="25">
        <v>93</v>
      </c>
      <c r="L307" s="25">
        <v>84</v>
      </c>
      <c r="M307" t="s" s="13">
        <v>2630</v>
      </c>
      <c r="N307" t="s" s="11">
        <v>2631</v>
      </c>
      <c r="O307" t="s" s="11">
        <v>385</v>
      </c>
      <c r="P307" t="s" s="11">
        <v>2632</v>
      </c>
      <c r="Q307" t="s" s="11">
        <v>34</v>
      </c>
      <c r="R307" t="s" s="11">
        <v>388</v>
      </c>
      <c r="S307" t="s" s="11">
        <v>34</v>
      </c>
      <c r="T307" t="s" s="13">
        <v>2633</v>
      </c>
      <c r="U307" t="s" s="11">
        <v>240</v>
      </c>
      <c r="V307" t="s" s="13">
        <v>2634</v>
      </c>
      <c r="W307" t="s" s="11">
        <v>2635</v>
      </c>
      <c r="X307" s="17">
        <f>HYPERLINK("https://my.pitchbook.com?p=15116-68P", "View People Online")</f>
      </c>
    </row>
    <row r="308">
      <c r="A308" t="s" s="10">
        <v>2636</v>
      </c>
      <c r="B308" t="s" s="10">
        <v>2637</v>
      </c>
      <c r="C308" t="s" s="10">
        <v>34</v>
      </c>
      <c r="D308" t="s" s="10">
        <v>2619</v>
      </c>
      <c r="E308" t="s" s="10">
        <v>2571</v>
      </c>
      <c r="F308" t="s" s="10">
        <v>2638</v>
      </c>
      <c r="G308" t="s" s="10">
        <v>2639</v>
      </c>
      <c r="H308" s="16">
        <f>HYPERLINK("http://www.crownproperty.or.th", "www.crownproperty.or.th")</f>
      </c>
      <c r="I308" t="s" s="10">
        <v>34</v>
      </c>
      <c r="J308" t="s" s="24">
        <v>34</v>
      </c>
      <c r="K308" t="s" s="24">
        <v>34</v>
      </c>
      <c r="L308" t="s" s="24">
        <v>34</v>
      </c>
      <c r="M308" t="s" s="12">
        <v>34</v>
      </c>
      <c r="N308" t="s" s="10">
        <v>34</v>
      </c>
      <c r="O308" t="s" s="10">
        <v>34</v>
      </c>
      <c r="P308" t="s" s="10">
        <v>34</v>
      </c>
      <c r="Q308" t="s" s="10">
        <v>34</v>
      </c>
      <c r="R308" t="s" s="10">
        <v>34</v>
      </c>
      <c r="S308" t="s" s="10">
        <v>34</v>
      </c>
      <c r="T308" t="s" s="12">
        <v>34</v>
      </c>
      <c r="U308" t="s" s="10">
        <v>34</v>
      </c>
      <c r="V308" t="s" s="12">
        <v>34</v>
      </c>
      <c r="W308" t="s" s="10">
        <v>2640</v>
      </c>
      <c r="X308" s="16">
        <f>HYPERLINK("https://my.pitchbook.com?p=371461-78P", "View People Online")</f>
      </c>
    </row>
    <row r="309">
      <c r="A309" t="s" s="11">
        <v>2641</v>
      </c>
      <c r="B309" t="s" s="11">
        <v>2642</v>
      </c>
      <c r="C309" t="s" s="11">
        <v>34</v>
      </c>
      <c r="D309" t="s" s="11">
        <v>2643</v>
      </c>
      <c r="E309" t="s" s="11">
        <v>2571</v>
      </c>
      <c r="F309" t="s" s="11">
        <v>2644</v>
      </c>
      <c r="G309" t="s" s="11">
        <v>2645</v>
      </c>
      <c r="H309" s="17">
        <f>HYPERLINK("http://kronos-fo.com", "kronos-fo.com")</f>
      </c>
      <c r="I309" t="s" s="11">
        <v>2647</v>
      </c>
      <c r="J309" t="s" s="25">
        <v>34</v>
      </c>
      <c r="K309" s="25">
        <v>1</v>
      </c>
      <c r="L309" t="s" s="25">
        <v>34</v>
      </c>
      <c r="M309" t="s" s="13">
        <v>2648</v>
      </c>
      <c r="N309" t="s" s="11">
        <v>2649</v>
      </c>
      <c r="O309" t="s" s="11">
        <v>2468</v>
      </c>
      <c r="P309" t="s" s="11">
        <v>2650</v>
      </c>
      <c r="Q309" t="s" s="11">
        <v>34</v>
      </c>
      <c r="R309" t="s" s="11">
        <v>2470</v>
      </c>
      <c r="S309" t="s" s="11">
        <v>34</v>
      </c>
      <c r="T309" t="s" s="13">
        <v>2651</v>
      </c>
      <c r="U309" t="s" s="11">
        <v>2471</v>
      </c>
      <c r="V309" t="s" s="13">
        <v>2652</v>
      </c>
      <c r="W309" t="s" s="11">
        <v>2653</v>
      </c>
      <c r="X309" s="17">
        <f>HYPERLINK("https://my.pitchbook.com?p=453494-71P", "View People Online")</f>
      </c>
    </row>
    <row r="310">
      <c r="A310" t="s" s="10">
        <v>2654</v>
      </c>
      <c r="B310" t="s" s="10">
        <v>2655</v>
      </c>
      <c r="C310" t="s" s="10">
        <v>34</v>
      </c>
      <c r="D310" t="s" s="10">
        <v>2656</v>
      </c>
      <c r="E310" t="s" s="10">
        <v>2571</v>
      </c>
      <c r="F310" t="s" s="10">
        <v>2657</v>
      </c>
      <c r="G310" t="s" s="10">
        <v>2658</v>
      </c>
      <c r="H310" s="16">
        <f>HYPERLINK("http://www.cielcapital.ca", "www.cielcapital.ca")</f>
      </c>
      <c r="I310" t="s" s="10">
        <v>111</v>
      </c>
      <c r="J310" t="s" s="24">
        <v>34</v>
      </c>
      <c r="K310" s="24">
        <v>2</v>
      </c>
      <c r="L310" t="s" s="24">
        <v>34</v>
      </c>
      <c r="M310" t="s" s="12">
        <v>2660</v>
      </c>
      <c r="N310" t="s" s="10">
        <v>2661</v>
      </c>
      <c r="O310" t="s" s="10">
        <v>2662</v>
      </c>
      <c r="P310" t="s" s="10">
        <v>2663</v>
      </c>
      <c r="Q310" t="s" s="10">
        <v>2664</v>
      </c>
      <c r="R310" t="s" s="10">
        <v>2665</v>
      </c>
      <c r="S310" t="s" s="10">
        <v>2138</v>
      </c>
      <c r="T310" t="s" s="12">
        <v>2666</v>
      </c>
      <c r="U310" t="s" s="10">
        <v>1613</v>
      </c>
      <c r="V310" t="s" s="12">
        <v>34</v>
      </c>
      <c r="W310" t="s" s="10">
        <v>2667</v>
      </c>
      <c r="X310" s="16">
        <f>HYPERLINK("https://my.pitchbook.com?p=256353-31P", "View People Online")</f>
      </c>
    </row>
    <row r="311">
      <c r="A311" t="s" s="11">
        <v>2668</v>
      </c>
      <c r="B311" t="s" s="11">
        <v>2669</v>
      </c>
      <c r="C311" t="s" s="11">
        <v>34</v>
      </c>
      <c r="D311" t="s" s="11">
        <v>2670</v>
      </c>
      <c r="E311" t="s" s="11">
        <v>2571</v>
      </c>
      <c r="F311" t="s" s="11">
        <v>2671</v>
      </c>
      <c r="G311" t="s" s="11">
        <v>896</v>
      </c>
      <c r="H311" s="17">
        <f>HYPERLINK("http://thesheikhoffice.com", "thesheikhoffice.com")</f>
      </c>
      <c r="I311" t="s" s="11">
        <v>2346</v>
      </c>
      <c r="J311" s="25">
        <v>1</v>
      </c>
      <c r="K311" s="25">
        <v>1</v>
      </c>
      <c r="L311" t="s" s="25">
        <v>34</v>
      </c>
      <c r="M311" t="s" s="13">
        <v>2672</v>
      </c>
      <c r="N311" t="s" s="11">
        <v>34</v>
      </c>
      <c r="O311" t="s" s="11">
        <v>385</v>
      </c>
      <c r="P311" t="s" s="11">
        <v>2673</v>
      </c>
      <c r="Q311" t="s" s="11">
        <v>34</v>
      </c>
      <c r="R311" t="s" s="11">
        <v>388</v>
      </c>
      <c r="S311" t="s" s="11">
        <v>34</v>
      </c>
      <c r="T311" t="s" s="13">
        <v>34</v>
      </c>
      <c r="U311" t="s" s="11">
        <v>240</v>
      </c>
      <c r="V311" t="s" s="13">
        <v>34</v>
      </c>
      <c r="W311" t="s" s="11">
        <v>2674</v>
      </c>
      <c r="X311" s="17">
        <f>HYPERLINK("https://my.pitchbook.com?p=331895-80P", "View People Online")</f>
      </c>
    </row>
    <row r="312">
      <c r="A312" t="s" s="10">
        <v>2675</v>
      </c>
      <c r="B312" t="s" s="10">
        <v>1133</v>
      </c>
      <c r="C312" t="s" s="10">
        <v>34</v>
      </c>
      <c r="D312" t="s" s="10">
        <v>2676</v>
      </c>
      <c r="E312" t="s" s="10">
        <v>2571</v>
      </c>
      <c r="F312" t="s" s="10">
        <v>1135</v>
      </c>
      <c r="G312" t="s" s="10">
        <v>1136</v>
      </c>
      <c r="H312" s="16">
        <f>HYPERLINK("http://www.scgchemicals.com", "www.scgchemicals.com")</f>
      </c>
      <c r="I312" t="s" s="10">
        <v>1073</v>
      </c>
      <c r="J312" s="24">
        <v>1</v>
      </c>
      <c r="K312" s="24">
        <v>1</v>
      </c>
      <c r="L312" t="s" s="24">
        <v>34</v>
      </c>
      <c r="M312" t="s" s="12">
        <v>2678</v>
      </c>
      <c r="N312" t="s" s="10">
        <v>2679</v>
      </c>
      <c r="O312" t="s" s="10">
        <v>1140</v>
      </c>
      <c r="P312" t="s" s="10">
        <v>2680</v>
      </c>
      <c r="Q312" t="s" s="10">
        <v>34</v>
      </c>
      <c r="R312" t="s" s="10">
        <v>1143</v>
      </c>
      <c r="S312" t="s" s="10">
        <v>34</v>
      </c>
      <c r="T312" t="s" s="12">
        <v>2681</v>
      </c>
      <c r="U312" t="s" s="10">
        <v>1145</v>
      </c>
      <c r="V312" t="s" s="12">
        <v>2682</v>
      </c>
      <c r="W312" t="s" s="10">
        <v>2683</v>
      </c>
      <c r="X312" s="16">
        <f>HYPERLINK("https://my.pitchbook.com?p=323471-35P", "View People Online")</f>
      </c>
    </row>
    <row r="313">
      <c r="A313" t="s" s="11">
        <v>2684</v>
      </c>
      <c r="B313" t="s" s="11">
        <v>1133</v>
      </c>
      <c r="C313" t="s" s="11">
        <v>34</v>
      </c>
      <c r="D313" t="s" s="11">
        <v>2578</v>
      </c>
      <c r="E313" t="s" s="11">
        <v>2571</v>
      </c>
      <c r="F313" t="s" s="11">
        <v>1135</v>
      </c>
      <c r="G313" t="s" s="11">
        <v>1136</v>
      </c>
      <c r="H313" s="17">
        <f>HYPERLINK("http://www.crownproperty.or.th", "www.crownproperty.or.th")</f>
      </c>
      <c r="I313" t="s" s="11">
        <v>2685</v>
      </c>
      <c r="J313" t="s" s="25">
        <v>34</v>
      </c>
      <c r="K313" s="25">
        <v>1</v>
      </c>
      <c r="L313" t="s" s="25">
        <v>34</v>
      </c>
      <c r="M313" t="s" s="13">
        <v>2582</v>
      </c>
      <c r="N313" t="s" s="11">
        <v>2686</v>
      </c>
      <c r="O313" t="s" s="11">
        <v>1140</v>
      </c>
      <c r="P313" t="s" s="11">
        <v>2583</v>
      </c>
      <c r="Q313" t="s" s="11">
        <v>2584</v>
      </c>
      <c r="R313" t="s" s="11">
        <v>1143</v>
      </c>
      <c r="S313" t="s" s="11">
        <v>34</v>
      </c>
      <c r="T313" t="s" s="13">
        <v>2585</v>
      </c>
      <c r="U313" t="s" s="11">
        <v>1145</v>
      </c>
      <c r="V313" t="s" s="13">
        <v>34</v>
      </c>
      <c r="W313" t="s" s="11">
        <v>2687</v>
      </c>
      <c r="X313" s="17">
        <f>HYPERLINK("https://my.pitchbook.com?p=371460-70P", "View People Online")</f>
      </c>
    </row>
    <row r="314">
      <c r="A314" t="s" s="10">
        <v>2688</v>
      </c>
      <c r="B314" t="s" s="10">
        <v>2689</v>
      </c>
      <c r="C314" t="s" s="10">
        <v>34</v>
      </c>
      <c r="D314" t="s" s="10">
        <v>2670</v>
      </c>
      <c r="E314" t="s" s="10">
        <v>2571</v>
      </c>
      <c r="F314" t="s" s="10">
        <v>2690</v>
      </c>
      <c r="G314" t="s" s="10">
        <v>2691</v>
      </c>
      <c r="H314" s="16">
        <f>HYPERLINK("http://thesheikhoffice.com", "thesheikhoffice.com")</f>
      </c>
      <c r="I314" t="s" s="10">
        <v>57</v>
      </c>
      <c r="J314" t="s" s="24">
        <v>34</v>
      </c>
      <c r="K314" s="24">
        <v>1</v>
      </c>
      <c r="L314" t="s" s="24">
        <v>34</v>
      </c>
      <c r="M314" t="s" s="12">
        <v>2672</v>
      </c>
      <c r="N314" t="s" s="10">
        <v>34</v>
      </c>
      <c r="O314" t="s" s="10">
        <v>385</v>
      </c>
      <c r="P314" t="s" s="10">
        <v>2673</v>
      </c>
      <c r="Q314" t="s" s="10">
        <v>34</v>
      </c>
      <c r="R314" t="s" s="10">
        <v>388</v>
      </c>
      <c r="S314" t="s" s="10">
        <v>34</v>
      </c>
      <c r="T314" t="s" s="12">
        <v>34</v>
      </c>
      <c r="U314" t="s" s="10">
        <v>240</v>
      </c>
      <c r="V314" t="s" s="12">
        <v>34</v>
      </c>
      <c r="W314" t="s" s="10">
        <v>2692</v>
      </c>
      <c r="X314" s="16">
        <f>HYPERLINK("https://my.pitchbook.com?p=331894-72P", "View People Online")</f>
      </c>
    </row>
    <row r="315">
      <c r="A315" t="s" s="11">
        <v>2693</v>
      </c>
      <c r="B315" t="s" s="11">
        <v>2694</v>
      </c>
      <c r="C315" t="s" s="11">
        <v>34</v>
      </c>
      <c r="D315" t="s" s="11">
        <v>2578</v>
      </c>
      <c r="E315" t="s" s="11">
        <v>2571</v>
      </c>
      <c r="F315" t="s" s="11">
        <v>2695</v>
      </c>
      <c r="G315" t="s" s="11">
        <v>2696</v>
      </c>
      <c r="H315" s="17">
        <f>HYPERLINK("http://www.crownproperty.or.th", "www.crownproperty.or.th")</f>
      </c>
      <c r="I315" t="s" s="11">
        <v>649</v>
      </c>
      <c r="J315" s="25">
        <v>1</v>
      </c>
      <c r="K315" s="25">
        <v>1</v>
      </c>
      <c r="L315" t="s" s="25">
        <v>34</v>
      </c>
      <c r="M315" t="s" s="13">
        <v>2582</v>
      </c>
      <c r="N315" t="s" s="11">
        <v>34</v>
      </c>
      <c r="O315" t="s" s="11">
        <v>1140</v>
      </c>
      <c r="P315" t="s" s="11">
        <v>2583</v>
      </c>
      <c r="Q315" t="s" s="11">
        <v>2584</v>
      </c>
      <c r="R315" t="s" s="11">
        <v>1143</v>
      </c>
      <c r="S315" t="s" s="11">
        <v>34</v>
      </c>
      <c r="T315" t="s" s="13">
        <v>2585</v>
      </c>
      <c r="U315" t="s" s="11">
        <v>1145</v>
      </c>
      <c r="V315" t="s" s="13">
        <v>34</v>
      </c>
      <c r="W315" t="s" s="11">
        <v>2697</v>
      </c>
      <c r="X315" s="17">
        <f>HYPERLINK("https://my.pitchbook.com?p=331874-11P", "View People Online")</f>
      </c>
    </row>
    <row r="316">
      <c r="A316" t="s" s="10">
        <v>2698</v>
      </c>
      <c r="B316" t="s" s="10">
        <v>2699</v>
      </c>
      <c r="C316" t="s" s="10">
        <v>34</v>
      </c>
      <c r="D316" t="s" s="10">
        <v>2578</v>
      </c>
      <c r="E316" t="s" s="10">
        <v>2571</v>
      </c>
      <c r="F316" t="s" s="10">
        <v>2700</v>
      </c>
      <c r="G316" t="s" s="10">
        <v>2701</v>
      </c>
      <c r="H316" s="16">
        <f>HYPERLINK("http://www.crownproperty.or.th", "www.crownproperty.or.th")</f>
      </c>
      <c r="I316" t="s" s="10">
        <v>2702</v>
      </c>
      <c r="J316" s="24">
        <v>1</v>
      </c>
      <c r="K316" s="24">
        <v>1</v>
      </c>
      <c r="L316" t="s" s="24">
        <v>34</v>
      </c>
      <c r="M316" t="s" s="12">
        <v>2582</v>
      </c>
      <c r="N316" t="s" s="10">
        <v>34</v>
      </c>
      <c r="O316" t="s" s="10">
        <v>1140</v>
      </c>
      <c r="P316" t="s" s="10">
        <v>2583</v>
      </c>
      <c r="Q316" t="s" s="10">
        <v>2584</v>
      </c>
      <c r="R316" t="s" s="10">
        <v>1143</v>
      </c>
      <c r="S316" t="s" s="10">
        <v>34</v>
      </c>
      <c r="T316" t="s" s="12">
        <v>2585</v>
      </c>
      <c r="U316" t="s" s="10">
        <v>1145</v>
      </c>
      <c r="V316" t="s" s="12">
        <v>34</v>
      </c>
      <c r="W316" t="s" s="10">
        <v>2703</v>
      </c>
      <c r="X316" s="16">
        <f>HYPERLINK("https://my.pitchbook.com?p=371460-97P", "View People Online")</f>
      </c>
    </row>
    <row r="317">
      <c r="A317" t="s" s="11">
        <v>2704</v>
      </c>
      <c r="B317" t="s" s="11">
        <v>2705</v>
      </c>
      <c r="C317" t="s" s="11">
        <v>34</v>
      </c>
      <c r="D317" t="s" s="11">
        <v>2706</v>
      </c>
      <c r="E317" t="s" s="11">
        <v>2707</v>
      </c>
      <c r="F317" t="s" s="11">
        <v>2708</v>
      </c>
      <c r="G317" t="s" s="11">
        <v>2709</v>
      </c>
      <c r="H317" s="17">
        <f>HYPERLINK("http://www.gfrlaw.com", "www.gfrlaw.com")</f>
      </c>
      <c r="I317" t="s" s="11">
        <v>2711</v>
      </c>
      <c r="J317" t="s" s="25">
        <v>34</v>
      </c>
      <c r="K317" s="25">
        <v>1</v>
      </c>
      <c r="L317" t="s" s="25">
        <v>34</v>
      </c>
      <c r="M317" t="s" s="13">
        <v>2712</v>
      </c>
      <c r="N317" t="s" s="11">
        <v>2713</v>
      </c>
      <c r="O317" t="s" s="11">
        <v>154</v>
      </c>
      <c r="P317" t="s" s="11">
        <v>2714</v>
      </c>
      <c r="Q317" t="s" s="11">
        <v>34</v>
      </c>
      <c r="R317" t="s" s="11">
        <v>157</v>
      </c>
      <c r="S317" t="s" s="11">
        <v>158</v>
      </c>
      <c r="T317" t="s" s="13">
        <v>2715</v>
      </c>
      <c r="U317" t="s" s="11">
        <v>88</v>
      </c>
      <c r="V317" t="s" s="13">
        <v>2716</v>
      </c>
      <c r="W317" t="s" s="11">
        <v>2717</v>
      </c>
      <c r="X317" s="17">
        <f>HYPERLINK("https://my.pitchbook.com?p=106194-79P", "View People Online")</f>
      </c>
    </row>
    <row r="318">
      <c r="A318" t="s" s="10">
        <v>2718</v>
      </c>
      <c r="B318" t="s" s="10">
        <v>2719</v>
      </c>
      <c r="C318" t="s" s="10">
        <v>34</v>
      </c>
      <c r="D318" t="s" s="10">
        <v>2720</v>
      </c>
      <c r="E318" t="s" s="10">
        <v>2707</v>
      </c>
      <c r="F318" t="s" s="10">
        <v>2721</v>
      </c>
      <c r="G318" t="s" s="10">
        <v>216</v>
      </c>
      <c r="H318" s="16">
        <f>HYPERLINK("http://www.houthoff.com", "www.houthoff.com")</f>
      </c>
      <c r="I318" t="s" s="10">
        <v>2723</v>
      </c>
      <c r="J318" t="s" s="24">
        <v>34</v>
      </c>
      <c r="K318" s="24">
        <v>1</v>
      </c>
      <c r="L318" t="s" s="24">
        <v>34</v>
      </c>
      <c r="M318" t="s" s="12">
        <v>2724</v>
      </c>
      <c r="N318" t="s" s="10">
        <v>2725</v>
      </c>
      <c r="O318" t="s" s="10">
        <v>99</v>
      </c>
      <c r="P318" t="s" s="10">
        <v>2726</v>
      </c>
      <c r="Q318" t="s" s="10">
        <v>34</v>
      </c>
      <c r="R318" t="s" s="10">
        <v>101</v>
      </c>
      <c r="S318" t="s" s="10">
        <v>34</v>
      </c>
      <c r="T318" t="s" s="12">
        <v>2727</v>
      </c>
      <c r="U318" t="s" s="10">
        <v>103</v>
      </c>
      <c r="V318" t="s" s="12">
        <v>34</v>
      </c>
      <c r="W318" t="s" s="10">
        <v>2728</v>
      </c>
      <c r="X318" s="16">
        <f>HYPERLINK("https://my.pitchbook.com?p=377465-86P", "View People Online")</f>
      </c>
    </row>
    <row r="319">
      <c r="A319" t="s" s="11">
        <v>2729</v>
      </c>
      <c r="B319" t="s" s="11">
        <v>2730</v>
      </c>
      <c r="C319" t="s" s="11">
        <v>34</v>
      </c>
      <c r="D319" t="s" s="11">
        <v>2731</v>
      </c>
      <c r="E319" t="s" s="11">
        <v>2707</v>
      </c>
      <c r="F319" t="s" s="11">
        <v>2732</v>
      </c>
      <c r="G319" t="s" s="11">
        <v>216</v>
      </c>
      <c r="H319" s="17">
        <f>HYPERLINK("http://www.dacbeachcroft.com", "www.dacbeachcroft.com")</f>
      </c>
      <c r="I319" t="s" s="11">
        <v>2734</v>
      </c>
      <c r="J319" s="25">
        <v>1</v>
      </c>
      <c r="K319" s="25">
        <v>1</v>
      </c>
      <c r="L319" t="s" s="25">
        <v>34</v>
      </c>
      <c r="M319" t="s" s="13">
        <v>2735</v>
      </c>
      <c r="N319" t="s" s="11">
        <v>2736</v>
      </c>
      <c r="O319" t="s" s="11">
        <v>43</v>
      </c>
      <c r="P319" t="s" s="11">
        <v>2737</v>
      </c>
      <c r="Q319" t="s" s="11">
        <v>34</v>
      </c>
      <c r="R319" t="s" s="11">
        <v>46</v>
      </c>
      <c r="S319" t="s" s="11">
        <v>47</v>
      </c>
      <c r="T319" t="s" s="13">
        <v>2738</v>
      </c>
      <c r="U319" t="s" s="11">
        <v>49</v>
      </c>
      <c r="V319" t="s" s="13">
        <v>2739</v>
      </c>
      <c r="W319" t="s" s="11">
        <v>2740</v>
      </c>
      <c r="X319" s="17">
        <f>HYPERLINK("https://my.pitchbook.com?p=220009-69P", "View People Online")</f>
      </c>
    </row>
    <row r="320">
      <c r="A320" t="s" s="10">
        <v>2741</v>
      </c>
      <c r="B320" t="s" s="10">
        <v>2742</v>
      </c>
      <c r="C320" t="s" s="10">
        <v>34</v>
      </c>
      <c r="D320" t="s" s="10">
        <v>2743</v>
      </c>
      <c r="E320" t="s" s="10">
        <v>2707</v>
      </c>
      <c r="F320" t="s" s="10">
        <v>2744</v>
      </c>
      <c r="G320" t="s" s="10">
        <v>216</v>
      </c>
      <c r="H320" s="16">
        <f>HYPERLINK("http://www.jonesday.com", "www.jonesday.com")</f>
      </c>
      <c r="I320" t="s" s="10">
        <v>111</v>
      </c>
      <c r="J320" t="s" s="24">
        <v>34</v>
      </c>
      <c r="K320" s="24">
        <v>28</v>
      </c>
      <c r="L320" s="24">
        <v>28</v>
      </c>
      <c r="M320" t="s" s="12">
        <v>34</v>
      </c>
      <c r="N320" t="s" s="10">
        <v>34</v>
      </c>
      <c r="O320" t="s" s="10">
        <v>34</v>
      </c>
      <c r="P320" t="s" s="10">
        <v>34</v>
      </c>
      <c r="Q320" t="s" s="10">
        <v>34</v>
      </c>
      <c r="R320" t="s" s="10">
        <v>34</v>
      </c>
      <c r="S320" t="s" s="10">
        <v>34</v>
      </c>
      <c r="T320" t="s" s="12">
        <v>34</v>
      </c>
      <c r="U320" t="s" s="10">
        <v>34</v>
      </c>
      <c r="V320" t="s" s="12">
        <v>34</v>
      </c>
      <c r="W320" t="s" s="10">
        <v>2746</v>
      </c>
      <c r="X320" s="16">
        <f>HYPERLINK("https://my.pitchbook.com?p=34698-43P", "View People Online")</f>
      </c>
    </row>
    <row r="321">
      <c r="A321" t="s" s="11">
        <v>2747</v>
      </c>
      <c r="B321" t="s" s="11">
        <v>2748</v>
      </c>
      <c r="C321" t="s" s="11">
        <v>34</v>
      </c>
      <c r="D321" t="s" s="11">
        <v>2749</v>
      </c>
      <c r="E321" t="s" s="11">
        <v>2707</v>
      </c>
      <c r="F321" t="s" s="11">
        <v>2750</v>
      </c>
      <c r="G321" t="s" s="11">
        <v>253</v>
      </c>
      <c r="H321" s="17">
        <f>HYPERLINK("http://www.dlapiper.com", "www.dlapiper.com")</f>
      </c>
      <c r="I321" t="s" s="11">
        <v>369</v>
      </c>
      <c r="J321" t="s" s="25">
        <v>34</v>
      </c>
      <c r="K321" s="25">
        <v>1</v>
      </c>
      <c r="L321" t="s" s="25">
        <v>34</v>
      </c>
      <c r="M321" t="s" s="13">
        <v>2752</v>
      </c>
      <c r="N321" t="s" s="11">
        <v>2753</v>
      </c>
      <c r="O321" t="s" s="11">
        <v>84</v>
      </c>
      <c r="P321" t="s" s="11">
        <v>2754</v>
      </c>
      <c r="Q321" t="s" s="11">
        <v>34</v>
      </c>
      <c r="R321" t="s" s="11">
        <v>86</v>
      </c>
      <c r="S321" t="s" s="11">
        <v>86</v>
      </c>
      <c r="T321" t="s" s="13">
        <v>2755</v>
      </c>
      <c r="U321" t="s" s="11">
        <v>88</v>
      </c>
      <c r="V321" t="s" s="13">
        <v>2756</v>
      </c>
      <c r="W321" t="s" s="11">
        <v>2757</v>
      </c>
      <c r="X321" s="17">
        <f>HYPERLINK("https://my.pitchbook.com?p=416338-93P", "View People Online")</f>
      </c>
    </row>
    <row r="322">
      <c r="A322" t="s" s="10">
        <v>2758</v>
      </c>
      <c r="B322" t="s" s="10">
        <v>2759</v>
      </c>
      <c r="C322" t="s" s="10">
        <v>34</v>
      </c>
      <c r="D322" t="s" s="10">
        <v>2760</v>
      </c>
      <c r="E322" t="s" s="10">
        <v>2707</v>
      </c>
      <c r="F322" t="s" s="10">
        <v>2761</v>
      </c>
      <c r="G322" t="s" s="10">
        <v>2762</v>
      </c>
      <c r="H322" s="16">
        <f>HYPERLINK("http://www.dentonshhm.com", "www.dentonshhm.com")</f>
      </c>
      <c r="I322" t="s" s="10">
        <v>2764</v>
      </c>
      <c r="J322" t="s" s="24">
        <v>34</v>
      </c>
      <c r="K322" t="s" s="24">
        <v>34</v>
      </c>
      <c r="L322" t="s" s="24">
        <v>34</v>
      </c>
      <c r="M322" t="s" s="12">
        <v>34</v>
      </c>
      <c r="N322" t="s" s="10">
        <v>34</v>
      </c>
      <c r="O322" t="s" s="10">
        <v>34</v>
      </c>
      <c r="P322" t="s" s="10">
        <v>34</v>
      </c>
      <c r="Q322" t="s" s="10">
        <v>34</v>
      </c>
      <c r="R322" t="s" s="10">
        <v>34</v>
      </c>
      <c r="S322" t="s" s="10">
        <v>34</v>
      </c>
      <c r="T322" t="s" s="12">
        <v>34</v>
      </c>
      <c r="U322" t="s" s="10">
        <v>34</v>
      </c>
      <c r="V322" t="s" s="12">
        <v>34</v>
      </c>
      <c r="W322" t="s" s="10">
        <v>2765</v>
      </c>
      <c r="X322" s="16">
        <f>HYPERLINK("https://my.pitchbook.com?p=72812-53P", "View People Online")</f>
      </c>
    </row>
    <row r="323">
      <c r="A323" t="s" s="11">
        <v>2766</v>
      </c>
      <c r="B323" t="s" s="11">
        <v>2767</v>
      </c>
      <c r="C323" t="s" s="11">
        <v>34</v>
      </c>
      <c r="D323" t="s" s="11">
        <v>2768</v>
      </c>
      <c r="E323" t="s" s="11">
        <v>2707</v>
      </c>
      <c r="F323" t="s" s="11">
        <v>2769</v>
      </c>
      <c r="G323" t="s" s="11">
        <v>2770</v>
      </c>
      <c r="H323" s="17">
        <f>HYPERLINK("http://www.duanemorris.com", "www.duanemorris.com")</f>
      </c>
      <c r="I323" t="s" s="11">
        <v>2772</v>
      </c>
      <c r="J323" t="s" s="25">
        <v>34</v>
      </c>
      <c r="K323" s="25">
        <v>1</v>
      </c>
      <c r="L323" t="s" s="25">
        <v>34</v>
      </c>
      <c r="M323" t="s" s="13">
        <v>2773</v>
      </c>
      <c r="N323" t="s" s="11">
        <v>2774</v>
      </c>
      <c r="O323" t="s" s="11">
        <v>2775</v>
      </c>
      <c r="P323" t="s" s="11">
        <v>2776</v>
      </c>
      <c r="Q323" t="s" s="11">
        <v>34</v>
      </c>
      <c r="R323" t="s" s="11">
        <v>2777</v>
      </c>
      <c r="S323" t="s" s="11">
        <v>1303</v>
      </c>
      <c r="T323" t="s" s="13">
        <v>2778</v>
      </c>
      <c r="U323" t="s" s="11">
        <v>88</v>
      </c>
      <c r="V323" t="s" s="13">
        <v>2779</v>
      </c>
      <c r="W323" t="s" s="11">
        <v>2780</v>
      </c>
      <c r="X323" s="17">
        <f>HYPERLINK("https://my.pitchbook.com?p=366342-76P", "View People Online")</f>
      </c>
    </row>
    <row r="324">
      <c r="A324" t="s" s="10">
        <v>2781</v>
      </c>
      <c r="B324" t="s" s="10">
        <v>2782</v>
      </c>
      <c r="C324" t="s" s="10">
        <v>34</v>
      </c>
      <c r="D324" t="s" s="10">
        <v>2783</v>
      </c>
      <c r="E324" t="s" s="10">
        <v>2707</v>
      </c>
      <c r="F324" t="s" s="10">
        <v>2784</v>
      </c>
      <c r="G324" t="s" s="10">
        <v>2785</v>
      </c>
      <c r="H324" s="16">
        <f>HYPERLINK("http://www.kwkr.pl", "www.kwkr.pl")</f>
      </c>
      <c r="I324" t="s" s="10">
        <v>2787</v>
      </c>
      <c r="J324" t="s" s="24">
        <v>34</v>
      </c>
      <c r="K324" t="s" s="24">
        <v>34</v>
      </c>
      <c r="L324" t="s" s="24">
        <v>34</v>
      </c>
      <c r="M324" t="s" s="12">
        <v>34</v>
      </c>
      <c r="N324" t="s" s="10">
        <v>34</v>
      </c>
      <c r="O324" t="s" s="10">
        <v>34</v>
      </c>
      <c r="P324" t="s" s="10">
        <v>34</v>
      </c>
      <c r="Q324" t="s" s="10">
        <v>34</v>
      </c>
      <c r="R324" t="s" s="10">
        <v>34</v>
      </c>
      <c r="S324" t="s" s="10">
        <v>34</v>
      </c>
      <c r="T324" t="s" s="12">
        <v>34</v>
      </c>
      <c r="U324" t="s" s="10">
        <v>34</v>
      </c>
      <c r="V324" t="s" s="12">
        <v>34</v>
      </c>
      <c r="W324" t="s" s="10">
        <v>2788</v>
      </c>
      <c r="X324" s="16">
        <f>HYPERLINK("https://my.pitchbook.com?p=347674-42P", "View People Online")</f>
      </c>
    </row>
    <row r="325">
      <c r="A325" t="s" s="11">
        <v>2789</v>
      </c>
      <c r="B325" t="s" s="11">
        <v>1940</v>
      </c>
      <c r="C325" t="s" s="11">
        <v>34</v>
      </c>
      <c r="D325" t="s" s="11">
        <v>2790</v>
      </c>
      <c r="E325" t="s" s="11">
        <v>2707</v>
      </c>
      <c r="F325" t="s" s="11">
        <v>273</v>
      </c>
      <c r="G325" t="s" s="11">
        <v>274</v>
      </c>
      <c r="H325" s="17">
        <f>HYPERLINK("http://www.cripps.co.uk", "www.cripps.co.uk")</f>
      </c>
      <c r="I325" t="s" s="11">
        <v>151</v>
      </c>
      <c r="J325" t="s" s="25">
        <v>34</v>
      </c>
      <c r="K325" t="s" s="25">
        <v>34</v>
      </c>
      <c r="L325" t="s" s="25">
        <v>34</v>
      </c>
      <c r="M325" t="s" s="13">
        <v>34</v>
      </c>
      <c r="N325" t="s" s="11">
        <v>34</v>
      </c>
      <c r="O325" t="s" s="11">
        <v>34</v>
      </c>
      <c r="P325" t="s" s="11">
        <v>34</v>
      </c>
      <c r="Q325" t="s" s="11">
        <v>34</v>
      </c>
      <c r="R325" t="s" s="11">
        <v>34</v>
      </c>
      <c r="S325" t="s" s="11">
        <v>34</v>
      </c>
      <c r="T325" t="s" s="13">
        <v>34</v>
      </c>
      <c r="U325" t="s" s="11">
        <v>34</v>
      </c>
      <c r="V325" t="s" s="13">
        <v>34</v>
      </c>
      <c r="W325" t="s" s="11">
        <v>2792</v>
      </c>
      <c r="X325" s="17">
        <f>HYPERLINK("https://my.pitchbook.com?p=68808-07P", "View People Online")</f>
      </c>
    </row>
    <row r="326">
      <c r="A326" t="s" s="10">
        <v>2793</v>
      </c>
      <c r="B326" t="s" s="10">
        <v>2794</v>
      </c>
      <c r="C326" t="s" s="10">
        <v>34</v>
      </c>
      <c r="D326" t="s" s="10">
        <v>2795</v>
      </c>
      <c r="E326" t="s" s="10">
        <v>2707</v>
      </c>
      <c r="F326" t="s" s="10">
        <v>273</v>
      </c>
      <c r="G326" t="s" s="10">
        <v>274</v>
      </c>
      <c r="H326" s="16">
        <f>HYPERLINK("http://www.alston.com", "www.alston.com")</f>
      </c>
      <c r="I326" t="s" s="10">
        <v>111</v>
      </c>
      <c r="J326" t="s" s="24">
        <v>34</v>
      </c>
      <c r="K326" s="24">
        <v>1</v>
      </c>
      <c r="L326" t="s" s="24">
        <v>34</v>
      </c>
      <c r="M326" t="s" s="12">
        <v>2797</v>
      </c>
      <c r="N326" t="s" s="10">
        <v>2798</v>
      </c>
      <c r="O326" t="s" s="10">
        <v>2799</v>
      </c>
      <c r="P326" t="s" s="10">
        <v>2800</v>
      </c>
      <c r="Q326" t="s" s="10">
        <v>2801</v>
      </c>
      <c r="R326" t="s" s="10">
        <v>2802</v>
      </c>
      <c r="S326" t="s" s="10">
        <v>2803</v>
      </c>
      <c r="T326" t="s" s="12">
        <v>2804</v>
      </c>
      <c r="U326" t="s" s="10">
        <v>88</v>
      </c>
      <c r="V326" t="s" s="12">
        <v>2805</v>
      </c>
      <c r="W326" t="s" s="10">
        <v>2806</v>
      </c>
      <c r="X326" s="16">
        <f>HYPERLINK("https://my.pitchbook.com?p=416076-76P", "View People Online")</f>
      </c>
    </row>
    <row r="327">
      <c r="A327" t="s" s="11">
        <v>2807</v>
      </c>
      <c r="B327" t="s" s="11">
        <v>2794</v>
      </c>
      <c r="C327" t="s" s="11">
        <v>34</v>
      </c>
      <c r="D327" t="s" s="11">
        <v>2808</v>
      </c>
      <c r="E327" t="s" s="11">
        <v>2707</v>
      </c>
      <c r="F327" t="s" s="11">
        <v>273</v>
      </c>
      <c r="G327" t="s" s="11">
        <v>274</v>
      </c>
      <c r="H327" s="17">
        <f>HYPERLINK("http://www.afslaw.com", "www.afslaw.com")</f>
      </c>
      <c r="I327" t="s" s="11">
        <v>111</v>
      </c>
      <c r="J327" t="s" s="25">
        <v>34</v>
      </c>
      <c r="K327" s="25">
        <v>1</v>
      </c>
      <c r="L327" t="s" s="25">
        <v>34</v>
      </c>
      <c r="M327" t="s" s="13">
        <v>2810</v>
      </c>
      <c r="N327" t="s" s="11">
        <v>2811</v>
      </c>
      <c r="O327" t="s" s="11">
        <v>2812</v>
      </c>
      <c r="P327" t="s" s="11">
        <v>2813</v>
      </c>
      <c r="Q327" t="s" s="11">
        <v>34</v>
      </c>
      <c r="R327" t="s" s="11">
        <v>359</v>
      </c>
      <c r="S327" t="s" s="11">
        <v>2814</v>
      </c>
      <c r="T327" t="s" s="13">
        <v>2815</v>
      </c>
      <c r="U327" t="s" s="11">
        <v>88</v>
      </c>
      <c r="V327" t="s" s="13">
        <v>2816</v>
      </c>
      <c r="W327" t="s" s="11">
        <v>2817</v>
      </c>
      <c r="X327" s="17">
        <f>HYPERLINK("https://my.pitchbook.com?p=437736-25P", "View People Online")</f>
      </c>
    </row>
    <row r="328">
      <c r="A328" t="s" s="10">
        <v>2818</v>
      </c>
      <c r="B328" t="s" s="10">
        <v>2819</v>
      </c>
      <c r="C328" t="s" s="10">
        <v>34</v>
      </c>
      <c r="D328" t="s" s="10">
        <v>2820</v>
      </c>
      <c r="E328" t="s" s="10">
        <v>2707</v>
      </c>
      <c r="F328" t="s" s="10">
        <v>2821</v>
      </c>
      <c r="G328" t="s" s="10">
        <v>2822</v>
      </c>
      <c r="H328" s="16">
        <f>HYPERLINK("http://www.eversheds-sutherland.com", "www.eversheds-sutherland.com")</f>
      </c>
      <c r="I328" t="s" s="10">
        <v>111</v>
      </c>
      <c r="J328" t="s" s="24">
        <v>34</v>
      </c>
      <c r="K328" s="24">
        <v>8</v>
      </c>
      <c r="L328" s="24">
        <v>7</v>
      </c>
      <c r="M328" t="s" s="12">
        <v>2824</v>
      </c>
      <c r="N328" t="s" s="10">
        <v>2825</v>
      </c>
      <c r="O328" t="s" s="10">
        <v>59</v>
      </c>
      <c r="P328" t="s" s="10">
        <v>2826</v>
      </c>
      <c r="Q328" t="s" s="10">
        <v>2827</v>
      </c>
      <c r="R328" t="s" s="10">
        <v>62</v>
      </c>
      <c r="S328" t="s" s="10">
        <v>34</v>
      </c>
      <c r="T328" t="s" s="12">
        <v>34</v>
      </c>
      <c r="U328" t="s" s="10">
        <v>64</v>
      </c>
      <c r="V328" t="s" s="12">
        <v>2828</v>
      </c>
      <c r="W328" t="s" s="10">
        <v>2829</v>
      </c>
      <c r="X328" s="16">
        <f>HYPERLINK("https://my.pitchbook.com?p=77528-71P", "View People Online")</f>
      </c>
    </row>
    <row r="329">
      <c r="A329" t="s" s="11">
        <v>2830</v>
      </c>
      <c r="B329" t="s" s="11">
        <v>2831</v>
      </c>
      <c r="C329" t="s" s="11">
        <v>34</v>
      </c>
      <c r="D329" t="s" s="11">
        <v>2832</v>
      </c>
      <c r="E329" t="s" s="11">
        <v>2833</v>
      </c>
      <c r="F329" t="s" s="11">
        <v>2834</v>
      </c>
      <c r="G329" t="s" s="11">
        <v>1853</v>
      </c>
      <c r="H329" s="17">
        <f>HYPERLINK("http://www.kirklandcapitalgroup.com", "www.kirklandcapitalgroup.com")</f>
      </c>
      <c r="I329" t="s" s="11">
        <v>2836</v>
      </c>
      <c r="J329" t="s" s="25">
        <v>34</v>
      </c>
      <c r="K329" s="25">
        <v>4</v>
      </c>
      <c r="L329" t="s" s="25">
        <v>34</v>
      </c>
      <c r="M329" t="s" s="13">
        <v>2837</v>
      </c>
      <c r="N329" t="s" s="11">
        <v>2838</v>
      </c>
      <c r="O329" t="s" s="11">
        <v>2839</v>
      </c>
      <c r="P329" t="s" s="11">
        <v>2840</v>
      </c>
      <c r="Q329" t="s" s="11">
        <v>2841</v>
      </c>
      <c r="R329" t="s" s="11">
        <v>2842</v>
      </c>
      <c r="S329" t="s" s="11">
        <v>359</v>
      </c>
      <c r="T329" t="s" s="13">
        <v>2843</v>
      </c>
      <c r="U329" t="s" s="11">
        <v>88</v>
      </c>
      <c r="V329" t="s" s="13">
        <v>34</v>
      </c>
      <c r="W329" t="s" s="11">
        <v>2844</v>
      </c>
      <c r="X329" s="17">
        <f>HYPERLINK("https://my.pitchbook.com?p=163607-68P", "View People Online")</f>
      </c>
    </row>
    <row r="330">
      <c r="A330" t="s" s="10">
        <v>2845</v>
      </c>
      <c r="B330" t="s" s="10">
        <v>2846</v>
      </c>
      <c r="C330" t="s" s="10">
        <v>34</v>
      </c>
      <c r="D330" t="s" s="10">
        <v>2847</v>
      </c>
      <c r="E330" t="s" s="10">
        <v>2833</v>
      </c>
      <c r="F330" t="s" s="10">
        <v>2848</v>
      </c>
      <c r="G330" t="s" s="10">
        <v>141</v>
      </c>
      <c r="H330" s="16">
        <f>HYPERLINK("http://www.heriocapital.com", "www.heriocapital.com")</f>
      </c>
      <c r="I330" t="s" s="10">
        <v>2850</v>
      </c>
      <c r="J330" t="s" s="24">
        <v>34</v>
      </c>
      <c r="K330" t="s" s="24">
        <v>34</v>
      </c>
      <c r="L330" t="s" s="24">
        <v>34</v>
      </c>
      <c r="M330" t="s" s="12">
        <v>34</v>
      </c>
      <c r="N330" t="s" s="10">
        <v>34</v>
      </c>
      <c r="O330" t="s" s="10">
        <v>34</v>
      </c>
      <c r="P330" t="s" s="10">
        <v>34</v>
      </c>
      <c r="Q330" t="s" s="10">
        <v>34</v>
      </c>
      <c r="R330" t="s" s="10">
        <v>34</v>
      </c>
      <c r="S330" t="s" s="10">
        <v>34</v>
      </c>
      <c r="T330" t="s" s="12">
        <v>34</v>
      </c>
      <c r="U330" t="s" s="10">
        <v>34</v>
      </c>
      <c r="V330" t="s" s="12">
        <v>34</v>
      </c>
      <c r="W330" t="s" s="10">
        <v>2851</v>
      </c>
      <c r="X330" s="16">
        <f>HYPERLINK("https://my.pitchbook.com?p=128511-55P", "View People Online")</f>
      </c>
    </row>
    <row r="331">
      <c r="A331" t="s" s="11">
        <v>2852</v>
      </c>
      <c r="B331" t="s" s="11">
        <v>2853</v>
      </c>
      <c r="C331" t="s" s="11">
        <v>34</v>
      </c>
      <c r="D331" t="s" s="11">
        <v>2854</v>
      </c>
      <c r="E331" t="s" s="11">
        <v>2833</v>
      </c>
      <c r="F331" t="s" s="11">
        <v>2855</v>
      </c>
      <c r="G331" t="s" s="11">
        <v>274</v>
      </c>
      <c r="H331" s="17">
        <f>HYPERLINK("http://www.cqs.com", "www.cqs.com")</f>
      </c>
      <c r="I331" t="s" s="11">
        <v>2857</v>
      </c>
      <c r="J331" s="25">
        <v>1</v>
      </c>
      <c r="K331" s="25">
        <v>1</v>
      </c>
      <c r="L331" t="s" s="25">
        <v>34</v>
      </c>
      <c r="M331" t="s" s="13">
        <v>2858</v>
      </c>
      <c r="N331" t="s" s="11">
        <v>2859</v>
      </c>
      <c r="O331" t="s" s="11">
        <v>552</v>
      </c>
      <c r="P331" t="s" s="11">
        <v>2860</v>
      </c>
      <c r="Q331" t="s" s="11">
        <v>2861</v>
      </c>
      <c r="R331" t="s" s="11">
        <v>555</v>
      </c>
      <c r="S331" t="s" s="11">
        <v>34</v>
      </c>
      <c r="T331" t="s" s="13">
        <v>34</v>
      </c>
      <c r="U331" t="s" s="11">
        <v>555</v>
      </c>
      <c r="V331" t="s" s="13">
        <v>34</v>
      </c>
      <c r="W331" t="s" s="11">
        <v>2862</v>
      </c>
      <c r="X331" s="17">
        <f>HYPERLINK("https://my.pitchbook.com?p=61143-04P", "View People Online")</f>
      </c>
    </row>
    <row r="332">
      <c r="A332" t="s" s="10">
        <v>2863</v>
      </c>
      <c r="B332" t="s" s="10">
        <v>2864</v>
      </c>
      <c r="C332" t="s" s="10">
        <v>34</v>
      </c>
      <c r="D332" t="s" s="10">
        <v>2865</v>
      </c>
      <c r="E332" t="s" s="10">
        <v>2833</v>
      </c>
      <c r="F332" t="s" s="10">
        <v>2866</v>
      </c>
      <c r="G332" t="s" s="10">
        <v>2867</v>
      </c>
      <c r="H332" s="16">
        <f>HYPERLINK("http://www.gleeds.com", "www.gleeds.com")</f>
      </c>
      <c r="I332" t="s" s="10">
        <v>2321</v>
      </c>
      <c r="J332" s="24">
        <v>1</v>
      </c>
      <c r="K332" s="24">
        <v>2</v>
      </c>
      <c r="L332" s="24">
        <v>1</v>
      </c>
      <c r="M332" t="s" s="12">
        <v>2869</v>
      </c>
      <c r="N332" t="s" s="10">
        <v>34</v>
      </c>
      <c r="O332" t="s" s="10">
        <v>43</v>
      </c>
      <c r="P332" t="s" s="10">
        <v>2870</v>
      </c>
      <c r="Q332" t="s" s="10">
        <v>34</v>
      </c>
      <c r="R332" t="s" s="10">
        <v>46</v>
      </c>
      <c r="S332" t="s" s="10">
        <v>47</v>
      </c>
      <c r="T332" t="s" s="12">
        <v>2871</v>
      </c>
      <c r="U332" t="s" s="10">
        <v>49</v>
      </c>
      <c r="V332" t="s" s="12">
        <v>34</v>
      </c>
      <c r="W332" t="s" s="10">
        <v>2872</v>
      </c>
      <c r="X332" s="16">
        <f>HYPERLINK("https://my.pitchbook.com?p=241437-88P", "View People Online")</f>
      </c>
    </row>
    <row r="333">
      <c r="A333" t="s" s="11">
        <v>2873</v>
      </c>
      <c r="B333" t="s" s="11">
        <v>2874</v>
      </c>
      <c r="C333" t="s" s="11">
        <v>34</v>
      </c>
      <c r="D333" t="s" s="11">
        <v>2875</v>
      </c>
      <c r="E333" t="s" s="11">
        <v>2833</v>
      </c>
      <c r="F333" t="s" s="11">
        <v>2876</v>
      </c>
      <c r="G333" t="s" s="11">
        <v>2877</v>
      </c>
      <c r="H333" s="17">
        <f>HYPERLINK("http://www.leaseplan.com", "www.leaseplan.com")</f>
      </c>
      <c r="I333" t="s" s="11">
        <v>2879</v>
      </c>
      <c r="J333" t="s" s="25">
        <v>34</v>
      </c>
      <c r="K333" t="s" s="25">
        <v>34</v>
      </c>
      <c r="L333" t="s" s="25">
        <v>34</v>
      </c>
      <c r="M333" t="s" s="13">
        <v>34</v>
      </c>
      <c r="N333" t="s" s="11">
        <v>34</v>
      </c>
      <c r="O333" t="s" s="11">
        <v>34</v>
      </c>
      <c r="P333" t="s" s="11">
        <v>34</v>
      </c>
      <c r="Q333" t="s" s="11">
        <v>34</v>
      </c>
      <c r="R333" t="s" s="11">
        <v>34</v>
      </c>
      <c r="S333" t="s" s="11">
        <v>34</v>
      </c>
      <c r="T333" t="s" s="13">
        <v>34</v>
      </c>
      <c r="U333" t="s" s="11">
        <v>34</v>
      </c>
      <c r="V333" t="s" s="13">
        <v>34</v>
      </c>
      <c r="W333" t="s" s="11">
        <v>2880</v>
      </c>
      <c r="X333" s="17">
        <f>HYPERLINK("https://my.pitchbook.com?p=141880-42P", "View People Online")</f>
      </c>
    </row>
    <row r="334">
      <c r="A334" t="s" s="10">
        <v>2881</v>
      </c>
      <c r="B334" t="s" s="10">
        <v>2882</v>
      </c>
      <c r="C334" t="s" s="10">
        <v>34</v>
      </c>
      <c r="D334" t="s" s="10">
        <v>2883</v>
      </c>
      <c r="E334" t="s" s="10">
        <v>2833</v>
      </c>
      <c r="F334" t="s" s="10">
        <v>2884</v>
      </c>
      <c r="G334" t="s" s="10">
        <v>2885</v>
      </c>
      <c r="H334" s="16">
        <f>HYPERLINK("http://www.riverrock.eu", "www.riverrock.eu")</f>
      </c>
      <c r="I334" t="s" s="10">
        <v>2887</v>
      </c>
      <c r="J334" t="s" s="24">
        <v>34</v>
      </c>
      <c r="K334" s="24">
        <v>3</v>
      </c>
      <c r="L334" s="24">
        <v>1</v>
      </c>
      <c r="M334" t="s" s="12">
        <v>2888</v>
      </c>
      <c r="N334" t="s" s="10">
        <v>2889</v>
      </c>
      <c r="O334" t="s" s="10">
        <v>43</v>
      </c>
      <c r="P334" t="s" s="10">
        <v>2890</v>
      </c>
      <c r="Q334" t="s" s="10">
        <v>34</v>
      </c>
      <c r="R334" t="s" s="10">
        <v>46</v>
      </c>
      <c r="S334" t="s" s="10">
        <v>47</v>
      </c>
      <c r="T334" t="s" s="12">
        <v>2891</v>
      </c>
      <c r="U334" t="s" s="10">
        <v>49</v>
      </c>
      <c r="V334" t="s" s="12">
        <v>34</v>
      </c>
      <c r="W334" t="s" s="10">
        <v>2892</v>
      </c>
      <c r="X334" s="16">
        <f>HYPERLINK("https://my.pitchbook.com?p=155415-52P", "View People Online")</f>
      </c>
    </row>
    <row r="335">
      <c r="A335" t="s" s="11">
        <v>2893</v>
      </c>
      <c r="B335" t="s" s="11">
        <v>2894</v>
      </c>
      <c r="C335" t="s" s="11">
        <v>34</v>
      </c>
      <c r="D335" t="s" s="11">
        <v>2895</v>
      </c>
      <c r="E335" t="s" s="11">
        <v>2896</v>
      </c>
      <c r="F335" t="s" s="11">
        <v>2897</v>
      </c>
      <c r="G335" t="s" s="11">
        <v>2898</v>
      </c>
      <c r="H335" s="17">
        <f>HYPERLINK("http://www.kieger.com", "www.kieger.com")</f>
      </c>
      <c r="I335" t="s" s="11">
        <v>2900</v>
      </c>
      <c r="J335" t="s" s="25">
        <v>34</v>
      </c>
      <c r="K335" t="s" s="25">
        <v>34</v>
      </c>
      <c r="L335" t="s" s="25">
        <v>34</v>
      </c>
      <c r="M335" t="s" s="13">
        <v>34</v>
      </c>
      <c r="N335" t="s" s="11">
        <v>34</v>
      </c>
      <c r="O335" t="s" s="11">
        <v>34</v>
      </c>
      <c r="P335" t="s" s="11">
        <v>34</v>
      </c>
      <c r="Q335" t="s" s="11">
        <v>34</v>
      </c>
      <c r="R335" t="s" s="11">
        <v>34</v>
      </c>
      <c r="S335" t="s" s="11">
        <v>34</v>
      </c>
      <c r="T335" t="s" s="13">
        <v>34</v>
      </c>
      <c r="U335" t="s" s="11">
        <v>34</v>
      </c>
      <c r="V335" t="s" s="13">
        <v>34</v>
      </c>
      <c r="W335" t="s" s="11">
        <v>2901</v>
      </c>
      <c r="X335" s="17">
        <f>HYPERLINK("https://my.pitchbook.com?p=39967-30P", "View People Online")</f>
      </c>
    </row>
    <row r="336">
      <c r="A336" t="s" s="10">
        <v>2902</v>
      </c>
      <c r="B336" t="s" s="10">
        <v>2903</v>
      </c>
      <c r="C336" t="s" s="10">
        <v>34</v>
      </c>
      <c r="D336" t="s" s="10">
        <v>2904</v>
      </c>
      <c r="E336" t="s" s="10">
        <v>2905</v>
      </c>
      <c r="F336" t="s" s="10">
        <v>2906</v>
      </c>
      <c r="G336" t="s" s="10">
        <v>141</v>
      </c>
      <c r="H336" s="16">
        <f>HYPERLINK("http://www.elliceconsulting.com", "www.elliceconsulting.com")</f>
      </c>
      <c r="I336" t="s" s="10">
        <v>333</v>
      </c>
      <c r="J336" t="s" s="24">
        <v>34</v>
      </c>
      <c r="K336" s="24">
        <v>1</v>
      </c>
      <c r="L336" t="s" s="24">
        <v>34</v>
      </c>
      <c r="M336" t="s" s="12">
        <v>2908</v>
      </c>
      <c r="N336" t="s" s="10">
        <v>2909</v>
      </c>
      <c r="O336" t="s" s="10">
        <v>43</v>
      </c>
      <c r="P336" t="s" s="10">
        <v>2910</v>
      </c>
      <c r="Q336" t="s" s="10">
        <v>34</v>
      </c>
      <c r="R336" t="s" s="10">
        <v>46</v>
      </c>
      <c r="S336" t="s" s="10">
        <v>47</v>
      </c>
      <c r="T336" t="s" s="12">
        <v>2911</v>
      </c>
      <c r="U336" t="s" s="10">
        <v>49</v>
      </c>
      <c r="V336" t="s" s="12">
        <v>2912</v>
      </c>
      <c r="W336" t="s" s="10">
        <v>2913</v>
      </c>
      <c r="X336" s="16">
        <f>HYPERLINK("https://my.pitchbook.com?p=184207-51P", "View People Online")</f>
      </c>
    </row>
    <row r="337">
      <c r="A337" t="s" s="11">
        <v>2914</v>
      </c>
      <c r="B337" t="s" s="11">
        <v>1940</v>
      </c>
      <c r="C337" t="s" s="11">
        <v>34</v>
      </c>
      <c r="D337" t="s" s="11">
        <v>2915</v>
      </c>
      <c r="E337" t="s" s="11">
        <v>2905</v>
      </c>
      <c r="F337" t="s" s="11">
        <v>273</v>
      </c>
      <c r="G337" t="s" s="11">
        <v>274</v>
      </c>
      <c r="H337" s="17">
        <f>HYPERLINK("http://www.reizmann.com", "www.reizmann.com")</f>
      </c>
      <c r="I337" t="s" s="11">
        <v>322</v>
      </c>
      <c r="J337" t="s" s="25">
        <v>34</v>
      </c>
      <c r="K337" s="25">
        <v>1</v>
      </c>
      <c r="L337" t="s" s="25">
        <v>34</v>
      </c>
      <c r="M337" t="s" s="13">
        <v>34</v>
      </c>
      <c r="N337" t="s" s="11">
        <v>2917</v>
      </c>
      <c r="O337" t="s" s="11">
        <v>84</v>
      </c>
      <c r="P337" t="s" s="11">
        <v>34</v>
      </c>
      <c r="Q337" t="s" s="11">
        <v>34</v>
      </c>
      <c r="R337" t="s" s="11">
        <v>86</v>
      </c>
      <c r="S337" t="s" s="11">
        <v>86</v>
      </c>
      <c r="T337" t="s" s="13">
        <v>34</v>
      </c>
      <c r="U337" t="s" s="11">
        <v>88</v>
      </c>
      <c r="V337" t="s" s="13">
        <v>34</v>
      </c>
      <c r="W337" t="s" s="11">
        <v>2918</v>
      </c>
      <c r="X337" s="17">
        <f>HYPERLINK("https://my.pitchbook.com?p=409112-74P", "View People Online")</f>
      </c>
    </row>
    <row r="338">
      <c r="A338" t="s" s="10">
        <v>2919</v>
      </c>
      <c r="B338" t="s" s="10">
        <v>2920</v>
      </c>
      <c r="C338" t="s" s="10">
        <v>34</v>
      </c>
      <c r="D338" t="s" s="10">
        <v>2921</v>
      </c>
      <c r="E338" t="s" s="10">
        <v>2905</v>
      </c>
      <c r="F338" t="s" s="10">
        <v>2922</v>
      </c>
      <c r="G338" t="s" s="10">
        <v>2923</v>
      </c>
      <c r="H338" s="16">
        <f>HYPERLINK("http://www.fortdearbornpartners.com", "www.fortdearbornpartners.com")</f>
      </c>
      <c r="I338" t="s" s="10">
        <v>2925</v>
      </c>
      <c r="J338" t="s" s="24">
        <v>34</v>
      </c>
      <c r="K338" s="24">
        <v>1</v>
      </c>
      <c r="L338" t="s" s="24">
        <v>34</v>
      </c>
      <c r="M338" t="s" s="12">
        <v>2926</v>
      </c>
      <c r="N338" t="s" s="10">
        <v>2927</v>
      </c>
      <c r="O338" t="s" s="10">
        <v>2372</v>
      </c>
      <c r="P338" t="s" s="10">
        <v>2928</v>
      </c>
      <c r="Q338" t="s" s="10">
        <v>2929</v>
      </c>
      <c r="R338" t="s" s="10">
        <v>2375</v>
      </c>
      <c r="S338" t="s" s="10">
        <v>2376</v>
      </c>
      <c r="T338" t="s" s="12">
        <v>2930</v>
      </c>
      <c r="U338" t="s" s="10">
        <v>88</v>
      </c>
      <c r="V338" t="s" s="12">
        <v>2931</v>
      </c>
      <c r="W338" t="s" s="10">
        <v>2932</v>
      </c>
      <c r="X338" s="16">
        <f>HYPERLINK("https://my.pitchbook.com?p=114311-98P", "View People Online")</f>
      </c>
    </row>
    <row r="339">
      <c r="A339" t="s" s="11">
        <v>2933</v>
      </c>
      <c r="B339" t="s" s="11">
        <v>2934</v>
      </c>
      <c r="C339" t="s" s="11">
        <v>34</v>
      </c>
      <c r="D339" t="s" s="11">
        <v>2935</v>
      </c>
      <c r="E339" t="s" s="11">
        <v>2905</v>
      </c>
      <c r="F339" t="s" s="11">
        <v>2936</v>
      </c>
      <c r="G339" t="s" s="11">
        <v>864</v>
      </c>
      <c r="H339" s="17">
        <f>HYPERLINK("http://www.solomonedwards.com", "www.solomonedwards.com")</f>
      </c>
      <c r="I339" t="s" s="11">
        <v>2938</v>
      </c>
      <c r="J339" t="s" s="25">
        <v>34</v>
      </c>
      <c r="K339" t="s" s="25">
        <v>34</v>
      </c>
      <c r="L339" t="s" s="25">
        <v>34</v>
      </c>
      <c r="M339" t="s" s="13">
        <v>34</v>
      </c>
      <c r="N339" t="s" s="11">
        <v>34</v>
      </c>
      <c r="O339" t="s" s="11">
        <v>34</v>
      </c>
      <c r="P339" t="s" s="11">
        <v>34</v>
      </c>
      <c r="Q339" t="s" s="11">
        <v>34</v>
      </c>
      <c r="R339" t="s" s="11">
        <v>34</v>
      </c>
      <c r="S339" t="s" s="11">
        <v>34</v>
      </c>
      <c r="T339" t="s" s="13">
        <v>34</v>
      </c>
      <c r="U339" t="s" s="11">
        <v>34</v>
      </c>
      <c r="V339" t="s" s="13">
        <v>34</v>
      </c>
      <c r="W339" t="s" s="11">
        <v>2939</v>
      </c>
      <c r="X339" s="17">
        <f>HYPERLINK("https://my.pitchbook.com?p=134798-59P", "View People Online")</f>
      </c>
    </row>
    <row r="340">
      <c r="A340" t="s" s="10">
        <v>2940</v>
      </c>
      <c r="B340" t="s" s="10">
        <v>2941</v>
      </c>
      <c r="C340" t="s" s="10">
        <v>34</v>
      </c>
      <c r="D340" t="s" s="10">
        <v>2942</v>
      </c>
      <c r="E340" t="s" s="10">
        <v>2905</v>
      </c>
      <c r="F340" t="s" s="10">
        <v>2943</v>
      </c>
      <c r="G340" t="s" s="10">
        <v>2944</v>
      </c>
      <c r="H340" s="16">
        <f>HYPERLINK("http://www.valyans.com", "www.valyans.com")</f>
      </c>
      <c r="I340" t="s" s="10">
        <v>2946</v>
      </c>
      <c r="J340" t="s" s="24">
        <v>34</v>
      </c>
      <c r="K340" s="24">
        <v>1</v>
      </c>
      <c r="L340" t="s" s="24">
        <v>34</v>
      </c>
      <c r="M340" t="s" s="12">
        <v>2947</v>
      </c>
      <c r="N340" t="s" s="10">
        <v>2948</v>
      </c>
      <c r="O340" t="s" s="10">
        <v>2949</v>
      </c>
      <c r="P340" t="s" s="10">
        <v>2950</v>
      </c>
      <c r="Q340" t="s" s="10">
        <v>34</v>
      </c>
      <c r="R340" t="s" s="10">
        <v>2951</v>
      </c>
      <c r="S340" t="s" s="10">
        <v>34</v>
      </c>
      <c r="T340" t="s" s="12">
        <v>34</v>
      </c>
      <c r="U340" t="s" s="10">
        <v>2952</v>
      </c>
      <c r="V340" t="s" s="12">
        <v>2953</v>
      </c>
      <c r="W340" t="s" s="10">
        <v>2954</v>
      </c>
      <c r="X340" s="16">
        <f>HYPERLINK("https://my.pitchbook.com?p=253567-90P", "View People Online")</f>
      </c>
    </row>
    <row r="341">
      <c r="A341" t="s" s="11">
        <v>2955</v>
      </c>
      <c r="B341" t="s" s="11">
        <v>2956</v>
      </c>
      <c r="C341" t="s" s="11">
        <v>34</v>
      </c>
      <c r="D341" t="s" s="11">
        <v>2957</v>
      </c>
      <c r="E341" t="s" s="11">
        <v>2905</v>
      </c>
      <c r="F341" t="s" s="11">
        <v>2958</v>
      </c>
      <c r="G341" t="s" s="11">
        <v>2959</v>
      </c>
      <c r="H341" s="17">
        <f>HYPERLINK("http://www.bcg.com", "www.bcg.com")</f>
      </c>
      <c r="I341" t="s" s="11">
        <v>2961</v>
      </c>
      <c r="J341" t="s" s="25">
        <v>34</v>
      </c>
      <c r="K341" s="25">
        <v>1</v>
      </c>
      <c r="L341" t="s" s="25">
        <v>34</v>
      </c>
      <c r="M341" t="s" s="13">
        <v>2962</v>
      </c>
      <c r="N341" t="s" s="11">
        <v>2963</v>
      </c>
      <c r="O341" t="s" s="11">
        <v>2949</v>
      </c>
      <c r="P341" t="s" s="11">
        <v>2964</v>
      </c>
      <c r="Q341" t="s" s="11">
        <v>34</v>
      </c>
      <c r="R341" t="s" s="11">
        <v>2951</v>
      </c>
      <c r="S341" t="s" s="11">
        <v>34</v>
      </c>
      <c r="T341" t="s" s="13">
        <v>2965</v>
      </c>
      <c r="U341" t="s" s="11">
        <v>2952</v>
      </c>
      <c r="V341" t="s" s="13">
        <v>34</v>
      </c>
      <c r="W341" t="s" s="11">
        <v>2966</v>
      </c>
      <c r="X341" s="17">
        <f>HYPERLINK("https://my.pitchbook.com?p=332436-25P", "View People Online")</f>
      </c>
    </row>
    <row r="342">
      <c r="A342" t="s" s="10">
        <v>2967</v>
      </c>
      <c r="B342" t="s" s="10">
        <v>2968</v>
      </c>
      <c r="C342" t="s" s="10">
        <v>34</v>
      </c>
      <c r="D342" t="s" s="10">
        <v>2969</v>
      </c>
      <c r="E342" t="s" s="10">
        <v>2905</v>
      </c>
      <c r="F342" t="s" s="10">
        <v>2970</v>
      </c>
      <c r="G342" t="s" s="10">
        <v>2971</v>
      </c>
      <c r="H342" s="16">
        <f>HYPERLINK("http://www.ihc.us.com", "www.ihc.us.com")</f>
      </c>
      <c r="I342" t="s" s="10">
        <v>2973</v>
      </c>
      <c r="J342" t="s" s="24">
        <v>34</v>
      </c>
      <c r="K342" s="24">
        <v>1</v>
      </c>
      <c r="L342" t="s" s="24">
        <v>34</v>
      </c>
      <c r="M342" t="s" s="12">
        <v>2974</v>
      </c>
      <c r="N342" t="s" s="10">
        <v>34</v>
      </c>
      <c r="O342" t="s" s="10">
        <v>2975</v>
      </c>
      <c r="P342" t="s" s="10">
        <v>2976</v>
      </c>
      <c r="Q342" t="s" s="10">
        <v>2977</v>
      </c>
      <c r="R342" t="s" s="10">
        <v>2978</v>
      </c>
      <c r="S342" t="s" s="10">
        <v>2078</v>
      </c>
      <c r="T342" t="s" s="12">
        <v>2979</v>
      </c>
      <c r="U342" t="s" s="10">
        <v>88</v>
      </c>
      <c r="V342" t="s" s="12">
        <v>2974</v>
      </c>
      <c r="W342" t="s" s="10">
        <v>2980</v>
      </c>
      <c r="X342" s="16">
        <f>HYPERLINK("https://my.pitchbook.com?p=286340-59P", "View People Online")</f>
      </c>
    </row>
    <row r="343">
      <c r="A343" t="s" s="11">
        <v>2981</v>
      </c>
      <c r="B343" t="s" s="11">
        <v>2982</v>
      </c>
      <c r="C343" t="s" s="11">
        <v>34</v>
      </c>
      <c r="D343" t="s" s="11">
        <v>2983</v>
      </c>
      <c r="E343" t="s" s="11">
        <v>2984</v>
      </c>
      <c r="F343" t="s" s="11">
        <v>2985</v>
      </c>
      <c r="G343" t="s" s="11">
        <v>189</v>
      </c>
      <c r="H343" s="17">
        <f>HYPERLINK("http://royalgroupfunds.com.kh", "royalgroupfunds.com.kh")</f>
      </c>
      <c r="I343" t="s" s="11">
        <v>2044</v>
      </c>
      <c r="J343" t="s" s="25">
        <v>34</v>
      </c>
      <c r="K343" s="25">
        <v>1</v>
      </c>
      <c r="L343" t="s" s="25">
        <v>34</v>
      </c>
      <c r="M343" t="s" s="13">
        <v>34</v>
      </c>
      <c r="N343" t="s" s="11">
        <v>2987</v>
      </c>
      <c r="O343" t="s" s="11">
        <v>2988</v>
      </c>
      <c r="P343" t="s" s="11">
        <v>2348</v>
      </c>
      <c r="Q343" t="s" s="11">
        <v>2349</v>
      </c>
      <c r="R343" t="s" s="11">
        <v>2989</v>
      </c>
      <c r="S343" t="s" s="11">
        <v>34</v>
      </c>
      <c r="T343" t="s" s="13">
        <v>34</v>
      </c>
      <c r="U343" t="s" s="11">
        <v>2350</v>
      </c>
      <c r="V343" t="s" s="13">
        <v>34</v>
      </c>
      <c r="W343" t="s" s="11">
        <v>2990</v>
      </c>
      <c r="X343" s="17">
        <f>HYPERLINK("https://my.pitchbook.com?p=445958-83P", "View People Online")</f>
      </c>
    </row>
    <row r="344">
      <c r="A344" t="s" s="10">
        <v>2991</v>
      </c>
      <c r="B344" t="s" s="10">
        <v>2992</v>
      </c>
      <c r="C344" t="s" s="10">
        <v>377</v>
      </c>
      <c r="D344" t="s" s="10">
        <v>2993</v>
      </c>
      <c r="E344" t="s" s="10">
        <v>2984</v>
      </c>
      <c r="F344" t="s" s="10">
        <v>2994</v>
      </c>
      <c r="G344" t="s" s="10">
        <v>2995</v>
      </c>
      <c r="H344" s="16">
        <f>HYPERLINK("http://www.schroderscapital.com", "www.schroderscapital.com")</f>
      </c>
      <c r="I344" t="s" s="10">
        <v>2997</v>
      </c>
      <c r="J344" t="s" s="24">
        <v>34</v>
      </c>
      <c r="K344" t="s" s="24">
        <v>34</v>
      </c>
      <c r="L344" t="s" s="24">
        <v>34</v>
      </c>
      <c r="M344" t="s" s="12">
        <v>2998</v>
      </c>
      <c r="N344" t="s" s="10">
        <v>2999</v>
      </c>
      <c r="O344" t="s" s="10">
        <v>926</v>
      </c>
      <c r="P344" t="s" s="10">
        <v>3000</v>
      </c>
      <c r="Q344" t="s" s="10">
        <v>34</v>
      </c>
      <c r="R344" t="s" s="10">
        <v>928</v>
      </c>
      <c r="S344" t="s" s="10">
        <v>34</v>
      </c>
      <c r="T344" t="s" s="12">
        <v>3001</v>
      </c>
      <c r="U344" t="s" s="10">
        <v>544</v>
      </c>
      <c r="V344" t="s" s="12">
        <v>34</v>
      </c>
      <c r="W344" t="s" s="10">
        <v>3002</v>
      </c>
      <c r="X344" s="16">
        <f>HYPERLINK("https://my.pitchbook.com?p=138531-52P", "View People Online")</f>
      </c>
    </row>
    <row r="345">
      <c r="A345" t="s" s="11">
        <v>3003</v>
      </c>
      <c r="B345" t="s" s="11">
        <v>3004</v>
      </c>
      <c r="C345" t="s" s="11">
        <v>34</v>
      </c>
      <c r="D345" t="s" s="11">
        <v>3005</v>
      </c>
      <c r="E345" t="s" s="11">
        <v>2984</v>
      </c>
      <c r="F345" t="s" s="11">
        <v>3006</v>
      </c>
      <c r="G345" t="s" s="11">
        <v>3007</v>
      </c>
      <c r="H345" s="17">
        <f>HYPERLINK("http://www.nic.com.kw", "www.nic.com.kw")</f>
      </c>
      <c r="I345" t="s" s="11">
        <v>3009</v>
      </c>
      <c r="J345" t="s" s="25">
        <v>34</v>
      </c>
      <c r="K345" s="25">
        <v>1</v>
      </c>
      <c r="L345" t="s" s="25">
        <v>34</v>
      </c>
      <c r="M345" t="s" s="13">
        <v>3010</v>
      </c>
      <c r="N345" t="s" s="11">
        <v>3011</v>
      </c>
      <c r="O345" t="s" s="11">
        <v>1124</v>
      </c>
      <c r="P345" t="s" s="11">
        <v>3012</v>
      </c>
      <c r="Q345" t="s" s="11">
        <v>3013</v>
      </c>
      <c r="R345" t="s" s="11">
        <v>1127</v>
      </c>
      <c r="S345" t="s" s="11">
        <v>34</v>
      </c>
      <c r="T345" t="s" s="13">
        <v>3014</v>
      </c>
      <c r="U345" t="s" s="11">
        <v>1129</v>
      </c>
      <c r="V345" t="s" s="13">
        <v>34</v>
      </c>
      <c r="W345" t="s" s="11">
        <v>3015</v>
      </c>
      <c r="X345" s="17">
        <f>HYPERLINK("https://my.pitchbook.com?p=89972-38P", "View People Online")</f>
      </c>
    </row>
    <row r="346">
      <c r="A346" t="s" s="10">
        <v>3016</v>
      </c>
      <c r="B346" t="s" s="10">
        <v>3017</v>
      </c>
      <c r="C346" t="s" s="10">
        <v>34</v>
      </c>
      <c r="D346" t="s" s="10">
        <v>3018</v>
      </c>
      <c r="E346" t="s" s="10">
        <v>2984</v>
      </c>
      <c r="F346" t="s" s="10">
        <v>3019</v>
      </c>
      <c r="G346" t="s" s="10">
        <v>3020</v>
      </c>
      <c r="H346" s="16">
        <f>HYPERLINK("http://ruffer.co.uk", "ruffer.co.uk")</f>
      </c>
      <c r="I346" t="s" s="10">
        <v>34</v>
      </c>
      <c r="J346" s="24">
        <v>2</v>
      </c>
      <c r="K346" s="24">
        <v>2</v>
      </c>
      <c r="L346" t="s" s="24">
        <v>34</v>
      </c>
      <c r="M346" t="s" s="12">
        <v>1827</v>
      </c>
      <c r="N346" t="s" s="10">
        <v>34</v>
      </c>
      <c r="O346" t="s" s="10">
        <v>43</v>
      </c>
      <c r="P346" t="s" s="10">
        <v>1829</v>
      </c>
      <c r="Q346" t="s" s="10">
        <v>1830</v>
      </c>
      <c r="R346" t="s" s="10">
        <v>46</v>
      </c>
      <c r="S346" t="s" s="10">
        <v>47</v>
      </c>
      <c r="T346" t="s" s="12">
        <v>1831</v>
      </c>
      <c r="U346" t="s" s="10">
        <v>49</v>
      </c>
      <c r="V346" t="s" s="12">
        <v>34</v>
      </c>
      <c r="W346" t="s" s="10">
        <v>3022</v>
      </c>
      <c r="X346" s="16">
        <f>HYPERLINK("https://my.pitchbook.com?p=228980-17P", "View People Online")</f>
      </c>
    </row>
    <row r="347">
      <c r="A347" t="s" s="11">
        <v>3023</v>
      </c>
      <c r="B347" t="s" s="11">
        <v>3024</v>
      </c>
      <c r="C347" t="s" s="11">
        <v>34</v>
      </c>
      <c r="D347" t="s" s="11">
        <v>3025</v>
      </c>
      <c r="E347" t="s" s="11">
        <v>3026</v>
      </c>
      <c r="F347" t="s" s="11">
        <v>3027</v>
      </c>
      <c r="G347" t="s" s="11">
        <v>3028</v>
      </c>
      <c r="H347" s="17">
        <f>HYPERLINK("http://www.vercoglobal.com", "www.vercoglobal.com")</f>
      </c>
      <c r="I347" t="s" s="11">
        <v>3030</v>
      </c>
      <c r="J347" s="25">
        <v>1</v>
      </c>
      <c r="K347" s="25">
        <v>1</v>
      </c>
      <c r="L347" t="s" s="25">
        <v>34</v>
      </c>
      <c r="M347" t="s" s="13">
        <v>3031</v>
      </c>
      <c r="N347" t="s" s="11">
        <v>3032</v>
      </c>
      <c r="O347" t="s" s="11">
        <v>43</v>
      </c>
      <c r="P347" t="s" s="11">
        <v>3033</v>
      </c>
      <c r="Q347" t="s" s="11">
        <v>3034</v>
      </c>
      <c r="R347" t="s" s="11">
        <v>46</v>
      </c>
      <c r="S347" t="s" s="11">
        <v>47</v>
      </c>
      <c r="T347" t="s" s="13">
        <v>3035</v>
      </c>
      <c r="U347" t="s" s="11">
        <v>49</v>
      </c>
      <c r="V347" t="s" s="13">
        <v>34</v>
      </c>
      <c r="W347" t="s" s="11">
        <v>3036</v>
      </c>
      <c r="X347" s="17">
        <f>HYPERLINK("https://my.pitchbook.com?p=88887-16P", "View People Online")</f>
      </c>
    </row>
    <row r="348">
      <c r="A348" t="s" s="10">
        <v>3037</v>
      </c>
      <c r="B348" t="s" s="10">
        <v>3038</v>
      </c>
      <c r="C348" t="s" s="10">
        <v>34</v>
      </c>
      <c r="D348" t="s" s="10">
        <v>3039</v>
      </c>
      <c r="E348" t="s" s="10">
        <v>3026</v>
      </c>
      <c r="F348" t="s" s="10">
        <v>3040</v>
      </c>
      <c r="G348" t="s" s="10">
        <v>561</v>
      </c>
      <c r="H348" s="16">
        <f>HYPERLINK("http://www.hdrinc.com", "www.hdrinc.com")</f>
      </c>
      <c r="I348" t="s" s="10">
        <v>2321</v>
      </c>
      <c r="J348" s="24">
        <v>1</v>
      </c>
      <c r="K348" s="24">
        <v>13</v>
      </c>
      <c r="L348" s="24">
        <v>12</v>
      </c>
      <c r="M348" t="s" s="12">
        <v>3042</v>
      </c>
      <c r="N348" t="s" s="10">
        <v>34</v>
      </c>
      <c r="O348" t="s" s="10">
        <v>3043</v>
      </c>
      <c r="P348" t="s" s="10">
        <v>3044</v>
      </c>
      <c r="Q348" t="s" s="10">
        <v>34</v>
      </c>
      <c r="R348" t="s" s="10">
        <v>3045</v>
      </c>
      <c r="S348" t="s" s="10">
        <v>3046</v>
      </c>
      <c r="T348" t="s" s="12">
        <v>3047</v>
      </c>
      <c r="U348" t="s" s="10">
        <v>88</v>
      </c>
      <c r="V348" t="s" s="12">
        <v>34</v>
      </c>
      <c r="W348" t="s" s="10">
        <v>3048</v>
      </c>
      <c r="X348" s="16">
        <f>HYPERLINK("https://my.pitchbook.com?p=40413-70P", "View People Online")</f>
      </c>
    </row>
    <row r="349">
      <c r="A349" t="s" s="11">
        <v>3049</v>
      </c>
      <c r="B349" t="s" s="11">
        <v>3050</v>
      </c>
      <c r="C349" t="s" s="11">
        <v>34</v>
      </c>
      <c r="D349" t="s" s="11">
        <v>3051</v>
      </c>
      <c r="E349" t="s" s="11">
        <v>3052</v>
      </c>
      <c r="F349" t="s" s="11">
        <v>3053</v>
      </c>
      <c r="G349" t="s" s="11">
        <v>93</v>
      </c>
      <c r="H349" s="17">
        <f>HYPERLINK("http://www.asiafrontiercapital.com", "www.asiafrontiercapital.com")</f>
      </c>
      <c r="I349" t="s" s="11">
        <v>3055</v>
      </c>
      <c r="J349" t="s" s="25">
        <v>34</v>
      </c>
      <c r="K349" s="25">
        <v>2</v>
      </c>
      <c r="L349" s="25">
        <v>1</v>
      </c>
      <c r="M349" t="s" s="13">
        <v>3056</v>
      </c>
      <c r="N349" t="s" s="11">
        <v>3057</v>
      </c>
      <c r="O349" t="s" s="11">
        <v>552</v>
      </c>
      <c r="P349" t="s" s="11">
        <v>3058</v>
      </c>
      <c r="Q349" t="s" s="11">
        <v>3059</v>
      </c>
      <c r="R349" t="s" s="11">
        <v>555</v>
      </c>
      <c r="S349" t="s" s="11">
        <v>34</v>
      </c>
      <c r="T349" t="s" s="13">
        <v>3060</v>
      </c>
      <c r="U349" t="s" s="11">
        <v>555</v>
      </c>
      <c r="V349" t="s" s="13">
        <v>3061</v>
      </c>
      <c r="W349" t="s" s="11">
        <v>3062</v>
      </c>
      <c r="X349" s="17">
        <f>HYPERLINK("https://my.pitchbook.com?p=29080-36P", "View People Online")</f>
      </c>
    </row>
    <row r="350">
      <c r="A350" t="s" s="10">
        <v>3063</v>
      </c>
      <c r="B350" t="s" s="10">
        <v>3064</v>
      </c>
      <c r="C350" t="s" s="10">
        <v>34</v>
      </c>
      <c r="D350" t="s" s="10">
        <v>3065</v>
      </c>
      <c r="E350" t="s" s="10">
        <v>3066</v>
      </c>
      <c r="F350" t="s" s="10">
        <v>3067</v>
      </c>
      <c r="G350" t="s" s="10">
        <v>3068</v>
      </c>
      <c r="H350" s="16">
        <f>HYPERLINK("http://kingdom.com.sa", "kingdom.com.sa")</f>
      </c>
      <c r="I350" t="s" s="10">
        <v>649</v>
      </c>
      <c r="J350" s="24">
        <v>1</v>
      </c>
      <c r="K350" s="24">
        <v>1</v>
      </c>
      <c r="L350" t="s" s="24">
        <v>34</v>
      </c>
      <c r="M350" t="s" s="12">
        <v>3070</v>
      </c>
      <c r="N350" t="s" s="10">
        <v>34</v>
      </c>
      <c r="O350" t="s" s="10">
        <v>3071</v>
      </c>
      <c r="P350" t="s" s="10">
        <v>34</v>
      </c>
      <c r="Q350" t="s" s="10">
        <v>34</v>
      </c>
      <c r="R350" t="s" s="10">
        <v>3072</v>
      </c>
      <c r="S350" t="s" s="10">
        <v>34</v>
      </c>
      <c r="T350" t="s" s="12">
        <v>3073</v>
      </c>
      <c r="U350" t="s" s="10">
        <v>3074</v>
      </c>
      <c r="V350" t="s" s="12">
        <v>3075</v>
      </c>
      <c r="W350" t="s" s="10">
        <v>3076</v>
      </c>
      <c r="X350" s="16">
        <f>HYPERLINK("https://my.pitchbook.com?p=399094-48P", "View People Online")</f>
      </c>
    </row>
    <row r="351">
      <c r="A351" t="s" s="11">
        <v>3077</v>
      </c>
      <c r="B351" t="s" s="11">
        <v>3078</v>
      </c>
      <c r="C351" t="s" s="11">
        <v>34</v>
      </c>
      <c r="D351" t="s" s="11">
        <v>3079</v>
      </c>
      <c r="E351" t="s" s="11">
        <v>3066</v>
      </c>
      <c r="F351" t="s" s="11">
        <v>3080</v>
      </c>
      <c r="G351" t="s" s="11">
        <v>3081</v>
      </c>
      <c r="H351" s="17">
        <f>HYPERLINK("http://kingdom.com.sa", "kingdom.com.sa")</f>
      </c>
      <c r="I351" t="s" s="11">
        <v>3082</v>
      </c>
      <c r="J351" t="s" s="25">
        <v>34</v>
      </c>
      <c r="K351" t="s" s="25">
        <v>34</v>
      </c>
      <c r="L351" t="s" s="25">
        <v>34</v>
      </c>
      <c r="M351" t="s" s="13">
        <v>34</v>
      </c>
      <c r="N351" t="s" s="11">
        <v>34</v>
      </c>
      <c r="O351" t="s" s="11">
        <v>34</v>
      </c>
      <c r="P351" t="s" s="11">
        <v>34</v>
      </c>
      <c r="Q351" t="s" s="11">
        <v>34</v>
      </c>
      <c r="R351" t="s" s="11">
        <v>34</v>
      </c>
      <c r="S351" t="s" s="11">
        <v>34</v>
      </c>
      <c r="T351" t="s" s="13">
        <v>34</v>
      </c>
      <c r="U351" t="s" s="11">
        <v>34</v>
      </c>
      <c r="V351" t="s" s="13">
        <v>34</v>
      </c>
      <c r="W351" t="s" s="11">
        <v>3083</v>
      </c>
      <c r="X351" s="17">
        <f>HYPERLINK("https://my.pitchbook.com?p=71373-25P", "View People Online")</f>
      </c>
    </row>
    <row r="352">
      <c r="A352" t="s" s="10">
        <v>3084</v>
      </c>
      <c r="B352" t="s" s="10">
        <v>3085</v>
      </c>
      <c r="C352" t="s" s="10">
        <v>34</v>
      </c>
      <c r="D352" t="s" s="10">
        <v>3065</v>
      </c>
      <c r="E352" t="s" s="10">
        <v>3066</v>
      </c>
      <c r="F352" t="s" s="10">
        <v>3086</v>
      </c>
      <c r="G352" t="s" s="10">
        <v>3081</v>
      </c>
      <c r="H352" s="16">
        <f>HYPERLINK("http://kingdom.com.sa", "kingdom.com.sa")</f>
      </c>
      <c r="I352" t="s" s="10">
        <v>3087</v>
      </c>
      <c r="J352" s="24">
        <v>1</v>
      </c>
      <c r="K352" s="24">
        <v>1</v>
      </c>
      <c r="L352" t="s" s="24">
        <v>34</v>
      </c>
      <c r="M352" t="s" s="12">
        <v>3070</v>
      </c>
      <c r="N352" t="s" s="10">
        <v>3088</v>
      </c>
      <c r="O352" t="s" s="10">
        <v>3071</v>
      </c>
      <c r="P352" t="s" s="10">
        <v>34</v>
      </c>
      <c r="Q352" t="s" s="10">
        <v>34</v>
      </c>
      <c r="R352" t="s" s="10">
        <v>3072</v>
      </c>
      <c r="S352" t="s" s="10">
        <v>34</v>
      </c>
      <c r="T352" t="s" s="12">
        <v>3073</v>
      </c>
      <c r="U352" t="s" s="10">
        <v>3074</v>
      </c>
      <c r="V352" t="s" s="12">
        <v>3075</v>
      </c>
      <c r="W352" t="s" s="10">
        <v>3089</v>
      </c>
      <c r="X352" s="16">
        <f>HYPERLINK("https://my.pitchbook.com?p=351885-61P", "View People Online")</f>
      </c>
    </row>
    <row r="353">
      <c r="A353" t="s" s="11">
        <v>3090</v>
      </c>
      <c r="B353" t="s" s="11">
        <v>3091</v>
      </c>
      <c r="C353" t="s" s="11">
        <v>34</v>
      </c>
      <c r="D353" t="s" s="11">
        <v>3092</v>
      </c>
      <c r="E353" t="s" s="11">
        <v>3066</v>
      </c>
      <c r="F353" t="s" s="11">
        <v>3093</v>
      </c>
      <c r="G353" t="s" s="11">
        <v>380</v>
      </c>
      <c r="H353" s="17">
        <f>HYPERLINK("http://www.chimerainvestment.com", "www.chimerainvestment.com")</f>
      </c>
      <c r="I353" t="s" s="11">
        <v>255</v>
      </c>
      <c r="J353" t="s" s="25">
        <v>34</v>
      </c>
      <c r="K353" t="s" s="25">
        <v>34</v>
      </c>
      <c r="L353" t="s" s="25">
        <v>34</v>
      </c>
      <c r="M353" t="s" s="13">
        <v>34</v>
      </c>
      <c r="N353" t="s" s="11">
        <v>34</v>
      </c>
      <c r="O353" t="s" s="11">
        <v>34</v>
      </c>
      <c r="P353" t="s" s="11">
        <v>34</v>
      </c>
      <c r="Q353" t="s" s="11">
        <v>34</v>
      </c>
      <c r="R353" t="s" s="11">
        <v>34</v>
      </c>
      <c r="S353" t="s" s="11">
        <v>34</v>
      </c>
      <c r="T353" t="s" s="13">
        <v>34</v>
      </c>
      <c r="U353" t="s" s="11">
        <v>34</v>
      </c>
      <c r="V353" t="s" s="13">
        <v>34</v>
      </c>
      <c r="W353" t="s" s="11">
        <v>3095</v>
      </c>
      <c r="X353" s="17">
        <f>HYPERLINK("https://my.pitchbook.com?p=243412-84P", "View People Online")</f>
      </c>
    </row>
    <row r="354">
      <c r="A354" t="s" s="10">
        <v>3096</v>
      </c>
      <c r="B354" t="s" s="10">
        <v>3097</v>
      </c>
      <c r="C354" t="s" s="10">
        <v>34</v>
      </c>
      <c r="D354" t="s" s="10">
        <v>3098</v>
      </c>
      <c r="E354" t="s" s="10">
        <v>3066</v>
      </c>
      <c r="F354" t="s" s="10">
        <v>3099</v>
      </c>
      <c r="G354" t="s" s="10">
        <v>380</v>
      </c>
      <c r="H354" s="16">
        <f>HYPERLINK("http://sigma-cap.com", "sigma-cap.com")</f>
      </c>
      <c r="I354" t="s" s="10">
        <v>649</v>
      </c>
      <c r="J354" s="24">
        <v>1</v>
      </c>
      <c r="K354" s="24">
        <v>1</v>
      </c>
      <c r="L354" t="s" s="24">
        <v>34</v>
      </c>
      <c r="M354" t="s" s="12">
        <v>3101</v>
      </c>
      <c r="N354" t="s" s="10">
        <v>34</v>
      </c>
      <c r="O354" t="s" s="10">
        <v>3102</v>
      </c>
      <c r="P354" t="s" s="10">
        <v>3103</v>
      </c>
      <c r="Q354" t="s" s="10">
        <v>3104</v>
      </c>
      <c r="R354" t="s" s="10">
        <v>3105</v>
      </c>
      <c r="S354" t="s" s="10">
        <v>34</v>
      </c>
      <c r="T354" t="s" s="12">
        <v>3106</v>
      </c>
      <c r="U354" t="s" s="10">
        <v>3107</v>
      </c>
      <c r="V354" t="s" s="12">
        <v>3108</v>
      </c>
      <c r="W354" t="s" s="10">
        <v>3109</v>
      </c>
      <c r="X354" s="16">
        <f>HYPERLINK("https://my.pitchbook.com?p=341216-38P", "View People Online")</f>
      </c>
    </row>
    <row r="355">
      <c r="A355" t="s" s="11">
        <v>3110</v>
      </c>
      <c r="B355" t="s" s="11">
        <v>3111</v>
      </c>
      <c r="C355" t="s" s="11">
        <v>34</v>
      </c>
      <c r="D355" t="s" s="11">
        <v>3079</v>
      </c>
      <c r="E355" t="s" s="11">
        <v>3066</v>
      </c>
      <c r="F355" t="s" s="11">
        <v>3112</v>
      </c>
      <c r="G355" t="s" s="11">
        <v>399</v>
      </c>
      <c r="H355" s="17">
        <f>HYPERLINK("http://kingdom.com.sa", "kingdom.com.sa")</f>
      </c>
      <c r="I355" t="s" s="11">
        <v>322</v>
      </c>
      <c r="J355" t="s" s="25">
        <v>34</v>
      </c>
      <c r="K355" s="25">
        <v>1</v>
      </c>
      <c r="L355" s="25">
        <v>1</v>
      </c>
      <c r="M355" t="s" s="13">
        <v>34</v>
      </c>
      <c r="N355" t="s" s="11">
        <v>34</v>
      </c>
      <c r="O355" t="s" s="11">
        <v>34</v>
      </c>
      <c r="P355" t="s" s="11">
        <v>34</v>
      </c>
      <c r="Q355" t="s" s="11">
        <v>34</v>
      </c>
      <c r="R355" t="s" s="11">
        <v>34</v>
      </c>
      <c r="S355" t="s" s="11">
        <v>34</v>
      </c>
      <c r="T355" t="s" s="13">
        <v>34</v>
      </c>
      <c r="U355" t="s" s="11">
        <v>34</v>
      </c>
      <c r="V355" t="s" s="13">
        <v>34</v>
      </c>
      <c r="W355" t="s" s="11">
        <v>3113</v>
      </c>
      <c r="X355" s="17">
        <f>HYPERLINK("https://my.pitchbook.com?p=109323-91P", "View People Online")</f>
      </c>
    </row>
    <row r="356">
      <c r="A356" t="s" s="10">
        <v>3114</v>
      </c>
      <c r="B356" t="s" s="10">
        <v>1307</v>
      </c>
      <c r="C356" t="s" s="10">
        <v>34</v>
      </c>
      <c r="D356" t="s" s="10">
        <v>3115</v>
      </c>
      <c r="E356" t="s" s="10">
        <v>3066</v>
      </c>
      <c r="F356" t="s" s="10">
        <v>1310</v>
      </c>
      <c r="G356" t="s" s="10">
        <v>1311</v>
      </c>
      <c r="H356" s="16">
        <f>HYPERLINK("http://www.bridgepointgroup.com", "www.bridgepointgroup.com")</f>
      </c>
      <c r="I356" t="s" s="10">
        <v>3117</v>
      </c>
      <c r="J356" t="s" s="24">
        <v>34</v>
      </c>
      <c r="K356" t="s" s="24">
        <v>34</v>
      </c>
      <c r="L356" t="s" s="24">
        <v>34</v>
      </c>
      <c r="M356" t="s" s="12">
        <v>3118</v>
      </c>
      <c r="N356" t="s" s="10">
        <v>34</v>
      </c>
      <c r="O356" t="s" s="10">
        <v>34</v>
      </c>
      <c r="P356" t="s" s="10">
        <v>34</v>
      </c>
      <c r="Q356" t="s" s="10">
        <v>34</v>
      </c>
      <c r="R356" t="s" s="10">
        <v>34</v>
      </c>
      <c r="S356" t="s" s="10">
        <v>34</v>
      </c>
      <c r="T356" t="s" s="12">
        <v>34</v>
      </c>
      <c r="U356" t="s" s="10">
        <v>34</v>
      </c>
      <c r="V356" t="s" s="12">
        <v>34</v>
      </c>
      <c r="W356" t="s" s="10">
        <v>3119</v>
      </c>
      <c r="X356" s="16">
        <f>HYPERLINK("https://my.pitchbook.com?p=52188-94P", "View People Online")</f>
      </c>
    </row>
    <row r="357">
      <c r="A357" t="s" s="11">
        <v>3120</v>
      </c>
      <c r="B357" t="s" s="11">
        <v>3121</v>
      </c>
      <c r="C357" t="s" s="11">
        <v>34</v>
      </c>
      <c r="D357" t="s" s="11">
        <v>3122</v>
      </c>
      <c r="E357" t="s" s="11">
        <v>3066</v>
      </c>
      <c r="F357" t="s" s="11">
        <v>3123</v>
      </c>
      <c r="G357" t="s" s="11">
        <v>425</v>
      </c>
      <c r="H357" s="17">
        <f>HYPERLINK("http://www.37celsiuscapital.com", "www.37celsiuscapital.com")</f>
      </c>
      <c r="I357" t="s" s="11">
        <v>3125</v>
      </c>
      <c r="J357" t="s" s="25">
        <v>34</v>
      </c>
      <c r="K357" s="25">
        <v>3</v>
      </c>
      <c r="L357" s="25">
        <v>1</v>
      </c>
      <c r="M357" t="s" s="13">
        <v>3126</v>
      </c>
      <c r="N357" t="s" s="11">
        <v>3127</v>
      </c>
      <c r="O357" t="s" s="11">
        <v>3128</v>
      </c>
      <c r="P357" t="s" s="11">
        <v>3129</v>
      </c>
      <c r="Q357" t="s" s="11">
        <v>34</v>
      </c>
      <c r="R357" t="s" s="11">
        <v>3130</v>
      </c>
      <c r="S357" t="s" s="11">
        <v>3131</v>
      </c>
      <c r="T357" t="s" s="13">
        <v>3132</v>
      </c>
      <c r="U357" t="s" s="11">
        <v>88</v>
      </c>
      <c r="V357" t="s" s="13">
        <v>3133</v>
      </c>
      <c r="W357" t="s" s="11">
        <v>3134</v>
      </c>
      <c r="X357" s="17">
        <f>HYPERLINK("https://my.pitchbook.com?p=127626-58P", "View People Online")</f>
      </c>
    </row>
    <row r="358">
      <c r="A358" t="s" s="10">
        <v>3135</v>
      </c>
      <c r="B358" t="s" s="10">
        <v>3136</v>
      </c>
      <c r="C358" t="s" s="10">
        <v>34</v>
      </c>
      <c r="D358" t="s" s="10">
        <v>3065</v>
      </c>
      <c r="E358" t="s" s="10">
        <v>3066</v>
      </c>
      <c r="F358" t="s" s="10">
        <v>3137</v>
      </c>
      <c r="G358" t="s" s="10">
        <v>3138</v>
      </c>
      <c r="H358" s="16">
        <f>HYPERLINK("http://kingdom.com.sa", "kingdom.com.sa")</f>
      </c>
      <c r="I358" t="s" s="10">
        <v>3139</v>
      </c>
      <c r="J358" s="24">
        <v>2</v>
      </c>
      <c r="K358" s="24">
        <v>16</v>
      </c>
      <c r="L358" s="24">
        <v>13</v>
      </c>
      <c r="M358" t="s" s="12">
        <v>3070</v>
      </c>
      <c r="N358" t="s" s="10">
        <v>3140</v>
      </c>
      <c r="O358" t="s" s="10">
        <v>3071</v>
      </c>
      <c r="P358" t="s" s="10">
        <v>34</v>
      </c>
      <c r="Q358" t="s" s="10">
        <v>34</v>
      </c>
      <c r="R358" t="s" s="10">
        <v>3072</v>
      </c>
      <c r="S358" t="s" s="10">
        <v>34</v>
      </c>
      <c r="T358" t="s" s="12">
        <v>3073</v>
      </c>
      <c r="U358" t="s" s="10">
        <v>3074</v>
      </c>
      <c r="V358" t="s" s="12">
        <v>3075</v>
      </c>
      <c r="W358" t="s" s="10">
        <v>3141</v>
      </c>
      <c r="X358" s="16">
        <f>HYPERLINK("https://my.pitchbook.com?p=53449-84P", "View People Online")</f>
      </c>
    </row>
    <row r="359">
      <c r="A359" t="s" s="11">
        <v>3142</v>
      </c>
      <c r="B359" t="s" s="11">
        <v>3143</v>
      </c>
      <c r="C359" t="s" s="11">
        <v>34</v>
      </c>
      <c r="D359" t="s" s="11">
        <v>3144</v>
      </c>
      <c r="E359" t="s" s="11">
        <v>3066</v>
      </c>
      <c r="F359" t="s" s="11">
        <v>3145</v>
      </c>
      <c r="G359" t="s" s="11">
        <v>3146</v>
      </c>
      <c r="H359" s="17">
        <f>HYPERLINK("http://www.atlamed.ma", "www.atlamed.ma")</f>
      </c>
      <c r="I359" t="s" s="11">
        <v>3148</v>
      </c>
      <c r="J359" s="25">
        <v>1</v>
      </c>
      <c r="K359" s="25">
        <v>8</v>
      </c>
      <c r="L359" s="25">
        <v>5</v>
      </c>
      <c r="M359" t="s" s="13">
        <v>3149</v>
      </c>
      <c r="N359" t="s" s="11">
        <v>34</v>
      </c>
      <c r="O359" t="s" s="11">
        <v>2949</v>
      </c>
      <c r="P359" t="s" s="11">
        <v>3150</v>
      </c>
      <c r="Q359" t="s" s="11">
        <v>3151</v>
      </c>
      <c r="R359" t="s" s="11">
        <v>2951</v>
      </c>
      <c r="S359" t="s" s="11">
        <v>34</v>
      </c>
      <c r="T359" t="s" s="13">
        <v>3152</v>
      </c>
      <c r="U359" t="s" s="11">
        <v>2952</v>
      </c>
      <c r="V359" t="s" s="13">
        <v>3153</v>
      </c>
      <c r="W359" t="s" s="11">
        <v>3154</v>
      </c>
      <c r="X359" s="17">
        <f>HYPERLINK("https://my.pitchbook.com?p=55925-56P", "View People Online")</f>
      </c>
    </row>
    <row r="360">
      <c r="A360" t="s" s="10">
        <v>3155</v>
      </c>
      <c r="B360" t="s" s="10">
        <v>3156</v>
      </c>
      <c r="C360" t="s" s="10">
        <v>34</v>
      </c>
      <c r="D360" t="s" s="10">
        <v>3157</v>
      </c>
      <c r="E360" t="s" s="10">
        <v>3066</v>
      </c>
      <c r="F360" t="s" s="10">
        <v>3158</v>
      </c>
      <c r="G360" t="s" s="10">
        <v>3159</v>
      </c>
      <c r="H360" s="16">
        <f>HYPERLINK("http://www.charterhouseequity.com", "www.charterhouseequity.com")</f>
      </c>
      <c r="I360" t="s" s="10">
        <v>3161</v>
      </c>
      <c r="J360" t="s" s="24">
        <v>34</v>
      </c>
      <c r="K360" s="24">
        <v>2</v>
      </c>
      <c r="L360" s="24">
        <v>2</v>
      </c>
      <c r="M360" t="s" s="12">
        <v>34</v>
      </c>
      <c r="N360" t="s" s="10">
        <v>34</v>
      </c>
      <c r="O360" t="s" s="10">
        <v>34</v>
      </c>
      <c r="P360" t="s" s="10">
        <v>34</v>
      </c>
      <c r="Q360" t="s" s="10">
        <v>34</v>
      </c>
      <c r="R360" t="s" s="10">
        <v>34</v>
      </c>
      <c r="S360" t="s" s="10">
        <v>34</v>
      </c>
      <c r="T360" t="s" s="12">
        <v>34</v>
      </c>
      <c r="U360" t="s" s="10">
        <v>34</v>
      </c>
      <c r="V360" t="s" s="12">
        <v>34</v>
      </c>
      <c r="W360" t="s" s="10">
        <v>3162</v>
      </c>
      <c r="X360" s="16">
        <f>HYPERLINK("https://my.pitchbook.com?p=33720-67P", "View People Online")</f>
      </c>
    </row>
    <row r="361">
      <c r="A361" t="s" s="11">
        <v>3163</v>
      </c>
      <c r="B361" t="s" s="11">
        <v>3164</v>
      </c>
      <c r="C361" t="s" s="11">
        <v>34</v>
      </c>
      <c r="D361" t="s" s="11">
        <v>3165</v>
      </c>
      <c r="E361" t="s" s="11">
        <v>3066</v>
      </c>
      <c r="F361" t="s" s="11">
        <v>3166</v>
      </c>
      <c r="G361" t="s" s="11">
        <v>3167</v>
      </c>
      <c r="H361" s="17">
        <f>HYPERLINK("http://www.marcol.com", "www.marcol.com")</f>
      </c>
      <c r="I361" t="s" s="11">
        <v>649</v>
      </c>
      <c r="J361" t="s" s="25">
        <v>34</v>
      </c>
      <c r="K361" t="s" s="25">
        <v>34</v>
      </c>
      <c r="L361" t="s" s="25">
        <v>34</v>
      </c>
      <c r="M361" t="s" s="13">
        <v>34</v>
      </c>
      <c r="N361" t="s" s="11">
        <v>34</v>
      </c>
      <c r="O361" t="s" s="11">
        <v>34</v>
      </c>
      <c r="P361" t="s" s="11">
        <v>34</v>
      </c>
      <c r="Q361" t="s" s="11">
        <v>34</v>
      </c>
      <c r="R361" t="s" s="11">
        <v>34</v>
      </c>
      <c r="S361" t="s" s="11">
        <v>34</v>
      </c>
      <c r="T361" t="s" s="13">
        <v>34</v>
      </c>
      <c r="U361" t="s" s="11">
        <v>34</v>
      </c>
      <c r="V361" t="s" s="13">
        <v>34</v>
      </c>
      <c r="W361" t="s" s="11">
        <v>3169</v>
      </c>
      <c r="X361" s="17">
        <f>HYPERLINK("https://my.pitchbook.com?p=48745-81P", "View People Online")</f>
      </c>
    </row>
    <row r="362">
      <c r="A362" t="s" s="10">
        <v>3170</v>
      </c>
      <c r="B362" t="s" s="10">
        <v>3171</v>
      </c>
      <c r="C362" t="s" s="10">
        <v>34</v>
      </c>
      <c r="D362" t="s" s="10">
        <v>3172</v>
      </c>
      <c r="E362" t="s" s="10">
        <v>3066</v>
      </c>
      <c r="F362" t="s" s="10">
        <v>3173</v>
      </c>
      <c r="G362" t="s" s="10">
        <v>3174</v>
      </c>
      <c r="H362" s="16">
        <f>HYPERLINK("http://www.circularitycapital.com", "www.circularitycapital.com")</f>
      </c>
      <c r="I362" t="s" s="10">
        <v>3176</v>
      </c>
      <c r="J362" t="s" s="24">
        <v>34</v>
      </c>
      <c r="K362" s="24">
        <v>1</v>
      </c>
      <c r="L362" t="s" s="24">
        <v>34</v>
      </c>
      <c r="M362" t="s" s="12">
        <v>3177</v>
      </c>
      <c r="N362" t="s" s="10">
        <v>3178</v>
      </c>
      <c r="O362" t="s" s="10">
        <v>3179</v>
      </c>
      <c r="P362" t="s" s="10">
        <v>3180</v>
      </c>
      <c r="Q362" t="s" s="10">
        <v>3181</v>
      </c>
      <c r="R362" t="s" s="10">
        <v>3182</v>
      </c>
      <c r="S362" t="s" s="10">
        <v>3183</v>
      </c>
      <c r="T362" t="s" s="12">
        <v>3184</v>
      </c>
      <c r="U362" t="s" s="10">
        <v>49</v>
      </c>
      <c r="V362" t="s" s="12">
        <v>34</v>
      </c>
      <c r="W362" t="s" s="10">
        <v>3185</v>
      </c>
      <c r="X362" s="16">
        <f>HYPERLINK("https://my.pitchbook.com?p=72636-22P", "View People Online")</f>
      </c>
    </row>
    <row r="363">
      <c r="A363" t="s" s="11">
        <v>3186</v>
      </c>
      <c r="B363" t="s" s="11">
        <v>3187</v>
      </c>
      <c r="C363" t="s" s="11">
        <v>34</v>
      </c>
      <c r="D363" t="s" s="11">
        <v>3188</v>
      </c>
      <c r="E363" t="s" s="11">
        <v>3066</v>
      </c>
      <c r="F363" t="s" s="11">
        <v>3189</v>
      </c>
      <c r="G363" t="s" s="11">
        <v>3190</v>
      </c>
      <c r="H363" s="17">
        <f>HYPERLINK("http://www.tpg.com", "www.tpg.com")</f>
      </c>
      <c r="I363" t="s" s="11">
        <v>3192</v>
      </c>
      <c r="J363" s="25">
        <v>4</v>
      </c>
      <c r="K363" s="25">
        <v>17</v>
      </c>
      <c r="L363" s="25">
        <v>8</v>
      </c>
      <c r="M363" t="s" s="13">
        <v>3193</v>
      </c>
      <c r="N363" t="s" s="11">
        <v>3194</v>
      </c>
      <c r="O363" t="s" s="11">
        <v>525</v>
      </c>
      <c r="P363" t="s" s="11">
        <v>3195</v>
      </c>
      <c r="Q363" t="s" s="11">
        <v>3196</v>
      </c>
      <c r="R363" t="s" s="11">
        <v>528</v>
      </c>
      <c r="S363" t="s" s="11">
        <v>34</v>
      </c>
      <c r="T363" t="s" s="13">
        <v>3197</v>
      </c>
      <c r="U363" t="s" s="11">
        <v>528</v>
      </c>
      <c r="V363" t="s" s="13">
        <v>3198</v>
      </c>
      <c r="W363" t="s" s="11">
        <v>3199</v>
      </c>
      <c r="X363" s="17">
        <f>HYPERLINK("https://my.pitchbook.com?p=92993-95P", "View People Online")</f>
      </c>
    </row>
    <row r="364">
      <c r="A364" t="s" s="10">
        <v>3200</v>
      </c>
      <c r="B364" t="s" s="10">
        <v>3201</v>
      </c>
      <c r="C364" t="s" s="10">
        <v>34</v>
      </c>
      <c r="D364" t="s" s="10">
        <v>3202</v>
      </c>
      <c r="E364" t="s" s="10">
        <v>3066</v>
      </c>
      <c r="F364" t="s" s="10">
        <v>3203</v>
      </c>
      <c r="G364" t="s" s="10">
        <v>3204</v>
      </c>
      <c r="H364" s="16">
        <f>HYPERLINK("http://www.fipar.ma", "www.fipar.ma")</f>
      </c>
      <c r="I364" t="s" s="10">
        <v>3206</v>
      </c>
      <c r="J364" t="s" s="24">
        <v>34</v>
      </c>
      <c r="K364" s="24">
        <v>1</v>
      </c>
      <c r="L364" t="s" s="24">
        <v>34</v>
      </c>
      <c r="M364" t="s" s="12">
        <v>3207</v>
      </c>
      <c r="N364" t="s" s="10">
        <v>34</v>
      </c>
      <c r="O364" t="s" s="10">
        <v>3208</v>
      </c>
      <c r="P364" t="s" s="10">
        <v>3209</v>
      </c>
      <c r="Q364" t="s" s="10">
        <v>3210</v>
      </c>
      <c r="R364" t="s" s="10">
        <v>3211</v>
      </c>
      <c r="S364" t="s" s="10">
        <v>34</v>
      </c>
      <c r="T364" t="s" s="12">
        <v>3212</v>
      </c>
      <c r="U364" t="s" s="10">
        <v>2952</v>
      </c>
      <c r="V364" t="s" s="12">
        <v>3213</v>
      </c>
      <c r="W364" t="s" s="10">
        <v>3214</v>
      </c>
      <c r="X364" s="16">
        <f>HYPERLINK("https://my.pitchbook.com?p=382085-20P", "View People Online")</f>
      </c>
    </row>
    <row r="365">
      <c r="A365" t="s" s="11">
        <v>3215</v>
      </c>
      <c r="B365" t="s" s="11">
        <v>3216</v>
      </c>
      <c r="C365" t="s" s="11">
        <v>34</v>
      </c>
      <c r="D365" t="s" s="11">
        <v>3217</v>
      </c>
      <c r="E365" t="s" s="11">
        <v>3066</v>
      </c>
      <c r="F365" t="s" s="11">
        <v>3218</v>
      </c>
      <c r="G365" t="s" s="11">
        <v>3219</v>
      </c>
      <c r="H365" s="17">
        <f>HYPERLINK("http://www.silverlake.com", "www.silverlake.com")</f>
      </c>
      <c r="I365" t="s" s="11">
        <v>3221</v>
      </c>
      <c r="J365" s="25">
        <v>5</v>
      </c>
      <c r="K365" s="25">
        <v>33</v>
      </c>
      <c r="L365" s="25">
        <v>2</v>
      </c>
      <c r="M365" t="s" s="13">
        <v>3222</v>
      </c>
      <c r="N365" t="s" s="11">
        <v>3223</v>
      </c>
      <c r="O365" t="s" s="11">
        <v>3224</v>
      </c>
      <c r="P365" t="s" s="11">
        <v>3225</v>
      </c>
      <c r="Q365" t="s" s="11">
        <v>3226</v>
      </c>
      <c r="R365" t="s" s="11">
        <v>3227</v>
      </c>
      <c r="S365" t="s" s="11">
        <v>1904</v>
      </c>
      <c r="T365" t="s" s="13">
        <v>3228</v>
      </c>
      <c r="U365" t="s" s="11">
        <v>88</v>
      </c>
      <c r="V365" t="s" s="13">
        <v>34</v>
      </c>
      <c r="W365" t="s" s="11">
        <v>3229</v>
      </c>
      <c r="X365" s="17">
        <f>HYPERLINK("https://my.pitchbook.com?p=369153-55P", "View People Online")</f>
      </c>
    </row>
    <row r="366">
      <c r="A366" t="s" s="10">
        <v>3230</v>
      </c>
      <c r="B366" t="s" s="10">
        <v>3231</v>
      </c>
      <c r="C366" t="s" s="10">
        <v>34</v>
      </c>
      <c r="D366" t="s" s="10">
        <v>3232</v>
      </c>
      <c r="E366" t="s" s="10">
        <v>3066</v>
      </c>
      <c r="F366" t="s" s="10">
        <v>3233</v>
      </c>
      <c r="G366" t="s" s="10">
        <v>3234</v>
      </c>
      <c r="H366" s="16">
        <f>HYPERLINK("http://ominvest.com", "ominvest.com")</f>
      </c>
      <c r="I366" t="s" s="10">
        <v>649</v>
      </c>
      <c r="J366" s="24">
        <v>1</v>
      </c>
      <c r="K366" s="24">
        <v>1</v>
      </c>
      <c r="L366" t="s" s="24">
        <v>34</v>
      </c>
      <c r="M366" t="s" s="12">
        <v>3236</v>
      </c>
      <c r="N366" t="s" s="10">
        <v>34</v>
      </c>
      <c r="O366" t="s" s="10">
        <v>3237</v>
      </c>
      <c r="P366" t="s" s="10">
        <v>3238</v>
      </c>
      <c r="Q366" t="s" s="10">
        <v>3239</v>
      </c>
      <c r="R366" t="s" s="10">
        <v>3240</v>
      </c>
      <c r="S366" t="s" s="10">
        <v>34</v>
      </c>
      <c r="T366" t="s" s="12">
        <v>34</v>
      </c>
      <c r="U366" t="s" s="10">
        <v>3241</v>
      </c>
      <c r="V366" t="s" s="12">
        <v>3242</v>
      </c>
      <c r="W366" t="s" s="10">
        <v>3243</v>
      </c>
      <c r="X366" s="16">
        <f>HYPERLINK("https://my.pitchbook.com?p=338198-05P", "View People Online")</f>
      </c>
    </row>
    <row r="367">
      <c r="A367" t="s" s="11">
        <v>3244</v>
      </c>
      <c r="B367" t="s" s="11">
        <v>3245</v>
      </c>
      <c r="C367" t="s" s="11">
        <v>34</v>
      </c>
      <c r="D367" t="s" s="11">
        <v>3246</v>
      </c>
      <c r="E367" t="s" s="11">
        <v>3066</v>
      </c>
      <c r="F367" t="s" s="11">
        <v>3247</v>
      </c>
      <c r="G367" t="s" s="11">
        <v>3248</v>
      </c>
      <c r="H367" s="17">
        <f>HYPERLINK("http://www.lgroup.com", "www.lgroup.com")</f>
      </c>
      <c r="I367" t="s" s="11">
        <v>1174</v>
      </c>
      <c r="J367" t="s" s="25">
        <v>34</v>
      </c>
      <c r="K367" s="25">
        <v>2</v>
      </c>
      <c r="L367" s="25">
        <v>1</v>
      </c>
      <c r="M367" t="s" s="13">
        <v>3250</v>
      </c>
      <c r="N367" t="s" s="11">
        <v>3251</v>
      </c>
      <c r="O367" t="s" s="11">
        <v>2468</v>
      </c>
      <c r="P367" t="s" s="11">
        <v>3252</v>
      </c>
      <c r="Q367" t="s" s="11">
        <v>34</v>
      </c>
      <c r="R367" t="s" s="11">
        <v>2470</v>
      </c>
      <c r="S367" t="s" s="11">
        <v>2470</v>
      </c>
      <c r="T367" t="s" s="13">
        <v>2651</v>
      </c>
      <c r="U367" t="s" s="11">
        <v>2471</v>
      </c>
      <c r="V367" t="s" s="13">
        <v>34</v>
      </c>
      <c r="W367" t="s" s="11">
        <v>3253</v>
      </c>
      <c r="X367" s="17">
        <f>HYPERLINK("https://my.pitchbook.com?p=264459-16P", "View People Online")</f>
      </c>
    </row>
    <row r="368">
      <c r="A368" t="s" s="10">
        <v>3254</v>
      </c>
      <c r="B368" t="s" s="10">
        <v>3255</v>
      </c>
      <c r="C368" t="s" s="10">
        <v>34</v>
      </c>
      <c r="D368" t="s" s="10">
        <v>3256</v>
      </c>
      <c r="E368" t="s" s="10">
        <v>3066</v>
      </c>
      <c r="F368" t="s" s="10">
        <v>3257</v>
      </c>
      <c r="G368" t="s" s="10">
        <v>1063</v>
      </c>
      <c r="H368" s="16">
        <f>HYPERLINK("http://www.lpc-capital.com", "www.lpc-capital.com")</f>
      </c>
      <c r="I368" t="s" s="10">
        <v>2149</v>
      </c>
      <c r="J368" t="s" s="24">
        <v>34</v>
      </c>
      <c r="K368" t="s" s="24">
        <v>34</v>
      </c>
      <c r="L368" t="s" s="24">
        <v>34</v>
      </c>
      <c r="M368" t="s" s="12">
        <v>34</v>
      </c>
      <c r="N368" t="s" s="10">
        <v>34</v>
      </c>
      <c r="O368" t="s" s="10">
        <v>34</v>
      </c>
      <c r="P368" t="s" s="10">
        <v>34</v>
      </c>
      <c r="Q368" t="s" s="10">
        <v>34</v>
      </c>
      <c r="R368" t="s" s="10">
        <v>34</v>
      </c>
      <c r="S368" t="s" s="10">
        <v>34</v>
      </c>
      <c r="T368" t="s" s="12">
        <v>34</v>
      </c>
      <c r="U368" t="s" s="10">
        <v>34</v>
      </c>
      <c r="V368" t="s" s="12">
        <v>34</v>
      </c>
      <c r="W368" t="s" s="10">
        <v>3259</v>
      </c>
      <c r="X368" s="16">
        <f>HYPERLINK("https://my.pitchbook.com?p=51017-41P", "View People Online")</f>
      </c>
    </row>
    <row r="369">
      <c r="A369" t="s" s="11">
        <v>3260</v>
      </c>
      <c r="B369" t="s" s="11">
        <v>3261</v>
      </c>
      <c r="C369" t="s" s="11">
        <v>34</v>
      </c>
      <c r="D369" t="s" s="11">
        <v>3262</v>
      </c>
      <c r="E369" t="s" s="11">
        <v>3066</v>
      </c>
      <c r="F369" t="s" s="11">
        <v>3263</v>
      </c>
      <c r="G369" t="s" s="11">
        <v>3264</v>
      </c>
      <c r="H369" s="17">
        <f>HYPERLINK("http://www.almada.ma", "www.almada.ma")</f>
      </c>
      <c r="I369" t="s" s="11">
        <v>2346</v>
      </c>
      <c r="J369" s="25">
        <v>2</v>
      </c>
      <c r="K369" s="25">
        <v>3</v>
      </c>
      <c r="L369" s="25">
        <v>1</v>
      </c>
      <c r="M369" t="s" s="13">
        <v>3266</v>
      </c>
      <c r="N369" t="s" s="11">
        <v>3267</v>
      </c>
      <c r="O369" t="s" s="11">
        <v>2949</v>
      </c>
      <c r="P369" t="s" s="11">
        <v>3268</v>
      </c>
      <c r="Q369" t="s" s="11">
        <v>34</v>
      </c>
      <c r="R369" t="s" s="11">
        <v>2951</v>
      </c>
      <c r="S369" t="s" s="11">
        <v>34</v>
      </c>
      <c r="T369" t="s" s="13">
        <v>3269</v>
      </c>
      <c r="U369" t="s" s="11">
        <v>2952</v>
      </c>
      <c r="V369" t="s" s="13">
        <v>34</v>
      </c>
      <c r="W369" t="s" s="11">
        <v>3270</v>
      </c>
      <c r="X369" s="17">
        <f>HYPERLINK("https://my.pitchbook.com?p=434344-96P", "View People Online")</f>
      </c>
    </row>
    <row r="370">
      <c r="A370" t="s" s="10">
        <v>3271</v>
      </c>
      <c r="B370" t="s" s="10">
        <v>3272</v>
      </c>
      <c r="C370" t="s" s="10">
        <v>34</v>
      </c>
      <c r="D370" t="s" s="10">
        <v>3065</v>
      </c>
      <c r="E370" t="s" s="10">
        <v>3066</v>
      </c>
      <c r="F370" t="s" s="10">
        <v>3273</v>
      </c>
      <c r="G370" t="s" s="10">
        <v>1715</v>
      </c>
      <c r="H370" s="16">
        <f>HYPERLINK("http://kingdom.com.sa", "kingdom.com.sa")</f>
      </c>
      <c r="I370" t="s" s="10">
        <v>3274</v>
      </c>
      <c r="J370" s="24">
        <v>1</v>
      </c>
      <c r="K370" s="24">
        <v>1</v>
      </c>
      <c r="L370" t="s" s="24">
        <v>34</v>
      </c>
      <c r="M370" t="s" s="12">
        <v>3070</v>
      </c>
      <c r="N370" t="s" s="10">
        <v>3275</v>
      </c>
      <c r="O370" t="s" s="10">
        <v>3071</v>
      </c>
      <c r="P370" t="s" s="10">
        <v>34</v>
      </c>
      <c r="Q370" t="s" s="10">
        <v>34</v>
      </c>
      <c r="R370" t="s" s="10">
        <v>3072</v>
      </c>
      <c r="S370" t="s" s="10">
        <v>34</v>
      </c>
      <c r="T370" t="s" s="12">
        <v>3073</v>
      </c>
      <c r="U370" t="s" s="10">
        <v>3074</v>
      </c>
      <c r="V370" t="s" s="12">
        <v>3075</v>
      </c>
      <c r="W370" t="s" s="10">
        <v>3276</v>
      </c>
      <c r="X370" s="16">
        <f>HYPERLINK("https://my.pitchbook.com?p=349439-86P", "View People Online")</f>
      </c>
    </row>
    <row r="371">
      <c r="A371" t="s" s="11">
        <v>3277</v>
      </c>
      <c r="B371" t="s" s="11">
        <v>3278</v>
      </c>
      <c r="C371" t="s" s="11">
        <v>34</v>
      </c>
      <c r="D371" t="s" s="11">
        <v>3279</v>
      </c>
      <c r="E371" t="s" s="11">
        <v>3066</v>
      </c>
      <c r="F371" t="s" s="11">
        <v>3280</v>
      </c>
      <c r="G371" t="s" s="11">
        <v>3281</v>
      </c>
      <c r="H371" s="17">
        <f>HYPERLINK("http://www.almada.ma", "www.almada.ma")</f>
      </c>
      <c r="I371" t="s" s="11">
        <v>34</v>
      </c>
      <c r="J371" t="s" s="25">
        <v>34</v>
      </c>
      <c r="K371" t="s" s="25">
        <v>34</v>
      </c>
      <c r="L371" t="s" s="25">
        <v>34</v>
      </c>
      <c r="M371" t="s" s="13">
        <v>34</v>
      </c>
      <c r="N371" t="s" s="11">
        <v>34</v>
      </c>
      <c r="O371" t="s" s="11">
        <v>34</v>
      </c>
      <c r="P371" t="s" s="11">
        <v>34</v>
      </c>
      <c r="Q371" t="s" s="11">
        <v>34</v>
      </c>
      <c r="R371" t="s" s="11">
        <v>34</v>
      </c>
      <c r="S371" t="s" s="11">
        <v>34</v>
      </c>
      <c r="T371" t="s" s="13">
        <v>34</v>
      </c>
      <c r="U371" t="s" s="11">
        <v>34</v>
      </c>
      <c r="V371" t="s" s="13">
        <v>34</v>
      </c>
      <c r="W371" t="s" s="11">
        <v>3282</v>
      </c>
      <c r="X371" s="17">
        <f>HYPERLINK("https://my.pitchbook.com?p=232531-48P", "View People Online")</f>
      </c>
    </row>
    <row r="372">
      <c r="A372" t="s" s="10">
        <v>3283</v>
      </c>
      <c r="B372" t="s" s="10">
        <v>3284</v>
      </c>
      <c r="C372" t="s" s="10">
        <v>34</v>
      </c>
      <c r="D372" t="s" s="10">
        <v>3285</v>
      </c>
      <c r="E372" t="s" s="10">
        <v>3066</v>
      </c>
      <c r="F372" t="s" s="10">
        <v>3286</v>
      </c>
      <c r="G372" t="s" s="10">
        <v>3287</v>
      </c>
      <c r="H372" s="16">
        <f>HYPERLINK("http://www.aradacp.com", "www.aradacp.com")</f>
      </c>
      <c r="I372" t="s" s="10">
        <v>2044</v>
      </c>
      <c r="J372" t="s" s="24">
        <v>34</v>
      </c>
      <c r="K372" s="24">
        <v>1</v>
      </c>
      <c r="L372" t="s" s="24">
        <v>34</v>
      </c>
      <c r="M372" t="s" s="12">
        <v>34</v>
      </c>
      <c r="N372" t="s" s="10">
        <v>3289</v>
      </c>
      <c r="O372" t="s" s="10">
        <v>1101</v>
      </c>
      <c r="P372" t="s" s="10">
        <v>3290</v>
      </c>
      <c r="Q372" t="s" s="10">
        <v>34</v>
      </c>
      <c r="R372" t="s" s="10">
        <v>1103</v>
      </c>
      <c r="S372" t="s" s="10">
        <v>34</v>
      </c>
      <c r="T372" t="s" s="12">
        <v>1104</v>
      </c>
      <c r="U372" t="s" s="10">
        <v>1105</v>
      </c>
      <c r="V372" t="s" s="12">
        <v>34</v>
      </c>
      <c r="W372" t="s" s="10">
        <v>3291</v>
      </c>
      <c r="X372" s="16">
        <f>HYPERLINK("https://my.pitchbook.com?p=324914-41P", "View People Online")</f>
      </c>
    </row>
    <row r="373">
      <c r="A373" t="s" s="11">
        <v>3292</v>
      </c>
      <c r="B373" t="s" s="11">
        <v>3293</v>
      </c>
      <c r="C373" t="s" s="11">
        <v>34</v>
      </c>
      <c r="D373" t="s" s="11">
        <v>3294</v>
      </c>
      <c r="E373" t="s" s="11">
        <v>3066</v>
      </c>
      <c r="F373" t="s" s="11">
        <v>706</v>
      </c>
      <c r="G373" t="s" s="11">
        <v>141</v>
      </c>
      <c r="H373" s="17">
        <f>HYPERLINK("http://www.trinityhunt.com", "www.trinityhunt.com")</f>
      </c>
      <c r="I373" t="s" s="11">
        <v>111</v>
      </c>
      <c r="J373" t="s" s="25">
        <v>34</v>
      </c>
      <c r="K373" t="s" s="25">
        <v>34</v>
      </c>
      <c r="L373" t="s" s="25">
        <v>34</v>
      </c>
      <c r="M373" t="s" s="13">
        <v>3296</v>
      </c>
      <c r="N373" t="s" s="11">
        <v>34</v>
      </c>
      <c r="O373" t="s" s="11">
        <v>34</v>
      </c>
      <c r="P373" t="s" s="11">
        <v>34</v>
      </c>
      <c r="Q373" t="s" s="11">
        <v>34</v>
      </c>
      <c r="R373" t="s" s="11">
        <v>34</v>
      </c>
      <c r="S373" t="s" s="11">
        <v>34</v>
      </c>
      <c r="T373" t="s" s="13">
        <v>34</v>
      </c>
      <c r="U373" t="s" s="11">
        <v>34</v>
      </c>
      <c r="V373" t="s" s="13">
        <v>34</v>
      </c>
      <c r="W373" t="s" s="11">
        <v>3297</v>
      </c>
      <c r="X373" s="17">
        <f>HYPERLINK("https://my.pitchbook.com?p=14099-05P", "View People Online")</f>
      </c>
    </row>
    <row r="374">
      <c r="A374" t="s" s="10">
        <v>3298</v>
      </c>
      <c r="B374" t="s" s="10">
        <v>3299</v>
      </c>
      <c r="C374" t="s" s="10">
        <v>34</v>
      </c>
      <c r="D374" t="s" s="10">
        <v>3300</v>
      </c>
      <c r="E374" t="s" s="10">
        <v>3066</v>
      </c>
      <c r="F374" t="s" s="10">
        <v>3301</v>
      </c>
      <c r="G374" t="s" s="10">
        <v>141</v>
      </c>
      <c r="H374" s="16">
        <f>HYPERLINK("http://www.ritcap.com", "www.ritcap.com")</f>
      </c>
      <c r="I374" t="s" s="10">
        <v>3303</v>
      </c>
      <c r="J374" s="24">
        <v>2</v>
      </c>
      <c r="K374" s="24">
        <v>4</v>
      </c>
      <c r="L374" s="24">
        <v>2</v>
      </c>
      <c r="M374" t="s" s="12">
        <v>1827</v>
      </c>
      <c r="N374" t="s" s="10">
        <v>34</v>
      </c>
      <c r="O374" t="s" s="10">
        <v>43</v>
      </c>
      <c r="P374" t="s" s="10">
        <v>1829</v>
      </c>
      <c r="Q374" t="s" s="10">
        <v>1830</v>
      </c>
      <c r="R374" t="s" s="10">
        <v>46</v>
      </c>
      <c r="S374" t="s" s="10">
        <v>47</v>
      </c>
      <c r="T374" t="s" s="12">
        <v>1831</v>
      </c>
      <c r="U374" t="s" s="10">
        <v>49</v>
      </c>
      <c r="V374" t="s" s="12">
        <v>34</v>
      </c>
      <c r="W374" t="s" s="10">
        <v>3304</v>
      </c>
      <c r="X374" s="16">
        <f>HYPERLINK("https://my.pitchbook.com?p=16930-18P", "View People Online")</f>
      </c>
    </row>
    <row r="375">
      <c r="A375" t="s" s="11">
        <v>3305</v>
      </c>
      <c r="B375" t="s" s="11">
        <v>3306</v>
      </c>
      <c r="C375" t="s" s="11">
        <v>34</v>
      </c>
      <c r="D375" t="s" s="11">
        <v>3307</v>
      </c>
      <c r="E375" t="s" s="11">
        <v>3066</v>
      </c>
      <c r="F375" t="s" s="11">
        <v>310</v>
      </c>
      <c r="G375" t="s" s="11">
        <v>640</v>
      </c>
      <c r="H375" s="17">
        <f>HYPERLINK("http://www.chugach.com", "www.chugach.com")</f>
      </c>
      <c r="I375" t="s" s="11">
        <v>3309</v>
      </c>
      <c r="J375" s="25">
        <v>1</v>
      </c>
      <c r="K375" s="25">
        <v>1</v>
      </c>
      <c r="L375" t="s" s="25">
        <v>34</v>
      </c>
      <c r="M375" t="s" s="13">
        <v>3310</v>
      </c>
      <c r="N375" t="s" s="11">
        <v>34</v>
      </c>
      <c r="O375" t="s" s="11">
        <v>3311</v>
      </c>
      <c r="P375" t="s" s="11">
        <v>3312</v>
      </c>
      <c r="Q375" t="s" s="11">
        <v>3313</v>
      </c>
      <c r="R375" t="s" s="11">
        <v>3314</v>
      </c>
      <c r="S375" t="s" s="11">
        <v>3315</v>
      </c>
      <c r="T375" t="s" s="13">
        <v>3316</v>
      </c>
      <c r="U375" t="s" s="11">
        <v>88</v>
      </c>
      <c r="V375" t="s" s="13">
        <v>3317</v>
      </c>
      <c r="W375" t="s" s="11">
        <v>3318</v>
      </c>
      <c r="X375" s="17">
        <f>HYPERLINK("https://my.pitchbook.com?p=448379-20P", "View People Online")</f>
      </c>
    </row>
    <row r="376">
      <c r="A376" t="s" s="10">
        <v>3319</v>
      </c>
      <c r="B376" t="s" s="10">
        <v>3320</v>
      </c>
      <c r="C376" t="s" s="10">
        <v>34</v>
      </c>
      <c r="D376" t="s" s="10">
        <v>3285</v>
      </c>
      <c r="E376" t="s" s="10">
        <v>3066</v>
      </c>
      <c r="F376" t="s" s="10">
        <v>3321</v>
      </c>
      <c r="G376" t="s" s="10">
        <v>3322</v>
      </c>
      <c r="H376" s="16">
        <f>HYPERLINK("http://www.aradacp.com", "www.aradacp.com")</f>
      </c>
      <c r="I376" t="s" s="10">
        <v>3323</v>
      </c>
      <c r="J376" t="s" s="24">
        <v>34</v>
      </c>
      <c r="K376" s="24">
        <v>1</v>
      </c>
      <c r="L376" t="s" s="24">
        <v>34</v>
      </c>
      <c r="M376" t="s" s="12">
        <v>34</v>
      </c>
      <c r="N376" t="s" s="10">
        <v>34</v>
      </c>
      <c r="O376" t="s" s="10">
        <v>1101</v>
      </c>
      <c r="P376" t="s" s="10">
        <v>3290</v>
      </c>
      <c r="Q376" t="s" s="10">
        <v>34</v>
      </c>
      <c r="R376" t="s" s="10">
        <v>1103</v>
      </c>
      <c r="S376" t="s" s="10">
        <v>34</v>
      </c>
      <c r="T376" t="s" s="12">
        <v>1104</v>
      </c>
      <c r="U376" t="s" s="10">
        <v>1105</v>
      </c>
      <c r="V376" t="s" s="12">
        <v>34</v>
      </c>
      <c r="W376" t="s" s="10">
        <v>3324</v>
      </c>
      <c r="X376" s="16">
        <f>HYPERLINK("https://my.pitchbook.com?p=324912-70P", "View People Online")</f>
      </c>
    </row>
    <row r="377">
      <c r="A377" t="s" s="11">
        <v>3325</v>
      </c>
      <c r="B377" t="s" s="11">
        <v>3326</v>
      </c>
      <c r="C377" t="s" s="11">
        <v>34</v>
      </c>
      <c r="D377" t="s" s="11">
        <v>3327</v>
      </c>
      <c r="E377" t="s" s="11">
        <v>3066</v>
      </c>
      <c r="F377" t="s" s="11">
        <v>3328</v>
      </c>
      <c r="G377" t="s" s="11">
        <v>3329</v>
      </c>
      <c r="H377" s="17">
        <f>HYPERLINK("http://www.motionequitypartners.com", "www.motionequitypartners.com")</f>
      </c>
      <c r="I377" t="s" s="11">
        <v>111</v>
      </c>
      <c r="J377" t="s" s="25">
        <v>34</v>
      </c>
      <c r="K377" t="s" s="25">
        <v>34</v>
      </c>
      <c r="L377" t="s" s="25">
        <v>34</v>
      </c>
      <c r="M377" t="s" s="13">
        <v>34</v>
      </c>
      <c r="N377" t="s" s="11">
        <v>34</v>
      </c>
      <c r="O377" t="s" s="11">
        <v>34</v>
      </c>
      <c r="P377" t="s" s="11">
        <v>34</v>
      </c>
      <c r="Q377" t="s" s="11">
        <v>34</v>
      </c>
      <c r="R377" t="s" s="11">
        <v>34</v>
      </c>
      <c r="S377" t="s" s="11">
        <v>34</v>
      </c>
      <c r="T377" t="s" s="13">
        <v>34</v>
      </c>
      <c r="U377" t="s" s="11">
        <v>34</v>
      </c>
      <c r="V377" t="s" s="13">
        <v>34</v>
      </c>
      <c r="W377" t="s" s="11">
        <v>3331</v>
      </c>
      <c r="X377" s="17">
        <f>HYPERLINK("https://my.pitchbook.com?p=13166-38P", "View People Online")</f>
      </c>
    </row>
    <row r="378">
      <c r="A378" t="s" s="10">
        <v>3332</v>
      </c>
      <c r="B378" t="s" s="10">
        <v>3333</v>
      </c>
      <c r="C378" t="s" s="10">
        <v>34</v>
      </c>
      <c r="D378" t="s" s="10">
        <v>3334</v>
      </c>
      <c r="E378" t="s" s="10">
        <v>3066</v>
      </c>
      <c r="F378" t="s" s="10">
        <v>3335</v>
      </c>
      <c r="G378" t="s" s="10">
        <v>3336</v>
      </c>
      <c r="H378" s="16">
        <f>HYPERLINK("http://www.newspace.capital", "www.newspace.capital")</f>
      </c>
      <c r="I378" t="s" s="10">
        <v>649</v>
      </c>
      <c r="J378" s="24">
        <v>1</v>
      </c>
      <c r="K378" s="24">
        <v>1</v>
      </c>
      <c r="L378" t="s" s="24">
        <v>34</v>
      </c>
      <c r="M378" t="s" s="12">
        <v>3338</v>
      </c>
      <c r="N378" t="s" s="10">
        <v>34</v>
      </c>
      <c r="O378" t="s" s="10">
        <v>3339</v>
      </c>
      <c r="P378" t="s" s="10">
        <v>3340</v>
      </c>
      <c r="Q378" t="s" s="10">
        <v>34</v>
      </c>
      <c r="R378" t="s" s="10">
        <v>3341</v>
      </c>
      <c r="S378" t="s" s="10">
        <v>34</v>
      </c>
      <c r="T378" t="s" s="12">
        <v>3342</v>
      </c>
      <c r="U378" t="s" s="10">
        <v>3341</v>
      </c>
      <c r="V378" t="s" s="12">
        <v>34</v>
      </c>
      <c r="W378" t="s" s="10">
        <v>3343</v>
      </c>
      <c r="X378" s="16">
        <f>HYPERLINK("https://my.pitchbook.com?p=55865-35P", "View People Online")</f>
      </c>
    </row>
    <row r="379">
      <c r="A379" t="s" s="11">
        <v>3344</v>
      </c>
      <c r="B379" t="s" s="11">
        <v>3345</v>
      </c>
      <c r="C379" t="s" s="11">
        <v>34</v>
      </c>
      <c r="D379" t="s" s="11">
        <v>3246</v>
      </c>
      <c r="E379" t="s" s="11">
        <v>3066</v>
      </c>
      <c r="F379" t="s" s="11">
        <v>3346</v>
      </c>
      <c r="G379" t="s" s="11">
        <v>3347</v>
      </c>
      <c r="H379" s="17">
        <f>HYPERLINK("http://www.lgroup.com", "www.lgroup.com")</f>
      </c>
      <c r="I379" t="s" s="11">
        <v>3348</v>
      </c>
      <c r="J379" s="25">
        <v>2</v>
      </c>
      <c r="K379" s="25">
        <v>6</v>
      </c>
      <c r="L379" s="25">
        <v>2</v>
      </c>
      <c r="M379" t="s" s="13">
        <v>3349</v>
      </c>
      <c r="N379" t="s" s="11">
        <v>3350</v>
      </c>
      <c r="O379" t="s" s="11">
        <v>2468</v>
      </c>
      <c r="P379" t="s" s="11">
        <v>3252</v>
      </c>
      <c r="Q379" t="s" s="11">
        <v>34</v>
      </c>
      <c r="R379" t="s" s="11">
        <v>2470</v>
      </c>
      <c r="S379" t="s" s="11">
        <v>2470</v>
      </c>
      <c r="T379" t="s" s="13">
        <v>2651</v>
      </c>
      <c r="U379" t="s" s="11">
        <v>2471</v>
      </c>
      <c r="V379" t="s" s="13">
        <v>34</v>
      </c>
      <c r="W379" t="s" s="11">
        <v>3351</v>
      </c>
      <c r="X379" s="17">
        <f>HYPERLINK("https://my.pitchbook.com?p=266864-05P", "View People Online")</f>
      </c>
    </row>
    <row r="380">
      <c r="A380" t="s" s="10">
        <v>3352</v>
      </c>
      <c r="B380" t="s" s="10">
        <v>3353</v>
      </c>
      <c r="C380" t="s" s="10">
        <v>34</v>
      </c>
      <c r="D380" t="s" s="10">
        <v>3354</v>
      </c>
      <c r="E380" t="s" s="10">
        <v>3066</v>
      </c>
      <c r="F380" t="s" s="10">
        <v>3355</v>
      </c>
      <c r="G380" t="s" s="10">
        <v>1477</v>
      </c>
      <c r="H380" s="16">
        <f>HYPERLINK("http://www.sherpacapital.es", "www.sherpacapital.es")</f>
      </c>
      <c r="I380" t="s" s="10">
        <v>3357</v>
      </c>
      <c r="J380" t="s" s="24">
        <v>34</v>
      </c>
      <c r="K380" s="24">
        <v>6</v>
      </c>
      <c r="L380" s="24">
        <v>3</v>
      </c>
      <c r="M380" t="s" s="12">
        <v>3358</v>
      </c>
      <c r="N380" t="s" s="10">
        <v>3359</v>
      </c>
      <c r="O380" t="s" s="10">
        <v>1101</v>
      </c>
      <c r="P380" t="s" s="10">
        <v>3360</v>
      </c>
      <c r="Q380" t="s" s="10">
        <v>3361</v>
      </c>
      <c r="R380" t="s" s="10">
        <v>1103</v>
      </c>
      <c r="S380" t="s" s="10">
        <v>34</v>
      </c>
      <c r="T380" t="s" s="12">
        <v>1104</v>
      </c>
      <c r="U380" t="s" s="10">
        <v>1105</v>
      </c>
      <c r="V380" t="s" s="12">
        <v>34</v>
      </c>
      <c r="W380" t="s" s="10">
        <v>3362</v>
      </c>
      <c r="X380" s="16">
        <f>HYPERLINK("https://my.pitchbook.com?p=308427-49P", "View People Online")</f>
      </c>
    </row>
    <row r="381">
      <c r="A381" t="s" s="11">
        <v>3363</v>
      </c>
      <c r="B381" t="s" s="11">
        <v>3364</v>
      </c>
      <c r="C381" t="s" s="11">
        <v>34</v>
      </c>
      <c r="D381" t="s" s="11">
        <v>3365</v>
      </c>
      <c r="E381" t="s" s="11">
        <v>3066</v>
      </c>
      <c r="F381" t="s" s="11">
        <v>1558</v>
      </c>
      <c r="G381" t="s" s="11">
        <v>3366</v>
      </c>
      <c r="H381" s="17">
        <f>HYPERLINK("http://www.asiabridgecapital.com", "www.asiabridgecapital.com")</f>
      </c>
      <c r="I381" t="s" s="11">
        <v>950</v>
      </c>
      <c r="J381" t="s" s="25">
        <v>34</v>
      </c>
      <c r="K381" t="s" s="25">
        <v>34</v>
      </c>
      <c r="L381" t="s" s="25">
        <v>34</v>
      </c>
      <c r="M381" t="s" s="13">
        <v>34</v>
      </c>
      <c r="N381" t="s" s="11">
        <v>34</v>
      </c>
      <c r="O381" t="s" s="11">
        <v>34</v>
      </c>
      <c r="P381" t="s" s="11">
        <v>34</v>
      </c>
      <c r="Q381" t="s" s="11">
        <v>34</v>
      </c>
      <c r="R381" t="s" s="11">
        <v>34</v>
      </c>
      <c r="S381" t="s" s="11">
        <v>34</v>
      </c>
      <c r="T381" t="s" s="13">
        <v>34</v>
      </c>
      <c r="U381" t="s" s="11">
        <v>34</v>
      </c>
      <c r="V381" t="s" s="13">
        <v>34</v>
      </c>
      <c r="W381" t="s" s="11">
        <v>3368</v>
      </c>
      <c r="X381" s="17">
        <f>HYPERLINK("https://my.pitchbook.com?p=79362-10P", "View People Online")</f>
      </c>
    </row>
    <row r="382">
      <c r="A382" t="s" s="10">
        <v>3369</v>
      </c>
      <c r="B382" t="s" s="10">
        <v>3370</v>
      </c>
      <c r="C382" t="s" s="10">
        <v>34</v>
      </c>
      <c r="D382" t="s" s="10">
        <v>3079</v>
      </c>
      <c r="E382" t="s" s="10">
        <v>3066</v>
      </c>
      <c r="F382" t="s" s="10">
        <v>3371</v>
      </c>
      <c r="G382" t="s" s="10">
        <v>1020</v>
      </c>
      <c r="H382" s="16">
        <f>HYPERLINK("http://kingdom.com.sa", "kingdom.com.sa")</f>
      </c>
      <c r="I382" t="s" s="10">
        <v>3372</v>
      </c>
      <c r="J382" t="s" s="24">
        <v>34</v>
      </c>
      <c r="K382" t="s" s="24">
        <v>34</v>
      </c>
      <c r="L382" t="s" s="24">
        <v>34</v>
      </c>
      <c r="M382" t="s" s="12">
        <v>34</v>
      </c>
      <c r="N382" t="s" s="10">
        <v>34</v>
      </c>
      <c r="O382" t="s" s="10">
        <v>34</v>
      </c>
      <c r="P382" t="s" s="10">
        <v>34</v>
      </c>
      <c r="Q382" t="s" s="10">
        <v>34</v>
      </c>
      <c r="R382" t="s" s="10">
        <v>34</v>
      </c>
      <c r="S382" t="s" s="10">
        <v>34</v>
      </c>
      <c r="T382" t="s" s="12">
        <v>34</v>
      </c>
      <c r="U382" t="s" s="10">
        <v>34</v>
      </c>
      <c r="V382" t="s" s="12">
        <v>34</v>
      </c>
      <c r="W382" t="s" s="10">
        <v>3373</v>
      </c>
      <c r="X382" s="16">
        <f>HYPERLINK("https://my.pitchbook.com?p=166029-94P", "View People Online")</f>
      </c>
    </row>
    <row r="383">
      <c r="A383" t="s" s="11">
        <v>3374</v>
      </c>
      <c r="B383" t="s" s="11">
        <v>3375</v>
      </c>
      <c r="C383" t="s" s="11">
        <v>34</v>
      </c>
      <c r="D383" t="s" s="11">
        <v>3065</v>
      </c>
      <c r="E383" t="s" s="11">
        <v>3066</v>
      </c>
      <c r="F383" t="s" s="11">
        <v>3376</v>
      </c>
      <c r="G383" t="s" s="11">
        <v>3377</v>
      </c>
      <c r="H383" s="17">
        <f>HYPERLINK("http://kingdom.com.sa", "kingdom.com.sa")</f>
      </c>
      <c r="I383" t="s" s="11">
        <v>3378</v>
      </c>
      <c r="J383" s="25">
        <v>1</v>
      </c>
      <c r="K383" s="25">
        <v>3</v>
      </c>
      <c r="L383" s="25">
        <v>1</v>
      </c>
      <c r="M383" t="s" s="13">
        <v>3070</v>
      </c>
      <c r="N383" t="s" s="11">
        <v>34</v>
      </c>
      <c r="O383" t="s" s="11">
        <v>3071</v>
      </c>
      <c r="P383" t="s" s="11">
        <v>34</v>
      </c>
      <c r="Q383" t="s" s="11">
        <v>34</v>
      </c>
      <c r="R383" t="s" s="11">
        <v>3072</v>
      </c>
      <c r="S383" t="s" s="11">
        <v>34</v>
      </c>
      <c r="T383" t="s" s="13">
        <v>3073</v>
      </c>
      <c r="U383" t="s" s="11">
        <v>3074</v>
      </c>
      <c r="V383" t="s" s="13">
        <v>3075</v>
      </c>
      <c r="W383" t="s" s="11">
        <v>3379</v>
      </c>
      <c r="X383" s="17">
        <f>HYPERLINK("https://my.pitchbook.com?p=241959-88P", "View People Online")</f>
      </c>
    </row>
    <row r="384">
      <c r="A384" t="s" s="10">
        <v>3380</v>
      </c>
      <c r="B384" t="s" s="10">
        <v>3381</v>
      </c>
      <c r="C384" t="s" s="10">
        <v>34</v>
      </c>
      <c r="D384" t="s" s="10">
        <v>3382</v>
      </c>
      <c r="E384" t="s" s="10">
        <v>3066</v>
      </c>
      <c r="F384" t="s" s="10">
        <v>3383</v>
      </c>
      <c r="G384" t="s" s="10">
        <v>3384</v>
      </c>
      <c r="H384" s="16">
        <f>HYPERLINK("http://www.chimerainvestment.com", "www.chimerainvestment.com")</f>
      </c>
      <c r="I384" t="s" s="10">
        <v>3385</v>
      </c>
      <c r="J384" t="s" s="24">
        <v>34</v>
      </c>
      <c r="K384" s="24">
        <v>1</v>
      </c>
      <c r="L384" t="s" s="24">
        <v>34</v>
      </c>
      <c r="M384" t="s" s="12">
        <v>3386</v>
      </c>
      <c r="N384" t="s" s="10">
        <v>3387</v>
      </c>
      <c r="O384" t="s" s="10">
        <v>385</v>
      </c>
      <c r="P384" t="s" s="10">
        <v>3388</v>
      </c>
      <c r="Q384" t="s" s="10">
        <v>3389</v>
      </c>
      <c r="R384" t="s" s="10">
        <v>388</v>
      </c>
      <c r="S384" t="s" s="10">
        <v>34</v>
      </c>
      <c r="T384" t="s" s="12">
        <v>34</v>
      </c>
      <c r="U384" t="s" s="10">
        <v>240</v>
      </c>
      <c r="V384" t="s" s="12">
        <v>34</v>
      </c>
      <c r="W384" t="s" s="10">
        <v>3390</v>
      </c>
      <c r="X384" s="16">
        <f>HYPERLINK("https://my.pitchbook.com?p=418496-95P", "View People Online")</f>
      </c>
    </row>
    <row r="385">
      <c r="A385" t="s" s="11">
        <v>3391</v>
      </c>
      <c r="B385" t="s" s="11">
        <v>3392</v>
      </c>
      <c r="C385" t="s" s="11">
        <v>34</v>
      </c>
      <c r="D385" t="s" s="11">
        <v>3285</v>
      </c>
      <c r="E385" t="s" s="11">
        <v>3066</v>
      </c>
      <c r="F385" t="s" s="11">
        <v>3393</v>
      </c>
      <c r="G385" t="s" s="11">
        <v>1744</v>
      </c>
      <c r="H385" s="17">
        <f>HYPERLINK("http://www.aradacp.com", "www.aradacp.com")</f>
      </c>
      <c r="I385" t="s" s="11">
        <v>3394</v>
      </c>
      <c r="J385" t="s" s="25">
        <v>34</v>
      </c>
      <c r="K385" s="25">
        <v>4</v>
      </c>
      <c r="L385" s="25">
        <v>2</v>
      </c>
      <c r="M385" t="s" s="13">
        <v>34</v>
      </c>
      <c r="N385" t="s" s="11">
        <v>34</v>
      </c>
      <c r="O385" t="s" s="11">
        <v>1101</v>
      </c>
      <c r="P385" t="s" s="11">
        <v>3290</v>
      </c>
      <c r="Q385" t="s" s="11">
        <v>34</v>
      </c>
      <c r="R385" t="s" s="11">
        <v>1103</v>
      </c>
      <c r="S385" t="s" s="11">
        <v>34</v>
      </c>
      <c r="T385" t="s" s="13">
        <v>1104</v>
      </c>
      <c r="U385" t="s" s="11">
        <v>1105</v>
      </c>
      <c r="V385" t="s" s="13">
        <v>34</v>
      </c>
      <c r="W385" t="s" s="11">
        <v>3395</v>
      </c>
      <c r="X385" s="17">
        <f>HYPERLINK("https://my.pitchbook.com?p=51642-82P", "View People Online")</f>
      </c>
    </row>
    <row r="386">
      <c r="A386" t="s" s="10">
        <v>3396</v>
      </c>
      <c r="B386" t="s" s="10">
        <v>3397</v>
      </c>
      <c r="C386" t="s" s="10">
        <v>34</v>
      </c>
      <c r="D386" t="s" s="10">
        <v>3092</v>
      </c>
      <c r="E386" t="s" s="10">
        <v>3066</v>
      </c>
      <c r="F386" t="s" s="10">
        <v>3398</v>
      </c>
      <c r="G386" t="s" s="10">
        <v>3399</v>
      </c>
      <c r="H386" s="16">
        <f>HYPERLINK("http://www.chimerainvestment.com", "www.chimerainvestment.com")</f>
      </c>
      <c r="I386" t="s" s="10">
        <v>255</v>
      </c>
      <c r="J386" t="s" s="24">
        <v>34</v>
      </c>
      <c r="K386" t="s" s="24">
        <v>34</v>
      </c>
      <c r="L386" t="s" s="24">
        <v>34</v>
      </c>
      <c r="M386" t="s" s="12">
        <v>34</v>
      </c>
      <c r="N386" t="s" s="10">
        <v>34</v>
      </c>
      <c r="O386" t="s" s="10">
        <v>34</v>
      </c>
      <c r="P386" t="s" s="10">
        <v>34</v>
      </c>
      <c r="Q386" t="s" s="10">
        <v>34</v>
      </c>
      <c r="R386" t="s" s="10">
        <v>34</v>
      </c>
      <c r="S386" t="s" s="10">
        <v>34</v>
      </c>
      <c r="T386" t="s" s="12">
        <v>34</v>
      </c>
      <c r="U386" t="s" s="10">
        <v>34</v>
      </c>
      <c r="V386" t="s" s="12">
        <v>34</v>
      </c>
      <c r="W386" t="s" s="10">
        <v>3400</v>
      </c>
      <c r="X386" s="16">
        <f>HYPERLINK("https://my.pitchbook.com?p=243412-21P", "View People Online")</f>
      </c>
    </row>
    <row r="387">
      <c r="A387" t="s" s="11">
        <v>3401</v>
      </c>
      <c r="B387" t="s" s="11">
        <v>3402</v>
      </c>
      <c r="C387" t="s" s="11">
        <v>34</v>
      </c>
      <c r="D387" t="s" s="11">
        <v>3403</v>
      </c>
      <c r="E387" t="s" s="11">
        <v>3066</v>
      </c>
      <c r="F387" t="s" s="11">
        <v>3404</v>
      </c>
      <c r="G387" t="s" s="11">
        <v>3405</v>
      </c>
      <c r="H387" s="17">
        <f>HYPERLINK("http://www.nchcapital.com", "www.nchcapital.com")</f>
      </c>
      <c r="I387" t="s" s="11">
        <v>3407</v>
      </c>
      <c r="J387" t="s" s="25">
        <v>34</v>
      </c>
      <c r="K387" s="25">
        <v>1</v>
      </c>
      <c r="L387" t="s" s="25">
        <v>34</v>
      </c>
      <c r="M387" t="s" s="13">
        <v>3408</v>
      </c>
      <c r="N387" t="s" s="11">
        <v>34</v>
      </c>
      <c r="O387" t="s" s="11">
        <v>3409</v>
      </c>
      <c r="P387" t="s" s="11">
        <v>3410</v>
      </c>
      <c r="Q387" t="s" s="11">
        <v>1847</v>
      </c>
      <c r="R387" t="s" s="11">
        <v>3411</v>
      </c>
      <c r="S387" t="s" s="11">
        <v>34</v>
      </c>
      <c r="T387" t="s" s="13">
        <v>3412</v>
      </c>
      <c r="U387" t="s" s="11">
        <v>3413</v>
      </c>
      <c r="V387" t="s" s="13">
        <v>3408</v>
      </c>
      <c r="W387" t="s" s="11">
        <v>3414</v>
      </c>
      <c r="X387" s="17">
        <f>HYPERLINK("https://my.pitchbook.com?p=108879-22P", "View People Online")</f>
      </c>
    </row>
    <row r="388">
      <c r="A388" t="s" s="10">
        <v>3415</v>
      </c>
      <c r="B388" t="s" s="10">
        <v>3416</v>
      </c>
      <c r="C388" t="s" s="10">
        <v>34</v>
      </c>
      <c r="D388" t="s" s="10">
        <v>3417</v>
      </c>
      <c r="E388" t="s" s="10">
        <v>3066</v>
      </c>
      <c r="F388" t="s" s="10">
        <v>3418</v>
      </c>
      <c r="G388" t="s" s="10">
        <v>1564</v>
      </c>
      <c r="H388" s="16">
        <f>HYPERLINK("http://www.highpost.com", "www.highpost.com")</f>
      </c>
      <c r="I388" t="s" s="10">
        <v>3420</v>
      </c>
      <c r="J388" s="24">
        <v>2</v>
      </c>
      <c r="K388" s="24">
        <v>10</v>
      </c>
      <c r="L388" s="24">
        <v>2</v>
      </c>
      <c r="M388" t="s" s="12">
        <v>34</v>
      </c>
      <c r="N388" t="s" s="10">
        <v>3421</v>
      </c>
      <c r="O388" t="s" s="10">
        <v>84</v>
      </c>
      <c r="P388" t="s" s="10">
        <v>3422</v>
      </c>
      <c r="Q388" t="s" s="10">
        <v>3423</v>
      </c>
      <c r="R388" t="s" s="10">
        <v>86</v>
      </c>
      <c r="S388" t="s" s="10">
        <v>86</v>
      </c>
      <c r="T388" t="s" s="12">
        <v>2495</v>
      </c>
      <c r="U388" t="s" s="10">
        <v>88</v>
      </c>
      <c r="V388" t="s" s="12">
        <v>34</v>
      </c>
      <c r="W388" t="s" s="10">
        <v>3424</v>
      </c>
      <c r="X388" s="16">
        <f>HYPERLINK("https://my.pitchbook.com?p=257432-59P", "View People Online")</f>
      </c>
    </row>
    <row r="389">
      <c r="A389" t="s" s="11">
        <v>3425</v>
      </c>
      <c r="B389" t="s" s="11">
        <v>3426</v>
      </c>
      <c r="C389" t="s" s="11">
        <v>34</v>
      </c>
      <c r="D389" t="s" s="11">
        <v>3262</v>
      </c>
      <c r="E389" t="s" s="11">
        <v>3066</v>
      </c>
      <c r="F389" t="s" s="11">
        <v>3427</v>
      </c>
      <c r="G389" t="s" s="11">
        <v>3428</v>
      </c>
      <c r="H389" s="17">
        <f>HYPERLINK("http://www.almada.ma", "www.almada.ma")</f>
      </c>
      <c r="I389" t="s" s="11">
        <v>1174</v>
      </c>
      <c r="J389" t="s" s="25">
        <v>34</v>
      </c>
      <c r="K389" s="25">
        <v>1</v>
      </c>
      <c r="L389" t="s" s="25">
        <v>34</v>
      </c>
      <c r="M389" t="s" s="13">
        <v>3266</v>
      </c>
      <c r="N389" t="s" s="11">
        <v>3429</v>
      </c>
      <c r="O389" t="s" s="11">
        <v>2949</v>
      </c>
      <c r="P389" t="s" s="11">
        <v>3268</v>
      </c>
      <c r="Q389" t="s" s="11">
        <v>34</v>
      </c>
      <c r="R389" t="s" s="11">
        <v>2951</v>
      </c>
      <c r="S389" t="s" s="11">
        <v>34</v>
      </c>
      <c r="T389" t="s" s="13">
        <v>3269</v>
      </c>
      <c r="U389" t="s" s="11">
        <v>2952</v>
      </c>
      <c r="V389" t="s" s="13">
        <v>34</v>
      </c>
      <c r="W389" t="s" s="11">
        <v>3430</v>
      </c>
      <c r="X389" s="17">
        <f>HYPERLINK("https://my.pitchbook.com?p=291154-69P", "View People Online")</f>
      </c>
    </row>
    <row r="390">
      <c r="A390" t="s" s="10">
        <v>3431</v>
      </c>
      <c r="B390" t="s" s="10">
        <v>3432</v>
      </c>
      <c r="C390" t="s" s="10">
        <v>377</v>
      </c>
      <c r="D390" t="s" s="10">
        <v>3382</v>
      </c>
      <c r="E390" t="s" s="10">
        <v>3066</v>
      </c>
      <c r="F390" t="s" s="10">
        <v>3433</v>
      </c>
      <c r="G390" t="s" s="10">
        <v>3434</v>
      </c>
      <c r="H390" s="16">
        <f>HYPERLINK("http://www.chimerainvestment.com", "www.chimerainvestment.com")</f>
      </c>
      <c r="I390" t="s" s="10">
        <v>3435</v>
      </c>
      <c r="J390" s="24">
        <v>1</v>
      </c>
      <c r="K390" s="24">
        <v>8</v>
      </c>
      <c r="L390" s="24">
        <v>5</v>
      </c>
      <c r="M390" t="s" s="12">
        <v>3386</v>
      </c>
      <c r="N390" t="s" s="10">
        <v>34</v>
      </c>
      <c r="O390" t="s" s="10">
        <v>385</v>
      </c>
      <c r="P390" t="s" s="10">
        <v>3388</v>
      </c>
      <c r="Q390" t="s" s="10">
        <v>3389</v>
      </c>
      <c r="R390" t="s" s="10">
        <v>388</v>
      </c>
      <c r="S390" t="s" s="10">
        <v>34</v>
      </c>
      <c r="T390" t="s" s="12">
        <v>34</v>
      </c>
      <c r="U390" t="s" s="10">
        <v>240</v>
      </c>
      <c r="V390" t="s" s="12">
        <v>34</v>
      </c>
      <c r="W390" t="s" s="10">
        <v>3436</v>
      </c>
      <c r="X390" s="16">
        <f>HYPERLINK("https://my.pitchbook.com?p=343032-22P", "View People Online")</f>
      </c>
    </row>
    <row r="391">
      <c r="A391" t="s" s="11">
        <v>3437</v>
      </c>
      <c r="B391" t="s" s="11">
        <v>3438</v>
      </c>
      <c r="C391" t="s" s="11">
        <v>34</v>
      </c>
      <c r="D391" t="s" s="11">
        <v>3079</v>
      </c>
      <c r="E391" t="s" s="11">
        <v>3066</v>
      </c>
      <c r="F391" t="s" s="11">
        <v>3439</v>
      </c>
      <c r="G391" t="s" s="11">
        <v>721</v>
      </c>
      <c r="H391" s="17">
        <f>HYPERLINK("http://kingdom.com.sa", "kingdom.com.sa")</f>
      </c>
      <c r="I391" t="s" s="11">
        <v>234</v>
      </c>
      <c r="J391" t="s" s="25">
        <v>34</v>
      </c>
      <c r="K391" t="s" s="25">
        <v>34</v>
      </c>
      <c r="L391" t="s" s="25">
        <v>34</v>
      </c>
      <c r="M391" t="s" s="13">
        <v>34</v>
      </c>
      <c r="N391" t="s" s="11">
        <v>34</v>
      </c>
      <c r="O391" t="s" s="11">
        <v>34</v>
      </c>
      <c r="P391" t="s" s="11">
        <v>34</v>
      </c>
      <c r="Q391" t="s" s="11">
        <v>34</v>
      </c>
      <c r="R391" t="s" s="11">
        <v>34</v>
      </c>
      <c r="S391" t="s" s="11">
        <v>34</v>
      </c>
      <c r="T391" t="s" s="13">
        <v>34</v>
      </c>
      <c r="U391" t="s" s="11">
        <v>34</v>
      </c>
      <c r="V391" t="s" s="13">
        <v>34</v>
      </c>
      <c r="W391" t="s" s="11">
        <v>3440</v>
      </c>
      <c r="X391" s="17">
        <f>HYPERLINK("https://my.pitchbook.com?p=80417-89P", "View People Online")</f>
      </c>
    </row>
    <row r="392">
      <c r="A392" t="s" s="10">
        <v>3441</v>
      </c>
      <c r="B392" t="s" s="10">
        <v>3442</v>
      </c>
      <c r="C392" t="s" s="10">
        <v>34</v>
      </c>
      <c r="D392" t="s" s="10">
        <v>3443</v>
      </c>
      <c r="E392" t="s" s="10">
        <v>3066</v>
      </c>
      <c r="F392" t="s" s="10">
        <v>3444</v>
      </c>
      <c r="G392" t="s" s="10">
        <v>729</v>
      </c>
      <c r="H392" s="16">
        <f>HYPERLINK("http://www.mbiuae.com", "www.mbiuae.com")</f>
      </c>
      <c r="I392" t="s" s="10">
        <v>322</v>
      </c>
      <c r="J392" t="s" s="24">
        <v>34</v>
      </c>
      <c r="K392" s="24">
        <v>1</v>
      </c>
      <c r="L392" t="s" s="24">
        <v>34</v>
      </c>
      <c r="M392" t="s" s="12">
        <v>3446</v>
      </c>
      <c r="N392" t="s" s="10">
        <v>3447</v>
      </c>
      <c r="O392" t="s" s="10">
        <v>385</v>
      </c>
      <c r="P392" t="s" s="10">
        <v>3448</v>
      </c>
      <c r="Q392" t="s" s="10">
        <v>34</v>
      </c>
      <c r="R392" t="s" s="10">
        <v>388</v>
      </c>
      <c r="S392" t="s" s="10">
        <v>34</v>
      </c>
      <c r="T392" t="s" s="12">
        <v>34</v>
      </c>
      <c r="U392" t="s" s="10">
        <v>240</v>
      </c>
      <c r="V392" t="s" s="12">
        <v>3449</v>
      </c>
      <c r="W392" t="s" s="10">
        <v>3450</v>
      </c>
      <c r="X392" s="16">
        <f>HYPERLINK("https://my.pitchbook.com?p=258250-69P", "View People Online")</f>
      </c>
    </row>
    <row r="393">
      <c r="A393" t="s" s="11">
        <v>3451</v>
      </c>
      <c r="B393" t="s" s="11">
        <v>3452</v>
      </c>
      <c r="C393" t="s" s="11">
        <v>34</v>
      </c>
      <c r="D393" t="s" s="11">
        <v>3453</v>
      </c>
      <c r="E393" t="s" s="11">
        <v>3066</v>
      </c>
      <c r="F393" t="s" s="11">
        <v>3454</v>
      </c>
      <c r="G393" t="s" s="11">
        <v>3455</v>
      </c>
      <c r="H393" s="17">
        <f>HYPERLINK("http://www.lgroup.com", "www.lgroup.com")</f>
      </c>
      <c r="I393" t="s" s="11">
        <v>2180</v>
      </c>
      <c r="J393" t="s" s="25">
        <v>34</v>
      </c>
      <c r="K393" t="s" s="25">
        <v>34</v>
      </c>
      <c r="L393" t="s" s="25">
        <v>34</v>
      </c>
      <c r="M393" t="s" s="13">
        <v>34</v>
      </c>
      <c r="N393" t="s" s="11">
        <v>34</v>
      </c>
      <c r="O393" t="s" s="11">
        <v>34</v>
      </c>
      <c r="P393" t="s" s="11">
        <v>34</v>
      </c>
      <c r="Q393" t="s" s="11">
        <v>34</v>
      </c>
      <c r="R393" t="s" s="11">
        <v>34</v>
      </c>
      <c r="S393" t="s" s="11">
        <v>34</v>
      </c>
      <c r="T393" t="s" s="13">
        <v>34</v>
      </c>
      <c r="U393" t="s" s="11">
        <v>34</v>
      </c>
      <c r="V393" t="s" s="13">
        <v>34</v>
      </c>
      <c r="W393" t="s" s="11">
        <v>3456</v>
      </c>
      <c r="X393" s="17">
        <f>HYPERLINK("https://my.pitchbook.com?p=313468-93P", "View People Online")</f>
      </c>
    </row>
    <row r="394">
      <c r="A394" t="s" s="10">
        <v>3457</v>
      </c>
      <c r="B394" t="s" s="10">
        <v>3458</v>
      </c>
      <c r="C394" t="s" s="10">
        <v>34</v>
      </c>
      <c r="D394" t="s" s="10">
        <v>3065</v>
      </c>
      <c r="E394" t="s" s="10">
        <v>3066</v>
      </c>
      <c r="F394" t="s" s="10">
        <v>3459</v>
      </c>
      <c r="G394" t="s" s="10">
        <v>3460</v>
      </c>
      <c r="H394" s="16">
        <f>HYPERLINK("http://kingdom.com.sa", "kingdom.com.sa")</f>
      </c>
      <c r="I394" t="s" s="10">
        <v>3461</v>
      </c>
      <c r="J394" s="24">
        <v>1</v>
      </c>
      <c r="K394" s="24">
        <v>1</v>
      </c>
      <c r="L394" t="s" s="24">
        <v>34</v>
      </c>
      <c r="M394" t="s" s="12">
        <v>3070</v>
      </c>
      <c r="N394" t="s" s="10">
        <v>34</v>
      </c>
      <c r="O394" t="s" s="10">
        <v>3071</v>
      </c>
      <c r="P394" t="s" s="10">
        <v>34</v>
      </c>
      <c r="Q394" t="s" s="10">
        <v>34</v>
      </c>
      <c r="R394" t="s" s="10">
        <v>3072</v>
      </c>
      <c r="S394" t="s" s="10">
        <v>34</v>
      </c>
      <c r="T394" t="s" s="12">
        <v>3073</v>
      </c>
      <c r="U394" t="s" s="10">
        <v>3074</v>
      </c>
      <c r="V394" t="s" s="12">
        <v>3075</v>
      </c>
      <c r="W394" t="s" s="10">
        <v>3462</v>
      </c>
      <c r="X394" s="16">
        <f>HYPERLINK("https://my.pitchbook.com?p=399101-32P", "View People Online")</f>
      </c>
    </row>
    <row r="395">
      <c r="A395" t="s" s="11">
        <v>3463</v>
      </c>
      <c r="B395" t="s" s="11">
        <v>3464</v>
      </c>
      <c r="C395" t="s" s="11">
        <v>34</v>
      </c>
      <c r="D395" t="s" s="11">
        <v>3465</v>
      </c>
      <c r="E395" t="s" s="11">
        <v>3066</v>
      </c>
      <c r="F395" t="s" s="11">
        <v>3466</v>
      </c>
      <c r="G395" t="s" s="11">
        <v>1283</v>
      </c>
      <c r="H395" s="17">
        <f>HYPERLINK("http://qatariinvestors.com", "qatariinvestors.com")</f>
      </c>
      <c r="I395" t="s" s="11">
        <v>2321</v>
      </c>
      <c r="J395" s="25">
        <v>1</v>
      </c>
      <c r="K395" s="25">
        <v>1</v>
      </c>
      <c r="L395" t="s" s="25">
        <v>34</v>
      </c>
      <c r="M395" t="s" s="13">
        <v>3468</v>
      </c>
      <c r="N395" t="s" s="11">
        <v>34</v>
      </c>
      <c r="O395" t="s" s="11">
        <v>59</v>
      </c>
      <c r="P395" t="s" s="11">
        <v>3469</v>
      </c>
      <c r="Q395" t="s" s="11">
        <v>3470</v>
      </c>
      <c r="R395" t="s" s="11">
        <v>62</v>
      </c>
      <c r="S395" t="s" s="11">
        <v>34</v>
      </c>
      <c r="T395" t="s" s="13">
        <v>34</v>
      </c>
      <c r="U395" t="s" s="11">
        <v>64</v>
      </c>
      <c r="V395" t="s" s="13">
        <v>3471</v>
      </c>
      <c r="W395" t="s" s="11">
        <v>3472</v>
      </c>
      <c r="X395" s="17">
        <f>HYPERLINK("https://my.pitchbook.com?p=405175-33P", "View People Online")</f>
      </c>
    </row>
    <row r="396">
      <c r="A396" t="s" s="10">
        <v>3473</v>
      </c>
      <c r="B396" t="s" s="10">
        <v>3474</v>
      </c>
      <c r="C396" t="s" s="10">
        <v>34</v>
      </c>
      <c r="D396" t="s" s="10">
        <v>3475</v>
      </c>
      <c r="E396" t="s" s="10">
        <v>3066</v>
      </c>
      <c r="F396" t="s" s="10">
        <v>3476</v>
      </c>
      <c r="G396" t="s" s="10">
        <v>2541</v>
      </c>
      <c r="H396" s="16">
        <f>HYPERLINK("http://www.tlgcapital.com", "www.tlgcapital.com")</f>
      </c>
      <c r="I396" t="s" s="10">
        <v>3478</v>
      </c>
      <c r="J396" t="s" s="24">
        <v>34</v>
      </c>
      <c r="K396" t="s" s="24">
        <v>34</v>
      </c>
      <c r="L396" t="s" s="24">
        <v>34</v>
      </c>
      <c r="M396" t="s" s="12">
        <v>34</v>
      </c>
      <c r="N396" t="s" s="10">
        <v>34</v>
      </c>
      <c r="O396" t="s" s="10">
        <v>34</v>
      </c>
      <c r="P396" t="s" s="10">
        <v>34</v>
      </c>
      <c r="Q396" t="s" s="10">
        <v>34</v>
      </c>
      <c r="R396" t="s" s="10">
        <v>34</v>
      </c>
      <c r="S396" t="s" s="10">
        <v>34</v>
      </c>
      <c r="T396" t="s" s="12">
        <v>34</v>
      </c>
      <c r="U396" t="s" s="10">
        <v>34</v>
      </c>
      <c r="V396" t="s" s="12">
        <v>34</v>
      </c>
      <c r="W396" t="s" s="10">
        <v>3479</v>
      </c>
      <c r="X396" s="16">
        <f>HYPERLINK("https://my.pitchbook.com?p=67975-93P", "View People Online")</f>
      </c>
    </row>
    <row r="397">
      <c r="A397" t="s" s="11">
        <v>3480</v>
      </c>
      <c r="B397" t="s" s="11">
        <v>3481</v>
      </c>
      <c r="C397" t="s" s="11">
        <v>34</v>
      </c>
      <c r="D397" t="s" s="11">
        <v>3482</v>
      </c>
      <c r="E397" t="s" s="11">
        <v>3066</v>
      </c>
      <c r="F397" t="s" s="11">
        <v>934</v>
      </c>
      <c r="G397" t="s" s="11">
        <v>3483</v>
      </c>
      <c r="H397" s="17">
        <f>HYPERLINK("http://www.lonestarfunds.com", "www.lonestarfunds.com")</f>
      </c>
      <c r="I397" t="s" s="11">
        <v>3485</v>
      </c>
      <c r="J397" t="s" s="25">
        <v>34</v>
      </c>
      <c r="K397" s="25">
        <v>2</v>
      </c>
      <c r="L397" s="25">
        <v>1</v>
      </c>
      <c r="M397" t="s" s="13">
        <v>3486</v>
      </c>
      <c r="N397" t="s" s="11">
        <v>3487</v>
      </c>
      <c r="O397" t="s" s="11">
        <v>43</v>
      </c>
      <c r="P397" t="s" s="11">
        <v>3488</v>
      </c>
      <c r="Q397" t="s" s="11">
        <v>34</v>
      </c>
      <c r="R397" t="s" s="11">
        <v>46</v>
      </c>
      <c r="S397" t="s" s="11">
        <v>47</v>
      </c>
      <c r="T397" t="s" s="13">
        <v>3489</v>
      </c>
      <c r="U397" t="s" s="11">
        <v>49</v>
      </c>
      <c r="V397" t="s" s="13">
        <v>34</v>
      </c>
      <c r="W397" t="s" s="11">
        <v>3490</v>
      </c>
      <c r="X397" s="17">
        <f>HYPERLINK("https://my.pitchbook.com?p=284157-73P", "View People Online")</f>
      </c>
    </row>
    <row r="398">
      <c r="A398" t="s" s="10">
        <v>3491</v>
      </c>
      <c r="B398" t="s" s="10">
        <v>3492</v>
      </c>
      <c r="C398" t="s" s="10">
        <v>34</v>
      </c>
      <c r="D398" t="s" s="10">
        <v>3262</v>
      </c>
      <c r="E398" t="s" s="10">
        <v>3066</v>
      </c>
      <c r="F398" t="s" s="10">
        <v>3493</v>
      </c>
      <c r="G398" t="s" s="10">
        <v>789</v>
      </c>
      <c r="H398" s="16">
        <f>HYPERLINK("http://www.almada.ma", "www.almada.ma")</f>
      </c>
      <c r="I398" t="s" s="10">
        <v>369</v>
      </c>
      <c r="J398" t="s" s="24">
        <v>34</v>
      </c>
      <c r="K398" s="24">
        <v>7</v>
      </c>
      <c r="L398" s="24">
        <v>4</v>
      </c>
      <c r="M398" t="s" s="12">
        <v>3266</v>
      </c>
      <c r="N398" t="s" s="10">
        <v>3494</v>
      </c>
      <c r="O398" t="s" s="10">
        <v>2949</v>
      </c>
      <c r="P398" t="s" s="10">
        <v>3268</v>
      </c>
      <c r="Q398" t="s" s="10">
        <v>34</v>
      </c>
      <c r="R398" t="s" s="10">
        <v>2951</v>
      </c>
      <c r="S398" t="s" s="10">
        <v>34</v>
      </c>
      <c r="T398" t="s" s="12">
        <v>3269</v>
      </c>
      <c r="U398" t="s" s="10">
        <v>2952</v>
      </c>
      <c r="V398" t="s" s="12">
        <v>34</v>
      </c>
      <c r="W398" t="s" s="10">
        <v>3495</v>
      </c>
      <c r="X398" s="16">
        <f>HYPERLINK("https://my.pitchbook.com?p=32371-57P", "View People Online")</f>
      </c>
    </row>
    <row r="399">
      <c r="A399" t="s" s="11">
        <v>3496</v>
      </c>
      <c r="B399" t="s" s="11">
        <v>3497</v>
      </c>
      <c r="C399" t="s" s="11">
        <v>34</v>
      </c>
      <c r="D399" t="s" s="11">
        <v>3279</v>
      </c>
      <c r="E399" t="s" s="11">
        <v>3066</v>
      </c>
      <c r="F399" t="s" s="11">
        <v>3498</v>
      </c>
      <c r="G399" t="s" s="11">
        <v>3499</v>
      </c>
      <c r="H399" s="17">
        <f>HYPERLINK("http://www.almada.ma", "www.almada.ma")</f>
      </c>
      <c r="I399" t="s" s="11">
        <v>34</v>
      </c>
      <c r="J399" t="s" s="25">
        <v>34</v>
      </c>
      <c r="K399" t="s" s="25">
        <v>34</v>
      </c>
      <c r="L399" t="s" s="25">
        <v>34</v>
      </c>
      <c r="M399" t="s" s="13">
        <v>34</v>
      </c>
      <c r="N399" t="s" s="11">
        <v>34</v>
      </c>
      <c r="O399" t="s" s="11">
        <v>34</v>
      </c>
      <c r="P399" t="s" s="11">
        <v>34</v>
      </c>
      <c r="Q399" t="s" s="11">
        <v>34</v>
      </c>
      <c r="R399" t="s" s="11">
        <v>34</v>
      </c>
      <c r="S399" t="s" s="11">
        <v>34</v>
      </c>
      <c r="T399" t="s" s="13">
        <v>34</v>
      </c>
      <c r="U399" t="s" s="11">
        <v>34</v>
      </c>
      <c r="V399" t="s" s="13">
        <v>34</v>
      </c>
      <c r="W399" t="s" s="11">
        <v>3500</v>
      </c>
      <c r="X399" s="17">
        <f>HYPERLINK("https://my.pitchbook.com?p=260224-12P", "View People Online")</f>
      </c>
    </row>
    <row r="400">
      <c r="A400" t="s" s="10">
        <v>3501</v>
      </c>
      <c r="B400" t="s" s="10">
        <v>3502</v>
      </c>
      <c r="C400" t="s" s="10">
        <v>34</v>
      </c>
      <c r="D400" t="s" s="10">
        <v>3503</v>
      </c>
      <c r="E400" t="s" s="10">
        <v>3066</v>
      </c>
      <c r="F400" t="s" s="10">
        <v>3504</v>
      </c>
      <c r="G400" t="s" s="10">
        <v>149</v>
      </c>
      <c r="H400" s="16">
        <f>HYPERLINK("http://www.orienscapital.co.nz", "www.orienscapital.co.nz")</f>
      </c>
      <c r="I400" t="s" s="10">
        <v>3506</v>
      </c>
      <c r="J400" t="s" s="24">
        <v>34</v>
      </c>
      <c r="K400" t="s" s="24">
        <v>34</v>
      </c>
      <c r="L400" t="s" s="24">
        <v>34</v>
      </c>
      <c r="M400" t="s" s="12">
        <v>34</v>
      </c>
      <c r="N400" t="s" s="10">
        <v>34</v>
      </c>
      <c r="O400" t="s" s="10">
        <v>34</v>
      </c>
      <c r="P400" t="s" s="10">
        <v>34</v>
      </c>
      <c r="Q400" t="s" s="10">
        <v>34</v>
      </c>
      <c r="R400" t="s" s="10">
        <v>34</v>
      </c>
      <c r="S400" t="s" s="10">
        <v>34</v>
      </c>
      <c r="T400" t="s" s="12">
        <v>34</v>
      </c>
      <c r="U400" t="s" s="10">
        <v>34</v>
      </c>
      <c r="V400" t="s" s="12">
        <v>34</v>
      </c>
      <c r="W400" t="s" s="10">
        <v>3507</v>
      </c>
      <c r="X400" s="16">
        <f>HYPERLINK("https://my.pitchbook.com?p=171074-71P", "View People Online")</f>
      </c>
    </row>
    <row r="401">
      <c r="A401" t="s" s="11">
        <v>3508</v>
      </c>
      <c r="B401" t="s" s="11">
        <v>3509</v>
      </c>
      <c r="C401" t="s" s="11">
        <v>34</v>
      </c>
      <c r="D401" t="s" s="11">
        <v>3510</v>
      </c>
      <c r="E401" t="s" s="11">
        <v>3066</v>
      </c>
      <c r="F401" t="s" s="11">
        <v>3511</v>
      </c>
      <c r="G401" t="s" s="11">
        <v>149</v>
      </c>
      <c r="H401" s="17">
        <f>HYPERLINK("http://www.millpoint.com", "www.millpoint.com")</f>
      </c>
      <c r="I401" t="s" s="11">
        <v>2211</v>
      </c>
      <c r="J401" t="s" s="25">
        <v>34</v>
      </c>
      <c r="K401" t="s" s="25">
        <v>34</v>
      </c>
      <c r="L401" t="s" s="25">
        <v>34</v>
      </c>
      <c r="M401" t="s" s="13">
        <v>34</v>
      </c>
      <c r="N401" t="s" s="11">
        <v>34</v>
      </c>
      <c r="O401" t="s" s="11">
        <v>34</v>
      </c>
      <c r="P401" t="s" s="11">
        <v>34</v>
      </c>
      <c r="Q401" t="s" s="11">
        <v>34</v>
      </c>
      <c r="R401" t="s" s="11">
        <v>34</v>
      </c>
      <c r="S401" t="s" s="11">
        <v>34</v>
      </c>
      <c r="T401" t="s" s="13">
        <v>34</v>
      </c>
      <c r="U401" t="s" s="11">
        <v>34</v>
      </c>
      <c r="V401" t="s" s="13">
        <v>34</v>
      </c>
      <c r="W401" t="s" s="11">
        <v>3513</v>
      </c>
      <c r="X401" s="17">
        <f>HYPERLINK("https://my.pitchbook.com?p=339168-88P", "View People Online")</f>
      </c>
    </row>
    <row r="402">
      <c r="A402" t="s" s="10">
        <v>3514</v>
      </c>
      <c r="B402" t="s" s="10">
        <v>3515</v>
      </c>
      <c r="C402" t="s" s="10">
        <v>34</v>
      </c>
      <c r="D402" t="s" s="10">
        <v>3285</v>
      </c>
      <c r="E402" t="s" s="10">
        <v>3066</v>
      </c>
      <c r="F402" t="s" s="10">
        <v>3516</v>
      </c>
      <c r="G402" t="s" s="10">
        <v>3517</v>
      </c>
      <c r="H402" s="16">
        <f>HYPERLINK("http://www.aradacp.com", "www.aradacp.com")</f>
      </c>
      <c r="I402" t="s" s="10">
        <v>3394</v>
      </c>
      <c r="J402" t="s" s="24">
        <v>34</v>
      </c>
      <c r="K402" s="24">
        <v>1</v>
      </c>
      <c r="L402" t="s" s="24">
        <v>34</v>
      </c>
      <c r="M402" t="s" s="12">
        <v>34</v>
      </c>
      <c r="N402" t="s" s="10">
        <v>34</v>
      </c>
      <c r="O402" t="s" s="10">
        <v>1101</v>
      </c>
      <c r="P402" t="s" s="10">
        <v>3290</v>
      </c>
      <c r="Q402" t="s" s="10">
        <v>34</v>
      </c>
      <c r="R402" t="s" s="10">
        <v>1103</v>
      </c>
      <c r="S402" t="s" s="10">
        <v>34</v>
      </c>
      <c r="T402" t="s" s="12">
        <v>1104</v>
      </c>
      <c r="U402" t="s" s="10">
        <v>1105</v>
      </c>
      <c r="V402" t="s" s="12">
        <v>34</v>
      </c>
      <c r="W402" t="s" s="10">
        <v>3518</v>
      </c>
      <c r="X402" s="16">
        <f>HYPERLINK("https://my.pitchbook.com?p=415157-41P", "View People Online")</f>
      </c>
    </row>
    <row r="403">
      <c r="A403" t="s" s="11">
        <v>3519</v>
      </c>
      <c r="B403" t="s" s="11">
        <v>3520</v>
      </c>
      <c r="C403" t="s" s="11">
        <v>34</v>
      </c>
      <c r="D403" t="s" s="11">
        <v>3079</v>
      </c>
      <c r="E403" t="s" s="11">
        <v>3066</v>
      </c>
      <c r="F403" t="s" s="11">
        <v>3521</v>
      </c>
      <c r="G403" t="s" s="11">
        <v>3522</v>
      </c>
      <c r="H403" s="17">
        <f>HYPERLINK("http://kingdom.com.sa", "kingdom.com.sa")</f>
      </c>
      <c r="I403" t="s" s="11">
        <v>649</v>
      </c>
      <c r="J403" t="s" s="25">
        <v>34</v>
      </c>
      <c r="K403" t="s" s="25">
        <v>34</v>
      </c>
      <c r="L403" t="s" s="25">
        <v>34</v>
      </c>
      <c r="M403" t="s" s="13">
        <v>34</v>
      </c>
      <c r="N403" t="s" s="11">
        <v>34</v>
      </c>
      <c r="O403" t="s" s="11">
        <v>34</v>
      </c>
      <c r="P403" t="s" s="11">
        <v>34</v>
      </c>
      <c r="Q403" t="s" s="11">
        <v>34</v>
      </c>
      <c r="R403" t="s" s="11">
        <v>34</v>
      </c>
      <c r="S403" t="s" s="11">
        <v>34</v>
      </c>
      <c r="T403" t="s" s="13">
        <v>34</v>
      </c>
      <c r="U403" t="s" s="11">
        <v>34</v>
      </c>
      <c r="V403" t="s" s="13">
        <v>34</v>
      </c>
      <c r="W403" t="s" s="11">
        <v>3523</v>
      </c>
      <c r="X403" s="17">
        <f>HYPERLINK("https://my.pitchbook.com?p=166028-59P", "View People Online")</f>
      </c>
    </row>
    <row r="404">
      <c r="A404" t="s" s="10">
        <v>3524</v>
      </c>
      <c r="B404" t="s" s="10">
        <v>1415</v>
      </c>
      <c r="C404" t="s" s="10">
        <v>34</v>
      </c>
      <c r="D404" t="s" s="10">
        <v>3465</v>
      </c>
      <c r="E404" t="s" s="10">
        <v>3066</v>
      </c>
      <c r="F404" t="s" s="10">
        <v>1416</v>
      </c>
      <c r="G404" t="s" s="10">
        <v>1417</v>
      </c>
      <c r="H404" s="16">
        <f>HYPERLINK("http://qatariinvestors.com", "qatariinvestors.com")</f>
      </c>
      <c r="I404" t="s" s="10">
        <v>649</v>
      </c>
      <c r="J404" s="24">
        <v>1</v>
      </c>
      <c r="K404" s="24">
        <v>1</v>
      </c>
      <c r="L404" t="s" s="24">
        <v>34</v>
      </c>
      <c r="M404" t="s" s="12">
        <v>3468</v>
      </c>
      <c r="N404" t="s" s="10">
        <v>34</v>
      </c>
      <c r="O404" t="s" s="10">
        <v>59</v>
      </c>
      <c r="P404" t="s" s="10">
        <v>3469</v>
      </c>
      <c r="Q404" t="s" s="10">
        <v>3470</v>
      </c>
      <c r="R404" t="s" s="10">
        <v>62</v>
      </c>
      <c r="S404" t="s" s="10">
        <v>34</v>
      </c>
      <c r="T404" t="s" s="12">
        <v>34</v>
      </c>
      <c r="U404" t="s" s="10">
        <v>64</v>
      </c>
      <c r="V404" t="s" s="12">
        <v>3471</v>
      </c>
      <c r="W404" t="s" s="10">
        <v>3525</v>
      </c>
      <c r="X404" s="16">
        <f>HYPERLINK("https://my.pitchbook.com?p=54187-03P", "View People Online")</f>
      </c>
    </row>
    <row r="405">
      <c r="A405" t="s" s="11">
        <v>3526</v>
      </c>
      <c r="B405" t="s" s="11">
        <v>3527</v>
      </c>
      <c r="C405" t="s" s="11">
        <v>34</v>
      </c>
      <c r="D405" t="s" s="11">
        <v>3065</v>
      </c>
      <c r="E405" t="s" s="11">
        <v>3066</v>
      </c>
      <c r="F405" t="s" s="11">
        <v>3528</v>
      </c>
      <c r="G405" t="s" s="11">
        <v>3529</v>
      </c>
      <c r="H405" s="17">
        <f>HYPERLINK("http://kingdom.com.sa", "kingdom.com.sa")</f>
      </c>
      <c r="I405" t="s" s="11">
        <v>3274</v>
      </c>
      <c r="J405" s="25">
        <v>1</v>
      </c>
      <c r="K405" s="25">
        <v>1</v>
      </c>
      <c r="L405" t="s" s="25">
        <v>34</v>
      </c>
      <c r="M405" t="s" s="13">
        <v>3070</v>
      </c>
      <c r="N405" t="s" s="11">
        <v>34</v>
      </c>
      <c r="O405" t="s" s="11">
        <v>3071</v>
      </c>
      <c r="P405" t="s" s="11">
        <v>34</v>
      </c>
      <c r="Q405" t="s" s="11">
        <v>34</v>
      </c>
      <c r="R405" t="s" s="11">
        <v>3072</v>
      </c>
      <c r="S405" t="s" s="11">
        <v>34</v>
      </c>
      <c r="T405" t="s" s="13">
        <v>3073</v>
      </c>
      <c r="U405" t="s" s="11">
        <v>3074</v>
      </c>
      <c r="V405" t="s" s="13">
        <v>3075</v>
      </c>
      <c r="W405" t="s" s="11">
        <v>3530</v>
      </c>
      <c r="X405" s="17">
        <f>HYPERLINK("https://my.pitchbook.com?p=399098-17P", "View People Online")</f>
      </c>
    </row>
    <row r="406">
      <c r="A406" t="s" s="10">
        <v>3531</v>
      </c>
      <c r="B406" t="s" s="10">
        <v>3532</v>
      </c>
      <c r="C406" t="s" s="10">
        <v>34</v>
      </c>
      <c r="D406" t="s" s="10">
        <v>3533</v>
      </c>
      <c r="E406" t="s" s="10">
        <v>3066</v>
      </c>
      <c r="F406" t="s" s="10">
        <v>3534</v>
      </c>
      <c r="G406" t="s" s="10">
        <v>3535</v>
      </c>
      <c r="H406" s="16">
        <f>HYPERLINK("http://www.dpi-llp.com", "www.dpi-llp.com")</f>
      </c>
      <c r="I406" t="s" s="10">
        <v>3537</v>
      </c>
      <c r="J406" s="24">
        <v>2</v>
      </c>
      <c r="K406" s="24">
        <v>12</v>
      </c>
      <c r="L406" s="24">
        <v>6</v>
      </c>
      <c r="M406" t="s" s="12">
        <v>3538</v>
      </c>
      <c r="N406" t="s" s="10">
        <v>3539</v>
      </c>
      <c r="O406" t="s" s="10">
        <v>43</v>
      </c>
      <c r="P406" t="s" s="10">
        <v>3540</v>
      </c>
      <c r="Q406" t="s" s="10">
        <v>3541</v>
      </c>
      <c r="R406" t="s" s="10">
        <v>46</v>
      </c>
      <c r="S406" t="s" s="10">
        <v>47</v>
      </c>
      <c r="T406" t="s" s="12">
        <v>3542</v>
      </c>
      <c r="U406" t="s" s="10">
        <v>49</v>
      </c>
      <c r="V406" t="s" s="12">
        <v>34</v>
      </c>
      <c r="W406" t="s" s="10">
        <v>3543</v>
      </c>
      <c r="X406" s="16">
        <f>HYPERLINK("https://my.pitchbook.com?p=42216-58P", "View People Online")</f>
      </c>
    </row>
    <row r="407">
      <c r="A407" t="s" s="11">
        <v>3544</v>
      </c>
      <c r="B407" t="s" s="11">
        <v>3545</v>
      </c>
      <c r="C407" t="s" s="11">
        <v>34</v>
      </c>
      <c r="D407" t="s" s="11">
        <v>3546</v>
      </c>
      <c r="E407" t="s" s="11">
        <v>3066</v>
      </c>
      <c r="F407" t="s" s="11">
        <v>3547</v>
      </c>
      <c r="G407" t="s" s="11">
        <v>3548</v>
      </c>
      <c r="H407" s="17">
        <f>HYPERLINK("http://www.4san.com", "www.4san.com")</f>
      </c>
      <c r="I407" t="s" s="11">
        <v>111</v>
      </c>
      <c r="J407" s="25">
        <v>2</v>
      </c>
      <c r="K407" s="25">
        <v>8</v>
      </c>
      <c r="L407" s="25">
        <v>4</v>
      </c>
      <c r="M407" t="s" s="13">
        <v>3550</v>
      </c>
      <c r="N407" t="s" s="11">
        <v>3551</v>
      </c>
      <c r="O407" t="s" s="11">
        <v>1209</v>
      </c>
      <c r="P407" t="s" s="11">
        <v>3552</v>
      </c>
      <c r="Q407" t="s" s="11">
        <v>3553</v>
      </c>
      <c r="R407" t="s" s="11">
        <v>1211</v>
      </c>
      <c r="S407" t="s" s="11">
        <v>34</v>
      </c>
      <c r="T407" t="s" s="13">
        <v>3554</v>
      </c>
      <c r="U407" t="s" s="11">
        <v>1213</v>
      </c>
      <c r="V407" t="s" s="13">
        <v>3555</v>
      </c>
      <c r="W407" t="s" s="11">
        <v>3556</v>
      </c>
      <c r="X407" s="17">
        <f>HYPERLINK("https://my.pitchbook.com?p=53573-14P", "View People Online")</f>
      </c>
    </row>
    <row r="408">
      <c r="A408" t="s" s="10">
        <v>3557</v>
      </c>
      <c r="B408" t="s" s="10">
        <v>3558</v>
      </c>
      <c r="C408" t="s" s="10">
        <v>34</v>
      </c>
      <c r="D408" t="s" s="10">
        <v>3559</v>
      </c>
      <c r="E408" t="s" s="10">
        <v>3066</v>
      </c>
      <c r="F408" t="s" s="10">
        <v>3560</v>
      </c>
      <c r="G408" t="s" s="10">
        <v>3561</v>
      </c>
      <c r="H408" t="s" s="10">
        <v>34</v>
      </c>
      <c r="I408" t="s" s="10">
        <v>3562</v>
      </c>
      <c r="J408" s="24">
        <v>3</v>
      </c>
      <c r="K408" s="24">
        <v>22</v>
      </c>
      <c r="L408" s="24">
        <v>18</v>
      </c>
      <c r="M408" t="s" s="12">
        <v>3563</v>
      </c>
      <c r="N408" t="s" s="10">
        <v>3564</v>
      </c>
      <c r="O408" t="s" s="10">
        <v>385</v>
      </c>
      <c r="P408" t="s" s="10">
        <v>3565</v>
      </c>
      <c r="Q408" t="s" s="10">
        <v>34</v>
      </c>
      <c r="R408" t="s" s="10">
        <v>388</v>
      </c>
      <c r="S408" t="s" s="10">
        <v>34</v>
      </c>
      <c r="T408" t="s" s="12">
        <v>34</v>
      </c>
      <c r="U408" t="s" s="10">
        <v>240</v>
      </c>
      <c r="V408" t="s" s="12">
        <v>34</v>
      </c>
      <c r="W408" t="s" s="10">
        <v>3566</v>
      </c>
      <c r="X408" s="16">
        <f>HYPERLINK("https://my.pitchbook.com?p=38117-89P", "View People Online")</f>
      </c>
    </row>
    <row r="409">
      <c r="A409" t="s" s="11">
        <v>3567</v>
      </c>
      <c r="B409" t="s" s="11">
        <v>3568</v>
      </c>
      <c r="C409" t="s" s="11">
        <v>34</v>
      </c>
      <c r="D409" t="s" s="11">
        <v>3307</v>
      </c>
      <c r="E409" t="s" s="11">
        <v>3066</v>
      </c>
      <c r="F409" t="s" s="11">
        <v>3569</v>
      </c>
      <c r="G409" t="s" s="11">
        <v>3570</v>
      </c>
      <c r="H409" s="17">
        <f>HYPERLINK("http://www.chugach.com", "www.chugach.com")</f>
      </c>
      <c r="I409" t="s" s="11">
        <v>3571</v>
      </c>
      <c r="J409" s="25">
        <v>1</v>
      </c>
      <c r="K409" s="25">
        <v>1</v>
      </c>
      <c r="L409" t="s" s="25">
        <v>34</v>
      </c>
      <c r="M409" t="s" s="13">
        <v>3310</v>
      </c>
      <c r="N409" t="s" s="11">
        <v>34</v>
      </c>
      <c r="O409" t="s" s="11">
        <v>3311</v>
      </c>
      <c r="P409" t="s" s="11">
        <v>3312</v>
      </c>
      <c r="Q409" t="s" s="11">
        <v>3313</v>
      </c>
      <c r="R409" t="s" s="11">
        <v>3314</v>
      </c>
      <c r="S409" t="s" s="11">
        <v>3315</v>
      </c>
      <c r="T409" t="s" s="13">
        <v>3316</v>
      </c>
      <c r="U409" t="s" s="11">
        <v>88</v>
      </c>
      <c r="V409" t="s" s="13">
        <v>3317</v>
      </c>
      <c r="W409" t="s" s="11">
        <v>3572</v>
      </c>
      <c r="X409" s="17">
        <f>HYPERLINK("https://my.pitchbook.com?p=74057-77P", "View People Online")</f>
      </c>
    </row>
    <row r="410">
      <c r="A410" t="s" s="10">
        <v>3573</v>
      </c>
      <c r="B410" t="s" s="10">
        <v>3574</v>
      </c>
      <c r="C410" t="s" s="10">
        <v>34</v>
      </c>
      <c r="D410" t="s" s="10">
        <v>3575</v>
      </c>
      <c r="E410" t="s" s="10">
        <v>3066</v>
      </c>
      <c r="F410" t="s" s="10">
        <v>3576</v>
      </c>
      <c r="G410" t="s" s="10">
        <v>3577</v>
      </c>
      <c r="H410" s="16">
        <f>HYPERLINK("http://oakvalleycap.com", "oakvalleycap.com")</f>
      </c>
      <c r="I410" t="s" s="10">
        <v>1174</v>
      </c>
      <c r="J410" t="s" s="24">
        <v>34</v>
      </c>
      <c r="K410" s="24">
        <v>1</v>
      </c>
      <c r="L410" t="s" s="24">
        <v>34</v>
      </c>
      <c r="M410" t="s" s="12">
        <v>34</v>
      </c>
      <c r="N410" t="s" s="10">
        <v>3579</v>
      </c>
      <c r="O410" t="s" s="10">
        <v>3580</v>
      </c>
      <c r="P410" t="s" s="10">
        <v>34</v>
      </c>
      <c r="Q410" t="s" s="10">
        <v>34</v>
      </c>
      <c r="R410" t="s" s="10">
        <v>3581</v>
      </c>
      <c r="S410" t="s" s="10">
        <v>3582</v>
      </c>
      <c r="T410" t="s" s="12">
        <v>3583</v>
      </c>
      <c r="U410" t="s" s="10">
        <v>88</v>
      </c>
      <c r="V410" t="s" s="12">
        <v>34</v>
      </c>
      <c r="W410" t="s" s="10">
        <v>3584</v>
      </c>
      <c r="X410" s="16">
        <f>HYPERLINK("https://my.pitchbook.com?p=466213-33P", "View People Online")</f>
      </c>
    </row>
    <row r="411">
      <c r="A411" t="s" s="11">
        <v>3585</v>
      </c>
      <c r="B411" t="s" s="11">
        <v>3586</v>
      </c>
      <c r="C411" t="s" s="11">
        <v>34</v>
      </c>
      <c r="D411" t="s" s="11">
        <v>3533</v>
      </c>
      <c r="E411" t="s" s="11">
        <v>3066</v>
      </c>
      <c r="F411" t="s" s="11">
        <v>3587</v>
      </c>
      <c r="G411" t="s" s="11">
        <v>3588</v>
      </c>
      <c r="H411" s="17">
        <f>HYPERLINK("http://www.dpi-llp.com", "www.dpi-llp.com")</f>
      </c>
      <c r="I411" t="s" s="11">
        <v>111</v>
      </c>
      <c r="J411" s="25">
        <v>2</v>
      </c>
      <c r="K411" s="25">
        <v>26</v>
      </c>
      <c r="L411" s="25">
        <v>21</v>
      </c>
      <c r="M411" t="s" s="13">
        <v>3538</v>
      </c>
      <c r="N411" t="s" s="11">
        <v>3589</v>
      </c>
      <c r="O411" t="s" s="11">
        <v>43</v>
      </c>
      <c r="P411" t="s" s="11">
        <v>3540</v>
      </c>
      <c r="Q411" t="s" s="11">
        <v>3541</v>
      </c>
      <c r="R411" t="s" s="11">
        <v>46</v>
      </c>
      <c r="S411" t="s" s="11">
        <v>47</v>
      </c>
      <c r="T411" t="s" s="13">
        <v>3542</v>
      </c>
      <c r="U411" t="s" s="11">
        <v>49</v>
      </c>
      <c r="V411" t="s" s="13">
        <v>34</v>
      </c>
      <c r="W411" t="s" s="11">
        <v>3590</v>
      </c>
      <c r="X411" s="17">
        <f>HYPERLINK("https://my.pitchbook.com?p=28583-38P", "View People Online")</f>
      </c>
    </row>
    <row r="412">
      <c r="A412" t="s" s="10">
        <v>3591</v>
      </c>
      <c r="B412" t="s" s="10">
        <v>3592</v>
      </c>
      <c r="C412" t="s" s="10">
        <v>34</v>
      </c>
      <c r="D412" t="s" s="10">
        <v>3285</v>
      </c>
      <c r="E412" t="s" s="10">
        <v>3066</v>
      </c>
      <c r="F412" t="s" s="10">
        <v>3593</v>
      </c>
      <c r="G412" t="s" s="10">
        <v>3594</v>
      </c>
      <c r="H412" s="16">
        <f>HYPERLINK("http://www.aradacp.com", "www.aradacp.com")</f>
      </c>
      <c r="I412" t="s" s="10">
        <v>2044</v>
      </c>
      <c r="J412" t="s" s="24">
        <v>34</v>
      </c>
      <c r="K412" s="24">
        <v>1</v>
      </c>
      <c r="L412" t="s" s="24">
        <v>34</v>
      </c>
      <c r="M412" t="s" s="12">
        <v>34</v>
      </c>
      <c r="N412" t="s" s="10">
        <v>3595</v>
      </c>
      <c r="O412" t="s" s="10">
        <v>1101</v>
      </c>
      <c r="P412" t="s" s="10">
        <v>3290</v>
      </c>
      <c r="Q412" t="s" s="10">
        <v>34</v>
      </c>
      <c r="R412" t="s" s="10">
        <v>1103</v>
      </c>
      <c r="S412" t="s" s="10">
        <v>34</v>
      </c>
      <c r="T412" t="s" s="12">
        <v>1104</v>
      </c>
      <c r="U412" t="s" s="10">
        <v>1105</v>
      </c>
      <c r="V412" t="s" s="12">
        <v>34</v>
      </c>
      <c r="W412" t="s" s="10">
        <v>3596</v>
      </c>
      <c r="X412" s="16">
        <f>HYPERLINK("https://my.pitchbook.com?p=324915-94P", "View People Online")</f>
      </c>
    </row>
    <row r="413">
      <c r="A413" t="s" s="11">
        <v>3597</v>
      </c>
      <c r="B413" t="s" s="11">
        <v>3598</v>
      </c>
      <c r="C413" t="s" s="11">
        <v>34</v>
      </c>
      <c r="D413" t="s" s="11">
        <v>3599</v>
      </c>
      <c r="E413" t="s" s="11">
        <v>3066</v>
      </c>
      <c r="F413" t="s" s="11">
        <v>3600</v>
      </c>
      <c r="G413" t="s" s="11">
        <v>2877</v>
      </c>
      <c r="H413" s="17">
        <f>HYPERLINK("http://www.swise.com", "www.swise.com")</f>
      </c>
      <c r="I413" t="s" s="11">
        <v>34</v>
      </c>
      <c r="J413" s="25">
        <v>1</v>
      </c>
      <c r="K413" s="25">
        <v>1</v>
      </c>
      <c r="L413" t="s" s="25">
        <v>34</v>
      </c>
      <c r="M413" t="s" s="13">
        <v>3602</v>
      </c>
      <c r="N413" t="s" s="11">
        <v>34</v>
      </c>
      <c r="O413" t="s" s="11">
        <v>926</v>
      </c>
      <c r="P413" t="s" s="11">
        <v>3603</v>
      </c>
      <c r="Q413" t="s" s="11">
        <v>34</v>
      </c>
      <c r="R413" t="s" s="11">
        <v>928</v>
      </c>
      <c r="S413" t="s" s="11">
        <v>34</v>
      </c>
      <c r="T413" t="s" s="13">
        <v>1576</v>
      </c>
      <c r="U413" t="s" s="11">
        <v>544</v>
      </c>
      <c r="V413" t="s" s="13">
        <v>34</v>
      </c>
      <c r="W413" t="s" s="11">
        <v>3604</v>
      </c>
      <c r="X413" s="17">
        <f>HYPERLINK("https://my.pitchbook.com?p=383728-33P", "View People Online")</f>
      </c>
    </row>
    <row r="414">
      <c r="A414" t="s" s="10">
        <v>3605</v>
      </c>
      <c r="B414" t="s" s="10">
        <v>3606</v>
      </c>
      <c r="C414" t="s" s="10">
        <v>34</v>
      </c>
      <c r="D414" t="s" s="10">
        <v>3065</v>
      </c>
      <c r="E414" t="s" s="10">
        <v>3066</v>
      </c>
      <c r="F414" t="s" s="10">
        <v>729</v>
      </c>
      <c r="G414" t="s" s="10">
        <v>3607</v>
      </c>
      <c r="H414" s="16">
        <f>HYPERLINK("http://kingdom.com.sa", "kingdom.com.sa")</f>
      </c>
      <c r="I414" t="s" s="10">
        <v>3274</v>
      </c>
      <c r="J414" s="24">
        <v>1</v>
      </c>
      <c r="K414" s="24">
        <v>1</v>
      </c>
      <c r="L414" t="s" s="24">
        <v>34</v>
      </c>
      <c r="M414" t="s" s="12">
        <v>3070</v>
      </c>
      <c r="N414" t="s" s="10">
        <v>34</v>
      </c>
      <c r="O414" t="s" s="10">
        <v>3071</v>
      </c>
      <c r="P414" t="s" s="10">
        <v>34</v>
      </c>
      <c r="Q414" t="s" s="10">
        <v>34</v>
      </c>
      <c r="R414" t="s" s="10">
        <v>3072</v>
      </c>
      <c r="S414" t="s" s="10">
        <v>34</v>
      </c>
      <c r="T414" t="s" s="12">
        <v>3073</v>
      </c>
      <c r="U414" t="s" s="10">
        <v>3074</v>
      </c>
      <c r="V414" t="s" s="12">
        <v>3075</v>
      </c>
      <c r="W414" t="s" s="10">
        <v>3608</v>
      </c>
      <c r="X414" s="16">
        <f>HYPERLINK("https://my.pitchbook.com?p=166029-85P", "View People Online")</f>
      </c>
    </row>
    <row r="415">
      <c r="A415" t="s" s="11">
        <v>3609</v>
      </c>
      <c r="B415" t="s" s="11">
        <v>3610</v>
      </c>
      <c r="C415" t="s" s="11">
        <v>34</v>
      </c>
      <c r="D415" t="s" s="11">
        <v>3334</v>
      </c>
      <c r="E415" t="s" s="11">
        <v>3066</v>
      </c>
      <c r="F415" t="s" s="11">
        <v>3611</v>
      </c>
      <c r="G415" t="s" s="11">
        <v>3612</v>
      </c>
      <c r="H415" s="17">
        <f>HYPERLINK("http://www.newspace.capital", "www.newspace.capital")</f>
      </c>
      <c r="I415" t="s" s="11">
        <v>3613</v>
      </c>
      <c r="J415" s="25">
        <v>2</v>
      </c>
      <c r="K415" s="25">
        <v>2</v>
      </c>
      <c r="L415" t="s" s="25">
        <v>34</v>
      </c>
      <c r="M415" t="s" s="13">
        <v>3338</v>
      </c>
      <c r="N415" t="s" s="11">
        <v>34</v>
      </c>
      <c r="O415" t="s" s="11">
        <v>3339</v>
      </c>
      <c r="P415" t="s" s="11">
        <v>3340</v>
      </c>
      <c r="Q415" t="s" s="11">
        <v>34</v>
      </c>
      <c r="R415" t="s" s="11">
        <v>3341</v>
      </c>
      <c r="S415" t="s" s="11">
        <v>34</v>
      </c>
      <c r="T415" t="s" s="13">
        <v>3342</v>
      </c>
      <c r="U415" t="s" s="11">
        <v>3341</v>
      </c>
      <c r="V415" t="s" s="13">
        <v>34</v>
      </c>
      <c r="W415" t="s" s="11">
        <v>3614</v>
      </c>
      <c r="X415" s="17">
        <f>HYPERLINK("https://my.pitchbook.com?p=259922-71P", "View People Online")</f>
      </c>
    </row>
    <row r="416">
      <c r="A416" t="s" s="10">
        <v>3615</v>
      </c>
      <c r="B416" t="s" s="10">
        <v>3616</v>
      </c>
      <c r="C416" t="s" s="10">
        <v>34</v>
      </c>
      <c r="D416" t="s" s="10">
        <v>3065</v>
      </c>
      <c r="E416" t="s" s="10">
        <v>3066</v>
      </c>
      <c r="F416" t="s" s="10">
        <v>3617</v>
      </c>
      <c r="G416" t="s" s="10">
        <v>3612</v>
      </c>
      <c r="H416" s="16">
        <f>HYPERLINK("http://kingdom.com.sa", "kingdom.com.sa")</f>
      </c>
      <c r="I416" t="s" s="10">
        <v>3618</v>
      </c>
      <c r="J416" s="24">
        <v>3</v>
      </c>
      <c r="K416" s="24">
        <v>8</v>
      </c>
      <c r="L416" s="24">
        <v>4</v>
      </c>
      <c r="M416" t="s" s="12">
        <v>3070</v>
      </c>
      <c r="N416" t="s" s="10">
        <v>34</v>
      </c>
      <c r="O416" t="s" s="10">
        <v>3071</v>
      </c>
      <c r="P416" t="s" s="10">
        <v>34</v>
      </c>
      <c r="Q416" t="s" s="10">
        <v>34</v>
      </c>
      <c r="R416" t="s" s="10">
        <v>3072</v>
      </c>
      <c r="S416" t="s" s="10">
        <v>34</v>
      </c>
      <c r="T416" t="s" s="12">
        <v>3073</v>
      </c>
      <c r="U416" t="s" s="10">
        <v>3074</v>
      </c>
      <c r="V416" t="s" s="12">
        <v>3075</v>
      </c>
      <c r="W416" t="s" s="10">
        <v>3619</v>
      </c>
      <c r="X416" s="16">
        <f>HYPERLINK("https://my.pitchbook.com?p=80417-62P", "View People Online")</f>
      </c>
    </row>
    <row r="417">
      <c r="A417" t="s" s="11">
        <v>3620</v>
      </c>
      <c r="B417" t="s" s="11">
        <v>3621</v>
      </c>
      <c r="C417" t="s" s="11">
        <v>34</v>
      </c>
      <c r="D417" t="s" s="11">
        <v>3065</v>
      </c>
      <c r="E417" t="s" s="11">
        <v>3066</v>
      </c>
      <c r="F417" t="s" s="11">
        <v>3622</v>
      </c>
      <c r="G417" t="s" s="11">
        <v>3623</v>
      </c>
      <c r="H417" s="17">
        <f>HYPERLINK("http://kingdom.com.sa", "kingdom.com.sa")</f>
      </c>
      <c r="I417" t="s" s="11">
        <v>3624</v>
      </c>
      <c r="J417" s="25">
        <v>3</v>
      </c>
      <c r="K417" s="25">
        <v>8</v>
      </c>
      <c r="L417" s="25">
        <v>4</v>
      </c>
      <c r="M417" t="s" s="13">
        <v>3070</v>
      </c>
      <c r="N417" t="s" s="11">
        <v>3625</v>
      </c>
      <c r="O417" t="s" s="11">
        <v>3071</v>
      </c>
      <c r="P417" t="s" s="11">
        <v>34</v>
      </c>
      <c r="Q417" t="s" s="11">
        <v>34</v>
      </c>
      <c r="R417" t="s" s="11">
        <v>3072</v>
      </c>
      <c r="S417" t="s" s="11">
        <v>34</v>
      </c>
      <c r="T417" t="s" s="13">
        <v>3073</v>
      </c>
      <c r="U417" t="s" s="11">
        <v>3074</v>
      </c>
      <c r="V417" t="s" s="13">
        <v>3075</v>
      </c>
      <c r="W417" t="s" s="11">
        <v>3626</v>
      </c>
      <c r="X417" s="17">
        <f>HYPERLINK("https://my.pitchbook.com?p=166681-18P", "View People Online")</f>
      </c>
    </row>
    <row r="418">
      <c r="A418" t="s" s="10">
        <v>3627</v>
      </c>
      <c r="B418" t="s" s="10">
        <v>3628</v>
      </c>
      <c r="C418" t="s" s="10">
        <v>34</v>
      </c>
      <c r="D418" t="s" s="10">
        <v>3246</v>
      </c>
      <c r="E418" t="s" s="10">
        <v>3066</v>
      </c>
      <c r="F418" t="s" s="10">
        <v>3629</v>
      </c>
      <c r="G418" t="s" s="10">
        <v>3630</v>
      </c>
      <c r="H418" s="16">
        <f>HYPERLINK("http://www.lgroup.com", "www.lgroup.com")</f>
      </c>
      <c r="I418" t="s" s="10">
        <v>3631</v>
      </c>
      <c r="J418" s="24">
        <v>1</v>
      </c>
      <c r="K418" s="24">
        <v>1</v>
      </c>
      <c r="L418" t="s" s="24">
        <v>34</v>
      </c>
      <c r="M418" t="s" s="12">
        <v>3349</v>
      </c>
      <c r="N418" t="s" s="10">
        <v>3632</v>
      </c>
      <c r="O418" t="s" s="10">
        <v>2468</v>
      </c>
      <c r="P418" t="s" s="10">
        <v>3252</v>
      </c>
      <c r="Q418" t="s" s="10">
        <v>34</v>
      </c>
      <c r="R418" t="s" s="10">
        <v>2470</v>
      </c>
      <c r="S418" t="s" s="10">
        <v>2470</v>
      </c>
      <c r="T418" t="s" s="12">
        <v>2651</v>
      </c>
      <c r="U418" t="s" s="10">
        <v>2471</v>
      </c>
      <c r="V418" t="s" s="12">
        <v>34</v>
      </c>
      <c r="W418" t="s" s="10">
        <v>3633</v>
      </c>
      <c r="X418" s="16">
        <f>HYPERLINK("https://my.pitchbook.com?p=422690-50P", "View People Online")</f>
      </c>
    </row>
    <row r="419">
      <c r="A419" t="s" s="11">
        <v>3634</v>
      </c>
      <c r="B419" t="s" s="11">
        <v>3635</v>
      </c>
      <c r="C419" t="s" s="11">
        <v>34</v>
      </c>
      <c r="D419" t="s" s="11">
        <v>3636</v>
      </c>
      <c r="E419" t="s" s="11">
        <v>3066</v>
      </c>
      <c r="F419" t="s" s="11">
        <v>3637</v>
      </c>
      <c r="G419" t="s" s="11">
        <v>93</v>
      </c>
      <c r="H419" s="17">
        <f>HYPERLINK("http://shieldgrouplp.com", "shieldgrouplp.com")</f>
      </c>
      <c r="I419" t="s" s="11">
        <v>3639</v>
      </c>
      <c r="J419" t="s" s="25">
        <v>34</v>
      </c>
      <c r="K419" s="25">
        <v>1</v>
      </c>
      <c r="L419" t="s" s="25">
        <v>34</v>
      </c>
      <c r="M419" t="s" s="13">
        <v>34</v>
      </c>
      <c r="N419" t="s" s="11">
        <v>34</v>
      </c>
      <c r="O419" t="s" s="11">
        <v>3640</v>
      </c>
      <c r="P419" t="s" s="11">
        <v>3641</v>
      </c>
      <c r="Q419" t="s" s="11">
        <v>34</v>
      </c>
      <c r="R419" t="s" s="11">
        <v>3642</v>
      </c>
      <c r="S419" t="s" s="11">
        <v>3643</v>
      </c>
      <c r="T419" t="s" s="13">
        <v>3644</v>
      </c>
      <c r="U419" t="s" s="11">
        <v>88</v>
      </c>
      <c r="V419" t="s" s="13">
        <v>34</v>
      </c>
      <c r="W419" t="s" s="11">
        <v>3645</v>
      </c>
      <c r="X419" s="17">
        <f>HYPERLINK("https://my.pitchbook.com?p=446603-32P", "View People Online")</f>
      </c>
    </row>
    <row r="420">
      <c r="A420" t="s" s="10">
        <v>3646</v>
      </c>
      <c r="B420" t="s" s="10">
        <v>3647</v>
      </c>
      <c r="C420" t="s" s="10">
        <v>34</v>
      </c>
      <c r="D420" t="s" s="10">
        <v>3648</v>
      </c>
      <c r="E420" t="s" s="10">
        <v>3066</v>
      </c>
      <c r="F420" t="s" s="10">
        <v>3649</v>
      </c>
      <c r="G420" t="s" s="10">
        <v>3650</v>
      </c>
      <c r="H420" s="16">
        <f>HYPERLINK("http://www.nordian.nl", "www.nordian.nl")</f>
      </c>
      <c r="I420" t="s" s="10">
        <v>3652</v>
      </c>
      <c r="J420" t="s" s="24">
        <v>34</v>
      </c>
      <c r="K420" s="24">
        <v>4</v>
      </c>
      <c r="L420" s="24">
        <v>1</v>
      </c>
      <c r="M420" t="s" s="12">
        <v>3653</v>
      </c>
      <c r="N420" t="s" s="10">
        <v>3654</v>
      </c>
      <c r="O420" t="s" s="10">
        <v>99</v>
      </c>
      <c r="P420" t="s" s="10">
        <v>3655</v>
      </c>
      <c r="Q420" t="s" s="10">
        <v>3656</v>
      </c>
      <c r="R420" t="s" s="10">
        <v>101</v>
      </c>
      <c r="S420" t="s" s="10">
        <v>34</v>
      </c>
      <c r="T420" t="s" s="12">
        <v>3657</v>
      </c>
      <c r="U420" t="s" s="10">
        <v>103</v>
      </c>
      <c r="V420" t="s" s="12">
        <v>34</v>
      </c>
      <c r="W420" t="s" s="10">
        <v>3658</v>
      </c>
      <c r="X420" s="16">
        <f>HYPERLINK("https://my.pitchbook.com?p=52021-99P", "View People Online")</f>
      </c>
    </row>
    <row r="421">
      <c r="A421" t="s" s="11">
        <v>3659</v>
      </c>
      <c r="B421" t="s" s="11">
        <v>3660</v>
      </c>
      <c r="C421" t="s" s="11">
        <v>34</v>
      </c>
      <c r="D421" t="s" s="11">
        <v>3661</v>
      </c>
      <c r="E421" t="s" s="11">
        <v>3066</v>
      </c>
      <c r="F421" t="s" s="11">
        <v>1863</v>
      </c>
      <c r="G421" t="s" s="11">
        <v>3662</v>
      </c>
      <c r="H421" s="17">
        <f>HYPERLINK("http://www.blackstone.com", "www.blackstone.com")</f>
      </c>
      <c r="I421" t="s" s="11">
        <v>3664</v>
      </c>
      <c r="J421" s="25">
        <v>3</v>
      </c>
      <c r="K421" s="25">
        <v>5</v>
      </c>
      <c r="L421" t="s" s="25">
        <v>34</v>
      </c>
      <c r="M421" t="s" s="13">
        <v>3665</v>
      </c>
      <c r="N421" t="s" s="11">
        <v>3666</v>
      </c>
      <c r="O421" t="s" s="11">
        <v>84</v>
      </c>
      <c r="P421" t="s" s="11">
        <v>3667</v>
      </c>
      <c r="Q421" t="s" s="11">
        <v>34</v>
      </c>
      <c r="R421" t="s" s="11">
        <v>86</v>
      </c>
      <c r="S421" t="s" s="11">
        <v>86</v>
      </c>
      <c r="T421" t="s" s="13">
        <v>3668</v>
      </c>
      <c r="U421" t="s" s="11">
        <v>88</v>
      </c>
      <c r="V421" t="s" s="13">
        <v>3669</v>
      </c>
      <c r="W421" t="s" s="11">
        <v>3670</v>
      </c>
      <c r="X421" s="17">
        <f>HYPERLINK("https://my.pitchbook.com?p=80066-44P", "View People Online")</f>
      </c>
    </row>
    <row r="422">
      <c r="A422" t="s" s="10">
        <v>3671</v>
      </c>
      <c r="B422" t="s" s="10">
        <v>3672</v>
      </c>
      <c r="C422" t="s" s="10">
        <v>34</v>
      </c>
      <c r="D422" t="s" s="10">
        <v>3673</v>
      </c>
      <c r="E422" t="s" s="10">
        <v>3066</v>
      </c>
      <c r="F422" t="s" s="10">
        <v>3674</v>
      </c>
      <c r="G422" t="s" s="10">
        <v>3675</v>
      </c>
      <c r="H422" s="16">
        <f>HYPERLINK("http://www.lexingtonpartners.com", "www.lexingtonpartners.com")</f>
      </c>
      <c r="I422" t="s" s="10">
        <v>255</v>
      </c>
      <c r="J422" t="s" s="24">
        <v>34</v>
      </c>
      <c r="K422" t="s" s="24">
        <v>34</v>
      </c>
      <c r="L422" t="s" s="24">
        <v>34</v>
      </c>
      <c r="M422" t="s" s="12">
        <v>3677</v>
      </c>
      <c r="N422" t="s" s="10">
        <v>34</v>
      </c>
      <c r="O422" t="s" s="10">
        <v>34</v>
      </c>
      <c r="P422" t="s" s="10">
        <v>34</v>
      </c>
      <c r="Q422" t="s" s="10">
        <v>34</v>
      </c>
      <c r="R422" t="s" s="10">
        <v>34</v>
      </c>
      <c r="S422" t="s" s="10">
        <v>34</v>
      </c>
      <c r="T422" t="s" s="12">
        <v>34</v>
      </c>
      <c r="U422" t="s" s="10">
        <v>34</v>
      </c>
      <c r="V422" t="s" s="12">
        <v>34</v>
      </c>
      <c r="W422" t="s" s="10">
        <v>3678</v>
      </c>
      <c r="X422" s="16">
        <f>HYPERLINK("https://my.pitchbook.com?p=133067-17P", "View People Online")</f>
      </c>
    </row>
    <row r="423">
      <c r="A423" t="s" s="11">
        <v>3679</v>
      </c>
      <c r="B423" t="s" s="11">
        <v>138</v>
      </c>
      <c r="C423" t="s" s="11">
        <v>34</v>
      </c>
      <c r="D423" t="s" s="11">
        <v>3680</v>
      </c>
      <c r="E423" t="s" s="11">
        <v>3681</v>
      </c>
      <c r="F423" t="s" s="11">
        <v>140</v>
      </c>
      <c r="G423" t="s" s="11">
        <v>141</v>
      </c>
      <c r="H423" s="17">
        <f>HYPERLINK("http://www.campbell-lutyens.com", "www.campbell-lutyens.com")</f>
      </c>
      <c r="I423" t="s" s="11">
        <v>731</v>
      </c>
      <c r="J423" t="s" s="25">
        <v>34</v>
      </c>
      <c r="K423" t="s" s="25">
        <v>34</v>
      </c>
      <c r="L423" t="s" s="25">
        <v>34</v>
      </c>
      <c r="M423" t="s" s="13">
        <v>34</v>
      </c>
      <c r="N423" t="s" s="11">
        <v>34</v>
      </c>
      <c r="O423" t="s" s="11">
        <v>34</v>
      </c>
      <c r="P423" t="s" s="11">
        <v>34</v>
      </c>
      <c r="Q423" t="s" s="11">
        <v>34</v>
      </c>
      <c r="R423" t="s" s="11">
        <v>34</v>
      </c>
      <c r="S423" t="s" s="11">
        <v>34</v>
      </c>
      <c r="T423" t="s" s="13">
        <v>34</v>
      </c>
      <c r="U423" t="s" s="11">
        <v>34</v>
      </c>
      <c r="V423" t="s" s="13">
        <v>34</v>
      </c>
      <c r="W423" t="s" s="11">
        <v>3683</v>
      </c>
      <c r="X423" s="17">
        <f>HYPERLINK("https://my.pitchbook.com?p=60776-11P", "View People Online")</f>
      </c>
    </row>
    <row r="424">
      <c r="A424" t="s" s="10">
        <v>3684</v>
      </c>
      <c r="B424" t="s" s="10">
        <v>3685</v>
      </c>
      <c r="C424" t="s" s="10">
        <v>34</v>
      </c>
      <c r="D424" t="s" s="10">
        <v>3686</v>
      </c>
      <c r="E424" t="s" s="10">
        <v>3681</v>
      </c>
      <c r="F424" t="s" s="10">
        <v>3687</v>
      </c>
      <c r="G424" t="s" s="10">
        <v>141</v>
      </c>
      <c r="H424" s="16">
        <f>HYPERLINK("http://www.threadmark.com", "www.threadmark.com")</f>
      </c>
      <c r="I424" t="s" s="10">
        <v>3689</v>
      </c>
      <c r="J424" t="s" s="24">
        <v>34</v>
      </c>
      <c r="K424" t="s" s="24">
        <v>34</v>
      </c>
      <c r="L424" t="s" s="24">
        <v>34</v>
      </c>
      <c r="M424" t="s" s="12">
        <v>34</v>
      </c>
      <c r="N424" t="s" s="10">
        <v>34</v>
      </c>
      <c r="O424" t="s" s="10">
        <v>34</v>
      </c>
      <c r="P424" t="s" s="10">
        <v>34</v>
      </c>
      <c r="Q424" t="s" s="10">
        <v>34</v>
      </c>
      <c r="R424" t="s" s="10">
        <v>34</v>
      </c>
      <c r="S424" t="s" s="10">
        <v>34</v>
      </c>
      <c r="T424" t="s" s="12">
        <v>34</v>
      </c>
      <c r="U424" t="s" s="10">
        <v>34</v>
      </c>
      <c r="V424" t="s" s="12">
        <v>34</v>
      </c>
      <c r="W424" t="s" s="10">
        <v>3690</v>
      </c>
      <c r="X424" s="16">
        <f>HYPERLINK("https://my.pitchbook.com?p=63455-59P", "View People Online")</f>
      </c>
    </row>
    <row r="425">
      <c r="A425" t="s" s="11">
        <v>3691</v>
      </c>
      <c r="B425" t="s" s="11">
        <v>3474</v>
      </c>
      <c r="C425" t="s" s="11">
        <v>34</v>
      </c>
      <c r="D425" t="s" s="11">
        <v>3692</v>
      </c>
      <c r="E425" t="s" s="11">
        <v>3681</v>
      </c>
      <c r="F425" t="s" s="11">
        <v>3476</v>
      </c>
      <c r="G425" t="s" s="11">
        <v>2541</v>
      </c>
      <c r="H425" s="17">
        <f>HYPERLINK("http://www.westlyhouse.com", "www.westlyhouse.com")</f>
      </c>
      <c r="I425" t="s" s="11">
        <v>111</v>
      </c>
      <c r="J425" t="s" s="25">
        <v>34</v>
      </c>
      <c r="K425" s="25">
        <v>2</v>
      </c>
      <c r="L425" t="s" s="25">
        <v>34</v>
      </c>
      <c r="M425" t="s" s="13">
        <v>3694</v>
      </c>
      <c r="N425" t="s" s="11">
        <v>3695</v>
      </c>
      <c r="O425" t="s" s="11">
        <v>84</v>
      </c>
      <c r="P425" t="s" s="11">
        <v>3696</v>
      </c>
      <c r="Q425" t="s" s="11">
        <v>3697</v>
      </c>
      <c r="R425" t="s" s="11">
        <v>86</v>
      </c>
      <c r="S425" t="s" s="11">
        <v>86</v>
      </c>
      <c r="T425" t="s" s="13">
        <v>3698</v>
      </c>
      <c r="U425" t="s" s="11">
        <v>88</v>
      </c>
      <c r="V425" t="s" s="13">
        <v>34</v>
      </c>
      <c r="W425" t="s" s="11">
        <v>3699</v>
      </c>
      <c r="X425" s="17">
        <f>HYPERLINK("https://my.pitchbook.com?p=298933-93P", "View People Online")</f>
      </c>
    </row>
    <row r="426">
      <c r="A426" t="s" s="10">
        <v>3700</v>
      </c>
      <c r="B426" t="s" s="10">
        <v>3701</v>
      </c>
      <c r="C426" t="s" s="10">
        <v>34</v>
      </c>
      <c r="D426" t="s" s="10">
        <v>3702</v>
      </c>
      <c r="E426" t="s" s="10">
        <v>3703</v>
      </c>
      <c r="F426" t="s" s="10">
        <v>3704</v>
      </c>
      <c r="G426" t="s" s="10">
        <v>3705</v>
      </c>
      <c r="H426" s="16">
        <f>HYPERLINK("http://www.fgsglobal.com", "www.fgsglobal.com")</f>
      </c>
      <c r="I426" t="s" s="10">
        <v>369</v>
      </c>
      <c r="J426" t="s" s="24">
        <v>34</v>
      </c>
      <c r="K426" s="24">
        <v>1</v>
      </c>
      <c r="L426" t="s" s="24">
        <v>34</v>
      </c>
      <c r="M426" t="s" s="12">
        <v>3707</v>
      </c>
      <c r="N426" t="s" s="10">
        <v>3708</v>
      </c>
      <c r="O426" t="s" s="10">
        <v>236</v>
      </c>
      <c r="P426" t="s" s="10">
        <v>3709</v>
      </c>
      <c r="Q426" t="s" s="10">
        <v>3710</v>
      </c>
      <c r="R426" t="s" s="10">
        <v>239</v>
      </c>
      <c r="S426" t="s" s="10">
        <v>34</v>
      </c>
      <c r="T426" t="s" s="12">
        <v>34</v>
      </c>
      <c r="U426" t="s" s="10">
        <v>240</v>
      </c>
      <c r="V426" t="s" s="12">
        <v>34</v>
      </c>
      <c r="W426" t="s" s="10">
        <v>3711</v>
      </c>
      <c r="X426" s="16">
        <f>HYPERLINK("https://my.pitchbook.com?p=449199-46P", "View People Online")</f>
      </c>
    </row>
    <row r="427">
      <c r="A427" t="s" s="11">
        <v>3712</v>
      </c>
      <c r="B427" t="s" s="11">
        <v>3713</v>
      </c>
      <c r="C427" t="s" s="11">
        <v>34</v>
      </c>
      <c r="D427" t="s" s="11">
        <v>3714</v>
      </c>
      <c r="E427" t="s" s="11">
        <v>3715</v>
      </c>
      <c r="F427" t="s" s="11">
        <v>3716</v>
      </c>
      <c r="G427" t="s" s="11">
        <v>3717</v>
      </c>
      <c r="H427" s="17">
        <f>HYPERLINK("http://www.alhilal.com", "www.alhilal.com")</f>
      </c>
      <c r="I427" t="s" s="11">
        <v>1153</v>
      </c>
      <c r="J427" s="25">
        <v>1</v>
      </c>
      <c r="K427" s="25">
        <v>1</v>
      </c>
      <c r="L427" t="s" s="25">
        <v>34</v>
      </c>
      <c r="M427" t="s" s="13">
        <v>3719</v>
      </c>
      <c r="N427" t="s" s="11">
        <v>34</v>
      </c>
      <c r="O427" t="s" s="11">
        <v>3071</v>
      </c>
      <c r="P427" t="s" s="11">
        <v>3720</v>
      </c>
      <c r="Q427" t="s" s="11">
        <v>34</v>
      </c>
      <c r="R427" t="s" s="11">
        <v>3072</v>
      </c>
      <c r="S427" t="s" s="11">
        <v>34</v>
      </c>
      <c r="T427" t="s" s="13">
        <v>3721</v>
      </c>
      <c r="U427" t="s" s="11">
        <v>3074</v>
      </c>
      <c r="V427" t="s" s="13">
        <v>34</v>
      </c>
      <c r="W427" t="s" s="11">
        <v>3722</v>
      </c>
      <c r="X427" s="17">
        <f>HYPERLINK("https://my.pitchbook.com?p=459612-91P", "View People Online")</f>
      </c>
    </row>
    <row r="428">
      <c r="A428" t="s" s="10">
        <v>3723</v>
      </c>
      <c r="B428" t="s" s="10">
        <v>3724</v>
      </c>
      <c r="C428" t="s" s="10">
        <v>34</v>
      </c>
      <c r="D428" t="s" s="10">
        <v>3725</v>
      </c>
      <c r="E428" t="s" s="10">
        <v>3715</v>
      </c>
      <c r="F428" t="s" s="10">
        <v>3726</v>
      </c>
      <c r="G428" t="s" s="10">
        <v>3727</v>
      </c>
      <c r="H428" s="16">
        <f>HYPERLINK("http://www.royalihc.com", "www.royalihc.com")</f>
      </c>
      <c r="I428" t="s" s="10">
        <v>649</v>
      </c>
      <c r="J428" t="s" s="24">
        <v>34</v>
      </c>
      <c r="K428" t="s" s="24">
        <v>34</v>
      </c>
      <c r="L428" t="s" s="24">
        <v>34</v>
      </c>
      <c r="M428" t="s" s="12">
        <v>34</v>
      </c>
      <c r="N428" t="s" s="10">
        <v>34</v>
      </c>
      <c r="O428" t="s" s="10">
        <v>34</v>
      </c>
      <c r="P428" t="s" s="10">
        <v>34</v>
      </c>
      <c r="Q428" t="s" s="10">
        <v>34</v>
      </c>
      <c r="R428" t="s" s="10">
        <v>34</v>
      </c>
      <c r="S428" t="s" s="10">
        <v>34</v>
      </c>
      <c r="T428" t="s" s="12">
        <v>34</v>
      </c>
      <c r="U428" t="s" s="10">
        <v>34</v>
      </c>
      <c r="V428" t="s" s="12">
        <v>34</v>
      </c>
      <c r="W428" t="s" s="10">
        <v>3729</v>
      </c>
      <c r="X428" s="16">
        <f>HYPERLINK("https://my.pitchbook.com?p=59797-18P", "View People Online")</f>
      </c>
    </row>
    <row r="429">
      <c r="A429" t="s" s="11">
        <v>3730</v>
      </c>
      <c r="B429" t="s" s="11">
        <v>3731</v>
      </c>
      <c r="C429" t="s" s="11">
        <v>34</v>
      </c>
      <c r="D429" t="s" s="11">
        <v>3732</v>
      </c>
      <c r="E429" t="s" s="11">
        <v>3715</v>
      </c>
      <c r="F429" t="s" s="11">
        <v>3733</v>
      </c>
      <c r="G429" t="s" s="11">
        <v>367</v>
      </c>
      <c r="H429" s="17">
        <f>HYPERLINK("http://easysoftindia.com", "easysoftindia.com")</f>
      </c>
      <c r="I429" t="s" s="11">
        <v>3735</v>
      </c>
      <c r="J429" t="s" s="25">
        <v>34</v>
      </c>
      <c r="K429" s="25">
        <v>1</v>
      </c>
      <c r="L429" t="s" s="25">
        <v>34</v>
      </c>
      <c r="M429" t="s" s="13">
        <v>3736</v>
      </c>
      <c r="N429" t="s" s="11">
        <v>3737</v>
      </c>
      <c r="O429" t="s" s="11">
        <v>3738</v>
      </c>
      <c r="P429" t="s" s="11">
        <v>3739</v>
      </c>
      <c r="Q429" t="s" s="11">
        <v>3740</v>
      </c>
      <c r="R429" t="s" s="11">
        <v>3741</v>
      </c>
      <c r="S429" t="s" s="11">
        <v>3742</v>
      </c>
      <c r="T429" t="s" s="13">
        <v>3743</v>
      </c>
      <c r="U429" t="s" s="11">
        <v>135</v>
      </c>
      <c r="V429" t="s" s="13">
        <v>34</v>
      </c>
      <c r="W429" t="s" s="11">
        <v>3744</v>
      </c>
      <c r="X429" s="17">
        <f>HYPERLINK("https://my.pitchbook.com?p=286015-42P", "View People Online")</f>
      </c>
    </row>
    <row r="430">
      <c r="A430" t="s" s="10">
        <v>3745</v>
      </c>
      <c r="B430" t="s" s="10">
        <v>3746</v>
      </c>
      <c r="C430" t="s" s="10">
        <v>34</v>
      </c>
      <c r="D430" t="s" s="10">
        <v>3747</v>
      </c>
      <c r="E430" t="s" s="10">
        <v>3715</v>
      </c>
      <c r="F430" t="s" s="10">
        <v>3748</v>
      </c>
      <c r="G430" t="s" s="10">
        <v>3749</v>
      </c>
      <c r="H430" s="16">
        <f>HYPERLINK("http://www.seedgroup-sa.com", "www.seedgroup-sa.com")</f>
      </c>
      <c r="I430" t="s" s="10">
        <v>322</v>
      </c>
      <c r="J430" t="s" s="24">
        <v>34</v>
      </c>
      <c r="K430" s="24">
        <v>1</v>
      </c>
      <c r="L430" t="s" s="24">
        <v>34</v>
      </c>
      <c r="M430" t="s" s="12">
        <v>3751</v>
      </c>
      <c r="N430" t="s" s="10">
        <v>34</v>
      </c>
      <c r="O430" t="s" s="10">
        <v>3071</v>
      </c>
      <c r="P430" t="s" s="10">
        <v>3752</v>
      </c>
      <c r="Q430" t="s" s="10">
        <v>3753</v>
      </c>
      <c r="R430" t="s" s="10">
        <v>3072</v>
      </c>
      <c r="S430" t="s" s="10">
        <v>34</v>
      </c>
      <c r="T430" t="s" s="12">
        <v>34</v>
      </c>
      <c r="U430" t="s" s="10">
        <v>3074</v>
      </c>
      <c r="V430" t="s" s="12">
        <v>3751</v>
      </c>
      <c r="W430" t="s" s="10">
        <v>3754</v>
      </c>
      <c r="X430" s="16">
        <f>HYPERLINK("https://my.pitchbook.com?p=434482-57P", "View People Online")</f>
      </c>
    </row>
    <row r="431">
      <c r="A431" t="s" s="11">
        <v>3755</v>
      </c>
      <c r="B431" t="s" s="11">
        <v>3756</v>
      </c>
      <c r="C431" t="s" s="11">
        <v>34</v>
      </c>
      <c r="D431" t="s" s="11">
        <v>3757</v>
      </c>
      <c r="E431" t="s" s="11">
        <v>3715</v>
      </c>
      <c r="F431" t="s" s="11">
        <v>3758</v>
      </c>
      <c r="G431" t="s" s="11">
        <v>3759</v>
      </c>
      <c r="H431" s="17">
        <f>HYPERLINK("http://www.althemar.net", "www.althemar.net")</f>
      </c>
      <c r="I431" t="s" s="11">
        <v>3761</v>
      </c>
      <c r="J431" t="s" s="25">
        <v>34</v>
      </c>
      <c r="K431" t="s" s="25">
        <v>34</v>
      </c>
      <c r="L431" t="s" s="25">
        <v>34</v>
      </c>
      <c r="M431" t="s" s="13">
        <v>34</v>
      </c>
      <c r="N431" t="s" s="11">
        <v>34</v>
      </c>
      <c r="O431" t="s" s="11">
        <v>34</v>
      </c>
      <c r="P431" t="s" s="11">
        <v>34</v>
      </c>
      <c r="Q431" t="s" s="11">
        <v>34</v>
      </c>
      <c r="R431" t="s" s="11">
        <v>34</v>
      </c>
      <c r="S431" t="s" s="11">
        <v>34</v>
      </c>
      <c r="T431" t="s" s="13">
        <v>34</v>
      </c>
      <c r="U431" t="s" s="11">
        <v>34</v>
      </c>
      <c r="V431" t="s" s="13">
        <v>34</v>
      </c>
      <c r="W431" t="s" s="11">
        <v>3762</v>
      </c>
      <c r="X431" s="17">
        <f>HYPERLINK("https://my.pitchbook.com?p=320509-90P", "View People Online")</f>
      </c>
    </row>
    <row r="432">
      <c r="A432" t="s" s="10">
        <v>3763</v>
      </c>
      <c r="B432" t="s" s="10">
        <v>3764</v>
      </c>
      <c r="C432" t="s" s="10">
        <v>34</v>
      </c>
      <c r="D432" t="s" s="10">
        <v>3765</v>
      </c>
      <c r="E432" t="s" s="10">
        <v>3715</v>
      </c>
      <c r="F432" t="s" s="10">
        <v>3766</v>
      </c>
      <c r="G432" t="s" s="10">
        <v>3767</v>
      </c>
      <c r="H432" s="16">
        <f>HYPERLINK("http://www.aoadx.com", "www.aoadx.com")</f>
      </c>
      <c r="I432" t="s" s="10">
        <v>3769</v>
      </c>
      <c r="J432" t="s" s="24">
        <v>34</v>
      </c>
      <c r="K432" s="24">
        <v>1</v>
      </c>
      <c r="L432" t="s" s="24">
        <v>34</v>
      </c>
      <c r="M432" t="s" s="12">
        <v>3770</v>
      </c>
      <c r="N432" t="s" s="10">
        <v>3771</v>
      </c>
      <c r="O432" t="s" s="10">
        <v>3772</v>
      </c>
      <c r="P432" t="s" s="10">
        <v>3773</v>
      </c>
      <c r="Q432" t="s" s="10">
        <v>34</v>
      </c>
      <c r="R432" t="s" s="10">
        <v>3774</v>
      </c>
      <c r="S432" t="s" s="10">
        <v>3775</v>
      </c>
      <c r="T432" t="s" s="12">
        <v>3776</v>
      </c>
      <c r="U432" t="s" s="10">
        <v>88</v>
      </c>
      <c r="V432" t="s" s="12">
        <v>34</v>
      </c>
      <c r="W432" t="s" s="10">
        <v>3777</v>
      </c>
      <c r="X432" s="16">
        <f>HYPERLINK("https://my.pitchbook.com?p=159034-06P", "View People Online")</f>
      </c>
    </row>
    <row r="433">
      <c r="A433" t="s" s="11">
        <v>3778</v>
      </c>
      <c r="B433" t="s" s="11">
        <v>3779</v>
      </c>
      <c r="C433" t="s" s="11">
        <v>34</v>
      </c>
      <c r="D433" t="s" s="11">
        <v>3780</v>
      </c>
      <c r="E433" t="s" s="11">
        <v>3715</v>
      </c>
      <c r="F433" t="s" s="11">
        <v>3781</v>
      </c>
      <c r="G433" t="s" s="11">
        <v>2573</v>
      </c>
      <c r="H433" s="17">
        <f>HYPERLINK("http://www.intercounty.co.uk", "www.intercounty.co.uk")</f>
      </c>
      <c r="I433" t="s" s="11">
        <v>369</v>
      </c>
      <c r="J433" t="s" s="25">
        <v>34</v>
      </c>
      <c r="K433" s="25">
        <v>1</v>
      </c>
      <c r="L433" t="s" s="25">
        <v>34</v>
      </c>
      <c r="M433" t="s" s="13">
        <v>34</v>
      </c>
      <c r="N433" t="s" s="11">
        <v>3783</v>
      </c>
      <c r="O433" t="s" s="11">
        <v>3784</v>
      </c>
      <c r="P433" t="s" s="11">
        <v>3785</v>
      </c>
      <c r="Q433" t="s" s="11">
        <v>34</v>
      </c>
      <c r="R433" t="s" s="11">
        <v>3786</v>
      </c>
      <c r="S433" t="s" s="11">
        <v>47</v>
      </c>
      <c r="T433" t="s" s="13">
        <v>3787</v>
      </c>
      <c r="U433" t="s" s="11">
        <v>49</v>
      </c>
      <c r="V433" t="s" s="13">
        <v>34</v>
      </c>
      <c r="W433" t="s" s="11">
        <v>3788</v>
      </c>
      <c r="X433" s="17">
        <f>HYPERLINK("https://my.pitchbook.com?p=447218-47P", "View People Online")</f>
      </c>
    </row>
    <row r="434">
      <c r="A434" t="s" s="10">
        <v>3789</v>
      </c>
      <c r="B434" t="s" s="10">
        <v>3790</v>
      </c>
      <c r="C434" t="s" s="10">
        <v>34</v>
      </c>
      <c r="D434" t="s" s="10">
        <v>3791</v>
      </c>
      <c r="E434" t="s" s="10">
        <v>3715</v>
      </c>
      <c r="F434" t="s" s="10">
        <v>3792</v>
      </c>
      <c r="G434" t="s" s="10">
        <v>3081</v>
      </c>
      <c r="H434" s="16">
        <f>HYPERLINK("http://www.pinnacle.sa", "www.pinnacle.sa")</f>
      </c>
      <c r="I434" t="s" s="10">
        <v>3794</v>
      </c>
      <c r="J434" s="24">
        <v>1</v>
      </c>
      <c r="K434" s="24">
        <v>1</v>
      </c>
      <c r="L434" t="s" s="24">
        <v>34</v>
      </c>
      <c r="M434" t="s" s="12">
        <v>3795</v>
      </c>
      <c r="N434" t="s" s="10">
        <v>34</v>
      </c>
      <c r="O434" t="s" s="10">
        <v>3071</v>
      </c>
      <c r="P434" t="s" s="10">
        <v>3796</v>
      </c>
      <c r="Q434" t="s" s="10">
        <v>3797</v>
      </c>
      <c r="R434" t="s" s="10">
        <v>3072</v>
      </c>
      <c r="S434" t="s" s="10">
        <v>3072</v>
      </c>
      <c r="T434" t="s" s="12">
        <v>3798</v>
      </c>
      <c r="U434" t="s" s="10">
        <v>3074</v>
      </c>
      <c r="V434" t="s" s="12">
        <v>34</v>
      </c>
      <c r="W434" t="s" s="10">
        <v>3799</v>
      </c>
      <c r="X434" s="16">
        <f>HYPERLINK("https://my.pitchbook.com?p=403677-64P", "View People Online")</f>
      </c>
    </row>
    <row r="435">
      <c r="A435" t="s" s="11">
        <v>3800</v>
      </c>
      <c r="B435" t="s" s="11">
        <v>3801</v>
      </c>
      <c r="C435" t="s" s="11">
        <v>34</v>
      </c>
      <c r="D435" t="s" s="11">
        <v>3802</v>
      </c>
      <c r="E435" t="s" s="11">
        <v>3715</v>
      </c>
      <c r="F435" t="s" s="11">
        <v>3803</v>
      </c>
      <c r="G435" t="s" s="11">
        <v>3081</v>
      </c>
      <c r="H435" s="17">
        <f>HYPERLINK("http://www.qatarluxurygroup.com", "www.qatarluxurygroup.com")</f>
      </c>
      <c r="I435" t="s" s="11">
        <v>3805</v>
      </c>
      <c r="J435" t="s" s="25">
        <v>34</v>
      </c>
      <c r="K435" t="s" s="25">
        <v>34</v>
      </c>
      <c r="L435" t="s" s="25">
        <v>34</v>
      </c>
      <c r="M435" t="s" s="13">
        <v>34</v>
      </c>
      <c r="N435" t="s" s="11">
        <v>34</v>
      </c>
      <c r="O435" t="s" s="11">
        <v>34</v>
      </c>
      <c r="P435" t="s" s="11">
        <v>34</v>
      </c>
      <c r="Q435" t="s" s="11">
        <v>34</v>
      </c>
      <c r="R435" t="s" s="11">
        <v>34</v>
      </c>
      <c r="S435" t="s" s="11">
        <v>34</v>
      </c>
      <c r="T435" t="s" s="13">
        <v>34</v>
      </c>
      <c r="U435" t="s" s="11">
        <v>34</v>
      </c>
      <c r="V435" t="s" s="13">
        <v>34</v>
      </c>
      <c r="W435" t="s" s="11">
        <v>3806</v>
      </c>
      <c r="X435" s="17">
        <f>HYPERLINK("https://my.pitchbook.com?p=67435-84P", "View People Online")</f>
      </c>
    </row>
    <row r="436">
      <c r="A436" t="s" s="10">
        <v>3807</v>
      </c>
      <c r="B436" t="s" s="10">
        <v>3808</v>
      </c>
      <c r="C436" t="s" s="10">
        <v>34</v>
      </c>
      <c r="D436" t="s" s="10">
        <v>3809</v>
      </c>
      <c r="E436" t="s" s="10">
        <v>3715</v>
      </c>
      <c r="F436" t="s" s="10">
        <v>3810</v>
      </c>
      <c r="G436" t="s" s="10">
        <v>380</v>
      </c>
      <c r="H436" s="16">
        <f>HYPERLINK("http://www.arada.com", "www.arada.com")</f>
      </c>
      <c r="I436" t="s" s="10">
        <v>322</v>
      </c>
      <c r="J436" s="24">
        <v>1</v>
      </c>
      <c r="K436" s="24">
        <v>9</v>
      </c>
      <c r="L436" s="24">
        <v>6</v>
      </c>
      <c r="M436" t="s" s="12">
        <v>3812</v>
      </c>
      <c r="N436" t="s" s="10">
        <v>34</v>
      </c>
      <c r="O436" t="s" s="10">
        <v>236</v>
      </c>
      <c r="P436" t="s" s="10">
        <v>3813</v>
      </c>
      <c r="Q436" t="s" s="10">
        <v>3814</v>
      </c>
      <c r="R436" t="s" s="10">
        <v>239</v>
      </c>
      <c r="S436" t="s" s="10">
        <v>34</v>
      </c>
      <c r="T436" t="s" s="12">
        <v>34</v>
      </c>
      <c r="U436" t="s" s="10">
        <v>240</v>
      </c>
      <c r="V436" t="s" s="12">
        <v>34</v>
      </c>
      <c r="W436" t="s" s="10">
        <v>3815</v>
      </c>
      <c r="X436" s="16">
        <f>HYPERLINK("https://my.pitchbook.com?p=197053-57P", "View People Online")</f>
      </c>
    </row>
    <row r="437">
      <c r="A437" t="s" s="11">
        <v>3816</v>
      </c>
      <c r="B437" t="s" s="11">
        <v>3817</v>
      </c>
      <c r="C437" t="s" s="11">
        <v>34</v>
      </c>
      <c r="D437" t="s" s="11">
        <v>3818</v>
      </c>
      <c r="E437" t="s" s="11">
        <v>3715</v>
      </c>
      <c r="F437" t="s" s="11">
        <v>484</v>
      </c>
      <c r="G437" t="s" s="11">
        <v>380</v>
      </c>
      <c r="H437" s="17">
        <f>HYPERLINK("http://www.wmotors.ae", "www.wmotors.ae")</f>
      </c>
      <c r="I437" t="s" s="11">
        <v>3820</v>
      </c>
      <c r="J437" t="s" s="25">
        <v>34</v>
      </c>
      <c r="K437" s="25">
        <v>1</v>
      </c>
      <c r="L437" t="s" s="25">
        <v>34</v>
      </c>
      <c r="M437" t="s" s="13">
        <v>3821</v>
      </c>
      <c r="N437" t="s" s="11">
        <v>3822</v>
      </c>
      <c r="O437" t="s" s="11">
        <v>236</v>
      </c>
      <c r="P437" t="s" s="11">
        <v>3823</v>
      </c>
      <c r="Q437" t="s" s="11">
        <v>34</v>
      </c>
      <c r="R437" t="s" s="11">
        <v>239</v>
      </c>
      <c r="S437" t="s" s="11">
        <v>34</v>
      </c>
      <c r="T437" t="s" s="13">
        <v>34</v>
      </c>
      <c r="U437" t="s" s="11">
        <v>240</v>
      </c>
      <c r="V437" t="s" s="13">
        <v>34</v>
      </c>
      <c r="W437" t="s" s="11">
        <v>3824</v>
      </c>
      <c r="X437" s="17">
        <f>HYPERLINK("https://my.pitchbook.com?p=395673-67P", "View People Online")</f>
      </c>
    </row>
    <row r="438">
      <c r="A438" t="s" s="10">
        <v>3825</v>
      </c>
      <c r="B438" t="s" s="10">
        <v>3826</v>
      </c>
      <c r="C438" t="s" s="10">
        <v>34</v>
      </c>
      <c r="D438" t="s" s="10">
        <v>3827</v>
      </c>
      <c r="E438" t="s" s="10">
        <v>3715</v>
      </c>
      <c r="F438" t="s" s="10">
        <v>3828</v>
      </c>
      <c r="G438" t="s" s="10">
        <v>380</v>
      </c>
      <c r="H438" s="16">
        <f>HYPERLINK("http://www.khareta.com", "www.khareta.com")</f>
      </c>
      <c r="I438" t="s" s="10">
        <v>3735</v>
      </c>
      <c r="J438" t="s" s="24">
        <v>34</v>
      </c>
      <c r="K438" s="24">
        <v>1</v>
      </c>
      <c r="L438" t="s" s="24">
        <v>34</v>
      </c>
      <c r="M438" t="s" s="12">
        <v>3830</v>
      </c>
      <c r="N438" t="s" s="10">
        <v>3831</v>
      </c>
      <c r="O438" t="s" s="10">
        <v>1209</v>
      </c>
      <c r="P438" t="s" s="10">
        <v>3832</v>
      </c>
      <c r="Q438" t="s" s="10">
        <v>34</v>
      </c>
      <c r="R438" t="s" s="10">
        <v>1211</v>
      </c>
      <c r="S438" t="s" s="10">
        <v>34</v>
      </c>
      <c r="T438" t="s" s="12">
        <v>3833</v>
      </c>
      <c r="U438" t="s" s="10">
        <v>1213</v>
      </c>
      <c r="V438" t="s" s="12">
        <v>34</v>
      </c>
      <c r="W438" t="s" s="10">
        <v>3834</v>
      </c>
      <c r="X438" s="16">
        <f>HYPERLINK("https://my.pitchbook.com?p=334111-06P", "View People Online")</f>
      </c>
    </row>
    <row r="439">
      <c r="A439" t="s" s="11">
        <v>3835</v>
      </c>
      <c r="B439" t="s" s="11">
        <v>3836</v>
      </c>
      <c r="C439" t="s" s="11">
        <v>34</v>
      </c>
      <c r="D439" t="s" s="11">
        <v>3837</v>
      </c>
      <c r="E439" t="s" s="11">
        <v>3715</v>
      </c>
      <c r="F439" t="s" s="11">
        <v>3838</v>
      </c>
      <c r="G439" t="s" s="11">
        <v>1311</v>
      </c>
      <c r="H439" s="17">
        <f>HYPERLINK("http://www.southernophthalmology.com.au", "www.southernophthalmology.com.au")</f>
      </c>
      <c r="I439" t="s" s="11">
        <v>3840</v>
      </c>
      <c r="J439" t="s" s="25">
        <v>34</v>
      </c>
      <c r="K439" s="25">
        <v>1</v>
      </c>
      <c r="L439" t="s" s="25">
        <v>34</v>
      </c>
      <c r="M439" t="s" s="13">
        <v>3841</v>
      </c>
      <c r="N439" t="s" s="11">
        <v>3842</v>
      </c>
      <c r="O439" t="s" s="11">
        <v>3843</v>
      </c>
      <c r="P439" t="s" s="11">
        <v>3844</v>
      </c>
      <c r="Q439" t="s" s="11">
        <v>3845</v>
      </c>
      <c r="R439" t="s" s="11">
        <v>3846</v>
      </c>
      <c r="S439" t="s" s="11">
        <v>3847</v>
      </c>
      <c r="T439" t="s" s="13">
        <v>3848</v>
      </c>
      <c r="U439" t="s" s="11">
        <v>2105</v>
      </c>
      <c r="V439" t="s" s="13">
        <v>3849</v>
      </c>
      <c r="W439" t="s" s="11">
        <v>3850</v>
      </c>
      <c r="X439" s="17">
        <f>HYPERLINK("https://my.pitchbook.com?p=329326-84P", "View People Online")</f>
      </c>
    </row>
    <row r="440">
      <c r="A440" t="s" s="10">
        <v>3851</v>
      </c>
      <c r="B440" t="s" s="10">
        <v>1822</v>
      </c>
      <c r="C440" t="s" s="10">
        <v>34</v>
      </c>
      <c r="D440" t="s" s="10">
        <v>3852</v>
      </c>
      <c r="E440" t="s" s="10">
        <v>3715</v>
      </c>
      <c r="F440" t="s" s="10">
        <v>1824</v>
      </c>
      <c r="G440" t="s" s="10">
        <v>1825</v>
      </c>
      <c r="H440" s="16">
        <f>HYPERLINK("http://www.flexitricity.com", "www.flexitricity.com")</f>
      </c>
      <c r="I440" t="s" s="10">
        <v>3854</v>
      </c>
      <c r="J440" t="s" s="24">
        <v>34</v>
      </c>
      <c r="K440" s="24">
        <v>1</v>
      </c>
      <c r="L440" t="s" s="24">
        <v>34</v>
      </c>
      <c r="M440" t="s" s="12">
        <v>3855</v>
      </c>
      <c r="N440" t="s" s="10">
        <v>3856</v>
      </c>
      <c r="O440" t="s" s="10">
        <v>3179</v>
      </c>
      <c r="P440" t="s" s="10">
        <v>3857</v>
      </c>
      <c r="Q440" t="s" s="10">
        <v>34</v>
      </c>
      <c r="R440" t="s" s="10">
        <v>3182</v>
      </c>
      <c r="S440" t="s" s="10">
        <v>3183</v>
      </c>
      <c r="T440" t="s" s="12">
        <v>3858</v>
      </c>
      <c r="U440" t="s" s="10">
        <v>49</v>
      </c>
      <c r="V440" t="s" s="12">
        <v>3859</v>
      </c>
      <c r="W440" t="s" s="10">
        <v>3860</v>
      </c>
      <c r="X440" s="16">
        <f>HYPERLINK("https://my.pitchbook.com?p=58849-39P", "View People Online")</f>
      </c>
    </row>
    <row r="441">
      <c r="A441" t="s" s="11">
        <v>3861</v>
      </c>
      <c r="B441" t="s" s="11">
        <v>1822</v>
      </c>
      <c r="C441" t="s" s="11">
        <v>34</v>
      </c>
      <c r="D441" t="s" s="11">
        <v>3862</v>
      </c>
      <c r="E441" t="s" s="11">
        <v>3715</v>
      </c>
      <c r="F441" t="s" s="11">
        <v>1824</v>
      </c>
      <c r="G441" t="s" s="11">
        <v>1825</v>
      </c>
      <c r="H441" s="17">
        <f>HYPERLINK("http://www.ukdra.com", "www.ukdra.com")</f>
      </c>
      <c r="I441" t="s" s="11">
        <v>1346</v>
      </c>
      <c r="J441" t="s" s="25">
        <v>34</v>
      </c>
      <c r="K441" t="s" s="25">
        <v>34</v>
      </c>
      <c r="L441" t="s" s="25">
        <v>34</v>
      </c>
      <c r="M441" t="s" s="13">
        <v>34</v>
      </c>
      <c r="N441" t="s" s="11">
        <v>34</v>
      </c>
      <c r="O441" t="s" s="11">
        <v>34</v>
      </c>
      <c r="P441" t="s" s="11">
        <v>34</v>
      </c>
      <c r="Q441" t="s" s="11">
        <v>34</v>
      </c>
      <c r="R441" t="s" s="11">
        <v>34</v>
      </c>
      <c r="S441" t="s" s="11">
        <v>34</v>
      </c>
      <c r="T441" t="s" s="13">
        <v>34</v>
      </c>
      <c r="U441" t="s" s="11">
        <v>34</v>
      </c>
      <c r="V441" t="s" s="13">
        <v>34</v>
      </c>
      <c r="W441" t="s" s="11">
        <v>3864</v>
      </c>
      <c r="X441" s="17">
        <f>HYPERLINK("https://my.pitchbook.com?p=104395-24P", "View People Online")</f>
      </c>
    </row>
    <row r="442">
      <c r="A442" t="s" s="10">
        <v>3865</v>
      </c>
      <c r="B442" t="s" s="10">
        <v>3866</v>
      </c>
      <c r="C442" t="s" s="10">
        <v>34</v>
      </c>
      <c r="D442" t="s" s="10">
        <v>3867</v>
      </c>
      <c r="E442" t="s" s="10">
        <v>3715</v>
      </c>
      <c r="F442" t="s" s="10">
        <v>3868</v>
      </c>
      <c r="G442" t="s" s="10">
        <v>3869</v>
      </c>
      <c r="H442" s="16">
        <f>HYPERLINK("http://www.selleroyalgroup.com", "www.selleroyalgroup.com")</f>
      </c>
      <c r="I442" t="s" s="10">
        <v>3871</v>
      </c>
      <c r="J442" t="s" s="24">
        <v>34</v>
      </c>
      <c r="K442" s="24">
        <v>1</v>
      </c>
      <c r="L442" t="s" s="24">
        <v>34</v>
      </c>
      <c r="M442" t="s" s="12">
        <v>3872</v>
      </c>
      <c r="N442" t="s" s="10">
        <v>3873</v>
      </c>
      <c r="O442" t="s" s="10">
        <v>3874</v>
      </c>
      <c r="P442" t="s" s="10">
        <v>3875</v>
      </c>
      <c r="Q442" t="s" s="10">
        <v>34</v>
      </c>
      <c r="R442" t="s" s="10">
        <v>3876</v>
      </c>
      <c r="S442" t="s" s="10">
        <v>3877</v>
      </c>
      <c r="T442" t="s" s="12">
        <v>3878</v>
      </c>
      <c r="U442" t="s" s="10">
        <v>2566</v>
      </c>
      <c r="V442" t="s" s="12">
        <v>34</v>
      </c>
      <c r="W442" t="s" s="10">
        <v>3879</v>
      </c>
      <c r="X442" s="16">
        <f>HYPERLINK("https://my.pitchbook.com?p=262943-65P", "View People Online")</f>
      </c>
    </row>
    <row r="443">
      <c r="A443" t="s" s="11">
        <v>3880</v>
      </c>
      <c r="B443" t="s" s="11">
        <v>3881</v>
      </c>
      <c r="C443" t="s" s="11">
        <v>34</v>
      </c>
      <c r="D443" t="s" s="11">
        <v>3867</v>
      </c>
      <c r="E443" t="s" s="11">
        <v>3715</v>
      </c>
      <c r="F443" t="s" s="11">
        <v>1982</v>
      </c>
      <c r="G443" t="s" s="11">
        <v>3869</v>
      </c>
      <c r="H443" s="17">
        <f>HYPERLINK("http://www.selleroyalgroup.com", "www.selleroyalgroup.com")</f>
      </c>
      <c r="I443" t="s" s="11">
        <v>3882</v>
      </c>
      <c r="J443" t="s" s="25">
        <v>34</v>
      </c>
      <c r="K443" s="25">
        <v>1</v>
      </c>
      <c r="L443" t="s" s="25">
        <v>34</v>
      </c>
      <c r="M443" t="s" s="13">
        <v>3872</v>
      </c>
      <c r="N443" t="s" s="11">
        <v>3883</v>
      </c>
      <c r="O443" t="s" s="11">
        <v>3874</v>
      </c>
      <c r="P443" t="s" s="11">
        <v>3875</v>
      </c>
      <c r="Q443" t="s" s="11">
        <v>34</v>
      </c>
      <c r="R443" t="s" s="11">
        <v>3876</v>
      </c>
      <c r="S443" t="s" s="11">
        <v>3877</v>
      </c>
      <c r="T443" t="s" s="13">
        <v>3878</v>
      </c>
      <c r="U443" t="s" s="11">
        <v>2566</v>
      </c>
      <c r="V443" t="s" s="13">
        <v>34</v>
      </c>
      <c r="W443" t="s" s="11">
        <v>3884</v>
      </c>
      <c r="X443" s="17">
        <f>HYPERLINK("https://my.pitchbook.com?p=262943-02P", "View People Online")</f>
      </c>
    </row>
    <row r="444">
      <c r="A444" t="s" s="10">
        <v>3885</v>
      </c>
      <c r="B444" t="s" s="10">
        <v>3886</v>
      </c>
      <c r="C444" t="s" s="10">
        <v>34</v>
      </c>
      <c r="D444" t="s" s="10">
        <v>3887</v>
      </c>
      <c r="E444" t="s" s="10">
        <v>3715</v>
      </c>
      <c r="F444" t="s" s="10">
        <v>3888</v>
      </c>
      <c r="G444" t="s" s="10">
        <v>414</v>
      </c>
      <c r="H444" s="16">
        <f>HYPERLINK("http://www.amphio.co", "www.amphio.co")</f>
      </c>
      <c r="I444" t="s" s="10">
        <v>3890</v>
      </c>
      <c r="J444" t="s" s="24">
        <v>34</v>
      </c>
      <c r="K444" t="s" s="24">
        <v>34</v>
      </c>
      <c r="L444" t="s" s="24">
        <v>34</v>
      </c>
      <c r="M444" t="s" s="12">
        <v>34</v>
      </c>
      <c r="N444" t="s" s="10">
        <v>34</v>
      </c>
      <c r="O444" t="s" s="10">
        <v>34</v>
      </c>
      <c r="P444" t="s" s="10">
        <v>34</v>
      </c>
      <c r="Q444" t="s" s="10">
        <v>34</v>
      </c>
      <c r="R444" t="s" s="10">
        <v>34</v>
      </c>
      <c r="S444" t="s" s="10">
        <v>34</v>
      </c>
      <c r="T444" t="s" s="12">
        <v>34</v>
      </c>
      <c r="U444" t="s" s="10">
        <v>34</v>
      </c>
      <c r="V444" t="s" s="12">
        <v>34</v>
      </c>
      <c r="W444" t="s" s="10">
        <v>3891</v>
      </c>
      <c r="X444" s="16">
        <f>HYPERLINK("https://my.pitchbook.com?p=118976-50P", "View People Online")</f>
      </c>
    </row>
    <row r="445">
      <c r="A445" t="s" s="11">
        <v>3892</v>
      </c>
      <c r="B445" t="s" s="11">
        <v>3893</v>
      </c>
      <c r="C445" t="s" s="11">
        <v>34</v>
      </c>
      <c r="D445" t="s" s="11">
        <v>3894</v>
      </c>
      <c r="E445" t="s" s="11">
        <v>3715</v>
      </c>
      <c r="F445" t="s" s="11">
        <v>3888</v>
      </c>
      <c r="G445" t="s" s="11">
        <v>425</v>
      </c>
      <c r="H445" s="17">
        <f>HYPERLINK("http://www.qiktionary.com", "www.qiktionary.com")</f>
      </c>
      <c r="I445" t="s" s="11">
        <v>3896</v>
      </c>
      <c r="J445" s="25">
        <v>2</v>
      </c>
      <c r="K445" s="25">
        <v>2</v>
      </c>
      <c r="L445" t="s" s="25">
        <v>34</v>
      </c>
      <c r="M445" t="s" s="13">
        <v>34</v>
      </c>
      <c r="N445" t="s" s="11">
        <v>3897</v>
      </c>
      <c r="O445" t="s" s="11">
        <v>3898</v>
      </c>
      <c r="P445" t="s" s="11">
        <v>3899</v>
      </c>
      <c r="Q445" t="s" s="11">
        <v>3900</v>
      </c>
      <c r="R445" t="s" s="11">
        <v>3901</v>
      </c>
      <c r="S445" t="s" s="11">
        <v>47</v>
      </c>
      <c r="T445" t="s" s="13">
        <v>3902</v>
      </c>
      <c r="U445" t="s" s="11">
        <v>49</v>
      </c>
      <c r="V445" t="s" s="13">
        <v>34</v>
      </c>
      <c r="W445" t="s" s="11">
        <v>3903</v>
      </c>
      <c r="X445" s="17">
        <f>HYPERLINK("https://my.pitchbook.com?p=93900-16P", "View People Online")</f>
      </c>
    </row>
    <row r="446">
      <c r="A446" t="s" s="10">
        <v>3904</v>
      </c>
      <c r="B446" t="s" s="10">
        <v>3905</v>
      </c>
      <c r="C446" t="s" s="10">
        <v>34</v>
      </c>
      <c r="D446" t="s" s="10">
        <v>3725</v>
      </c>
      <c r="E446" t="s" s="10">
        <v>3715</v>
      </c>
      <c r="F446" t="s" s="10">
        <v>3906</v>
      </c>
      <c r="G446" t="s" s="10">
        <v>425</v>
      </c>
      <c r="H446" s="16">
        <f>HYPERLINK("http://www.royalihc.com", "www.royalihc.com")</f>
      </c>
      <c r="I446" t="s" s="10">
        <v>1358</v>
      </c>
      <c r="J446" t="s" s="24">
        <v>34</v>
      </c>
      <c r="K446" t="s" s="24">
        <v>34</v>
      </c>
      <c r="L446" t="s" s="24">
        <v>34</v>
      </c>
      <c r="M446" t="s" s="12">
        <v>34</v>
      </c>
      <c r="N446" t="s" s="10">
        <v>34</v>
      </c>
      <c r="O446" t="s" s="10">
        <v>34</v>
      </c>
      <c r="P446" t="s" s="10">
        <v>34</v>
      </c>
      <c r="Q446" t="s" s="10">
        <v>34</v>
      </c>
      <c r="R446" t="s" s="10">
        <v>34</v>
      </c>
      <c r="S446" t="s" s="10">
        <v>34</v>
      </c>
      <c r="T446" t="s" s="12">
        <v>34</v>
      </c>
      <c r="U446" t="s" s="10">
        <v>34</v>
      </c>
      <c r="V446" t="s" s="12">
        <v>34</v>
      </c>
      <c r="W446" t="s" s="10">
        <v>3907</v>
      </c>
      <c r="X446" s="16">
        <f>HYPERLINK("https://my.pitchbook.com?p=140666-68P", "View People Online")</f>
      </c>
    </row>
    <row r="447">
      <c r="A447" t="s" s="11">
        <v>3908</v>
      </c>
      <c r="B447" t="s" s="11">
        <v>3909</v>
      </c>
      <c r="C447" t="s" s="11">
        <v>34</v>
      </c>
      <c r="D447" t="s" s="11">
        <v>3910</v>
      </c>
      <c r="E447" t="s" s="11">
        <v>3715</v>
      </c>
      <c r="F447" t="s" s="11">
        <v>3911</v>
      </c>
      <c r="G447" t="s" s="11">
        <v>3912</v>
      </c>
      <c r="H447" s="17">
        <f>HYPERLINK("http://uhcs.swiss", "uhcs.swiss")</f>
      </c>
      <c r="I447" t="s" s="11">
        <v>1346</v>
      </c>
      <c r="J447" t="s" s="25">
        <v>34</v>
      </c>
      <c r="K447" s="25">
        <v>2</v>
      </c>
      <c r="L447" t="s" s="25">
        <v>34</v>
      </c>
      <c r="M447" t="s" s="13">
        <v>3914</v>
      </c>
      <c r="N447" t="s" s="11">
        <v>3915</v>
      </c>
      <c r="O447" t="s" s="11">
        <v>3916</v>
      </c>
      <c r="P447" t="s" s="11">
        <v>3917</v>
      </c>
      <c r="Q447" t="s" s="11">
        <v>3918</v>
      </c>
      <c r="R447" t="s" s="11">
        <v>3919</v>
      </c>
      <c r="S447" t="s" s="11">
        <v>34</v>
      </c>
      <c r="T447" t="s" s="13">
        <v>3920</v>
      </c>
      <c r="U447" t="s" s="11">
        <v>544</v>
      </c>
      <c r="V447" t="s" s="13">
        <v>34</v>
      </c>
      <c r="W447" t="s" s="11">
        <v>3921</v>
      </c>
      <c r="X447" s="17">
        <f>HYPERLINK("https://my.pitchbook.com?p=214334-20P", "View People Online")</f>
      </c>
    </row>
    <row r="448">
      <c r="A448" t="s" s="10">
        <v>3922</v>
      </c>
      <c r="B448" t="s" s="10">
        <v>3923</v>
      </c>
      <c r="C448" t="s" s="10">
        <v>34</v>
      </c>
      <c r="D448" t="s" s="10">
        <v>3924</v>
      </c>
      <c r="E448" t="s" s="10">
        <v>3715</v>
      </c>
      <c r="F448" t="s" s="10">
        <v>3925</v>
      </c>
      <c r="G448" t="s" s="10">
        <v>3926</v>
      </c>
      <c r="H448" s="16">
        <f>HYPERLINK("http://www.g42.ai", "www.g42.ai")</f>
      </c>
      <c r="I448" t="s" s="10">
        <v>3928</v>
      </c>
      <c r="J448" t="s" s="24">
        <v>34</v>
      </c>
      <c r="K448" s="24">
        <v>1</v>
      </c>
      <c r="L448" t="s" s="24">
        <v>34</v>
      </c>
      <c r="M448" t="s" s="12">
        <v>34</v>
      </c>
      <c r="N448" t="s" s="10">
        <v>3929</v>
      </c>
      <c r="O448" t="s" s="10">
        <v>385</v>
      </c>
      <c r="P448" t="s" s="10">
        <v>3930</v>
      </c>
      <c r="Q448" t="s" s="10">
        <v>3931</v>
      </c>
      <c r="R448" t="s" s="10">
        <v>388</v>
      </c>
      <c r="S448" t="s" s="10">
        <v>34</v>
      </c>
      <c r="T448" t="s" s="12">
        <v>34</v>
      </c>
      <c r="U448" t="s" s="10">
        <v>240</v>
      </c>
      <c r="V448" t="s" s="12">
        <v>34</v>
      </c>
      <c r="W448" t="s" s="10">
        <v>3932</v>
      </c>
      <c r="X448" s="16">
        <f>HYPERLINK("https://my.pitchbook.com?p=418797-55P", "View People Online")</f>
      </c>
    </row>
    <row r="449">
      <c r="A449" t="s" s="11">
        <v>3933</v>
      </c>
      <c r="B449" t="s" s="11">
        <v>3934</v>
      </c>
      <c r="C449" t="s" s="11">
        <v>34</v>
      </c>
      <c r="D449" t="s" s="11">
        <v>3935</v>
      </c>
      <c r="E449" t="s" s="11">
        <v>3715</v>
      </c>
      <c r="F449" t="s" s="11">
        <v>3936</v>
      </c>
      <c r="G449" t="s" s="11">
        <v>2709</v>
      </c>
      <c r="H449" s="17">
        <f>HYPERLINK("http://www.ihcgroup.com", "www.ihcgroup.com")</f>
      </c>
      <c r="I449" t="s" s="11">
        <v>649</v>
      </c>
      <c r="J449" t="s" s="25">
        <v>34</v>
      </c>
      <c r="K449" t="s" s="25">
        <v>34</v>
      </c>
      <c r="L449" t="s" s="25">
        <v>34</v>
      </c>
      <c r="M449" t="s" s="13">
        <v>34</v>
      </c>
      <c r="N449" t="s" s="11">
        <v>34</v>
      </c>
      <c r="O449" t="s" s="11">
        <v>34</v>
      </c>
      <c r="P449" t="s" s="11">
        <v>34</v>
      </c>
      <c r="Q449" t="s" s="11">
        <v>34</v>
      </c>
      <c r="R449" t="s" s="11">
        <v>34</v>
      </c>
      <c r="S449" t="s" s="11">
        <v>34</v>
      </c>
      <c r="T449" t="s" s="13">
        <v>34</v>
      </c>
      <c r="U449" t="s" s="11">
        <v>34</v>
      </c>
      <c r="V449" t="s" s="13">
        <v>34</v>
      </c>
      <c r="W449" t="s" s="11">
        <v>3938</v>
      </c>
      <c r="X449" s="17">
        <f>HYPERLINK("https://my.pitchbook.com?p=281493-82P", "View People Online")</f>
      </c>
    </row>
    <row r="450">
      <c r="A450" t="s" s="10">
        <v>3939</v>
      </c>
      <c r="B450" t="s" s="10">
        <v>3940</v>
      </c>
      <c r="C450" t="s" s="10">
        <v>34</v>
      </c>
      <c r="D450" t="s" s="10">
        <v>3941</v>
      </c>
      <c r="E450" t="s" s="10">
        <v>3715</v>
      </c>
      <c r="F450" t="s" s="10">
        <v>3942</v>
      </c>
      <c r="G450" t="s" s="10">
        <v>3943</v>
      </c>
      <c r="H450" s="16">
        <f>HYPERLINK("http://www.phenopath.com", "www.phenopath.com")</f>
      </c>
      <c r="I450" t="s" s="10">
        <v>3945</v>
      </c>
      <c r="J450" t="s" s="24">
        <v>34</v>
      </c>
      <c r="K450" t="s" s="24">
        <v>34</v>
      </c>
      <c r="L450" t="s" s="24">
        <v>34</v>
      </c>
      <c r="M450" t="s" s="12">
        <v>34</v>
      </c>
      <c r="N450" t="s" s="10">
        <v>34</v>
      </c>
      <c r="O450" t="s" s="10">
        <v>34</v>
      </c>
      <c r="P450" t="s" s="10">
        <v>34</v>
      </c>
      <c r="Q450" t="s" s="10">
        <v>34</v>
      </c>
      <c r="R450" t="s" s="10">
        <v>34</v>
      </c>
      <c r="S450" t="s" s="10">
        <v>34</v>
      </c>
      <c r="T450" t="s" s="12">
        <v>34</v>
      </c>
      <c r="U450" t="s" s="10">
        <v>34</v>
      </c>
      <c r="V450" t="s" s="12">
        <v>34</v>
      </c>
      <c r="W450" t="s" s="10">
        <v>3946</v>
      </c>
      <c r="X450" s="16">
        <f>HYPERLINK("https://my.pitchbook.com?p=194547-70P", "View People Online")</f>
      </c>
    </row>
    <row r="451">
      <c r="A451" t="s" s="11">
        <v>3947</v>
      </c>
      <c r="B451" t="s" s="11">
        <v>3948</v>
      </c>
      <c r="C451" t="s" s="11">
        <v>34</v>
      </c>
      <c r="D451" t="s" s="11">
        <v>3949</v>
      </c>
      <c r="E451" t="s" s="11">
        <v>3715</v>
      </c>
      <c r="F451" t="s" s="11">
        <v>3950</v>
      </c>
      <c r="G451" t="s" s="11">
        <v>3951</v>
      </c>
      <c r="H451" s="17">
        <f>HYPERLINK("http://www.interactivconsulting.com", "www.interactivconsulting.com")</f>
      </c>
      <c r="I451" t="s" s="11">
        <v>3953</v>
      </c>
      <c r="J451" t="s" s="25">
        <v>34</v>
      </c>
      <c r="K451" s="25">
        <v>1</v>
      </c>
      <c r="L451" t="s" s="25">
        <v>34</v>
      </c>
      <c r="M451" t="s" s="13">
        <v>34</v>
      </c>
      <c r="N451" t="s" s="11">
        <v>3954</v>
      </c>
      <c r="O451" t="s" s="11">
        <v>3955</v>
      </c>
      <c r="P451" t="s" s="11">
        <v>3956</v>
      </c>
      <c r="Q451" t="s" s="11">
        <v>34</v>
      </c>
      <c r="R451" t="s" s="11">
        <v>3957</v>
      </c>
      <c r="S451" t="s" s="11">
        <v>34</v>
      </c>
      <c r="T451" t="s" s="13">
        <v>3958</v>
      </c>
      <c r="U451" t="s" s="11">
        <v>3959</v>
      </c>
      <c r="V451" t="s" s="13">
        <v>34</v>
      </c>
      <c r="W451" t="s" s="11">
        <v>3960</v>
      </c>
      <c r="X451" s="17">
        <f>HYPERLINK("https://my.pitchbook.com?p=406308-61P", "View People Online")</f>
      </c>
    </row>
    <row r="452">
      <c r="A452" t="s" s="10">
        <v>3961</v>
      </c>
      <c r="B452" t="s" s="10">
        <v>3962</v>
      </c>
      <c r="C452" t="s" s="10">
        <v>34</v>
      </c>
      <c r="D452" t="s" s="10">
        <v>3963</v>
      </c>
      <c r="E452" t="s" s="10">
        <v>3715</v>
      </c>
      <c r="F452" t="s" s="10">
        <v>2147</v>
      </c>
      <c r="G452" t="s" s="10">
        <v>3964</v>
      </c>
      <c r="H452" s="16">
        <f>HYPERLINK("http://www.pertamedika.co.id", "www.pertamedika.co.id")</f>
      </c>
      <c r="I452" t="s" s="10">
        <v>3966</v>
      </c>
      <c r="J452" s="24">
        <v>1</v>
      </c>
      <c r="K452" s="24">
        <v>1</v>
      </c>
      <c r="L452" t="s" s="24">
        <v>34</v>
      </c>
      <c r="M452" t="s" s="12">
        <v>3967</v>
      </c>
      <c r="N452" t="s" s="10">
        <v>3968</v>
      </c>
      <c r="O452" t="s" s="10">
        <v>3969</v>
      </c>
      <c r="P452" t="s" s="10">
        <v>3970</v>
      </c>
      <c r="Q452" t="s" s="10">
        <v>34</v>
      </c>
      <c r="R452" t="s" s="10">
        <v>3971</v>
      </c>
      <c r="S452" t="s" s="10">
        <v>34</v>
      </c>
      <c r="T452" t="s" s="12">
        <v>3972</v>
      </c>
      <c r="U452" t="s" s="10">
        <v>3973</v>
      </c>
      <c r="V452" t="s" s="12">
        <v>34</v>
      </c>
      <c r="W452" t="s" s="10">
        <v>3974</v>
      </c>
      <c r="X452" s="16">
        <f>HYPERLINK("https://my.pitchbook.com?p=443150-56P", "View People Online")</f>
      </c>
    </row>
    <row r="453">
      <c r="A453" t="s" s="11">
        <v>3975</v>
      </c>
      <c r="B453" t="s" s="11">
        <v>3976</v>
      </c>
      <c r="C453" t="s" s="11">
        <v>34</v>
      </c>
      <c r="D453" t="s" s="11">
        <v>3977</v>
      </c>
      <c r="E453" t="s" s="11">
        <v>3715</v>
      </c>
      <c r="F453" t="s" s="11">
        <v>3978</v>
      </c>
      <c r="G453" t="s" s="11">
        <v>3979</v>
      </c>
      <c r="H453" s="17">
        <f>HYPERLINK("http://www.sawaeedholding.com", "www.sawaeedholding.com")</f>
      </c>
      <c r="I453" t="s" s="11">
        <v>234</v>
      </c>
      <c r="J453" t="s" s="25">
        <v>34</v>
      </c>
      <c r="K453" s="25">
        <v>1</v>
      </c>
      <c r="L453" t="s" s="25">
        <v>34</v>
      </c>
      <c r="M453" t="s" s="13">
        <v>3981</v>
      </c>
      <c r="N453" t="s" s="11">
        <v>3982</v>
      </c>
      <c r="O453" t="s" s="11">
        <v>385</v>
      </c>
      <c r="P453" t="s" s="11">
        <v>3983</v>
      </c>
      <c r="Q453" t="s" s="11">
        <v>34</v>
      </c>
      <c r="R453" t="s" s="11">
        <v>388</v>
      </c>
      <c r="S453" t="s" s="11">
        <v>34</v>
      </c>
      <c r="T453" t="s" s="13">
        <v>34</v>
      </c>
      <c r="U453" t="s" s="11">
        <v>240</v>
      </c>
      <c r="V453" t="s" s="13">
        <v>34</v>
      </c>
      <c r="W453" t="s" s="11">
        <v>3984</v>
      </c>
      <c r="X453" s="17">
        <f>HYPERLINK("https://my.pitchbook.com?p=326598-49P", "View People Online")</f>
      </c>
    </row>
    <row r="454">
      <c r="A454" t="s" s="10">
        <v>3985</v>
      </c>
      <c r="B454" t="s" s="10">
        <v>3986</v>
      </c>
      <c r="C454" t="s" s="10">
        <v>34</v>
      </c>
      <c r="D454" t="s" s="10">
        <v>3809</v>
      </c>
      <c r="E454" t="s" s="10">
        <v>3715</v>
      </c>
      <c r="F454" t="s" s="10">
        <v>3987</v>
      </c>
      <c r="G454" t="s" s="10">
        <v>3988</v>
      </c>
      <c r="H454" s="16">
        <f>HYPERLINK("http://www.arada.com", "www.arada.com")</f>
      </c>
      <c r="I454" t="s" s="10">
        <v>1358</v>
      </c>
      <c r="J454" t="s" s="24">
        <v>34</v>
      </c>
      <c r="K454" s="24">
        <v>1</v>
      </c>
      <c r="L454" t="s" s="24">
        <v>34</v>
      </c>
      <c r="M454" t="s" s="12">
        <v>3812</v>
      </c>
      <c r="N454" t="s" s="10">
        <v>3989</v>
      </c>
      <c r="O454" t="s" s="10">
        <v>236</v>
      </c>
      <c r="P454" t="s" s="10">
        <v>3813</v>
      </c>
      <c r="Q454" t="s" s="10">
        <v>3814</v>
      </c>
      <c r="R454" t="s" s="10">
        <v>239</v>
      </c>
      <c r="S454" t="s" s="10">
        <v>34</v>
      </c>
      <c r="T454" t="s" s="12">
        <v>34</v>
      </c>
      <c r="U454" t="s" s="10">
        <v>240</v>
      </c>
      <c r="V454" t="s" s="12">
        <v>34</v>
      </c>
      <c r="W454" t="s" s="10">
        <v>3990</v>
      </c>
      <c r="X454" s="16">
        <f>HYPERLINK("https://my.pitchbook.com?p=399972-07P", "View People Online")</f>
      </c>
    </row>
    <row r="455">
      <c r="A455" t="s" s="11">
        <v>3991</v>
      </c>
      <c r="B455" t="s" s="11">
        <v>3992</v>
      </c>
      <c r="C455" t="s" s="11">
        <v>34</v>
      </c>
      <c r="D455" t="s" s="11">
        <v>3993</v>
      </c>
      <c r="E455" t="s" s="11">
        <v>3715</v>
      </c>
      <c r="F455" t="s" s="11">
        <v>3994</v>
      </c>
      <c r="G455" t="s" s="11">
        <v>3988</v>
      </c>
      <c r="H455" s="17">
        <f>HYPERLINK("http://www.dubaiholding.com", "www.dubaiholding.com")</f>
      </c>
      <c r="I455" t="s" s="11">
        <v>3996</v>
      </c>
      <c r="J455" t="s" s="25">
        <v>34</v>
      </c>
      <c r="K455" s="25">
        <v>4</v>
      </c>
      <c r="L455" s="25">
        <v>2</v>
      </c>
      <c r="M455" t="s" s="13">
        <v>3997</v>
      </c>
      <c r="N455" t="s" s="11">
        <v>3998</v>
      </c>
      <c r="O455" t="s" s="11">
        <v>236</v>
      </c>
      <c r="P455" t="s" s="11">
        <v>3999</v>
      </c>
      <c r="Q455" t="s" s="11">
        <v>4000</v>
      </c>
      <c r="R455" t="s" s="11">
        <v>239</v>
      </c>
      <c r="S455" t="s" s="11">
        <v>34</v>
      </c>
      <c r="T455" t="s" s="13">
        <v>34</v>
      </c>
      <c r="U455" t="s" s="11">
        <v>240</v>
      </c>
      <c r="V455" t="s" s="13">
        <v>4001</v>
      </c>
      <c r="W455" t="s" s="11">
        <v>4002</v>
      </c>
      <c r="X455" s="17">
        <f>HYPERLINK("https://my.pitchbook.com?p=179893-63P", "View People Online")</f>
      </c>
    </row>
    <row r="456">
      <c r="A456" t="s" s="10">
        <v>4003</v>
      </c>
      <c r="B456" t="s" s="10">
        <v>4004</v>
      </c>
      <c r="C456" t="s" s="10">
        <v>34</v>
      </c>
      <c r="D456" t="s" s="10">
        <v>4005</v>
      </c>
      <c r="E456" t="s" s="10">
        <v>3715</v>
      </c>
      <c r="F456" t="s" s="10">
        <v>4006</v>
      </c>
      <c r="G456" t="s" s="10">
        <v>4007</v>
      </c>
      <c r="H456" s="16">
        <f>HYPERLINK("http://www.marinejetpower.com", "www.marinejetpower.com")</f>
      </c>
      <c r="I456" t="s" s="10">
        <v>2321</v>
      </c>
      <c r="J456" t="s" s="24">
        <v>34</v>
      </c>
      <c r="K456" s="24">
        <v>1</v>
      </c>
      <c r="L456" s="24">
        <v>1</v>
      </c>
      <c r="M456" t="s" s="12">
        <v>4009</v>
      </c>
      <c r="N456" t="s" s="10">
        <v>34</v>
      </c>
      <c r="O456" t="s" s="10">
        <v>34</v>
      </c>
      <c r="P456" t="s" s="10">
        <v>34</v>
      </c>
      <c r="Q456" t="s" s="10">
        <v>34</v>
      </c>
      <c r="R456" t="s" s="10">
        <v>34</v>
      </c>
      <c r="S456" t="s" s="10">
        <v>34</v>
      </c>
      <c r="T456" t="s" s="12">
        <v>34</v>
      </c>
      <c r="U456" t="s" s="10">
        <v>34</v>
      </c>
      <c r="V456" t="s" s="12">
        <v>34</v>
      </c>
      <c r="W456" t="s" s="10">
        <v>4010</v>
      </c>
      <c r="X456" s="16">
        <f>HYPERLINK("https://my.pitchbook.com?p=81355-42P", "View People Online")</f>
      </c>
    </row>
    <row r="457">
      <c r="A457" t="s" s="11">
        <v>4011</v>
      </c>
      <c r="B457" t="s" s="11">
        <v>4012</v>
      </c>
      <c r="C457" t="s" s="11">
        <v>34</v>
      </c>
      <c r="D457" t="s" s="11">
        <v>4013</v>
      </c>
      <c r="E457" t="s" s="11">
        <v>3715</v>
      </c>
      <c r="F457" t="s" s="11">
        <v>4014</v>
      </c>
      <c r="G457" t="s" s="11">
        <v>451</v>
      </c>
      <c r="H457" s="17">
        <f>HYPERLINK("http://innoforce.com", "innoforce.com")</f>
      </c>
      <c r="I457" t="s" s="11">
        <v>3562</v>
      </c>
      <c r="J457" t="s" s="25">
        <v>34</v>
      </c>
      <c r="K457" t="s" s="25">
        <v>34</v>
      </c>
      <c r="L457" t="s" s="25">
        <v>34</v>
      </c>
      <c r="M457" t="s" s="13">
        <v>34</v>
      </c>
      <c r="N457" t="s" s="11">
        <v>34</v>
      </c>
      <c r="O457" t="s" s="11">
        <v>34</v>
      </c>
      <c r="P457" t="s" s="11">
        <v>34</v>
      </c>
      <c r="Q457" t="s" s="11">
        <v>34</v>
      </c>
      <c r="R457" t="s" s="11">
        <v>34</v>
      </c>
      <c r="S457" t="s" s="11">
        <v>34</v>
      </c>
      <c r="T457" t="s" s="13">
        <v>34</v>
      </c>
      <c r="U457" t="s" s="11">
        <v>34</v>
      </c>
      <c r="V457" t="s" s="13">
        <v>34</v>
      </c>
      <c r="W457" t="s" s="11">
        <v>4016</v>
      </c>
      <c r="X457" s="17">
        <f>HYPERLINK("https://my.pitchbook.com?p=142214-95P", "View People Online")</f>
      </c>
    </row>
    <row r="458">
      <c r="A458" t="s" s="10">
        <v>4017</v>
      </c>
      <c r="B458" t="s" s="10">
        <v>4018</v>
      </c>
      <c r="C458" t="s" s="10">
        <v>34</v>
      </c>
      <c r="D458" t="s" s="10">
        <v>4019</v>
      </c>
      <c r="E458" t="s" s="10">
        <v>3715</v>
      </c>
      <c r="F458" t="s" s="10">
        <v>4020</v>
      </c>
      <c r="G458" t="s" s="10">
        <v>1502</v>
      </c>
      <c r="H458" s="16">
        <f>HYPERLINK("http://www.selleroyalgroup.com", "www.selleroyalgroup.com")</f>
      </c>
      <c r="I458" t="s" s="10">
        <v>4021</v>
      </c>
      <c r="J458" t="s" s="24">
        <v>34</v>
      </c>
      <c r="K458" t="s" s="24">
        <v>34</v>
      </c>
      <c r="L458" t="s" s="24">
        <v>34</v>
      </c>
      <c r="M458" t="s" s="12">
        <v>34</v>
      </c>
      <c r="N458" t="s" s="10">
        <v>34</v>
      </c>
      <c r="O458" t="s" s="10">
        <v>34</v>
      </c>
      <c r="P458" t="s" s="10">
        <v>34</v>
      </c>
      <c r="Q458" t="s" s="10">
        <v>34</v>
      </c>
      <c r="R458" t="s" s="10">
        <v>34</v>
      </c>
      <c r="S458" t="s" s="10">
        <v>34</v>
      </c>
      <c r="T458" t="s" s="12">
        <v>34</v>
      </c>
      <c r="U458" t="s" s="10">
        <v>34</v>
      </c>
      <c r="V458" t="s" s="12">
        <v>34</v>
      </c>
      <c r="W458" t="s" s="10">
        <v>4022</v>
      </c>
      <c r="X458" s="16">
        <f>HYPERLINK("https://my.pitchbook.com?p=262943-92P", "View People Online")</f>
      </c>
    </row>
    <row r="459">
      <c r="A459" t="s" s="11">
        <v>4023</v>
      </c>
      <c r="B459" t="s" s="11">
        <v>4024</v>
      </c>
      <c r="C459" t="s" s="11">
        <v>34</v>
      </c>
      <c r="D459" t="s" s="11">
        <v>4025</v>
      </c>
      <c r="E459" t="s" s="11">
        <v>3715</v>
      </c>
      <c r="F459" t="s" s="11">
        <v>4026</v>
      </c>
      <c r="G459" t="s" s="11">
        <v>1502</v>
      </c>
      <c r="H459" s="17">
        <f>HYPERLINK("http://www.royalgroupuae.com", "www.royalgroupuae.com")</f>
      </c>
      <c r="I459" t="s" s="11">
        <v>255</v>
      </c>
      <c r="J459" t="s" s="25">
        <v>34</v>
      </c>
      <c r="K459" s="25">
        <v>1</v>
      </c>
      <c r="L459" t="s" s="25">
        <v>34</v>
      </c>
      <c r="M459" t="s" s="13">
        <v>4028</v>
      </c>
      <c r="N459" t="s" s="11">
        <v>4029</v>
      </c>
      <c r="O459" t="s" s="11">
        <v>385</v>
      </c>
      <c r="P459" t="s" s="11">
        <v>4030</v>
      </c>
      <c r="Q459" t="s" s="11">
        <v>34</v>
      </c>
      <c r="R459" t="s" s="11">
        <v>388</v>
      </c>
      <c r="S459" t="s" s="11">
        <v>34</v>
      </c>
      <c r="T459" t="s" s="13">
        <v>34</v>
      </c>
      <c r="U459" t="s" s="11">
        <v>240</v>
      </c>
      <c r="V459" t="s" s="13">
        <v>4031</v>
      </c>
      <c r="W459" t="s" s="11">
        <v>4032</v>
      </c>
      <c r="X459" s="17">
        <f>HYPERLINK("https://my.pitchbook.com?p=191328-58P", "View People Online")</f>
      </c>
    </row>
    <row r="460">
      <c r="A460" t="s" s="10">
        <v>4033</v>
      </c>
      <c r="B460" t="s" s="10">
        <v>4034</v>
      </c>
      <c r="C460" t="s" s="10">
        <v>34</v>
      </c>
      <c r="D460" t="s" s="10">
        <v>4025</v>
      </c>
      <c r="E460" t="s" s="10">
        <v>3715</v>
      </c>
      <c r="F460" t="s" s="10">
        <v>4035</v>
      </c>
      <c r="G460" t="s" s="10">
        <v>4036</v>
      </c>
      <c r="H460" s="16">
        <f>HYPERLINK("http://www.royalgroupuae.com", "www.royalgroupuae.com")</f>
      </c>
      <c r="I460" t="s" s="10">
        <v>1358</v>
      </c>
      <c r="J460" t="s" s="24">
        <v>34</v>
      </c>
      <c r="K460" s="24">
        <v>1</v>
      </c>
      <c r="L460" t="s" s="24">
        <v>34</v>
      </c>
      <c r="M460" t="s" s="12">
        <v>4028</v>
      </c>
      <c r="N460" t="s" s="10">
        <v>4037</v>
      </c>
      <c r="O460" t="s" s="10">
        <v>385</v>
      </c>
      <c r="P460" t="s" s="10">
        <v>4030</v>
      </c>
      <c r="Q460" t="s" s="10">
        <v>34</v>
      </c>
      <c r="R460" t="s" s="10">
        <v>388</v>
      </c>
      <c r="S460" t="s" s="10">
        <v>34</v>
      </c>
      <c r="T460" t="s" s="12">
        <v>34</v>
      </c>
      <c r="U460" t="s" s="10">
        <v>240</v>
      </c>
      <c r="V460" t="s" s="12">
        <v>4031</v>
      </c>
      <c r="W460" t="s" s="10">
        <v>4038</v>
      </c>
      <c r="X460" s="16">
        <f>HYPERLINK("https://my.pitchbook.com?p=363437-11P", "View People Online")</f>
      </c>
    </row>
    <row r="461">
      <c r="A461" t="s" s="11">
        <v>4039</v>
      </c>
      <c r="B461" t="s" s="11">
        <v>4040</v>
      </c>
      <c r="C461" t="s" s="11">
        <v>34</v>
      </c>
      <c r="D461" t="s" s="11">
        <v>4041</v>
      </c>
      <c r="E461" t="s" s="11">
        <v>3715</v>
      </c>
      <c r="F461" t="s" s="11">
        <v>4042</v>
      </c>
      <c r="G461" t="s" s="11">
        <v>4036</v>
      </c>
      <c r="H461" s="17">
        <f>HYPERLINK("http://www.leadxpro.com", "www.leadxpro.com")</f>
      </c>
      <c r="I461" t="s" s="11">
        <v>649</v>
      </c>
      <c r="J461" s="25">
        <v>1</v>
      </c>
      <c r="K461" s="25">
        <v>1</v>
      </c>
      <c r="L461" t="s" s="25">
        <v>34</v>
      </c>
      <c r="M461" t="s" s="13">
        <v>4044</v>
      </c>
      <c r="N461" t="s" s="11">
        <v>34</v>
      </c>
      <c r="O461" t="s" s="11">
        <v>4045</v>
      </c>
      <c r="P461" t="s" s="11">
        <v>4046</v>
      </c>
      <c r="Q461" t="s" s="11">
        <v>34</v>
      </c>
      <c r="R461" t="s" s="11">
        <v>4047</v>
      </c>
      <c r="S461" t="s" s="11">
        <v>34</v>
      </c>
      <c r="T461" t="s" s="13">
        <v>4048</v>
      </c>
      <c r="U461" t="s" s="11">
        <v>544</v>
      </c>
      <c r="V461" t="s" s="13">
        <v>34</v>
      </c>
      <c r="W461" t="s" s="11">
        <v>4049</v>
      </c>
      <c r="X461" s="17">
        <f>HYPERLINK("https://my.pitchbook.com?p=121144-33P", "View People Online")</f>
      </c>
    </row>
    <row r="462">
      <c r="A462" t="s" s="10">
        <v>4050</v>
      </c>
      <c r="B462" t="s" s="10">
        <v>4051</v>
      </c>
      <c r="C462" t="s" s="10">
        <v>34</v>
      </c>
      <c r="D462" t="s" s="10">
        <v>4052</v>
      </c>
      <c r="E462" t="s" s="10">
        <v>3715</v>
      </c>
      <c r="F462" t="s" s="10">
        <v>4053</v>
      </c>
      <c r="G462" t="s" s="10">
        <v>4054</v>
      </c>
      <c r="H462" s="16">
        <f>HYPERLINK("http://www.sim-labs.com", "www.sim-labs.com")</f>
      </c>
      <c r="I462" t="s" s="10">
        <v>3735</v>
      </c>
      <c r="J462" t="s" s="24">
        <v>34</v>
      </c>
      <c r="K462" s="24">
        <v>3</v>
      </c>
      <c r="L462" s="24">
        <v>1</v>
      </c>
      <c r="M462" t="s" s="12">
        <v>34</v>
      </c>
      <c r="N462" t="s" s="10">
        <v>4056</v>
      </c>
      <c r="O462" t="s" s="10">
        <v>525</v>
      </c>
      <c r="P462" t="s" s="10">
        <v>4057</v>
      </c>
      <c r="Q462" t="s" s="10">
        <v>4058</v>
      </c>
      <c r="R462" t="s" s="10">
        <v>528</v>
      </c>
      <c r="S462" t="s" s="10">
        <v>34</v>
      </c>
      <c r="T462" t="s" s="12">
        <v>4059</v>
      </c>
      <c r="U462" t="s" s="10">
        <v>528</v>
      </c>
      <c r="V462" t="s" s="12">
        <v>34</v>
      </c>
      <c r="W462" t="s" s="10">
        <v>4060</v>
      </c>
      <c r="X462" s="16">
        <f>HYPERLINK("https://my.pitchbook.com?p=341834-86P", "View People Online")</f>
      </c>
    </row>
    <row r="463">
      <c r="A463" t="s" s="11">
        <v>4061</v>
      </c>
      <c r="B463" t="s" s="11">
        <v>4062</v>
      </c>
      <c r="C463" t="s" s="11">
        <v>34</v>
      </c>
      <c r="D463" t="s" s="11">
        <v>4063</v>
      </c>
      <c r="E463" t="s" s="11">
        <v>3715</v>
      </c>
      <c r="F463" t="s" s="11">
        <v>1234</v>
      </c>
      <c r="G463" t="s" s="11">
        <v>189</v>
      </c>
      <c r="H463" s="17">
        <f>HYPERLINK("http://www.primroseskitchen.com", "www.primroseskitchen.com")</f>
      </c>
      <c r="I463" t="s" s="11">
        <v>4065</v>
      </c>
      <c r="J463" s="25">
        <v>1</v>
      </c>
      <c r="K463" s="25">
        <v>1</v>
      </c>
      <c r="L463" t="s" s="25">
        <v>34</v>
      </c>
      <c r="M463" t="s" s="13">
        <v>4066</v>
      </c>
      <c r="N463" t="s" s="11">
        <v>4067</v>
      </c>
      <c r="O463" t="s" s="11">
        <v>4068</v>
      </c>
      <c r="P463" t="s" s="11">
        <v>4069</v>
      </c>
      <c r="Q463" t="s" s="11">
        <v>4070</v>
      </c>
      <c r="R463" t="s" s="11">
        <v>4071</v>
      </c>
      <c r="S463" t="s" s="11">
        <v>47</v>
      </c>
      <c r="T463" t="s" s="13">
        <v>4072</v>
      </c>
      <c r="U463" t="s" s="11">
        <v>49</v>
      </c>
      <c r="V463" t="s" s="13">
        <v>34</v>
      </c>
      <c r="W463" t="s" s="11">
        <v>4073</v>
      </c>
      <c r="X463" s="17">
        <f>HYPERLINK("https://my.pitchbook.com?p=116563-33P", "View People Online")</f>
      </c>
    </row>
    <row r="464">
      <c r="A464" t="s" s="10">
        <v>4074</v>
      </c>
      <c r="B464" t="s" s="10">
        <v>4075</v>
      </c>
      <c r="C464" t="s" s="10">
        <v>34</v>
      </c>
      <c r="D464" t="s" s="10">
        <v>4076</v>
      </c>
      <c r="E464" t="s" s="10">
        <v>3715</v>
      </c>
      <c r="F464" t="s" s="10">
        <v>4077</v>
      </c>
      <c r="G464" t="s" s="10">
        <v>189</v>
      </c>
      <c r="H464" s="16">
        <f>HYPERLINK("http://www.intensecycles.com", "www.intensecycles.com")</f>
      </c>
      <c r="I464" t="s" s="10">
        <v>322</v>
      </c>
      <c r="J464" t="s" s="24">
        <v>34</v>
      </c>
      <c r="K464" t="s" s="24">
        <v>34</v>
      </c>
      <c r="L464" t="s" s="24">
        <v>34</v>
      </c>
      <c r="M464" t="s" s="12">
        <v>34</v>
      </c>
      <c r="N464" t="s" s="10">
        <v>34</v>
      </c>
      <c r="O464" t="s" s="10">
        <v>34</v>
      </c>
      <c r="P464" t="s" s="10">
        <v>34</v>
      </c>
      <c r="Q464" t="s" s="10">
        <v>34</v>
      </c>
      <c r="R464" t="s" s="10">
        <v>34</v>
      </c>
      <c r="S464" t="s" s="10">
        <v>34</v>
      </c>
      <c r="T464" t="s" s="12">
        <v>34</v>
      </c>
      <c r="U464" t="s" s="10">
        <v>34</v>
      </c>
      <c r="V464" t="s" s="12">
        <v>34</v>
      </c>
      <c r="W464" t="s" s="10">
        <v>4079</v>
      </c>
      <c r="X464" s="16">
        <f>HYPERLINK("https://my.pitchbook.com?p=77134-06P", "View People Online")</f>
      </c>
    </row>
    <row r="465">
      <c r="A465" t="s" s="11">
        <v>4080</v>
      </c>
      <c r="B465" t="s" s="11">
        <v>4081</v>
      </c>
      <c r="C465" t="s" s="11">
        <v>34</v>
      </c>
      <c r="D465" t="s" s="11">
        <v>4082</v>
      </c>
      <c r="E465" t="s" s="11">
        <v>3715</v>
      </c>
      <c r="F465" t="s" s="11">
        <v>4083</v>
      </c>
      <c r="G465" t="s" s="11">
        <v>4084</v>
      </c>
      <c r="H465" s="17">
        <f>HYPERLINK("http://www.gettrust.ai", "www.gettrust.ai")</f>
      </c>
      <c r="I465" t="s" s="11">
        <v>1358</v>
      </c>
      <c r="J465" t="s" s="25">
        <v>34</v>
      </c>
      <c r="K465" s="25">
        <v>1</v>
      </c>
      <c r="L465" t="s" s="25">
        <v>34</v>
      </c>
      <c r="M465" t="s" s="13">
        <v>34</v>
      </c>
      <c r="N465" t="s" s="11">
        <v>34</v>
      </c>
      <c r="O465" t="s" s="11">
        <v>4086</v>
      </c>
      <c r="P465" t="s" s="11">
        <v>4087</v>
      </c>
      <c r="Q465" t="s" s="11">
        <v>34</v>
      </c>
      <c r="R465" t="s" s="11">
        <v>4088</v>
      </c>
      <c r="S465" t="s" s="11">
        <v>1904</v>
      </c>
      <c r="T465" t="s" s="13">
        <v>4089</v>
      </c>
      <c r="U465" t="s" s="11">
        <v>88</v>
      </c>
      <c r="V465" t="s" s="13">
        <v>34</v>
      </c>
      <c r="W465" t="s" s="11">
        <v>4090</v>
      </c>
      <c r="X465" s="17">
        <f>HYPERLINK("https://my.pitchbook.com?p=457789-51P", "View People Online")</f>
      </c>
    </row>
    <row r="466">
      <c r="A466" t="s" s="10">
        <v>4091</v>
      </c>
      <c r="B466" t="s" s="10">
        <v>4092</v>
      </c>
      <c r="C466" t="s" s="10">
        <v>34</v>
      </c>
      <c r="D466" t="s" s="10">
        <v>4093</v>
      </c>
      <c r="E466" t="s" s="10">
        <v>3715</v>
      </c>
      <c r="F466" t="s" s="10">
        <v>4094</v>
      </c>
      <c r="G466" t="s" s="10">
        <v>4084</v>
      </c>
      <c r="H466" s="16">
        <f>HYPERLINK("http://www.cubits.ai", "www.cubits.ai")</f>
      </c>
      <c r="I466" t="s" s="10">
        <v>57</v>
      </c>
      <c r="J466" t="s" s="24">
        <v>34</v>
      </c>
      <c r="K466" s="24">
        <v>1</v>
      </c>
      <c r="L466" t="s" s="24">
        <v>34</v>
      </c>
      <c r="M466" t="s" s="12">
        <v>34</v>
      </c>
      <c r="N466" t="s" s="10">
        <v>34</v>
      </c>
      <c r="O466" t="s" s="10">
        <v>4096</v>
      </c>
      <c r="P466" t="s" s="10">
        <v>4097</v>
      </c>
      <c r="Q466" t="s" s="10">
        <v>1847</v>
      </c>
      <c r="R466" t="s" s="10">
        <v>4098</v>
      </c>
      <c r="S466" t="s" s="10">
        <v>2003</v>
      </c>
      <c r="T466" t="s" s="12">
        <v>4099</v>
      </c>
      <c r="U466" t="s" s="10">
        <v>88</v>
      </c>
      <c r="V466" t="s" s="12">
        <v>34</v>
      </c>
      <c r="W466" t="s" s="10">
        <v>4100</v>
      </c>
      <c r="X466" s="16">
        <f>HYPERLINK("https://my.pitchbook.com?p=358014-97P", "View People Online")</f>
      </c>
    </row>
    <row r="467">
      <c r="A467" t="s" s="11">
        <v>4101</v>
      </c>
      <c r="B467" t="s" s="11">
        <v>4102</v>
      </c>
      <c r="C467" t="s" s="11">
        <v>34</v>
      </c>
      <c r="D467" t="s" s="11">
        <v>4103</v>
      </c>
      <c r="E467" t="s" s="11">
        <v>3715</v>
      </c>
      <c r="F467" t="s" s="11">
        <v>4104</v>
      </c>
      <c r="G467" t="s" s="11">
        <v>4105</v>
      </c>
      <c r="H467" s="17">
        <f>HYPERLINK("http://www.solarforschools.co.uk", "www.solarforschools.co.uk")</f>
      </c>
      <c r="I467" t="s" s="11">
        <v>4107</v>
      </c>
      <c r="J467" s="25">
        <v>1</v>
      </c>
      <c r="K467" s="25">
        <v>1</v>
      </c>
      <c r="L467" t="s" s="25">
        <v>34</v>
      </c>
      <c r="M467" t="s" s="13">
        <v>4108</v>
      </c>
      <c r="N467" t="s" s="11">
        <v>4109</v>
      </c>
      <c r="O467" t="s" s="11">
        <v>4110</v>
      </c>
      <c r="P467" t="s" s="11">
        <v>4111</v>
      </c>
      <c r="Q467" t="s" s="11">
        <v>4112</v>
      </c>
      <c r="R467" t="s" s="11">
        <v>4113</v>
      </c>
      <c r="S467" t="s" s="11">
        <v>47</v>
      </c>
      <c r="T467" t="s" s="13">
        <v>4114</v>
      </c>
      <c r="U467" t="s" s="11">
        <v>49</v>
      </c>
      <c r="V467" t="s" s="13">
        <v>34</v>
      </c>
      <c r="W467" t="s" s="11">
        <v>4115</v>
      </c>
      <c r="X467" s="17">
        <f>HYPERLINK("https://my.pitchbook.com?p=263811-34P", "View People Online")</f>
      </c>
    </row>
    <row r="468">
      <c r="A468" t="s" s="10">
        <v>4116</v>
      </c>
      <c r="B468" t="s" s="10">
        <v>4117</v>
      </c>
      <c r="C468" t="s" s="10">
        <v>34</v>
      </c>
      <c r="D468" t="s" s="10">
        <v>4118</v>
      </c>
      <c r="E468" t="s" s="10">
        <v>3715</v>
      </c>
      <c r="F468" t="s" s="10">
        <v>4119</v>
      </c>
      <c r="G468" t="s" s="10">
        <v>4120</v>
      </c>
      <c r="H468" s="16">
        <f>HYPERLINK("http://www.auroradx.com", "www.auroradx.com")</f>
      </c>
      <c r="I468" t="s" s="10">
        <v>4122</v>
      </c>
      <c r="J468" t="s" s="24">
        <v>34</v>
      </c>
      <c r="K468" t="s" s="24">
        <v>34</v>
      </c>
      <c r="L468" t="s" s="24">
        <v>34</v>
      </c>
      <c r="M468" t="s" s="12">
        <v>34</v>
      </c>
      <c r="N468" t="s" s="10">
        <v>34</v>
      </c>
      <c r="O468" t="s" s="10">
        <v>34</v>
      </c>
      <c r="P468" t="s" s="10">
        <v>34</v>
      </c>
      <c r="Q468" t="s" s="10">
        <v>34</v>
      </c>
      <c r="R468" t="s" s="10">
        <v>34</v>
      </c>
      <c r="S468" t="s" s="10">
        <v>34</v>
      </c>
      <c r="T468" t="s" s="12">
        <v>34</v>
      </c>
      <c r="U468" t="s" s="10">
        <v>34</v>
      </c>
      <c r="V468" t="s" s="12">
        <v>34</v>
      </c>
      <c r="W468" t="s" s="10">
        <v>4123</v>
      </c>
      <c r="X468" s="16">
        <f>HYPERLINK("https://my.pitchbook.com?p=86068-09P", "View People Online")</f>
      </c>
    </row>
    <row r="469">
      <c r="A469" t="s" s="11">
        <v>4124</v>
      </c>
      <c r="B469" t="s" s="11">
        <v>4125</v>
      </c>
      <c r="C469" t="s" s="11">
        <v>34</v>
      </c>
      <c r="D469" t="s" s="11">
        <v>4126</v>
      </c>
      <c r="E469" t="s" s="11">
        <v>3715</v>
      </c>
      <c r="F469" t="s" s="11">
        <v>4127</v>
      </c>
      <c r="G469" t="s" s="11">
        <v>4120</v>
      </c>
      <c r="H469" s="17">
        <f>HYPERLINK("http://www.familypriority.com", "www.familypriority.com")</f>
      </c>
      <c r="I469" t="s" s="11">
        <v>4129</v>
      </c>
      <c r="J469" t="s" s="25">
        <v>34</v>
      </c>
      <c r="K469" s="25">
        <v>1</v>
      </c>
      <c r="L469" t="s" s="25">
        <v>34</v>
      </c>
      <c r="M469" t="s" s="13">
        <v>4130</v>
      </c>
      <c r="N469" t="s" s="11">
        <v>34</v>
      </c>
      <c r="O469" t="s" s="11">
        <v>4131</v>
      </c>
      <c r="P469" t="s" s="11">
        <v>4132</v>
      </c>
      <c r="Q469" t="s" s="11">
        <v>34</v>
      </c>
      <c r="R469" t="s" s="11">
        <v>4133</v>
      </c>
      <c r="S469" t="s" s="11">
        <v>2078</v>
      </c>
      <c r="T469" t="s" s="13">
        <v>4134</v>
      </c>
      <c r="U469" t="s" s="11">
        <v>88</v>
      </c>
      <c r="V469" t="s" s="13">
        <v>34</v>
      </c>
      <c r="W469" t="s" s="11">
        <v>4135</v>
      </c>
      <c r="X469" s="17">
        <f>HYPERLINK("https://my.pitchbook.com?p=417953-80P", "View People Online")</f>
      </c>
    </row>
    <row r="470">
      <c r="A470" t="s" s="10">
        <v>4136</v>
      </c>
      <c r="B470" t="s" s="10">
        <v>4137</v>
      </c>
      <c r="C470" t="s" s="10">
        <v>34</v>
      </c>
      <c r="D470" t="s" s="10">
        <v>4138</v>
      </c>
      <c r="E470" t="s" s="10">
        <v>3715</v>
      </c>
      <c r="F470" t="s" s="10">
        <v>4139</v>
      </c>
      <c r="G470" t="s" s="10">
        <v>4140</v>
      </c>
      <c r="H470" s="16">
        <f>HYPERLINK("http://www.smart.com.kh", "www.smart.com.kh")</f>
      </c>
      <c r="I470" t="s" s="10">
        <v>4142</v>
      </c>
      <c r="J470" t="s" s="24">
        <v>34</v>
      </c>
      <c r="K470" s="24">
        <v>1</v>
      </c>
      <c r="L470" t="s" s="24">
        <v>34</v>
      </c>
      <c r="M470" t="s" s="12">
        <v>4143</v>
      </c>
      <c r="N470" t="s" s="10">
        <v>34</v>
      </c>
      <c r="O470" t="s" s="10">
        <v>2347</v>
      </c>
      <c r="P470" t="s" s="10">
        <v>4144</v>
      </c>
      <c r="Q470" t="s" s="10">
        <v>4145</v>
      </c>
      <c r="R470" t="s" s="10">
        <v>2349</v>
      </c>
      <c r="S470" t="s" s="10">
        <v>34</v>
      </c>
      <c r="T470" t="s" s="12">
        <v>34</v>
      </c>
      <c r="U470" t="s" s="10">
        <v>2350</v>
      </c>
      <c r="V470" t="s" s="12">
        <v>34</v>
      </c>
      <c r="W470" t="s" s="10">
        <v>4146</v>
      </c>
      <c r="X470" s="16">
        <f>HYPERLINK("https://my.pitchbook.com?p=348542-02P", "View People Online")</f>
      </c>
    </row>
    <row r="471">
      <c r="A471" t="s" s="11">
        <v>4147</v>
      </c>
      <c r="B471" t="s" s="11">
        <v>4148</v>
      </c>
      <c r="C471" t="s" s="11">
        <v>34</v>
      </c>
      <c r="D471" t="s" s="11">
        <v>4149</v>
      </c>
      <c r="E471" t="s" s="11">
        <v>3715</v>
      </c>
      <c r="F471" t="s" s="11">
        <v>4150</v>
      </c>
      <c r="G471" t="s" s="11">
        <v>4140</v>
      </c>
      <c r="H471" s="17">
        <f>HYPERLINK("http://www.fulcrumapp.com", "www.fulcrumapp.com")</f>
      </c>
      <c r="I471" t="s" s="11">
        <v>649</v>
      </c>
      <c r="J471" s="25">
        <v>2</v>
      </c>
      <c r="K471" s="25">
        <v>2</v>
      </c>
      <c r="L471" t="s" s="25">
        <v>34</v>
      </c>
      <c r="M471" t="s" s="13">
        <v>4152</v>
      </c>
      <c r="N471" t="s" s="11">
        <v>34</v>
      </c>
      <c r="O471" t="s" s="11">
        <v>4086</v>
      </c>
      <c r="P471" t="s" s="11">
        <v>4153</v>
      </c>
      <c r="Q471" t="s" s="11">
        <v>4154</v>
      </c>
      <c r="R471" t="s" s="11">
        <v>4088</v>
      </c>
      <c r="S471" t="s" s="11">
        <v>1904</v>
      </c>
      <c r="T471" t="s" s="13">
        <v>4155</v>
      </c>
      <c r="U471" t="s" s="11">
        <v>88</v>
      </c>
      <c r="V471" t="s" s="13">
        <v>34</v>
      </c>
      <c r="W471" t="s" s="11">
        <v>4156</v>
      </c>
      <c r="X471" s="17">
        <f>HYPERLINK("https://my.pitchbook.com?p=193236-40P", "View People Online")</f>
      </c>
    </row>
    <row r="472">
      <c r="A472" t="s" s="10">
        <v>4157</v>
      </c>
      <c r="B472" t="s" s="10">
        <v>4158</v>
      </c>
      <c r="C472" t="s" s="10">
        <v>34</v>
      </c>
      <c r="D472" t="s" s="10">
        <v>4159</v>
      </c>
      <c r="E472" t="s" s="10">
        <v>3715</v>
      </c>
      <c r="F472" t="s" s="10">
        <v>4160</v>
      </c>
      <c r="G472" t="s" s="10">
        <v>4161</v>
      </c>
      <c r="H472" s="16">
        <f>HYPERLINK("http://www.guardianmedicalsolutions.com", "www.guardianmedicalsolutions.com")</f>
      </c>
      <c r="I472" t="s" s="10">
        <v>649</v>
      </c>
      <c r="J472" s="24">
        <v>1</v>
      </c>
      <c r="K472" s="24">
        <v>1</v>
      </c>
      <c r="L472" t="s" s="24">
        <v>34</v>
      </c>
      <c r="M472" t="s" s="12">
        <v>34</v>
      </c>
      <c r="N472" t="s" s="10">
        <v>34</v>
      </c>
      <c r="O472" t="s" s="10">
        <v>4163</v>
      </c>
      <c r="P472" t="s" s="10">
        <v>4164</v>
      </c>
      <c r="Q472" t="s" s="10">
        <v>4165</v>
      </c>
      <c r="R472" t="s" s="10">
        <v>4166</v>
      </c>
      <c r="S472" t="s" s="10">
        <v>3847</v>
      </c>
      <c r="T472" t="s" s="12">
        <v>4167</v>
      </c>
      <c r="U472" t="s" s="10">
        <v>2105</v>
      </c>
      <c r="V472" t="s" s="12">
        <v>34</v>
      </c>
      <c r="W472" t="s" s="10">
        <v>4168</v>
      </c>
      <c r="X472" s="16">
        <f>HYPERLINK("https://my.pitchbook.com?p=413279-83P", "View People Online")</f>
      </c>
    </row>
    <row r="473">
      <c r="A473" t="s" s="11">
        <v>4169</v>
      </c>
      <c r="B473" t="s" s="11">
        <v>4170</v>
      </c>
      <c r="C473" t="s" s="11">
        <v>34</v>
      </c>
      <c r="D473" t="s" s="11">
        <v>3725</v>
      </c>
      <c r="E473" t="s" s="11">
        <v>3715</v>
      </c>
      <c r="F473" t="s" s="11">
        <v>4171</v>
      </c>
      <c r="G473" t="s" s="11">
        <v>4172</v>
      </c>
      <c r="H473" s="17">
        <f>HYPERLINK("http://www.royalihc.com", "www.royalihc.com")</f>
      </c>
      <c r="I473" t="s" s="11">
        <v>34</v>
      </c>
      <c r="J473" t="s" s="25">
        <v>34</v>
      </c>
      <c r="K473" t="s" s="25">
        <v>34</v>
      </c>
      <c r="L473" t="s" s="25">
        <v>34</v>
      </c>
      <c r="M473" t="s" s="13">
        <v>34</v>
      </c>
      <c r="N473" t="s" s="11">
        <v>4173</v>
      </c>
      <c r="O473" t="s" s="11">
        <v>34</v>
      </c>
      <c r="P473" t="s" s="11">
        <v>34</v>
      </c>
      <c r="Q473" t="s" s="11">
        <v>34</v>
      </c>
      <c r="R473" t="s" s="11">
        <v>34</v>
      </c>
      <c r="S473" t="s" s="11">
        <v>34</v>
      </c>
      <c r="T473" t="s" s="13">
        <v>34</v>
      </c>
      <c r="U473" t="s" s="11">
        <v>34</v>
      </c>
      <c r="V473" t="s" s="13">
        <v>34</v>
      </c>
      <c r="W473" t="s" s="11">
        <v>4174</v>
      </c>
      <c r="X473" s="17">
        <f>HYPERLINK("https://my.pitchbook.com?p=168719-50P", "View People Online")</f>
      </c>
    </row>
    <row r="474">
      <c r="A474" t="s" s="10">
        <v>4175</v>
      </c>
      <c r="B474" t="s" s="10">
        <v>4176</v>
      </c>
      <c r="C474" t="s" s="10">
        <v>34</v>
      </c>
      <c r="D474" t="s" s="10">
        <v>4177</v>
      </c>
      <c r="E474" t="s" s="10">
        <v>3715</v>
      </c>
      <c r="F474" t="s" s="10">
        <v>4178</v>
      </c>
      <c r="G474" t="s" s="10">
        <v>4179</v>
      </c>
      <c r="H474" s="16">
        <f>HYPERLINK("http://www.steelprotection.nl", "www.steelprotection.nl")</f>
      </c>
      <c r="I474" t="s" s="10">
        <v>369</v>
      </c>
      <c r="J474" t="s" s="24">
        <v>34</v>
      </c>
      <c r="K474" s="24">
        <v>1</v>
      </c>
      <c r="L474" t="s" s="24">
        <v>34</v>
      </c>
      <c r="M474" t="s" s="12">
        <v>4181</v>
      </c>
      <c r="N474" t="s" s="10">
        <v>4182</v>
      </c>
      <c r="O474" t="s" s="10">
        <v>4183</v>
      </c>
      <c r="P474" t="s" s="10">
        <v>4184</v>
      </c>
      <c r="Q474" t="s" s="10">
        <v>34</v>
      </c>
      <c r="R474" t="s" s="10">
        <v>4185</v>
      </c>
      <c r="S474" t="s" s="10">
        <v>34</v>
      </c>
      <c r="T474" t="s" s="12">
        <v>4186</v>
      </c>
      <c r="U474" t="s" s="10">
        <v>103</v>
      </c>
      <c r="V474" t="s" s="12">
        <v>4187</v>
      </c>
      <c r="W474" t="s" s="10">
        <v>4188</v>
      </c>
      <c r="X474" s="16">
        <f>HYPERLINK("https://my.pitchbook.com?p=154809-91P", "View People Online")</f>
      </c>
    </row>
    <row r="475">
      <c r="A475" t="s" s="11">
        <v>4189</v>
      </c>
      <c r="B475" t="s" s="11">
        <v>4190</v>
      </c>
      <c r="C475" t="s" s="11">
        <v>34</v>
      </c>
      <c r="D475" t="s" s="11">
        <v>3725</v>
      </c>
      <c r="E475" t="s" s="11">
        <v>3715</v>
      </c>
      <c r="F475" t="s" s="11">
        <v>4191</v>
      </c>
      <c r="G475" t="s" s="11">
        <v>4192</v>
      </c>
      <c r="H475" s="17">
        <f>HYPERLINK("http://www.royalihc.com", "www.royalihc.com")</f>
      </c>
      <c r="I475" t="s" s="11">
        <v>4193</v>
      </c>
      <c r="J475" t="s" s="25">
        <v>34</v>
      </c>
      <c r="K475" t="s" s="25">
        <v>34</v>
      </c>
      <c r="L475" t="s" s="25">
        <v>34</v>
      </c>
      <c r="M475" t="s" s="13">
        <v>34</v>
      </c>
      <c r="N475" t="s" s="11">
        <v>34</v>
      </c>
      <c r="O475" t="s" s="11">
        <v>34</v>
      </c>
      <c r="P475" t="s" s="11">
        <v>34</v>
      </c>
      <c r="Q475" t="s" s="11">
        <v>34</v>
      </c>
      <c r="R475" t="s" s="11">
        <v>34</v>
      </c>
      <c r="S475" t="s" s="11">
        <v>34</v>
      </c>
      <c r="T475" t="s" s="13">
        <v>34</v>
      </c>
      <c r="U475" t="s" s="11">
        <v>34</v>
      </c>
      <c r="V475" t="s" s="13">
        <v>34</v>
      </c>
      <c r="W475" t="s" s="11">
        <v>4194</v>
      </c>
      <c r="X475" s="17">
        <f>HYPERLINK("https://my.pitchbook.com?p=59797-27P", "View People Online")</f>
      </c>
    </row>
    <row r="476">
      <c r="A476" t="s" s="10">
        <v>4195</v>
      </c>
      <c r="B476" t="s" s="10">
        <v>4196</v>
      </c>
      <c r="C476" t="s" s="10">
        <v>34</v>
      </c>
      <c r="D476" t="s" s="10">
        <v>3963</v>
      </c>
      <c r="E476" t="s" s="10">
        <v>3715</v>
      </c>
      <c r="F476" t="s" s="10">
        <v>4197</v>
      </c>
      <c r="G476" t="s" s="10">
        <v>4198</v>
      </c>
      <c r="H476" s="16">
        <f>HYPERLINK("http://www.pertamedika.co.id", "www.pertamedika.co.id")</f>
      </c>
      <c r="I476" t="s" s="10">
        <v>4199</v>
      </c>
      <c r="J476" s="24">
        <v>1</v>
      </c>
      <c r="K476" s="24">
        <v>1</v>
      </c>
      <c r="L476" t="s" s="24">
        <v>34</v>
      </c>
      <c r="M476" t="s" s="12">
        <v>3967</v>
      </c>
      <c r="N476" t="s" s="10">
        <v>4200</v>
      </c>
      <c r="O476" t="s" s="10">
        <v>3969</v>
      </c>
      <c r="P476" t="s" s="10">
        <v>3970</v>
      </c>
      <c r="Q476" t="s" s="10">
        <v>34</v>
      </c>
      <c r="R476" t="s" s="10">
        <v>3971</v>
      </c>
      <c r="S476" t="s" s="10">
        <v>34</v>
      </c>
      <c r="T476" t="s" s="12">
        <v>3972</v>
      </c>
      <c r="U476" t="s" s="10">
        <v>3973</v>
      </c>
      <c r="V476" t="s" s="12">
        <v>34</v>
      </c>
      <c r="W476" t="s" s="10">
        <v>4201</v>
      </c>
      <c r="X476" s="16">
        <f>HYPERLINK("https://my.pitchbook.com?p=333852-67P", "View People Online")</f>
      </c>
    </row>
    <row r="477">
      <c r="A477" t="s" s="11">
        <v>4202</v>
      </c>
      <c r="B477" t="s" s="11">
        <v>4203</v>
      </c>
      <c r="C477" t="s" s="11">
        <v>34</v>
      </c>
      <c r="D477" t="s" s="11">
        <v>4204</v>
      </c>
      <c r="E477" t="s" s="11">
        <v>3715</v>
      </c>
      <c r="F477" t="s" s="11">
        <v>4205</v>
      </c>
      <c r="G477" t="s" s="11">
        <v>4206</v>
      </c>
      <c r="H477" s="17">
        <f>HYPERLINK("http://www.g42healthcare.ai", "www.g42healthcare.ai")</f>
      </c>
      <c r="I477" t="s" s="11">
        <v>4208</v>
      </c>
      <c r="J477" t="s" s="25">
        <v>34</v>
      </c>
      <c r="K477" t="s" s="25">
        <v>34</v>
      </c>
      <c r="L477" t="s" s="25">
        <v>34</v>
      </c>
      <c r="M477" t="s" s="13">
        <v>34</v>
      </c>
      <c r="N477" t="s" s="11">
        <v>34</v>
      </c>
      <c r="O477" t="s" s="11">
        <v>34</v>
      </c>
      <c r="P477" t="s" s="11">
        <v>34</v>
      </c>
      <c r="Q477" t="s" s="11">
        <v>34</v>
      </c>
      <c r="R477" t="s" s="11">
        <v>34</v>
      </c>
      <c r="S477" t="s" s="11">
        <v>34</v>
      </c>
      <c r="T477" t="s" s="13">
        <v>34</v>
      </c>
      <c r="U477" t="s" s="11">
        <v>34</v>
      </c>
      <c r="V477" t="s" s="13">
        <v>34</v>
      </c>
      <c r="W477" t="s" s="11">
        <v>4209</v>
      </c>
      <c r="X477" s="17">
        <f>HYPERLINK("https://my.pitchbook.com?p=321091-84P", "View People Online")</f>
      </c>
    </row>
    <row r="478">
      <c r="A478" t="s" s="10">
        <v>4210</v>
      </c>
      <c r="B478" t="s" s="10">
        <v>4211</v>
      </c>
      <c r="C478" t="s" s="10">
        <v>34</v>
      </c>
      <c r="D478" t="s" s="10">
        <v>4212</v>
      </c>
      <c r="E478" t="s" s="10">
        <v>3715</v>
      </c>
      <c r="F478" t="s" s="10">
        <v>4213</v>
      </c>
      <c r="G478" t="s" s="10">
        <v>4214</v>
      </c>
      <c r="H478" s="16">
        <f>HYPERLINK("http://www.theprinceofwales.ie", "www.theprinceofwales.ie")</f>
      </c>
      <c r="I478" t="s" s="10">
        <v>1358</v>
      </c>
      <c r="J478" t="s" s="24">
        <v>34</v>
      </c>
      <c r="K478" s="24">
        <v>1</v>
      </c>
      <c r="L478" t="s" s="24">
        <v>34</v>
      </c>
      <c r="M478" t="s" s="12">
        <v>4216</v>
      </c>
      <c r="N478" t="s" s="10">
        <v>34</v>
      </c>
      <c r="O478" t="s" s="10">
        <v>4217</v>
      </c>
      <c r="P478" t="s" s="10">
        <v>4218</v>
      </c>
      <c r="Q478" t="s" s="10">
        <v>4219</v>
      </c>
      <c r="R478" t="s" s="10">
        <v>4220</v>
      </c>
      <c r="S478" t="s" s="10">
        <v>34</v>
      </c>
      <c r="T478" t="s" s="12">
        <v>4221</v>
      </c>
      <c r="U478" t="s" s="10">
        <v>4222</v>
      </c>
      <c r="V478" t="s" s="12">
        <v>34</v>
      </c>
      <c r="W478" t="s" s="10">
        <v>4223</v>
      </c>
      <c r="X478" s="16">
        <f>HYPERLINK("https://my.pitchbook.com?p=462374-20P", "View People Online")</f>
      </c>
    </row>
    <row r="479">
      <c r="A479" t="s" s="11">
        <v>4224</v>
      </c>
      <c r="B479" t="s" s="11">
        <v>4225</v>
      </c>
      <c r="C479" t="s" s="11">
        <v>34</v>
      </c>
      <c r="D479" t="s" s="11">
        <v>3963</v>
      </c>
      <c r="E479" t="s" s="11">
        <v>3715</v>
      </c>
      <c r="F479" t="s" s="11">
        <v>4226</v>
      </c>
      <c r="G479" t="s" s="11">
        <v>735</v>
      </c>
      <c r="H479" s="17">
        <f>HYPERLINK("http://www.pertamedika.co.id", "www.pertamedika.co.id")</f>
      </c>
      <c r="I479" t="s" s="11">
        <v>4227</v>
      </c>
      <c r="J479" t="s" s="25">
        <v>34</v>
      </c>
      <c r="K479" s="25">
        <v>1</v>
      </c>
      <c r="L479" t="s" s="25">
        <v>34</v>
      </c>
      <c r="M479" t="s" s="13">
        <v>3967</v>
      </c>
      <c r="N479" t="s" s="11">
        <v>4228</v>
      </c>
      <c r="O479" t="s" s="11">
        <v>3969</v>
      </c>
      <c r="P479" t="s" s="11">
        <v>3970</v>
      </c>
      <c r="Q479" t="s" s="11">
        <v>34</v>
      </c>
      <c r="R479" t="s" s="11">
        <v>3971</v>
      </c>
      <c r="S479" t="s" s="11">
        <v>34</v>
      </c>
      <c r="T479" t="s" s="13">
        <v>3972</v>
      </c>
      <c r="U479" t="s" s="11">
        <v>3973</v>
      </c>
      <c r="V479" t="s" s="13">
        <v>34</v>
      </c>
      <c r="W479" t="s" s="11">
        <v>4229</v>
      </c>
      <c r="X479" s="17">
        <f>HYPERLINK("https://my.pitchbook.com?p=443149-93P", "View People Online")</f>
      </c>
    </row>
    <row r="480">
      <c r="A480" t="s" s="10">
        <v>4230</v>
      </c>
      <c r="B480" t="s" s="10">
        <v>4231</v>
      </c>
      <c r="C480" t="s" s="10">
        <v>34</v>
      </c>
      <c r="D480" t="s" s="10">
        <v>4232</v>
      </c>
      <c r="E480" t="s" s="10">
        <v>3715</v>
      </c>
      <c r="F480" t="s" s="10">
        <v>4233</v>
      </c>
      <c r="G480" t="s" s="10">
        <v>4234</v>
      </c>
      <c r="H480" s="16">
        <f>HYPERLINK("http://www.smartgrains.com", "www.smartgrains.com")</f>
      </c>
      <c r="I480" t="s" s="10">
        <v>4236</v>
      </c>
      <c r="J480" t="s" s="24">
        <v>34</v>
      </c>
      <c r="K480" t="s" s="24">
        <v>34</v>
      </c>
      <c r="L480" t="s" s="24">
        <v>34</v>
      </c>
      <c r="M480" t="s" s="12">
        <v>34</v>
      </c>
      <c r="N480" t="s" s="10">
        <v>34</v>
      </c>
      <c r="O480" t="s" s="10">
        <v>34</v>
      </c>
      <c r="P480" t="s" s="10">
        <v>34</v>
      </c>
      <c r="Q480" t="s" s="10">
        <v>34</v>
      </c>
      <c r="R480" t="s" s="10">
        <v>34</v>
      </c>
      <c r="S480" t="s" s="10">
        <v>34</v>
      </c>
      <c r="T480" t="s" s="12">
        <v>34</v>
      </c>
      <c r="U480" t="s" s="10">
        <v>34</v>
      </c>
      <c r="V480" t="s" s="12">
        <v>34</v>
      </c>
      <c r="W480" t="s" s="10">
        <v>4237</v>
      </c>
      <c r="X480" s="16">
        <f>HYPERLINK("https://my.pitchbook.com?p=100969-21P", "View People Online")</f>
      </c>
    </row>
    <row r="481">
      <c r="A481" t="s" s="11">
        <v>4238</v>
      </c>
      <c r="B481" t="s" s="11">
        <v>4239</v>
      </c>
      <c r="C481" t="s" s="11">
        <v>34</v>
      </c>
      <c r="D481" t="s" s="11">
        <v>3802</v>
      </c>
      <c r="E481" t="s" s="11">
        <v>3715</v>
      </c>
      <c r="F481" t="s" s="11">
        <v>4240</v>
      </c>
      <c r="G481" t="s" s="11">
        <v>4241</v>
      </c>
      <c r="H481" s="17">
        <f>HYPERLINK("http://www.qatarluxurygroup.com", "www.qatarluxurygroup.com")</f>
      </c>
      <c r="I481" t="s" s="11">
        <v>649</v>
      </c>
      <c r="J481" t="s" s="25">
        <v>34</v>
      </c>
      <c r="K481" t="s" s="25">
        <v>34</v>
      </c>
      <c r="L481" t="s" s="25">
        <v>34</v>
      </c>
      <c r="M481" t="s" s="13">
        <v>34</v>
      </c>
      <c r="N481" t="s" s="11">
        <v>34</v>
      </c>
      <c r="O481" t="s" s="11">
        <v>34</v>
      </c>
      <c r="P481" t="s" s="11">
        <v>34</v>
      </c>
      <c r="Q481" t="s" s="11">
        <v>34</v>
      </c>
      <c r="R481" t="s" s="11">
        <v>34</v>
      </c>
      <c r="S481" t="s" s="11">
        <v>34</v>
      </c>
      <c r="T481" t="s" s="13">
        <v>34</v>
      </c>
      <c r="U481" t="s" s="11">
        <v>34</v>
      </c>
      <c r="V481" t="s" s="13">
        <v>34</v>
      </c>
      <c r="W481" t="s" s="11">
        <v>4242</v>
      </c>
      <c r="X481" s="17">
        <f>HYPERLINK("https://my.pitchbook.com?p=169362-73P", "View People Online")</f>
      </c>
    </row>
    <row r="482">
      <c r="A482" t="s" s="10">
        <v>4243</v>
      </c>
      <c r="B482" t="s" s="10">
        <v>4244</v>
      </c>
      <c r="C482" t="s" s="10">
        <v>34</v>
      </c>
      <c r="D482" t="s" s="10">
        <v>3867</v>
      </c>
      <c r="E482" t="s" s="10">
        <v>3715</v>
      </c>
      <c r="F482" t="s" s="10">
        <v>4245</v>
      </c>
      <c r="G482" t="s" s="10">
        <v>4246</v>
      </c>
      <c r="H482" s="16">
        <f>HYPERLINK("http://www.selleroyalgroup.com", "www.selleroyalgroup.com")</f>
      </c>
      <c r="I482" t="s" s="10">
        <v>4247</v>
      </c>
      <c r="J482" t="s" s="24">
        <v>34</v>
      </c>
      <c r="K482" s="24">
        <v>1</v>
      </c>
      <c r="L482" t="s" s="24">
        <v>34</v>
      </c>
      <c r="M482" t="s" s="12">
        <v>3872</v>
      </c>
      <c r="N482" t="s" s="10">
        <v>4248</v>
      </c>
      <c r="O482" t="s" s="10">
        <v>3874</v>
      </c>
      <c r="P482" t="s" s="10">
        <v>3875</v>
      </c>
      <c r="Q482" t="s" s="10">
        <v>34</v>
      </c>
      <c r="R482" t="s" s="10">
        <v>3876</v>
      </c>
      <c r="S482" t="s" s="10">
        <v>3877</v>
      </c>
      <c r="T482" t="s" s="12">
        <v>3878</v>
      </c>
      <c r="U482" t="s" s="10">
        <v>2566</v>
      </c>
      <c r="V482" t="s" s="12">
        <v>34</v>
      </c>
      <c r="W482" t="s" s="10">
        <v>4249</v>
      </c>
      <c r="X482" s="16">
        <f>HYPERLINK("https://my.pitchbook.com?p=262932-76P", "View People Online")</f>
      </c>
    </row>
    <row r="483">
      <c r="A483" t="s" s="11">
        <v>4250</v>
      </c>
      <c r="B483" t="s" s="11">
        <v>4251</v>
      </c>
      <c r="C483" t="s" s="11">
        <v>34</v>
      </c>
      <c r="D483" t="s" s="11">
        <v>4252</v>
      </c>
      <c r="E483" t="s" s="11">
        <v>3715</v>
      </c>
      <c r="F483" t="s" s="11">
        <v>4253</v>
      </c>
      <c r="G483" t="s" s="11">
        <v>4254</v>
      </c>
      <c r="H483" s="17">
        <f>HYPERLINK("http://www.polybion.bio", "www.polybion.bio")</f>
      </c>
      <c r="I483" t="s" s="11">
        <v>4256</v>
      </c>
      <c r="J483" t="s" s="25">
        <v>34</v>
      </c>
      <c r="K483" s="25">
        <v>1</v>
      </c>
      <c r="L483" t="s" s="25">
        <v>34</v>
      </c>
      <c r="M483" t="s" s="13">
        <v>4257</v>
      </c>
      <c r="N483" t="s" s="11">
        <v>34</v>
      </c>
      <c r="O483" t="s" s="11">
        <v>4258</v>
      </c>
      <c r="P483" t="s" s="11">
        <v>4259</v>
      </c>
      <c r="Q483" t="s" s="11">
        <v>34</v>
      </c>
      <c r="R483" t="s" s="11">
        <v>4260</v>
      </c>
      <c r="S483" t="s" s="11">
        <v>4261</v>
      </c>
      <c r="T483" t="s" s="13">
        <v>4262</v>
      </c>
      <c r="U483" t="s" s="11">
        <v>4263</v>
      </c>
      <c r="V483" t="s" s="13">
        <v>34</v>
      </c>
      <c r="W483" t="s" s="11">
        <v>4264</v>
      </c>
      <c r="X483" s="17">
        <f>HYPERLINK("https://my.pitchbook.com?p=233171-74P", "View People Online")</f>
      </c>
    </row>
    <row r="484">
      <c r="A484" t="s" s="10">
        <v>4265</v>
      </c>
      <c r="B484" t="s" s="10">
        <v>4266</v>
      </c>
      <c r="C484" t="s" s="10">
        <v>34</v>
      </c>
      <c r="D484" t="s" s="10">
        <v>4267</v>
      </c>
      <c r="E484" t="s" s="10">
        <v>3715</v>
      </c>
      <c r="F484" t="s" s="10">
        <v>4268</v>
      </c>
      <c r="G484" t="s" s="10">
        <v>4269</v>
      </c>
      <c r="H484" s="16">
        <f>HYPERLINK("http://www.mixtafrica.com", "www.mixtafrica.com")</f>
      </c>
      <c r="I484" t="s" s="10">
        <v>4271</v>
      </c>
      <c r="J484" s="24">
        <v>1</v>
      </c>
      <c r="K484" s="24">
        <v>1</v>
      </c>
      <c r="L484" t="s" s="24">
        <v>34</v>
      </c>
      <c r="M484" t="s" s="12">
        <v>4272</v>
      </c>
      <c r="N484" t="s" s="10">
        <v>4273</v>
      </c>
      <c r="O484" t="s" s="10">
        <v>4274</v>
      </c>
      <c r="P484" t="s" s="10">
        <v>4275</v>
      </c>
      <c r="Q484" t="s" s="10">
        <v>4276</v>
      </c>
      <c r="R484" t="s" s="10">
        <v>4277</v>
      </c>
      <c r="S484" t="s" s="10">
        <v>34</v>
      </c>
      <c r="T484" t="s" s="12">
        <v>34</v>
      </c>
      <c r="U484" t="s" s="10">
        <v>4278</v>
      </c>
      <c r="V484" t="s" s="12">
        <v>34</v>
      </c>
      <c r="W484" t="s" s="10">
        <v>4279</v>
      </c>
      <c r="X484" s="16">
        <f>HYPERLINK("https://my.pitchbook.com?p=174843-28P", "View People Online")</f>
      </c>
    </row>
    <row r="485">
      <c r="A485" t="s" s="11">
        <v>4280</v>
      </c>
      <c r="B485" t="s" s="11">
        <v>4281</v>
      </c>
      <c r="C485" t="s" s="11">
        <v>34</v>
      </c>
      <c r="D485" t="s" s="11">
        <v>4282</v>
      </c>
      <c r="E485" t="s" s="11">
        <v>3715</v>
      </c>
      <c r="F485" t="s" s="11">
        <v>4283</v>
      </c>
      <c r="G485" t="s" s="11">
        <v>79</v>
      </c>
      <c r="H485" s="17">
        <f>HYPERLINK("http://www.royalihc.com", "www.royalihc.com")</f>
      </c>
      <c r="I485" t="s" s="11">
        <v>1358</v>
      </c>
      <c r="J485" t="s" s="25">
        <v>34</v>
      </c>
      <c r="K485" t="s" s="25">
        <v>34</v>
      </c>
      <c r="L485" t="s" s="25">
        <v>34</v>
      </c>
      <c r="M485" t="s" s="13">
        <v>4284</v>
      </c>
      <c r="N485" t="s" s="11">
        <v>4285</v>
      </c>
      <c r="O485" t="s" s="11">
        <v>4286</v>
      </c>
      <c r="P485" t="s" s="11">
        <v>4287</v>
      </c>
      <c r="Q485" t="s" s="11">
        <v>34</v>
      </c>
      <c r="R485" t="s" s="11">
        <v>4288</v>
      </c>
      <c r="S485" t="s" s="11">
        <v>34</v>
      </c>
      <c r="T485" t="s" s="13">
        <v>4289</v>
      </c>
      <c r="U485" t="s" s="11">
        <v>103</v>
      </c>
      <c r="V485" t="s" s="13">
        <v>34</v>
      </c>
      <c r="W485" t="s" s="11">
        <v>4290</v>
      </c>
      <c r="X485" s="17">
        <f>HYPERLINK("https://my.pitchbook.com?p=404532-91P", "View People Online")</f>
      </c>
    </row>
    <row r="486">
      <c r="A486" t="s" s="10">
        <v>4291</v>
      </c>
      <c r="B486" t="s" s="10">
        <v>4292</v>
      </c>
      <c r="C486" t="s" s="10">
        <v>34</v>
      </c>
      <c r="D486" t="s" s="10">
        <v>4293</v>
      </c>
      <c r="E486" t="s" s="10">
        <v>3715</v>
      </c>
      <c r="F486" t="s" s="10">
        <v>4294</v>
      </c>
      <c r="G486" t="s" s="10">
        <v>94</v>
      </c>
      <c r="H486" s="16">
        <f>HYPERLINK("http://www.fulcrumapp.com", "www.fulcrumapp.com")</f>
      </c>
      <c r="I486" t="s" s="10">
        <v>4295</v>
      </c>
      <c r="J486" t="s" s="24">
        <v>34</v>
      </c>
      <c r="K486" t="s" s="24">
        <v>34</v>
      </c>
      <c r="L486" t="s" s="24">
        <v>34</v>
      </c>
      <c r="M486" t="s" s="12">
        <v>34</v>
      </c>
      <c r="N486" t="s" s="10">
        <v>34</v>
      </c>
      <c r="O486" t="s" s="10">
        <v>34</v>
      </c>
      <c r="P486" t="s" s="10">
        <v>34</v>
      </c>
      <c r="Q486" t="s" s="10">
        <v>34</v>
      </c>
      <c r="R486" t="s" s="10">
        <v>34</v>
      </c>
      <c r="S486" t="s" s="10">
        <v>34</v>
      </c>
      <c r="T486" t="s" s="12">
        <v>34</v>
      </c>
      <c r="U486" t="s" s="10">
        <v>34</v>
      </c>
      <c r="V486" t="s" s="12">
        <v>34</v>
      </c>
      <c r="W486" t="s" s="10">
        <v>4296</v>
      </c>
      <c r="X486" s="16">
        <f>HYPERLINK("https://my.pitchbook.com?p=219640-33P", "View People Online")</f>
      </c>
    </row>
    <row r="487">
      <c r="A487" t="s" s="11">
        <v>4297</v>
      </c>
      <c r="B487" t="s" s="11">
        <v>4298</v>
      </c>
      <c r="C487" t="s" s="11">
        <v>34</v>
      </c>
      <c r="D487" t="s" s="11">
        <v>4299</v>
      </c>
      <c r="E487" t="s" s="11">
        <v>3715</v>
      </c>
      <c r="F487" t="s" s="11">
        <v>4300</v>
      </c>
      <c r="G487" t="s" s="11">
        <v>94</v>
      </c>
      <c r="H487" s="17">
        <f>HYPERLINK("http://innovativesportsva.com", "innovativesportsva.com")</f>
      </c>
      <c r="I487" t="s" s="11">
        <v>4302</v>
      </c>
      <c r="J487" t="s" s="25">
        <v>34</v>
      </c>
      <c r="K487" s="25">
        <v>1</v>
      </c>
      <c r="L487" t="s" s="25">
        <v>34</v>
      </c>
      <c r="M487" t="s" s="13">
        <v>4303</v>
      </c>
      <c r="N487" t="s" s="11">
        <v>4304</v>
      </c>
      <c r="O487" t="s" s="11">
        <v>4305</v>
      </c>
      <c r="P487" t="s" s="11">
        <v>4306</v>
      </c>
      <c r="Q487" t="s" s="11">
        <v>34</v>
      </c>
      <c r="R487" t="s" s="11">
        <v>4307</v>
      </c>
      <c r="S487" t="s" s="11">
        <v>2078</v>
      </c>
      <c r="T487" t="s" s="13">
        <v>4308</v>
      </c>
      <c r="U487" t="s" s="11">
        <v>88</v>
      </c>
      <c r="V487" t="s" s="13">
        <v>34</v>
      </c>
      <c r="W487" t="s" s="11">
        <v>4309</v>
      </c>
      <c r="X487" s="17">
        <f>HYPERLINK("https://my.pitchbook.com?p=268840-36P", "View People Online")</f>
      </c>
    </row>
    <row r="488">
      <c r="A488" t="s" s="10">
        <v>4310</v>
      </c>
      <c r="B488" t="s" s="10">
        <v>4311</v>
      </c>
      <c r="C488" t="s" s="10">
        <v>34</v>
      </c>
      <c r="D488" t="s" s="10">
        <v>4312</v>
      </c>
      <c r="E488" t="s" s="10">
        <v>3715</v>
      </c>
      <c r="F488" t="s" s="10">
        <v>4313</v>
      </c>
      <c r="G488" t="s" s="10">
        <v>94</v>
      </c>
      <c r="H488" s="16">
        <f>HYPERLINK("http://www.albiorex.com", "www.albiorex.com")</f>
      </c>
      <c r="I488" t="s" s="10">
        <v>34</v>
      </c>
      <c r="J488" t="s" s="24">
        <v>34</v>
      </c>
      <c r="K488" t="s" s="24">
        <v>34</v>
      </c>
      <c r="L488" t="s" s="24">
        <v>34</v>
      </c>
      <c r="M488" t="s" s="12">
        <v>34</v>
      </c>
      <c r="N488" t="s" s="10">
        <v>34</v>
      </c>
      <c r="O488" t="s" s="10">
        <v>34</v>
      </c>
      <c r="P488" t="s" s="10">
        <v>34</v>
      </c>
      <c r="Q488" t="s" s="10">
        <v>34</v>
      </c>
      <c r="R488" t="s" s="10">
        <v>34</v>
      </c>
      <c r="S488" t="s" s="10">
        <v>34</v>
      </c>
      <c r="T488" t="s" s="12">
        <v>34</v>
      </c>
      <c r="U488" t="s" s="10">
        <v>34</v>
      </c>
      <c r="V488" t="s" s="12">
        <v>34</v>
      </c>
      <c r="W488" t="s" s="10">
        <v>4315</v>
      </c>
      <c r="X488" s="16">
        <f>HYPERLINK("https://my.pitchbook.com?p=112893-13P", "View People Online")</f>
      </c>
    </row>
    <row r="489">
      <c r="A489" t="s" s="11">
        <v>4316</v>
      </c>
      <c r="B489" t="s" s="11">
        <v>4317</v>
      </c>
      <c r="C489" t="s" s="11">
        <v>34</v>
      </c>
      <c r="D489" t="s" s="11">
        <v>4318</v>
      </c>
      <c r="E489" t="s" s="11">
        <v>3715</v>
      </c>
      <c r="F489" t="s" s="11">
        <v>4319</v>
      </c>
      <c r="G489" t="s" s="11">
        <v>4320</v>
      </c>
      <c r="H489" s="17">
        <f>HYPERLINK("http://www.smithengineeringva.com", "www.smithengineeringva.com")</f>
      </c>
      <c r="I489" t="s" s="11">
        <v>3125</v>
      </c>
      <c r="J489" t="s" s="25">
        <v>34</v>
      </c>
      <c r="K489" t="s" s="25">
        <v>34</v>
      </c>
      <c r="L489" t="s" s="25">
        <v>34</v>
      </c>
      <c r="M489" t="s" s="13">
        <v>34</v>
      </c>
      <c r="N489" t="s" s="11">
        <v>34</v>
      </c>
      <c r="O489" t="s" s="11">
        <v>34</v>
      </c>
      <c r="P489" t="s" s="11">
        <v>34</v>
      </c>
      <c r="Q489" t="s" s="11">
        <v>34</v>
      </c>
      <c r="R489" t="s" s="11">
        <v>34</v>
      </c>
      <c r="S489" t="s" s="11">
        <v>34</v>
      </c>
      <c r="T489" t="s" s="13">
        <v>34</v>
      </c>
      <c r="U489" t="s" s="11">
        <v>34</v>
      </c>
      <c r="V489" t="s" s="13">
        <v>34</v>
      </c>
      <c r="W489" t="s" s="11">
        <v>4322</v>
      </c>
      <c r="X489" s="17">
        <f>HYPERLINK("https://my.pitchbook.com?p=327024-46P", "View People Online")</f>
      </c>
    </row>
    <row r="490">
      <c r="A490" t="s" s="10">
        <v>4323</v>
      </c>
      <c r="B490" t="s" s="10">
        <v>4324</v>
      </c>
      <c r="C490" t="s" s="10">
        <v>34</v>
      </c>
      <c r="D490" t="s" s="10">
        <v>4325</v>
      </c>
      <c r="E490" t="s" s="10">
        <v>3715</v>
      </c>
      <c r="F490" t="s" s="10">
        <v>4326</v>
      </c>
      <c r="G490" t="s" s="10">
        <v>4327</v>
      </c>
      <c r="H490" s="16">
        <f>HYPERLINK("http://www.teamtrg.com", "www.teamtrg.com")</f>
      </c>
      <c r="I490" t="s" s="10">
        <v>322</v>
      </c>
      <c r="J490" t="s" s="24">
        <v>34</v>
      </c>
      <c r="K490" s="24">
        <v>4</v>
      </c>
      <c r="L490" s="24">
        <v>4</v>
      </c>
      <c r="M490" t="s" s="12">
        <v>34</v>
      </c>
      <c r="N490" t="s" s="10">
        <v>4329</v>
      </c>
      <c r="O490" t="s" s="10">
        <v>34</v>
      </c>
      <c r="P490" t="s" s="10">
        <v>34</v>
      </c>
      <c r="Q490" t="s" s="10">
        <v>34</v>
      </c>
      <c r="R490" t="s" s="10">
        <v>34</v>
      </c>
      <c r="S490" t="s" s="10">
        <v>34</v>
      </c>
      <c r="T490" t="s" s="12">
        <v>34</v>
      </c>
      <c r="U490" t="s" s="10">
        <v>34</v>
      </c>
      <c r="V490" t="s" s="12">
        <v>34</v>
      </c>
      <c r="W490" t="s" s="10">
        <v>4330</v>
      </c>
      <c r="X490" s="16">
        <f>HYPERLINK("https://my.pitchbook.com?p=197430-40P", "View People Online")</f>
      </c>
    </row>
    <row r="491">
      <c r="A491" t="s" s="11">
        <v>4331</v>
      </c>
      <c r="B491" t="s" s="11">
        <v>4332</v>
      </c>
      <c r="C491" t="s" s="11">
        <v>34</v>
      </c>
      <c r="D491" t="s" s="11">
        <v>4282</v>
      </c>
      <c r="E491" t="s" s="11">
        <v>3715</v>
      </c>
      <c r="F491" t="s" s="11">
        <v>4333</v>
      </c>
      <c r="G491" t="s" s="11">
        <v>4334</v>
      </c>
      <c r="H491" s="17">
        <f>HYPERLINK("http://www.royalihc.com", "www.royalihc.com")</f>
      </c>
      <c r="I491" t="s" s="11">
        <v>649</v>
      </c>
      <c r="J491" t="s" s="25">
        <v>34</v>
      </c>
      <c r="K491" t="s" s="25">
        <v>34</v>
      </c>
      <c r="L491" t="s" s="25">
        <v>34</v>
      </c>
      <c r="M491" t="s" s="13">
        <v>4284</v>
      </c>
      <c r="N491" t="s" s="11">
        <v>34</v>
      </c>
      <c r="O491" t="s" s="11">
        <v>4286</v>
      </c>
      <c r="P491" t="s" s="11">
        <v>4287</v>
      </c>
      <c r="Q491" t="s" s="11">
        <v>34</v>
      </c>
      <c r="R491" t="s" s="11">
        <v>4288</v>
      </c>
      <c r="S491" t="s" s="11">
        <v>34</v>
      </c>
      <c r="T491" t="s" s="13">
        <v>4289</v>
      </c>
      <c r="U491" t="s" s="11">
        <v>103</v>
      </c>
      <c r="V491" t="s" s="13">
        <v>34</v>
      </c>
      <c r="W491" t="s" s="11">
        <v>4335</v>
      </c>
      <c r="X491" s="17">
        <f>HYPERLINK("https://my.pitchbook.com?p=243791-38P", "View People Online")</f>
      </c>
    </row>
    <row r="492">
      <c r="A492" t="s" s="10">
        <v>4336</v>
      </c>
      <c r="B492" t="s" s="10">
        <v>4337</v>
      </c>
      <c r="C492" t="s" s="10">
        <v>34</v>
      </c>
      <c r="D492" t="s" s="10">
        <v>4338</v>
      </c>
      <c r="E492" t="s" s="10">
        <v>3715</v>
      </c>
      <c r="F492" t="s" s="10">
        <v>4339</v>
      </c>
      <c r="G492" t="s" s="10">
        <v>4340</v>
      </c>
      <c r="H492" s="16">
        <f>HYPERLINK("http://www.ihcgroup.com", "www.ihcgroup.com")</f>
      </c>
      <c r="I492" t="s" s="10">
        <v>4341</v>
      </c>
      <c r="J492" t="s" s="24">
        <v>34</v>
      </c>
      <c r="K492" s="24">
        <v>1</v>
      </c>
      <c r="L492" t="s" s="24">
        <v>34</v>
      </c>
      <c r="M492" t="s" s="12">
        <v>4342</v>
      </c>
      <c r="N492" t="s" s="10">
        <v>4343</v>
      </c>
      <c r="O492" t="s" s="10">
        <v>169</v>
      </c>
      <c r="P492" t="s" s="10">
        <v>4344</v>
      </c>
      <c r="Q492" t="s" s="10">
        <v>34</v>
      </c>
      <c r="R492" t="s" s="10">
        <v>172</v>
      </c>
      <c r="S492" t="s" s="10">
        <v>173</v>
      </c>
      <c r="T492" t="s" s="12">
        <v>4345</v>
      </c>
      <c r="U492" t="s" s="10">
        <v>88</v>
      </c>
      <c r="V492" t="s" s="12">
        <v>34</v>
      </c>
      <c r="W492" t="s" s="10">
        <v>4346</v>
      </c>
      <c r="X492" s="16">
        <f>HYPERLINK("https://my.pitchbook.com?p=403156-90P", "View People Online")</f>
      </c>
    </row>
    <row r="493">
      <c r="A493" t="s" s="11">
        <v>4347</v>
      </c>
      <c r="B493" t="s" s="11">
        <v>4337</v>
      </c>
      <c r="C493" t="s" s="11">
        <v>34</v>
      </c>
      <c r="D493" t="s" s="11">
        <v>4348</v>
      </c>
      <c r="E493" t="s" s="11">
        <v>3715</v>
      </c>
      <c r="F493" t="s" s="11">
        <v>4339</v>
      </c>
      <c r="G493" t="s" s="11">
        <v>4340</v>
      </c>
      <c r="H493" s="17">
        <f>HYPERLINK("http://www.independencepetgroup.com", "www.independencepetgroup.com")</f>
      </c>
      <c r="I493" t="s" s="11">
        <v>4350</v>
      </c>
      <c r="J493" t="s" s="25">
        <v>34</v>
      </c>
      <c r="K493" s="25">
        <v>1</v>
      </c>
      <c r="L493" t="s" s="25">
        <v>34</v>
      </c>
      <c r="M493" t="s" s="13">
        <v>34</v>
      </c>
      <c r="N493" t="s" s="11">
        <v>34</v>
      </c>
      <c r="O493" t="s" s="11">
        <v>4351</v>
      </c>
      <c r="P493" t="s" s="11">
        <v>4352</v>
      </c>
      <c r="Q493" t="s" s="11">
        <v>4353</v>
      </c>
      <c r="R493" t="s" s="11">
        <v>4354</v>
      </c>
      <c r="S493" t="s" s="11">
        <v>3582</v>
      </c>
      <c r="T493" t="s" s="13">
        <v>4355</v>
      </c>
      <c r="U493" t="s" s="11">
        <v>88</v>
      </c>
      <c r="V493" t="s" s="13">
        <v>34</v>
      </c>
      <c r="W493" t="s" s="11">
        <v>4356</v>
      </c>
      <c r="X493" s="17">
        <f>HYPERLINK("https://my.pitchbook.com?p=445059-82P", "View People Online")</f>
      </c>
    </row>
    <row r="494">
      <c r="A494" t="s" s="10">
        <v>4357</v>
      </c>
      <c r="B494" t="s" s="10">
        <v>4358</v>
      </c>
      <c r="C494" t="s" s="10">
        <v>34</v>
      </c>
      <c r="D494" t="s" s="10">
        <v>4359</v>
      </c>
      <c r="E494" t="s" s="10">
        <v>3715</v>
      </c>
      <c r="F494" t="s" s="10">
        <v>4360</v>
      </c>
      <c r="G494" t="s" s="10">
        <v>4340</v>
      </c>
      <c r="H494" s="16">
        <f>HYPERLINK("http://www.dynacare.ca", "www.dynacare.ca")</f>
      </c>
      <c r="I494" t="s" s="10">
        <v>4362</v>
      </c>
      <c r="J494" t="s" s="24">
        <v>34</v>
      </c>
      <c r="K494" s="24">
        <v>1</v>
      </c>
      <c r="L494" t="s" s="24">
        <v>34</v>
      </c>
      <c r="M494" t="s" s="12">
        <v>4363</v>
      </c>
      <c r="N494" t="s" s="10">
        <v>4364</v>
      </c>
      <c r="O494" t="s" s="10">
        <v>4365</v>
      </c>
      <c r="P494" t="s" s="10">
        <v>4366</v>
      </c>
      <c r="Q494" t="s" s="10">
        <v>34</v>
      </c>
      <c r="R494" t="s" s="10">
        <v>4367</v>
      </c>
      <c r="S494" t="s" s="10">
        <v>2138</v>
      </c>
      <c r="T494" t="s" s="12">
        <v>4368</v>
      </c>
      <c r="U494" t="s" s="10">
        <v>1613</v>
      </c>
      <c r="V494" t="s" s="12">
        <v>4369</v>
      </c>
      <c r="W494" t="s" s="10">
        <v>4370</v>
      </c>
      <c r="X494" s="16">
        <f>HYPERLINK("https://my.pitchbook.com?p=335270-89P", "View People Online")</f>
      </c>
    </row>
    <row r="495">
      <c r="A495" t="s" s="11">
        <v>4371</v>
      </c>
      <c r="B495" t="s" s="11">
        <v>4372</v>
      </c>
      <c r="C495" t="s" s="11">
        <v>34</v>
      </c>
      <c r="D495" t="s" s="11">
        <v>3924</v>
      </c>
      <c r="E495" t="s" s="11">
        <v>3715</v>
      </c>
      <c r="F495" t="s" s="11">
        <v>4319</v>
      </c>
      <c r="G495" t="s" s="11">
        <v>4340</v>
      </c>
      <c r="H495" s="17">
        <f>HYPERLINK("http://www.g42.ai", "www.g42.ai")</f>
      </c>
      <c r="I495" t="s" s="11">
        <v>649</v>
      </c>
      <c r="J495" s="25">
        <v>1</v>
      </c>
      <c r="K495" s="25">
        <v>1</v>
      </c>
      <c r="L495" t="s" s="25">
        <v>34</v>
      </c>
      <c r="M495" t="s" s="13">
        <v>34</v>
      </c>
      <c r="N495" t="s" s="11">
        <v>34</v>
      </c>
      <c r="O495" t="s" s="11">
        <v>385</v>
      </c>
      <c r="P495" t="s" s="11">
        <v>3930</v>
      </c>
      <c r="Q495" t="s" s="11">
        <v>3931</v>
      </c>
      <c r="R495" t="s" s="11">
        <v>388</v>
      </c>
      <c r="S495" t="s" s="11">
        <v>34</v>
      </c>
      <c r="T495" t="s" s="13">
        <v>34</v>
      </c>
      <c r="U495" t="s" s="11">
        <v>240</v>
      </c>
      <c r="V495" t="s" s="13">
        <v>34</v>
      </c>
      <c r="W495" t="s" s="11">
        <v>4373</v>
      </c>
      <c r="X495" s="17">
        <f>HYPERLINK("https://my.pitchbook.com?p=278330-32P", "View People Online")</f>
      </c>
    </row>
    <row r="496">
      <c r="A496" t="s" s="10">
        <v>4374</v>
      </c>
      <c r="B496" t="s" s="10">
        <v>4375</v>
      </c>
      <c r="C496" t="s" s="10">
        <v>34</v>
      </c>
      <c r="D496" t="s" s="10">
        <v>3725</v>
      </c>
      <c r="E496" t="s" s="10">
        <v>3715</v>
      </c>
      <c r="F496" t="s" s="10">
        <v>4376</v>
      </c>
      <c r="G496" t="s" s="10">
        <v>4377</v>
      </c>
      <c r="H496" s="16">
        <f>HYPERLINK("http://www.royalihc.com", "www.royalihc.com")</f>
      </c>
      <c r="I496" t="s" s="10">
        <v>322</v>
      </c>
      <c r="J496" t="s" s="24">
        <v>34</v>
      </c>
      <c r="K496" s="24">
        <v>2</v>
      </c>
      <c r="L496" s="24">
        <v>2</v>
      </c>
      <c r="M496" t="s" s="12">
        <v>34</v>
      </c>
      <c r="N496" t="s" s="10">
        <v>34</v>
      </c>
      <c r="O496" t="s" s="10">
        <v>34</v>
      </c>
      <c r="P496" t="s" s="10">
        <v>34</v>
      </c>
      <c r="Q496" t="s" s="10">
        <v>34</v>
      </c>
      <c r="R496" t="s" s="10">
        <v>34</v>
      </c>
      <c r="S496" t="s" s="10">
        <v>34</v>
      </c>
      <c r="T496" t="s" s="12">
        <v>34</v>
      </c>
      <c r="U496" t="s" s="10">
        <v>34</v>
      </c>
      <c r="V496" t="s" s="12">
        <v>34</v>
      </c>
      <c r="W496" t="s" s="10">
        <v>4378</v>
      </c>
      <c r="X496" s="16">
        <f>HYPERLINK("https://my.pitchbook.com?p=59796-82P", "View People Online")</f>
      </c>
    </row>
    <row r="497">
      <c r="A497" t="s" s="11">
        <v>4379</v>
      </c>
      <c r="B497" t="s" s="11">
        <v>4380</v>
      </c>
      <c r="C497" t="s" s="11">
        <v>34</v>
      </c>
      <c r="D497" t="s" s="11">
        <v>4381</v>
      </c>
      <c r="E497" t="s" s="11">
        <v>3715</v>
      </c>
      <c r="F497" t="s" s="11">
        <v>4382</v>
      </c>
      <c r="G497" t="s" s="11">
        <v>4383</v>
      </c>
      <c r="H497" s="17">
        <f>HYPERLINK("http://www.snicompanies.com", "www.snicompanies.com")</f>
      </c>
      <c r="I497" t="s" s="11">
        <v>4385</v>
      </c>
      <c r="J497" t="s" s="25">
        <v>34</v>
      </c>
      <c r="K497" s="25">
        <v>1</v>
      </c>
      <c r="L497" t="s" s="25">
        <v>34</v>
      </c>
      <c r="M497" t="s" s="13">
        <v>4386</v>
      </c>
      <c r="N497" t="s" s="11">
        <v>4387</v>
      </c>
      <c r="O497" t="s" s="11">
        <v>4388</v>
      </c>
      <c r="P497" t="s" s="11">
        <v>4389</v>
      </c>
      <c r="Q497" t="s" s="11">
        <v>4390</v>
      </c>
      <c r="R497" t="s" s="11">
        <v>4391</v>
      </c>
      <c r="S497" t="s" s="11">
        <v>2156</v>
      </c>
      <c r="T497" t="s" s="13">
        <v>4392</v>
      </c>
      <c r="U497" t="s" s="11">
        <v>88</v>
      </c>
      <c r="V497" t="s" s="13">
        <v>4393</v>
      </c>
      <c r="W497" t="s" s="11">
        <v>4394</v>
      </c>
      <c r="X497" s="17">
        <f>HYPERLINK("https://my.pitchbook.com?p=73341-28P", "View People Online")</f>
      </c>
    </row>
    <row r="498">
      <c r="A498" t="s" s="10">
        <v>4395</v>
      </c>
      <c r="B498" t="s" s="10">
        <v>4396</v>
      </c>
      <c r="C498" t="s" s="10">
        <v>34</v>
      </c>
      <c r="D498" t="s" s="10">
        <v>4397</v>
      </c>
      <c r="E498" t="s" s="10">
        <v>3715</v>
      </c>
      <c r="F498" t="s" s="10">
        <v>4398</v>
      </c>
      <c r="G498" t="s" s="10">
        <v>4399</v>
      </c>
      <c r="H498" s="16">
        <f>HYPERLINK("http://www.thinkabx.com", "www.thinkabx.com")</f>
      </c>
      <c r="I498" t="s" s="10">
        <v>4401</v>
      </c>
      <c r="J498" t="s" s="24">
        <v>34</v>
      </c>
      <c r="K498" s="24">
        <v>1</v>
      </c>
      <c r="L498" t="s" s="24">
        <v>34</v>
      </c>
      <c r="M498" t="s" s="12">
        <v>4402</v>
      </c>
      <c r="N498" t="s" s="10">
        <v>34</v>
      </c>
      <c r="O498" t="s" s="10">
        <v>625</v>
      </c>
      <c r="P498" t="s" s="10">
        <v>4403</v>
      </c>
      <c r="Q498" t="s" s="10">
        <v>4404</v>
      </c>
      <c r="R498" t="s" s="10">
        <v>628</v>
      </c>
      <c r="S498" t="s" s="10">
        <v>225</v>
      </c>
      <c r="T498" t="s" s="12">
        <v>4405</v>
      </c>
      <c r="U498" t="s" s="10">
        <v>88</v>
      </c>
      <c r="V498" t="s" s="12">
        <v>34</v>
      </c>
      <c r="W498" t="s" s="10">
        <v>4406</v>
      </c>
      <c r="X498" s="16">
        <f>HYPERLINK("https://my.pitchbook.com?p=246376-45P", "View People Online")</f>
      </c>
    </row>
    <row r="499">
      <c r="A499" t="s" s="11">
        <v>4407</v>
      </c>
      <c r="B499" t="s" s="11">
        <v>4408</v>
      </c>
      <c r="C499" t="s" s="11">
        <v>34</v>
      </c>
      <c r="D499" t="s" s="11">
        <v>4409</v>
      </c>
      <c r="E499" t="s" s="11">
        <v>3715</v>
      </c>
      <c r="F499" t="s" s="11">
        <v>4410</v>
      </c>
      <c r="G499" t="s" s="11">
        <v>4411</v>
      </c>
      <c r="H499" s="17">
        <f>HYPERLINK("http://www.apmcapital.ae", "www.apmcapital.ae")</f>
      </c>
      <c r="I499" t="s" s="11">
        <v>4413</v>
      </c>
      <c r="J499" t="s" s="25">
        <v>34</v>
      </c>
      <c r="K499" s="25">
        <v>1</v>
      </c>
      <c r="L499" t="s" s="25">
        <v>34</v>
      </c>
      <c r="M499" t="s" s="13">
        <v>4414</v>
      </c>
      <c r="N499" t="s" s="11">
        <v>4415</v>
      </c>
      <c r="O499" t="s" s="11">
        <v>385</v>
      </c>
      <c r="P499" t="s" s="11">
        <v>4416</v>
      </c>
      <c r="Q499" t="s" s="11">
        <v>387</v>
      </c>
      <c r="R499" t="s" s="11">
        <v>388</v>
      </c>
      <c r="S499" t="s" s="11">
        <v>34</v>
      </c>
      <c r="T499" t="s" s="13">
        <v>34</v>
      </c>
      <c r="U499" t="s" s="11">
        <v>240</v>
      </c>
      <c r="V499" t="s" s="13">
        <v>34</v>
      </c>
      <c r="W499" t="s" s="11">
        <v>4417</v>
      </c>
      <c r="X499" s="17">
        <f>HYPERLINK("https://my.pitchbook.com?p=406770-04P", "View People Online")</f>
      </c>
    </row>
    <row r="500">
      <c r="A500" t="s" s="10">
        <v>4418</v>
      </c>
      <c r="B500" t="s" s="10">
        <v>4419</v>
      </c>
      <c r="C500" t="s" s="10">
        <v>34</v>
      </c>
      <c r="D500" t="s" s="10">
        <v>4420</v>
      </c>
      <c r="E500" t="s" s="10">
        <v>3715</v>
      </c>
      <c r="F500" t="s" s="10">
        <v>4421</v>
      </c>
      <c r="G500" t="s" s="10">
        <v>4422</v>
      </c>
      <c r="H500" s="16">
        <f>HYPERLINK("http://www.pertamedika.co.id", "www.pertamedika.co.id")</f>
      </c>
      <c r="I500" t="s" s="10">
        <v>4423</v>
      </c>
      <c r="J500" t="s" s="24">
        <v>34</v>
      </c>
      <c r="K500" t="s" s="24">
        <v>34</v>
      </c>
      <c r="L500" t="s" s="24">
        <v>34</v>
      </c>
      <c r="M500" t="s" s="12">
        <v>34</v>
      </c>
      <c r="N500" t="s" s="10">
        <v>34</v>
      </c>
      <c r="O500" t="s" s="10">
        <v>34</v>
      </c>
      <c r="P500" t="s" s="10">
        <v>34</v>
      </c>
      <c r="Q500" t="s" s="10">
        <v>34</v>
      </c>
      <c r="R500" t="s" s="10">
        <v>34</v>
      </c>
      <c r="S500" t="s" s="10">
        <v>34</v>
      </c>
      <c r="T500" t="s" s="12">
        <v>34</v>
      </c>
      <c r="U500" t="s" s="10">
        <v>34</v>
      </c>
      <c r="V500" t="s" s="12">
        <v>34</v>
      </c>
      <c r="W500" t="s" s="10">
        <v>4424</v>
      </c>
      <c r="X500" s="16">
        <f>HYPERLINK("https://my.pitchbook.com?p=333851-68P", "View People Online")</f>
      </c>
    </row>
    <row r="501">
      <c r="A501" t="s" s="11">
        <v>4425</v>
      </c>
      <c r="B501" t="s" s="11">
        <v>4426</v>
      </c>
      <c r="C501" t="s" s="11">
        <v>34</v>
      </c>
      <c r="D501" t="s" s="11">
        <v>4427</v>
      </c>
      <c r="E501" t="s" s="11">
        <v>3715</v>
      </c>
      <c r="F501" t="s" s="11">
        <v>4428</v>
      </c>
      <c r="G501" t="s" s="11">
        <v>4429</v>
      </c>
      <c r="H501" s="17">
        <f>HYPERLINK("http://www.regenereyes.com", "www.regenereyes.com")</f>
      </c>
      <c r="I501" t="s" s="11">
        <v>4431</v>
      </c>
      <c r="J501" s="25">
        <v>1</v>
      </c>
      <c r="K501" s="25">
        <v>1</v>
      </c>
      <c r="L501" t="s" s="25">
        <v>34</v>
      </c>
      <c r="M501" t="s" s="13">
        <v>4432</v>
      </c>
      <c r="N501" t="s" s="11">
        <v>34</v>
      </c>
      <c r="O501" t="s" s="11">
        <v>4433</v>
      </c>
      <c r="P501" t="s" s="11">
        <v>4434</v>
      </c>
      <c r="Q501" t="s" s="11">
        <v>4435</v>
      </c>
      <c r="R501" t="s" s="11">
        <v>4436</v>
      </c>
      <c r="S501" t="s" s="11">
        <v>2156</v>
      </c>
      <c r="T501" t="s" s="13">
        <v>4437</v>
      </c>
      <c r="U501" t="s" s="11">
        <v>88</v>
      </c>
      <c r="V501" t="s" s="13">
        <v>34</v>
      </c>
      <c r="W501" t="s" s="11">
        <v>4438</v>
      </c>
      <c r="X501" s="17">
        <f>HYPERLINK("https://my.pitchbook.com?p=228450-07P", "View People Online")</f>
      </c>
    </row>
    <row r="502">
      <c r="A502" t="s" s="10">
        <v>4439</v>
      </c>
      <c r="B502" t="s" s="10">
        <v>4440</v>
      </c>
      <c r="C502" t="s" s="10">
        <v>34</v>
      </c>
      <c r="D502" t="s" s="10">
        <v>4441</v>
      </c>
      <c r="E502" t="s" s="10">
        <v>3715</v>
      </c>
      <c r="F502" t="s" s="10">
        <v>4442</v>
      </c>
      <c r="G502" t="s" s="10">
        <v>4443</v>
      </c>
      <c r="H502" s="16">
        <f>HYPERLINK("http://www.innervapharma.com", "www.innervapharma.com")</f>
      </c>
      <c r="I502" t="s" s="10">
        <v>4445</v>
      </c>
      <c r="J502" t="s" s="24">
        <v>34</v>
      </c>
      <c r="K502" s="24">
        <v>1</v>
      </c>
      <c r="L502" t="s" s="24">
        <v>34</v>
      </c>
      <c r="M502" t="s" s="12">
        <v>34</v>
      </c>
      <c r="N502" t="s" s="10">
        <v>4446</v>
      </c>
      <c r="O502" t="s" s="10">
        <v>4447</v>
      </c>
      <c r="P502" t="s" s="10">
        <v>4448</v>
      </c>
      <c r="Q502" t="s" s="10">
        <v>4449</v>
      </c>
      <c r="R502" t="s" s="10">
        <v>4450</v>
      </c>
      <c r="S502" t="s" s="10">
        <v>34</v>
      </c>
      <c r="T502" t="s" s="12">
        <v>4451</v>
      </c>
      <c r="U502" t="s" s="10">
        <v>1105</v>
      </c>
      <c r="V502" t="s" s="12">
        <v>34</v>
      </c>
      <c r="W502" t="s" s="10">
        <v>4452</v>
      </c>
      <c r="X502" s="16">
        <f>HYPERLINK("https://my.pitchbook.com?p=100904-41P", "View People Online")</f>
      </c>
    </row>
    <row r="503">
      <c r="A503" t="s" s="11">
        <v>4453</v>
      </c>
      <c r="B503" t="s" s="11">
        <v>4454</v>
      </c>
      <c r="C503" t="s" s="11">
        <v>34</v>
      </c>
      <c r="D503" t="s" s="11">
        <v>4455</v>
      </c>
      <c r="E503" t="s" s="11">
        <v>3715</v>
      </c>
      <c r="F503" t="s" s="11">
        <v>4456</v>
      </c>
      <c r="G503" t="s" s="11">
        <v>4443</v>
      </c>
      <c r="H503" s="17">
        <f>HYPERLINK("http://www.unclenearest.com", "www.unclenearest.com")</f>
      </c>
      <c r="I503" t="s" s="11">
        <v>4458</v>
      </c>
      <c r="J503" t="s" s="25">
        <v>34</v>
      </c>
      <c r="K503" s="25">
        <v>1</v>
      </c>
      <c r="L503" t="s" s="25">
        <v>34</v>
      </c>
      <c r="M503" t="s" s="13">
        <v>4459</v>
      </c>
      <c r="N503" t="s" s="11">
        <v>4460</v>
      </c>
      <c r="O503" t="s" s="11">
        <v>4461</v>
      </c>
      <c r="P503" t="s" s="11">
        <v>4462</v>
      </c>
      <c r="Q503" t="s" s="11">
        <v>34</v>
      </c>
      <c r="R503" t="s" s="11">
        <v>4463</v>
      </c>
      <c r="S503" t="s" s="11">
        <v>4464</v>
      </c>
      <c r="T503" t="s" s="13">
        <v>4465</v>
      </c>
      <c r="U503" t="s" s="11">
        <v>88</v>
      </c>
      <c r="V503" t="s" s="13">
        <v>34</v>
      </c>
      <c r="W503" t="s" s="11">
        <v>4466</v>
      </c>
      <c r="X503" s="17">
        <f>HYPERLINK("https://my.pitchbook.com?p=459763-39P", "View People Online")</f>
      </c>
    </row>
    <row r="504">
      <c r="A504" t="s" s="10">
        <v>4467</v>
      </c>
      <c r="B504" t="s" s="10">
        <v>4468</v>
      </c>
      <c r="C504" t="s" s="10">
        <v>34</v>
      </c>
      <c r="D504" t="s" s="10">
        <v>4469</v>
      </c>
      <c r="E504" t="s" s="10">
        <v>3715</v>
      </c>
      <c r="F504" t="s" s="10">
        <v>4470</v>
      </c>
      <c r="G504" t="s" s="10">
        <v>4471</v>
      </c>
      <c r="H504" s="16">
        <f>HYPERLINK("http://www.dummenorange.com", "www.dummenorange.com")</f>
      </c>
      <c r="I504" t="s" s="10">
        <v>234</v>
      </c>
      <c r="J504" t="s" s="24">
        <v>34</v>
      </c>
      <c r="K504" s="24">
        <v>1</v>
      </c>
      <c r="L504" t="s" s="24">
        <v>34</v>
      </c>
      <c r="M504" t="s" s="12">
        <v>4473</v>
      </c>
      <c r="N504" t="s" s="10">
        <v>4474</v>
      </c>
      <c r="O504" t="s" s="10">
        <v>4475</v>
      </c>
      <c r="P504" t="s" s="10">
        <v>4476</v>
      </c>
      <c r="Q504" t="s" s="10">
        <v>34</v>
      </c>
      <c r="R504" t="s" s="10">
        <v>4477</v>
      </c>
      <c r="S504" t="s" s="10">
        <v>34</v>
      </c>
      <c r="T504" t="s" s="12">
        <v>4478</v>
      </c>
      <c r="U504" t="s" s="10">
        <v>103</v>
      </c>
      <c r="V504" t="s" s="12">
        <v>34</v>
      </c>
      <c r="W504" t="s" s="10">
        <v>4479</v>
      </c>
      <c r="X504" s="16">
        <f>HYPERLINK("https://my.pitchbook.com?p=398287-09P", "View People Online")</f>
      </c>
    </row>
    <row r="505">
      <c r="A505" t="s" s="11">
        <v>4480</v>
      </c>
      <c r="B505" t="s" s="11">
        <v>4481</v>
      </c>
      <c r="C505" t="s" s="11">
        <v>34</v>
      </c>
      <c r="D505" t="s" s="11">
        <v>4482</v>
      </c>
      <c r="E505" t="s" s="11">
        <v>3715</v>
      </c>
      <c r="F505" t="s" s="11">
        <v>4483</v>
      </c>
      <c r="G505" t="s" s="11">
        <v>4484</v>
      </c>
      <c r="H505" s="17">
        <f>HYPERLINK("http://www.bmiorganbank.com", "www.bmiorganbank.com")</f>
      </c>
      <c r="I505" t="s" s="11">
        <v>4486</v>
      </c>
      <c r="J505" t="s" s="25">
        <v>34</v>
      </c>
      <c r="K505" s="25">
        <v>1</v>
      </c>
      <c r="L505" t="s" s="25">
        <v>34</v>
      </c>
      <c r="M505" t="s" s="13">
        <v>4487</v>
      </c>
      <c r="N505" t="s" s="11">
        <v>4488</v>
      </c>
      <c r="O505" t="s" s="11">
        <v>4489</v>
      </c>
      <c r="P505" t="s" s="11">
        <v>4490</v>
      </c>
      <c r="Q505" t="s" s="11">
        <v>4491</v>
      </c>
      <c r="R505" t="s" s="11">
        <v>4492</v>
      </c>
      <c r="S505" t="s" s="11">
        <v>4493</v>
      </c>
      <c r="T505" t="s" s="13">
        <v>4494</v>
      </c>
      <c r="U505" t="s" s="11">
        <v>88</v>
      </c>
      <c r="V505" t="s" s="13">
        <v>34</v>
      </c>
      <c r="W505" t="s" s="11">
        <v>4495</v>
      </c>
      <c r="X505" s="17">
        <f>HYPERLINK("https://my.pitchbook.com?p=258798-70P", "View People Online")</f>
      </c>
    </row>
    <row r="506">
      <c r="A506" t="s" s="10">
        <v>4496</v>
      </c>
      <c r="B506" t="s" s="10">
        <v>4497</v>
      </c>
      <c r="C506" t="s" s="10">
        <v>34</v>
      </c>
      <c r="D506" t="s" s="10">
        <v>4498</v>
      </c>
      <c r="E506" t="s" s="10">
        <v>3715</v>
      </c>
      <c r="F506" t="s" s="10">
        <v>4499</v>
      </c>
      <c r="G506" t="s" s="10">
        <v>4500</v>
      </c>
      <c r="H506" s="16">
        <f>HYPERLINK("http://www.drylab.io", "www.drylab.io")</f>
      </c>
      <c r="I506" t="s" s="10">
        <v>3890</v>
      </c>
      <c r="J506" t="s" s="24">
        <v>34</v>
      </c>
      <c r="K506" s="24">
        <v>1</v>
      </c>
      <c r="L506" t="s" s="24">
        <v>34</v>
      </c>
      <c r="M506" t="s" s="12">
        <v>4502</v>
      </c>
      <c r="N506" t="s" s="10">
        <v>4503</v>
      </c>
      <c r="O506" t="s" s="10">
        <v>43</v>
      </c>
      <c r="P506" t="s" s="10">
        <v>4504</v>
      </c>
      <c r="Q506" t="s" s="10">
        <v>4505</v>
      </c>
      <c r="R506" t="s" s="10">
        <v>46</v>
      </c>
      <c r="S506" t="s" s="10">
        <v>47</v>
      </c>
      <c r="T506" t="s" s="12">
        <v>4506</v>
      </c>
      <c r="U506" t="s" s="10">
        <v>49</v>
      </c>
      <c r="V506" t="s" s="12">
        <v>34</v>
      </c>
      <c r="W506" t="s" s="10">
        <v>4507</v>
      </c>
      <c r="X506" s="16">
        <f>HYPERLINK("https://my.pitchbook.com?p=296182-63P", "View People Online")</f>
      </c>
    </row>
    <row r="507">
      <c r="A507" t="s" s="11">
        <v>4508</v>
      </c>
      <c r="B507" t="s" s="11">
        <v>4509</v>
      </c>
      <c r="C507" t="s" s="11">
        <v>34</v>
      </c>
      <c r="D507" t="s" s="11">
        <v>4510</v>
      </c>
      <c r="E507" t="s" s="11">
        <v>3715</v>
      </c>
      <c r="F507" t="s" s="11">
        <v>4511</v>
      </c>
      <c r="G507" t="s" s="11">
        <v>4512</v>
      </c>
      <c r="H507" s="17">
        <f>HYPERLINK("http://www.snitechnology.net", "www.snitechnology.net")</f>
      </c>
      <c r="I507" t="s" s="11">
        <v>4514</v>
      </c>
      <c r="J507" t="s" s="25">
        <v>34</v>
      </c>
      <c r="K507" s="25">
        <v>1</v>
      </c>
      <c r="L507" t="s" s="25">
        <v>34</v>
      </c>
      <c r="M507" t="s" s="13">
        <v>4515</v>
      </c>
      <c r="N507" t="s" s="11">
        <v>4516</v>
      </c>
      <c r="O507" t="s" s="11">
        <v>4517</v>
      </c>
      <c r="P507" t="s" s="11">
        <v>4518</v>
      </c>
      <c r="Q507" t="s" s="11">
        <v>4519</v>
      </c>
      <c r="R507" t="s" s="11">
        <v>4520</v>
      </c>
      <c r="S507" t="s" s="11">
        <v>34</v>
      </c>
      <c r="T507" t="s" s="13">
        <v>4521</v>
      </c>
      <c r="U507" t="s" s="11">
        <v>4522</v>
      </c>
      <c r="V507" t="s" s="13">
        <v>34</v>
      </c>
      <c r="W507" t="s" s="11">
        <v>4523</v>
      </c>
      <c r="X507" s="17">
        <f>HYPERLINK("https://my.pitchbook.com?p=374739-22P", "View People Online")</f>
      </c>
    </row>
    <row r="508">
      <c r="A508" t="s" s="10">
        <v>4524</v>
      </c>
      <c r="B508" t="s" s="10">
        <v>4525</v>
      </c>
      <c r="C508" t="s" s="10">
        <v>34</v>
      </c>
      <c r="D508" t="s" s="10">
        <v>4526</v>
      </c>
      <c r="E508" t="s" s="10">
        <v>3715</v>
      </c>
      <c r="F508" t="s" s="10">
        <v>4527</v>
      </c>
      <c r="G508" t="s" s="10">
        <v>4528</v>
      </c>
      <c r="H508" s="16">
        <f>HYPERLINK("http://www.novanthealthuva.org", "www.novanthealthuva.org")</f>
      </c>
      <c r="I508" t="s" s="10">
        <v>4530</v>
      </c>
      <c r="J508" t="s" s="24">
        <v>34</v>
      </c>
      <c r="K508" t="s" s="24">
        <v>34</v>
      </c>
      <c r="L508" t="s" s="24">
        <v>34</v>
      </c>
      <c r="M508" t="s" s="12">
        <v>34</v>
      </c>
      <c r="N508" t="s" s="10">
        <v>34</v>
      </c>
      <c r="O508" t="s" s="10">
        <v>34</v>
      </c>
      <c r="P508" t="s" s="10">
        <v>34</v>
      </c>
      <c r="Q508" t="s" s="10">
        <v>34</v>
      </c>
      <c r="R508" t="s" s="10">
        <v>34</v>
      </c>
      <c r="S508" t="s" s="10">
        <v>34</v>
      </c>
      <c r="T508" t="s" s="12">
        <v>34</v>
      </c>
      <c r="U508" t="s" s="10">
        <v>34</v>
      </c>
      <c r="V508" t="s" s="12">
        <v>34</v>
      </c>
      <c r="W508" t="s" s="10">
        <v>4531</v>
      </c>
      <c r="X508" s="16">
        <f>HYPERLINK("https://my.pitchbook.com?p=254886-67P", "View People Online")</f>
      </c>
    </row>
    <row r="509">
      <c r="A509" t="s" s="11">
        <v>4532</v>
      </c>
      <c r="B509" t="s" s="11">
        <v>4533</v>
      </c>
      <c r="C509" t="s" s="11">
        <v>34</v>
      </c>
      <c r="D509" t="s" s="11">
        <v>4534</v>
      </c>
      <c r="E509" t="s" s="11">
        <v>3715</v>
      </c>
      <c r="F509" t="s" s="11">
        <v>4535</v>
      </c>
      <c r="G509" t="s" s="11">
        <v>4536</v>
      </c>
      <c r="H509" s="17">
        <f>HYPERLINK("http://www.vacorp.co.kr/home/v2", "www.vacorp.co.kr/home/v2")</f>
      </c>
      <c r="I509" t="s" s="11">
        <v>1358</v>
      </c>
      <c r="J509" t="s" s="25">
        <v>34</v>
      </c>
      <c r="K509" t="s" s="25">
        <v>34</v>
      </c>
      <c r="L509" t="s" s="25">
        <v>34</v>
      </c>
      <c r="M509" t="s" s="13">
        <v>34</v>
      </c>
      <c r="N509" t="s" s="11">
        <v>34</v>
      </c>
      <c r="O509" t="s" s="11">
        <v>34</v>
      </c>
      <c r="P509" t="s" s="11">
        <v>34</v>
      </c>
      <c r="Q509" t="s" s="11">
        <v>34</v>
      </c>
      <c r="R509" t="s" s="11">
        <v>34</v>
      </c>
      <c r="S509" t="s" s="11">
        <v>34</v>
      </c>
      <c r="T509" t="s" s="13">
        <v>34</v>
      </c>
      <c r="U509" t="s" s="11">
        <v>34</v>
      </c>
      <c r="V509" t="s" s="13">
        <v>34</v>
      </c>
      <c r="W509" t="s" s="11">
        <v>4538</v>
      </c>
      <c r="X509" s="17">
        <f>HYPERLINK("https://my.pitchbook.com?p=294900-13P", "View People Online")</f>
      </c>
    </row>
    <row r="510">
      <c r="A510" t="s" s="10">
        <v>4539</v>
      </c>
      <c r="B510" t="s" s="10">
        <v>4540</v>
      </c>
      <c r="C510" t="s" s="10">
        <v>34</v>
      </c>
      <c r="D510" t="s" s="10">
        <v>4541</v>
      </c>
      <c r="E510" t="s" s="10">
        <v>3715</v>
      </c>
      <c r="F510" t="s" s="10">
        <v>4542</v>
      </c>
      <c r="G510" t="s" s="10">
        <v>1853</v>
      </c>
      <c r="H510" s="16">
        <f>HYPERLINK("http://www.avianceghana.com", "www.avianceghana.com")</f>
      </c>
      <c r="I510" t="s" s="10">
        <v>2321</v>
      </c>
      <c r="J510" t="s" s="24">
        <v>34</v>
      </c>
      <c r="K510" t="s" s="24">
        <v>34</v>
      </c>
      <c r="L510" t="s" s="24">
        <v>34</v>
      </c>
      <c r="M510" t="s" s="12">
        <v>34</v>
      </c>
      <c r="N510" t="s" s="10">
        <v>4544</v>
      </c>
      <c r="O510" t="s" s="10">
        <v>34</v>
      </c>
      <c r="P510" t="s" s="10">
        <v>34</v>
      </c>
      <c r="Q510" t="s" s="10">
        <v>34</v>
      </c>
      <c r="R510" t="s" s="10">
        <v>34</v>
      </c>
      <c r="S510" t="s" s="10">
        <v>34</v>
      </c>
      <c r="T510" t="s" s="12">
        <v>34</v>
      </c>
      <c r="U510" t="s" s="10">
        <v>34</v>
      </c>
      <c r="V510" t="s" s="12">
        <v>34</v>
      </c>
      <c r="W510" t="s" s="10">
        <v>4545</v>
      </c>
      <c r="X510" s="16">
        <f>HYPERLINK("https://my.pitchbook.com?p=64906-57P", "View People Online")</f>
      </c>
    </row>
    <row r="511">
      <c r="A511" t="s" s="11">
        <v>4546</v>
      </c>
      <c r="B511" t="s" s="11">
        <v>4547</v>
      </c>
      <c r="C511" t="s" s="11">
        <v>34</v>
      </c>
      <c r="D511" t="s" s="11">
        <v>4548</v>
      </c>
      <c r="E511" t="s" s="11">
        <v>3715</v>
      </c>
      <c r="F511" t="s" s="11">
        <v>4549</v>
      </c>
      <c r="G511" t="s" s="11">
        <v>2147</v>
      </c>
      <c r="H511" s="17">
        <f>HYPERLINK("http://www.crocuslabs.com", "www.crocuslabs.com")</f>
      </c>
      <c r="I511" t="s" s="11">
        <v>234</v>
      </c>
      <c r="J511" t="s" s="25">
        <v>34</v>
      </c>
      <c r="K511" s="25">
        <v>1</v>
      </c>
      <c r="L511" t="s" s="25">
        <v>34</v>
      </c>
      <c r="M511" t="s" s="13">
        <v>4551</v>
      </c>
      <c r="N511" t="s" s="11">
        <v>4552</v>
      </c>
      <c r="O511" t="s" s="11">
        <v>4553</v>
      </c>
      <c r="P511" t="s" s="11">
        <v>4554</v>
      </c>
      <c r="Q511" t="s" s="11">
        <v>34</v>
      </c>
      <c r="R511" t="s" s="11">
        <v>4555</v>
      </c>
      <c r="S511" t="s" s="11">
        <v>34</v>
      </c>
      <c r="T511" t="s" s="13">
        <v>4556</v>
      </c>
      <c r="U511" t="s" s="11">
        <v>1181</v>
      </c>
      <c r="V511" t="s" s="13">
        <v>34</v>
      </c>
      <c r="W511" t="s" s="11">
        <v>4557</v>
      </c>
      <c r="X511" s="17">
        <f>HYPERLINK("https://my.pitchbook.com?p=60912-01P", "View People Online")</f>
      </c>
    </row>
    <row r="512">
      <c r="A512" t="s" s="10">
        <v>4558</v>
      </c>
      <c r="B512" t="s" s="10">
        <v>4559</v>
      </c>
      <c r="C512" t="s" s="10">
        <v>34</v>
      </c>
      <c r="D512" t="s" s="10">
        <v>4560</v>
      </c>
      <c r="E512" t="s" s="10">
        <v>3715</v>
      </c>
      <c r="F512" t="s" s="10">
        <v>4561</v>
      </c>
      <c r="G512" t="s" s="10">
        <v>3167</v>
      </c>
      <c r="H512" s="16">
        <f>HYPERLINK("http://www.viewsml.com", "www.viewsml.com")</f>
      </c>
      <c r="I512" t="s" s="10">
        <v>4563</v>
      </c>
      <c r="J512" t="s" s="24">
        <v>34</v>
      </c>
      <c r="K512" s="24">
        <v>1</v>
      </c>
      <c r="L512" t="s" s="24">
        <v>34</v>
      </c>
      <c r="M512" t="s" s="12">
        <v>4564</v>
      </c>
      <c r="N512" t="s" s="10">
        <v>34</v>
      </c>
      <c r="O512" t="s" s="10">
        <v>4565</v>
      </c>
      <c r="P512" t="s" s="10">
        <v>4566</v>
      </c>
      <c r="Q512" t="s" s="10">
        <v>34</v>
      </c>
      <c r="R512" t="s" s="10">
        <v>4567</v>
      </c>
      <c r="S512" t="s" s="10">
        <v>4568</v>
      </c>
      <c r="T512" t="s" s="12">
        <v>4569</v>
      </c>
      <c r="U512" t="s" s="10">
        <v>1613</v>
      </c>
      <c r="V512" t="s" s="12">
        <v>34</v>
      </c>
      <c r="W512" t="s" s="10">
        <v>4570</v>
      </c>
      <c r="X512" s="16">
        <f>HYPERLINK("https://my.pitchbook.com?p=333002-98P", "View People Online")</f>
      </c>
    </row>
    <row r="513">
      <c r="A513" t="s" s="11">
        <v>4571</v>
      </c>
      <c r="B513" t="s" s="11">
        <v>4572</v>
      </c>
      <c r="C513" t="s" s="11">
        <v>34</v>
      </c>
      <c r="D513" t="s" s="11">
        <v>4573</v>
      </c>
      <c r="E513" t="s" s="11">
        <v>3715</v>
      </c>
      <c r="F513" t="s" s="11">
        <v>4574</v>
      </c>
      <c r="G513" t="s" s="11">
        <v>4575</v>
      </c>
      <c r="H513" s="17">
        <f>HYPERLINK("http://www.vortexbiosciences.com", "www.vortexbiosciences.com")</f>
      </c>
      <c r="I513" t="s" s="11">
        <v>4577</v>
      </c>
      <c r="J513" t="s" s="25">
        <v>34</v>
      </c>
      <c r="K513" s="25">
        <v>1</v>
      </c>
      <c r="L513" t="s" s="25">
        <v>34</v>
      </c>
      <c r="M513" t="s" s="13">
        <v>4578</v>
      </c>
      <c r="N513" t="s" s="11">
        <v>4579</v>
      </c>
      <c r="O513" t="s" s="11">
        <v>4580</v>
      </c>
      <c r="P513" t="s" s="11">
        <v>4581</v>
      </c>
      <c r="Q513" t="s" s="11">
        <v>4582</v>
      </c>
      <c r="R513" t="s" s="11">
        <v>4583</v>
      </c>
      <c r="S513" t="s" s="11">
        <v>1904</v>
      </c>
      <c r="T513" t="s" s="13">
        <v>4584</v>
      </c>
      <c r="U513" t="s" s="11">
        <v>88</v>
      </c>
      <c r="V513" t="s" s="13">
        <v>34</v>
      </c>
      <c r="W513" t="s" s="11">
        <v>4585</v>
      </c>
      <c r="X513" s="17">
        <f>HYPERLINK("https://my.pitchbook.com?p=366126-31P", "View People Online")</f>
      </c>
    </row>
    <row r="514">
      <c r="A514" t="s" s="10">
        <v>4586</v>
      </c>
      <c r="B514" t="s" s="10">
        <v>4587</v>
      </c>
      <c r="C514" t="s" s="10">
        <v>34</v>
      </c>
      <c r="D514" t="s" s="10">
        <v>4338</v>
      </c>
      <c r="E514" t="s" s="10">
        <v>3715</v>
      </c>
      <c r="F514" t="s" s="10">
        <v>4588</v>
      </c>
      <c r="G514" t="s" s="10">
        <v>4589</v>
      </c>
      <c r="H514" s="16">
        <f>HYPERLINK("http://www.ihcgroup.com", "www.ihcgroup.com")</f>
      </c>
      <c r="I514" t="s" s="10">
        <v>234</v>
      </c>
      <c r="J514" t="s" s="24">
        <v>34</v>
      </c>
      <c r="K514" s="24">
        <v>1</v>
      </c>
      <c r="L514" t="s" s="24">
        <v>34</v>
      </c>
      <c r="M514" t="s" s="12">
        <v>4342</v>
      </c>
      <c r="N514" t="s" s="10">
        <v>4590</v>
      </c>
      <c r="O514" t="s" s="10">
        <v>169</v>
      </c>
      <c r="P514" t="s" s="10">
        <v>4344</v>
      </c>
      <c r="Q514" t="s" s="10">
        <v>34</v>
      </c>
      <c r="R514" t="s" s="10">
        <v>172</v>
      </c>
      <c r="S514" t="s" s="10">
        <v>173</v>
      </c>
      <c r="T514" t="s" s="12">
        <v>4345</v>
      </c>
      <c r="U514" t="s" s="10">
        <v>88</v>
      </c>
      <c r="V514" t="s" s="12">
        <v>34</v>
      </c>
      <c r="W514" t="s" s="10">
        <v>4591</v>
      </c>
      <c r="X514" s="16">
        <f>HYPERLINK("https://my.pitchbook.com?p=267848-02P", "View People Online")</f>
      </c>
    </row>
    <row r="515">
      <c r="A515" t="s" s="11">
        <v>4592</v>
      </c>
      <c r="B515" t="s" s="11">
        <v>4593</v>
      </c>
      <c r="C515" t="s" s="11">
        <v>34</v>
      </c>
      <c r="D515" t="s" s="11">
        <v>4594</v>
      </c>
      <c r="E515" t="s" s="11">
        <v>3715</v>
      </c>
      <c r="F515" t="s" s="11">
        <v>4269</v>
      </c>
      <c r="G515" t="s" s="11">
        <v>4595</v>
      </c>
      <c r="H515" s="17">
        <f>HYPERLINK("http://www.4etherapeutics.com", "www.4etherapeutics.com")</f>
      </c>
      <c r="I515" t="s" s="11">
        <v>4597</v>
      </c>
      <c r="J515" s="25">
        <v>1</v>
      </c>
      <c r="K515" s="25">
        <v>4</v>
      </c>
      <c r="L515" s="25">
        <v>3</v>
      </c>
      <c r="M515" t="s" s="13">
        <v>4598</v>
      </c>
      <c r="N515" t="s" s="11">
        <v>4599</v>
      </c>
      <c r="O515" t="s" s="11">
        <v>625</v>
      </c>
      <c r="P515" t="s" s="11">
        <v>4600</v>
      </c>
      <c r="Q515" t="s" s="11">
        <v>4601</v>
      </c>
      <c r="R515" t="s" s="11">
        <v>628</v>
      </c>
      <c r="S515" t="s" s="11">
        <v>225</v>
      </c>
      <c r="T515" t="s" s="13">
        <v>4602</v>
      </c>
      <c r="U515" t="s" s="11">
        <v>88</v>
      </c>
      <c r="V515" t="s" s="13">
        <v>34</v>
      </c>
      <c r="W515" t="s" s="11">
        <v>4603</v>
      </c>
      <c r="X515" s="17">
        <f>HYPERLINK("https://my.pitchbook.com?p=37034-92P", "View People Online")</f>
      </c>
    </row>
    <row r="516">
      <c r="A516" t="s" s="10">
        <v>4604</v>
      </c>
      <c r="B516" t="s" s="10">
        <v>4605</v>
      </c>
      <c r="C516" t="s" s="10">
        <v>34</v>
      </c>
      <c r="D516" t="s" s="10">
        <v>4606</v>
      </c>
      <c r="E516" t="s" s="10">
        <v>3715</v>
      </c>
      <c r="F516" t="s" s="10">
        <v>4607</v>
      </c>
      <c r="G516" t="s" s="10">
        <v>4608</v>
      </c>
      <c r="H516" s="16">
        <f>HYPERLINK("http://www.afl.co.in", "www.afl.co.in")</f>
      </c>
      <c r="I516" t="s" s="10">
        <v>4610</v>
      </c>
      <c r="J516" t="s" s="24">
        <v>34</v>
      </c>
      <c r="K516" s="24">
        <v>1</v>
      </c>
      <c r="L516" s="24">
        <v>1</v>
      </c>
      <c r="M516" t="s" s="12">
        <v>34</v>
      </c>
      <c r="N516" t="s" s="10">
        <v>34</v>
      </c>
      <c r="O516" t="s" s="10">
        <v>34</v>
      </c>
      <c r="P516" t="s" s="10">
        <v>34</v>
      </c>
      <c r="Q516" t="s" s="10">
        <v>34</v>
      </c>
      <c r="R516" t="s" s="10">
        <v>34</v>
      </c>
      <c r="S516" t="s" s="10">
        <v>34</v>
      </c>
      <c r="T516" t="s" s="12">
        <v>34</v>
      </c>
      <c r="U516" t="s" s="10">
        <v>34</v>
      </c>
      <c r="V516" t="s" s="12">
        <v>34</v>
      </c>
      <c r="W516" t="s" s="10">
        <v>4611</v>
      </c>
      <c r="X516" s="16">
        <f>HYPERLINK("https://my.pitchbook.com?p=34572-34P", "View People Online")</f>
      </c>
    </row>
    <row r="517">
      <c r="A517" t="s" s="11">
        <v>4612</v>
      </c>
      <c r="B517" t="s" s="11">
        <v>4613</v>
      </c>
      <c r="C517" t="s" s="11">
        <v>34</v>
      </c>
      <c r="D517" t="s" s="11">
        <v>4381</v>
      </c>
      <c r="E517" t="s" s="11">
        <v>3715</v>
      </c>
      <c r="F517" t="s" s="11">
        <v>4614</v>
      </c>
      <c r="G517" t="s" s="11">
        <v>4615</v>
      </c>
      <c r="H517" s="17">
        <f>HYPERLINK("http://www.snicompanies.com", "www.snicompanies.com")</f>
      </c>
      <c r="I517" t="s" s="11">
        <v>4616</v>
      </c>
      <c r="J517" t="s" s="25">
        <v>34</v>
      </c>
      <c r="K517" s="25">
        <v>1</v>
      </c>
      <c r="L517" t="s" s="25">
        <v>34</v>
      </c>
      <c r="M517" t="s" s="13">
        <v>4386</v>
      </c>
      <c r="N517" t="s" s="11">
        <v>34</v>
      </c>
      <c r="O517" t="s" s="11">
        <v>4388</v>
      </c>
      <c r="P517" t="s" s="11">
        <v>4389</v>
      </c>
      <c r="Q517" t="s" s="11">
        <v>4390</v>
      </c>
      <c r="R517" t="s" s="11">
        <v>4391</v>
      </c>
      <c r="S517" t="s" s="11">
        <v>2156</v>
      </c>
      <c r="T517" t="s" s="13">
        <v>4392</v>
      </c>
      <c r="U517" t="s" s="11">
        <v>88</v>
      </c>
      <c r="V517" t="s" s="13">
        <v>4393</v>
      </c>
      <c r="W517" t="s" s="11">
        <v>4617</v>
      </c>
      <c r="X517" s="17">
        <f>HYPERLINK("https://my.pitchbook.com?p=375730-66P", "View People Online")</f>
      </c>
    </row>
    <row r="518">
      <c r="A518" t="s" s="10">
        <v>4618</v>
      </c>
      <c r="B518" t="s" s="10">
        <v>4619</v>
      </c>
      <c r="C518" t="s" s="10">
        <v>34</v>
      </c>
      <c r="D518" t="s" s="10">
        <v>4620</v>
      </c>
      <c r="E518" t="s" s="10">
        <v>3715</v>
      </c>
      <c r="F518" t="s" s="10">
        <v>4621</v>
      </c>
      <c r="G518" t="s" s="10">
        <v>549</v>
      </c>
      <c r="H518" s="16">
        <f>HYPERLINK("http://www.keyown.com", "www.keyown.com")</f>
      </c>
      <c r="I518" t="s" s="10">
        <v>4623</v>
      </c>
      <c r="J518" t="s" s="24">
        <v>34</v>
      </c>
      <c r="K518" s="24">
        <v>13</v>
      </c>
      <c r="L518" s="24">
        <v>10</v>
      </c>
      <c r="M518" t="s" s="12">
        <v>4624</v>
      </c>
      <c r="N518" t="s" s="10">
        <v>4625</v>
      </c>
      <c r="O518" t="s" s="10">
        <v>2662</v>
      </c>
      <c r="P518" t="s" s="10">
        <v>4626</v>
      </c>
      <c r="Q518" t="s" s="10">
        <v>34</v>
      </c>
      <c r="R518" t="s" s="10">
        <v>2665</v>
      </c>
      <c r="S518" t="s" s="10">
        <v>2138</v>
      </c>
      <c r="T518" t="s" s="12">
        <v>4627</v>
      </c>
      <c r="U518" t="s" s="10">
        <v>1613</v>
      </c>
      <c r="V518" t="s" s="12">
        <v>34</v>
      </c>
      <c r="W518" t="s" s="10">
        <v>4628</v>
      </c>
      <c r="X518" s="16">
        <f>HYPERLINK("https://my.pitchbook.com?p=163074-07P", "View People Online")</f>
      </c>
    </row>
    <row r="519">
      <c r="A519" t="s" s="11">
        <v>4629</v>
      </c>
      <c r="B519" t="s" s="11">
        <v>4630</v>
      </c>
      <c r="C519" t="s" s="11">
        <v>34</v>
      </c>
      <c r="D519" t="s" s="11">
        <v>4631</v>
      </c>
      <c r="E519" t="s" s="11">
        <v>3715</v>
      </c>
      <c r="F519" t="s" s="11">
        <v>4632</v>
      </c>
      <c r="G519" t="s" s="11">
        <v>549</v>
      </c>
      <c r="H519" s="17">
        <f>HYPERLINK("http://www.preludedx.com", "www.preludedx.com")</f>
      </c>
      <c r="I519" t="s" s="11">
        <v>4634</v>
      </c>
      <c r="J519" s="25">
        <v>1</v>
      </c>
      <c r="K519" s="25">
        <v>1</v>
      </c>
      <c r="L519" t="s" s="25">
        <v>34</v>
      </c>
      <c r="M519" t="s" s="13">
        <v>4635</v>
      </c>
      <c r="N519" t="s" s="11">
        <v>4636</v>
      </c>
      <c r="O519" t="s" s="11">
        <v>4637</v>
      </c>
      <c r="P519" t="s" s="11">
        <v>4638</v>
      </c>
      <c r="Q519" t="s" s="11">
        <v>4639</v>
      </c>
      <c r="R519" t="s" s="11">
        <v>4640</v>
      </c>
      <c r="S519" t="s" s="11">
        <v>1904</v>
      </c>
      <c r="T519" t="s" s="13">
        <v>4641</v>
      </c>
      <c r="U519" t="s" s="11">
        <v>88</v>
      </c>
      <c r="V519" t="s" s="13">
        <v>34</v>
      </c>
      <c r="W519" t="s" s="11">
        <v>4642</v>
      </c>
      <c r="X519" s="17">
        <f>HYPERLINK("https://my.pitchbook.com?p=159081-85P", "View People Online")</f>
      </c>
    </row>
    <row r="520">
      <c r="A520" t="s" s="10">
        <v>4643</v>
      </c>
      <c r="B520" t="s" s="10">
        <v>4644</v>
      </c>
      <c r="C520" t="s" s="10">
        <v>34</v>
      </c>
      <c r="D520" t="s" s="10">
        <v>4645</v>
      </c>
      <c r="E520" t="s" s="10">
        <v>3715</v>
      </c>
      <c r="F520" t="s" s="10">
        <v>4646</v>
      </c>
      <c r="G520" t="s" s="10">
        <v>549</v>
      </c>
      <c r="H520" s="16">
        <f>HYPERLINK("http://www.sidedooraccess.com", "www.sidedooraccess.com")</f>
      </c>
      <c r="I520" t="s" s="10">
        <v>4648</v>
      </c>
      <c r="J520" t="s" s="24">
        <v>34</v>
      </c>
      <c r="K520" s="24">
        <v>1</v>
      </c>
      <c r="L520" t="s" s="24">
        <v>34</v>
      </c>
      <c r="M520" t="s" s="12">
        <v>34</v>
      </c>
      <c r="N520" t="s" s="10">
        <v>4649</v>
      </c>
      <c r="O520" t="s" s="10">
        <v>4650</v>
      </c>
      <c r="P520" t="s" s="10">
        <v>4651</v>
      </c>
      <c r="Q520" t="s" s="10">
        <v>4652</v>
      </c>
      <c r="R520" t="s" s="10">
        <v>4653</v>
      </c>
      <c r="S520" t="s" s="10">
        <v>4654</v>
      </c>
      <c r="T520" t="s" s="12">
        <v>4655</v>
      </c>
      <c r="U520" t="s" s="10">
        <v>1613</v>
      </c>
      <c r="V520" t="s" s="12">
        <v>34</v>
      </c>
      <c r="W520" t="s" s="10">
        <v>4656</v>
      </c>
      <c r="X520" s="16">
        <f>HYPERLINK("https://my.pitchbook.com?p=164977-84P", "View People Online")</f>
      </c>
    </row>
    <row r="521">
      <c r="A521" t="s" s="11">
        <v>4657</v>
      </c>
      <c r="B521" t="s" s="11">
        <v>4658</v>
      </c>
      <c r="C521" t="s" s="11">
        <v>34</v>
      </c>
      <c r="D521" t="s" s="11">
        <v>4659</v>
      </c>
      <c r="E521" t="s" s="11">
        <v>3715</v>
      </c>
      <c r="F521" t="s" s="11">
        <v>1293</v>
      </c>
      <c r="G521" t="s" s="11">
        <v>549</v>
      </c>
      <c r="H521" s="17">
        <f>HYPERLINK("http://www.exitustechnologies.com", "www.exitustechnologies.com")</f>
      </c>
      <c r="I521" t="s" s="11">
        <v>4661</v>
      </c>
      <c r="J521" t="s" s="25">
        <v>34</v>
      </c>
      <c r="K521" t="s" s="25">
        <v>34</v>
      </c>
      <c r="L521" t="s" s="25">
        <v>34</v>
      </c>
      <c r="M521" t="s" s="13">
        <v>34</v>
      </c>
      <c r="N521" t="s" s="11">
        <v>34</v>
      </c>
      <c r="O521" t="s" s="11">
        <v>34</v>
      </c>
      <c r="P521" t="s" s="11">
        <v>34</v>
      </c>
      <c r="Q521" t="s" s="11">
        <v>34</v>
      </c>
      <c r="R521" t="s" s="11">
        <v>34</v>
      </c>
      <c r="S521" t="s" s="11">
        <v>34</v>
      </c>
      <c r="T521" t="s" s="13">
        <v>34</v>
      </c>
      <c r="U521" t="s" s="11">
        <v>34</v>
      </c>
      <c r="V521" t="s" s="13">
        <v>34</v>
      </c>
      <c r="W521" t="s" s="11">
        <v>4662</v>
      </c>
      <c r="X521" s="17">
        <f>HYPERLINK("https://my.pitchbook.com?p=141056-47P", "View People Online")</f>
      </c>
    </row>
    <row r="522">
      <c r="A522" t="s" s="10">
        <v>4663</v>
      </c>
      <c r="B522" t="s" s="10">
        <v>4664</v>
      </c>
      <c r="C522" t="s" s="10">
        <v>34</v>
      </c>
      <c r="D522" t="s" s="10">
        <v>3725</v>
      </c>
      <c r="E522" t="s" s="10">
        <v>3715</v>
      </c>
      <c r="F522" t="s" s="10">
        <v>4665</v>
      </c>
      <c r="G522" t="s" s="10">
        <v>3028</v>
      </c>
      <c r="H522" s="16">
        <f>HYPERLINK("http://www.royalihc.com", "www.royalihc.com")</f>
      </c>
      <c r="I522" t="s" s="10">
        <v>322</v>
      </c>
      <c r="J522" t="s" s="24">
        <v>34</v>
      </c>
      <c r="K522" t="s" s="24">
        <v>34</v>
      </c>
      <c r="L522" t="s" s="24">
        <v>34</v>
      </c>
      <c r="M522" t="s" s="12">
        <v>34</v>
      </c>
      <c r="N522" t="s" s="10">
        <v>34</v>
      </c>
      <c r="O522" t="s" s="10">
        <v>34</v>
      </c>
      <c r="P522" t="s" s="10">
        <v>34</v>
      </c>
      <c r="Q522" t="s" s="10">
        <v>34</v>
      </c>
      <c r="R522" t="s" s="10">
        <v>34</v>
      </c>
      <c r="S522" t="s" s="10">
        <v>34</v>
      </c>
      <c r="T522" t="s" s="12">
        <v>34</v>
      </c>
      <c r="U522" t="s" s="10">
        <v>34</v>
      </c>
      <c r="V522" t="s" s="12">
        <v>34</v>
      </c>
      <c r="W522" t="s" s="10">
        <v>4666</v>
      </c>
      <c r="X522" s="16">
        <f>HYPERLINK("https://my.pitchbook.com?p=59794-21P", "View People Online")</f>
      </c>
    </row>
    <row r="523">
      <c r="A523" t="s" s="11">
        <v>4667</v>
      </c>
      <c r="B523" t="s" s="11">
        <v>4668</v>
      </c>
      <c r="C523" t="s" s="11">
        <v>34</v>
      </c>
      <c r="D523" t="s" s="11">
        <v>4669</v>
      </c>
      <c r="E523" t="s" s="11">
        <v>3715</v>
      </c>
      <c r="F523" t="s" s="11">
        <v>2709</v>
      </c>
      <c r="G523" t="s" s="11">
        <v>216</v>
      </c>
      <c r="H523" s="17">
        <f>HYPERLINK("http://www.cysiam.com", "www.cysiam.com")</f>
      </c>
      <c r="I523" t="s" s="11">
        <v>950</v>
      </c>
      <c r="J523" t="s" s="25">
        <v>34</v>
      </c>
      <c r="K523" s="25">
        <v>1</v>
      </c>
      <c r="L523" t="s" s="25">
        <v>34</v>
      </c>
      <c r="M523" t="s" s="13">
        <v>4671</v>
      </c>
      <c r="N523" t="s" s="11">
        <v>4672</v>
      </c>
      <c r="O523" t="s" s="11">
        <v>4673</v>
      </c>
      <c r="P523" t="s" s="11">
        <v>4674</v>
      </c>
      <c r="Q523" t="s" s="11">
        <v>4675</v>
      </c>
      <c r="R523" t="s" s="11">
        <v>4676</v>
      </c>
      <c r="S523" t="s" s="11">
        <v>47</v>
      </c>
      <c r="T523" t="s" s="13">
        <v>4677</v>
      </c>
      <c r="U523" t="s" s="11">
        <v>49</v>
      </c>
      <c r="V523" t="s" s="13">
        <v>34</v>
      </c>
      <c r="W523" t="s" s="11">
        <v>4678</v>
      </c>
      <c r="X523" s="17">
        <f>HYPERLINK("https://my.pitchbook.com?p=289182-43P", "View People Online")</f>
      </c>
    </row>
    <row r="524">
      <c r="A524" t="s" s="10">
        <v>4679</v>
      </c>
      <c r="B524" t="s" s="10">
        <v>4680</v>
      </c>
      <c r="C524" t="s" s="10">
        <v>34</v>
      </c>
      <c r="D524" t="s" s="10">
        <v>4681</v>
      </c>
      <c r="E524" t="s" s="10">
        <v>3715</v>
      </c>
      <c r="F524" t="s" s="10">
        <v>4682</v>
      </c>
      <c r="G524" t="s" s="10">
        <v>216</v>
      </c>
      <c r="H524" s="16">
        <f>HYPERLINK("http://www.sun-world.com", "www.sun-world.com")</f>
      </c>
      <c r="I524" t="s" s="10">
        <v>4684</v>
      </c>
      <c r="J524" t="s" s="24">
        <v>34</v>
      </c>
      <c r="K524" t="s" s="24">
        <v>34</v>
      </c>
      <c r="L524" t="s" s="24">
        <v>34</v>
      </c>
      <c r="M524" t="s" s="12">
        <v>34</v>
      </c>
      <c r="N524" t="s" s="10">
        <v>34</v>
      </c>
      <c r="O524" t="s" s="10">
        <v>34</v>
      </c>
      <c r="P524" t="s" s="10">
        <v>34</v>
      </c>
      <c r="Q524" t="s" s="10">
        <v>34</v>
      </c>
      <c r="R524" t="s" s="10">
        <v>34</v>
      </c>
      <c r="S524" t="s" s="10">
        <v>34</v>
      </c>
      <c r="T524" t="s" s="12">
        <v>34</v>
      </c>
      <c r="U524" t="s" s="10">
        <v>34</v>
      </c>
      <c r="V524" t="s" s="12">
        <v>34</v>
      </c>
      <c r="W524" t="s" s="10">
        <v>4685</v>
      </c>
      <c r="X524" s="16">
        <f>HYPERLINK("https://my.pitchbook.com?p=11797-75P", "View People Online")</f>
      </c>
    </row>
    <row r="525">
      <c r="A525" t="s" s="11">
        <v>4686</v>
      </c>
      <c r="B525" t="s" s="11">
        <v>4687</v>
      </c>
      <c r="C525" t="s" s="11">
        <v>34</v>
      </c>
      <c r="D525" t="s" s="11">
        <v>4688</v>
      </c>
      <c r="E525" t="s" s="11">
        <v>3715</v>
      </c>
      <c r="F525" t="s" s="11">
        <v>4689</v>
      </c>
      <c r="G525" t="s" s="11">
        <v>216</v>
      </c>
      <c r="H525" s="17">
        <f>HYPERLINK("http://sourcenutra.com", "sourcenutra.com")</f>
      </c>
      <c r="I525" t="s" s="11">
        <v>234</v>
      </c>
      <c r="J525" t="s" s="25">
        <v>34</v>
      </c>
      <c r="K525" s="25">
        <v>1</v>
      </c>
      <c r="L525" t="s" s="25">
        <v>34</v>
      </c>
      <c r="M525" t="s" s="13">
        <v>4691</v>
      </c>
      <c r="N525" t="s" s="11">
        <v>4692</v>
      </c>
      <c r="O525" t="s" s="11">
        <v>4693</v>
      </c>
      <c r="P525" t="s" s="11">
        <v>4694</v>
      </c>
      <c r="Q525" t="s" s="11">
        <v>34</v>
      </c>
      <c r="R525" t="s" s="11">
        <v>4695</v>
      </c>
      <c r="S525" t="s" s="11">
        <v>4696</v>
      </c>
      <c r="T525" t="s" s="13">
        <v>4697</v>
      </c>
      <c r="U525" t="s" s="11">
        <v>1613</v>
      </c>
      <c r="V525" t="s" s="13">
        <v>34</v>
      </c>
      <c r="W525" t="s" s="11">
        <v>4698</v>
      </c>
      <c r="X525" s="17">
        <f>HYPERLINK("https://my.pitchbook.com?p=370120-06P", "View People Online")</f>
      </c>
    </row>
    <row r="526">
      <c r="A526" t="s" s="10">
        <v>4699</v>
      </c>
      <c r="B526" t="s" s="10">
        <v>4700</v>
      </c>
      <c r="C526" t="s" s="10">
        <v>34</v>
      </c>
      <c r="D526" t="s" s="10">
        <v>4701</v>
      </c>
      <c r="E526" t="s" s="10">
        <v>3715</v>
      </c>
      <c r="F526" t="s" s="10">
        <v>4702</v>
      </c>
      <c r="G526" t="s" s="10">
        <v>216</v>
      </c>
      <c r="H526" t="s" s="10">
        <v>34</v>
      </c>
      <c r="I526" t="s" s="10">
        <v>731</v>
      </c>
      <c r="J526" t="s" s="24">
        <v>34</v>
      </c>
      <c r="K526" t="s" s="24">
        <v>34</v>
      </c>
      <c r="L526" t="s" s="24">
        <v>34</v>
      </c>
      <c r="M526" t="s" s="12">
        <v>34</v>
      </c>
      <c r="N526" t="s" s="10">
        <v>34</v>
      </c>
      <c r="O526" t="s" s="10">
        <v>34</v>
      </c>
      <c r="P526" t="s" s="10">
        <v>34</v>
      </c>
      <c r="Q526" t="s" s="10">
        <v>34</v>
      </c>
      <c r="R526" t="s" s="10">
        <v>34</v>
      </c>
      <c r="S526" t="s" s="10">
        <v>34</v>
      </c>
      <c r="T526" t="s" s="12">
        <v>34</v>
      </c>
      <c r="U526" t="s" s="10">
        <v>34</v>
      </c>
      <c r="V526" t="s" s="12">
        <v>34</v>
      </c>
      <c r="W526" t="s" s="10">
        <v>4703</v>
      </c>
      <c r="X526" s="16">
        <f>HYPERLINK("https://my.pitchbook.com?p=12256-21P", "View People Online")</f>
      </c>
    </row>
    <row r="527">
      <c r="A527" t="s" s="11">
        <v>4704</v>
      </c>
      <c r="B527" t="s" s="11">
        <v>4705</v>
      </c>
      <c r="C527" t="s" s="11">
        <v>34</v>
      </c>
      <c r="D527" t="s" s="11">
        <v>3935</v>
      </c>
      <c r="E527" t="s" s="11">
        <v>3715</v>
      </c>
      <c r="F527" t="s" s="11">
        <v>4706</v>
      </c>
      <c r="G527" t="s" s="11">
        <v>216</v>
      </c>
      <c r="H527" s="17">
        <f>HYPERLINK("http://www.ihcgroup.com", "www.ihcgroup.com")</f>
      </c>
      <c r="I527" t="s" s="11">
        <v>4707</v>
      </c>
      <c r="J527" t="s" s="25">
        <v>34</v>
      </c>
      <c r="K527" s="25">
        <v>2</v>
      </c>
      <c r="L527" s="25">
        <v>2</v>
      </c>
      <c r="M527" t="s" s="13">
        <v>34</v>
      </c>
      <c r="N527" t="s" s="11">
        <v>34</v>
      </c>
      <c r="O527" t="s" s="11">
        <v>34</v>
      </c>
      <c r="P527" t="s" s="11">
        <v>34</v>
      </c>
      <c r="Q527" t="s" s="11">
        <v>34</v>
      </c>
      <c r="R527" t="s" s="11">
        <v>34</v>
      </c>
      <c r="S527" t="s" s="11">
        <v>34</v>
      </c>
      <c r="T527" t="s" s="13">
        <v>34</v>
      </c>
      <c r="U527" t="s" s="11">
        <v>34</v>
      </c>
      <c r="V527" t="s" s="13">
        <v>34</v>
      </c>
      <c r="W527" t="s" s="11">
        <v>4708</v>
      </c>
      <c r="X527" s="17">
        <f>HYPERLINK("https://my.pitchbook.com?p=116978-50P", "View People Online")</f>
      </c>
    </row>
    <row r="528">
      <c r="A528" t="s" s="10">
        <v>4709</v>
      </c>
      <c r="B528" t="s" s="10">
        <v>4710</v>
      </c>
      <c r="C528" t="s" s="10">
        <v>34</v>
      </c>
      <c r="D528" t="s" s="10">
        <v>4711</v>
      </c>
      <c r="E528" t="s" s="10">
        <v>3715</v>
      </c>
      <c r="F528" t="s" s="10">
        <v>4712</v>
      </c>
      <c r="G528" t="s" s="10">
        <v>216</v>
      </c>
      <c r="H528" s="16">
        <f>HYPERLINK("http://www.pdports.co.uk", "www.pdports.co.uk")</f>
      </c>
      <c r="I528" t="s" s="10">
        <v>2321</v>
      </c>
      <c r="J528" s="24">
        <v>1</v>
      </c>
      <c r="K528" s="24">
        <v>3</v>
      </c>
      <c r="L528" s="24">
        <v>2</v>
      </c>
      <c r="M528" t="s" s="12">
        <v>4714</v>
      </c>
      <c r="N528" t="s" s="10">
        <v>4715</v>
      </c>
      <c r="O528" t="s" s="10">
        <v>4716</v>
      </c>
      <c r="P528" t="s" s="10">
        <v>4717</v>
      </c>
      <c r="Q528" t="s" s="10">
        <v>4718</v>
      </c>
      <c r="R528" t="s" s="10">
        <v>4719</v>
      </c>
      <c r="S528" t="s" s="10">
        <v>47</v>
      </c>
      <c r="T528" t="s" s="12">
        <v>4720</v>
      </c>
      <c r="U528" t="s" s="10">
        <v>49</v>
      </c>
      <c r="V528" t="s" s="12">
        <v>4721</v>
      </c>
      <c r="W528" t="s" s="10">
        <v>4722</v>
      </c>
      <c r="X528" s="16">
        <f>HYPERLINK("https://my.pitchbook.com?p=61423-21P", "View People Online")</f>
      </c>
    </row>
    <row r="529">
      <c r="A529" t="s" s="11">
        <v>4723</v>
      </c>
      <c r="B529" t="s" s="11">
        <v>4724</v>
      </c>
      <c r="C529" t="s" s="11">
        <v>34</v>
      </c>
      <c r="D529" t="s" s="11">
        <v>4725</v>
      </c>
      <c r="E529" t="s" s="11">
        <v>3715</v>
      </c>
      <c r="F529" t="s" s="11">
        <v>4726</v>
      </c>
      <c r="G529" t="s" s="11">
        <v>216</v>
      </c>
      <c r="H529" s="17">
        <f>HYPERLINK("http://www.protium.green", "www.protium.green")</f>
      </c>
      <c r="I529" t="s" s="11">
        <v>2211</v>
      </c>
      <c r="J529" t="s" s="25">
        <v>34</v>
      </c>
      <c r="K529" s="25">
        <v>1</v>
      </c>
      <c r="L529" t="s" s="25">
        <v>34</v>
      </c>
      <c r="M529" t="s" s="13">
        <v>4728</v>
      </c>
      <c r="N529" t="s" s="11">
        <v>34</v>
      </c>
      <c r="O529" t="s" s="11">
        <v>43</v>
      </c>
      <c r="P529" t="s" s="11">
        <v>4729</v>
      </c>
      <c r="Q529" t="s" s="11">
        <v>4730</v>
      </c>
      <c r="R529" t="s" s="11">
        <v>46</v>
      </c>
      <c r="S529" t="s" s="11">
        <v>47</v>
      </c>
      <c r="T529" t="s" s="13">
        <v>4731</v>
      </c>
      <c r="U529" t="s" s="11">
        <v>49</v>
      </c>
      <c r="V529" t="s" s="13">
        <v>34</v>
      </c>
      <c r="W529" t="s" s="11">
        <v>4732</v>
      </c>
      <c r="X529" s="17">
        <f>HYPERLINK("https://my.pitchbook.com?p=275244-85P", "View People Online")</f>
      </c>
    </row>
    <row r="530">
      <c r="A530" t="s" s="10">
        <v>4733</v>
      </c>
      <c r="B530" t="s" s="10">
        <v>4734</v>
      </c>
      <c r="C530" t="s" s="10">
        <v>34</v>
      </c>
      <c r="D530" t="s" s="10">
        <v>4735</v>
      </c>
      <c r="E530" t="s" s="10">
        <v>3715</v>
      </c>
      <c r="F530" t="s" s="10">
        <v>4736</v>
      </c>
      <c r="G530" t="s" s="10">
        <v>216</v>
      </c>
      <c r="H530" s="16">
        <f>HYPERLINK("http://www.virginiaheritagebank.com", "www.virginiaheritagebank.com")</f>
      </c>
      <c r="I530" t="s" s="10">
        <v>2346</v>
      </c>
      <c r="J530" t="s" s="24">
        <v>34</v>
      </c>
      <c r="K530" t="s" s="24">
        <v>34</v>
      </c>
      <c r="L530" t="s" s="24">
        <v>34</v>
      </c>
      <c r="M530" t="s" s="12">
        <v>34</v>
      </c>
      <c r="N530" t="s" s="10">
        <v>34</v>
      </c>
      <c r="O530" t="s" s="10">
        <v>34</v>
      </c>
      <c r="P530" t="s" s="10">
        <v>34</v>
      </c>
      <c r="Q530" t="s" s="10">
        <v>34</v>
      </c>
      <c r="R530" t="s" s="10">
        <v>34</v>
      </c>
      <c r="S530" t="s" s="10">
        <v>34</v>
      </c>
      <c r="T530" t="s" s="12">
        <v>34</v>
      </c>
      <c r="U530" t="s" s="10">
        <v>34</v>
      </c>
      <c r="V530" t="s" s="12">
        <v>34</v>
      </c>
      <c r="W530" t="s" s="10">
        <v>4738</v>
      </c>
      <c r="X530" s="16">
        <f>HYPERLINK("https://my.pitchbook.com?p=73070-02P", "View People Online")</f>
      </c>
    </row>
    <row r="531">
      <c r="A531" t="s" s="11">
        <v>4739</v>
      </c>
      <c r="B531" t="s" s="11">
        <v>4740</v>
      </c>
      <c r="C531" t="s" s="11">
        <v>34</v>
      </c>
      <c r="D531" t="s" s="11">
        <v>4741</v>
      </c>
      <c r="E531" t="s" s="11">
        <v>3715</v>
      </c>
      <c r="F531" t="s" s="11">
        <v>4742</v>
      </c>
      <c r="G531" t="s" s="11">
        <v>216</v>
      </c>
      <c r="H531" s="17">
        <f>HYPERLINK("http://www.biocare.net", "www.biocare.net")</f>
      </c>
      <c r="I531" t="s" s="11">
        <v>4744</v>
      </c>
      <c r="J531" t="s" s="25">
        <v>34</v>
      </c>
      <c r="K531" t="s" s="25">
        <v>34</v>
      </c>
      <c r="L531" t="s" s="25">
        <v>34</v>
      </c>
      <c r="M531" t="s" s="13">
        <v>34</v>
      </c>
      <c r="N531" t="s" s="11">
        <v>34</v>
      </c>
      <c r="O531" t="s" s="11">
        <v>34</v>
      </c>
      <c r="P531" t="s" s="11">
        <v>34</v>
      </c>
      <c r="Q531" t="s" s="11">
        <v>34</v>
      </c>
      <c r="R531" t="s" s="11">
        <v>34</v>
      </c>
      <c r="S531" t="s" s="11">
        <v>34</v>
      </c>
      <c r="T531" t="s" s="13">
        <v>34</v>
      </c>
      <c r="U531" t="s" s="11">
        <v>34</v>
      </c>
      <c r="V531" t="s" s="13">
        <v>34</v>
      </c>
      <c r="W531" t="s" s="11">
        <v>4745</v>
      </c>
      <c r="X531" s="17">
        <f>HYPERLINK("https://my.pitchbook.com?p=169642-99P", "View People Online")</f>
      </c>
    </row>
    <row r="532">
      <c r="A532" t="s" s="10">
        <v>4746</v>
      </c>
      <c r="B532" t="s" s="10">
        <v>4747</v>
      </c>
      <c r="C532" t="s" s="10">
        <v>34</v>
      </c>
      <c r="D532" t="s" s="10">
        <v>4748</v>
      </c>
      <c r="E532" t="s" s="10">
        <v>3715</v>
      </c>
      <c r="F532" t="s" s="10">
        <v>4749</v>
      </c>
      <c r="G532" t="s" s="10">
        <v>216</v>
      </c>
      <c r="H532" s="16">
        <f>HYPERLINK("http://www.emilyprogram.com", "www.emilyprogram.com")</f>
      </c>
      <c r="I532" t="s" s="10">
        <v>322</v>
      </c>
      <c r="J532" t="s" s="24">
        <v>34</v>
      </c>
      <c r="K532" s="24">
        <v>1</v>
      </c>
      <c r="L532" s="24">
        <v>1</v>
      </c>
      <c r="M532" t="s" s="12">
        <v>34</v>
      </c>
      <c r="N532" t="s" s="10">
        <v>34</v>
      </c>
      <c r="O532" t="s" s="10">
        <v>34</v>
      </c>
      <c r="P532" t="s" s="10">
        <v>34</v>
      </c>
      <c r="Q532" t="s" s="10">
        <v>34</v>
      </c>
      <c r="R532" t="s" s="10">
        <v>34</v>
      </c>
      <c r="S532" t="s" s="10">
        <v>34</v>
      </c>
      <c r="T532" t="s" s="12">
        <v>34</v>
      </c>
      <c r="U532" t="s" s="10">
        <v>34</v>
      </c>
      <c r="V532" t="s" s="12">
        <v>34</v>
      </c>
      <c r="W532" t="s" s="10">
        <v>4751</v>
      </c>
      <c r="X532" s="16">
        <f>HYPERLINK("https://my.pitchbook.com?p=45152-74P", "View People Online")</f>
      </c>
    </row>
    <row r="533">
      <c r="A533" t="s" s="11">
        <v>4752</v>
      </c>
      <c r="B533" t="s" s="11">
        <v>4753</v>
      </c>
      <c r="C533" t="s" s="11">
        <v>34</v>
      </c>
      <c r="D533" t="s" s="11">
        <v>4754</v>
      </c>
      <c r="E533" t="s" s="11">
        <v>3715</v>
      </c>
      <c r="F533" t="s" s="11">
        <v>4755</v>
      </c>
      <c r="G533" t="s" s="11">
        <v>216</v>
      </c>
      <c r="H533" s="17">
        <f>HYPERLINK("http://www.gg56.com", "www.gg56.com")</f>
      </c>
      <c r="I533" t="s" s="11">
        <v>3639</v>
      </c>
      <c r="J533" s="25">
        <v>1</v>
      </c>
      <c r="K533" s="25">
        <v>1</v>
      </c>
      <c r="L533" t="s" s="25">
        <v>34</v>
      </c>
      <c r="M533" t="s" s="13">
        <v>4757</v>
      </c>
      <c r="N533" t="s" s="11">
        <v>34</v>
      </c>
      <c r="O533" t="s" s="11">
        <v>4758</v>
      </c>
      <c r="P533" t="s" s="11">
        <v>4759</v>
      </c>
      <c r="Q533" t="s" s="11">
        <v>4760</v>
      </c>
      <c r="R533" t="s" s="11">
        <v>4761</v>
      </c>
      <c r="S533" t="s" s="11">
        <v>34</v>
      </c>
      <c r="T533" t="s" s="13">
        <v>34</v>
      </c>
      <c r="U533" t="s" s="11">
        <v>4762</v>
      </c>
      <c r="V533" t="s" s="13">
        <v>34</v>
      </c>
      <c r="W533" t="s" s="11">
        <v>4763</v>
      </c>
      <c r="X533" s="17">
        <f>HYPERLINK("https://my.pitchbook.com?p=463058-47P", "View People Online")</f>
      </c>
    </row>
    <row r="534">
      <c r="A534" t="s" s="10">
        <v>4764</v>
      </c>
      <c r="B534" t="s" s="10">
        <v>4765</v>
      </c>
      <c r="C534" t="s" s="10">
        <v>34</v>
      </c>
      <c r="D534" t="s" s="10">
        <v>4766</v>
      </c>
      <c r="E534" t="s" s="10">
        <v>3715</v>
      </c>
      <c r="F534" t="s" s="10">
        <v>4767</v>
      </c>
      <c r="G534" t="s" s="10">
        <v>4768</v>
      </c>
      <c r="H534" s="16">
        <f>HYPERLINK("http://www.lcieducation.com", "www.lcieducation.com")</f>
      </c>
      <c r="I534" t="s" s="10">
        <v>4770</v>
      </c>
      <c r="J534" s="24">
        <v>2</v>
      </c>
      <c r="K534" s="24">
        <v>2</v>
      </c>
      <c r="L534" t="s" s="24">
        <v>34</v>
      </c>
      <c r="M534" t="s" s="12">
        <v>4771</v>
      </c>
      <c r="N534" t="s" s="10">
        <v>4772</v>
      </c>
      <c r="O534" t="s" s="10">
        <v>4773</v>
      </c>
      <c r="P534" t="s" s="10">
        <v>4774</v>
      </c>
      <c r="Q534" t="s" s="10">
        <v>4775</v>
      </c>
      <c r="R534" t="s" s="10">
        <v>4776</v>
      </c>
      <c r="S534" t="s" s="10">
        <v>4777</v>
      </c>
      <c r="T534" t="s" s="12">
        <v>4778</v>
      </c>
      <c r="U534" t="s" s="10">
        <v>1613</v>
      </c>
      <c r="V534" t="s" s="12">
        <v>34</v>
      </c>
      <c r="W534" t="s" s="10">
        <v>4779</v>
      </c>
      <c r="X534" s="16">
        <f>HYPERLINK("https://my.pitchbook.com?p=155818-09P", "View People Online")</f>
      </c>
    </row>
    <row r="535">
      <c r="A535" t="s" s="11">
        <v>4780</v>
      </c>
      <c r="B535" t="s" s="11">
        <v>4781</v>
      </c>
      <c r="C535" t="s" s="11">
        <v>34</v>
      </c>
      <c r="D535" t="s" s="11">
        <v>4782</v>
      </c>
      <c r="E535" t="s" s="11">
        <v>3715</v>
      </c>
      <c r="F535" t="s" s="11">
        <v>4783</v>
      </c>
      <c r="G535" t="s" s="11">
        <v>4784</v>
      </c>
      <c r="H535" s="17">
        <f>HYPERLINK("http://www.greenmetalsrefining.com", "www.greenmetalsrefining.com")</f>
      </c>
      <c r="I535" t="s" s="11">
        <v>4786</v>
      </c>
      <c r="J535" s="25">
        <v>1</v>
      </c>
      <c r="K535" s="25">
        <v>1</v>
      </c>
      <c r="L535" t="s" s="25">
        <v>34</v>
      </c>
      <c r="M535" t="s" s="13">
        <v>34</v>
      </c>
      <c r="N535" t="s" s="11">
        <v>4787</v>
      </c>
      <c r="O535" t="s" s="11">
        <v>43</v>
      </c>
      <c r="P535" t="s" s="11">
        <v>4788</v>
      </c>
      <c r="Q535" t="s" s="11">
        <v>4789</v>
      </c>
      <c r="R535" t="s" s="11">
        <v>46</v>
      </c>
      <c r="S535" t="s" s="11">
        <v>47</v>
      </c>
      <c r="T535" t="s" s="13">
        <v>4790</v>
      </c>
      <c r="U535" t="s" s="11">
        <v>49</v>
      </c>
      <c r="V535" t="s" s="13">
        <v>34</v>
      </c>
      <c r="W535" t="s" s="11">
        <v>4791</v>
      </c>
      <c r="X535" s="17">
        <f>HYPERLINK("https://my.pitchbook.com?p=432697-42P", "View People Online")</f>
      </c>
    </row>
    <row r="536">
      <c r="A536" t="s" s="10">
        <v>4792</v>
      </c>
      <c r="B536" t="s" s="10">
        <v>4793</v>
      </c>
      <c r="C536" t="s" s="10">
        <v>34</v>
      </c>
      <c r="D536" t="s" s="10">
        <v>4282</v>
      </c>
      <c r="E536" t="s" s="10">
        <v>3715</v>
      </c>
      <c r="F536" t="s" s="10">
        <v>4794</v>
      </c>
      <c r="G536" t="s" s="10">
        <v>4784</v>
      </c>
      <c r="H536" s="16">
        <f>HYPERLINK("http://www.royalihc.com", "www.royalihc.com")</f>
      </c>
      <c r="I536" t="s" s="10">
        <v>3618</v>
      </c>
      <c r="J536" t="s" s="24">
        <v>34</v>
      </c>
      <c r="K536" t="s" s="24">
        <v>34</v>
      </c>
      <c r="L536" t="s" s="24">
        <v>34</v>
      </c>
      <c r="M536" t="s" s="12">
        <v>4284</v>
      </c>
      <c r="N536" t="s" s="10">
        <v>4795</v>
      </c>
      <c r="O536" t="s" s="10">
        <v>4286</v>
      </c>
      <c r="P536" t="s" s="10">
        <v>4287</v>
      </c>
      <c r="Q536" t="s" s="10">
        <v>34</v>
      </c>
      <c r="R536" t="s" s="10">
        <v>4288</v>
      </c>
      <c r="S536" t="s" s="10">
        <v>34</v>
      </c>
      <c r="T536" t="s" s="12">
        <v>4289</v>
      </c>
      <c r="U536" t="s" s="10">
        <v>103</v>
      </c>
      <c r="V536" t="s" s="12">
        <v>34</v>
      </c>
      <c r="W536" t="s" s="10">
        <v>4796</v>
      </c>
      <c r="X536" s="16">
        <f>HYPERLINK("https://my.pitchbook.com?p=373085-74P", "View People Online")</f>
      </c>
    </row>
    <row r="537">
      <c r="A537" t="s" s="11">
        <v>4797</v>
      </c>
      <c r="B537" t="s" s="11">
        <v>4798</v>
      </c>
      <c r="C537" t="s" s="11">
        <v>34</v>
      </c>
      <c r="D537" t="s" s="11">
        <v>4799</v>
      </c>
      <c r="E537" t="s" s="11">
        <v>3715</v>
      </c>
      <c r="F537" t="s" s="11">
        <v>4800</v>
      </c>
      <c r="G537" t="s" s="11">
        <v>4801</v>
      </c>
      <c r="H537" s="17">
        <f>HYPERLINK("http://www.tespl.com", "www.tespl.com")</f>
      </c>
      <c r="I537" t="s" s="11">
        <v>649</v>
      </c>
      <c r="J537" s="25">
        <v>1</v>
      </c>
      <c r="K537" s="25">
        <v>1</v>
      </c>
      <c r="L537" t="s" s="25">
        <v>34</v>
      </c>
      <c r="M537" t="s" s="13">
        <v>4803</v>
      </c>
      <c r="N537" t="s" s="11">
        <v>34</v>
      </c>
      <c r="O537" t="s" s="11">
        <v>4804</v>
      </c>
      <c r="P537" t="s" s="11">
        <v>4805</v>
      </c>
      <c r="Q537" t="s" s="11">
        <v>4806</v>
      </c>
      <c r="R537" t="s" s="11">
        <v>4807</v>
      </c>
      <c r="S537" t="s" s="11">
        <v>133</v>
      </c>
      <c r="T537" t="s" s="13">
        <v>4808</v>
      </c>
      <c r="U537" t="s" s="11">
        <v>135</v>
      </c>
      <c r="V537" t="s" s="13">
        <v>4809</v>
      </c>
      <c r="W537" t="s" s="11">
        <v>4810</v>
      </c>
      <c r="X537" s="17">
        <f>HYPERLINK("https://my.pitchbook.com?p=41817-61P", "View People Online")</f>
      </c>
    </row>
    <row r="538">
      <c r="A538" t="s" s="10">
        <v>4811</v>
      </c>
      <c r="B538" t="s" s="10">
        <v>4812</v>
      </c>
      <c r="C538" t="s" s="10">
        <v>377</v>
      </c>
      <c r="D538" t="s" s="10">
        <v>4813</v>
      </c>
      <c r="E538" t="s" s="10">
        <v>3715</v>
      </c>
      <c r="F538" t="s" s="10">
        <v>4814</v>
      </c>
      <c r="G538" t="s" s="10">
        <v>4815</v>
      </c>
      <c r="H538" s="16">
        <f>HYPERLINK("http://zelofinance.ai", "zelofinance.ai")</f>
      </c>
      <c r="I538" t="s" s="10">
        <v>3896</v>
      </c>
      <c r="J538" s="24">
        <v>1</v>
      </c>
      <c r="K538" s="24">
        <v>2</v>
      </c>
      <c r="L538" t="s" s="24">
        <v>34</v>
      </c>
      <c r="M538" t="s" s="12">
        <v>4817</v>
      </c>
      <c r="N538" t="s" s="10">
        <v>4818</v>
      </c>
      <c r="O538" t="s" s="10">
        <v>385</v>
      </c>
      <c r="P538" t="s" s="10">
        <v>4819</v>
      </c>
      <c r="Q538" t="s" s="10">
        <v>4820</v>
      </c>
      <c r="R538" t="s" s="10">
        <v>388</v>
      </c>
      <c r="S538" t="s" s="10">
        <v>34</v>
      </c>
      <c r="T538" t="s" s="12">
        <v>34</v>
      </c>
      <c r="U538" t="s" s="10">
        <v>240</v>
      </c>
      <c r="V538" t="s" s="12">
        <v>34</v>
      </c>
      <c r="W538" t="s" s="10">
        <v>4821</v>
      </c>
      <c r="X538" s="16">
        <f>HYPERLINK("https://my.pitchbook.com?p=326831-23P", "View People Online")</f>
      </c>
    </row>
    <row r="539">
      <c r="A539" t="s" s="11">
        <v>4822</v>
      </c>
      <c r="B539" t="s" s="11">
        <v>4823</v>
      </c>
      <c r="C539" t="s" s="11">
        <v>34</v>
      </c>
      <c r="D539" t="s" s="11">
        <v>4824</v>
      </c>
      <c r="E539" t="s" s="11">
        <v>3715</v>
      </c>
      <c r="F539" t="s" s="11">
        <v>4825</v>
      </c>
      <c r="G539" t="s" s="11">
        <v>3190</v>
      </c>
      <c r="H539" s="17">
        <f>HYPERLINK("http://www.aradasystems.com", "www.aradasystems.com")</f>
      </c>
      <c r="I539" t="s" s="11">
        <v>4827</v>
      </c>
      <c r="J539" t="s" s="25">
        <v>34</v>
      </c>
      <c r="K539" t="s" s="25">
        <v>34</v>
      </c>
      <c r="L539" t="s" s="25">
        <v>34</v>
      </c>
      <c r="M539" t="s" s="13">
        <v>34</v>
      </c>
      <c r="N539" t="s" s="11">
        <v>34</v>
      </c>
      <c r="O539" t="s" s="11">
        <v>34</v>
      </c>
      <c r="P539" t="s" s="11">
        <v>34</v>
      </c>
      <c r="Q539" t="s" s="11">
        <v>34</v>
      </c>
      <c r="R539" t="s" s="11">
        <v>34</v>
      </c>
      <c r="S539" t="s" s="11">
        <v>34</v>
      </c>
      <c r="T539" t="s" s="13">
        <v>34</v>
      </c>
      <c r="U539" t="s" s="11">
        <v>34</v>
      </c>
      <c r="V539" t="s" s="13">
        <v>34</v>
      </c>
      <c r="W539" t="s" s="11">
        <v>4828</v>
      </c>
      <c r="X539" s="17">
        <f>HYPERLINK("https://my.pitchbook.com?p=121409-02P", "View People Online")</f>
      </c>
    </row>
    <row r="540">
      <c r="A540" t="s" s="10">
        <v>4829</v>
      </c>
      <c r="B540" t="s" s="10">
        <v>4830</v>
      </c>
      <c r="C540" t="s" s="10">
        <v>34</v>
      </c>
      <c r="D540" t="s" s="10">
        <v>4831</v>
      </c>
      <c r="E540" t="s" s="10">
        <v>3715</v>
      </c>
      <c r="F540" t="s" s="10">
        <v>4832</v>
      </c>
      <c r="G540" t="s" s="10">
        <v>3190</v>
      </c>
      <c r="H540" s="16">
        <f>HYPERLINK("http://www.royalabc.com", "www.royalabc.com")</f>
      </c>
      <c r="I540" t="s" s="10">
        <v>4834</v>
      </c>
      <c r="J540" s="24">
        <v>1</v>
      </c>
      <c r="K540" s="24">
        <v>1</v>
      </c>
      <c r="L540" t="s" s="24">
        <v>34</v>
      </c>
      <c r="M540" t="s" s="12">
        <v>4835</v>
      </c>
      <c r="N540" t="s" s="10">
        <v>4836</v>
      </c>
      <c r="O540" t="s" s="10">
        <v>4163</v>
      </c>
      <c r="P540" t="s" s="10">
        <v>4837</v>
      </c>
      <c r="Q540" t="s" s="10">
        <v>4838</v>
      </c>
      <c r="R540" t="s" s="10">
        <v>4166</v>
      </c>
      <c r="S540" t="s" s="10">
        <v>3847</v>
      </c>
      <c r="T540" t="s" s="12">
        <v>4839</v>
      </c>
      <c r="U540" t="s" s="10">
        <v>2105</v>
      </c>
      <c r="V540" t="s" s="12">
        <v>34</v>
      </c>
      <c r="W540" t="s" s="10">
        <v>4840</v>
      </c>
      <c r="X540" s="16">
        <f>HYPERLINK("https://my.pitchbook.com?p=226084-42P", "View People Online")</f>
      </c>
    </row>
    <row r="541">
      <c r="A541" t="s" s="11">
        <v>4841</v>
      </c>
      <c r="B541" t="s" s="11">
        <v>4842</v>
      </c>
      <c r="C541" t="s" s="11">
        <v>34</v>
      </c>
      <c r="D541" t="s" s="11">
        <v>4843</v>
      </c>
      <c r="E541" t="s" s="11">
        <v>3715</v>
      </c>
      <c r="F541" t="s" s="11">
        <v>4844</v>
      </c>
      <c r="G541" t="s" s="11">
        <v>4845</v>
      </c>
      <c r="H541" s="17">
        <f>HYPERLINK("http://www.tfb.bank", "www.tfb.bank")</f>
      </c>
      <c r="I541" t="s" s="11">
        <v>649</v>
      </c>
      <c r="J541" t="s" s="25">
        <v>34</v>
      </c>
      <c r="K541" t="s" s="25">
        <v>34</v>
      </c>
      <c r="L541" t="s" s="25">
        <v>34</v>
      </c>
      <c r="M541" t="s" s="13">
        <v>34</v>
      </c>
      <c r="N541" t="s" s="11">
        <v>34</v>
      </c>
      <c r="O541" t="s" s="11">
        <v>4847</v>
      </c>
      <c r="P541" t="s" s="11">
        <v>4848</v>
      </c>
      <c r="Q541" t="s" s="11">
        <v>34</v>
      </c>
      <c r="R541" t="s" s="11">
        <v>4849</v>
      </c>
      <c r="S541" t="s" s="11">
        <v>2078</v>
      </c>
      <c r="T541" t="s" s="13">
        <v>4850</v>
      </c>
      <c r="U541" t="s" s="11">
        <v>88</v>
      </c>
      <c r="V541" t="s" s="13">
        <v>34</v>
      </c>
      <c r="W541" t="s" s="11">
        <v>4851</v>
      </c>
      <c r="X541" s="17">
        <f>HYPERLINK("https://my.pitchbook.com?p=217731-52P", "View People Online")</f>
      </c>
    </row>
    <row r="542">
      <c r="A542" t="s" s="10">
        <v>4852</v>
      </c>
      <c r="B542" t="s" s="10">
        <v>4853</v>
      </c>
      <c r="C542" t="s" s="10">
        <v>34</v>
      </c>
      <c r="D542" t="s" s="10">
        <v>4854</v>
      </c>
      <c r="E542" t="s" s="10">
        <v>3715</v>
      </c>
      <c r="F542" t="s" s="10">
        <v>4855</v>
      </c>
      <c r="G542" t="s" s="10">
        <v>4856</v>
      </c>
      <c r="H542" s="16">
        <f>HYPERLINK("http://www.westlakeroyalbuildingproducts.com", "www.westlakeroyalbuildingproducts.com")</f>
      </c>
      <c r="I542" t="s" s="10">
        <v>2946</v>
      </c>
      <c r="J542" t="s" s="24">
        <v>34</v>
      </c>
      <c r="K542" s="24">
        <v>1</v>
      </c>
      <c r="L542" s="24">
        <v>1</v>
      </c>
      <c r="M542" t="s" s="12">
        <v>34</v>
      </c>
      <c r="N542" t="s" s="10">
        <v>34</v>
      </c>
      <c r="O542" t="s" s="10">
        <v>34</v>
      </c>
      <c r="P542" t="s" s="10">
        <v>34</v>
      </c>
      <c r="Q542" t="s" s="10">
        <v>34</v>
      </c>
      <c r="R542" t="s" s="10">
        <v>34</v>
      </c>
      <c r="S542" t="s" s="10">
        <v>34</v>
      </c>
      <c r="T542" t="s" s="12">
        <v>34</v>
      </c>
      <c r="U542" t="s" s="10">
        <v>34</v>
      </c>
      <c r="V542" t="s" s="12">
        <v>34</v>
      </c>
      <c r="W542" t="s" s="10">
        <v>4858</v>
      </c>
      <c r="X542" s="16">
        <f>HYPERLINK("https://my.pitchbook.com?p=49245-13P", "View People Online")</f>
      </c>
    </row>
    <row r="543">
      <c r="A543" t="s" s="11">
        <v>4859</v>
      </c>
      <c r="B543" t="s" s="11">
        <v>4860</v>
      </c>
      <c r="C543" t="s" s="11">
        <v>34</v>
      </c>
      <c r="D543" t="s" s="11">
        <v>4861</v>
      </c>
      <c r="E543" t="s" s="11">
        <v>3715</v>
      </c>
      <c r="F543" t="s" s="11">
        <v>4862</v>
      </c>
      <c r="G543" t="s" s="11">
        <v>4863</v>
      </c>
      <c r="H543" s="17">
        <f>HYPERLINK("http://www.peoplecert.org", "www.peoplecert.org")</f>
      </c>
      <c r="I543" t="s" s="11">
        <v>649</v>
      </c>
      <c r="J543" t="s" s="25">
        <v>34</v>
      </c>
      <c r="K543" t="s" s="25">
        <v>34</v>
      </c>
      <c r="L543" t="s" s="25">
        <v>34</v>
      </c>
      <c r="M543" t="s" s="13">
        <v>34</v>
      </c>
      <c r="N543" t="s" s="11">
        <v>34</v>
      </c>
      <c r="O543" t="s" s="11">
        <v>34</v>
      </c>
      <c r="P543" t="s" s="11">
        <v>34</v>
      </c>
      <c r="Q543" t="s" s="11">
        <v>34</v>
      </c>
      <c r="R543" t="s" s="11">
        <v>34</v>
      </c>
      <c r="S543" t="s" s="11">
        <v>34</v>
      </c>
      <c r="T543" t="s" s="13">
        <v>34</v>
      </c>
      <c r="U543" t="s" s="11">
        <v>34</v>
      </c>
      <c r="V543" t="s" s="13">
        <v>34</v>
      </c>
      <c r="W543" t="s" s="11">
        <v>4865</v>
      </c>
      <c r="X543" s="17">
        <f>HYPERLINK("https://my.pitchbook.com?p=271562-32P", "View People Online")</f>
      </c>
    </row>
    <row r="544">
      <c r="A544" t="s" s="10">
        <v>4866</v>
      </c>
      <c r="B544" t="s" s="10">
        <v>4867</v>
      </c>
      <c r="C544" t="s" s="10">
        <v>34</v>
      </c>
      <c r="D544" t="s" s="10">
        <v>4868</v>
      </c>
      <c r="E544" t="s" s="10">
        <v>3715</v>
      </c>
      <c r="F544" t="s" s="10">
        <v>4869</v>
      </c>
      <c r="G544" t="s" s="10">
        <v>2369</v>
      </c>
      <c r="H544" s="16">
        <f>HYPERLINK("http://www.globalprivatecapital.org", "www.globalprivatecapital.org")</f>
      </c>
      <c r="I544" t="s" s="10">
        <v>4871</v>
      </c>
      <c r="J544" t="s" s="24">
        <v>34</v>
      </c>
      <c r="K544" s="24">
        <v>1</v>
      </c>
      <c r="L544" t="s" s="24">
        <v>34</v>
      </c>
      <c r="M544" t="s" s="12">
        <v>4872</v>
      </c>
      <c r="N544" t="s" s="10">
        <v>34</v>
      </c>
      <c r="O544" t="s" s="10">
        <v>84</v>
      </c>
      <c r="P544" t="s" s="10">
        <v>4873</v>
      </c>
      <c r="Q544" t="s" s="10">
        <v>4874</v>
      </c>
      <c r="R544" t="s" s="10">
        <v>86</v>
      </c>
      <c r="S544" t="s" s="10">
        <v>86</v>
      </c>
      <c r="T544" t="s" s="12">
        <v>4875</v>
      </c>
      <c r="U544" t="s" s="10">
        <v>88</v>
      </c>
      <c r="V544" t="s" s="12">
        <v>34</v>
      </c>
      <c r="W544" t="s" s="10">
        <v>4876</v>
      </c>
      <c r="X544" s="16">
        <f>HYPERLINK("https://my.pitchbook.com?p=395221-69P", "View People Online")</f>
      </c>
    </row>
    <row r="545">
      <c r="A545" t="s" s="11">
        <v>4877</v>
      </c>
      <c r="B545" t="s" s="11">
        <v>4878</v>
      </c>
      <c r="C545" t="s" s="11">
        <v>34</v>
      </c>
      <c r="D545" t="s" s="11">
        <v>3809</v>
      </c>
      <c r="E545" t="s" s="11">
        <v>3715</v>
      </c>
      <c r="F545" t="s" s="11">
        <v>4879</v>
      </c>
      <c r="G545" t="s" s="11">
        <v>4880</v>
      </c>
      <c r="H545" s="17">
        <f>HYPERLINK("http://www.arada.com", "www.arada.com")</f>
      </c>
      <c r="I545" t="s" s="11">
        <v>4881</v>
      </c>
      <c r="J545" t="s" s="25">
        <v>34</v>
      </c>
      <c r="K545" s="25">
        <v>1</v>
      </c>
      <c r="L545" t="s" s="25">
        <v>34</v>
      </c>
      <c r="M545" t="s" s="13">
        <v>3812</v>
      </c>
      <c r="N545" t="s" s="11">
        <v>4882</v>
      </c>
      <c r="O545" t="s" s="11">
        <v>236</v>
      </c>
      <c r="P545" t="s" s="11">
        <v>3813</v>
      </c>
      <c r="Q545" t="s" s="11">
        <v>3814</v>
      </c>
      <c r="R545" t="s" s="11">
        <v>239</v>
      </c>
      <c r="S545" t="s" s="11">
        <v>34</v>
      </c>
      <c r="T545" t="s" s="13">
        <v>34</v>
      </c>
      <c r="U545" t="s" s="11">
        <v>240</v>
      </c>
      <c r="V545" t="s" s="13">
        <v>34</v>
      </c>
      <c r="W545" t="s" s="11">
        <v>4883</v>
      </c>
      <c r="X545" s="17">
        <f>HYPERLINK("https://my.pitchbook.com?p=293890-15P", "View People Online")</f>
      </c>
    </row>
    <row r="546">
      <c r="A546" t="s" s="10">
        <v>4884</v>
      </c>
      <c r="B546" t="s" s="10">
        <v>4885</v>
      </c>
      <c r="C546" t="s" s="10">
        <v>34</v>
      </c>
      <c r="D546" t="s" s="10">
        <v>4886</v>
      </c>
      <c r="E546" t="s" s="10">
        <v>3715</v>
      </c>
      <c r="F546" t="s" s="10">
        <v>4887</v>
      </c>
      <c r="G546" t="s" s="10">
        <v>4888</v>
      </c>
      <c r="H546" s="16">
        <f>HYPERLINK("http://cmrc.com", "cmrc.com")</f>
      </c>
      <c r="I546" t="s" s="10">
        <v>649</v>
      </c>
      <c r="J546" t="s" s="24">
        <v>34</v>
      </c>
      <c r="K546" t="s" s="24">
        <v>34</v>
      </c>
      <c r="L546" t="s" s="24">
        <v>34</v>
      </c>
      <c r="M546" t="s" s="12">
        <v>34</v>
      </c>
      <c r="N546" t="s" s="10">
        <v>34</v>
      </c>
      <c r="O546" t="s" s="10">
        <v>34</v>
      </c>
      <c r="P546" t="s" s="10">
        <v>34</v>
      </c>
      <c r="Q546" t="s" s="10">
        <v>34</v>
      </c>
      <c r="R546" t="s" s="10">
        <v>34</v>
      </c>
      <c r="S546" t="s" s="10">
        <v>34</v>
      </c>
      <c r="T546" t="s" s="12">
        <v>34</v>
      </c>
      <c r="U546" t="s" s="10">
        <v>34</v>
      </c>
      <c r="V546" t="s" s="12">
        <v>34</v>
      </c>
      <c r="W546" t="s" s="10">
        <v>4890</v>
      </c>
      <c r="X546" s="16">
        <f>HYPERLINK("https://my.pitchbook.com?p=301659-49P", "View People Online")</f>
      </c>
    </row>
    <row r="547">
      <c r="A547" t="s" s="11">
        <v>4891</v>
      </c>
      <c r="B547" t="s" s="11">
        <v>4892</v>
      </c>
      <c r="C547" t="s" s="11">
        <v>34</v>
      </c>
      <c r="D547" t="s" s="11">
        <v>3809</v>
      </c>
      <c r="E547" t="s" s="11">
        <v>3715</v>
      </c>
      <c r="F547" t="s" s="11">
        <v>4893</v>
      </c>
      <c r="G547" t="s" s="11">
        <v>4894</v>
      </c>
      <c r="H547" s="17">
        <f>HYPERLINK("http://www.arada.com", "www.arada.com")</f>
      </c>
      <c r="I547" t="s" s="11">
        <v>4895</v>
      </c>
      <c r="J547" t="s" s="25">
        <v>34</v>
      </c>
      <c r="K547" s="25">
        <v>1</v>
      </c>
      <c r="L547" t="s" s="25">
        <v>34</v>
      </c>
      <c r="M547" t="s" s="13">
        <v>3812</v>
      </c>
      <c r="N547" t="s" s="11">
        <v>4896</v>
      </c>
      <c r="O547" t="s" s="11">
        <v>236</v>
      </c>
      <c r="P547" t="s" s="11">
        <v>3813</v>
      </c>
      <c r="Q547" t="s" s="11">
        <v>3814</v>
      </c>
      <c r="R547" t="s" s="11">
        <v>239</v>
      </c>
      <c r="S547" t="s" s="11">
        <v>34</v>
      </c>
      <c r="T547" t="s" s="13">
        <v>34</v>
      </c>
      <c r="U547" t="s" s="11">
        <v>240</v>
      </c>
      <c r="V547" t="s" s="13">
        <v>34</v>
      </c>
      <c r="W547" t="s" s="11">
        <v>4897</v>
      </c>
      <c r="X547" s="17">
        <f>HYPERLINK("https://my.pitchbook.com?p=339075-73P", "View People Online")</f>
      </c>
    </row>
    <row r="548">
      <c r="A548" t="s" s="10">
        <v>4898</v>
      </c>
      <c r="B548" t="s" s="10">
        <v>2417</v>
      </c>
      <c r="C548" t="s" s="10">
        <v>34</v>
      </c>
      <c r="D548" t="s" s="10">
        <v>4899</v>
      </c>
      <c r="E548" t="s" s="10">
        <v>3715</v>
      </c>
      <c r="F548" t="s" s="10">
        <v>2420</v>
      </c>
      <c r="G548" t="s" s="10">
        <v>2421</v>
      </c>
      <c r="H548" s="16">
        <f>HYPERLINK("http://www.spacehive.com", "www.spacehive.com")</f>
      </c>
      <c r="I548" t="s" s="10">
        <v>2211</v>
      </c>
      <c r="J548" t="s" s="24">
        <v>34</v>
      </c>
      <c r="K548" t="s" s="24">
        <v>34</v>
      </c>
      <c r="L548" t="s" s="24">
        <v>34</v>
      </c>
      <c r="M548" t="s" s="12">
        <v>34</v>
      </c>
      <c r="N548" t="s" s="10">
        <v>34</v>
      </c>
      <c r="O548" t="s" s="10">
        <v>34</v>
      </c>
      <c r="P548" t="s" s="10">
        <v>34</v>
      </c>
      <c r="Q548" t="s" s="10">
        <v>34</v>
      </c>
      <c r="R548" t="s" s="10">
        <v>34</v>
      </c>
      <c r="S548" t="s" s="10">
        <v>34</v>
      </c>
      <c r="T548" t="s" s="12">
        <v>34</v>
      </c>
      <c r="U548" t="s" s="10">
        <v>34</v>
      </c>
      <c r="V548" t="s" s="12">
        <v>34</v>
      </c>
      <c r="W548" t="s" s="10">
        <v>4901</v>
      </c>
      <c r="X548" s="16">
        <f>HYPERLINK("https://my.pitchbook.com?p=151464-61P", "View People Online")</f>
      </c>
    </row>
    <row r="549">
      <c r="A549" t="s" s="11">
        <v>4902</v>
      </c>
      <c r="B549" t="s" s="11">
        <v>2417</v>
      </c>
      <c r="C549" t="s" s="11">
        <v>34</v>
      </c>
      <c r="D549" t="s" s="11">
        <v>4903</v>
      </c>
      <c r="E549" t="s" s="11">
        <v>3715</v>
      </c>
      <c r="F549" t="s" s="11">
        <v>2420</v>
      </c>
      <c r="G549" t="s" s="11">
        <v>2421</v>
      </c>
      <c r="H549" s="17">
        <f>HYPERLINK("http://www.chimegroup.com", "www.chimegroup.com")</f>
      </c>
      <c r="I549" t="s" s="11">
        <v>4905</v>
      </c>
      <c r="J549" t="s" s="25">
        <v>34</v>
      </c>
      <c r="K549" t="s" s="25">
        <v>34</v>
      </c>
      <c r="L549" t="s" s="25">
        <v>34</v>
      </c>
      <c r="M549" t="s" s="13">
        <v>34</v>
      </c>
      <c r="N549" t="s" s="11">
        <v>34</v>
      </c>
      <c r="O549" t="s" s="11">
        <v>34</v>
      </c>
      <c r="P549" t="s" s="11">
        <v>34</v>
      </c>
      <c r="Q549" t="s" s="11">
        <v>34</v>
      </c>
      <c r="R549" t="s" s="11">
        <v>34</v>
      </c>
      <c r="S549" t="s" s="11">
        <v>34</v>
      </c>
      <c r="T549" t="s" s="13">
        <v>34</v>
      </c>
      <c r="U549" t="s" s="11">
        <v>34</v>
      </c>
      <c r="V549" t="s" s="13">
        <v>34</v>
      </c>
      <c r="W549" t="s" s="11">
        <v>4906</v>
      </c>
      <c r="X549" s="17">
        <f>HYPERLINK("https://my.pitchbook.com?p=159193-81P", "View People Online")</f>
      </c>
    </row>
    <row r="550">
      <c r="A550" t="s" s="10">
        <v>4907</v>
      </c>
      <c r="B550" t="s" s="10">
        <v>4908</v>
      </c>
      <c r="C550" t="s" s="10">
        <v>34</v>
      </c>
      <c r="D550" t="s" s="10">
        <v>4909</v>
      </c>
      <c r="E550" t="s" s="10">
        <v>3715</v>
      </c>
      <c r="F550" t="s" s="10">
        <v>4910</v>
      </c>
      <c r="G550" t="s" s="10">
        <v>2421</v>
      </c>
      <c r="H550" s="16">
        <f>HYPERLINK("http://indianhealthcenter.org", "indianhealthcenter.org")</f>
      </c>
      <c r="I550" t="s" s="10">
        <v>4912</v>
      </c>
      <c r="J550" t="s" s="24">
        <v>34</v>
      </c>
      <c r="K550" s="24">
        <v>1</v>
      </c>
      <c r="L550" t="s" s="24">
        <v>34</v>
      </c>
      <c r="M550" t="s" s="12">
        <v>4913</v>
      </c>
      <c r="N550" t="s" s="10">
        <v>34</v>
      </c>
      <c r="O550" t="s" s="10">
        <v>4914</v>
      </c>
      <c r="P550" t="s" s="10">
        <v>4915</v>
      </c>
      <c r="Q550" t="s" s="10">
        <v>34</v>
      </c>
      <c r="R550" t="s" s="10">
        <v>4916</v>
      </c>
      <c r="S550" t="s" s="10">
        <v>1904</v>
      </c>
      <c r="T550" t="s" s="12">
        <v>4917</v>
      </c>
      <c r="U550" t="s" s="10">
        <v>88</v>
      </c>
      <c r="V550" t="s" s="12">
        <v>34</v>
      </c>
      <c r="W550" t="s" s="10">
        <v>4918</v>
      </c>
      <c r="X550" s="16">
        <f>HYPERLINK("https://my.pitchbook.com?p=376881-85P", "View People Online")</f>
      </c>
    </row>
    <row r="551">
      <c r="A551" t="s" s="11">
        <v>4919</v>
      </c>
      <c r="B551" t="s" s="11">
        <v>4920</v>
      </c>
      <c r="C551" t="s" s="11">
        <v>34</v>
      </c>
      <c r="D551" t="s" s="11">
        <v>4921</v>
      </c>
      <c r="E551" t="s" s="11">
        <v>3715</v>
      </c>
      <c r="F551" t="s" s="11">
        <v>4922</v>
      </c>
      <c r="G551" t="s" s="11">
        <v>4923</v>
      </c>
      <c r="H551" s="17">
        <f>HYPERLINK("http://www.tep-me.com", "www.tep-me.com")</f>
      </c>
      <c r="I551" t="s" s="11">
        <v>369</v>
      </c>
      <c r="J551" t="s" s="25">
        <v>34</v>
      </c>
      <c r="K551" t="s" s="25">
        <v>34</v>
      </c>
      <c r="L551" t="s" s="25">
        <v>34</v>
      </c>
      <c r="M551" t="s" s="13">
        <v>34</v>
      </c>
      <c r="N551" t="s" s="11">
        <v>34</v>
      </c>
      <c r="O551" t="s" s="11">
        <v>34</v>
      </c>
      <c r="P551" t="s" s="11">
        <v>34</v>
      </c>
      <c r="Q551" t="s" s="11">
        <v>34</v>
      </c>
      <c r="R551" t="s" s="11">
        <v>34</v>
      </c>
      <c r="S551" t="s" s="11">
        <v>34</v>
      </c>
      <c r="T551" t="s" s="13">
        <v>34</v>
      </c>
      <c r="U551" t="s" s="11">
        <v>34</v>
      </c>
      <c r="V551" t="s" s="13">
        <v>34</v>
      </c>
      <c r="W551" t="s" s="11">
        <v>4925</v>
      </c>
      <c r="X551" s="17">
        <f>HYPERLINK("https://my.pitchbook.com?p=184716-64P", "View People Online")</f>
      </c>
    </row>
    <row r="552">
      <c r="A552" t="s" s="10">
        <v>4926</v>
      </c>
      <c r="B552" t="s" s="10">
        <v>4927</v>
      </c>
      <c r="C552" t="s" s="10">
        <v>34</v>
      </c>
      <c r="D552" t="s" s="10">
        <v>3809</v>
      </c>
      <c r="E552" t="s" s="10">
        <v>3715</v>
      </c>
      <c r="F552" t="s" s="10">
        <v>4928</v>
      </c>
      <c r="G552" t="s" s="10">
        <v>561</v>
      </c>
      <c r="H552" s="16">
        <f>HYPERLINK("http://www.arada.com", "www.arada.com")</f>
      </c>
      <c r="I552" t="s" s="10">
        <v>3890</v>
      </c>
      <c r="J552" t="s" s="24">
        <v>34</v>
      </c>
      <c r="K552" s="24">
        <v>1</v>
      </c>
      <c r="L552" t="s" s="24">
        <v>34</v>
      </c>
      <c r="M552" t="s" s="12">
        <v>3812</v>
      </c>
      <c r="N552" t="s" s="10">
        <v>4929</v>
      </c>
      <c r="O552" t="s" s="10">
        <v>236</v>
      </c>
      <c r="P552" t="s" s="10">
        <v>3813</v>
      </c>
      <c r="Q552" t="s" s="10">
        <v>3814</v>
      </c>
      <c r="R552" t="s" s="10">
        <v>239</v>
      </c>
      <c r="S552" t="s" s="10">
        <v>34</v>
      </c>
      <c r="T552" t="s" s="12">
        <v>34</v>
      </c>
      <c r="U552" t="s" s="10">
        <v>240</v>
      </c>
      <c r="V552" t="s" s="12">
        <v>34</v>
      </c>
      <c r="W552" t="s" s="10">
        <v>4930</v>
      </c>
      <c r="X552" s="16">
        <f>HYPERLINK("https://my.pitchbook.com?p=319594-42P", "View People Online")</f>
      </c>
    </row>
    <row r="553">
      <c r="A553" t="s" s="11">
        <v>4931</v>
      </c>
      <c r="B553" t="s" s="11">
        <v>4932</v>
      </c>
      <c r="C553" t="s" s="11">
        <v>34</v>
      </c>
      <c r="D553" t="s" s="11">
        <v>4933</v>
      </c>
      <c r="E553" t="s" s="11">
        <v>3715</v>
      </c>
      <c r="F553" t="s" s="11">
        <v>4934</v>
      </c>
      <c r="G553" t="s" s="11">
        <v>4935</v>
      </c>
      <c r="H553" s="17">
        <f>HYPERLINK("http://www.fyeo.nl", "www.fyeo.nl")</f>
      </c>
      <c r="I553" t="s" s="11">
        <v>3890</v>
      </c>
      <c r="J553" t="s" s="25">
        <v>34</v>
      </c>
      <c r="K553" s="25">
        <v>1</v>
      </c>
      <c r="L553" t="s" s="25">
        <v>34</v>
      </c>
      <c r="M553" t="s" s="13">
        <v>4937</v>
      </c>
      <c r="N553" t="s" s="11">
        <v>4938</v>
      </c>
      <c r="O553" t="s" s="11">
        <v>4939</v>
      </c>
      <c r="P553" t="s" s="11">
        <v>4940</v>
      </c>
      <c r="Q553" t="s" s="11">
        <v>34</v>
      </c>
      <c r="R553" t="s" s="11">
        <v>4941</v>
      </c>
      <c r="S553" t="s" s="11">
        <v>34</v>
      </c>
      <c r="T553" t="s" s="13">
        <v>4942</v>
      </c>
      <c r="U553" t="s" s="11">
        <v>103</v>
      </c>
      <c r="V553" t="s" s="13">
        <v>34</v>
      </c>
      <c r="W553" t="s" s="11">
        <v>4943</v>
      </c>
      <c r="X553" s="17">
        <f>HYPERLINK("https://my.pitchbook.com?p=389994-94P", "View People Online")</f>
      </c>
    </row>
    <row r="554">
      <c r="A554" t="s" s="10">
        <v>4944</v>
      </c>
      <c r="B554" t="s" s="10">
        <v>4945</v>
      </c>
      <c r="C554" t="s" s="10">
        <v>34</v>
      </c>
      <c r="D554" t="s" s="10">
        <v>4946</v>
      </c>
      <c r="E554" t="s" s="10">
        <v>3715</v>
      </c>
      <c r="F554" t="s" s="10">
        <v>4947</v>
      </c>
      <c r="G554" t="s" s="10">
        <v>4948</v>
      </c>
      <c r="H554" s="16">
        <f>HYPERLINK("http://www.promujer.org", "www.promujer.org")</f>
      </c>
      <c r="I554" t="s" s="10">
        <v>649</v>
      </c>
      <c r="J554" s="24">
        <v>1</v>
      </c>
      <c r="K554" s="24">
        <v>1</v>
      </c>
      <c r="L554" t="s" s="24">
        <v>34</v>
      </c>
      <c r="M554" t="s" s="12">
        <v>4950</v>
      </c>
      <c r="N554" t="s" s="10">
        <v>34</v>
      </c>
      <c r="O554" t="s" s="10">
        <v>84</v>
      </c>
      <c r="P554" t="s" s="10">
        <v>4951</v>
      </c>
      <c r="Q554" t="s" s="10">
        <v>4952</v>
      </c>
      <c r="R554" t="s" s="10">
        <v>86</v>
      </c>
      <c r="S554" t="s" s="10">
        <v>86</v>
      </c>
      <c r="T554" t="s" s="12">
        <v>2495</v>
      </c>
      <c r="U554" t="s" s="10">
        <v>88</v>
      </c>
      <c r="V554" t="s" s="12">
        <v>4953</v>
      </c>
      <c r="W554" t="s" s="10">
        <v>4954</v>
      </c>
      <c r="X554" s="16">
        <f>HYPERLINK("https://my.pitchbook.com?p=328610-44P", "View People Online")</f>
      </c>
    </row>
    <row r="555">
      <c r="A555" t="s" s="11">
        <v>4955</v>
      </c>
      <c r="B555" t="s" s="11">
        <v>4956</v>
      </c>
      <c r="C555" t="s" s="11">
        <v>34</v>
      </c>
      <c r="D555" t="s" s="11">
        <v>3802</v>
      </c>
      <c r="E555" t="s" s="11">
        <v>3715</v>
      </c>
      <c r="F555" t="s" s="11">
        <v>4957</v>
      </c>
      <c r="G555" t="s" s="11">
        <v>4958</v>
      </c>
      <c r="H555" s="17">
        <f>HYPERLINK("http://www.qatarluxurygroup.com", "www.qatarluxurygroup.com")</f>
      </c>
      <c r="I555" t="s" s="11">
        <v>4959</v>
      </c>
      <c r="J555" t="s" s="25">
        <v>34</v>
      </c>
      <c r="K555" t="s" s="25">
        <v>34</v>
      </c>
      <c r="L555" t="s" s="25">
        <v>34</v>
      </c>
      <c r="M555" t="s" s="13">
        <v>34</v>
      </c>
      <c r="N555" t="s" s="11">
        <v>34</v>
      </c>
      <c r="O555" t="s" s="11">
        <v>34</v>
      </c>
      <c r="P555" t="s" s="11">
        <v>34</v>
      </c>
      <c r="Q555" t="s" s="11">
        <v>34</v>
      </c>
      <c r="R555" t="s" s="11">
        <v>34</v>
      </c>
      <c r="S555" t="s" s="11">
        <v>34</v>
      </c>
      <c r="T555" t="s" s="13">
        <v>34</v>
      </c>
      <c r="U555" t="s" s="11">
        <v>34</v>
      </c>
      <c r="V555" t="s" s="13">
        <v>34</v>
      </c>
      <c r="W555" t="s" s="11">
        <v>4960</v>
      </c>
      <c r="X555" s="17">
        <f>HYPERLINK("https://my.pitchbook.com?p=169362-82P", "View People Online")</f>
      </c>
    </row>
    <row r="556">
      <c r="A556" t="s" s="10">
        <v>4961</v>
      </c>
      <c r="B556" t="s" s="10">
        <v>4962</v>
      </c>
      <c r="C556" t="s" s="10">
        <v>34</v>
      </c>
      <c r="D556" t="s" s="10">
        <v>4204</v>
      </c>
      <c r="E556" t="s" s="10">
        <v>3715</v>
      </c>
      <c r="F556" t="s" s="10">
        <v>914</v>
      </c>
      <c r="G556" t="s" s="10">
        <v>4963</v>
      </c>
      <c r="H556" s="16">
        <f>HYPERLINK("http://www.g42healthcare.ai", "www.g42healthcare.ai")</f>
      </c>
      <c r="I556" t="s" s="10">
        <v>1358</v>
      </c>
      <c r="J556" t="s" s="24">
        <v>34</v>
      </c>
      <c r="K556" t="s" s="24">
        <v>34</v>
      </c>
      <c r="L556" t="s" s="24">
        <v>34</v>
      </c>
      <c r="M556" t="s" s="12">
        <v>34</v>
      </c>
      <c r="N556" t="s" s="10">
        <v>34</v>
      </c>
      <c r="O556" t="s" s="10">
        <v>34</v>
      </c>
      <c r="P556" t="s" s="10">
        <v>34</v>
      </c>
      <c r="Q556" t="s" s="10">
        <v>34</v>
      </c>
      <c r="R556" t="s" s="10">
        <v>34</v>
      </c>
      <c r="S556" t="s" s="10">
        <v>34</v>
      </c>
      <c r="T556" t="s" s="12">
        <v>34</v>
      </c>
      <c r="U556" t="s" s="10">
        <v>34</v>
      </c>
      <c r="V556" t="s" s="12">
        <v>34</v>
      </c>
      <c r="W556" t="s" s="10">
        <v>4964</v>
      </c>
      <c r="X556" s="16">
        <f>HYPERLINK("https://my.pitchbook.com?p=321092-38P", "View People Online")</f>
      </c>
    </row>
    <row r="557">
      <c r="A557" t="s" s="11">
        <v>4965</v>
      </c>
      <c r="B557" t="s" s="11">
        <v>4966</v>
      </c>
      <c r="C557" t="s" s="11">
        <v>34</v>
      </c>
      <c r="D557" t="s" s="11">
        <v>3924</v>
      </c>
      <c r="E557" t="s" s="11">
        <v>3715</v>
      </c>
      <c r="F557" t="s" s="11">
        <v>4967</v>
      </c>
      <c r="G557" t="s" s="11">
        <v>4968</v>
      </c>
      <c r="H557" s="17">
        <f>HYPERLINK("http://www.g42.ai", "www.g42.ai")</f>
      </c>
      <c r="I557" t="s" s="11">
        <v>4969</v>
      </c>
      <c r="J557" t="s" s="25">
        <v>34</v>
      </c>
      <c r="K557" s="25">
        <v>1</v>
      </c>
      <c r="L557" t="s" s="25">
        <v>34</v>
      </c>
      <c r="M557" t="s" s="13">
        <v>34</v>
      </c>
      <c r="N557" t="s" s="11">
        <v>4970</v>
      </c>
      <c r="O557" t="s" s="11">
        <v>385</v>
      </c>
      <c r="P557" t="s" s="11">
        <v>3930</v>
      </c>
      <c r="Q557" t="s" s="11">
        <v>3931</v>
      </c>
      <c r="R557" t="s" s="11">
        <v>388</v>
      </c>
      <c r="S557" t="s" s="11">
        <v>34</v>
      </c>
      <c r="T557" t="s" s="13">
        <v>34</v>
      </c>
      <c r="U557" t="s" s="11">
        <v>240</v>
      </c>
      <c r="V557" t="s" s="13">
        <v>34</v>
      </c>
      <c r="W557" t="s" s="11">
        <v>4971</v>
      </c>
      <c r="X557" s="17">
        <f>HYPERLINK("https://my.pitchbook.com?p=344889-46P", "View People Online")</f>
      </c>
    </row>
    <row r="558">
      <c r="A558" t="s" s="10">
        <v>4972</v>
      </c>
      <c r="B558" t="s" s="10">
        <v>4973</v>
      </c>
      <c r="C558" t="s" s="10">
        <v>34</v>
      </c>
      <c r="D558" t="s" s="10">
        <v>4025</v>
      </c>
      <c r="E558" t="s" s="10">
        <v>3715</v>
      </c>
      <c r="F558" t="s" s="10">
        <v>4974</v>
      </c>
      <c r="G558" t="s" s="10">
        <v>4975</v>
      </c>
      <c r="H558" s="16">
        <f>HYPERLINK("http://www.royalgroupuae.com", "www.royalgroupuae.com")</f>
      </c>
      <c r="I558" t="s" s="10">
        <v>4976</v>
      </c>
      <c r="J558" t="s" s="24">
        <v>34</v>
      </c>
      <c r="K558" s="24">
        <v>1</v>
      </c>
      <c r="L558" t="s" s="24">
        <v>34</v>
      </c>
      <c r="M558" t="s" s="12">
        <v>4028</v>
      </c>
      <c r="N558" t="s" s="10">
        <v>4977</v>
      </c>
      <c r="O558" t="s" s="10">
        <v>385</v>
      </c>
      <c r="P558" t="s" s="10">
        <v>4030</v>
      </c>
      <c r="Q558" t="s" s="10">
        <v>34</v>
      </c>
      <c r="R558" t="s" s="10">
        <v>388</v>
      </c>
      <c r="S558" t="s" s="10">
        <v>34</v>
      </c>
      <c r="T558" t="s" s="12">
        <v>34</v>
      </c>
      <c r="U558" t="s" s="10">
        <v>240</v>
      </c>
      <c r="V558" t="s" s="12">
        <v>4031</v>
      </c>
      <c r="W558" t="s" s="10">
        <v>4978</v>
      </c>
      <c r="X558" s="16">
        <f>HYPERLINK("https://my.pitchbook.com?p=156551-59P", "View People Online")</f>
      </c>
    </row>
    <row r="559">
      <c r="A559" t="s" s="11">
        <v>4979</v>
      </c>
      <c r="B559" t="s" s="11">
        <v>1349</v>
      </c>
      <c r="C559" t="s" s="11">
        <v>34</v>
      </c>
      <c r="D559" t="s" s="11">
        <v>4980</v>
      </c>
      <c r="E559" t="s" s="11">
        <v>3715</v>
      </c>
      <c r="F559" t="s" s="11">
        <v>1350</v>
      </c>
      <c r="G559" t="s" s="11">
        <v>1351</v>
      </c>
      <c r="H559" s="17">
        <f>HYPERLINK("http://www.letanneur.com", "www.letanneur.com")</f>
      </c>
      <c r="I559" t="s" s="11">
        <v>649</v>
      </c>
      <c r="J559" s="25">
        <v>1</v>
      </c>
      <c r="K559" s="25">
        <v>1</v>
      </c>
      <c r="L559" t="s" s="25">
        <v>34</v>
      </c>
      <c r="M559" t="s" s="13">
        <v>4982</v>
      </c>
      <c r="N559" t="s" s="11">
        <v>34</v>
      </c>
      <c r="O559" t="s" s="11">
        <v>2168</v>
      </c>
      <c r="P559" t="s" s="11">
        <v>4983</v>
      </c>
      <c r="Q559" t="s" s="11">
        <v>34</v>
      </c>
      <c r="R559" t="s" s="11">
        <v>2170</v>
      </c>
      <c r="S559" t="s" s="11">
        <v>34</v>
      </c>
      <c r="T559" t="s" s="13">
        <v>2171</v>
      </c>
      <c r="U559" t="s" s="11">
        <v>2172</v>
      </c>
      <c r="V559" t="s" s="13">
        <v>34</v>
      </c>
      <c r="W559" t="s" s="11">
        <v>4984</v>
      </c>
      <c r="X559" s="17">
        <f>HYPERLINK("https://my.pitchbook.com?p=174492-91P", "View People Online")</f>
      </c>
    </row>
    <row r="560">
      <c r="A560" t="s" s="10">
        <v>4985</v>
      </c>
      <c r="B560" t="s" s="10">
        <v>4986</v>
      </c>
      <c r="C560" t="s" s="10">
        <v>34</v>
      </c>
      <c r="D560" t="s" s="10">
        <v>3809</v>
      </c>
      <c r="E560" t="s" s="10">
        <v>3715</v>
      </c>
      <c r="F560" t="s" s="10">
        <v>4987</v>
      </c>
      <c r="G560" t="s" s="10">
        <v>4988</v>
      </c>
      <c r="H560" s="16">
        <f>HYPERLINK("http://www.arada.com", "www.arada.com")</f>
      </c>
      <c r="I560" t="s" s="10">
        <v>40</v>
      </c>
      <c r="J560" t="s" s="24">
        <v>34</v>
      </c>
      <c r="K560" s="24">
        <v>1</v>
      </c>
      <c r="L560" t="s" s="24">
        <v>34</v>
      </c>
      <c r="M560" t="s" s="12">
        <v>3812</v>
      </c>
      <c r="N560" t="s" s="10">
        <v>4989</v>
      </c>
      <c r="O560" t="s" s="10">
        <v>236</v>
      </c>
      <c r="P560" t="s" s="10">
        <v>3813</v>
      </c>
      <c r="Q560" t="s" s="10">
        <v>3814</v>
      </c>
      <c r="R560" t="s" s="10">
        <v>239</v>
      </c>
      <c r="S560" t="s" s="10">
        <v>34</v>
      </c>
      <c r="T560" t="s" s="12">
        <v>34</v>
      </c>
      <c r="U560" t="s" s="10">
        <v>240</v>
      </c>
      <c r="V560" t="s" s="12">
        <v>34</v>
      </c>
      <c r="W560" t="s" s="10">
        <v>4990</v>
      </c>
      <c r="X560" s="16">
        <f>HYPERLINK("https://my.pitchbook.com?p=421985-08P", "View People Online")</f>
      </c>
    </row>
    <row r="561">
      <c r="A561" t="s" s="11">
        <v>4991</v>
      </c>
      <c r="B561" t="s" s="11">
        <v>4992</v>
      </c>
      <c r="C561" t="s" s="11">
        <v>34</v>
      </c>
      <c r="D561" t="s" s="11">
        <v>4993</v>
      </c>
      <c r="E561" t="s" s="11">
        <v>3715</v>
      </c>
      <c r="F561" t="s" s="11">
        <v>4994</v>
      </c>
      <c r="G561" t="s" s="11">
        <v>580</v>
      </c>
      <c r="H561" s="17">
        <f>HYPERLINK("http://www.baynouna.jo", "www.baynouna.jo")</f>
      </c>
      <c r="I561" t="s" s="11">
        <v>4996</v>
      </c>
      <c r="J561" s="25">
        <v>1</v>
      </c>
      <c r="K561" s="25">
        <v>1</v>
      </c>
      <c r="L561" t="s" s="25">
        <v>34</v>
      </c>
      <c r="M561" t="s" s="13">
        <v>34</v>
      </c>
      <c r="N561" t="s" s="11">
        <v>4997</v>
      </c>
      <c r="O561" t="s" s="11">
        <v>1213</v>
      </c>
      <c r="P561" t="s" s="11">
        <v>34</v>
      </c>
      <c r="Q561" t="s" s="11">
        <v>34</v>
      </c>
      <c r="R561" t="s" s="11">
        <v>34</v>
      </c>
      <c r="S561" t="s" s="11">
        <v>34</v>
      </c>
      <c r="T561" t="s" s="13">
        <v>34</v>
      </c>
      <c r="U561" t="s" s="11">
        <v>1213</v>
      </c>
      <c r="V561" t="s" s="13">
        <v>34</v>
      </c>
      <c r="W561" t="s" s="11">
        <v>4998</v>
      </c>
      <c r="X561" s="17">
        <f>HYPERLINK("https://my.pitchbook.com?p=395764-12P", "View People Online")</f>
      </c>
    </row>
    <row r="562">
      <c r="A562" t="s" s="10">
        <v>4999</v>
      </c>
      <c r="B562" t="s" s="10">
        <v>5000</v>
      </c>
      <c r="C562" t="s" s="10">
        <v>34</v>
      </c>
      <c r="D562" t="s" s="10">
        <v>5001</v>
      </c>
      <c r="E562" t="s" s="10">
        <v>3715</v>
      </c>
      <c r="F562" t="s" s="10">
        <v>5002</v>
      </c>
      <c r="G562" t="s" s="10">
        <v>5003</v>
      </c>
      <c r="H562" s="16">
        <f>HYPERLINK("http://www.greenfafa.com", "www.greenfafa.com")</f>
      </c>
      <c r="I562" t="s" s="10">
        <v>1346</v>
      </c>
      <c r="J562" t="s" s="24">
        <v>34</v>
      </c>
      <c r="K562" s="24">
        <v>1</v>
      </c>
      <c r="L562" t="s" s="24">
        <v>34</v>
      </c>
      <c r="M562" t="s" s="12">
        <v>5005</v>
      </c>
      <c r="N562" t="s" s="10">
        <v>5006</v>
      </c>
      <c r="O562" t="s" s="10">
        <v>5007</v>
      </c>
      <c r="P562" t="s" s="10">
        <v>5008</v>
      </c>
      <c r="Q562" t="s" s="10">
        <v>5009</v>
      </c>
      <c r="R562" t="s" s="10">
        <v>5010</v>
      </c>
      <c r="S562" t="s" s="10">
        <v>5011</v>
      </c>
      <c r="T562" t="s" s="12">
        <v>5012</v>
      </c>
      <c r="U562" t="s" s="10">
        <v>5013</v>
      </c>
      <c r="V562" t="s" s="12">
        <v>34</v>
      </c>
      <c r="W562" t="s" s="10">
        <v>5014</v>
      </c>
      <c r="X562" s="16">
        <f>HYPERLINK("https://my.pitchbook.com?p=335257-39P", "View People Online")</f>
      </c>
    </row>
    <row r="563">
      <c r="A563" t="s" s="11">
        <v>5015</v>
      </c>
      <c r="B563" t="s" s="11">
        <v>5016</v>
      </c>
      <c r="C563" t="s" s="11">
        <v>34</v>
      </c>
      <c r="D563" t="s" s="11">
        <v>3963</v>
      </c>
      <c r="E563" t="s" s="11">
        <v>3715</v>
      </c>
      <c r="F563" t="s" s="11">
        <v>5017</v>
      </c>
      <c r="G563" t="s" s="11">
        <v>5018</v>
      </c>
      <c r="H563" s="17">
        <f>HYPERLINK("http://www.pertamedika.co.id", "www.pertamedika.co.id")</f>
      </c>
      <c r="I563" t="s" s="11">
        <v>5019</v>
      </c>
      <c r="J563" t="s" s="25">
        <v>34</v>
      </c>
      <c r="K563" s="25">
        <v>1</v>
      </c>
      <c r="L563" t="s" s="25">
        <v>34</v>
      </c>
      <c r="M563" t="s" s="13">
        <v>3967</v>
      </c>
      <c r="N563" t="s" s="11">
        <v>5020</v>
      </c>
      <c r="O563" t="s" s="11">
        <v>3969</v>
      </c>
      <c r="P563" t="s" s="11">
        <v>3970</v>
      </c>
      <c r="Q563" t="s" s="11">
        <v>34</v>
      </c>
      <c r="R563" t="s" s="11">
        <v>3971</v>
      </c>
      <c r="S563" t="s" s="11">
        <v>34</v>
      </c>
      <c r="T563" t="s" s="13">
        <v>3972</v>
      </c>
      <c r="U563" t="s" s="11">
        <v>3973</v>
      </c>
      <c r="V563" t="s" s="13">
        <v>34</v>
      </c>
      <c r="W563" t="s" s="11">
        <v>5021</v>
      </c>
      <c r="X563" s="17">
        <f>HYPERLINK("https://my.pitchbook.com?p=333848-80P", "View People Online")</f>
      </c>
    </row>
    <row r="564">
      <c r="A564" t="s" s="10">
        <v>5022</v>
      </c>
      <c r="B564" t="s" s="10">
        <v>5023</v>
      </c>
      <c r="C564" t="s" s="10">
        <v>34</v>
      </c>
      <c r="D564" t="s" s="10">
        <v>5024</v>
      </c>
      <c r="E564" t="s" s="10">
        <v>3715</v>
      </c>
      <c r="F564" t="s" s="10">
        <v>5025</v>
      </c>
      <c r="G564" t="s" s="10">
        <v>5026</v>
      </c>
      <c r="H564" s="16">
        <f>HYPERLINK("http://www.wyl.co", "www.wyl.co")</f>
      </c>
      <c r="I564" t="s" s="10">
        <v>5028</v>
      </c>
      <c r="J564" t="s" s="24">
        <v>34</v>
      </c>
      <c r="K564" t="s" s="24">
        <v>34</v>
      </c>
      <c r="L564" t="s" s="24">
        <v>34</v>
      </c>
      <c r="M564" t="s" s="12">
        <v>34</v>
      </c>
      <c r="N564" t="s" s="10">
        <v>34</v>
      </c>
      <c r="O564" t="s" s="10">
        <v>34</v>
      </c>
      <c r="P564" t="s" s="10">
        <v>34</v>
      </c>
      <c r="Q564" t="s" s="10">
        <v>34</v>
      </c>
      <c r="R564" t="s" s="10">
        <v>34</v>
      </c>
      <c r="S564" t="s" s="10">
        <v>34</v>
      </c>
      <c r="T564" t="s" s="12">
        <v>34</v>
      </c>
      <c r="U564" t="s" s="10">
        <v>34</v>
      </c>
      <c r="V564" t="s" s="12">
        <v>34</v>
      </c>
      <c r="W564" t="s" s="10">
        <v>5029</v>
      </c>
      <c r="X564" s="16">
        <f>HYPERLINK("https://my.pitchbook.com?p=106321-96P", "View People Online")</f>
      </c>
    </row>
    <row r="565">
      <c r="A565" t="s" s="11">
        <v>5030</v>
      </c>
      <c r="B565" t="s" s="11">
        <v>5031</v>
      </c>
      <c r="C565" t="s" s="11">
        <v>34</v>
      </c>
      <c r="D565" t="s" s="11">
        <v>5032</v>
      </c>
      <c r="E565" t="s" s="11">
        <v>3715</v>
      </c>
      <c r="F565" t="s" s="11">
        <v>5033</v>
      </c>
      <c r="G565" t="s" s="11">
        <v>5034</v>
      </c>
      <c r="H565" s="17">
        <f>HYPERLINK("http://www.arc.at", "www.arc.at")</f>
      </c>
      <c r="I565" t="s" s="11">
        <v>5036</v>
      </c>
      <c r="J565" t="s" s="25">
        <v>34</v>
      </c>
      <c r="K565" t="s" s="25">
        <v>34</v>
      </c>
      <c r="L565" t="s" s="25">
        <v>34</v>
      </c>
      <c r="M565" t="s" s="13">
        <v>5037</v>
      </c>
      <c r="N565" t="s" s="11">
        <v>5038</v>
      </c>
      <c r="O565" t="s" s="11">
        <v>2468</v>
      </c>
      <c r="P565" t="s" s="11">
        <v>5039</v>
      </c>
      <c r="Q565" t="s" s="11">
        <v>5040</v>
      </c>
      <c r="R565" t="s" s="11">
        <v>2470</v>
      </c>
      <c r="S565" t="s" s="11">
        <v>34</v>
      </c>
      <c r="T565" t="s" s="13">
        <v>5041</v>
      </c>
      <c r="U565" t="s" s="11">
        <v>2471</v>
      </c>
      <c r="V565" t="s" s="13">
        <v>5042</v>
      </c>
      <c r="W565" t="s" s="11">
        <v>5043</v>
      </c>
      <c r="X565" s="17">
        <f>HYPERLINK("https://my.pitchbook.com?p=166663-27P", "View People Online")</f>
      </c>
    </row>
    <row r="566">
      <c r="A566" t="s" s="10">
        <v>5044</v>
      </c>
      <c r="B566" t="s" s="10">
        <v>5045</v>
      </c>
      <c r="C566" t="s" s="10">
        <v>34</v>
      </c>
      <c r="D566" t="s" s="10">
        <v>3867</v>
      </c>
      <c r="E566" t="s" s="10">
        <v>3715</v>
      </c>
      <c r="F566" t="s" s="10">
        <v>4245</v>
      </c>
      <c r="G566" t="s" s="10">
        <v>5046</v>
      </c>
      <c r="H566" s="16">
        <f>HYPERLINK("http://www.selleroyalgroup.com", "www.selleroyalgroup.com")</f>
      </c>
      <c r="I566" t="s" s="10">
        <v>2072</v>
      </c>
      <c r="J566" t="s" s="24">
        <v>34</v>
      </c>
      <c r="K566" s="24">
        <v>1</v>
      </c>
      <c r="L566" t="s" s="24">
        <v>34</v>
      </c>
      <c r="M566" t="s" s="12">
        <v>3872</v>
      </c>
      <c r="N566" t="s" s="10">
        <v>34</v>
      </c>
      <c r="O566" t="s" s="10">
        <v>3874</v>
      </c>
      <c r="P566" t="s" s="10">
        <v>3875</v>
      </c>
      <c r="Q566" t="s" s="10">
        <v>34</v>
      </c>
      <c r="R566" t="s" s="10">
        <v>3876</v>
      </c>
      <c r="S566" t="s" s="10">
        <v>3877</v>
      </c>
      <c r="T566" t="s" s="12">
        <v>3878</v>
      </c>
      <c r="U566" t="s" s="10">
        <v>2566</v>
      </c>
      <c r="V566" t="s" s="12">
        <v>34</v>
      </c>
      <c r="W566" t="s" s="10">
        <v>5047</v>
      </c>
      <c r="X566" s="16">
        <f>HYPERLINK("https://my.pitchbook.com?p=262944-73P", "View People Online")</f>
      </c>
    </row>
    <row r="567">
      <c r="A567" t="s" s="11">
        <v>5048</v>
      </c>
      <c r="B567" t="s" s="11">
        <v>5049</v>
      </c>
      <c r="C567" t="s" s="11">
        <v>34</v>
      </c>
      <c r="D567" t="s" s="11">
        <v>4282</v>
      </c>
      <c r="E567" t="s" s="11">
        <v>3715</v>
      </c>
      <c r="F567" t="s" s="11">
        <v>5050</v>
      </c>
      <c r="G567" t="s" s="11">
        <v>5051</v>
      </c>
      <c r="H567" s="17">
        <f>HYPERLINK("http://www.royalihc.com", "www.royalihc.com")</f>
      </c>
      <c r="I567" t="s" s="11">
        <v>2321</v>
      </c>
      <c r="J567" t="s" s="25">
        <v>34</v>
      </c>
      <c r="K567" t="s" s="25">
        <v>34</v>
      </c>
      <c r="L567" t="s" s="25">
        <v>34</v>
      </c>
      <c r="M567" t="s" s="13">
        <v>4284</v>
      </c>
      <c r="N567" t="s" s="11">
        <v>34</v>
      </c>
      <c r="O567" t="s" s="11">
        <v>4286</v>
      </c>
      <c r="P567" t="s" s="11">
        <v>4287</v>
      </c>
      <c r="Q567" t="s" s="11">
        <v>34</v>
      </c>
      <c r="R567" t="s" s="11">
        <v>4288</v>
      </c>
      <c r="S567" t="s" s="11">
        <v>34</v>
      </c>
      <c r="T567" t="s" s="13">
        <v>4289</v>
      </c>
      <c r="U567" t="s" s="11">
        <v>103</v>
      </c>
      <c r="V567" t="s" s="13">
        <v>34</v>
      </c>
      <c r="W567" t="s" s="11">
        <v>5052</v>
      </c>
      <c r="X567" s="17">
        <f>HYPERLINK("https://my.pitchbook.com?p=243790-57P", "View People Online")</f>
      </c>
    </row>
    <row r="568">
      <c r="A568" t="s" s="10">
        <v>5053</v>
      </c>
      <c r="B568" t="s" s="10">
        <v>5054</v>
      </c>
      <c r="C568" t="s" s="10">
        <v>34</v>
      </c>
      <c r="D568" t="s" s="10">
        <v>3725</v>
      </c>
      <c r="E568" t="s" s="10">
        <v>3715</v>
      </c>
      <c r="F568" t="s" s="10">
        <v>5055</v>
      </c>
      <c r="G568" t="s" s="10">
        <v>5056</v>
      </c>
      <c r="H568" s="16">
        <f>HYPERLINK("http://www.royalihc.com", "www.royalihc.com")</f>
      </c>
      <c r="I568" t="s" s="10">
        <v>5057</v>
      </c>
      <c r="J568" t="s" s="24">
        <v>34</v>
      </c>
      <c r="K568" t="s" s="24">
        <v>34</v>
      </c>
      <c r="L568" t="s" s="24">
        <v>34</v>
      </c>
      <c r="M568" t="s" s="12">
        <v>34</v>
      </c>
      <c r="N568" t="s" s="10">
        <v>34</v>
      </c>
      <c r="O568" t="s" s="10">
        <v>34</v>
      </c>
      <c r="P568" t="s" s="10">
        <v>34</v>
      </c>
      <c r="Q568" t="s" s="10">
        <v>34</v>
      </c>
      <c r="R568" t="s" s="10">
        <v>34</v>
      </c>
      <c r="S568" t="s" s="10">
        <v>34</v>
      </c>
      <c r="T568" t="s" s="12">
        <v>34</v>
      </c>
      <c r="U568" t="s" s="10">
        <v>34</v>
      </c>
      <c r="V568" t="s" s="12">
        <v>34</v>
      </c>
      <c r="W568" t="s" s="10">
        <v>5058</v>
      </c>
      <c r="X568" s="16">
        <f>HYPERLINK("https://my.pitchbook.com?p=59796-91P", "View People Online")</f>
      </c>
    </row>
    <row r="569">
      <c r="A569" t="s" s="11">
        <v>5059</v>
      </c>
      <c r="B569" t="s" s="11">
        <v>5060</v>
      </c>
      <c r="C569" t="s" s="11">
        <v>34</v>
      </c>
      <c r="D569" t="s" s="11">
        <v>5061</v>
      </c>
      <c r="E569" t="s" s="11">
        <v>3715</v>
      </c>
      <c r="F569" t="s" s="11">
        <v>273</v>
      </c>
      <c r="G569" t="s" s="11">
        <v>5062</v>
      </c>
      <c r="H569" s="17">
        <f>HYPERLINK("http://www.goldennugget.com", "www.goldennugget.com")</f>
      </c>
      <c r="I569" t="s" s="11">
        <v>649</v>
      </c>
      <c r="J569" t="s" s="25">
        <v>34</v>
      </c>
      <c r="K569" t="s" s="25">
        <v>34</v>
      </c>
      <c r="L569" t="s" s="25">
        <v>34</v>
      </c>
      <c r="M569" t="s" s="13">
        <v>34</v>
      </c>
      <c r="N569" t="s" s="11">
        <v>34</v>
      </c>
      <c r="O569" t="s" s="11">
        <v>34</v>
      </c>
      <c r="P569" t="s" s="11">
        <v>34</v>
      </c>
      <c r="Q569" t="s" s="11">
        <v>34</v>
      </c>
      <c r="R569" t="s" s="11">
        <v>34</v>
      </c>
      <c r="S569" t="s" s="11">
        <v>34</v>
      </c>
      <c r="T569" t="s" s="13">
        <v>34</v>
      </c>
      <c r="U569" t="s" s="11">
        <v>34</v>
      </c>
      <c r="V569" t="s" s="13">
        <v>34</v>
      </c>
      <c r="W569" t="s" s="11">
        <v>5064</v>
      </c>
      <c r="X569" s="17">
        <f>HYPERLINK("https://my.pitchbook.com?p=278119-54P", "View People Online")</f>
      </c>
    </row>
    <row r="570">
      <c r="A570" t="s" s="10">
        <v>5065</v>
      </c>
      <c r="B570" t="s" s="10">
        <v>5066</v>
      </c>
      <c r="C570" t="s" s="10">
        <v>34</v>
      </c>
      <c r="D570" t="s" s="10">
        <v>5067</v>
      </c>
      <c r="E570" t="s" s="10">
        <v>3715</v>
      </c>
      <c r="F570" t="s" s="10">
        <v>5068</v>
      </c>
      <c r="G570" t="s" s="10">
        <v>5069</v>
      </c>
      <c r="H570" s="16">
        <f>HYPERLINK("http://www.sagehomes.co.uk", "www.sagehomes.co.uk")</f>
      </c>
      <c r="I570" t="s" s="10">
        <v>5071</v>
      </c>
      <c r="J570" s="24">
        <v>1</v>
      </c>
      <c r="K570" s="24">
        <v>1</v>
      </c>
      <c r="L570" t="s" s="24">
        <v>34</v>
      </c>
      <c r="M570" t="s" s="12">
        <v>5072</v>
      </c>
      <c r="N570" t="s" s="10">
        <v>34</v>
      </c>
      <c r="O570" t="s" s="10">
        <v>43</v>
      </c>
      <c r="P570" t="s" s="10">
        <v>5073</v>
      </c>
      <c r="Q570" t="s" s="10">
        <v>5074</v>
      </c>
      <c r="R570" t="s" s="10">
        <v>46</v>
      </c>
      <c r="S570" t="s" s="10">
        <v>47</v>
      </c>
      <c r="T570" t="s" s="12">
        <v>5075</v>
      </c>
      <c r="U570" t="s" s="10">
        <v>49</v>
      </c>
      <c r="V570" t="s" s="12">
        <v>34</v>
      </c>
      <c r="W570" t="s" s="10">
        <v>5076</v>
      </c>
      <c r="X570" s="16">
        <f>HYPERLINK("https://my.pitchbook.com?p=288837-91P", "View People Online")</f>
      </c>
    </row>
    <row r="571">
      <c r="A571" t="s" s="11">
        <v>5077</v>
      </c>
      <c r="B571" t="s" s="11">
        <v>5078</v>
      </c>
      <c r="C571" t="s" s="11">
        <v>34</v>
      </c>
      <c r="D571" t="s" s="11">
        <v>5079</v>
      </c>
      <c r="E571" t="s" s="11">
        <v>3715</v>
      </c>
      <c r="F571" t="s" s="11">
        <v>5080</v>
      </c>
      <c r="G571" t="s" s="11">
        <v>5081</v>
      </c>
      <c r="H571" s="17">
        <f>HYPERLINK("http://www.thermify.cloud", "www.thermify.cloud")</f>
      </c>
      <c r="I571" t="s" s="11">
        <v>5083</v>
      </c>
      <c r="J571" s="25">
        <v>1</v>
      </c>
      <c r="K571" s="25">
        <v>2</v>
      </c>
      <c r="L571" t="s" s="25">
        <v>34</v>
      </c>
      <c r="M571" t="s" s="13">
        <v>34</v>
      </c>
      <c r="N571" t="s" s="11">
        <v>5084</v>
      </c>
      <c r="O571" t="s" s="11">
        <v>43</v>
      </c>
      <c r="P571" t="s" s="11">
        <v>34</v>
      </c>
      <c r="Q571" t="s" s="11">
        <v>34</v>
      </c>
      <c r="R571" t="s" s="11">
        <v>46</v>
      </c>
      <c r="S571" t="s" s="11">
        <v>47</v>
      </c>
      <c r="T571" t="s" s="13">
        <v>34</v>
      </c>
      <c r="U571" t="s" s="11">
        <v>49</v>
      </c>
      <c r="V571" t="s" s="13">
        <v>34</v>
      </c>
      <c r="W571" t="s" s="11">
        <v>5085</v>
      </c>
      <c r="X571" s="17">
        <f>HYPERLINK("https://my.pitchbook.com?p=360996-13P", "View People Online")</f>
      </c>
    </row>
    <row r="572">
      <c r="A572" t="s" s="10">
        <v>5086</v>
      </c>
      <c r="B572" t="s" s="10">
        <v>5087</v>
      </c>
      <c r="C572" t="s" s="10">
        <v>34</v>
      </c>
      <c r="D572" t="s" s="10">
        <v>4338</v>
      </c>
      <c r="E572" t="s" s="10">
        <v>3715</v>
      </c>
      <c r="F572" t="s" s="10">
        <v>5088</v>
      </c>
      <c r="G572" t="s" s="10">
        <v>245</v>
      </c>
      <c r="H572" s="16">
        <f>HYPERLINK("http://www.ihcgroup.com", "www.ihcgroup.com")</f>
      </c>
      <c r="I572" t="s" s="10">
        <v>5089</v>
      </c>
      <c r="J572" t="s" s="24">
        <v>34</v>
      </c>
      <c r="K572" s="24">
        <v>1</v>
      </c>
      <c r="L572" t="s" s="24">
        <v>34</v>
      </c>
      <c r="M572" t="s" s="12">
        <v>4342</v>
      </c>
      <c r="N572" t="s" s="10">
        <v>34</v>
      </c>
      <c r="O572" t="s" s="10">
        <v>169</v>
      </c>
      <c r="P572" t="s" s="10">
        <v>4344</v>
      </c>
      <c r="Q572" t="s" s="10">
        <v>34</v>
      </c>
      <c r="R572" t="s" s="10">
        <v>172</v>
      </c>
      <c r="S572" t="s" s="10">
        <v>173</v>
      </c>
      <c r="T572" t="s" s="12">
        <v>4345</v>
      </c>
      <c r="U572" t="s" s="10">
        <v>88</v>
      </c>
      <c r="V572" t="s" s="12">
        <v>34</v>
      </c>
      <c r="W572" t="s" s="10">
        <v>5090</v>
      </c>
      <c r="X572" s="16">
        <f>HYPERLINK("https://my.pitchbook.com?p=242396-56P", "View People Online")</f>
      </c>
    </row>
    <row r="573">
      <c r="A573" t="s" s="11">
        <v>5091</v>
      </c>
      <c r="B573" t="s" s="11">
        <v>5092</v>
      </c>
      <c r="C573" t="s" s="11">
        <v>34</v>
      </c>
      <c r="D573" t="s" s="11">
        <v>4741</v>
      </c>
      <c r="E573" t="s" s="11">
        <v>3715</v>
      </c>
      <c r="F573" t="s" s="11">
        <v>5093</v>
      </c>
      <c r="G573" t="s" s="11">
        <v>5094</v>
      </c>
      <c r="H573" s="17">
        <f>HYPERLINK("http://www.biocare.net", "www.biocare.net")</f>
      </c>
      <c r="I573" t="s" s="11">
        <v>5095</v>
      </c>
      <c r="J573" t="s" s="25">
        <v>34</v>
      </c>
      <c r="K573" t="s" s="25">
        <v>34</v>
      </c>
      <c r="L573" t="s" s="25">
        <v>34</v>
      </c>
      <c r="M573" t="s" s="13">
        <v>34</v>
      </c>
      <c r="N573" t="s" s="11">
        <v>34</v>
      </c>
      <c r="O573" t="s" s="11">
        <v>34</v>
      </c>
      <c r="P573" t="s" s="11">
        <v>34</v>
      </c>
      <c r="Q573" t="s" s="11">
        <v>34</v>
      </c>
      <c r="R573" t="s" s="11">
        <v>34</v>
      </c>
      <c r="S573" t="s" s="11">
        <v>34</v>
      </c>
      <c r="T573" t="s" s="13">
        <v>34</v>
      </c>
      <c r="U573" t="s" s="11">
        <v>34</v>
      </c>
      <c r="V573" t="s" s="13">
        <v>34</v>
      </c>
      <c r="W573" t="s" s="11">
        <v>5096</v>
      </c>
      <c r="X573" s="17">
        <f>HYPERLINK("https://my.pitchbook.com?p=169642-90P", "View People Online")</f>
      </c>
    </row>
    <row r="574">
      <c r="A574" t="s" s="10">
        <v>5097</v>
      </c>
      <c r="B574" t="s" s="10">
        <v>5098</v>
      </c>
      <c r="C574" t="s" s="10">
        <v>34</v>
      </c>
      <c r="D574" t="s" s="10">
        <v>3725</v>
      </c>
      <c r="E574" t="s" s="10">
        <v>3715</v>
      </c>
      <c r="F574" t="s" s="10">
        <v>5099</v>
      </c>
      <c r="G574" t="s" s="10">
        <v>5100</v>
      </c>
      <c r="H574" s="16">
        <f>HYPERLINK("http://www.royalihc.com", "www.royalihc.com")</f>
      </c>
      <c r="I574" t="s" s="10">
        <v>3618</v>
      </c>
      <c r="J574" t="s" s="24">
        <v>34</v>
      </c>
      <c r="K574" s="24">
        <v>1</v>
      </c>
      <c r="L574" s="24">
        <v>1</v>
      </c>
      <c r="M574" t="s" s="12">
        <v>34</v>
      </c>
      <c r="N574" t="s" s="10">
        <v>5101</v>
      </c>
      <c r="O574" t="s" s="10">
        <v>34</v>
      </c>
      <c r="P574" t="s" s="10">
        <v>34</v>
      </c>
      <c r="Q574" t="s" s="10">
        <v>34</v>
      </c>
      <c r="R574" t="s" s="10">
        <v>34</v>
      </c>
      <c r="S574" t="s" s="10">
        <v>34</v>
      </c>
      <c r="T574" t="s" s="12">
        <v>34</v>
      </c>
      <c r="U574" t="s" s="10">
        <v>34</v>
      </c>
      <c r="V574" t="s" s="12">
        <v>34</v>
      </c>
      <c r="W574" t="s" s="10">
        <v>5102</v>
      </c>
      <c r="X574" s="16">
        <f>HYPERLINK("https://my.pitchbook.com?p=231044-41P", "View People Online")</f>
      </c>
    </row>
    <row r="575">
      <c r="A575" t="s" s="11">
        <v>5103</v>
      </c>
      <c r="B575" t="s" s="11">
        <v>5104</v>
      </c>
      <c r="C575" t="s" s="11">
        <v>34</v>
      </c>
      <c r="D575" t="s" s="11">
        <v>5105</v>
      </c>
      <c r="E575" t="s" s="11">
        <v>3715</v>
      </c>
      <c r="F575" t="s" s="11">
        <v>5106</v>
      </c>
      <c r="G575" t="s" s="11">
        <v>5107</v>
      </c>
      <c r="H575" s="17">
        <f>HYPERLINK("http://www.iqip.com", "www.iqip.com")</f>
      </c>
      <c r="I575" t="s" s="11">
        <v>5109</v>
      </c>
      <c r="J575" t="s" s="25">
        <v>34</v>
      </c>
      <c r="K575" t="s" s="25">
        <v>34</v>
      </c>
      <c r="L575" t="s" s="25">
        <v>34</v>
      </c>
      <c r="M575" t="s" s="13">
        <v>34</v>
      </c>
      <c r="N575" t="s" s="11">
        <v>34</v>
      </c>
      <c r="O575" t="s" s="11">
        <v>34</v>
      </c>
      <c r="P575" t="s" s="11">
        <v>34</v>
      </c>
      <c r="Q575" t="s" s="11">
        <v>34</v>
      </c>
      <c r="R575" t="s" s="11">
        <v>34</v>
      </c>
      <c r="S575" t="s" s="11">
        <v>34</v>
      </c>
      <c r="T575" t="s" s="13">
        <v>34</v>
      </c>
      <c r="U575" t="s" s="11">
        <v>34</v>
      </c>
      <c r="V575" t="s" s="13">
        <v>34</v>
      </c>
      <c r="W575" t="s" s="11">
        <v>5110</v>
      </c>
      <c r="X575" s="17">
        <f>HYPERLINK("https://my.pitchbook.com?p=113837-23P", "View People Online")</f>
      </c>
    </row>
    <row r="576">
      <c r="A576" t="s" s="10">
        <v>5111</v>
      </c>
      <c r="B576" t="s" s="10">
        <v>5112</v>
      </c>
      <c r="C576" t="s" s="10">
        <v>34</v>
      </c>
      <c r="D576" t="s" s="10">
        <v>3725</v>
      </c>
      <c r="E576" t="s" s="10">
        <v>3715</v>
      </c>
      <c r="F576" t="s" s="10">
        <v>5113</v>
      </c>
      <c r="G576" t="s" s="10">
        <v>5114</v>
      </c>
      <c r="H576" s="16">
        <f>HYPERLINK("http://www.royalihc.com", "www.royalihc.com")</f>
      </c>
      <c r="I576" t="s" s="10">
        <v>5115</v>
      </c>
      <c r="J576" t="s" s="24">
        <v>34</v>
      </c>
      <c r="K576" t="s" s="24">
        <v>34</v>
      </c>
      <c r="L576" t="s" s="24">
        <v>34</v>
      </c>
      <c r="M576" t="s" s="12">
        <v>34</v>
      </c>
      <c r="N576" t="s" s="10">
        <v>34</v>
      </c>
      <c r="O576" t="s" s="10">
        <v>34</v>
      </c>
      <c r="P576" t="s" s="10">
        <v>34</v>
      </c>
      <c r="Q576" t="s" s="10">
        <v>34</v>
      </c>
      <c r="R576" t="s" s="10">
        <v>34</v>
      </c>
      <c r="S576" t="s" s="10">
        <v>34</v>
      </c>
      <c r="T576" t="s" s="12">
        <v>34</v>
      </c>
      <c r="U576" t="s" s="10">
        <v>34</v>
      </c>
      <c r="V576" t="s" s="12">
        <v>34</v>
      </c>
      <c r="W576" t="s" s="10">
        <v>5116</v>
      </c>
      <c r="X576" s="16">
        <f>HYPERLINK("https://my.pitchbook.com?p=59797-00P", "View People Online")</f>
      </c>
    </row>
    <row r="577">
      <c r="A577" t="s" s="11">
        <v>5117</v>
      </c>
      <c r="B577" t="s" s="11">
        <v>5118</v>
      </c>
      <c r="C577" t="s" s="11">
        <v>34</v>
      </c>
      <c r="D577" t="s" s="11">
        <v>4312</v>
      </c>
      <c r="E577" t="s" s="11">
        <v>3715</v>
      </c>
      <c r="F577" t="s" s="11">
        <v>5119</v>
      </c>
      <c r="G577" t="s" s="11">
        <v>5120</v>
      </c>
      <c r="H577" s="17">
        <f>HYPERLINK("http://www.albiorex.com", "www.albiorex.com")</f>
      </c>
      <c r="I577" t="s" s="11">
        <v>649</v>
      </c>
      <c r="J577" t="s" s="25">
        <v>34</v>
      </c>
      <c r="K577" t="s" s="25">
        <v>34</v>
      </c>
      <c r="L577" t="s" s="25">
        <v>34</v>
      </c>
      <c r="M577" t="s" s="13">
        <v>5121</v>
      </c>
      <c r="N577" t="s" s="11">
        <v>34</v>
      </c>
      <c r="O577" t="s" s="11">
        <v>34</v>
      </c>
      <c r="P577" t="s" s="11">
        <v>34</v>
      </c>
      <c r="Q577" t="s" s="11">
        <v>34</v>
      </c>
      <c r="R577" t="s" s="11">
        <v>34</v>
      </c>
      <c r="S577" t="s" s="11">
        <v>34</v>
      </c>
      <c r="T577" t="s" s="13">
        <v>34</v>
      </c>
      <c r="U577" t="s" s="11">
        <v>34</v>
      </c>
      <c r="V577" t="s" s="13">
        <v>34</v>
      </c>
      <c r="W577" t="s" s="11">
        <v>5122</v>
      </c>
      <c r="X577" s="17">
        <f>HYPERLINK("https://my.pitchbook.com?p=32132-62P", "View People Online")</f>
      </c>
    </row>
    <row r="578">
      <c r="A578" t="s" s="10">
        <v>5123</v>
      </c>
      <c r="B578" t="s" s="10">
        <v>5124</v>
      </c>
      <c r="C578" t="s" s="10">
        <v>34</v>
      </c>
      <c r="D578" t="s" s="10">
        <v>4282</v>
      </c>
      <c r="E578" t="s" s="10">
        <v>3715</v>
      </c>
      <c r="F578" t="s" s="10">
        <v>5113</v>
      </c>
      <c r="G578" t="s" s="10">
        <v>5125</v>
      </c>
      <c r="H578" s="16">
        <f>HYPERLINK("http://www.royalihc.com", "www.royalihc.com")</f>
      </c>
      <c r="I578" t="s" s="10">
        <v>5126</v>
      </c>
      <c r="J578" t="s" s="24">
        <v>34</v>
      </c>
      <c r="K578" s="24">
        <v>4</v>
      </c>
      <c r="L578" s="24">
        <v>4</v>
      </c>
      <c r="M578" t="s" s="12">
        <v>4284</v>
      </c>
      <c r="N578" t="s" s="10">
        <v>5127</v>
      </c>
      <c r="O578" t="s" s="10">
        <v>4286</v>
      </c>
      <c r="P578" t="s" s="10">
        <v>4287</v>
      </c>
      <c r="Q578" t="s" s="10">
        <v>34</v>
      </c>
      <c r="R578" t="s" s="10">
        <v>4288</v>
      </c>
      <c r="S578" t="s" s="10">
        <v>34</v>
      </c>
      <c r="T578" t="s" s="12">
        <v>4289</v>
      </c>
      <c r="U578" t="s" s="10">
        <v>103</v>
      </c>
      <c r="V578" t="s" s="12">
        <v>34</v>
      </c>
      <c r="W578" t="s" s="10">
        <v>5128</v>
      </c>
      <c r="X578" s="16">
        <f>HYPERLINK("https://my.pitchbook.com?p=59794-39P", "View People Online")</f>
      </c>
    </row>
    <row r="579">
      <c r="A579" t="s" s="11">
        <v>5129</v>
      </c>
      <c r="B579" t="s" s="11">
        <v>5130</v>
      </c>
      <c r="C579" t="s" s="11">
        <v>34</v>
      </c>
      <c r="D579" t="s" s="11">
        <v>5131</v>
      </c>
      <c r="E579" t="s" s="11">
        <v>3715</v>
      </c>
      <c r="F579" t="s" s="11">
        <v>5132</v>
      </c>
      <c r="G579" t="s" s="11">
        <v>5133</v>
      </c>
      <c r="H579" s="17">
        <f>HYPERLINK("http://www.dramarepublic.com", "www.dramarepublic.com")</f>
      </c>
      <c r="I579" t="s" s="11">
        <v>1346</v>
      </c>
      <c r="J579" t="s" s="25">
        <v>34</v>
      </c>
      <c r="K579" s="25">
        <v>1</v>
      </c>
      <c r="L579" t="s" s="25">
        <v>34</v>
      </c>
      <c r="M579" t="s" s="13">
        <v>5135</v>
      </c>
      <c r="N579" t="s" s="11">
        <v>5136</v>
      </c>
      <c r="O579" t="s" s="11">
        <v>43</v>
      </c>
      <c r="P579" t="s" s="11">
        <v>1847</v>
      </c>
      <c r="Q579" t="s" s="11">
        <v>5137</v>
      </c>
      <c r="R579" t="s" s="11">
        <v>46</v>
      </c>
      <c r="S579" t="s" s="11">
        <v>47</v>
      </c>
      <c r="T579" t="s" s="13">
        <v>5138</v>
      </c>
      <c r="U579" t="s" s="11">
        <v>49</v>
      </c>
      <c r="V579" t="s" s="13">
        <v>34</v>
      </c>
      <c r="W579" t="s" s="11">
        <v>5139</v>
      </c>
      <c r="X579" s="17">
        <f>HYPERLINK("https://my.pitchbook.com?p=268406-56P", "View People Online")</f>
      </c>
    </row>
    <row r="580">
      <c r="A580" t="s" s="10">
        <v>5140</v>
      </c>
      <c r="B580" t="s" s="10">
        <v>5141</v>
      </c>
      <c r="C580" t="s" s="10">
        <v>34</v>
      </c>
      <c r="D580" t="s" s="10">
        <v>5142</v>
      </c>
      <c r="E580" t="s" s="10">
        <v>3715</v>
      </c>
      <c r="F580" t="s" s="10">
        <v>5143</v>
      </c>
      <c r="G580" t="s" s="10">
        <v>109</v>
      </c>
      <c r="H580" s="16">
        <f>HYPERLINK("http://www.letanneur.com", "www.letanneur.com")</f>
      </c>
      <c r="I580" t="s" s="10">
        <v>5115</v>
      </c>
      <c r="J580" t="s" s="24">
        <v>34</v>
      </c>
      <c r="K580" t="s" s="24">
        <v>34</v>
      </c>
      <c r="L580" t="s" s="24">
        <v>34</v>
      </c>
      <c r="M580" t="s" s="12">
        <v>34</v>
      </c>
      <c r="N580" t="s" s="10">
        <v>34</v>
      </c>
      <c r="O580" t="s" s="10">
        <v>34</v>
      </c>
      <c r="P580" t="s" s="10">
        <v>34</v>
      </c>
      <c r="Q580" t="s" s="10">
        <v>34</v>
      </c>
      <c r="R580" t="s" s="10">
        <v>34</v>
      </c>
      <c r="S580" t="s" s="10">
        <v>34</v>
      </c>
      <c r="T580" t="s" s="12">
        <v>34</v>
      </c>
      <c r="U580" t="s" s="10">
        <v>34</v>
      </c>
      <c r="V580" t="s" s="12">
        <v>34</v>
      </c>
      <c r="W580" t="s" s="10">
        <v>5144</v>
      </c>
      <c r="X580" s="16">
        <f>HYPERLINK("https://my.pitchbook.com?p=63429-94P", "View People Online")</f>
      </c>
    </row>
    <row r="581">
      <c r="A581" t="s" s="11">
        <v>5145</v>
      </c>
      <c r="B581" t="s" s="11">
        <v>5146</v>
      </c>
      <c r="C581" t="s" s="11">
        <v>34</v>
      </c>
      <c r="D581" t="s" s="11">
        <v>5147</v>
      </c>
      <c r="E581" t="s" s="11">
        <v>3715</v>
      </c>
      <c r="F581" t="s" s="11">
        <v>4319</v>
      </c>
      <c r="G581" t="s" s="11">
        <v>109</v>
      </c>
      <c r="H581" s="17">
        <f>HYPERLINK("http://www.edmap.com", "www.edmap.com")</f>
      </c>
      <c r="I581" t="s" s="11">
        <v>234</v>
      </c>
      <c r="J581" t="s" s="25">
        <v>34</v>
      </c>
      <c r="K581" t="s" s="25">
        <v>34</v>
      </c>
      <c r="L581" t="s" s="25">
        <v>34</v>
      </c>
      <c r="M581" t="s" s="13">
        <v>34</v>
      </c>
      <c r="N581" t="s" s="11">
        <v>34</v>
      </c>
      <c r="O581" t="s" s="11">
        <v>34</v>
      </c>
      <c r="P581" t="s" s="11">
        <v>34</v>
      </c>
      <c r="Q581" t="s" s="11">
        <v>34</v>
      </c>
      <c r="R581" t="s" s="11">
        <v>34</v>
      </c>
      <c r="S581" t="s" s="11">
        <v>34</v>
      </c>
      <c r="T581" t="s" s="13">
        <v>34</v>
      </c>
      <c r="U581" t="s" s="11">
        <v>34</v>
      </c>
      <c r="V581" t="s" s="13">
        <v>34</v>
      </c>
      <c r="W581" t="s" s="11">
        <v>5149</v>
      </c>
      <c r="X581" s="17">
        <f>HYPERLINK("https://my.pitchbook.com?p=61830-46P", "View People Online")</f>
      </c>
    </row>
    <row r="582">
      <c r="A582" t="s" s="10">
        <v>5150</v>
      </c>
      <c r="B582" t="s" s="10">
        <v>5151</v>
      </c>
      <c r="C582" t="s" s="10">
        <v>34</v>
      </c>
      <c r="D582" t="s" s="10">
        <v>5152</v>
      </c>
      <c r="E582" t="s" s="10">
        <v>3715</v>
      </c>
      <c r="F582" t="s" s="10">
        <v>5153</v>
      </c>
      <c r="G582" t="s" s="10">
        <v>5154</v>
      </c>
      <c r="H582" s="16">
        <f>HYPERLINK("http://www.thesavoylondon.com", "www.thesavoylondon.com")</f>
      </c>
      <c r="I582" t="s" s="10">
        <v>34</v>
      </c>
      <c r="J582" t="s" s="24">
        <v>34</v>
      </c>
      <c r="K582" t="s" s="24">
        <v>34</v>
      </c>
      <c r="L582" t="s" s="24">
        <v>34</v>
      </c>
      <c r="M582" t="s" s="12">
        <v>34</v>
      </c>
      <c r="N582" t="s" s="10">
        <v>34</v>
      </c>
      <c r="O582" t="s" s="10">
        <v>34</v>
      </c>
      <c r="P582" t="s" s="10">
        <v>34</v>
      </c>
      <c r="Q582" t="s" s="10">
        <v>34</v>
      </c>
      <c r="R582" t="s" s="10">
        <v>34</v>
      </c>
      <c r="S582" t="s" s="10">
        <v>34</v>
      </c>
      <c r="T582" t="s" s="12">
        <v>34</v>
      </c>
      <c r="U582" t="s" s="10">
        <v>34</v>
      </c>
      <c r="V582" t="s" s="12">
        <v>34</v>
      </c>
      <c r="W582" t="s" s="10">
        <v>5156</v>
      </c>
      <c r="X582" s="16">
        <f>HYPERLINK("https://my.pitchbook.com?p=96752-80P", "View People Online")</f>
      </c>
    </row>
    <row r="583">
      <c r="A583" t="s" s="11">
        <v>5157</v>
      </c>
      <c r="B583" t="s" s="11">
        <v>5158</v>
      </c>
      <c r="C583" t="s" s="11">
        <v>34</v>
      </c>
      <c r="D583" t="s" s="11">
        <v>5159</v>
      </c>
      <c r="E583" t="s" s="11">
        <v>3715</v>
      </c>
      <c r="F583" t="s" s="11">
        <v>5160</v>
      </c>
      <c r="G583" t="s" s="11">
        <v>5161</v>
      </c>
      <c r="H583" s="17">
        <f>HYPERLINK("http://www.yahsat.com", "www.yahsat.com")</f>
      </c>
      <c r="I583" t="s" s="11">
        <v>2321</v>
      </c>
      <c r="J583" t="s" s="25">
        <v>34</v>
      </c>
      <c r="K583" t="s" s="25">
        <v>34</v>
      </c>
      <c r="L583" t="s" s="25">
        <v>34</v>
      </c>
      <c r="M583" t="s" s="13">
        <v>34</v>
      </c>
      <c r="N583" t="s" s="11">
        <v>34</v>
      </c>
      <c r="O583" t="s" s="11">
        <v>34</v>
      </c>
      <c r="P583" t="s" s="11">
        <v>34</v>
      </c>
      <c r="Q583" t="s" s="11">
        <v>34</v>
      </c>
      <c r="R583" t="s" s="11">
        <v>34</v>
      </c>
      <c r="S583" t="s" s="11">
        <v>34</v>
      </c>
      <c r="T583" t="s" s="13">
        <v>34</v>
      </c>
      <c r="U583" t="s" s="11">
        <v>34</v>
      </c>
      <c r="V583" t="s" s="13">
        <v>34</v>
      </c>
      <c r="W583" t="s" s="11">
        <v>5163</v>
      </c>
      <c r="X583" s="17">
        <f>HYPERLINK("https://my.pitchbook.com?p=415356-94P", "View People Online")</f>
      </c>
    </row>
    <row r="584">
      <c r="A584" t="s" s="10">
        <v>5164</v>
      </c>
      <c r="B584" t="s" s="10">
        <v>5165</v>
      </c>
      <c r="C584" t="s" s="10">
        <v>34</v>
      </c>
      <c r="D584" t="s" s="10">
        <v>5166</v>
      </c>
      <c r="E584" t="s" s="10">
        <v>3715</v>
      </c>
      <c r="F584" t="s" s="10">
        <v>5167</v>
      </c>
      <c r="G584" t="s" s="10">
        <v>1063</v>
      </c>
      <c r="H584" s="16">
        <f>HYPERLINK("http://www.cardiolynx.com", "www.cardiolynx.com")</f>
      </c>
      <c r="I584" t="s" s="10">
        <v>649</v>
      </c>
      <c r="J584" t="s" s="24">
        <v>34</v>
      </c>
      <c r="K584" t="s" s="24">
        <v>34</v>
      </c>
      <c r="L584" t="s" s="24">
        <v>34</v>
      </c>
      <c r="M584" t="s" s="12">
        <v>34</v>
      </c>
      <c r="N584" t="s" s="10">
        <v>34</v>
      </c>
      <c r="O584" t="s" s="10">
        <v>34</v>
      </c>
      <c r="P584" t="s" s="10">
        <v>34</v>
      </c>
      <c r="Q584" t="s" s="10">
        <v>34</v>
      </c>
      <c r="R584" t="s" s="10">
        <v>34</v>
      </c>
      <c r="S584" t="s" s="10">
        <v>34</v>
      </c>
      <c r="T584" t="s" s="12">
        <v>34</v>
      </c>
      <c r="U584" t="s" s="10">
        <v>34</v>
      </c>
      <c r="V584" t="s" s="12">
        <v>34</v>
      </c>
      <c r="W584" t="s" s="10">
        <v>5169</v>
      </c>
      <c r="X584" s="16">
        <f>HYPERLINK("https://my.pitchbook.com?p=205063-48P", "View People Online")</f>
      </c>
    </row>
    <row r="585">
      <c r="A585" t="s" s="11">
        <v>5170</v>
      </c>
      <c r="B585" t="s" s="11">
        <v>5171</v>
      </c>
      <c r="C585" t="s" s="11">
        <v>34</v>
      </c>
      <c r="D585" t="s" s="11">
        <v>5172</v>
      </c>
      <c r="E585" t="s" s="11">
        <v>3715</v>
      </c>
      <c r="F585" t="s" s="11">
        <v>5173</v>
      </c>
      <c r="G585" t="s" s="11">
        <v>1063</v>
      </c>
      <c r="H585" s="17">
        <f>HYPERLINK("http://www.neptuneminerals.com", "www.neptuneminerals.com")</f>
      </c>
      <c r="I585" t="s" s="11">
        <v>2946</v>
      </c>
      <c r="J585" t="s" s="25">
        <v>34</v>
      </c>
      <c r="K585" t="s" s="25">
        <v>34</v>
      </c>
      <c r="L585" t="s" s="25">
        <v>34</v>
      </c>
      <c r="M585" t="s" s="13">
        <v>34</v>
      </c>
      <c r="N585" t="s" s="11">
        <v>5175</v>
      </c>
      <c r="O585" t="s" s="11">
        <v>34</v>
      </c>
      <c r="P585" t="s" s="11">
        <v>34</v>
      </c>
      <c r="Q585" t="s" s="11">
        <v>34</v>
      </c>
      <c r="R585" t="s" s="11">
        <v>34</v>
      </c>
      <c r="S585" t="s" s="11">
        <v>34</v>
      </c>
      <c r="T585" t="s" s="13">
        <v>34</v>
      </c>
      <c r="U585" t="s" s="11">
        <v>34</v>
      </c>
      <c r="V585" t="s" s="13">
        <v>34</v>
      </c>
      <c r="W585" t="s" s="11">
        <v>5176</v>
      </c>
      <c r="X585" s="17">
        <f>HYPERLINK("https://my.pitchbook.com?p=57839-68P", "View People Online")</f>
      </c>
    </row>
    <row r="586">
      <c r="A586" t="s" s="10">
        <v>5177</v>
      </c>
      <c r="B586" t="s" s="10">
        <v>5171</v>
      </c>
      <c r="C586" t="s" s="10">
        <v>34</v>
      </c>
      <c r="D586" t="s" s="10">
        <v>5178</v>
      </c>
      <c r="E586" t="s" s="10">
        <v>3715</v>
      </c>
      <c r="F586" t="s" s="10">
        <v>5173</v>
      </c>
      <c r="G586" t="s" s="10">
        <v>1063</v>
      </c>
      <c r="H586" s="16">
        <f>HYPERLINK("http://www.omlus.com", "www.omlus.com")</f>
      </c>
      <c r="I586" t="s" s="10">
        <v>5180</v>
      </c>
      <c r="J586" s="24">
        <v>1</v>
      </c>
      <c r="K586" s="24">
        <v>1</v>
      </c>
      <c r="L586" t="s" s="24">
        <v>34</v>
      </c>
      <c r="M586" t="s" s="12">
        <v>5181</v>
      </c>
      <c r="N586" t="s" s="10">
        <v>5182</v>
      </c>
      <c r="O586" t="s" s="10">
        <v>5183</v>
      </c>
      <c r="P586" t="s" s="10">
        <v>5184</v>
      </c>
      <c r="Q586" t="s" s="10">
        <v>34</v>
      </c>
      <c r="R586" t="s" s="10">
        <v>5185</v>
      </c>
      <c r="S586" t="s" s="10">
        <v>225</v>
      </c>
      <c r="T586" t="s" s="12">
        <v>5186</v>
      </c>
      <c r="U586" t="s" s="10">
        <v>88</v>
      </c>
      <c r="V586" t="s" s="12">
        <v>34</v>
      </c>
      <c r="W586" t="s" s="10">
        <v>5187</v>
      </c>
      <c r="X586" s="16">
        <f>HYPERLINK("https://my.pitchbook.com?p=219105-01P", "View People Online")</f>
      </c>
    </row>
    <row r="587">
      <c r="A587" t="s" s="11">
        <v>5188</v>
      </c>
      <c r="B587" t="s" s="11">
        <v>5189</v>
      </c>
      <c r="C587" t="s" s="11">
        <v>34</v>
      </c>
      <c r="D587" t="s" s="11">
        <v>5190</v>
      </c>
      <c r="E587" t="s" s="11">
        <v>3715</v>
      </c>
      <c r="F587" t="s" s="11">
        <v>5191</v>
      </c>
      <c r="G587" t="s" s="11">
        <v>5192</v>
      </c>
      <c r="H587" t="s" s="11">
        <v>34</v>
      </c>
      <c r="I587" t="s" s="11">
        <v>1346</v>
      </c>
      <c r="J587" t="s" s="25">
        <v>34</v>
      </c>
      <c r="K587" s="25">
        <v>1</v>
      </c>
      <c r="L587" t="s" s="25">
        <v>34</v>
      </c>
      <c r="M587" t="s" s="13">
        <v>34</v>
      </c>
      <c r="N587" t="s" s="11">
        <v>34</v>
      </c>
      <c r="O587" t="s" s="11">
        <v>528</v>
      </c>
      <c r="P587" t="s" s="11">
        <v>34</v>
      </c>
      <c r="Q587" t="s" s="11">
        <v>34</v>
      </c>
      <c r="R587" t="s" s="11">
        <v>34</v>
      </c>
      <c r="S587" t="s" s="11">
        <v>34</v>
      </c>
      <c r="T587" t="s" s="13">
        <v>34</v>
      </c>
      <c r="U587" t="s" s="11">
        <v>528</v>
      </c>
      <c r="V587" t="s" s="13">
        <v>34</v>
      </c>
      <c r="W587" t="s" s="11">
        <v>5193</v>
      </c>
      <c r="X587" s="17">
        <f>HYPERLINK("https://my.pitchbook.com?p=358858-45P", "View People Online")</f>
      </c>
    </row>
    <row r="588">
      <c r="A588" t="s" s="10">
        <v>5194</v>
      </c>
      <c r="B588" t="s" s="10">
        <v>5195</v>
      </c>
      <c r="C588" t="s" s="10">
        <v>34</v>
      </c>
      <c r="D588" t="s" s="10">
        <v>3963</v>
      </c>
      <c r="E588" t="s" s="10">
        <v>3715</v>
      </c>
      <c r="F588" t="s" s="10">
        <v>5196</v>
      </c>
      <c r="G588" t="s" s="10">
        <v>5197</v>
      </c>
      <c r="H588" s="16">
        <f>HYPERLINK("http://www.pertamedika.co.id", "www.pertamedika.co.id")</f>
      </c>
      <c r="I588" t="s" s="10">
        <v>5198</v>
      </c>
      <c r="J588" t="s" s="24">
        <v>34</v>
      </c>
      <c r="K588" s="24">
        <v>1</v>
      </c>
      <c r="L588" t="s" s="24">
        <v>34</v>
      </c>
      <c r="M588" t="s" s="12">
        <v>3967</v>
      </c>
      <c r="N588" t="s" s="10">
        <v>5199</v>
      </c>
      <c r="O588" t="s" s="10">
        <v>3969</v>
      </c>
      <c r="P588" t="s" s="10">
        <v>3970</v>
      </c>
      <c r="Q588" t="s" s="10">
        <v>34</v>
      </c>
      <c r="R588" t="s" s="10">
        <v>3971</v>
      </c>
      <c r="S588" t="s" s="10">
        <v>34</v>
      </c>
      <c r="T588" t="s" s="12">
        <v>3972</v>
      </c>
      <c r="U588" t="s" s="10">
        <v>3973</v>
      </c>
      <c r="V588" t="s" s="12">
        <v>34</v>
      </c>
      <c r="W588" t="s" s="10">
        <v>5200</v>
      </c>
      <c r="X588" s="16">
        <f>HYPERLINK("https://my.pitchbook.com?p=443150-83P", "View People Online")</f>
      </c>
    </row>
    <row r="589">
      <c r="A589" t="s" s="11">
        <v>5201</v>
      </c>
      <c r="B589" t="s" s="11">
        <v>5202</v>
      </c>
      <c r="C589" t="s" s="11">
        <v>34</v>
      </c>
      <c r="D589" t="s" s="11">
        <v>3941</v>
      </c>
      <c r="E589" t="s" s="11">
        <v>3715</v>
      </c>
      <c r="F589" t="s" s="11">
        <v>5203</v>
      </c>
      <c r="G589" t="s" s="11">
        <v>125</v>
      </c>
      <c r="H589" s="17">
        <f>HYPERLINK("http://www.phenopath.com", "www.phenopath.com")</f>
      </c>
      <c r="I589" t="s" s="11">
        <v>5204</v>
      </c>
      <c r="J589" t="s" s="25">
        <v>34</v>
      </c>
      <c r="K589" t="s" s="25">
        <v>34</v>
      </c>
      <c r="L589" t="s" s="25">
        <v>34</v>
      </c>
      <c r="M589" t="s" s="13">
        <v>34</v>
      </c>
      <c r="N589" t="s" s="11">
        <v>34</v>
      </c>
      <c r="O589" t="s" s="11">
        <v>34</v>
      </c>
      <c r="P589" t="s" s="11">
        <v>34</v>
      </c>
      <c r="Q589" t="s" s="11">
        <v>34</v>
      </c>
      <c r="R589" t="s" s="11">
        <v>34</v>
      </c>
      <c r="S589" t="s" s="11">
        <v>34</v>
      </c>
      <c r="T589" t="s" s="13">
        <v>34</v>
      </c>
      <c r="U589" t="s" s="11">
        <v>34</v>
      </c>
      <c r="V589" t="s" s="13">
        <v>34</v>
      </c>
      <c r="W589" t="s" s="11">
        <v>5205</v>
      </c>
      <c r="X589" s="17">
        <f>HYPERLINK("https://my.pitchbook.com?p=194549-14P", "View People Online")</f>
      </c>
    </row>
    <row r="590">
      <c r="A590" t="s" s="10">
        <v>5206</v>
      </c>
      <c r="B590" t="s" s="10">
        <v>3261</v>
      </c>
      <c r="C590" t="s" s="10">
        <v>34</v>
      </c>
      <c r="D590" t="s" s="10">
        <v>5207</v>
      </c>
      <c r="E590" t="s" s="10">
        <v>3715</v>
      </c>
      <c r="F590" t="s" s="10">
        <v>3263</v>
      </c>
      <c r="G590" t="s" s="10">
        <v>3264</v>
      </c>
      <c r="H590" s="16">
        <f>HYPERLINK("http://www.inwi.ma", "www.inwi.ma")</f>
      </c>
      <c r="I590" t="s" s="10">
        <v>649</v>
      </c>
      <c r="J590" s="24">
        <v>1</v>
      </c>
      <c r="K590" s="24">
        <v>1</v>
      </c>
      <c r="L590" t="s" s="24">
        <v>34</v>
      </c>
      <c r="M590" t="s" s="12">
        <v>5209</v>
      </c>
      <c r="N590" t="s" s="10">
        <v>34</v>
      </c>
      <c r="O590" t="s" s="10">
        <v>2949</v>
      </c>
      <c r="P590" t="s" s="10">
        <v>5210</v>
      </c>
      <c r="Q590" t="s" s="10">
        <v>5211</v>
      </c>
      <c r="R590" t="s" s="10">
        <v>2951</v>
      </c>
      <c r="S590" t="s" s="10">
        <v>34</v>
      </c>
      <c r="T590" t="s" s="12">
        <v>5212</v>
      </c>
      <c r="U590" t="s" s="10">
        <v>2952</v>
      </c>
      <c r="V590" t="s" s="12">
        <v>34</v>
      </c>
      <c r="W590" t="s" s="10">
        <v>5213</v>
      </c>
      <c r="X590" s="16">
        <f>HYPERLINK("https://my.pitchbook.com?p=184212-01P", "View People Online")</f>
      </c>
    </row>
    <row r="591">
      <c r="A591" t="s" s="11">
        <v>5214</v>
      </c>
      <c r="B591" t="s" s="11">
        <v>5215</v>
      </c>
      <c r="C591" t="s" s="11">
        <v>34</v>
      </c>
      <c r="D591" t="s" s="11">
        <v>3802</v>
      </c>
      <c r="E591" t="s" s="11">
        <v>3715</v>
      </c>
      <c r="F591" t="s" s="11">
        <v>5216</v>
      </c>
      <c r="G591" t="s" s="11">
        <v>2428</v>
      </c>
      <c r="H591" s="17">
        <f>HYPERLINK("http://www.qatarluxurygroup.com", "www.qatarluxurygroup.com")</f>
      </c>
      <c r="I591" t="s" s="11">
        <v>3030</v>
      </c>
      <c r="J591" t="s" s="25">
        <v>34</v>
      </c>
      <c r="K591" t="s" s="25">
        <v>34</v>
      </c>
      <c r="L591" t="s" s="25">
        <v>34</v>
      </c>
      <c r="M591" t="s" s="13">
        <v>34</v>
      </c>
      <c r="N591" t="s" s="11">
        <v>34</v>
      </c>
      <c r="O591" t="s" s="11">
        <v>34</v>
      </c>
      <c r="P591" t="s" s="11">
        <v>34</v>
      </c>
      <c r="Q591" t="s" s="11">
        <v>34</v>
      </c>
      <c r="R591" t="s" s="11">
        <v>34</v>
      </c>
      <c r="S591" t="s" s="11">
        <v>34</v>
      </c>
      <c r="T591" t="s" s="13">
        <v>34</v>
      </c>
      <c r="U591" t="s" s="11">
        <v>34</v>
      </c>
      <c r="V591" t="s" s="13">
        <v>34</v>
      </c>
      <c r="W591" t="s" s="11">
        <v>5217</v>
      </c>
      <c r="X591" s="17">
        <f>HYPERLINK("https://my.pitchbook.com?p=63429-40P", "View People Online")</f>
      </c>
    </row>
    <row r="592">
      <c r="A592" t="s" s="10">
        <v>5218</v>
      </c>
      <c r="B592" t="s" s="10">
        <v>5219</v>
      </c>
      <c r="C592" t="s" s="10">
        <v>34</v>
      </c>
      <c r="D592" t="s" s="10">
        <v>5220</v>
      </c>
      <c r="E592" t="s" s="10">
        <v>3715</v>
      </c>
      <c r="F592" t="s" s="10">
        <v>5221</v>
      </c>
      <c r="G592" t="s" s="10">
        <v>5222</v>
      </c>
      <c r="H592" s="16">
        <f>HYPERLINK("http://smart.stream", "smart.stream")</f>
      </c>
      <c r="I592" t="s" s="10">
        <v>322</v>
      </c>
      <c r="J592" t="s" s="24">
        <v>34</v>
      </c>
      <c r="K592" t="s" s="24">
        <v>34</v>
      </c>
      <c r="L592" t="s" s="24">
        <v>34</v>
      </c>
      <c r="M592" t="s" s="12">
        <v>34</v>
      </c>
      <c r="N592" t="s" s="10">
        <v>5224</v>
      </c>
      <c r="O592" t="s" s="10">
        <v>34</v>
      </c>
      <c r="P592" t="s" s="10">
        <v>34</v>
      </c>
      <c r="Q592" t="s" s="10">
        <v>34</v>
      </c>
      <c r="R592" t="s" s="10">
        <v>34</v>
      </c>
      <c r="S592" t="s" s="10">
        <v>34</v>
      </c>
      <c r="T592" t="s" s="12">
        <v>34</v>
      </c>
      <c r="U592" t="s" s="10">
        <v>34</v>
      </c>
      <c r="V592" t="s" s="12">
        <v>34</v>
      </c>
      <c r="W592" t="s" s="10">
        <v>5225</v>
      </c>
      <c r="X592" s="16">
        <f>HYPERLINK("https://my.pitchbook.com?p=136386-82P", "View People Online")</f>
      </c>
    </row>
    <row r="593">
      <c r="A593" t="s" s="11">
        <v>5226</v>
      </c>
      <c r="B593" t="s" s="11">
        <v>5227</v>
      </c>
      <c r="C593" t="s" s="11">
        <v>34</v>
      </c>
      <c r="D593" t="s" s="11">
        <v>4282</v>
      </c>
      <c r="E593" t="s" s="11">
        <v>3715</v>
      </c>
      <c r="F593" t="s" s="11">
        <v>5228</v>
      </c>
      <c r="G593" t="s" s="11">
        <v>5229</v>
      </c>
      <c r="H593" s="17">
        <f>HYPERLINK("http://www.royalihc.com", "www.royalihc.com")</f>
      </c>
      <c r="I593" t="s" s="11">
        <v>369</v>
      </c>
      <c r="J593" t="s" s="25">
        <v>34</v>
      </c>
      <c r="K593" s="25">
        <v>1</v>
      </c>
      <c r="L593" s="25">
        <v>1</v>
      </c>
      <c r="M593" t="s" s="13">
        <v>4284</v>
      </c>
      <c r="N593" t="s" s="11">
        <v>5230</v>
      </c>
      <c r="O593" t="s" s="11">
        <v>4286</v>
      </c>
      <c r="P593" t="s" s="11">
        <v>4287</v>
      </c>
      <c r="Q593" t="s" s="11">
        <v>34</v>
      </c>
      <c r="R593" t="s" s="11">
        <v>4288</v>
      </c>
      <c r="S593" t="s" s="11">
        <v>34</v>
      </c>
      <c r="T593" t="s" s="13">
        <v>4289</v>
      </c>
      <c r="U593" t="s" s="11">
        <v>103</v>
      </c>
      <c r="V593" t="s" s="13">
        <v>34</v>
      </c>
      <c r="W593" t="s" s="11">
        <v>5231</v>
      </c>
      <c r="X593" s="17">
        <f>HYPERLINK("https://my.pitchbook.com?p=119055-70P", "View People Online")</f>
      </c>
    </row>
    <row r="594">
      <c r="A594" t="s" s="10">
        <v>5232</v>
      </c>
      <c r="B594" t="s" s="10">
        <v>5233</v>
      </c>
      <c r="C594" t="s" s="10">
        <v>34</v>
      </c>
      <c r="D594" t="s" s="10">
        <v>3809</v>
      </c>
      <c r="E594" t="s" s="10">
        <v>3715</v>
      </c>
      <c r="F594" t="s" s="10">
        <v>5234</v>
      </c>
      <c r="G594" t="s" s="10">
        <v>5235</v>
      </c>
      <c r="H594" s="16">
        <f>HYPERLINK("http://www.arada.com", "www.arada.com")</f>
      </c>
      <c r="I594" t="s" s="10">
        <v>5236</v>
      </c>
      <c r="J594" t="s" s="24">
        <v>34</v>
      </c>
      <c r="K594" s="24">
        <v>1</v>
      </c>
      <c r="L594" t="s" s="24">
        <v>34</v>
      </c>
      <c r="M594" t="s" s="12">
        <v>3812</v>
      </c>
      <c r="N594" t="s" s="10">
        <v>5237</v>
      </c>
      <c r="O594" t="s" s="10">
        <v>236</v>
      </c>
      <c r="P594" t="s" s="10">
        <v>3813</v>
      </c>
      <c r="Q594" t="s" s="10">
        <v>3814</v>
      </c>
      <c r="R594" t="s" s="10">
        <v>239</v>
      </c>
      <c r="S594" t="s" s="10">
        <v>34</v>
      </c>
      <c r="T594" t="s" s="12">
        <v>34</v>
      </c>
      <c r="U594" t="s" s="10">
        <v>240</v>
      </c>
      <c r="V594" t="s" s="12">
        <v>34</v>
      </c>
      <c r="W594" t="s" s="10">
        <v>5238</v>
      </c>
      <c r="X594" s="16">
        <f>HYPERLINK("https://my.pitchbook.com?p=468560-98P", "View People Online")</f>
      </c>
    </row>
    <row r="595">
      <c r="A595" t="s" s="11">
        <v>5239</v>
      </c>
      <c r="B595" t="s" s="11">
        <v>1713</v>
      </c>
      <c r="C595" t="s" s="11">
        <v>34</v>
      </c>
      <c r="D595" t="s" s="11">
        <v>5240</v>
      </c>
      <c r="E595" t="s" s="11">
        <v>3715</v>
      </c>
      <c r="F595" t="s" s="11">
        <v>1714</v>
      </c>
      <c r="G595" t="s" s="11">
        <v>1715</v>
      </c>
      <c r="H595" s="17">
        <f>HYPERLINK("http://www.gennius.xyz", "www.gennius.xyz")</f>
      </c>
      <c r="I595" t="s" s="11">
        <v>2321</v>
      </c>
      <c r="J595" s="25">
        <v>1</v>
      </c>
      <c r="K595" s="25">
        <v>1</v>
      </c>
      <c r="L595" t="s" s="25">
        <v>34</v>
      </c>
      <c r="M595" t="s" s="13">
        <v>34</v>
      </c>
      <c r="N595" t="s" s="11">
        <v>34</v>
      </c>
      <c r="O595" t="s" s="11">
        <v>5242</v>
      </c>
      <c r="P595" t="s" s="11">
        <v>5243</v>
      </c>
      <c r="Q595" t="s" s="11">
        <v>5244</v>
      </c>
      <c r="R595" t="s" s="11">
        <v>5245</v>
      </c>
      <c r="S595" t="s" s="11">
        <v>2156</v>
      </c>
      <c r="T595" t="s" s="13">
        <v>5246</v>
      </c>
      <c r="U595" t="s" s="11">
        <v>88</v>
      </c>
      <c r="V595" t="s" s="13">
        <v>34</v>
      </c>
      <c r="W595" t="s" s="11">
        <v>5247</v>
      </c>
      <c r="X595" s="17">
        <f>HYPERLINK("https://my.pitchbook.com?p=430428-61P", "View People Online")</f>
      </c>
    </row>
    <row r="596">
      <c r="A596" t="s" s="10">
        <v>5248</v>
      </c>
      <c r="B596" t="s" s="10">
        <v>5249</v>
      </c>
      <c r="C596" t="s" s="10">
        <v>34</v>
      </c>
      <c r="D596" t="s" s="10">
        <v>5250</v>
      </c>
      <c r="E596" t="s" s="10">
        <v>3715</v>
      </c>
      <c r="F596" t="s" s="10">
        <v>5251</v>
      </c>
      <c r="G596" t="s" s="10">
        <v>1034</v>
      </c>
      <c r="H596" s="16">
        <f>HYPERLINK("http://www.memoria.org.uk", "www.memoria.org.uk")</f>
      </c>
      <c r="I596" t="s" s="10">
        <v>322</v>
      </c>
      <c r="J596" s="24">
        <v>1</v>
      </c>
      <c r="K596" s="24">
        <v>3</v>
      </c>
      <c r="L596" t="s" s="24">
        <v>34</v>
      </c>
      <c r="M596" t="s" s="12">
        <v>5253</v>
      </c>
      <c r="N596" t="s" s="10">
        <v>5254</v>
      </c>
      <c r="O596" t="s" s="10">
        <v>5255</v>
      </c>
      <c r="P596" t="s" s="10">
        <v>5256</v>
      </c>
      <c r="Q596" t="s" s="10">
        <v>5257</v>
      </c>
      <c r="R596" t="s" s="10">
        <v>5258</v>
      </c>
      <c r="S596" t="s" s="10">
        <v>47</v>
      </c>
      <c r="T596" t="s" s="12">
        <v>5259</v>
      </c>
      <c r="U596" t="s" s="10">
        <v>49</v>
      </c>
      <c r="V596" t="s" s="12">
        <v>34</v>
      </c>
      <c r="W596" t="s" s="10">
        <v>5260</v>
      </c>
      <c r="X596" s="16">
        <f>HYPERLINK("https://my.pitchbook.com?p=125727-58P", "View People Online")</f>
      </c>
    </row>
    <row r="597">
      <c r="A597" t="s" s="11">
        <v>5261</v>
      </c>
      <c r="B597" t="s" s="11">
        <v>5262</v>
      </c>
      <c r="C597" t="s" s="11">
        <v>34</v>
      </c>
      <c r="D597" t="s" s="11">
        <v>5263</v>
      </c>
      <c r="E597" t="s" s="11">
        <v>3715</v>
      </c>
      <c r="F597" t="s" s="11">
        <v>5264</v>
      </c>
      <c r="G597" t="s" s="11">
        <v>5265</v>
      </c>
      <c r="H597" s="17">
        <f>HYPERLINK("http://www.ati-spg.com", "www.ati-spg.com")</f>
      </c>
      <c r="I597" t="s" s="11">
        <v>5267</v>
      </c>
      <c r="J597" t="s" s="25">
        <v>34</v>
      </c>
      <c r="K597" t="s" s="25">
        <v>34</v>
      </c>
      <c r="L597" t="s" s="25">
        <v>34</v>
      </c>
      <c r="M597" t="s" s="13">
        <v>34</v>
      </c>
      <c r="N597" t="s" s="11">
        <v>34</v>
      </c>
      <c r="O597" t="s" s="11">
        <v>34</v>
      </c>
      <c r="P597" t="s" s="11">
        <v>34</v>
      </c>
      <c r="Q597" t="s" s="11">
        <v>34</v>
      </c>
      <c r="R597" t="s" s="11">
        <v>34</v>
      </c>
      <c r="S597" t="s" s="11">
        <v>34</v>
      </c>
      <c r="T597" t="s" s="13">
        <v>34</v>
      </c>
      <c r="U597" t="s" s="11">
        <v>34</v>
      </c>
      <c r="V597" t="s" s="13">
        <v>34</v>
      </c>
      <c r="W597" t="s" s="11">
        <v>5268</v>
      </c>
      <c r="X597" s="17">
        <f>HYPERLINK("https://my.pitchbook.com?p=58229-11P", "View People Online")</f>
      </c>
    </row>
    <row r="598">
      <c r="A598" t="s" s="10">
        <v>5269</v>
      </c>
      <c r="B598" t="s" s="10">
        <v>5270</v>
      </c>
      <c r="C598" t="s" s="10">
        <v>34</v>
      </c>
      <c r="D598" t="s" s="10">
        <v>5271</v>
      </c>
      <c r="E598" t="s" s="10">
        <v>3715</v>
      </c>
      <c r="F598" t="s" s="10">
        <v>5272</v>
      </c>
      <c r="G598" t="s" s="10">
        <v>5273</v>
      </c>
      <c r="H598" s="16">
        <f>HYPERLINK("http://www.beltandroad.news", "www.beltandroad.news")</f>
      </c>
      <c r="I598" t="s" s="10">
        <v>5275</v>
      </c>
      <c r="J598" s="24">
        <v>1</v>
      </c>
      <c r="K598" s="24">
        <v>1</v>
      </c>
      <c r="L598" t="s" s="24">
        <v>34</v>
      </c>
      <c r="M598" t="s" s="12">
        <v>34</v>
      </c>
      <c r="N598" t="s" s="10">
        <v>34</v>
      </c>
      <c r="O598" t="s" s="10">
        <v>552</v>
      </c>
      <c r="P598" t="s" s="10">
        <v>34</v>
      </c>
      <c r="Q598" t="s" s="10">
        <v>34</v>
      </c>
      <c r="R598" t="s" s="10">
        <v>555</v>
      </c>
      <c r="S598" t="s" s="10">
        <v>34</v>
      </c>
      <c r="T598" t="s" s="12">
        <v>34</v>
      </c>
      <c r="U598" t="s" s="10">
        <v>555</v>
      </c>
      <c r="V598" t="s" s="12">
        <v>34</v>
      </c>
      <c r="W598" t="s" s="10">
        <v>5276</v>
      </c>
      <c r="X598" s="16">
        <f>HYPERLINK("https://my.pitchbook.com?p=242011-36P", "View People Online")</f>
      </c>
    </row>
    <row r="599">
      <c r="A599" t="s" s="11">
        <v>5277</v>
      </c>
      <c r="B599" t="s" s="11">
        <v>5278</v>
      </c>
      <c r="C599" t="s" s="11">
        <v>34</v>
      </c>
      <c r="D599" t="s" s="11">
        <v>4909</v>
      </c>
      <c r="E599" t="s" s="11">
        <v>3715</v>
      </c>
      <c r="F599" t="s" s="11">
        <v>5279</v>
      </c>
      <c r="G599" t="s" s="11">
        <v>5280</v>
      </c>
      <c r="H599" s="17">
        <f>HYPERLINK("http://indianhealthcenter.org", "indianhealthcenter.org")</f>
      </c>
      <c r="I599" t="s" s="11">
        <v>1358</v>
      </c>
      <c r="J599" t="s" s="25">
        <v>34</v>
      </c>
      <c r="K599" s="25">
        <v>1</v>
      </c>
      <c r="L599" t="s" s="25">
        <v>34</v>
      </c>
      <c r="M599" t="s" s="13">
        <v>4913</v>
      </c>
      <c r="N599" t="s" s="11">
        <v>34</v>
      </c>
      <c r="O599" t="s" s="11">
        <v>4914</v>
      </c>
      <c r="P599" t="s" s="11">
        <v>4915</v>
      </c>
      <c r="Q599" t="s" s="11">
        <v>34</v>
      </c>
      <c r="R599" t="s" s="11">
        <v>4916</v>
      </c>
      <c r="S599" t="s" s="11">
        <v>1904</v>
      </c>
      <c r="T599" t="s" s="13">
        <v>4917</v>
      </c>
      <c r="U599" t="s" s="11">
        <v>88</v>
      </c>
      <c r="V599" t="s" s="13">
        <v>34</v>
      </c>
      <c r="W599" t="s" s="11">
        <v>5281</v>
      </c>
      <c r="X599" s="17">
        <f>HYPERLINK("https://my.pitchbook.com?p=358738-39P", "View People Online")</f>
      </c>
    </row>
    <row r="600">
      <c r="A600" t="s" s="10">
        <v>5282</v>
      </c>
      <c r="B600" t="s" s="10">
        <v>5283</v>
      </c>
      <c r="C600" t="s" s="10">
        <v>34</v>
      </c>
      <c r="D600" t="s" s="10">
        <v>3725</v>
      </c>
      <c r="E600" t="s" s="10">
        <v>3715</v>
      </c>
      <c r="F600" t="s" s="10">
        <v>5284</v>
      </c>
      <c r="G600" t="s" s="10">
        <v>5285</v>
      </c>
      <c r="H600" s="16">
        <f>HYPERLINK("http://www.royalihc.com", "www.royalihc.com")</f>
      </c>
      <c r="I600" t="s" s="10">
        <v>34</v>
      </c>
      <c r="J600" t="s" s="24">
        <v>34</v>
      </c>
      <c r="K600" t="s" s="24">
        <v>34</v>
      </c>
      <c r="L600" t="s" s="24">
        <v>34</v>
      </c>
      <c r="M600" t="s" s="12">
        <v>34</v>
      </c>
      <c r="N600" t="s" s="10">
        <v>34</v>
      </c>
      <c r="O600" t="s" s="10">
        <v>34</v>
      </c>
      <c r="P600" t="s" s="10">
        <v>34</v>
      </c>
      <c r="Q600" t="s" s="10">
        <v>34</v>
      </c>
      <c r="R600" t="s" s="10">
        <v>34</v>
      </c>
      <c r="S600" t="s" s="10">
        <v>34</v>
      </c>
      <c r="T600" t="s" s="12">
        <v>34</v>
      </c>
      <c r="U600" t="s" s="10">
        <v>34</v>
      </c>
      <c r="V600" t="s" s="12">
        <v>34</v>
      </c>
      <c r="W600" t="s" s="10">
        <v>5286</v>
      </c>
      <c r="X600" s="16">
        <f>HYPERLINK("https://my.pitchbook.com?p=59797-09P", "View People Online")</f>
      </c>
    </row>
    <row r="601">
      <c r="A601" t="s" s="11">
        <v>5287</v>
      </c>
      <c r="B601" t="s" s="11">
        <v>5288</v>
      </c>
      <c r="C601" t="s" s="11">
        <v>34</v>
      </c>
      <c r="D601" t="s" s="11">
        <v>3725</v>
      </c>
      <c r="E601" t="s" s="11">
        <v>3715</v>
      </c>
      <c r="F601" t="s" s="11">
        <v>5289</v>
      </c>
      <c r="G601" t="s" s="11">
        <v>5290</v>
      </c>
      <c r="H601" s="17">
        <f>HYPERLINK("http://www.royalihc.com", "www.royalihc.com")</f>
      </c>
      <c r="I601" t="s" s="11">
        <v>2321</v>
      </c>
      <c r="J601" t="s" s="25">
        <v>34</v>
      </c>
      <c r="K601" t="s" s="25">
        <v>34</v>
      </c>
      <c r="L601" t="s" s="25">
        <v>34</v>
      </c>
      <c r="M601" t="s" s="13">
        <v>34</v>
      </c>
      <c r="N601" t="s" s="11">
        <v>34</v>
      </c>
      <c r="O601" t="s" s="11">
        <v>34</v>
      </c>
      <c r="P601" t="s" s="11">
        <v>34</v>
      </c>
      <c r="Q601" t="s" s="11">
        <v>34</v>
      </c>
      <c r="R601" t="s" s="11">
        <v>34</v>
      </c>
      <c r="S601" t="s" s="11">
        <v>34</v>
      </c>
      <c r="T601" t="s" s="13">
        <v>34</v>
      </c>
      <c r="U601" t="s" s="11">
        <v>34</v>
      </c>
      <c r="V601" t="s" s="13">
        <v>34</v>
      </c>
      <c r="W601" t="s" s="11">
        <v>5291</v>
      </c>
      <c r="X601" s="17">
        <f>HYPERLINK("https://my.pitchbook.com?p=71111-44P", "View People Online")</f>
      </c>
    </row>
    <row r="602">
      <c r="A602" t="s" s="10">
        <v>5292</v>
      </c>
      <c r="B602" t="s" s="10">
        <v>5293</v>
      </c>
      <c r="C602" t="s" s="10">
        <v>34</v>
      </c>
      <c r="D602" t="s" s="10">
        <v>5294</v>
      </c>
      <c r="E602" t="s" s="10">
        <v>3715</v>
      </c>
      <c r="F602" t="s" s="10">
        <v>5295</v>
      </c>
      <c r="G602" t="s" s="10">
        <v>5296</v>
      </c>
      <c r="H602" t="s" s="10">
        <v>34</v>
      </c>
      <c r="I602" t="s" s="10">
        <v>5297</v>
      </c>
      <c r="J602" t="s" s="24">
        <v>34</v>
      </c>
      <c r="K602" t="s" s="24">
        <v>34</v>
      </c>
      <c r="L602" t="s" s="24">
        <v>34</v>
      </c>
      <c r="M602" t="s" s="12">
        <v>34</v>
      </c>
      <c r="N602" t="s" s="10">
        <v>34</v>
      </c>
      <c r="O602" t="s" s="10">
        <v>34</v>
      </c>
      <c r="P602" t="s" s="10">
        <v>34</v>
      </c>
      <c r="Q602" t="s" s="10">
        <v>34</v>
      </c>
      <c r="R602" t="s" s="10">
        <v>34</v>
      </c>
      <c r="S602" t="s" s="10">
        <v>34</v>
      </c>
      <c r="T602" t="s" s="12">
        <v>34</v>
      </c>
      <c r="U602" t="s" s="10">
        <v>34</v>
      </c>
      <c r="V602" t="s" s="12">
        <v>34</v>
      </c>
      <c r="W602" t="s" s="10">
        <v>5298</v>
      </c>
      <c r="X602" s="16">
        <f>HYPERLINK("https://my.pitchbook.com?p=357868-00P", "View People Online")</f>
      </c>
    </row>
    <row r="603">
      <c r="A603" t="s" s="11">
        <v>5299</v>
      </c>
      <c r="B603" t="s" s="11">
        <v>5300</v>
      </c>
      <c r="C603" t="s" s="11">
        <v>34</v>
      </c>
      <c r="D603" t="s" s="11">
        <v>5301</v>
      </c>
      <c r="E603" t="s" s="11">
        <v>3715</v>
      </c>
      <c r="F603" t="s" s="11">
        <v>5302</v>
      </c>
      <c r="G603" t="s" s="11">
        <v>141</v>
      </c>
      <c r="H603" s="17">
        <f>HYPERLINK("http://www.sensornetworksinc.com", "www.sensornetworksinc.com")</f>
      </c>
      <c r="I603" t="s" s="11">
        <v>5304</v>
      </c>
      <c r="J603" t="s" s="25">
        <v>34</v>
      </c>
      <c r="K603" s="25">
        <v>1</v>
      </c>
      <c r="L603" t="s" s="25">
        <v>34</v>
      </c>
      <c r="M603" t="s" s="13">
        <v>5305</v>
      </c>
      <c r="N603" t="s" s="11">
        <v>5306</v>
      </c>
      <c r="O603" t="s" s="11">
        <v>5307</v>
      </c>
      <c r="P603" t="s" s="11">
        <v>5308</v>
      </c>
      <c r="Q603" t="s" s="11">
        <v>4601</v>
      </c>
      <c r="R603" t="s" s="11">
        <v>5309</v>
      </c>
      <c r="S603" t="s" s="11">
        <v>1303</v>
      </c>
      <c r="T603" t="s" s="13">
        <v>5310</v>
      </c>
      <c r="U603" t="s" s="11">
        <v>88</v>
      </c>
      <c r="V603" t="s" s="13">
        <v>5311</v>
      </c>
      <c r="W603" t="s" s="11">
        <v>5312</v>
      </c>
      <c r="X603" s="17">
        <f>HYPERLINK("https://my.pitchbook.com?p=170890-21P", "View People Online")</f>
      </c>
    </row>
    <row r="604">
      <c r="A604" t="s" s="10">
        <v>5313</v>
      </c>
      <c r="B604" t="s" s="10">
        <v>138</v>
      </c>
      <c r="C604" t="s" s="10">
        <v>34</v>
      </c>
      <c r="D604" t="s" s="10">
        <v>5314</v>
      </c>
      <c r="E604" t="s" s="10">
        <v>3715</v>
      </c>
      <c r="F604" t="s" s="10">
        <v>140</v>
      </c>
      <c r="G604" t="s" s="10">
        <v>141</v>
      </c>
      <c r="H604" s="16">
        <f>HYPERLINK("http://www.palmgarden.com", "www.palmgarden.com")</f>
      </c>
      <c r="I604" t="s" s="10">
        <v>234</v>
      </c>
      <c r="J604" t="s" s="24">
        <v>34</v>
      </c>
      <c r="K604" s="24">
        <v>1</v>
      </c>
      <c r="L604" t="s" s="24">
        <v>34</v>
      </c>
      <c r="M604" t="s" s="12">
        <v>5316</v>
      </c>
      <c r="N604" t="s" s="10">
        <v>5317</v>
      </c>
      <c r="O604" t="s" s="10">
        <v>5318</v>
      </c>
      <c r="P604" t="s" s="10">
        <v>5319</v>
      </c>
      <c r="Q604" t="s" s="10">
        <v>5320</v>
      </c>
      <c r="R604" t="s" s="10">
        <v>5321</v>
      </c>
      <c r="S604" t="s" s="10">
        <v>2156</v>
      </c>
      <c r="T604" t="s" s="12">
        <v>5322</v>
      </c>
      <c r="U604" t="s" s="10">
        <v>88</v>
      </c>
      <c r="V604" t="s" s="12">
        <v>5323</v>
      </c>
      <c r="W604" t="s" s="10">
        <v>5324</v>
      </c>
      <c r="X604" s="16">
        <f>HYPERLINK("https://my.pitchbook.com?p=123076-27P", "View People Online")</f>
      </c>
    </row>
    <row r="605">
      <c r="A605" t="s" s="11">
        <v>5325</v>
      </c>
      <c r="B605" t="s" s="11">
        <v>138</v>
      </c>
      <c r="C605" t="s" s="11">
        <v>34</v>
      </c>
      <c r="D605" t="s" s="11">
        <v>5326</v>
      </c>
      <c r="E605" t="s" s="11">
        <v>3715</v>
      </c>
      <c r="F605" t="s" s="11">
        <v>140</v>
      </c>
      <c r="G605" t="s" s="11">
        <v>141</v>
      </c>
      <c r="H605" s="17">
        <f>HYPERLINK("http://www.novopower.ca", "www.novopower.ca")</f>
      </c>
      <c r="I605" t="s" s="11">
        <v>322</v>
      </c>
      <c r="J605" t="s" s="25">
        <v>34</v>
      </c>
      <c r="K605" s="25">
        <v>2</v>
      </c>
      <c r="L605" t="s" s="25">
        <v>34</v>
      </c>
      <c r="M605" t="s" s="13">
        <v>5328</v>
      </c>
      <c r="N605" t="s" s="11">
        <v>5329</v>
      </c>
      <c r="O605" t="s" s="11">
        <v>4773</v>
      </c>
      <c r="P605" t="s" s="11">
        <v>5330</v>
      </c>
      <c r="Q605" t="s" s="11">
        <v>5331</v>
      </c>
      <c r="R605" t="s" s="11">
        <v>4776</v>
      </c>
      <c r="S605" t="s" s="11">
        <v>4777</v>
      </c>
      <c r="T605" t="s" s="13">
        <v>5332</v>
      </c>
      <c r="U605" t="s" s="11">
        <v>1613</v>
      </c>
      <c r="V605" t="s" s="13">
        <v>34</v>
      </c>
      <c r="W605" t="s" s="11">
        <v>5333</v>
      </c>
      <c r="X605" s="17">
        <f>HYPERLINK("https://my.pitchbook.com?p=346828-60P", "View People Online")</f>
      </c>
    </row>
    <row r="606">
      <c r="A606" t="s" s="10">
        <v>5334</v>
      </c>
      <c r="B606" t="s" s="10">
        <v>138</v>
      </c>
      <c r="C606" t="s" s="10">
        <v>34</v>
      </c>
      <c r="D606" t="s" s="10">
        <v>5335</v>
      </c>
      <c r="E606" t="s" s="10">
        <v>3715</v>
      </c>
      <c r="F606" t="s" s="10">
        <v>140</v>
      </c>
      <c r="G606" t="s" s="10">
        <v>141</v>
      </c>
      <c r="H606" s="16">
        <f>HYPERLINK("http://www.cargoclear.com.au", "www.cargoclear.com.au")</f>
      </c>
      <c r="I606" t="s" s="10">
        <v>268</v>
      </c>
      <c r="J606" t="s" s="24">
        <v>34</v>
      </c>
      <c r="K606" s="24">
        <v>1</v>
      </c>
      <c r="L606" t="s" s="24">
        <v>34</v>
      </c>
      <c r="M606" t="s" s="12">
        <v>5337</v>
      </c>
      <c r="N606" t="s" s="10">
        <v>5338</v>
      </c>
      <c r="O606" t="s" s="10">
        <v>5339</v>
      </c>
      <c r="P606" t="s" s="10">
        <v>5340</v>
      </c>
      <c r="Q606" t="s" s="10">
        <v>34</v>
      </c>
      <c r="R606" t="s" s="10">
        <v>5341</v>
      </c>
      <c r="S606" t="s" s="10">
        <v>5342</v>
      </c>
      <c r="T606" t="s" s="12">
        <v>5343</v>
      </c>
      <c r="U606" t="s" s="10">
        <v>2105</v>
      </c>
      <c r="V606" t="s" s="12">
        <v>5344</v>
      </c>
      <c r="W606" t="s" s="10">
        <v>5345</v>
      </c>
      <c r="X606" s="16">
        <f>HYPERLINK("https://my.pitchbook.com?p=421396-12P", "View People Online")</f>
      </c>
    </row>
    <row r="607">
      <c r="A607" t="s" s="11">
        <v>5346</v>
      </c>
      <c r="B607" t="s" s="11">
        <v>138</v>
      </c>
      <c r="C607" t="s" s="11">
        <v>34</v>
      </c>
      <c r="D607" t="s" s="11">
        <v>5347</v>
      </c>
      <c r="E607" t="s" s="11">
        <v>3715</v>
      </c>
      <c r="F607" t="s" s="11">
        <v>140</v>
      </c>
      <c r="G607" t="s" s="11">
        <v>141</v>
      </c>
      <c r="H607" s="17">
        <f>HYPERLINK("http://www.futureservices.no", "www.futureservices.no")</f>
      </c>
      <c r="I607" t="s" s="11">
        <v>322</v>
      </c>
      <c r="J607" t="s" s="25">
        <v>34</v>
      </c>
      <c r="K607" s="25">
        <v>1</v>
      </c>
      <c r="L607" t="s" s="25">
        <v>34</v>
      </c>
      <c r="M607" t="s" s="13">
        <v>5349</v>
      </c>
      <c r="N607" t="s" s="11">
        <v>5350</v>
      </c>
      <c r="O607" t="s" s="11">
        <v>5351</v>
      </c>
      <c r="P607" t="s" s="11">
        <v>34</v>
      </c>
      <c r="Q607" t="s" s="11">
        <v>34</v>
      </c>
      <c r="R607" t="s" s="11">
        <v>5352</v>
      </c>
      <c r="S607" t="s" s="11">
        <v>34</v>
      </c>
      <c r="T607" t="s" s="13">
        <v>5353</v>
      </c>
      <c r="U607" t="s" s="11">
        <v>5354</v>
      </c>
      <c r="V607" t="s" s="13">
        <v>34</v>
      </c>
      <c r="W607" t="s" s="11">
        <v>5355</v>
      </c>
      <c r="X607" s="17">
        <f>HYPERLINK("https://my.pitchbook.com?p=442596-88P", "View People Online")</f>
      </c>
    </row>
    <row r="608">
      <c r="A608" t="s" s="10">
        <v>5356</v>
      </c>
      <c r="B608" t="s" s="10">
        <v>5357</v>
      </c>
      <c r="C608" t="s" s="10">
        <v>34</v>
      </c>
      <c r="D608" t="s" s="10">
        <v>4854</v>
      </c>
      <c r="E608" t="s" s="10">
        <v>3715</v>
      </c>
      <c r="F608" t="s" s="10">
        <v>5358</v>
      </c>
      <c r="G608" t="s" s="10">
        <v>141</v>
      </c>
      <c r="H608" s="16">
        <f>HYPERLINK("http://www.westlakeroyalbuildingproducts.com", "www.westlakeroyalbuildingproducts.com")</f>
      </c>
      <c r="I608" t="s" s="10">
        <v>234</v>
      </c>
      <c r="J608" t="s" s="24">
        <v>34</v>
      </c>
      <c r="K608" t="s" s="24">
        <v>34</v>
      </c>
      <c r="L608" t="s" s="24">
        <v>34</v>
      </c>
      <c r="M608" t="s" s="12">
        <v>34</v>
      </c>
      <c r="N608" t="s" s="10">
        <v>34</v>
      </c>
      <c r="O608" t="s" s="10">
        <v>34</v>
      </c>
      <c r="P608" t="s" s="10">
        <v>34</v>
      </c>
      <c r="Q608" t="s" s="10">
        <v>34</v>
      </c>
      <c r="R608" t="s" s="10">
        <v>34</v>
      </c>
      <c r="S608" t="s" s="10">
        <v>34</v>
      </c>
      <c r="T608" t="s" s="12">
        <v>34</v>
      </c>
      <c r="U608" t="s" s="10">
        <v>34</v>
      </c>
      <c r="V608" t="s" s="12">
        <v>34</v>
      </c>
      <c r="W608" t="s" s="10">
        <v>5359</v>
      </c>
      <c r="X608" s="16">
        <f>HYPERLINK("https://my.pitchbook.com?p=49246-66P", "View People Online")</f>
      </c>
    </row>
    <row r="609">
      <c r="A609" t="s" s="11">
        <v>5360</v>
      </c>
      <c r="B609" t="s" s="11">
        <v>5361</v>
      </c>
      <c r="C609" t="s" s="11">
        <v>34</v>
      </c>
      <c r="D609" t="s" s="11">
        <v>3935</v>
      </c>
      <c r="E609" t="s" s="11">
        <v>3715</v>
      </c>
      <c r="F609" t="s" s="11">
        <v>5362</v>
      </c>
      <c r="G609" t="s" s="11">
        <v>141</v>
      </c>
      <c r="H609" s="17">
        <f>HYPERLINK("http://www.ihcgroup.com", "www.ihcgroup.com")</f>
      </c>
      <c r="I609" t="s" s="11">
        <v>649</v>
      </c>
      <c r="J609" t="s" s="25">
        <v>34</v>
      </c>
      <c r="K609" t="s" s="25">
        <v>34</v>
      </c>
      <c r="L609" t="s" s="25">
        <v>34</v>
      </c>
      <c r="M609" t="s" s="13">
        <v>34</v>
      </c>
      <c r="N609" t="s" s="11">
        <v>34</v>
      </c>
      <c r="O609" t="s" s="11">
        <v>34</v>
      </c>
      <c r="P609" t="s" s="11">
        <v>34</v>
      </c>
      <c r="Q609" t="s" s="11">
        <v>34</v>
      </c>
      <c r="R609" t="s" s="11">
        <v>34</v>
      </c>
      <c r="S609" t="s" s="11">
        <v>34</v>
      </c>
      <c r="T609" t="s" s="13">
        <v>34</v>
      </c>
      <c r="U609" t="s" s="11">
        <v>34</v>
      </c>
      <c r="V609" t="s" s="13">
        <v>34</v>
      </c>
      <c r="W609" t="s" s="11">
        <v>5363</v>
      </c>
      <c r="X609" s="17">
        <f>HYPERLINK("https://my.pitchbook.com?p=281492-65P", "View People Online")</f>
      </c>
    </row>
    <row r="610">
      <c r="A610" t="s" s="10">
        <v>5364</v>
      </c>
      <c r="B610" t="s" s="10">
        <v>5365</v>
      </c>
      <c r="C610" t="s" s="10">
        <v>34</v>
      </c>
      <c r="D610" t="s" s="10">
        <v>3725</v>
      </c>
      <c r="E610" t="s" s="10">
        <v>3715</v>
      </c>
      <c r="F610" t="s" s="10">
        <v>5366</v>
      </c>
      <c r="G610" t="s" s="10">
        <v>5367</v>
      </c>
      <c r="H610" s="16">
        <f>HYPERLINK("http://www.royalihc.com", "www.royalihc.com")</f>
      </c>
      <c r="I610" t="s" s="10">
        <v>322</v>
      </c>
      <c r="J610" t="s" s="24">
        <v>34</v>
      </c>
      <c r="K610" t="s" s="24">
        <v>34</v>
      </c>
      <c r="L610" t="s" s="24">
        <v>34</v>
      </c>
      <c r="M610" t="s" s="12">
        <v>34</v>
      </c>
      <c r="N610" t="s" s="10">
        <v>34</v>
      </c>
      <c r="O610" t="s" s="10">
        <v>34</v>
      </c>
      <c r="P610" t="s" s="10">
        <v>34</v>
      </c>
      <c r="Q610" t="s" s="10">
        <v>34</v>
      </c>
      <c r="R610" t="s" s="10">
        <v>34</v>
      </c>
      <c r="S610" t="s" s="10">
        <v>34</v>
      </c>
      <c r="T610" t="s" s="12">
        <v>34</v>
      </c>
      <c r="U610" t="s" s="10">
        <v>34</v>
      </c>
      <c r="V610" t="s" s="12">
        <v>34</v>
      </c>
      <c r="W610" t="s" s="10">
        <v>5368</v>
      </c>
      <c r="X610" s="16">
        <f>HYPERLINK("https://my.pitchbook.com?p=198761-95P", "View People Online")</f>
      </c>
    </row>
    <row r="611">
      <c r="A611" t="s" s="11">
        <v>5369</v>
      </c>
      <c r="B611" t="s" s="11">
        <v>5370</v>
      </c>
      <c r="C611" t="s" s="11">
        <v>34</v>
      </c>
      <c r="D611" t="s" s="11">
        <v>5371</v>
      </c>
      <c r="E611" t="s" s="11">
        <v>3715</v>
      </c>
      <c r="F611" t="s" s="11">
        <v>5372</v>
      </c>
      <c r="G611" t="s" s="11">
        <v>5373</v>
      </c>
      <c r="H611" s="17">
        <f>HYPERLINK("http://www.avanci.com", "www.avanci.com")</f>
      </c>
      <c r="I611" t="s" s="11">
        <v>5375</v>
      </c>
      <c r="J611" t="s" s="25">
        <v>34</v>
      </c>
      <c r="K611" s="25">
        <v>1</v>
      </c>
      <c r="L611" t="s" s="25">
        <v>34</v>
      </c>
      <c r="M611" t="s" s="13">
        <v>5376</v>
      </c>
      <c r="N611" t="s" s="11">
        <v>5377</v>
      </c>
      <c r="O611" t="s" s="11">
        <v>5378</v>
      </c>
      <c r="P611" t="s" s="11">
        <v>5379</v>
      </c>
      <c r="Q611" t="s" s="11">
        <v>5380</v>
      </c>
      <c r="R611" t="s" s="11">
        <v>5381</v>
      </c>
      <c r="S611" t="s" s="11">
        <v>225</v>
      </c>
      <c r="T611" t="s" s="13">
        <v>5382</v>
      </c>
      <c r="U611" t="s" s="11">
        <v>88</v>
      </c>
      <c r="V611" t="s" s="13">
        <v>34</v>
      </c>
      <c r="W611" t="s" s="11">
        <v>5383</v>
      </c>
      <c r="X611" s="17">
        <f>HYPERLINK("https://my.pitchbook.com?p=469770-22P", "View People Online")</f>
      </c>
    </row>
    <row r="612">
      <c r="A612" t="s" s="10">
        <v>5384</v>
      </c>
      <c r="B612" t="s" s="10">
        <v>5385</v>
      </c>
      <c r="C612" t="s" s="10">
        <v>34</v>
      </c>
      <c r="D612" t="s" s="10">
        <v>5386</v>
      </c>
      <c r="E612" t="s" s="10">
        <v>3715</v>
      </c>
      <c r="F612" t="s" s="10">
        <v>5387</v>
      </c>
      <c r="G612" t="s" s="10">
        <v>640</v>
      </c>
      <c r="H612" s="16">
        <f>HYPERLINK("http://inl.gov", "inl.gov")</f>
      </c>
      <c r="I612" t="s" s="10">
        <v>5389</v>
      </c>
      <c r="J612" t="s" s="24">
        <v>34</v>
      </c>
      <c r="K612" s="24">
        <v>1</v>
      </c>
      <c r="L612" t="s" s="24">
        <v>34</v>
      </c>
      <c r="M612" t="s" s="12">
        <v>5390</v>
      </c>
      <c r="N612" t="s" s="10">
        <v>5391</v>
      </c>
      <c r="O612" t="s" s="10">
        <v>5392</v>
      </c>
      <c r="P612" t="s" s="10">
        <v>5393</v>
      </c>
      <c r="Q612" t="s" s="10">
        <v>34</v>
      </c>
      <c r="R612" t="s" s="10">
        <v>5394</v>
      </c>
      <c r="S612" t="s" s="10">
        <v>5395</v>
      </c>
      <c r="T612" t="s" s="12">
        <v>5396</v>
      </c>
      <c r="U612" t="s" s="10">
        <v>88</v>
      </c>
      <c r="V612" t="s" s="12">
        <v>34</v>
      </c>
      <c r="W612" t="s" s="10">
        <v>5397</v>
      </c>
      <c r="X612" s="16">
        <f>HYPERLINK("https://my.pitchbook.com?p=259303-87P", "View People Online")</f>
      </c>
    </row>
    <row r="613">
      <c r="A613" t="s" s="11">
        <v>5398</v>
      </c>
      <c r="B613" t="s" s="11">
        <v>5399</v>
      </c>
      <c r="C613" t="s" s="11">
        <v>34</v>
      </c>
      <c r="D613" t="s" s="11">
        <v>3802</v>
      </c>
      <c r="E613" t="s" s="11">
        <v>3715</v>
      </c>
      <c r="F613" t="s" s="11">
        <v>5400</v>
      </c>
      <c r="G613" t="s" s="11">
        <v>1887</v>
      </c>
      <c r="H613" s="17">
        <f>HYPERLINK("http://www.qatarluxurygroup.com", "www.qatarluxurygroup.com")</f>
      </c>
      <c r="I613" t="s" s="11">
        <v>5401</v>
      </c>
      <c r="J613" t="s" s="25">
        <v>34</v>
      </c>
      <c r="K613" t="s" s="25">
        <v>34</v>
      </c>
      <c r="L613" t="s" s="25">
        <v>34</v>
      </c>
      <c r="M613" t="s" s="13">
        <v>34</v>
      </c>
      <c r="N613" t="s" s="11">
        <v>34</v>
      </c>
      <c r="O613" t="s" s="11">
        <v>34</v>
      </c>
      <c r="P613" t="s" s="11">
        <v>34</v>
      </c>
      <c r="Q613" t="s" s="11">
        <v>34</v>
      </c>
      <c r="R613" t="s" s="11">
        <v>34</v>
      </c>
      <c r="S613" t="s" s="11">
        <v>34</v>
      </c>
      <c r="T613" t="s" s="13">
        <v>34</v>
      </c>
      <c r="U613" t="s" s="11">
        <v>34</v>
      </c>
      <c r="V613" t="s" s="13">
        <v>34</v>
      </c>
      <c r="W613" t="s" s="11">
        <v>5402</v>
      </c>
      <c r="X613" s="17">
        <f>HYPERLINK("https://my.pitchbook.com?p=63430-12P", "View People Online")</f>
      </c>
    </row>
    <row r="614">
      <c r="A614" t="s" s="10">
        <v>5403</v>
      </c>
      <c r="B614" t="s" s="10">
        <v>5404</v>
      </c>
      <c r="C614" t="s" s="10">
        <v>34</v>
      </c>
      <c r="D614" t="s" s="10">
        <v>5405</v>
      </c>
      <c r="E614" t="s" s="10">
        <v>3715</v>
      </c>
      <c r="F614" t="s" s="10">
        <v>5406</v>
      </c>
      <c r="G614" t="s" s="10">
        <v>1887</v>
      </c>
      <c r="H614" s="16">
        <f>HYPERLINK("http://www.domusvigroup.com", "www.domusvigroup.com")</f>
      </c>
      <c r="I614" t="s" s="10">
        <v>322</v>
      </c>
      <c r="J614" t="s" s="24">
        <v>34</v>
      </c>
      <c r="K614" t="s" s="24">
        <v>34</v>
      </c>
      <c r="L614" t="s" s="24">
        <v>34</v>
      </c>
      <c r="M614" t="s" s="12">
        <v>34</v>
      </c>
      <c r="N614" t="s" s="10">
        <v>34</v>
      </c>
      <c r="O614" t="s" s="10">
        <v>34</v>
      </c>
      <c r="P614" t="s" s="10">
        <v>34</v>
      </c>
      <c r="Q614" t="s" s="10">
        <v>34</v>
      </c>
      <c r="R614" t="s" s="10">
        <v>34</v>
      </c>
      <c r="S614" t="s" s="10">
        <v>34</v>
      </c>
      <c r="T614" t="s" s="12">
        <v>34</v>
      </c>
      <c r="U614" t="s" s="10">
        <v>34</v>
      </c>
      <c r="V614" t="s" s="12">
        <v>34</v>
      </c>
      <c r="W614" t="s" s="10">
        <v>5408</v>
      </c>
      <c r="X614" s="16">
        <f>HYPERLINK("https://my.pitchbook.com?p=69359-32P", "View People Online")</f>
      </c>
    </row>
    <row r="615">
      <c r="A615" t="s" s="11">
        <v>5409</v>
      </c>
      <c r="B615" t="s" s="11">
        <v>5410</v>
      </c>
      <c r="C615" t="s" s="11">
        <v>34</v>
      </c>
      <c r="D615" t="s" s="11">
        <v>4312</v>
      </c>
      <c r="E615" t="s" s="11">
        <v>3715</v>
      </c>
      <c r="F615" t="s" s="11">
        <v>5411</v>
      </c>
      <c r="G615" t="s" s="11">
        <v>5412</v>
      </c>
      <c r="H615" s="17">
        <f>HYPERLINK("http://www.albiorex.com", "www.albiorex.com")</f>
      </c>
      <c r="I615" t="s" s="11">
        <v>5413</v>
      </c>
      <c r="J615" t="s" s="25">
        <v>34</v>
      </c>
      <c r="K615" t="s" s="25">
        <v>34</v>
      </c>
      <c r="L615" t="s" s="25">
        <v>34</v>
      </c>
      <c r="M615" t="s" s="13">
        <v>34</v>
      </c>
      <c r="N615" t="s" s="11">
        <v>34</v>
      </c>
      <c r="O615" t="s" s="11">
        <v>34</v>
      </c>
      <c r="P615" t="s" s="11">
        <v>34</v>
      </c>
      <c r="Q615" t="s" s="11">
        <v>34</v>
      </c>
      <c r="R615" t="s" s="11">
        <v>34</v>
      </c>
      <c r="S615" t="s" s="11">
        <v>34</v>
      </c>
      <c r="T615" t="s" s="13">
        <v>34</v>
      </c>
      <c r="U615" t="s" s="11">
        <v>34</v>
      </c>
      <c r="V615" t="s" s="13">
        <v>34</v>
      </c>
      <c r="W615" t="s" s="11">
        <v>5414</v>
      </c>
      <c r="X615" s="17">
        <f>HYPERLINK("https://my.pitchbook.com?p=112888-18P", "View People Online")</f>
      </c>
    </row>
    <row r="616">
      <c r="A616" t="s" s="10">
        <v>5415</v>
      </c>
      <c r="B616" t="s" s="10">
        <v>5416</v>
      </c>
      <c r="C616" t="s" s="10">
        <v>34</v>
      </c>
      <c r="D616" t="s" s="10">
        <v>5417</v>
      </c>
      <c r="E616" t="s" s="10">
        <v>3715</v>
      </c>
      <c r="F616" t="s" s="10">
        <v>5418</v>
      </c>
      <c r="G616" t="s" s="10">
        <v>347</v>
      </c>
      <c r="H616" s="16">
        <f>HYPERLINK("http://www.foundationmedicine.com", "www.foundationmedicine.com")</f>
      </c>
      <c r="I616" t="s" s="10">
        <v>5420</v>
      </c>
      <c r="J616" t="s" s="24">
        <v>34</v>
      </c>
      <c r="K616" s="24">
        <v>1</v>
      </c>
      <c r="L616" t="s" s="24">
        <v>34</v>
      </c>
      <c r="M616" t="s" s="12">
        <v>5421</v>
      </c>
      <c r="N616" t="s" s="10">
        <v>5422</v>
      </c>
      <c r="O616" t="s" s="10">
        <v>5423</v>
      </c>
      <c r="P616" t="s" s="10">
        <v>5424</v>
      </c>
      <c r="Q616" t="s" s="10">
        <v>34</v>
      </c>
      <c r="R616" t="s" s="10">
        <v>5425</v>
      </c>
      <c r="S616" t="s" s="10">
        <v>5426</v>
      </c>
      <c r="T616" t="s" s="12">
        <v>5427</v>
      </c>
      <c r="U616" t="s" s="10">
        <v>88</v>
      </c>
      <c r="V616" t="s" s="12">
        <v>5428</v>
      </c>
      <c r="W616" t="s" s="10">
        <v>5429</v>
      </c>
      <c r="X616" s="16">
        <f>HYPERLINK("https://my.pitchbook.com?p=43453-09P", "View People Online")</f>
      </c>
    </row>
    <row r="617">
      <c r="A617" t="s" s="11">
        <v>5430</v>
      </c>
      <c r="B617" t="s" s="11">
        <v>5431</v>
      </c>
      <c r="C617" t="s" s="11">
        <v>34</v>
      </c>
      <c r="D617" t="s" s="11">
        <v>5432</v>
      </c>
      <c r="E617" t="s" s="11">
        <v>3715</v>
      </c>
      <c r="F617" t="s" s="11">
        <v>5433</v>
      </c>
      <c r="G617" t="s" s="11">
        <v>5434</v>
      </c>
      <c r="H617" s="17">
        <f>HYPERLINK("http://www.guestnetix.com", "www.guestnetix.com")</f>
      </c>
      <c r="I617" t="s" s="11">
        <v>34</v>
      </c>
      <c r="J617" t="s" s="25">
        <v>34</v>
      </c>
      <c r="K617" t="s" s="25">
        <v>34</v>
      </c>
      <c r="L617" t="s" s="25">
        <v>34</v>
      </c>
      <c r="M617" t="s" s="13">
        <v>34</v>
      </c>
      <c r="N617" t="s" s="11">
        <v>34</v>
      </c>
      <c r="O617" t="s" s="11">
        <v>34</v>
      </c>
      <c r="P617" t="s" s="11">
        <v>34</v>
      </c>
      <c r="Q617" t="s" s="11">
        <v>34</v>
      </c>
      <c r="R617" t="s" s="11">
        <v>34</v>
      </c>
      <c r="S617" t="s" s="11">
        <v>34</v>
      </c>
      <c r="T617" t="s" s="13">
        <v>34</v>
      </c>
      <c r="U617" t="s" s="11">
        <v>34</v>
      </c>
      <c r="V617" t="s" s="13">
        <v>34</v>
      </c>
      <c r="W617" t="s" s="11">
        <v>5436</v>
      </c>
      <c r="X617" s="17">
        <f>HYPERLINK("https://my.pitchbook.com?p=121216-06P", "View People Online")</f>
      </c>
    </row>
    <row r="618">
      <c r="A618" t="s" s="10">
        <v>5437</v>
      </c>
      <c r="B618" t="s" s="10">
        <v>5438</v>
      </c>
      <c r="C618" t="s" s="10">
        <v>34</v>
      </c>
      <c r="D618" t="s" s="10">
        <v>5439</v>
      </c>
      <c r="E618" t="s" s="10">
        <v>3715</v>
      </c>
      <c r="F618" t="s" s="10">
        <v>5440</v>
      </c>
      <c r="G618" t="s" s="10">
        <v>5441</v>
      </c>
      <c r="H618" s="16">
        <f>HYPERLINK("http://www.attema.com", "www.attema.com")</f>
      </c>
      <c r="I618" t="s" s="10">
        <v>5443</v>
      </c>
      <c r="J618" t="s" s="24">
        <v>34</v>
      </c>
      <c r="K618" s="24">
        <v>1</v>
      </c>
      <c r="L618" t="s" s="24">
        <v>34</v>
      </c>
      <c r="M618" t="s" s="12">
        <v>5444</v>
      </c>
      <c r="N618" t="s" s="10">
        <v>5445</v>
      </c>
      <c r="O618" t="s" s="10">
        <v>5446</v>
      </c>
      <c r="P618" t="s" s="10">
        <v>5447</v>
      </c>
      <c r="Q618" t="s" s="10">
        <v>34</v>
      </c>
      <c r="R618" t="s" s="10">
        <v>5448</v>
      </c>
      <c r="S618" t="s" s="10">
        <v>34</v>
      </c>
      <c r="T618" t="s" s="12">
        <v>5449</v>
      </c>
      <c r="U618" t="s" s="10">
        <v>103</v>
      </c>
      <c r="V618" t="s" s="12">
        <v>34</v>
      </c>
      <c r="W618" t="s" s="10">
        <v>5450</v>
      </c>
      <c r="X618" s="16">
        <f>HYPERLINK("https://my.pitchbook.com?p=468985-87P", "View People Online")</f>
      </c>
    </row>
    <row r="619">
      <c r="A619" t="s" s="11">
        <v>5451</v>
      </c>
      <c r="B619" t="s" s="11">
        <v>5452</v>
      </c>
      <c r="C619" t="s" s="11">
        <v>34</v>
      </c>
      <c r="D619" t="s" s="11">
        <v>5453</v>
      </c>
      <c r="E619" t="s" s="11">
        <v>3715</v>
      </c>
      <c r="F619" t="s" s="11">
        <v>3173</v>
      </c>
      <c r="G619" t="s" s="11">
        <v>5454</v>
      </c>
      <c r="H619" s="17">
        <f>HYPERLINK("http://www.singlera.com.cn", "www.singlera.com.cn")</f>
      </c>
      <c r="I619" t="s" s="11">
        <v>5456</v>
      </c>
      <c r="J619" t="s" s="25">
        <v>34</v>
      </c>
      <c r="K619" s="25">
        <v>1</v>
      </c>
      <c r="L619" t="s" s="25">
        <v>34</v>
      </c>
      <c r="M619" t="s" s="13">
        <v>5457</v>
      </c>
      <c r="N619" t="s" s="11">
        <v>5458</v>
      </c>
      <c r="O619" t="s" s="11">
        <v>5459</v>
      </c>
      <c r="P619" t="s" s="11">
        <v>5460</v>
      </c>
      <c r="Q619" t="s" s="11">
        <v>5461</v>
      </c>
      <c r="R619" t="s" s="11">
        <v>5462</v>
      </c>
      <c r="S619" t="s" s="11">
        <v>5463</v>
      </c>
      <c r="T619" t="s" s="13">
        <v>5464</v>
      </c>
      <c r="U619" t="s" s="11">
        <v>5013</v>
      </c>
      <c r="V619" t="s" s="13">
        <v>5465</v>
      </c>
      <c r="W619" t="s" s="11">
        <v>5466</v>
      </c>
      <c r="X619" s="17">
        <f>HYPERLINK("https://my.pitchbook.com?p=143306-47P", "View People Online")</f>
      </c>
    </row>
    <row r="620">
      <c r="A620" t="s" s="10">
        <v>5467</v>
      </c>
      <c r="B620" t="s" s="10">
        <v>5468</v>
      </c>
      <c r="C620" t="s" s="10">
        <v>34</v>
      </c>
      <c r="D620" t="s" s="10">
        <v>5469</v>
      </c>
      <c r="E620" t="s" s="10">
        <v>3715</v>
      </c>
      <c r="F620" t="s" s="10">
        <v>5470</v>
      </c>
      <c r="G620" t="s" s="10">
        <v>1369</v>
      </c>
      <c r="H620" s="16">
        <f>HYPERLINK("http://www.tvn.pl", "www.tvn.pl")</f>
      </c>
      <c r="I620" t="s" s="10">
        <v>322</v>
      </c>
      <c r="J620" t="s" s="24">
        <v>34</v>
      </c>
      <c r="K620" s="24">
        <v>2</v>
      </c>
      <c r="L620" s="24">
        <v>2</v>
      </c>
      <c r="M620" t="s" s="12">
        <v>34</v>
      </c>
      <c r="N620" t="s" s="10">
        <v>34</v>
      </c>
      <c r="O620" t="s" s="10">
        <v>34</v>
      </c>
      <c r="P620" t="s" s="10">
        <v>34</v>
      </c>
      <c r="Q620" t="s" s="10">
        <v>34</v>
      </c>
      <c r="R620" t="s" s="10">
        <v>34</v>
      </c>
      <c r="S620" t="s" s="10">
        <v>34</v>
      </c>
      <c r="T620" t="s" s="12">
        <v>34</v>
      </c>
      <c r="U620" t="s" s="10">
        <v>34</v>
      </c>
      <c r="V620" t="s" s="12">
        <v>34</v>
      </c>
      <c r="W620" t="s" s="10">
        <v>5472</v>
      </c>
      <c r="X620" s="16">
        <f>HYPERLINK("https://my.pitchbook.com?p=148886-47P", "View People Online")</f>
      </c>
    </row>
    <row r="621">
      <c r="A621" t="s" s="11">
        <v>5473</v>
      </c>
      <c r="B621" t="s" s="11">
        <v>5474</v>
      </c>
      <c r="C621" t="s" s="11">
        <v>34</v>
      </c>
      <c r="D621" t="s" s="11">
        <v>5475</v>
      </c>
      <c r="E621" t="s" s="11">
        <v>3715</v>
      </c>
      <c r="F621" t="s" s="11">
        <v>5476</v>
      </c>
      <c r="G621" t="s" s="11">
        <v>5477</v>
      </c>
      <c r="H621" s="17">
        <f>HYPERLINK("http://www.ihcrisksolutions.com", "www.ihcrisksolutions.com")</f>
      </c>
      <c r="I621" t="s" s="11">
        <v>5479</v>
      </c>
      <c r="J621" t="s" s="25">
        <v>34</v>
      </c>
      <c r="K621" t="s" s="25">
        <v>34</v>
      </c>
      <c r="L621" t="s" s="25">
        <v>34</v>
      </c>
      <c r="M621" t="s" s="13">
        <v>34</v>
      </c>
      <c r="N621" t="s" s="11">
        <v>34</v>
      </c>
      <c r="O621" t="s" s="11">
        <v>34</v>
      </c>
      <c r="P621" t="s" s="11">
        <v>34</v>
      </c>
      <c r="Q621" t="s" s="11">
        <v>34</v>
      </c>
      <c r="R621" t="s" s="11">
        <v>34</v>
      </c>
      <c r="S621" t="s" s="11">
        <v>34</v>
      </c>
      <c r="T621" t="s" s="13">
        <v>34</v>
      </c>
      <c r="U621" t="s" s="11">
        <v>34</v>
      </c>
      <c r="V621" t="s" s="13">
        <v>34</v>
      </c>
      <c r="W621" t="s" s="11">
        <v>5480</v>
      </c>
      <c r="X621" s="17">
        <f>HYPERLINK("https://my.pitchbook.com?p=124456-24P", "View People Online")</f>
      </c>
    </row>
    <row r="622">
      <c r="A622" t="s" s="10">
        <v>5481</v>
      </c>
      <c r="B622" t="s" s="10">
        <v>5482</v>
      </c>
      <c r="C622" t="s" s="10">
        <v>34</v>
      </c>
      <c r="D622" t="s" s="10">
        <v>5483</v>
      </c>
      <c r="E622" t="s" s="10">
        <v>3715</v>
      </c>
      <c r="F622" t="s" s="10">
        <v>4470</v>
      </c>
      <c r="G622" t="s" s="10">
        <v>5484</v>
      </c>
      <c r="H622" s="16">
        <f>HYPERLINK("http://www.ihchytech.com", "www.ihchytech.com")</f>
      </c>
      <c r="I622" t="s" s="10">
        <v>369</v>
      </c>
      <c r="J622" t="s" s="24">
        <v>34</v>
      </c>
      <c r="K622" t="s" s="24">
        <v>34</v>
      </c>
      <c r="L622" t="s" s="24">
        <v>34</v>
      </c>
      <c r="M622" t="s" s="12">
        <v>34</v>
      </c>
      <c r="N622" t="s" s="10">
        <v>34</v>
      </c>
      <c r="O622" t="s" s="10">
        <v>34</v>
      </c>
      <c r="P622" t="s" s="10">
        <v>34</v>
      </c>
      <c r="Q622" t="s" s="10">
        <v>34</v>
      </c>
      <c r="R622" t="s" s="10">
        <v>34</v>
      </c>
      <c r="S622" t="s" s="10">
        <v>34</v>
      </c>
      <c r="T622" t="s" s="12">
        <v>34</v>
      </c>
      <c r="U622" t="s" s="10">
        <v>34</v>
      </c>
      <c r="V622" t="s" s="12">
        <v>34</v>
      </c>
      <c r="W622" t="s" s="10">
        <v>5486</v>
      </c>
      <c r="X622" s="16">
        <f>HYPERLINK("https://my.pitchbook.com?p=95952-07P", "View People Online")</f>
      </c>
    </row>
    <row r="623">
      <c r="A623" t="s" s="11">
        <v>5487</v>
      </c>
      <c r="B623" t="s" s="11">
        <v>3326</v>
      </c>
      <c r="C623" t="s" s="11">
        <v>34</v>
      </c>
      <c r="D623" t="s" s="11">
        <v>5488</v>
      </c>
      <c r="E623" t="s" s="11">
        <v>3715</v>
      </c>
      <c r="F623" t="s" s="11">
        <v>3328</v>
      </c>
      <c r="G623" t="s" s="11">
        <v>3329</v>
      </c>
      <c r="H623" s="17">
        <f>HYPERLINK("http://www.ricetec.com", "www.ricetec.com")</f>
      </c>
      <c r="I623" t="s" s="11">
        <v>649</v>
      </c>
      <c r="J623" s="25">
        <v>1</v>
      </c>
      <c r="K623" s="25">
        <v>7</v>
      </c>
      <c r="L623" s="25">
        <v>6</v>
      </c>
      <c r="M623" t="s" s="13">
        <v>5490</v>
      </c>
      <c r="N623" t="s" s="11">
        <v>34</v>
      </c>
      <c r="O623" t="s" s="11">
        <v>5491</v>
      </c>
      <c r="P623" t="s" s="11">
        <v>5492</v>
      </c>
      <c r="Q623" t="s" s="11">
        <v>34</v>
      </c>
      <c r="R623" t="s" s="11">
        <v>3964</v>
      </c>
      <c r="S623" t="s" s="11">
        <v>225</v>
      </c>
      <c r="T623" t="s" s="13">
        <v>5493</v>
      </c>
      <c r="U623" t="s" s="11">
        <v>88</v>
      </c>
      <c r="V623" t="s" s="13">
        <v>5494</v>
      </c>
      <c r="W623" t="s" s="11">
        <v>5495</v>
      </c>
      <c r="X623" s="17">
        <f>HYPERLINK("https://my.pitchbook.com?p=248055-58P", "View People Online")</f>
      </c>
    </row>
    <row r="624">
      <c r="A624" t="s" s="10">
        <v>5496</v>
      </c>
      <c r="B624" t="s" s="10">
        <v>5497</v>
      </c>
      <c r="C624" t="s" s="10">
        <v>34</v>
      </c>
      <c r="D624" t="s" s="10">
        <v>4212</v>
      </c>
      <c r="E624" t="s" s="10">
        <v>3715</v>
      </c>
      <c r="F624" t="s" s="10">
        <v>5498</v>
      </c>
      <c r="G624" t="s" s="10">
        <v>253</v>
      </c>
      <c r="H624" s="16">
        <f>HYPERLINK("http://www.theprinceofwales.ie", "www.theprinceofwales.ie")</f>
      </c>
      <c r="I624" t="s" s="10">
        <v>369</v>
      </c>
      <c r="J624" t="s" s="24">
        <v>34</v>
      </c>
      <c r="K624" s="24">
        <v>1</v>
      </c>
      <c r="L624" t="s" s="24">
        <v>34</v>
      </c>
      <c r="M624" t="s" s="12">
        <v>4216</v>
      </c>
      <c r="N624" t="s" s="10">
        <v>34</v>
      </c>
      <c r="O624" t="s" s="10">
        <v>4217</v>
      </c>
      <c r="P624" t="s" s="10">
        <v>4218</v>
      </c>
      <c r="Q624" t="s" s="10">
        <v>4219</v>
      </c>
      <c r="R624" t="s" s="10">
        <v>4220</v>
      </c>
      <c r="S624" t="s" s="10">
        <v>34</v>
      </c>
      <c r="T624" t="s" s="12">
        <v>4221</v>
      </c>
      <c r="U624" t="s" s="10">
        <v>4222</v>
      </c>
      <c r="V624" t="s" s="12">
        <v>34</v>
      </c>
      <c r="W624" t="s" s="10">
        <v>5499</v>
      </c>
      <c r="X624" s="16">
        <f>HYPERLINK("https://my.pitchbook.com?p=351915-67P", "View People Online")</f>
      </c>
    </row>
    <row r="625">
      <c r="A625" t="s" s="11">
        <v>5500</v>
      </c>
      <c r="B625" t="s" s="11">
        <v>5501</v>
      </c>
      <c r="C625" t="s" s="11">
        <v>34</v>
      </c>
      <c r="D625" t="s" s="11">
        <v>5502</v>
      </c>
      <c r="E625" t="s" s="11">
        <v>3715</v>
      </c>
      <c r="F625" t="s" s="11">
        <v>5503</v>
      </c>
      <c r="G625" t="s" s="11">
        <v>253</v>
      </c>
      <c r="H625" s="17">
        <f>HYPERLINK("http://www.healthecare.com.au", "www.healthecare.com.au")</f>
      </c>
      <c r="I625" t="s" s="11">
        <v>1358</v>
      </c>
      <c r="J625" t="s" s="25">
        <v>34</v>
      </c>
      <c r="K625" t="s" s="25">
        <v>34</v>
      </c>
      <c r="L625" t="s" s="25">
        <v>34</v>
      </c>
      <c r="M625" t="s" s="13">
        <v>34</v>
      </c>
      <c r="N625" t="s" s="11">
        <v>34</v>
      </c>
      <c r="O625" t="s" s="11">
        <v>34</v>
      </c>
      <c r="P625" t="s" s="11">
        <v>34</v>
      </c>
      <c r="Q625" t="s" s="11">
        <v>34</v>
      </c>
      <c r="R625" t="s" s="11">
        <v>34</v>
      </c>
      <c r="S625" t="s" s="11">
        <v>34</v>
      </c>
      <c r="T625" t="s" s="13">
        <v>34</v>
      </c>
      <c r="U625" t="s" s="11">
        <v>34</v>
      </c>
      <c r="V625" t="s" s="13">
        <v>34</v>
      </c>
      <c r="W625" t="s" s="11">
        <v>5505</v>
      </c>
      <c r="X625" s="17">
        <f>HYPERLINK("https://my.pitchbook.com?p=50260-24P", "View People Online")</f>
      </c>
    </row>
    <row r="626">
      <c r="A626" t="s" s="10">
        <v>5506</v>
      </c>
      <c r="B626" t="s" s="10">
        <v>5507</v>
      </c>
      <c r="C626" t="s" s="10">
        <v>34</v>
      </c>
      <c r="D626" t="s" s="10">
        <v>5508</v>
      </c>
      <c r="E626" t="s" s="10">
        <v>3715</v>
      </c>
      <c r="F626" t="s" s="10">
        <v>5509</v>
      </c>
      <c r="G626" t="s" s="10">
        <v>253</v>
      </c>
      <c r="H626" s="16">
        <f>HYPERLINK("http://www.alliantwealth.com", "www.alliantwealth.com")</f>
      </c>
      <c r="I626" t="s" s="10">
        <v>5511</v>
      </c>
      <c r="J626" t="s" s="24">
        <v>34</v>
      </c>
      <c r="K626" t="s" s="24">
        <v>34</v>
      </c>
      <c r="L626" t="s" s="24">
        <v>34</v>
      </c>
      <c r="M626" t="s" s="12">
        <v>5512</v>
      </c>
      <c r="N626" t="s" s="10">
        <v>34</v>
      </c>
      <c r="O626" t="s" s="10">
        <v>34</v>
      </c>
      <c r="P626" t="s" s="10">
        <v>34</v>
      </c>
      <c r="Q626" t="s" s="10">
        <v>34</v>
      </c>
      <c r="R626" t="s" s="10">
        <v>34</v>
      </c>
      <c r="S626" t="s" s="10">
        <v>34</v>
      </c>
      <c r="T626" t="s" s="12">
        <v>34</v>
      </c>
      <c r="U626" t="s" s="10">
        <v>34</v>
      </c>
      <c r="V626" t="s" s="12">
        <v>34</v>
      </c>
      <c r="W626" t="s" s="10">
        <v>5513</v>
      </c>
      <c r="X626" s="16">
        <f>HYPERLINK("https://my.pitchbook.com?p=307791-19P", "View People Online")</f>
      </c>
    </row>
    <row r="627">
      <c r="A627" t="s" s="11">
        <v>5514</v>
      </c>
      <c r="B627" t="s" s="11">
        <v>5515</v>
      </c>
      <c r="C627" t="s" s="11">
        <v>34</v>
      </c>
      <c r="D627" t="s" s="11">
        <v>5516</v>
      </c>
      <c r="E627" t="s" s="11">
        <v>3715</v>
      </c>
      <c r="F627" t="s" s="11">
        <v>5517</v>
      </c>
      <c r="G627" t="s" s="11">
        <v>253</v>
      </c>
      <c r="H627" s="17">
        <f>HYPERLINK("http://www.powerprecise.com", "www.powerprecise.com")</f>
      </c>
      <c r="I627" t="s" s="11">
        <v>5519</v>
      </c>
      <c r="J627" t="s" s="25">
        <v>34</v>
      </c>
      <c r="K627" t="s" s="25">
        <v>34</v>
      </c>
      <c r="L627" t="s" s="25">
        <v>34</v>
      </c>
      <c r="M627" t="s" s="13">
        <v>34</v>
      </c>
      <c r="N627" t="s" s="11">
        <v>34</v>
      </c>
      <c r="O627" t="s" s="11">
        <v>34</v>
      </c>
      <c r="P627" t="s" s="11">
        <v>34</v>
      </c>
      <c r="Q627" t="s" s="11">
        <v>34</v>
      </c>
      <c r="R627" t="s" s="11">
        <v>34</v>
      </c>
      <c r="S627" t="s" s="11">
        <v>34</v>
      </c>
      <c r="T627" t="s" s="13">
        <v>34</v>
      </c>
      <c r="U627" t="s" s="11">
        <v>34</v>
      </c>
      <c r="V627" t="s" s="13">
        <v>34</v>
      </c>
      <c r="W627" t="s" s="11">
        <v>5520</v>
      </c>
      <c r="X627" s="17">
        <f>HYPERLINK("https://my.pitchbook.com?p=42064-03P", "View People Online")</f>
      </c>
    </row>
    <row r="628">
      <c r="A628" t="s" s="10">
        <v>5521</v>
      </c>
      <c r="B628" t="s" s="10">
        <v>5522</v>
      </c>
      <c r="C628" t="s" s="10">
        <v>34</v>
      </c>
      <c r="D628" t="s" s="10">
        <v>5523</v>
      </c>
      <c r="E628" t="s" s="10">
        <v>3715</v>
      </c>
      <c r="F628" t="s" s="10">
        <v>5524</v>
      </c>
      <c r="G628" t="s" s="10">
        <v>253</v>
      </c>
      <c r="H628" s="16">
        <f>HYPERLINK("http://www.buzzgroupltd.co.uk", "www.buzzgroupltd.co.uk")</f>
      </c>
      <c r="I628" t="s" s="10">
        <v>2321</v>
      </c>
      <c r="J628" s="24">
        <v>1</v>
      </c>
      <c r="K628" s="24">
        <v>2</v>
      </c>
      <c r="L628" s="24">
        <v>1</v>
      </c>
      <c r="M628" t="s" s="12">
        <v>34</v>
      </c>
      <c r="N628" t="s" s="10">
        <v>34</v>
      </c>
      <c r="O628" t="s" s="10">
        <v>2298</v>
      </c>
      <c r="P628" t="s" s="10">
        <v>5526</v>
      </c>
      <c r="Q628" t="s" s="10">
        <v>5527</v>
      </c>
      <c r="R628" t="s" s="10">
        <v>2299</v>
      </c>
      <c r="S628" t="s" s="10">
        <v>47</v>
      </c>
      <c r="T628" t="s" s="12">
        <v>5528</v>
      </c>
      <c r="U628" t="s" s="10">
        <v>49</v>
      </c>
      <c r="V628" t="s" s="12">
        <v>34</v>
      </c>
      <c r="W628" t="s" s="10">
        <v>5529</v>
      </c>
      <c r="X628" s="16">
        <f>HYPERLINK("https://my.pitchbook.com?p=32038-75P", "View People Online")</f>
      </c>
    </row>
    <row r="629">
      <c r="A629" t="s" s="11">
        <v>5530</v>
      </c>
      <c r="B629" t="s" s="11">
        <v>5531</v>
      </c>
      <c r="C629" t="s" s="11">
        <v>34</v>
      </c>
      <c r="D629" t="s" s="11">
        <v>5190</v>
      </c>
      <c r="E629" t="s" s="11">
        <v>3715</v>
      </c>
      <c r="F629" t="s" s="11">
        <v>5532</v>
      </c>
      <c r="G629" t="s" s="11">
        <v>253</v>
      </c>
      <c r="H629" t="s" s="11">
        <v>34</v>
      </c>
      <c r="I629" t="s" s="11">
        <v>1346</v>
      </c>
      <c r="J629" t="s" s="25">
        <v>34</v>
      </c>
      <c r="K629" s="25">
        <v>1</v>
      </c>
      <c r="L629" t="s" s="25">
        <v>34</v>
      </c>
      <c r="M629" t="s" s="13">
        <v>34</v>
      </c>
      <c r="N629" t="s" s="11">
        <v>34</v>
      </c>
      <c r="O629" t="s" s="11">
        <v>528</v>
      </c>
      <c r="P629" t="s" s="11">
        <v>34</v>
      </c>
      <c r="Q629" t="s" s="11">
        <v>34</v>
      </c>
      <c r="R629" t="s" s="11">
        <v>34</v>
      </c>
      <c r="S629" t="s" s="11">
        <v>34</v>
      </c>
      <c r="T629" t="s" s="13">
        <v>34</v>
      </c>
      <c r="U629" t="s" s="11">
        <v>528</v>
      </c>
      <c r="V629" t="s" s="13">
        <v>34</v>
      </c>
      <c r="W629" t="s" s="11">
        <v>5533</v>
      </c>
      <c r="X629" s="17">
        <f>HYPERLINK("https://my.pitchbook.com?p=358858-99P", "View People Online")</f>
      </c>
    </row>
    <row r="630">
      <c r="A630" t="s" s="10">
        <v>5534</v>
      </c>
      <c r="B630" t="s" s="10">
        <v>5535</v>
      </c>
      <c r="C630" t="s" s="10">
        <v>34</v>
      </c>
      <c r="D630" t="s" s="10">
        <v>5536</v>
      </c>
      <c r="E630" t="s" s="10">
        <v>3715</v>
      </c>
      <c r="F630" t="s" s="10">
        <v>5537</v>
      </c>
      <c r="G630" t="s" s="10">
        <v>253</v>
      </c>
      <c r="H630" s="16">
        <f>HYPERLINK("http://www.unipart.com", "www.unipart.com")</f>
      </c>
      <c r="I630" t="s" s="10">
        <v>5539</v>
      </c>
      <c r="J630" s="24">
        <v>1</v>
      </c>
      <c r="K630" s="24">
        <v>4</v>
      </c>
      <c r="L630" s="24">
        <v>3</v>
      </c>
      <c r="M630" t="s" s="12">
        <v>5540</v>
      </c>
      <c r="N630" t="s" s="10">
        <v>34</v>
      </c>
      <c r="O630" t="s" s="10">
        <v>3179</v>
      </c>
      <c r="P630" t="s" s="10">
        <v>5541</v>
      </c>
      <c r="Q630" t="s" s="10">
        <v>34</v>
      </c>
      <c r="R630" t="s" s="10">
        <v>3182</v>
      </c>
      <c r="S630" t="s" s="10">
        <v>3183</v>
      </c>
      <c r="T630" t="s" s="12">
        <v>5542</v>
      </c>
      <c r="U630" t="s" s="10">
        <v>49</v>
      </c>
      <c r="V630" t="s" s="12">
        <v>34</v>
      </c>
      <c r="W630" t="s" s="10">
        <v>5543</v>
      </c>
      <c r="X630" s="16">
        <f>HYPERLINK("https://my.pitchbook.com?p=61804-54P", "View People Online")</f>
      </c>
    </row>
    <row r="631">
      <c r="A631" t="s" s="11">
        <v>5544</v>
      </c>
      <c r="B631" t="s" s="11">
        <v>5545</v>
      </c>
      <c r="C631" t="s" s="11">
        <v>34</v>
      </c>
      <c r="D631" t="s" s="11">
        <v>4381</v>
      </c>
      <c r="E631" t="s" s="11">
        <v>3715</v>
      </c>
      <c r="F631" t="s" s="11">
        <v>4319</v>
      </c>
      <c r="G631" t="s" s="11">
        <v>253</v>
      </c>
      <c r="H631" s="17">
        <f>HYPERLINK("http://www.snicompanies.com", "www.snicompanies.com")</f>
      </c>
      <c r="I631" t="s" s="11">
        <v>322</v>
      </c>
      <c r="J631" t="s" s="25">
        <v>34</v>
      </c>
      <c r="K631" s="25">
        <v>1</v>
      </c>
      <c r="L631" t="s" s="25">
        <v>34</v>
      </c>
      <c r="M631" t="s" s="13">
        <v>4386</v>
      </c>
      <c r="N631" t="s" s="11">
        <v>34</v>
      </c>
      <c r="O631" t="s" s="11">
        <v>4388</v>
      </c>
      <c r="P631" t="s" s="11">
        <v>4389</v>
      </c>
      <c r="Q631" t="s" s="11">
        <v>4390</v>
      </c>
      <c r="R631" t="s" s="11">
        <v>4391</v>
      </c>
      <c r="S631" t="s" s="11">
        <v>2156</v>
      </c>
      <c r="T631" t="s" s="13">
        <v>4392</v>
      </c>
      <c r="U631" t="s" s="11">
        <v>88</v>
      </c>
      <c r="V631" t="s" s="13">
        <v>4393</v>
      </c>
      <c r="W631" t="s" s="11">
        <v>5546</v>
      </c>
      <c r="X631" s="17">
        <f>HYPERLINK("https://my.pitchbook.com?p=375730-30P", "View People Online")</f>
      </c>
    </row>
    <row r="632">
      <c r="A632" t="s" s="10">
        <v>5547</v>
      </c>
      <c r="B632" t="s" s="10">
        <v>5548</v>
      </c>
      <c r="C632" t="s" s="10">
        <v>34</v>
      </c>
      <c r="D632" t="s" s="10">
        <v>5549</v>
      </c>
      <c r="E632" t="s" s="10">
        <v>3715</v>
      </c>
      <c r="F632" t="s" s="10">
        <v>4319</v>
      </c>
      <c r="G632" t="s" s="10">
        <v>1911</v>
      </c>
      <c r="H632" s="16">
        <f>HYPERLINK("http://www.skylarkworks.com", "www.skylarkworks.com")</f>
      </c>
      <c r="I632" t="s" s="10">
        <v>5551</v>
      </c>
      <c r="J632" s="24">
        <v>1</v>
      </c>
      <c r="K632" s="24">
        <v>1</v>
      </c>
      <c r="L632" t="s" s="24">
        <v>34</v>
      </c>
      <c r="M632" t="s" s="12">
        <v>34</v>
      </c>
      <c r="N632" t="s" s="10">
        <v>34</v>
      </c>
      <c r="O632" t="s" s="10">
        <v>5552</v>
      </c>
      <c r="P632" t="s" s="10">
        <v>5553</v>
      </c>
      <c r="Q632" t="s" s="10">
        <v>5554</v>
      </c>
      <c r="R632" t="s" s="10">
        <v>5555</v>
      </c>
      <c r="S632" t="s" s="10">
        <v>47</v>
      </c>
      <c r="T632" t="s" s="12">
        <v>5556</v>
      </c>
      <c r="U632" t="s" s="10">
        <v>49</v>
      </c>
      <c r="V632" t="s" s="12">
        <v>34</v>
      </c>
      <c r="W632" t="s" s="10">
        <v>5557</v>
      </c>
      <c r="X632" s="16">
        <f>HYPERLINK("https://my.pitchbook.com?p=253988-65P", "View People Online")</f>
      </c>
    </row>
    <row r="633">
      <c r="A633" t="s" s="11">
        <v>5558</v>
      </c>
      <c r="B633" t="s" s="11">
        <v>5559</v>
      </c>
      <c r="C633" t="s" s="11">
        <v>34</v>
      </c>
      <c r="D633" t="s" s="11">
        <v>5560</v>
      </c>
      <c r="E633" t="s" s="11">
        <v>3715</v>
      </c>
      <c r="F633" t="s" s="11">
        <v>5284</v>
      </c>
      <c r="G633" t="s" s="11">
        <v>1084</v>
      </c>
      <c r="H633" s="17">
        <f>HYPERLINK("http://www.royaleijkelkamp.com", "www.royaleijkelkamp.com")</f>
      </c>
      <c r="I633" t="s" s="11">
        <v>5562</v>
      </c>
      <c r="J633" s="25">
        <v>1</v>
      </c>
      <c r="K633" s="25">
        <v>2</v>
      </c>
      <c r="L633" t="s" s="25">
        <v>34</v>
      </c>
      <c r="M633" t="s" s="13">
        <v>5563</v>
      </c>
      <c r="N633" t="s" s="11">
        <v>34</v>
      </c>
      <c r="O633" t="s" s="11">
        <v>5564</v>
      </c>
      <c r="P633" t="s" s="11">
        <v>5565</v>
      </c>
      <c r="Q633" t="s" s="11">
        <v>34</v>
      </c>
      <c r="R633" t="s" s="11">
        <v>5566</v>
      </c>
      <c r="S633" t="s" s="11">
        <v>34</v>
      </c>
      <c r="T633" t="s" s="13">
        <v>5567</v>
      </c>
      <c r="U633" t="s" s="11">
        <v>103</v>
      </c>
      <c r="V633" t="s" s="13">
        <v>34</v>
      </c>
      <c r="W633" t="s" s="11">
        <v>5568</v>
      </c>
      <c r="X633" s="17">
        <f>HYPERLINK("https://my.pitchbook.com?p=188576-56P", "View People Online")</f>
      </c>
    </row>
    <row r="634">
      <c r="A634" t="s" s="10">
        <v>5569</v>
      </c>
      <c r="B634" t="s" s="10">
        <v>5570</v>
      </c>
      <c r="C634" t="s" s="10">
        <v>34</v>
      </c>
      <c r="D634" t="s" s="10">
        <v>5571</v>
      </c>
      <c r="E634" t="s" s="10">
        <v>3715</v>
      </c>
      <c r="F634" t="s" s="10">
        <v>5572</v>
      </c>
      <c r="G634" t="s" s="10">
        <v>5573</v>
      </c>
      <c r="H634" s="16">
        <f>HYPERLINK("http://www.leemberg.nl", "www.leemberg.nl")</f>
      </c>
      <c r="I634" t="s" s="10">
        <v>5575</v>
      </c>
      <c r="J634" s="24">
        <v>1</v>
      </c>
      <c r="K634" s="24">
        <v>1</v>
      </c>
      <c r="L634" t="s" s="24">
        <v>34</v>
      </c>
      <c r="M634" t="s" s="12">
        <v>5576</v>
      </c>
      <c r="N634" t="s" s="10">
        <v>34</v>
      </c>
      <c r="O634" t="s" s="10">
        <v>5577</v>
      </c>
      <c r="P634" t="s" s="10">
        <v>5578</v>
      </c>
      <c r="Q634" t="s" s="10">
        <v>34</v>
      </c>
      <c r="R634" t="s" s="10">
        <v>5579</v>
      </c>
      <c r="S634" t="s" s="10">
        <v>34</v>
      </c>
      <c r="T634" t="s" s="12">
        <v>5580</v>
      </c>
      <c r="U634" t="s" s="10">
        <v>103</v>
      </c>
      <c r="V634" t="s" s="12">
        <v>5581</v>
      </c>
      <c r="W634" t="s" s="10">
        <v>5582</v>
      </c>
      <c r="X634" s="16">
        <f>HYPERLINK("https://my.pitchbook.com?p=249058-45P", "View People Online")</f>
      </c>
    </row>
    <row r="635">
      <c r="A635" t="s" s="11">
        <v>5583</v>
      </c>
      <c r="B635" t="s" s="11">
        <v>5584</v>
      </c>
      <c r="C635" t="s" s="11">
        <v>34</v>
      </c>
      <c r="D635" t="s" s="11">
        <v>5585</v>
      </c>
      <c r="E635" t="s" s="11">
        <v>3715</v>
      </c>
      <c r="F635" t="s" s="11">
        <v>5586</v>
      </c>
      <c r="G635" t="s" s="11">
        <v>3347</v>
      </c>
      <c r="H635" s="17">
        <f>HYPERLINK("http://www.unam.mx", "www.unam.mx")</f>
      </c>
      <c r="I635" t="s" s="11">
        <v>649</v>
      </c>
      <c r="J635" s="25">
        <v>1</v>
      </c>
      <c r="K635" s="25">
        <v>1</v>
      </c>
      <c r="L635" t="s" s="25">
        <v>34</v>
      </c>
      <c r="M635" t="s" s="13">
        <v>5588</v>
      </c>
      <c r="N635" t="s" s="11">
        <v>34</v>
      </c>
      <c r="O635" t="s" s="11">
        <v>5589</v>
      </c>
      <c r="P635" t="s" s="11">
        <v>5590</v>
      </c>
      <c r="Q635" t="s" s="11">
        <v>5591</v>
      </c>
      <c r="R635" t="s" s="11">
        <v>5592</v>
      </c>
      <c r="S635" t="s" s="11">
        <v>34</v>
      </c>
      <c r="T635" t="s" s="13">
        <v>5593</v>
      </c>
      <c r="U635" t="s" s="11">
        <v>4263</v>
      </c>
      <c r="V635" t="s" s="13">
        <v>34</v>
      </c>
      <c r="W635" t="s" s="11">
        <v>5594</v>
      </c>
      <c r="X635" s="17">
        <f>HYPERLINK("https://my.pitchbook.com?p=432361-99P", "View People Online")</f>
      </c>
    </row>
    <row r="636">
      <c r="A636" t="s" s="10">
        <v>5595</v>
      </c>
      <c r="B636" t="s" s="10">
        <v>5596</v>
      </c>
      <c r="C636" t="s" s="10">
        <v>34</v>
      </c>
      <c r="D636" t="s" s="10">
        <v>5597</v>
      </c>
      <c r="E636" t="s" s="10">
        <v>3715</v>
      </c>
      <c r="F636" t="s" s="10">
        <v>5598</v>
      </c>
      <c r="G636" t="s" s="10">
        <v>5599</v>
      </c>
      <c r="H636" s="16">
        <f>HYPERLINK("http://www.polybion.bio", "www.polybion.bio")</f>
      </c>
      <c r="I636" t="s" s="10">
        <v>5600</v>
      </c>
      <c r="J636" t="s" s="24">
        <v>34</v>
      </c>
      <c r="K636" t="s" s="24">
        <v>34</v>
      </c>
      <c r="L636" t="s" s="24">
        <v>34</v>
      </c>
      <c r="M636" t="s" s="12">
        <v>34</v>
      </c>
      <c r="N636" t="s" s="10">
        <v>34</v>
      </c>
      <c r="O636" t="s" s="10">
        <v>34</v>
      </c>
      <c r="P636" t="s" s="10">
        <v>34</v>
      </c>
      <c r="Q636" t="s" s="10">
        <v>34</v>
      </c>
      <c r="R636" t="s" s="10">
        <v>34</v>
      </c>
      <c r="S636" t="s" s="10">
        <v>34</v>
      </c>
      <c r="T636" t="s" s="12">
        <v>34</v>
      </c>
      <c r="U636" t="s" s="10">
        <v>34</v>
      </c>
      <c r="V636" t="s" s="12">
        <v>34</v>
      </c>
      <c r="W636" t="s" s="10">
        <v>5601</v>
      </c>
      <c r="X636" s="16">
        <f>HYPERLINK("https://my.pitchbook.com?p=233171-47P", "View People Online")</f>
      </c>
    </row>
    <row r="637">
      <c r="A637" t="s" s="11">
        <v>5602</v>
      </c>
      <c r="B637" t="s" s="11">
        <v>5603</v>
      </c>
      <c r="C637" t="s" s="11">
        <v>34</v>
      </c>
      <c r="D637" t="s" s="11">
        <v>5604</v>
      </c>
      <c r="E637" t="s" s="11">
        <v>3715</v>
      </c>
      <c r="F637" t="s" s="11">
        <v>5605</v>
      </c>
      <c r="G637" t="s" s="11">
        <v>5606</v>
      </c>
      <c r="H637" s="17">
        <f>HYPERLINK("http://www.fondation-diane.org", "www.fondation-diane.org")</f>
      </c>
      <c r="I637" t="s" s="11">
        <v>1358</v>
      </c>
      <c r="J637" t="s" s="25">
        <v>34</v>
      </c>
      <c r="K637" s="25">
        <v>1</v>
      </c>
      <c r="L637" t="s" s="25">
        <v>34</v>
      </c>
      <c r="M637" t="s" s="13">
        <v>5608</v>
      </c>
      <c r="N637" t="s" s="11">
        <v>5609</v>
      </c>
      <c r="O637" t="s" s="11">
        <v>5610</v>
      </c>
      <c r="P637" t="s" s="11">
        <v>5611</v>
      </c>
      <c r="Q637" t="s" s="11">
        <v>5612</v>
      </c>
      <c r="R637" t="s" s="11">
        <v>5613</v>
      </c>
      <c r="S637" t="s" s="11">
        <v>34</v>
      </c>
      <c r="T637" t="s" s="13">
        <v>34</v>
      </c>
      <c r="U637" t="s" s="11">
        <v>5614</v>
      </c>
      <c r="V637" t="s" s="13">
        <v>34</v>
      </c>
      <c r="W637" t="s" s="11">
        <v>5615</v>
      </c>
      <c r="X637" s="17">
        <f>HYPERLINK("https://my.pitchbook.com?p=393239-08P", "View People Online")</f>
      </c>
    </row>
    <row r="638">
      <c r="A638" t="s" s="10">
        <v>5616</v>
      </c>
      <c r="B638" t="s" s="10">
        <v>5617</v>
      </c>
      <c r="C638" t="s" s="10">
        <v>34</v>
      </c>
      <c r="D638" t="s" s="10">
        <v>5618</v>
      </c>
      <c r="E638" t="s" s="10">
        <v>3715</v>
      </c>
      <c r="F638" t="s" s="10">
        <v>5619</v>
      </c>
      <c r="G638" t="s" s="10">
        <v>5620</v>
      </c>
      <c r="H638" s="16">
        <f>HYPERLINK("http://www.oneprepay.ae", "www.oneprepay.ae")</f>
      </c>
      <c r="I638" t="s" s="10">
        <v>322</v>
      </c>
      <c r="J638" t="s" s="24">
        <v>34</v>
      </c>
      <c r="K638" s="24">
        <v>1</v>
      </c>
      <c r="L638" t="s" s="24">
        <v>34</v>
      </c>
      <c r="M638" t="s" s="12">
        <v>5622</v>
      </c>
      <c r="N638" t="s" s="10">
        <v>34</v>
      </c>
      <c r="O638" t="s" s="10">
        <v>385</v>
      </c>
      <c r="P638" t="s" s="10">
        <v>5623</v>
      </c>
      <c r="Q638" t="s" s="10">
        <v>5624</v>
      </c>
      <c r="R638" t="s" s="10">
        <v>388</v>
      </c>
      <c r="S638" t="s" s="10">
        <v>34</v>
      </c>
      <c r="T638" t="s" s="12">
        <v>5625</v>
      </c>
      <c r="U638" t="s" s="10">
        <v>240</v>
      </c>
      <c r="V638" t="s" s="12">
        <v>5626</v>
      </c>
      <c r="W638" t="s" s="10">
        <v>5627</v>
      </c>
      <c r="X638" s="16">
        <f>HYPERLINK("https://my.pitchbook.com?p=80952-31P", "View People Online")</f>
      </c>
    </row>
    <row r="639">
      <c r="A639" t="s" s="11">
        <v>5628</v>
      </c>
      <c r="B639" t="s" s="11">
        <v>5629</v>
      </c>
      <c r="C639" t="s" s="11">
        <v>34</v>
      </c>
      <c r="D639" t="s" s="11">
        <v>4204</v>
      </c>
      <c r="E639" t="s" s="11">
        <v>3715</v>
      </c>
      <c r="F639" t="s" s="11">
        <v>5630</v>
      </c>
      <c r="G639" t="s" s="11">
        <v>5631</v>
      </c>
      <c r="H639" s="17">
        <f>HYPERLINK("http://www.g42healthcare.ai", "www.g42healthcare.ai")</f>
      </c>
      <c r="I639" t="s" s="11">
        <v>5632</v>
      </c>
      <c r="J639" t="s" s="25">
        <v>34</v>
      </c>
      <c r="K639" t="s" s="25">
        <v>34</v>
      </c>
      <c r="L639" t="s" s="25">
        <v>34</v>
      </c>
      <c r="M639" t="s" s="13">
        <v>34</v>
      </c>
      <c r="N639" t="s" s="11">
        <v>34</v>
      </c>
      <c r="O639" t="s" s="11">
        <v>34</v>
      </c>
      <c r="P639" t="s" s="11">
        <v>34</v>
      </c>
      <c r="Q639" t="s" s="11">
        <v>34</v>
      </c>
      <c r="R639" t="s" s="11">
        <v>34</v>
      </c>
      <c r="S639" t="s" s="11">
        <v>34</v>
      </c>
      <c r="T639" t="s" s="13">
        <v>34</v>
      </c>
      <c r="U639" t="s" s="11">
        <v>34</v>
      </c>
      <c r="V639" t="s" s="13">
        <v>34</v>
      </c>
      <c r="W639" t="s" s="11">
        <v>5633</v>
      </c>
      <c r="X639" s="17">
        <f>HYPERLINK("https://my.pitchbook.com?p=339335-20P", "View People Online")</f>
      </c>
    </row>
    <row r="640">
      <c r="A640" t="s" s="10">
        <v>5634</v>
      </c>
      <c r="B640" t="s" s="10">
        <v>5635</v>
      </c>
      <c r="C640" t="s" s="10">
        <v>34</v>
      </c>
      <c r="D640" t="s" s="10">
        <v>5636</v>
      </c>
      <c r="E640" t="s" s="10">
        <v>3715</v>
      </c>
      <c r="F640" t="s" s="10">
        <v>5637</v>
      </c>
      <c r="G640" t="s" s="10">
        <v>661</v>
      </c>
      <c r="H640" s="16">
        <f>HYPERLINK("http://www.al-ismaelia.com", "www.al-ismaelia.com")</f>
      </c>
      <c r="I640" t="s" s="10">
        <v>649</v>
      </c>
      <c r="J640" t="s" s="24">
        <v>34</v>
      </c>
      <c r="K640" s="24">
        <v>2</v>
      </c>
      <c r="L640" s="24">
        <v>1</v>
      </c>
      <c r="M640" t="s" s="12">
        <v>34</v>
      </c>
      <c r="N640" t="s" s="10">
        <v>34</v>
      </c>
      <c r="O640" t="s" s="10">
        <v>34</v>
      </c>
      <c r="P640" t="s" s="10">
        <v>34</v>
      </c>
      <c r="Q640" t="s" s="10">
        <v>34</v>
      </c>
      <c r="R640" t="s" s="10">
        <v>34</v>
      </c>
      <c r="S640" t="s" s="10">
        <v>34</v>
      </c>
      <c r="T640" t="s" s="12">
        <v>34</v>
      </c>
      <c r="U640" t="s" s="10">
        <v>34</v>
      </c>
      <c r="V640" t="s" s="12">
        <v>34</v>
      </c>
      <c r="W640" t="s" s="10">
        <v>5639</v>
      </c>
      <c r="X640" s="16">
        <f>HYPERLINK("https://my.pitchbook.com?p=17825-05P", "View People Online")</f>
      </c>
    </row>
    <row r="641">
      <c r="A641" t="s" s="11">
        <v>5640</v>
      </c>
      <c r="B641" t="s" s="11">
        <v>5641</v>
      </c>
      <c r="C641" t="s" s="11">
        <v>377</v>
      </c>
      <c r="D641" t="s" s="11">
        <v>5642</v>
      </c>
      <c r="E641" t="s" s="11">
        <v>3715</v>
      </c>
      <c r="F641" t="s" s="11">
        <v>5643</v>
      </c>
      <c r="G641" t="s" s="11">
        <v>661</v>
      </c>
      <c r="H641" s="17">
        <f>HYPERLINK("http://www.chimhaeres.com", "www.chimhaeres.com")</f>
      </c>
      <c r="I641" t="s" s="11">
        <v>5645</v>
      </c>
      <c r="J641" s="25">
        <v>1</v>
      </c>
      <c r="K641" s="25">
        <v>4</v>
      </c>
      <c r="L641" s="25">
        <v>1</v>
      </c>
      <c r="M641" t="s" s="13">
        <v>34</v>
      </c>
      <c r="N641" t="s" s="11">
        <v>34</v>
      </c>
      <c r="O641" t="s" s="11">
        <v>385</v>
      </c>
      <c r="P641" t="s" s="11">
        <v>34</v>
      </c>
      <c r="Q641" t="s" s="11">
        <v>34</v>
      </c>
      <c r="R641" t="s" s="11">
        <v>388</v>
      </c>
      <c r="S641" t="s" s="11">
        <v>34</v>
      </c>
      <c r="T641" t="s" s="13">
        <v>34</v>
      </c>
      <c r="U641" t="s" s="11">
        <v>240</v>
      </c>
      <c r="V641" t="s" s="13">
        <v>34</v>
      </c>
      <c r="W641" t="s" s="11">
        <v>5646</v>
      </c>
      <c r="X641" s="17">
        <f>HYPERLINK("https://my.pitchbook.com?p=163293-49P", "View People Online")</f>
      </c>
    </row>
    <row r="642">
      <c r="A642" t="s" s="10">
        <v>5647</v>
      </c>
      <c r="B642" t="s" s="10">
        <v>5648</v>
      </c>
      <c r="C642" t="s" s="10">
        <v>34</v>
      </c>
      <c r="D642" t="s" s="10">
        <v>5649</v>
      </c>
      <c r="E642" t="s" s="10">
        <v>3715</v>
      </c>
      <c r="F642" t="s" s="10">
        <v>5650</v>
      </c>
      <c r="G642" t="s" s="10">
        <v>5651</v>
      </c>
      <c r="H642" s="16">
        <f>HYPERLINK("http://www.cygnet-distillery.com", "www.cygnet-distillery.com")</f>
      </c>
      <c r="I642" t="s" s="10">
        <v>1346</v>
      </c>
      <c r="J642" t="s" s="24">
        <v>34</v>
      </c>
      <c r="K642" s="24">
        <v>1</v>
      </c>
      <c r="L642" t="s" s="24">
        <v>34</v>
      </c>
      <c r="M642" t="s" s="12">
        <v>34</v>
      </c>
      <c r="N642" t="s" s="10">
        <v>34</v>
      </c>
      <c r="O642" t="s" s="10">
        <v>5653</v>
      </c>
      <c r="P642" t="s" s="10">
        <v>5654</v>
      </c>
      <c r="Q642" t="s" s="10">
        <v>5655</v>
      </c>
      <c r="R642" t="s" s="10">
        <v>5656</v>
      </c>
      <c r="S642" t="s" s="10">
        <v>2744</v>
      </c>
      <c r="T642" t="s" s="12">
        <v>5657</v>
      </c>
      <c r="U642" t="s" s="10">
        <v>49</v>
      </c>
      <c r="V642" t="s" s="12">
        <v>34</v>
      </c>
      <c r="W642" t="s" s="10">
        <v>5658</v>
      </c>
      <c r="X642" s="16">
        <f>HYPERLINK("https://my.pitchbook.com?p=375994-09P", "View People Online")</f>
      </c>
    </row>
    <row r="643">
      <c r="A643" t="s" s="11">
        <v>5659</v>
      </c>
      <c r="B643" t="s" s="11">
        <v>5660</v>
      </c>
      <c r="C643" t="s" s="11">
        <v>34</v>
      </c>
      <c r="D643" t="s" s="11">
        <v>4282</v>
      </c>
      <c r="E643" t="s" s="11">
        <v>3715</v>
      </c>
      <c r="F643" t="s" s="11">
        <v>5661</v>
      </c>
      <c r="G643" t="s" s="11">
        <v>5662</v>
      </c>
      <c r="H643" s="17">
        <f>HYPERLINK("http://www.royalihc.com", "www.royalihc.com")</f>
      </c>
      <c r="I643" t="s" s="11">
        <v>649</v>
      </c>
      <c r="J643" t="s" s="25">
        <v>34</v>
      </c>
      <c r="K643" t="s" s="25">
        <v>34</v>
      </c>
      <c r="L643" t="s" s="25">
        <v>34</v>
      </c>
      <c r="M643" t="s" s="13">
        <v>4284</v>
      </c>
      <c r="N643" t="s" s="11">
        <v>34</v>
      </c>
      <c r="O643" t="s" s="11">
        <v>4286</v>
      </c>
      <c r="P643" t="s" s="11">
        <v>4287</v>
      </c>
      <c r="Q643" t="s" s="11">
        <v>34</v>
      </c>
      <c r="R643" t="s" s="11">
        <v>4288</v>
      </c>
      <c r="S643" t="s" s="11">
        <v>34</v>
      </c>
      <c r="T643" t="s" s="13">
        <v>4289</v>
      </c>
      <c r="U643" t="s" s="11">
        <v>103</v>
      </c>
      <c r="V643" t="s" s="13">
        <v>34</v>
      </c>
      <c r="W643" t="s" s="11">
        <v>5663</v>
      </c>
      <c r="X643" s="17">
        <f>HYPERLINK("https://my.pitchbook.com?p=243791-74P", "View People Online")</f>
      </c>
    </row>
    <row r="644">
      <c r="A644" t="s" s="10">
        <v>5664</v>
      </c>
      <c r="B644" t="s" s="10">
        <v>5665</v>
      </c>
      <c r="C644" t="s" s="10">
        <v>34</v>
      </c>
      <c r="D644" t="s" s="10">
        <v>5475</v>
      </c>
      <c r="E644" t="s" s="10">
        <v>3715</v>
      </c>
      <c r="F644" t="s" s="10">
        <v>5666</v>
      </c>
      <c r="G644" t="s" s="10">
        <v>2762</v>
      </c>
      <c r="H644" s="16">
        <f>HYPERLINK("http://www.ihcrisksolutions.com", "www.ihcrisksolutions.com")</f>
      </c>
      <c r="I644" t="s" s="10">
        <v>5667</v>
      </c>
      <c r="J644" t="s" s="24">
        <v>34</v>
      </c>
      <c r="K644" t="s" s="24">
        <v>34</v>
      </c>
      <c r="L644" t="s" s="24">
        <v>34</v>
      </c>
      <c r="M644" t="s" s="12">
        <v>34</v>
      </c>
      <c r="N644" t="s" s="10">
        <v>34</v>
      </c>
      <c r="O644" t="s" s="10">
        <v>34</v>
      </c>
      <c r="P644" t="s" s="10">
        <v>34</v>
      </c>
      <c r="Q644" t="s" s="10">
        <v>34</v>
      </c>
      <c r="R644" t="s" s="10">
        <v>34</v>
      </c>
      <c r="S644" t="s" s="10">
        <v>34</v>
      </c>
      <c r="T644" t="s" s="12">
        <v>34</v>
      </c>
      <c r="U644" t="s" s="10">
        <v>34</v>
      </c>
      <c r="V644" t="s" s="12">
        <v>34</v>
      </c>
      <c r="W644" t="s" s="10">
        <v>5668</v>
      </c>
      <c r="X644" s="16">
        <f>HYPERLINK("https://my.pitchbook.com?p=124455-52P", "View People Online")</f>
      </c>
    </row>
    <row r="645">
      <c r="A645" t="s" s="11">
        <v>5669</v>
      </c>
      <c r="B645" t="s" s="11">
        <v>5670</v>
      </c>
      <c r="C645" t="s" s="11">
        <v>34</v>
      </c>
      <c r="D645" t="s" s="11">
        <v>5671</v>
      </c>
      <c r="E645" t="s" s="11">
        <v>3715</v>
      </c>
      <c r="F645" t="s" s="11">
        <v>5672</v>
      </c>
      <c r="G645" t="s" s="11">
        <v>5673</v>
      </c>
      <c r="H645" s="17">
        <f>HYPERLINK("http://www.prosperahospitality.com", "www.prosperahospitality.com")</f>
      </c>
      <c r="I645" t="s" s="11">
        <v>5675</v>
      </c>
      <c r="J645" t="s" s="25">
        <v>34</v>
      </c>
      <c r="K645" s="25">
        <v>1</v>
      </c>
      <c r="L645" t="s" s="25">
        <v>34</v>
      </c>
      <c r="M645" t="s" s="13">
        <v>5676</v>
      </c>
      <c r="N645" t="s" s="11">
        <v>5677</v>
      </c>
      <c r="O645" t="s" s="11">
        <v>5678</v>
      </c>
      <c r="P645" t="s" s="11">
        <v>5679</v>
      </c>
      <c r="Q645" t="s" s="11">
        <v>5680</v>
      </c>
      <c r="R645" t="s" s="11">
        <v>5681</v>
      </c>
      <c r="S645" t="s" s="11">
        <v>1303</v>
      </c>
      <c r="T645" t="s" s="13">
        <v>5682</v>
      </c>
      <c r="U645" t="s" s="11">
        <v>88</v>
      </c>
      <c r="V645" t="s" s="13">
        <v>34</v>
      </c>
      <c r="W645" t="s" s="11">
        <v>5683</v>
      </c>
      <c r="X645" s="17">
        <f>HYPERLINK("https://my.pitchbook.com?p=199091-89P", "View People Online")</f>
      </c>
    </row>
    <row r="646">
      <c r="A646" t="s" s="10">
        <v>5684</v>
      </c>
      <c r="B646" t="s" s="10">
        <v>5685</v>
      </c>
      <c r="C646" t="s" s="10">
        <v>34</v>
      </c>
      <c r="D646" t="s" s="10">
        <v>5686</v>
      </c>
      <c r="E646" t="s" s="10">
        <v>3715</v>
      </c>
      <c r="F646" t="s" s="10">
        <v>5687</v>
      </c>
      <c r="G646" t="s" s="10">
        <v>5673</v>
      </c>
      <c r="H646" s="16">
        <f>HYPERLINK("http://www.teamtrg.com", "www.teamtrg.com")</f>
      </c>
      <c r="I646" t="s" s="10">
        <v>2946</v>
      </c>
      <c r="J646" t="s" s="24">
        <v>34</v>
      </c>
      <c r="K646" s="24">
        <v>4</v>
      </c>
      <c r="L646" s="24">
        <v>3</v>
      </c>
      <c r="M646" t="s" s="12">
        <v>5688</v>
      </c>
      <c r="N646" t="s" s="10">
        <v>5689</v>
      </c>
      <c r="O646" t="s" s="10">
        <v>5690</v>
      </c>
      <c r="P646" t="s" s="10">
        <v>5691</v>
      </c>
      <c r="Q646" t="s" s="10">
        <v>5692</v>
      </c>
      <c r="R646" t="s" s="10">
        <v>5693</v>
      </c>
      <c r="S646" t="s" s="10">
        <v>2376</v>
      </c>
      <c r="T646" t="s" s="12">
        <v>5694</v>
      </c>
      <c r="U646" t="s" s="10">
        <v>88</v>
      </c>
      <c r="V646" t="s" s="12">
        <v>34</v>
      </c>
      <c r="W646" t="s" s="10">
        <v>5695</v>
      </c>
      <c r="X646" s="16">
        <f>HYPERLINK("https://my.pitchbook.com?p=349811-83P", "View People Online")</f>
      </c>
    </row>
    <row r="647">
      <c r="A647" t="s" s="11">
        <v>5696</v>
      </c>
      <c r="B647" t="s" s="11">
        <v>2624</v>
      </c>
      <c r="C647" t="s" s="11">
        <v>34</v>
      </c>
      <c r="D647" t="s" s="11">
        <v>5697</v>
      </c>
      <c r="E647" t="s" s="11">
        <v>3715</v>
      </c>
      <c r="F647" t="s" s="11">
        <v>1054</v>
      </c>
      <c r="G647" t="s" s="11">
        <v>2627</v>
      </c>
      <c r="H647" s="17">
        <f>HYPERLINK("http://www.ega.ae", "www.ega.ae")</f>
      </c>
      <c r="I647" t="s" s="11">
        <v>2321</v>
      </c>
      <c r="J647" s="25">
        <v>4</v>
      </c>
      <c r="K647" s="25">
        <v>4</v>
      </c>
      <c r="L647" t="s" s="25">
        <v>34</v>
      </c>
      <c r="M647" t="s" s="13">
        <v>5699</v>
      </c>
      <c r="N647" t="s" s="11">
        <v>34</v>
      </c>
      <c r="O647" t="s" s="11">
        <v>236</v>
      </c>
      <c r="P647" t="s" s="11">
        <v>5700</v>
      </c>
      <c r="Q647" t="s" s="11">
        <v>34</v>
      </c>
      <c r="R647" t="s" s="11">
        <v>239</v>
      </c>
      <c r="S647" t="s" s="11">
        <v>34</v>
      </c>
      <c r="T647" t="s" s="13">
        <v>34</v>
      </c>
      <c r="U647" t="s" s="11">
        <v>240</v>
      </c>
      <c r="V647" t="s" s="13">
        <v>34</v>
      </c>
      <c r="W647" t="s" s="11">
        <v>5701</v>
      </c>
      <c r="X647" s="17">
        <f>HYPERLINK("https://my.pitchbook.com?p=77739-58P", "View People Online")</f>
      </c>
    </row>
    <row r="648">
      <c r="A648" t="s" s="10">
        <v>5702</v>
      </c>
      <c r="B648" t="s" s="10">
        <v>5703</v>
      </c>
      <c r="C648" t="s" s="10">
        <v>34</v>
      </c>
      <c r="D648" t="s" s="10">
        <v>5704</v>
      </c>
      <c r="E648" t="s" s="10">
        <v>3715</v>
      </c>
      <c r="F648" t="s" s="10">
        <v>5705</v>
      </c>
      <c r="G648" t="s" s="10">
        <v>5706</v>
      </c>
      <c r="H648" s="16">
        <f>HYPERLINK("http://www.alnajaheducation.com", "www.alnajaheducation.com")</f>
      </c>
      <c r="I648" t="s" s="10">
        <v>649</v>
      </c>
      <c r="J648" t="s" s="24">
        <v>34</v>
      </c>
      <c r="K648" t="s" s="24">
        <v>34</v>
      </c>
      <c r="L648" t="s" s="24">
        <v>34</v>
      </c>
      <c r="M648" t="s" s="12">
        <v>34</v>
      </c>
      <c r="N648" t="s" s="10">
        <v>34</v>
      </c>
      <c r="O648" t="s" s="10">
        <v>34</v>
      </c>
      <c r="P648" t="s" s="10">
        <v>34</v>
      </c>
      <c r="Q648" t="s" s="10">
        <v>34</v>
      </c>
      <c r="R648" t="s" s="10">
        <v>34</v>
      </c>
      <c r="S648" t="s" s="10">
        <v>34</v>
      </c>
      <c r="T648" t="s" s="12">
        <v>34</v>
      </c>
      <c r="U648" t="s" s="10">
        <v>34</v>
      </c>
      <c r="V648" t="s" s="12">
        <v>34</v>
      </c>
      <c r="W648" t="s" s="10">
        <v>5708</v>
      </c>
      <c r="X648" s="16">
        <f>HYPERLINK("https://my.pitchbook.com?p=121365-46P", "View People Online")</f>
      </c>
    </row>
    <row r="649">
      <c r="A649" t="s" s="11">
        <v>5709</v>
      </c>
      <c r="B649" t="s" s="11">
        <v>5710</v>
      </c>
      <c r="C649" t="s" s="11">
        <v>34</v>
      </c>
      <c r="D649" t="s" s="11">
        <v>3802</v>
      </c>
      <c r="E649" t="s" s="11">
        <v>3715</v>
      </c>
      <c r="F649" t="s" s="11">
        <v>5711</v>
      </c>
      <c r="G649" t="s" s="11">
        <v>5706</v>
      </c>
      <c r="H649" s="17">
        <f>HYPERLINK("http://www.qatarluxurygroup.com", "www.qatarluxurygroup.com")</f>
      </c>
      <c r="I649" t="s" s="11">
        <v>649</v>
      </c>
      <c r="J649" t="s" s="25">
        <v>34</v>
      </c>
      <c r="K649" t="s" s="25">
        <v>34</v>
      </c>
      <c r="L649" t="s" s="25">
        <v>34</v>
      </c>
      <c r="M649" t="s" s="13">
        <v>34</v>
      </c>
      <c r="N649" t="s" s="11">
        <v>34</v>
      </c>
      <c r="O649" t="s" s="11">
        <v>34</v>
      </c>
      <c r="P649" t="s" s="11">
        <v>34</v>
      </c>
      <c r="Q649" t="s" s="11">
        <v>34</v>
      </c>
      <c r="R649" t="s" s="11">
        <v>34</v>
      </c>
      <c r="S649" t="s" s="11">
        <v>34</v>
      </c>
      <c r="T649" t="s" s="13">
        <v>34</v>
      </c>
      <c r="U649" t="s" s="11">
        <v>34</v>
      </c>
      <c r="V649" t="s" s="13">
        <v>34</v>
      </c>
      <c r="W649" t="s" s="11">
        <v>5712</v>
      </c>
      <c r="X649" s="17">
        <f>HYPERLINK("https://my.pitchbook.com?p=63430-93P", "View People Online")</f>
      </c>
    </row>
    <row r="650">
      <c r="A650" t="s" s="10">
        <v>5713</v>
      </c>
      <c r="B650" t="s" s="10">
        <v>5714</v>
      </c>
      <c r="C650" t="s" s="10">
        <v>34</v>
      </c>
      <c r="D650" t="s" s="10">
        <v>5715</v>
      </c>
      <c r="E650" t="s" s="10">
        <v>3715</v>
      </c>
      <c r="F650" t="s" s="10">
        <v>5716</v>
      </c>
      <c r="G650" t="s" s="10">
        <v>1020</v>
      </c>
      <c r="H650" s="16">
        <f>HYPERLINK("http://www.senseta.com", "www.senseta.com")</f>
      </c>
      <c r="I650" t="s" s="10">
        <v>5718</v>
      </c>
      <c r="J650" s="24">
        <v>1</v>
      </c>
      <c r="K650" s="24">
        <v>1</v>
      </c>
      <c r="L650" t="s" s="24">
        <v>34</v>
      </c>
      <c r="M650" t="s" s="12">
        <v>5719</v>
      </c>
      <c r="N650" t="s" s="10">
        <v>5720</v>
      </c>
      <c r="O650" t="s" s="10">
        <v>5721</v>
      </c>
      <c r="P650" t="s" s="10">
        <v>5722</v>
      </c>
      <c r="Q650" t="s" s="10">
        <v>34</v>
      </c>
      <c r="R650" t="s" s="10">
        <v>5723</v>
      </c>
      <c r="S650" t="s" s="10">
        <v>1904</v>
      </c>
      <c r="T650" t="s" s="12">
        <v>5724</v>
      </c>
      <c r="U650" t="s" s="10">
        <v>88</v>
      </c>
      <c r="V650" t="s" s="12">
        <v>34</v>
      </c>
      <c r="W650" t="s" s="10">
        <v>5725</v>
      </c>
      <c r="X650" s="16">
        <f>HYPERLINK("https://my.pitchbook.com?p=201426-85P", "View People Online")</f>
      </c>
    </row>
    <row r="651">
      <c r="A651" t="s" s="11">
        <v>5726</v>
      </c>
      <c r="B651" t="s" s="11">
        <v>5727</v>
      </c>
      <c r="C651" t="s" s="11">
        <v>34</v>
      </c>
      <c r="D651" t="s" s="11">
        <v>5728</v>
      </c>
      <c r="E651" t="s" s="11">
        <v>3715</v>
      </c>
      <c r="F651" t="s" s="11">
        <v>5729</v>
      </c>
      <c r="G651" t="s" s="11">
        <v>5730</v>
      </c>
      <c r="H651" s="17">
        <f>HYPERLINK("http://www.gyroscopetx.com", "www.gyroscopetx.com")</f>
      </c>
      <c r="I651" t="s" s="11">
        <v>3618</v>
      </c>
      <c r="J651" s="25">
        <v>5</v>
      </c>
      <c r="K651" s="25">
        <v>5</v>
      </c>
      <c r="L651" t="s" s="25">
        <v>34</v>
      </c>
      <c r="M651" t="s" s="13">
        <v>34</v>
      </c>
      <c r="N651" t="s" s="11">
        <v>34</v>
      </c>
      <c r="O651" t="s" s="11">
        <v>43</v>
      </c>
      <c r="P651" t="s" s="11">
        <v>5732</v>
      </c>
      <c r="Q651" t="s" s="11">
        <v>5733</v>
      </c>
      <c r="R651" t="s" s="11">
        <v>46</v>
      </c>
      <c r="S651" t="s" s="11">
        <v>47</v>
      </c>
      <c r="T651" t="s" s="13">
        <v>5734</v>
      </c>
      <c r="U651" t="s" s="11">
        <v>49</v>
      </c>
      <c r="V651" t="s" s="13">
        <v>34</v>
      </c>
      <c r="W651" t="s" s="11">
        <v>5735</v>
      </c>
      <c r="X651" s="17">
        <f>HYPERLINK("https://my.pitchbook.com?p=209704-51P", "View People Online")</f>
      </c>
    </row>
    <row r="652">
      <c r="A652" t="s" s="10">
        <v>5736</v>
      </c>
      <c r="B652" t="s" s="10">
        <v>5737</v>
      </c>
      <c r="C652" t="s" s="10">
        <v>34</v>
      </c>
      <c r="D652" t="s" s="10">
        <v>5738</v>
      </c>
      <c r="E652" t="s" s="10">
        <v>3715</v>
      </c>
      <c r="F652" t="s" s="10">
        <v>5739</v>
      </c>
      <c r="G652" t="s" s="10">
        <v>5740</v>
      </c>
      <c r="H652" s="16">
        <f>HYPERLINK("http://www.ripcord.com", "www.ripcord.com")</f>
      </c>
      <c r="I652" t="s" s="10">
        <v>5742</v>
      </c>
      <c r="J652" t="s" s="24">
        <v>34</v>
      </c>
      <c r="K652" t="s" s="24">
        <v>34</v>
      </c>
      <c r="L652" t="s" s="24">
        <v>34</v>
      </c>
      <c r="M652" t="s" s="12">
        <v>34</v>
      </c>
      <c r="N652" t="s" s="10">
        <v>34</v>
      </c>
      <c r="O652" t="s" s="10">
        <v>34</v>
      </c>
      <c r="P652" t="s" s="10">
        <v>34</v>
      </c>
      <c r="Q652" t="s" s="10">
        <v>34</v>
      </c>
      <c r="R652" t="s" s="10">
        <v>34</v>
      </c>
      <c r="S652" t="s" s="10">
        <v>34</v>
      </c>
      <c r="T652" t="s" s="12">
        <v>34</v>
      </c>
      <c r="U652" t="s" s="10">
        <v>34</v>
      </c>
      <c r="V652" t="s" s="12">
        <v>34</v>
      </c>
      <c r="W652" t="s" s="10">
        <v>5743</v>
      </c>
      <c r="X652" s="16">
        <f>HYPERLINK("https://my.pitchbook.com?p=159627-79P", "View People Online")</f>
      </c>
    </row>
    <row r="653">
      <c r="A653" t="s" s="11">
        <v>5744</v>
      </c>
      <c r="B653" t="s" s="11">
        <v>5745</v>
      </c>
      <c r="C653" t="s" s="11">
        <v>34</v>
      </c>
      <c r="D653" t="s" s="11">
        <v>5746</v>
      </c>
      <c r="E653" t="s" s="11">
        <v>3715</v>
      </c>
      <c r="F653" t="s" s="11">
        <v>5747</v>
      </c>
      <c r="G653" t="s" s="11">
        <v>5748</v>
      </c>
      <c r="H653" s="17">
        <f>HYPERLINK("http://www.core42.ai", "www.core42.ai")</f>
      </c>
      <c r="I653" t="s" s="11">
        <v>3618</v>
      </c>
      <c r="J653" s="25">
        <v>1</v>
      </c>
      <c r="K653" s="25">
        <v>2</v>
      </c>
      <c r="L653" t="s" s="25">
        <v>34</v>
      </c>
      <c r="M653" t="s" s="13">
        <v>5750</v>
      </c>
      <c r="N653" t="s" s="11">
        <v>34</v>
      </c>
      <c r="O653" t="s" s="11">
        <v>385</v>
      </c>
      <c r="P653" t="s" s="11">
        <v>5751</v>
      </c>
      <c r="Q653" t="s" s="11">
        <v>34</v>
      </c>
      <c r="R653" t="s" s="11">
        <v>388</v>
      </c>
      <c r="S653" t="s" s="11">
        <v>34</v>
      </c>
      <c r="T653" t="s" s="13">
        <v>5752</v>
      </c>
      <c r="U653" t="s" s="11">
        <v>240</v>
      </c>
      <c r="V653" t="s" s="13">
        <v>34</v>
      </c>
      <c r="W653" t="s" s="11">
        <v>5753</v>
      </c>
      <c r="X653" s="17">
        <f>HYPERLINK("https://my.pitchbook.com?p=342756-46P", "View People Online")</f>
      </c>
    </row>
    <row r="654">
      <c r="A654" t="s" s="10">
        <v>5754</v>
      </c>
      <c r="B654" t="s" s="10">
        <v>5755</v>
      </c>
      <c r="C654" t="s" s="10">
        <v>34</v>
      </c>
      <c r="D654" t="s" s="10">
        <v>5756</v>
      </c>
      <c r="E654" t="s" s="10">
        <v>3715</v>
      </c>
      <c r="F654" t="s" s="10">
        <v>5757</v>
      </c>
      <c r="G654" t="s" s="10">
        <v>5758</v>
      </c>
      <c r="H654" s="16">
        <f>HYPERLINK("http://www.grandroyal-group.com", "www.grandroyal-group.com")</f>
      </c>
      <c r="I654" t="s" s="10">
        <v>322</v>
      </c>
      <c r="J654" t="s" s="24">
        <v>34</v>
      </c>
      <c r="K654" s="24">
        <v>1</v>
      </c>
      <c r="L654" t="s" s="24">
        <v>34</v>
      </c>
      <c r="M654" t="s" s="12">
        <v>5760</v>
      </c>
      <c r="N654" t="s" s="10">
        <v>34</v>
      </c>
      <c r="O654" t="s" s="10">
        <v>5761</v>
      </c>
      <c r="P654" t="s" s="10">
        <v>5762</v>
      </c>
      <c r="Q654" t="s" s="10">
        <v>5763</v>
      </c>
      <c r="R654" t="s" s="10">
        <v>5764</v>
      </c>
      <c r="S654" t="s" s="10">
        <v>34</v>
      </c>
      <c r="T654" t="s" s="12">
        <v>34</v>
      </c>
      <c r="U654" t="s" s="10">
        <v>5765</v>
      </c>
      <c r="V654" t="s" s="12">
        <v>5766</v>
      </c>
      <c r="W654" t="s" s="10">
        <v>5767</v>
      </c>
      <c r="X654" s="16">
        <f>HYPERLINK("https://my.pitchbook.com?p=455860-90P", "View People Online")</f>
      </c>
    </row>
    <row r="655">
      <c r="A655" t="s" s="11">
        <v>5768</v>
      </c>
      <c r="B655" t="s" s="11">
        <v>5769</v>
      </c>
      <c r="C655" t="s" s="11">
        <v>34</v>
      </c>
      <c r="D655" t="s" s="11">
        <v>5770</v>
      </c>
      <c r="E655" t="s" s="11">
        <v>3715</v>
      </c>
      <c r="F655" t="s" s="11">
        <v>477</v>
      </c>
      <c r="G655" t="s" s="11">
        <v>5771</v>
      </c>
      <c r="H655" s="17">
        <f>HYPERLINK("http://www.bloomberg.com", "www.bloomberg.com")</f>
      </c>
      <c r="I655" t="s" s="11">
        <v>5773</v>
      </c>
      <c r="J655" t="s" s="25">
        <v>34</v>
      </c>
      <c r="K655" s="25">
        <v>1</v>
      </c>
      <c r="L655" t="s" s="25">
        <v>34</v>
      </c>
      <c r="M655" t="s" s="13">
        <v>34</v>
      </c>
      <c r="N655" t="s" s="11">
        <v>34</v>
      </c>
      <c r="O655" t="s" s="11">
        <v>84</v>
      </c>
      <c r="P655" t="s" s="11">
        <v>5774</v>
      </c>
      <c r="Q655" t="s" s="11">
        <v>34</v>
      </c>
      <c r="R655" t="s" s="11">
        <v>86</v>
      </c>
      <c r="S655" t="s" s="11">
        <v>86</v>
      </c>
      <c r="T655" t="s" s="13">
        <v>2495</v>
      </c>
      <c r="U655" t="s" s="11">
        <v>88</v>
      </c>
      <c r="V655" t="s" s="13">
        <v>34</v>
      </c>
      <c r="W655" t="s" s="11">
        <v>5775</v>
      </c>
      <c r="X655" s="17">
        <f>HYPERLINK("https://my.pitchbook.com?p=401546-26P", "View People Online")</f>
      </c>
    </row>
    <row r="656">
      <c r="A656" t="s" s="10">
        <v>5776</v>
      </c>
      <c r="B656" t="s" s="10">
        <v>5777</v>
      </c>
      <c r="C656" t="s" s="10">
        <v>34</v>
      </c>
      <c r="D656" t="s" s="10">
        <v>3935</v>
      </c>
      <c r="E656" t="s" s="10">
        <v>3715</v>
      </c>
      <c r="F656" t="s" s="10">
        <v>5778</v>
      </c>
      <c r="G656" t="s" s="10">
        <v>5779</v>
      </c>
      <c r="H656" s="16">
        <f>HYPERLINK("http://www.ihcgroup.com", "www.ihcgroup.com")</f>
      </c>
      <c r="I656" t="s" s="10">
        <v>5780</v>
      </c>
      <c r="J656" t="s" s="24">
        <v>34</v>
      </c>
      <c r="K656" t="s" s="24">
        <v>34</v>
      </c>
      <c r="L656" t="s" s="24">
        <v>34</v>
      </c>
      <c r="M656" t="s" s="12">
        <v>34</v>
      </c>
      <c r="N656" t="s" s="10">
        <v>34</v>
      </c>
      <c r="O656" t="s" s="10">
        <v>34</v>
      </c>
      <c r="P656" t="s" s="10">
        <v>34</v>
      </c>
      <c r="Q656" t="s" s="10">
        <v>34</v>
      </c>
      <c r="R656" t="s" s="10">
        <v>34</v>
      </c>
      <c r="S656" t="s" s="10">
        <v>34</v>
      </c>
      <c r="T656" t="s" s="12">
        <v>34</v>
      </c>
      <c r="U656" t="s" s="10">
        <v>34</v>
      </c>
      <c r="V656" t="s" s="12">
        <v>34</v>
      </c>
      <c r="W656" t="s" s="10">
        <v>5781</v>
      </c>
      <c r="X656" s="16">
        <f>HYPERLINK("https://my.pitchbook.com?p=76977-01P", "View People Online")</f>
      </c>
    </row>
    <row r="657">
      <c r="A657" t="s" s="11">
        <v>5782</v>
      </c>
      <c r="B657" t="s" s="11">
        <v>5783</v>
      </c>
      <c r="C657" t="s" s="11">
        <v>34</v>
      </c>
      <c r="D657" t="s" s="11">
        <v>3963</v>
      </c>
      <c r="E657" t="s" s="11">
        <v>3715</v>
      </c>
      <c r="F657" t="s" s="11">
        <v>5784</v>
      </c>
      <c r="G657" t="s" s="11">
        <v>5785</v>
      </c>
      <c r="H657" s="17">
        <f>HYPERLINK("http://www.pertamedika.co.id", "www.pertamedika.co.id")</f>
      </c>
      <c r="I657" t="s" s="11">
        <v>5786</v>
      </c>
      <c r="J657" s="25">
        <v>1</v>
      </c>
      <c r="K657" s="25">
        <v>1</v>
      </c>
      <c r="L657" t="s" s="25">
        <v>34</v>
      </c>
      <c r="M657" t="s" s="13">
        <v>3967</v>
      </c>
      <c r="N657" t="s" s="11">
        <v>5787</v>
      </c>
      <c r="O657" t="s" s="11">
        <v>3969</v>
      </c>
      <c r="P657" t="s" s="11">
        <v>3970</v>
      </c>
      <c r="Q657" t="s" s="11">
        <v>34</v>
      </c>
      <c r="R657" t="s" s="11">
        <v>3971</v>
      </c>
      <c r="S657" t="s" s="11">
        <v>34</v>
      </c>
      <c r="T657" t="s" s="13">
        <v>3972</v>
      </c>
      <c r="U657" t="s" s="11">
        <v>3973</v>
      </c>
      <c r="V657" t="s" s="13">
        <v>34</v>
      </c>
      <c r="W657" t="s" s="11">
        <v>5788</v>
      </c>
      <c r="X657" s="17">
        <f>HYPERLINK("https://my.pitchbook.com?p=333855-01P", "View People Online")</f>
      </c>
    </row>
    <row r="658">
      <c r="A658" t="s" s="10">
        <v>5789</v>
      </c>
      <c r="B658" t="s" s="10">
        <v>5790</v>
      </c>
      <c r="C658" t="s" s="10">
        <v>34</v>
      </c>
      <c r="D658" t="s" s="10">
        <v>5791</v>
      </c>
      <c r="E658" t="s" s="10">
        <v>3715</v>
      </c>
      <c r="F658" t="s" s="10">
        <v>5792</v>
      </c>
      <c r="G658" t="s" s="10">
        <v>5793</v>
      </c>
      <c r="H658" s="16">
        <f>HYPERLINK("http://www.sninews.com", "www.sninews.com")</f>
      </c>
      <c r="I658" t="s" s="10">
        <v>5795</v>
      </c>
      <c r="J658" t="s" s="24">
        <v>34</v>
      </c>
      <c r="K658" s="24">
        <v>3</v>
      </c>
      <c r="L658" s="24">
        <v>2</v>
      </c>
      <c r="M658" t="s" s="12">
        <v>34</v>
      </c>
      <c r="N658" t="s" s="10">
        <v>5796</v>
      </c>
      <c r="O658" t="s" s="10">
        <v>1807</v>
      </c>
      <c r="P658" t="s" s="10">
        <v>34</v>
      </c>
      <c r="Q658" t="s" s="10">
        <v>34</v>
      </c>
      <c r="R658" t="s" s="10">
        <v>1810</v>
      </c>
      <c r="S658" t="s" s="10">
        <v>225</v>
      </c>
      <c r="T658" t="s" s="12">
        <v>34</v>
      </c>
      <c r="U658" t="s" s="10">
        <v>88</v>
      </c>
      <c r="V658" t="s" s="12">
        <v>34</v>
      </c>
      <c r="W658" t="s" s="10">
        <v>5797</v>
      </c>
      <c r="X658" s="16">
        <f>HYPERLINK("https://my.pitchbook.com?p=185549-77P", "View People Online")</f>
      </c>
    </row>
    <row r="659">
      <c r="A659" t="s" s="11">
        <v>5798</v>
      </c>
      <c r="B659" t="s" s="11">
        <v>5799</v>
      </c>
      <c r="C659" t="s" s="11">
        <v>34</v>
      </c>
      <c r="D659" t="s" s="11">
        <v>5800</v>
      </c>
      <c r="E659" t="s" s="11">
        <v>3715</v>
      </c>
      <c r="F659" t="s" s="11">
        <v>5801</v>
      </c>
      <c r="G659" t="s" s="11">
        <v>5802</v>
      </c>
      <c r="H659" s="17">
        <f>HYPERLINK("http://www.phdtalks.com", "www.phdtalks.com")</f>
      </c>
      <c r="I659" t="s" s="11">
        <v>1346</v>
      </c>
      <c r="J659" t="s" s="25">
        <v>34</v>
      </c>
      <c r="K659" t="s" s="25">
        <v>34</v>
      </c>
      <c r="L659" t="s" s="25">
        <v>34</v>
      </c>
      <c r="M659" t="s" s="13">
        <v>34</v>
      </c>
      <c r="N659" t="s" s="11">
        <v>34</v>
      </c>
      <c r="O659" t="s" s="11">
        <v>34</v>
      </c>
      <c r="P659" t="s" s="11">
        <v>34</v>
      </c>
      <c r="Q659" t="s" s="11">
        <v>34</v>
      </c>
      <c r="R659" t="s" s="11">
        <v>34</v>
      </c>
      <c r="S659" t="s" s="11">
        <v>34</v>
      </c>
      <c r="T659" t="s" s="13">
        <v>34</v>
      </c>
      <c r="U659" t="s" s="11">
        <v>34</v>
      </c>
      <c r="V659" t="s" s="13">
        <v>34</v>
      </c>
      <c r="W659" t="s" s="11">
        <v>5804</v>
      </c>
      <c r="X659" s="17">
        <f>HYPERLINK("https://my.pitchbook.com?p=312447-97P", "View People Online")</f>
      </c>
    </row>
    <row r="660">
      <c r="A660" t="s" s="10">
        <v>5805</v>
      </c>
      <c r="B660" t="s" s="10">
        <v>5806</v>
      </c>
      <c r="C660" t="s" s="10">
        <v>34</v>
      </c>
      <c r="D660" t="s" s="10">
        <v>5807</v>
      </c>
      <c r="E660" t="s" s="10">
        <v>3715</v>
      </c>
      <c r="F660" t="s" s="10">
        <v>5808</v>
      </c>
      <c r="G660" t="s" s="10">
        <v>5802</v>
      </c>
      <c r="H660" s="16">
        <f>HYPERLINK("http://www.bakulupower.com", "www.bakulupower.com")</f>
      </c>
      <c r="I660" t="s" s="10">
        <v>950</v>
      </c>
      <c r="J660" t="s" s="24">
        <v>34</v>
      </c>
      <c r="K660" s="24">
        <v>1</v>
      </c>
      <c r="L660" t="s" s="24">
        <v>34</v>
      </c>
      <c r="M660" t="s" s="12">
        <v>5810</v>
      </c>
      <c r="N660" t="s" s="10">
        <v>5811</v>
      </c>
      <c r="O660" t="s" s="10">
        <v>5812</v>
      </c>
      <c r="P660" t="s" s="10">
        <v>5813</v>
      </c>
      <c r="Q660" t="s" s="10">
        <v>5814</v>
      </c>
      <c r="R660" t="s" s="10">
        <v>5815</v>
      </c>
      <c r="S660" t="s" s="10">
        <v>34</v>
      </c>
      <c r="T660" t="s" s="12">
        <v>34</v>
      </c>
      <c r="U660" t="s" s="10">
        <v>5816</v>
      </c>
      <c r="V660" t="s" s="12">
        <v>34</v>
      </c>
      <c r="W660" t="s" s="10">
        <v>5817</v>
      </c>
      <c r="X660" s="16">
        <f>HYPERLINK("https://my.pitchbook.com?p=359275-06P", "View People Online")</f>
      </c>
    </row>
    <row r="661">
      <c r="A661" t="s" s="11">
        <v>5818</v>
      </c>
      <c r="B661" t="s" s="11">
        <v>5819</v>
      </c>
      <c r="C661" t="s" s="11">
        <v>34</v>
      </c>
      <c r="D661" t="s" s="11">
        <v>3867</v>
      </c>
      <c r="E661" t="s" s="11">
        <v>3715</v>
      </c>
      <c r="F661" t="s" s="11">
        <v>4245</v>
      </c>
      <c r="G661" t="s" s="11">
        <v>5802</v>
      </c>
      <c r="H661" s="17">
        <f>HYPERLINK("http://www.selleroyalgroup.com", "www.selleroyalgroup.com")</f>
      </c>
      <c r="I661" t="s" s="11">
        <v>2072</v>
      </c>
      <c r="J661" t="s" s="25">
        <v>34</v>
      </c>
      <c r="K661" s="25">
        <v>1</v>
      </c>
      <c r="L661" t="s" s="25">
        <v>34</v>
      </c>
      <c r="M661" t="s" s="13">
        <v>3872</v>
      </c>
      <c r="N661" t="s" s="11">
        <v>5820</v>
      </c>
      <c r="O661" t="s" s="11">
        <v>3874</v>
      </c>
      <c r="P661" t="s" s="11">
        <v>3875</v>
      </c>
      <c r="Q661" t="s" s="11">
        <v>34</v>
      </c>
      <c r="R661" t="s" s="11">
        <v>3876</v>
      </c>
      <c r="S661" t="s" s="11">
        <v>3877</v>
      </c>
      <c r="T661" t="s" s="13">
        <v>3878</v>
      </c>
      <c r="U661" t="s" s="11">
        <v>2566</v>
      </c>
      <c r="V661" t="s" s="13">
        <v>34</v>
      </c>
      <c r="W661" t="s" s="11">
        <v>5821</v>
      </c>
      <c r="X661" s="17">
        <f>HYPERLINK("https://my.pitchbook.com?p=262945-00P", "View People Online")</f>
      </c>
    </row>
    <row r="662">
      <c r="A662" t="s" s="10">
        <v>5822</v>
      </c>
      <c r="B662" t="s" s="10">
        <v>5823</v>
      </c>
      <c r="C662" t="s" s="10">
        <v>34</v>
      </c>
      <c r="D662" t="s" s="10">
        <v>3963</v>
      </c>
      <c r="E662" t="s" s="10">
        <v>3715</v>
      </c>
      <c r="F662" t="s" s="10">
        <v>5824</v>
      </c>
      <c r="G662" t="s" s="10">
        <v>5825</v>
      </c>
      <c r="H662" s="16">
        <f>HYPERLINK("http://www.pertamedika.co.id", "www.pertamedika.co.id")</f>
      </c>
      <c r="I662" t="s" s="10">
        <v>5826</v>
      </c>
      <c r="J662" s="24">
        <v>1</v>
      </c>
      <c r="K662" s="24">
        <v>1</v>
      </c>
      <c r="L662" t="s" s="24">
        <v>34</v>
      </c>
      <c r="M662" t="s" s="12">
        <v>3967</v>
      </c>
      <c r="N662" t="s" s="10">
        <v>5827</v>
      </c>
      <c r="O662" t="s" s="10">
        <v>3969</v>
      </c>
      <c r="P662" t="s" s="10">
        <v>3970</v>
      </c>
      <c r="Q662" t="s" s="10">
        <v>34</v>
      </c>
      <c r="R662" t="s" s="10">
        <v>3971</v>
      </c>
      <c r="S662" t="s" s="10">
        <v>34</v>
      </c>
      <c r="T662" t="s" s="12">
        <v>3972</v>
      </c>
      <c r="U662" t="s" s="10">
        <v>3973</v>
      </c>
      <c r="V662" t="s" s="12">
        <v>34</v>
      </c>
      <c r="W662" t="s" s="10">
        <v>5828</v>
      </c>
      <c r="X662" s="16">
        <f>HYPERLINK("https://my.pitchbook.com?p=443151-46P", "View People Online")</f>
      </c>
    </row>
    <row r="663">
      <c r="A663" t="s" s="11">
        <v>5829</v>
      </c>
      <c r="B663" t="s" s="11">
        <v>5830</v>
      </c>
      <c r="C663" t="s" s="11">
        <v>34</v>
      </c>
      <c r="D663" t="s" s="11">
        <v>5831</v>
      </c>
      <c r="E663" t="s" s="11">
        <v>3715</v>
      </c>
      <c r="F663" t="s" s="11">
        <v>5832</v>
      </c>
      <c r="G663" t="s" s="11">
        <v>5833</v>
      </c>
      <c r="H663" s="17">
        <f>HYPERLINK("http://www.healthtrackrx.com", "www.healthtrackrx.com")</f>
      </c>
      <c r="I663" t="s" s="11">
        <v>1358</v>
      </c>
      <c r="J663" t="s" s="25">
        <v>34</v>
      </c>
      <c r="K663" t="s" s="25">
        <v>34</v>
      </c>
      <c r="L663" t="s" s="25">
        <v>34</v>
      </c>
      <c r="M663" t="s" s="13">
        <v>5835</v>
      </c>
      <c r="N663" t="s" s="11">
        <v>5836</v>
      </c>
      <c r="O663" t="s" s="11">
        <v>5837</v>
      </c>
      <c r="P663" t="s" s="11">
        <v>5838</v>
      </c>
      <c r="Q663" t="s" s="11">
        <v>34</v>
      </c>
      <c r="R663" t="s" s="11">
        <v>5839</v>
      </c>
      <c r="S663" t="s" s="11">
        <v>225</v>
      </c>
      <c r="T663" t="s" s="13">
        <v>5840</v>
      </c>
      <c r="U663" t="s" s="11">
        <v>88</v>
      </c>
      <c r="V663" t="s" s="13">
        <v>34</v>
      </c>
      <c r="W663" t="s" s="11">
        <v>5841</v>
      </c>
      <c r="X663" s="17">
        <f>HYPERLINK("https://my.pitchbook.com?p=247016-80P", "View People Online")</f>
      </c>
    </row>
    <row r="664">
      <c r="A664" t="s" s="10">
        <v>5842</v>
      </c>
      <c r="B664" t="s" s="10">
        <v>5843</v>
      </c>
      <c r="C664" t="s" s="10">
        <v>34</v>
      </c>
      <c r="D664" t="s" s="10">
        <v>3924</v>
      </c>
      <c r="E664" t="s" s="10">
        <v>3715</v>
      </c>
      <c r="F664" t="s" s="10">
        <v>5160</v>
      </c>
      <c r="G664" t="s" s="10">
        <v>5844</v>
      </c>
      <c r="H664" s="16">
        <f>HYPERLINK("http://www.g42.ai", "www.g42.ai")</f>
      </c>
      <c r="I664" t="s" s="10">
        <v>5845</v>
      </c>
      <c r="J664" s="24">
        <v>1</v>
      </c>
      <c r="K664" s="24">
        <v>3</v>
      </c>
      <c r="L664" s="24">
        <v>1</v>
      </c>
      <c r="M664" t="s" s="12">
        <v>34</v>
      </c>
      <c r="N664" t="s" s="10">
        <v>5846</v>
      </c>
      <c r="O664" t="s" s="10">
        <v>385</v>
      </c>
      <c r="P664" t="s" s="10">
        <v>3930</v>
      </c>
      <c r="Q664" t="s" s="10">
        <v>3931</v>
      </c>
      <c r="R664" t="s" s="10">
        <v>388</v>
      </c>
      <c r="S664" t="s" s="10">
        <v>34</v>
      </c>
      <c r="T664" t="s" s="12">
        <v>34</v>
      </c>
      <c r="U664" t="s" s="10">
        <v>240</v>
      </c>
      <c r="V664" t="s" s="12">
        <v>34</v>
      </c>
      <c r="W664" t="s" s="10">
        <v>5847</v>
      </c>
      <c r="X664" s="16">
        <f>HYPERLINK("https://my.pitchbook.com?p=259625-44P", "View People Online")</f>
      </c>
    </row>
    <row r="665">
      <c r="A665" t="s" s="11">
        <v>5848</v>
      </c>
      <c r="B665" t="s" s="11">
        <v>5849</v>
      </c>
      <c r="C665" t="s" s="11">
        <v>34</v>
      </c>
      <c r="D665" t="s" s="11">
        <v>5850</v>
      </c>
      <c r="E665" t="s" s="11">
        <v>3715</v>
      </c>
      <c r="F665" t="s" s="11">
        <v>5851</v>
      </c>
      <c r="G665" t="s" s="11">
        <v>2051</v>
      </c>
      <c r="H665" s="17">
        <f>HYPERLINK("http://www.contour.eu", "www.contour.eu")</f>
      </c>
      <c r="I665" t="s" s="11">
        <v>369</v>
      </c>
      <c r="J665" t="s" s="25">
        <v>34</v>
      </c>
      <c r="K665" s="25">
        <v>1</v>
      </c>
      <c r="L665" t="s" s="25">
        <v>34</v>
      </c>
      <c r="M665" t="s" s="13">
        <v>5853</v>
      </c>
      <c r="N665" t="s" s="11">
        <v>5854</v>
      </c>
      <c r="O665" t="s" s="11">
        <v>5855</v>
      </c>
      <c r="P665" t="s" s="11">
        <v>5856</v>
      </c>
      <c r="Q665" t="s" s="11">
        <v>34</v>
      </c>
      <c r="R665" t="s" s="11">
        <v>5857</v>
      </c>
      <c r="S665" t="s" s="11">
        <v>34</v>
      </c>
      <c r="T665" t="s" s="13">
        <v>5858</v>
      </c>
      <c r="U665" t="s" s="11">
        <v>103</v>
      </c>
      <c r="V665" t="s" s="13">
        <v>5859</v>
      </c>
      <c r="W665" t="s" s="11">
        <v>5860</v>
      </c>
      <c r="X665" s="17">
        <f>HYPERLINK("https://my.pitchbook.com?p=142215-31P", "View People Online")</f>
      </c>
    </row>
    <row r="666">
      <c r="A666" t="s" s="10">
        <v>5861</v>
      </c>
      <c r="B666" t="s" s="10">
        <v>5862</v>
      </c>
      <c r="C666" t="s" s="10">
        <v>34</v>
      </c>
      <c r="D666" t="s" s="10">
        <v>5863</v>
      </c>
      <c r="E666" t="s" s="10">
        <v>3715</v>
      </c>
      <c r="F666" t="s" s="10">
        <v>5864</v>
      </c>
      <c r="G666" t="s" s="10">
        <v>2051</v>
      </c>
      <c r="H666" s="16">
        <f>HYPERLINK("http://www.lungbiotechnology.com", "www.lungbiotechnology.com")</f>
      </c>
      <c r="I666" t="s" s="10">
        <v>5866</v>
      </c>
      <c r="J666" t="s" s="24">
        <v>34</v>
      </c>
      <c r="K666" s="24">
        <v>1</v>
      </c>
      <c r="L666" t="s" s="24">
        <v>34</v>
      </c>
      <c r="M666" t="s" s="12">
        <v>5867</v>
      </c>
      <c r="N666" t="s" s="10">
        <v>5868</v>
      </c>
      <c r="O666" t="s" s="10">
        <v>5869</v>
      </c>
      <c r="P666" t="s" s="10">
        <v>5870</v>
      </c>
      <c r="Q666" t="s" s="10">
        <v>34</v>
      </c>
      <c r="R666" t="s" s="10">
        <v>5871</v>
      </c>
      <c r="S666" t="s" s="10">
        <v>158</v>
      </c>
      <c r="T666" t="s" s="12">
        <v>5872</v>
      </c>
      <c r="U666" t="s" s="10">
        <v>88</v>
      </c>
      <c r="V666" t="s" s="12">
        <v>5873</v>
      </c>
      <c r="W666" t="s" s="10">
        <v>5874</v>
      </c>
      <c r="X666" s="16">
        <f>HYPERLINK("https://my.pitchbook.com?p=156918-52P", "View People Online")</f>
      </c>
    </row>
    <row r="667">
      <c r="A667" t="s" s="11">
        <v>5875</v>
      </c>
      <c r="B667" t="s" s="11">
        <v>5876</v>
      </c>
      <c r="C667" t="s" s="11">
        <v>34</v>
      </c>
      <c r="D667" t="s" s="11">
        <v>5877</v>
      </c>
      <c r="E667" t="s" s="11">
        <v>3715</v>
      </c>
      <c r="F667" t="s" s="11">
        <v>5878</v>
      </c>
      <c r="G667" t="s" s="11">
        <v>5879</v>
      </c>
      <c r="H667" s="17">
        <f>HYPERLINK("http://www.tiogacardiovascular.com", "www.tiogacardiovascular.com")</f>
      </c>
      <c r="I667" t="s" s="11">
        <v>5881</v>
      </c>
      <c r="J667" t="s" s="25">
        <v>34</v>
      </c>
      <c r="K667" s="25">
        <v>1</v>
      </c>
      <c r="L667" t="s" s="25">
        <v>34</v>
      </c>
      <c r="M667" t="s" s="13">
        <v>5882</v>
      </c>
      <c r="N667" t="s" s="11">
        <v>5883</v>
      </c>
      <c r="O667" t="s" s="11">
        <v>5884</v>
      </c>
      <c r="P667" t="s" s="11">
        <v>5885</v>
      </c>
      <c r="Q667" t="s" s="11">
        <v>5886</v>
      </c>
      <c r="R667" t="s" s="11">
        <v>5887</v>
      </c>
      <c r="S667" t="s" s="11">
        <v>1904</v>
      </c>
      <c r="T667" t="s" s="13">
        <v>5888</v>
      </c>
      <c r="U667" t="s" s="11">
        <v>88</v>
      </c>
      <c r="V667" t="s" s="13">
        <v>34</v>
      </c>
      <c r="W667" t="s" s="11">
        <v>5889</v>
      </c>
      <c r="X667" s="17">
        <f>HYPERLINK("https://my.pitchbook.com?p=465075-01P", "View People Online")</f>
      </c>
    </row>
    <row r="668">
      <c r="A668" t="s" s="10">
        <v>5890</v>
      </c>
      <c r="B668" t="s" s="10">
        <v>5891</v>
      </c>
      <c r="C668" t="s" s="10">
        <v>34</v>
      </c>
      <c r="D668" t="s" s="10">
        <v>5892</v>
      </c>
      <c r="E668" t="s" s="10">
        <v>3715</v>
      </c>
      <c r="F668" t="s" s="10">
        <v>5893</v>
      </c>
      <c r="G668" t="s" s="10">
        <v>5894</v>
      </c>
      <c r="H668" s="16">
        <f>HYPERLINK("http://www.holexp.com", "www.holexp.com")</f>
      </c>
      <c r="I668" t="s" s="10">
        <v>1346</v>
      </c>
      <c r="J668" t="s" s="24">
        <v>34</v>
      </c>
      <c r="K668" s="24">
        <v>1</v>
      </c>
      <c r="L668" t="s" s="24">
        <v>34</v>
      </c>
      <c r="M668" t="s" s="12">
        <v>34</v>
      </c>
      <c r="N668" t="s" s="10">
        <v>34</v>
      </c>
      <c r="O668" t="s" s="10">
        <v>5896</v>
      </c>
      <c r="P668" t="s" s="10">
        <v>5897</v>
      </c>
      <c r="Q668" t="s" s="10">
        <v>5898</v>
      </c>
      <c r="R668" t="s" s="10">
        <v>5899</v>
      </c>
      <c r="S668" t="s" s="10">
        <v>34</v>
      </c>
      <c r="T668" t="s" s="12">
        <v>34</v>
      </c>
      <c r="U668" t="s" s="10">
        <v>5614</v>
      </c>
      <c r="V668" t="s" s="12">
        <v>34</v>
      </c>
      <c r="W668" t="s" s="10">
        <v>5900</v>
      </c>
      <c r="X668" s="16">
        <f>HYPERLINK("https://my.pitchbook.com?p=443118-70P", "View People Online")</f>
      </c>
    </row>
    <row r="669">
      <c r="A669" t="s" s="11">
        <v>5901</v>
      </c>
      <c r="B669" t="s" s="11">
        <v>5902</v>
      </c>
      <c r="C669" t="s" s="11">
        <v>34</v>
      </c>
      <c r="D669" t="s" s="11">
        <v>5903</v>
      </c>
      <c r="E669" t="s" s="11">
        <v>3715</v>
      </c>
      <c r="F669" t="s" s="11">
        <v>5904</v>
      </c>
      <c r="G669" t="s" s="11">
        <v>5905</v>
      </c>
      <c r="H669" s="17">
        <f>HYPERLINK("http://www.trenitalia.com", "www.trenitalia.com")</f>
      </c>
      <c r="I669" t="s" s="11">
        <v>5907</v>
      </c>
      <c r="J669" t="s" s="25">
        <v>34</v>
      </c>
      <c r="K669" s="25">
        <v>1</v>
      </c>
      <c r="L669" t="s" s="25">
        <v>34</v>
      </c>
      <c r="M669" t="s" s="13">
        <v>34</v>
      </c>
      <c r="N669" t="s" s="11">
        <v>5908</v>
      </c>
      <c r="O669" t="s" s="11">
        <v>5909</v>
      </c>
      <c r="P669" t="s" s="11">
        <v>5910</v>
      </c>
      <c r="Q669" t="s" s="11">
        <v>34</v>
      </c>
      <c r="R669" t="s" s="11">
        <v>5911</v>
      </c>
      <c r="S669" t="s" s="11">
        <v>34</v>
      </c>
      <c r="T669" t="s" s="13">
        <v>5912</v>
      </c>
      <c r="U669" t="s" s="11">
        <v>2566</v>
      </c>
      <c r="V669" t="s" s="13">
        <v>34</v>
      </c>
      <c r="W669" t="s" s="11">
        <v>5913</v>
      </c>
      <c r="X669" s="17">
        <f>HYPERLINK("https://my.pitchbook.com?p=404791-48P", "View People Online")</f>
      </c>
    </row>
    <row r="670">
      <c r="A670" t="s" s="10">
        <v>5914</v>
      </c>
      <c r="B670" t="s" s="10">
        <v>5915</v>
      </c>
      <c r="C670" t="s" s="10">
        <v>34</v>
      </c>
      <c r="D670" t="s" s="10">
        <v>4427</v>
      </c>
      <c r="E670" t="s" s="10">
        <v>3715</v>
      </c>
      <c r="F670" t="s" s="10">
        <v>5916</v>
      </c>
      <c r="G670" t="s" s="10">
        <v>5917</v>
      </c>
      <c r="H670" s="16">
        <f>HYPERLINK("http://www.regenereyes.com", "www.regenereyes.com")</f>
      </c>
      <c r="I670" t="s" s="10">
        <v>5918</v>
      </c>
      <c r="J670" t="s" s="24">
        <v>34</v>
      </c>
      <c r="K670" s="24">
        <v>1</v>
      </c>
      <c r="L670" t="s" s="24">
        <v>34</v>
      </c>
      <c r="M670" t="s" s="12">
        <v>5919</v>
      </c>
      <c r="N670" t="s" s="10">
        <v>34</v>
      </c>
      <c r="O670" t="s" s="10">
        <v>4433</v>
      </c>
      <c r="P670" t="s" s="10">
        <v>4434</v>
      </c>
      <c r="Q670" t="s" s="10">
        <v>4435</v>
      </c>
      <c r="R670" t="s" s="10">
        <v>4436</v>
      </c>
      <c r="S670" t="s" s="10">
        <v>2156</v>
      </c>
      <c r="T670" t="s" s="12">
        <v>4437</v>
      </c>
      <c r="U670" t="s" s="10">
        <v>88</v>
      </c>
      <c r="V670" t="s" s="12">
        <v>34</v>
      </c>
      <c r="W670" t="s" s="10">
        <v>5920</v>
      </c>
      <c r="X670" s="16">
        <f>HYPERLINK("https://my.pitchbook.com?p=112892-50P", "View People Online")</f>
      </c>
    </row>
    <row r="671">
      <c r="A671" t="s" s="11">
        <v>5921</v>
      </c>
      <c r="B671" t="s" s="11">
        <v>5922</v>
      </c>
      <c r="C671" t="s" s="11">
        <v>34</v>
      </c>
      <c r="D671" t="s" s="11">
        <v>5923</v>
      </c>
      <c r="E671" t="s" s="11">
        <v>3715</v>
      </c>
      <c r="F671" t="s" s="11">
        <v>5924</v>
      </c>
      <c r="G671" t="s" s="11">
        <v>1564</v>
      </c>
      <c r="H671" s="17">
        <f>HYPERLINK("http://www.aradastoves.com", "www.aradastoves.com")</f>
      </c>
      <c r="I671" t="s" s="11">
        <v>649</v>
      </c>
      <c r="J671" t="s" s="25">
        <v>34</v>
      </c>
      <c r="K671" t="s" s="25">
        <v>34</v>
      </c>
      <c r="L671" t="s" s="25">
        <v>34</v>
      </c>
      <c r="M671" t="s" s="13">
        <v>5926</v>
      </c>
      <c r="N671" t="s" s="11">
        <v>34</v>
      </c>
      <c r="O671" t="s" s="11">
        <v>5927</v>
      </c>
      <c r="P671" t="s" s="11">
        <v>5928</v>
      </c>
      <c r="Q671" t="s" s="11">
        <v>34</v>
      </c>
      <c r="R671" t="s" s="11">
        <v>5929</v>
      </c>
      <c r="S671" t="s" s="11">
        <v>47</v>
      </c>
      <c r="T671" t="s" s="13">
        <v>5930</v>
      </c>
      <c r="U671" t="s" s="11">
        <v>49</v>
      </c>
      <c r="V671" t="s" s="13">
        <v>34</v>
      </c>
      <c r="W671" t="s" s="11">
        <v>5931</v>
      </c>
      <c r="X671" s="17">
        <f>HYPERLINK("https://my.pitchbook.com?p=215007-13P", "View People Online")</f>
      </c>
    </row>
    <row r="672">
      <c r="A672" t="s" s="10">
        <v>5932</v>
      </c>
      <c r="B672" t="s" s="10">
        <v>5933</v>
      </c>
      <c r="C672" t="s" s="10">
        <v>34</v>
      </c>
      <c r="D672" t="s" s="10">
        <v>5934</v>
      </c>
      <c r="E672" t="s" s="10">
        <v>3715</v>
      </c>
      <c r="F672" t="s" s="10">
        <v>5935</v>
      </c>
      <c r="G672" t="s" s="10">
        <v>1564</v>
      </c>
      <c r="H672" s="16">
        <f>HYPERLINK("http://www.devsvcs.com", "www.devsvcs.com")</f>
      </c>
      <c r="I672" t="s" s="10">
        <v>5937</v>
      </c>
      <c r="J672" t="s" s="24">
        <v>34</v>
      </c>
      <c r="K672" s="24">
        <v>1</v>
      </c>
      <c r="L672" t="s" s="24">
        <v>34</v>
      </c>
      <c r="M672" t="s" s="12">
        <v>5938</v>
      </c>
      <c r="N672" t="s" s="10">
        <v>5939</v>
      </c>
      <c r="O672" t="s" s="10">
        <v>2975</v>
      </c>
      <c r="P672" t="s" s="10">
        <v>5940</v>
      </c>
      <c r="Q672" t="s" s="10">
        <v>5941</v>
      </c>
      <c r="R672" t="s" s="10">
        <v>2978</v>
      </c>
      <c r="S672" t="s" s="10">
        <v>2078</v>
      </c>
      <c r="T672" t="s" s="12">
        <v>5942</v>
      </c>
      <c r="U672" t="s" s="10">
        <v>88</v>
      </c>
      <c r="V672" t="s" s="12">
        <v>34</v>
      </c>
      <c r="W672" t="s" s="10">
        <v>5943</v>
      </c>
      <c r="X672" s="16">
        <f>HYPERLINK("https://my.pitchbook.com?p=442663-93P", "View People Online")</f>
      </c>
    </row>
    <row r="673">
      <c r="A673" t="s" s="11">
        <v>5944</v>
      </c>
      <c r="B673" t="s" s="11">
        <v>5945</v>
      </c>
      <c r="C673" t="s" s="11">
        <v>34</v>
      </c>
      <c r="D673" t="s" s="11">
        <v>5946</v>
      </c>
      <c r="E673" t="s" s="11">
        <v>3715</v>
      </c>
      <c r="F673" t="s" s="11">
        <v>5947</v>
      </c>
      <c r="G673" t="s" s="11">
        <v>1564</v>
      </c>
      <c r="H673" s="17">
        <f>HYPERLINK("http://www.scrippsnetworksinteractive.com", "www.scrippsnetworksinteractive.com")</f>
      </c>
      <c r="I673" t="s" s="11">
        <v>5949</v>
      </c>
      <c r="J673" t="s" s="25">
        <v>34</v>
      </c>
      <c r="K673" t="s" s="25">
        <v>34</v>
      </c>
      <c r="L673" t="s" s="25">
        <v>34</v>
      </c>
      <c r="M673" t="s" s="13">
        <v>34</v>
      </c>
      <c r="N673" t="s" s="11">
        <v>34</v>
      </c>
      <c r="O673" t="s" s="11">
        <v>34</v>
      </c>
      <c r="P673" t="s" s="11">
        <v>34</v>
      </c>
      <c r="Q673" t="s" s="11">
        <v>34</v>
      </c>
      <c r="R673" t="s" s="11">
        <v>34</v>
      </c>
      <c r="S673" t="s" s="11">
        <v>34</v>
      </c>
      <c r="T673" t="s" s="13">
        <v>34</v>
      </c>
      <c r="U673" t="s" s="11">
        <v>34</v>
      </c>
      <c r="V673" t="s" s="13">
        <v>34</v>
      </c>
      <c r="W673" t="s" s="11">
        <v>5950</v>
      </c>
      <c r="X673" s="17">
        <f>HYPERLINK("https://my.pitchbook.com?p=152786-44P", "View People Online")</f>
      </c>
    </row>
    <row r="674">
      <c r="A674" t="s" s="10">
        <v>5951</v>
      </c>
      <c r="B674" t="s" s="10">
        <v>5952</v>
      </c>
      <c r="C674" t="s" s="10">
        <v>34</v>
      </c>
      <c r="D674" t="s" s="10">
        <v>5953</v>
      </c>
      <c r="E674" t="s" s="10">
        <v>3715</v>
      </c>
      <c r="F674" t="s" s="10">
        <v>5954</v>
      </c>
      <c r="G674" t="s" s="10">
        <v>1564</v>
      </c>
      <c r="H674" s="16">
        <f>HYPERLINK("http://p2sc.net", "p2sc.net")</f>
      </c>
      <c r="I674" t="s" s="10">
        <v>1346</v>
      </c>
      <c r="J674" t="s" s="24">
        <v>34</v>
      </c>
      <c r="K674" s="24">
        <v>1</v>
      </c>
      <c r="L674" t="s" s="24">
        <v>34</v>
      </c>
      <c r="M674" t="s" s="12">
        <v>5956</v>
      </c>
      <c r="N674" t="s" s="10">
        <v>34</v>
      </c>
      <c r="O674" t="s" s="10">
        <v>5957</v>
      </c>
      <c r="P674" t="s" s="10">
        <v>5958</v>
      </c>
      <c r="Q674" t="s" s="10">
        <v>34</v>
      </c>
      <c r="R674" t="s" s="10">
        <v>5959</v>
      </c>
      <c r="S674" t="s" s="10">
        <v>2078</v>
      </c>
      <c r="T674" t="s" s="12">
        <v>5960</v>
      </c>
      <c r="U674" t="s" s="10">
        <v>88</v>
      </c>
      <c r="V674" t="s" s="12">
        <v>34</v>
      </c>
      <c r="W674" t="s" s="10">
        <v>5961</v>
      </c>
      <c r="X674" s="16">
        <f>HYPERLINK("https://my.pitchbook.com?p=363330-37P", "View People Online")</f>
      </c>
    </row>
    <row r="675">
      <c r="A675" t="s" s="11">
        <v>5962</v>
      </c>
      <c r="B675" t="s" s="11">
        <v>5963</v>
      </c>
      <c r="C675" t="s" s="11">
        <v>34</v>
      </c>
      <c r="D675" t="s" s="11">
        <v>5964</v>
      </c>
      <c r="E675" t="s" s="11">
        <v>3715</v>
      </c>
      <c r="F675" t="s" s="11">
        <v>5965</v>
      </c>
      <c r="G675" t="s" s="11">
        <v>1564</v>
      </c>
      <c r="H675" s="17">
        <f>HYPERLINK("http://www.lactalis.ca", "www.lactalis.ca")</f>
      </c>
      <c r="I675" t="s" s="11">
        <v>5967</v>
      </c>
      <c r="J675" t="s" s="25">
        <v>34</v>
      </c>
      <c r="K675" s="25">
        <v>3</v>
      </c>
      <c r="L675" s="25">
        <v>2</v>
      </c>
      <c r="M675" t="s" s="13">
        <v>5968</v>
      </c>
      <c r="N675" t="s" s="11">
        <v>5969</v>
      </c>
      <c r="O675" t="s" s="11">
        <v>2662</v>
      </c>
      <c r="P675" t="s" s="11">
        <v>5970</v>
      </c>
      <c r="Q675" t="s" s="11">
        <v>5971</v>
      </c>
      <c r="R675" t="s" s="11">
        <v>2665</v>
      </c>
      <c r="S675" t="s" s="11">
        <v>2138</v>
      </c>
      <c r="T675" t="s" s="13">
        <v>5972</v>
      </c>
      <c r="U675" t="s" s="11">
        <v>1613</v>
      </c>
      <c r="V675" t="s" s="13">
        <v>5973</v>
      </c>
      <c r="W675" t="s" s="11">
        <v>5974</v>
      </c>
      <c r="X675" s="17">
        <f>HYPERLINK("https://my.pitchbook.com?p=248824-90P", "View People Online")</f>
      </c>
    </row>
    <row r="676">
      <c r="A676" t="s" s="10">
        <v>5975</v>
      </c>
      <c r="B676" t="s" s="10">
        <v>5976</v>
      </c>
      <c r="C676" t="s" s="10">
        <v>34</v>
      </c>
      <c r="D676" t="s" s="10">
        <v>5977</v>
      </c>
      <c r="E676" t="s" s="10">
        <v>3715</v>
      </c>
      <c r="F676" t="s" s="10">
        <v>5978</v>
      </c>
      <c r="G676" t="s" s="10">
        <v>1564</v>
      </c>
      <c r="H676" t="s" s="10">
        <v>34</v>
      </c>
      <c r="I676" t="s" s="10">
        <v>322</v>
      </c>
      <c r="J676" s="24">
        <v>1</v>
      </c>
      <c r="K676" s="24">
        <v>2</v>
      </c>
      <c r="L676" t="s" s="24">
        <v>34</v>
      </c>
      <c r="M676" t="s" s="12">
        <v>34</v>
      </c>
      <c r="N676" t="s" s="10">
        <v>5979</v>
      </c>
      <c r="O676" t="s" s="10">
        <v>385</v>
      </c>
      <c r="P676" t="s" s="10">
        <v>5980</v>
      </c>
      <c r="Q676" t="s" s="10">
        <v>34</v>
      </c>
      <c r="R676" t="s" s="10">
        <v>388</v>
      </c>
      <c r="S676" t="s" s="10">
        <v>34</v>
      </c>
      <c r="T676" t="s" s="12">
        <v>34</v>
      </c>
      <c r="U676" t="s" s="10">
        <v>240</v>
      </c>
      <c r="V676" t="s" s="12">
        <v>34</v>
      </c>
      <c r="W676" t="s" s="10">
        <v>5981</v>
      </c>
      <c r="X676" s="16">
        <f>HYPERLINK("https://my.pitchbook.com?p=432588-70P", "View People Online")</f>
      </c>
    </row>
    <row r="677">
      <c r="A677" t="s" s="11">
        <v>5982</v>
      </c>
      <c r="B677" t="s" s="11">
        <v>5983</v>
      </c>
      <c r="C677" t="s" s="11">
        <v>34</v>
      </c>
      <c r="D677" t="s" s="11">
        <v>5984</v>
      </c>
      <c r="E677" t="s" s="11">
        <v>3715</v>
      </c>
      <c r="F677" t="s" s="11">
        <v>5985</v>
      </c>
      <c r="G677" t="s" s="11">
        <v>1571</v>
      </c>
      <c r="H677" s="17">
        <f>HYPERLINK("http://www.mairdumont.com", "www.mairdumont.com")</f>
      </c>
      <c r="I677" t="s" s="11">
        <v>5987</v>
      </c>
      <c r="J677" t="s" s="25">
        <v>34</v>
      </c>
      <c r="K677" s="25">
        <v>2</v>
      </c>
      <c r="L677" t="s" s="25">
        <v>34</v>
      </c>
      <c r="M677" t="s" s="13">
        <v>5988</v>
      </c>
      <c r="N677" t="s" s="11">
        <v>5989</v>
      </c>
      <c r="O677" t="s" s="11">
        <v>5990</v>
      </c>
      <c r="P677" t="s" s="11">
        <v>5991</v>
      </c>
      <c r="Q677" t="s" s="11">
        <v>34</v>
      </c>
      <c r="R677" t="s" s="11">
        <v>5992</v>
      </c>
      <c r="S677" t="s" s="11">
        <v>34</v>
      </c>
      <c r="T677" t="s" s="13">
        <v>5993</v>
      </c>
      <c r="U677" t="s" s="11">
        <v>1181</v>
      </c>
      <c r="V677" t="s" s="13">
        <v>5994</v>
      </c>
      <c r="W677" t="s" s="11">
        <v>5995</v>
      </c>
      <c r="X677" s="17">
        <f>HYPERLINK("https://my.pitchbook.com?p=131529-52P", "View People Online")</f>
      </c>
    </row>
    <row r="678">
      <c r="A678" t="s" s="10">
        <v>5996</v>
      </c>
      <c r="B678" t="s" s="10">
        <v>5997</v>
      </c>
      <c r="C678" t="s" s="10">
        <v>34</v>
      </c>
      <c r="D678" t="s" s="10">
        <v>5998</v>
      </c>
      <c r="E678" t="s" s="10">
        <v>3715</v>
      </c>
      <c r="F678" t="s" s="10">
        <v>5999</v>
      </c>
      <c r="G678" t="s" s="10">
        <v>6000</v>
      </c>
      <c r="H678" s="16">
        <f>HYPERLINK("http://www.moonstonenutrition.com", "www.moonstonenutrition.com")</f>
      </c>
      <c r="I678" t="s" s="10">
        <v>6002</v>
      </c>
      <c r="J678" t="s" s="24">
        <v>34</v>
      </c>
      <c r="K678" s="24">
        <v>2</v>
      </c>
      <c r="L678" t="s" s="24">
        <v>34</v>
      </c>
      <c r="M678" t="s" s="12">
        <v>34</v>
      </c>
      <c r="N678" t="s" s="10">
        <v>34</v>
      </c>
      <c r="O678" t="s" s="10">
        <v>6003</v>
      </c>
      <c r="P678" t="s" s="10">
        <v>6004</v>
      </c>
      <c r="Q678" t="s" s="10">
        <v>4601</v>
      </c>
      <c r="R678" t="s" s="10">
        <v>6005</v>
      </c>
      <c r="S678" t="s" s="10">
        <v>1303</v>
      </c>
      <c r="T678" t="s" s="12">
        <v>6006</v>
      </c>
      <c r="U678" t="s" s="10">
        <v>88</v>
      </c>
      <c r="V678" t="s" s="12">
        <v>34</v>
      </c>
      <c r="W678" t="s" s="10">
        <v>6007</v>
      </c>
      <c r="X678" s="16">
        <f>HYPERLINK("https://my.pitchbook.com?p=248240-53P", "View People Online")</f>
      </c>
    </row>
    <row r="679">
      <c r="A679" t="s" s="11">
        <v>6008</v>
      </c>
      <c r="B679" t="s" s="11">
        <v>6009</v>
      </c>
      <c r="C679" t="s" s="11">
        <v>34</v>
      </c>
      <c r="D679" t="s" s="11">
        <v>6010</v>
      </c>
      <c r="E679" t="s" s="11">
        <v>3715</v>
      </c>
      <c r="F679" t="s" s="11">
        <v>6011</v>
      </c>
      <c r="G679" t="s" s="11">
        <v>1824</v>
      </c>
      <c r="H679" s="17">
        <f>HYPERLINK("http://www.kindconsumer.com", "www.kindconsumer.com")</f>
      </c>
      <c r="I679" t="s" s="11">
        <v>2040</v>
      </c>
      <c r="J679" t="s" s="25">
        <v>34</v>
      </c>
      <c r="K679" t="s" s="25">
        <v>34</v>
      </c>
      <c r="L679" t="s" s="25">
        <v>34</v>
      </c>
      <c r="M679" t="s" s="13">
        <v>34</v>
      </c>
      <c r="N679" t="s" s="11">
        <v>34</v>
      </c>
      <c r="O679" t="s" s="11">
        <v>34</v>
      </c>
      <c r="P679" t="s" s="11">
        <v>34</v>
      </c>
      <c r="Q679" t="s" s="11">
        <v>34</v>
      </c>
      <c r="R679" t="s" s="11">
        <v>34</v>
      </c>
      <c r="S679" t="s" s="11">
        <v>34</v>
      </c>
      <c r="T679" t="s" s="13">
        <v>34</v>
      </c>
      <c r="U679" t="s" s="11">
        <v>34</v>
      </c>
      <c r="V679" t="s" s="13">
        <v>34</v>
      </c>
      <c r="W679" t="s" s="11">
        <v>6013</v>
      </c>
      <c r="X679" s="17">
        <f>HYPERLINK("https://my.pitchbook.com?p=64002-70P", "View People Online")</f>
      </c>
    </row>
    <row r="680">
      <c r="A680" t="s" s="10">
        <v>6014</v>
      </c>
      <c r="B680" t="s" s="10">
        <v>6015</v>
      </c>
      <c r="C680" t="s" s="10">
        <v>34</v>
      </c>
      <c r="D680" t="s" s="10">
        <v>3924</v>
      </c>
      <c r="E680" t="s" s="10">
        <v>3715</v>
      </c>
      <c r="F680" t="s" s="10">
        <v>6016</v>
      </c>
      <c r="G680" t="s" s="10">
        <v>1824</v>
      </c>
      <c r="H680" s="16">
        <f>HYPERLINK("http://www.g42.ai", "www.g42.ai")</f>
      </c>
      <c r="I680" t="s" s="10">
        <v>6017</v>
      </c>
      <c r="J680" s="24">
        <v>1</v>
      </c>
      <c r="K680" s="24">
        <v>3</v>
      </c>
      <c r="L680" s="24">
        <v>1</v>
      </c>
      <c r="M680" t="s" s="12">
        <v>34</v>
      </c>
      <c r="N680" t="s" s="10">
        <v>6018</v>
      </c>
      <c r="O680" t="s" s="10">
        <v>385</v>
      </c>
      <c r="P680" t="s" s="10">
        <v>3930</v>
      </c>
      <c r="Q680" t="s" s="10">
        <v>3931</v>
      </c>
      <c r="R680" t="s" s="10">
        <v>388</v>
      </c>
      <c r="S680" t="s" s="10">
        <v>34</v>
      </c>
      <c r="T680" t="s" s="12">
        <v>34</v>
      </c>
      <c r="U680" t="s" s="10">
        <v>240</v>
      </c>
      <c r="V680" t="s" s="12">
        <v>34</v>
      </c>
      <c r="W680" t="s" s="10">
        <v>6019</v>
      </c>
      <c r="X680" s="16">
        <f>HYPERLINK("https://my.pitchbook.com?p=241472-80P", "View People Online")</f>
      </c>
    </row>
    <row r="681">
      <c r="A681" t="s" s="11">
        <v>6020</v>
      </c>
      <c r="B681" t="s" s="11">
        <v>6015</v>
      </c>
      <c r="C681" t="s" s="11">
        <v>34</v>
      </c>
      <c r="D681" t="s" s="11">
        <v>6021</v>
      </c>
      <c r="E681" t="s" s="11">
        <v>3715</v>
      </c>
      <c r="F681" t="s" s="11">
        <v>6016</v>
      </c>
      <c r="G681" t="s" s="11">
        <v>1824</v>
      </c>
      <c r="H681" s="17">
        <f>HYPERLINK("http://www.novachem.com", "www.novachem.com")</f>
      </c>
      <c r="I681" t="s" s="11">
        <v>6023</v>
      </c>
      <c r="J681" s="25">
        <v>1</v>
      </c>
      <c r="K681" s="25">
        <v>1</v>
      </c>
      <c r="L681" t="s" s="25">
        <v>34</v>
      </c>
      <c r="M681" t="s" s="13">
        <v>6024</v>
      </c>
      <c r="N681" t="s" s="11">
        <v>6025</v>
      </c>
      <c r="O681" t="s" s="11">
        <v>6026</v>
      </c>
      <c r="P681" t="s" s="11">
        <v>6027</v>
      </c>
      <c r="Q681" t="s" s="11">
        <v>2407</v>
      </c>
      <c r="R681" t="s" s="11">
        <v>6028</v>
      </c>
      <c r="S681" t="s" s="11">
        <v>6029</v>
      </c>
      <c r="T681" t="s" s="13">
        <v>6030</v>
      </c>
      <c r="U681" t="s" s="11">
        <v>1613</v>
      </c>
      <c r="V681" t="s" s="13">
        <v>34</v>
      </c>
      <c r="W681" t="s" s="11">
        <v>6031</v>
      </c>
      <c r="X681" s="17">
        <f>HYPERLINK("https://my.pitchbook.com?p=280131-67P", "View People Online")</f>
      </c>
    </row>
    <row r="682">
      <c r="A682" t="s" s="10">
        <v>6032</v>
      </c>
      <c r="B682" t="s" s="10">
        <v>6033</v>
      </c>
      <c r="C682" t="s" s="10">
        <v>34</v>
      </c>
      <c r="D682" t="s" s="10">
        <v>6034</v>
      </c>
      <c r="E682" t="s" s="10">
        <v>3715</v>
      </c>
      <c r="F682" t="s" s="10">
        <v>6035</v>
      </c>
      <c r="G682" t="s" s="10">
        <v>6036</v>
      </c>
      <c r="H682" s="16">
        <f>HYPERLINK("http://www.dai.com", "www.dai.com")</f>
      </c>
      <c r="I682" t="s" s="10">
        <v>649</v>
      </c>
      <c r="J682" t="s" s="24">
        <v>34</v>
      </c>
      <c r="K682" t="s" s="24">
        <v>34</v>
      </c>
      <c r="L682" t="s" s="24">
        <v>34</v>
      </c>
      <c r="M682" t="s" s="12">
        <v>34</v>
      </c>
      <c r="N682" t="s" s="10">
        <v>34</v>
      </c>
      <c r="O682" t="s" s="10">
        <v>34</v>
      </c>
      <c r="P682" t="s" s="10">
        <v>34</v>
      </c>
      <c r="Q682" t="s" s="10">
        <v>34</v>
      </c>
      <c r="R682" t="s" s="10">
        <v>34</v>
      </c>
      <c r="S682" t="s" s="10">
        <v>34</v>
      </c>
      <c r="T682" t="s" s="12">
        <v>34</v>
      </c>
      <c r="U682" t="s" s="10">
        <v>34</v>
      </c>
      <c r="V682" t="s" s="12">
        <v>34</v>
      </c>
      <c r="W682" t="s" s="10">
        <v>6038</v>
      </c>
      <c r="X682" s="16">
        <f>HYPERLINK("https://my.pitchbook.com?p=181884-52P", "View People Online")</f>
      </c>
    </row>
    <row r="683">
      <c r="A683" t="s" s="11">
        <v>6039</v>
      </c>
      <c r="B683" t="s" s="11">
        <v>6040</v>
      </c>
      <c r="C683" t="s" s="11">
        <v>34</v>
      </c>
      <c r="D683" t="s" s="11">
        <v>6041</v>
      </c>
      <c r="E683" t="s" s="11">
        <v>3715</v>
      </c>
      <c r="F683" t="s" s="11">
        <v>6042</v>
      </c>
      <c r="G683" t="s" s="11">
        <v>6043</v>
      </c>
      <c r="H683" s="17">
        <f>HYPERLINK("http://www.flatwhite.qa", "www.flatwhite.qa")</f>
      </c>
      <c r="I683" t="s" s="11">
        <v>6045</v>
      </c>
      <c r="J683" t="s" s="25">
        <v>34</v>
      </c>
      <c r="K683" s="25">
        <v>1</v>
      </c>
      <c r="L683" t="s" s="25">
        <v>34</v>
      </c>
      <c r="M683" t="s" s="13">
        <v>6046</v>
      </c>
      <c r="N683" t="s" s="11">
        <v>6047</v>
      </c>
      <c r="O683" t="s" s="11">
        <v>59</v>
      </c>
      <c r="P683" t="s" s="11">
        <v>6048</v>
      </c>
      <c r="Q683" t="s" s="11">
        <v>6049</v>
      </c>
      <c r="R683" t="s" s="11">
        <v>62</v>
      </c>
      <c r="S683" t="s" s="11">
        <v>34</v>
      </c>
      <c r="T683" t="s" s="13">
        <v>34</v>
      </c>
      <c r="U683" t="s" s="11">
        <v>64</v>
      </c>
      <c r="V683" t="s" s="13">
        <v>34</v>
      </c>
      <c r="W683" t="s" s="11">
        <v>6050</v>
      </c>
      <c r="X683" s="17">
        <f>HYPERLINK("https://my.pitchbook.com?p=331680-07P", "View People Online")</f>
      </c>
    </row>
    <row r="684">
      <c r="A684" t="s" s="10">
        <v>6051</v>
      </c>
      <c r="B684" t="s" s="10">
        <v>6052</v>
      </c>
      <c r="C684" t="s" s="10">
        <v>34</v>
      </c>
      <c r="D684" t="s" s="10">
        <v>4019</v>
      </c>
      <c r="E684" t="s" s="10">
        <v>3715</v>
      </c>
      <c r="F684" t="s" s="10">
        <v>6053</v>
      </c>
      <c r="G684" t="s" s="10">
        <v>6054</v>
      </c>
      <c r="H684" s="16">
        <f>HYPERLINK("http://www.selleroyalgroup.com", "www.selleroyalgroup.com")</f>
      </c>
      <c r="I684" t="s" s="10">
        <v>369</v>
      </c>
      <c r="J684" t="s" s="24">
        <v>34</v>
      </c>
      <c r="K684" s="24">
        <v>1</v>
      </c>
      <c r="L684" s="24">
        <v>1</v>
      </c>
      <c r="M684" t="s" s="12">
        <v>34</v>
      </c>
      <c r="N684" t="s" s="10">
        <v>34</v>
      </c>
      <c r="O684" t="s" s="10">
        <v>34</v>
      </c>
      <c r="P684" t="s" s="10">
        <v>34</v>
      </c>
      <c r="Q684" t="s" s="10">
        <v>34</v>
      </c>
      <c r="R684" t="s" s="10">
        <v>34</v>
      </c>
      <c r="S684" t="s" s="10">
        <v>34</v>
      </c>
      <c r="T684" t="s" s="12">
        <v>34</v>
      </c>
      <c r="U684" t="s" s="10">
        <v>34</v>
      </c>
      <c r="V684" t="s" s="12">
        <v>34</v>
      </c>
      <c r="W684" t="s" s="10">
        <v>6055</v>
      </c>
      <c r="X684" s="16">
        <f>HYPERLINK("https://my.pitchbook.com?p=134496-37P", "View People Online")</f>
      </c>
    </row>
    <row r="685">
      <c r="A685" t="s" s="11">
        <v>6056</v>
      </c>
      <c r="B685" t="s" s="11">
        <v>6057</v>
      </c>
      <c r="C685" t="s" s="11">
        <v>34</v>
      </c>
      <c r="D685" t="s" s="11">
        <v>6058</v>
      </c>
      <c r="E685" t="s" s="11">
        <v>3715</v>
      </c>
      <c r="F685" t="s" s="11">
        <v>6059</v>
      </c>
      <c r="G685" t="s" s="11">
        <v>6060</v>
      </c>
      <c r="H685" s="17">
        <f>HYPERLINK("http://dojerservices.com", "dojerservices.com")</f>
      </c>
      <c r="I685" t="s" s="11">
        <v>6062</v>
      </c>
      <c r="J685" t="s" s="25">
        <v>34</v>
      </c>
      <c r="K685" s="25">
        <v>1</v>
      </c>
      <c r="L685" t="s" s="25">
        <v>34</v>
      </c>
      <c r="M685" t="s" s="13">
        <v>6063</v>
      </c>
      <c r="N685" t="s" s="11">
        <v>6064</v>
      </c>
      <c r="O685" t="s" s="11">
        <v>6065</v>
      </c>
      <c r="P685" t="s" s="11">
        <v>6066</v>
      </c>
      <c r="Q685" t="s" s="11">
        <v>34</v>
      </c>
      <c r="R685" t="s" s="11">
        <v>6067</v>
      </c>
      <c r="S685" t="s" s="11">
        <v>3315</v>
      </c>
      <c r="T685" t="s" s="13">
        <v>6068</v>
      </c>
      <c r="U685" t="s" s="11">
        <v>88</v>
      </c>
      <c r="V685" t="s" s="13">
        <v>34</v>
      </c>
      <c r="W685" t="s" s="11">
        <v>6069</v>
      </c>
      <c r="X685" s="17">
        <f>HYPERLINK("https://my.pitchbook.com?p=365068-18P", "View People Online")</f>
      </c>
    </row>
    <row r="686">
      <c r="A686" t="s" s="10">
        <v>6070</v>
      </c>
      <c r="B686" t="s" s="10">
        <v>6071</v>
      </c>
      <c r="C686" t="s" s="10">
        <v>34</v>
      </c>
      <c r="D686" t="s" s="10">
        <v>4631</v>
      </c>
      <c r="E686" t="s" s="10">
        <v>3715</v>
      </c>
      <c r="F686" t="s" s="10">
        <v>6072</v>
      </c>
      <c r="G686" t="s" s="10">
        <v>707</v>
      </c>
      <c r="H686" s="16">
        <f>HYPERLINK("http://www.preludedx.com", "www.preludedx.com")</f>
      </c>
      <c r="I686" t="s" s="10">
        <v>6073</v>
      </c>
      <c r="J686" t="s" s="24">
        <v>34</v>
      </c>
      <c r="K686" s="24">
        <v>1</v>
      </c>
      <c r="L686" t="s" s="24">
        <v>34</v>
      </c>
      <c r="M686" t="s" s="12">
        <v>4635</v>
      </c>
      <c r="N686" t="s" s="10">
        <v>6074</v>
      </c>
      <c r="O686" t="s" s="10">
        <v>4637</v>
      </c>
      <c r="P686" t="s" s="10">
        <v>4638</v>
      </c>
      <c r="Q686" t="s" s="10">
        <v>4639</v>
      </c>
      <c r="R686" t="s" s="10">
        <v>4640</v>
      </c>
      <c r="S686" t="s" s="10">
        <v>1904</v>
      </c>
      <c r="T686" t="s" s="12">
        <v>4641</v>
      </c>
      <c r="U686" t="s" s="10">
        <v>88</v>
      </c>
      <c r="V686" t="s" s="12">
        <v>34</v>
      </c>
      <c r="W686" t="s" s="10">
        <v>6075</v>
      </c>
      <c r="X686" s="16">
        <f>HYPERLINK("https://my.pitchbook.com?p=159084-19P", "View People Online")</f>
      </c>
    </row>
    <row r="687">
      <c r="A687" t="s" s="11">
        <v>6076</v>
      </c>
      <c r="B687" t="s" s="11">
        <v>6077</v>
      </c>
      <c r="C687" t="s" s="11">
        <v>34</v>
      </c>
      <c r="D687" t="s" s="11">
        <v>6078</v>
      </c>
      <c r="E687" t="s" s="11">
        <v>3715</v>
      </c>
      <c r="F687" t="s" s="11">
        <v>6079</v>
      </c>
      <c r="G687" t="s" s="11">
        <v>6080</v>
      </c>
      <c r="H687" s="17">
        <f>HYPERLINK("http://www.lesdomainesagricoles.com", "www.lesdomainesagricoles.com")</f>
      </c>
      <c r="I687" t="s" s="11">
        <v>57</v>
      </c>
      <c r="J687" t="s" s="25">
        <v>34</v>
      </c>
      <c r="K687" t="s" s="25">
        <v>34</v>
      </c>
      <c r="L687" t="s" s="25">
        <v>34</v>
      </c>
      <c r="M687" t="s" s="13">
        <v>34</v>
      </c>
      <c r="N687" t="s" s="11">
        <v>34</v>
      </c>
      <c r="O687" t="s" s="11">
        <v>34</v>
      </c>
      <c r="P687" t="s" s="11">
        <v>34</v>
      </c>
      <c r="Q687" t="s" s="11">
        <v>34</v>
      </c>
      <c r="R687" t="s" s="11">
        <v>34</v>
      </c>
      <c r="S687" t="s" s="11">
        <v>34</v>
      </c>
      <c r="T687" t="s" s="13">
        <v>34</v>
      </c>
      <c r="U687" t="s" s="11">
        <v>34</v>
      </c>
      <c r="V687" t="s" s="13">
        <v>34</v>
      </c>
      <c r="W687" t="s" s="11">
        <v>6082</v>
      </c>
      <c r="X687" s="17">
        <f>HYPERLINK("https://my.pitchbook.com?p=319711-87P", "View People Online")</f>
      </c>
    </row>
    <row r="688">
      <c r="A688" t="s" s="10">
        <v>6083</v>
      </c>
      <c r="B688" t="s" s="10">
        <v>6084</v>
      </c>
      <c r="C688" t="s" s="10">
        <v>34</v>
      </c>
      <c r="D688" t="s" s="10">
        <v>3809</v>
      </c>
      <c r="E688" t="s" s="10">
        <v>3715</v>
      </c>
      <c r="F688" t="s" s="10">
        <v>6085</v>
      </c>
      <c r="G688" t="s" s="10">
        <v>6086</v>
      </c>
      <c r="H688" s="16">
        <f>HYPERLINK("http://www.arada.com", "www.arada.com")</f>
      </c>
      <c r="I688" t="s" s="10">
        <v>4295</v>
      </c>
      <c r="J688" t="s" s="24">
        <v>34</v>
      </c>
      <c r="K688" s="24">
        <v>1</v>
      </c>
      <c r="L688" t="s" s="24">
        <v>34</v>
      </c>
      <c r="M688" t="s" s="12">
        <v>3812</v>
      </c>
      <c r="N688" t="s" s="10">
        <v>34</v>
      </c>
      <c r="O688" t="s" s="10">
        <v>236</v>
      </c>
      <c r="P688" t="s" s="10">
        <v>3813</v>
      </c>
      <c r="Q688" t="s" s="10">
        <v>3814</v>
      </c>
      <c r="R688" t="s" s="10">
        <v>239</v>
      </c>
      <c r="S688" t="s" s="10">
        <v>34</v>
      </c>
      <c r="T688" t="s" s="12">
        <v>34</v>
      </c>
      <c r="U688" t="s" s="10">
        <v>240</v>
      </c>
      <c r="V688" t="s" s="12">
        <v>34</v>
      </c>
      <c r="W688" t="s" s="10">
        <v>6087</v>
      </c>
      <c r="X688" s="16">
        <f>HYPERLINK("https://my.pitchbook.com?p=315394-03P", "View People Online")</f>
      </c>
    </row>
    <row r="689">
      <c r="A689" t="s" s="11">
        <v>6088</v>
      </c>
      <c r="B689" t="s" s="11">
        <v>6089</v>
      </c>
      <c r="C689" t="s" s="11">
        <v>34</v>
      </c>
      <c r="D689" t="s" s="11">
        <v>3924</v>
      </c>
      <c r="E689" t="s" s="11">
        <v>3715</v>
      </c>
      <c r="F689" t="s" s="11">
        <v>6090</v>
      </c>
      <c r="G689" t="s" s="11">
        <v>6091</v>
      </c>
      <c r="H689" s="17">
        <f>HYPERLINK("http://www.g42.ai", "www.g42.ai")</f>
      </c>
      <c r="I689" t="s" s="11">
        <v>6092</v>
      </c>
      <c r="J689" t="s" s="25">
        <v>34</v>
      </c>
      <c r="K689" s="25">
        <v>1</v>
      </c>
      <c r="L689" t="s" s="25">
        <v>34</v>
      </c>
      <c r="M689" t="s" s="13">
        <v>34</v>
      </c>
      <c r="N689" t="s" s="11">
        <v>6093</v>
      </c>
      <c r="O689" t="s" s="11">
        <v>385</v>
      </c>
      <c r="P689" t="s" s="11">
        <v>3930</v>
      </c>
      <c r="Q689" t="s" s="11">
        <v>3931</v>
      </c>
      <c r="R689" t="s" s="11">
        <v>388</v>
      </c>
      <c r="S689" t="s" s="11">
        <v>34</v>
      </c>
      <c r="T689" t="s" s="13">
        <v>34</v>
      </c>
      <c r="U689" t="s" s="11">
        <v>240</v>
      </c>
      <c r="V689" t="s" s="13">
        <v>34</v>
      </c>
      <c r="W689" t="s" s="11">
        <v>6094</v>
      </c>
      <c r="X689" s="17">
        <f>HYPERLINK("https://my.pitchbook.com?p=259625-80P", "View People Online")</f>
      </c>
    </row>
    <row r="690">
      <c r="A690" t="s" s="10">
        <v>6095</v>
      </c>
      <c r="B690" t="s" s="10">
        <v>6096</v>
      </c>
      <c r="C690" t="s" s="10">
        <v>34</v>
      </c>
      <c r="D690" t="s" s="10">
        <v>6097</v>
      </c>
      <c r="E690" t="s" s="10">
        <v>3715</v>
      </c>
      <c r="F690" t="s" s="10">
        <v>6098</v>
      </c>
      <c r="G690" t="s" s="10">
        <v>6099</v>
      </c>
      <c r="H690" s="16">
        <f>HYPERLINK("http://www.snicompanies.com", "www.snicompanies.com")</f>
      </c>
      <c r="I690" t="s" s="10">
        <v>6100</v>
      </c>
      <c r="J690" t="s" s="24">
        <v>34</v>
      </c>
      <c r="K690" t="s" s="24">
        <v>34</v>
      </c>
      <c r="L690" t="s" s="24">
        <v>34</v>
      </c>
      <c r="M690" t="s" s="12">
        <v>34</v>
      </c>
      <c r="N690" t="s" s="10">
        <v>34</v>
      </c>
      <c r="O690" t="s" s="10">
        <v>34</v>
      </c>
      <c r="P690" t="s" s="10">
        <v>34</v>
      </c>
      <c r="Q690" t="s" s="10">
        <v>34</v>
      </c>
      <c r="R690" t="s" s="10">
        <v>34</v>
      </c>
      <c r="S690" t="s" s="10">
        <v>34</v>
      </c>
      <c r="T690" t="s" s="12">
        <v>34</v>
      </c>
      <c r="U690" t="s" s="10">
        <v>34</v>
      </c>
      <c r="V690" t="s" s="12">
        <v>34</v>
      </c>
      <c r="W690" t="s" s="10">
        <v>6101</v>
      </c>
      <c r="X690" s="16">
        <f>HYPERLINK("https://my.pitchbook.com?p=73338-22P", "View People Online")</f>
      </c>
    </row>
    <row r="691">
      <c r="A691" t="s" s="11">
        <v>6102</v>
      </c>
      <c r="B691" t="s" s="11">
        <v>6103</v>
      </c>
      <c r="C691" t="s" s="11">
        <v>34</v>
      </c>
      <c r="D691" t="s" s="11">
        <v>4282</v>
      </c>
      <c r="E691" t="s" s="11">
        <v>3715</v>
      </c>
      <c r="F691" t="s" s="11">
        <v>6104</v>
      </c>
      <c r="G691" t="s" s="11">
        <v>6105</v>
      </c>
      <c r="H691" s="17">
        <f>HYPERLINK("http://www.royalihc.com", "www.royalihc.com")</f>
      </c>
      <c r="I691" t="s" s="11">
        <v>6106</v>
      </c>
      <c r="J691" t="s" s="25">
        <v>34</v>
      </c>
      <c r="K691" t="s" s="25">
        <v>34</v>
      </c>
      <c r="L691" t="s" s="25">
        <v>34</v>
      </c>
      <c r="M691" t="s" s="13">
        <v>4284</v>
      </c>
      <c r="N691" t="s" s="11">
        <v>34</v>
      </c>
      <c r="O691" t="s" s="11">
        <v>4286</v>
      </c>
      <c r="P691" t="s" s="11">
        <v>4287</v>
      </c>
      <c r="Q691" t="s" s="11">
        <v>34</v>
      </c>
      <c r="R691" t="s" s="11">
        <v>4288</v>
      </c>
      <c r="S691" t="s" s="11">
        <v>34</v>
      </c>
      <c r="T691" t="s" s="13">
        <v>4289</v>
      </c>
      <c r="U691" t="s" s="11">
        <v>103</v>
      </c>
      <c r="V691" t="s" s="13">
        <v>34</v>
      </c>
      <c r="W691" t="s" s="11">
        <v>6107</v>
      </c>
      <c r="X691" s="17">
        <f>HYPERLINK("https://my.pitchbook.com?p=178549-57P", "View People Online")</f>
      </c>
    </row>
    <row r="692">
      <c r="A692" t="s" s="10">
        <v>6108</v>
      </c>
      <c r="B692" t="s" s="10">
        <v>6109</v>
      </c>
      <c r="C692" t="s" s="10">
        <v>34</v>
      </c>
      <c r="D692" t="s" s="10">
        <v>6110</v>
      </c>
      <c r="E692" t="s" s="10">
        <v>3715</v>
      </c>
      <c r="F692" t="s" s="10">
        <v>6000</v>
      </c>
      <c r="G692" t="s" s="10">
        <v>6111</v>
      </c>
      <c r="H692" s="16">
        <f>HYPERLINK("http://www.brpcompanies.com", "www.brpcompanies.com")</f>
      </c>
      <c r="I692" t="s" s="10">
        <v>6113</v>
      </c>
      <c r="J692" t="s" s="24">
        <v>34</v>
      </c>
      <c r="K692" s="24">
        <v>1</v>
      </c>
      <c r="L692" t="s" s="24">
        <v>34</v>
      </c>
      <c r="M692" t="s" s="12">
        <v>6114</v>
      </c>
      <c r="N692" t="s" s="10">
        <v>6115</v>
      </c>
      <c r="O692" t="s" s="10">
        <v>84</v>
      </c>
      <c r="P692" t="s" s="10">
        <v>6116</v>
      </c>
      <c r="Q692" t="s" s="10">
        <v>6117</v>
      </c>
      <c r="R692" t="s" s="10">
        <v>86</v>
      </c>
      <c r="S692" t="s" s="10">
        <v>86</v>
      </c>
      <c r="T692" t="s" s="12">
        <v>87</v>
      </c>
      <c r="U692" t="s" s="10">
        <v>88</v>
      </c>
      <c r="V692" t="s" s="12">
        <v>6118</v>
      </c>
      <c r="W692" t="s" s="10">
        <v>6119</v>
      </c>
      <c r="X692" s="16">
        <f>HYPERLINK("https://my.pitchbook.com?p=446488-93P", "View People Online")</f>
      </c>
    </row>
    <row r="693">
      <c r="A693" t="s" s="11">
        <v>6120</v>
      </c>
      <c r="B693" t="s" s="11">
        <v>6121</v>
      </c>
      <c r="C693" t="s" s="11">
        <v>34</v>
      </c>
      <c r="D693" t="s" s="11">
        <v>6122</v>
      </c>
      <c r="E693" t="s" s="11">
        <v>3715</v>
      </c>
      <c r="F693" t="s" s="11">
        <v>6123</v>
      </c>
      <c r="G693" t="s" s="11">
        <v>274</v>
      </c>
      <c r="H693" s="17">
        <f>HYPERLINK("http://www.atomiconcology.health", "www.atomiconcology.health")</f>
      </c>
      <c r="I693" t="s" s="11">
        <v>6125</v>
      </c>
      <c r="J693" t="s" s="25">
        <v>34</v>
      </c>
      <c r="K693" s="25">
        <v>1</v>
      </c>
      <c r="L693" t="s" s="25">
        <v>34</v>
      </c>
      <c r="M693" t="s" s="13">
        <v>6126</v>
      </c>
      <c r="N693" t="s" s="11">
        <v>6127</v>
      </c>
      <c r="O693" t="s" s="11">
        <v>4163</v>
      </c>
      <c r="P693" t="s" s="11">
        <v>6128</v>
      </c>
      <c r="Q693" t="s" s="11">
        <v>34</v>
      </c>
      <c r="R693" t="s" s="11">
        <v>4166</v>
      </c>
      <c r="S693" t="s" s="11">
        <v>3847</v>
      </c>
      <c r="T693" t="s" s="13">
        <v>4167</v>
      </c>
      <c r="U693" t="s" s="11">
        <v>2105</v>
      </c>
      <c r="V693" t="s" s="13">
        <v>34</v>
      </c>
      <c r="W693" t="s" s="11">
        <v>6129</v>
      </c>
      <c r="X693" s="17">
        <f>HYPERLINK("https://my.pitchbook.com?p=354602-89P", "View People Online")</f>
      </c>
    </row>
    <row r="694">
      <c r="A694" t="s" s="10">
        <v>6130</v>
      </c>
      <c r="B694" t="s" s="10">
        <v>6131</v>
      </c>
      <c r="C694" t="s" s="10">
        <v>34</v>
      </c>
      <c r="D694" t="s" s="10">
        <v>6132</v>
      </c>
      <c r="E694" t="s" s="10">
        <v>3715</v>
      </c>
      <c r="F694" t="s" s="10">
        <v>6133</v>
      </c>
      <c r="G694" t="s" s="10">
        <v>274</v>
      </c>
      <c r="H694" s="16">
        <f>HYPERLINK("http://www.bluenorth.com", "www.bluenorth.com")</f>
      </c>
      <c r="I694" t="s" s="10">
        <v>1346</v>
      </c>
      <c r="J694" t="s" s="24">
        <v>34</v>
      </c>
      <c r="K694" t="s" s="24">
        <v>34</v>
      </c>
      <c r="L694" t="s" s="24">
        <v>34</v>
      </c>
      <c r="M694" t="s" s="12">
        <v>34</v>
      </c>
      <c r="N694" t="s" s="10">
        <v>34</v>
      </c>
      <c r="O694" t="s" s="10">
        <v>34</v>
      </c>
      <c r="P694" t="s" s="10">
        <v>34</v>
      </c>
      <c r="Q694" t="s" s="10">
        <v>34</v>
      </c>
      <c r="R694" t="s" s="10">
        <v>34</v>
      </c>
      <c r="S694" t="s" s="10">
        <v>34</v>
      </c>
      <c r="T694" t="s" s="12">
        <v>34</v>
      </c>
      <c r="U694" t="s" s="10">
        <v>34</v>
      </c>
      <c r="V694" t="s" s="12">
        <v>34</v>
      </c>
      <c r="W694" t="s" s="10">
        <v>6135</v>
      </c>
      <c r="X694" s="16">
        <f>HYPERLINK("https://my.pitchbook.com?p=211674-79P", "View People Online")</f>
      </c>
    </row>
    <row r="695">
      <c r="A695" t="s" s="11">
        <v>6136</v>
      </c>
      <c r="B695" t="s" s="11">
        <v>6137</v>
      </c>
      <c r="C695" t="s" s="11">
        <v>34</v>
      </c>
      <c r="D695" t="s" s="11">
        <v>6138</v>
      </c>
      <c r="E695" t="s" s="11">
        <v>3715</v>
      </c>
      <c r="F695" t="s" s="11">
        <v>6139</v>
      </c>
      <c r="G695" t="s" s="11">
        <v>274</v>
      </c>
      <c r="H695" s="17">
        <f>HYPERLINK("http://www.countryhill.ae", "www.countryhill.ae")</f>
      </c>
      <c r="I695" t="s" s="11">
        <v>4413</v>
      </c>
      <c r="J695" t="s" s="25">
        <v>34</v>
      </c>
      <c r="K695" s="25">
        <v>1</v>
      </c>
      <c r="L695" t="s" s="25">
        <v>34</v>
      </c>
      <c r="M695" t="s" s="13">
        <v>6141</v>
      </c>
      <c r="N695" t="s" s="11">
        <v>34</v>
      </c>
      <c r="O695" t="s" s="11">
        <v>236</v>
      </c>
      <c r="P695" t="s" s="11">
        <v>6142</v>
      </c>
      <c r="Q695" t="s" s="11">
        <v>6143</v>
      </c>
      <c r="R695" t="s" s="11">
        <v>239</v>
      </c>
      <c r="S695" t="s" s="11">
        <v>34</v>
      </c>
      <c r="T695" t="s" s="13">
        <v>34</v>
      </c>
      <c r="U695" t="s" s="11">
        <v>240</v>
      </c>
      <c r="V695" t="s" s="13">
        <v>34</v>
      </c>
      <c r="W695" t="s" s="11">
        <v>6144</v>
      </c>
      <c r="X695" s="17">
        <f>HYPERLINK("https://my.pitchbook.com?p=63430-75P", "View People Online")</f>
      </c>
    </row>
    <row r="696">
      <c r="A696" t="s" s="10">
        <v>6145</v>
      </c>
      <c r="B696" t="s" s="10">
        <v>6146</v>
      </c>
      <c r="C696" t="s" s="10">
        <v>34</v>
      </c>
      <c r="D696" t="s" s="10">
        <v>6147</v>
      </c>
      <c r="E696" t="s" s="10">
        <v>3715</v>
      </c>
      <c r="F696" t="s" s="10">
        <v>6148</v>
      </c>
      <c r="G696" t="s" s="10">
        <v>274</v>
      </c>
      <c r="H696" s="16">
        <f>HYPERLINK("http://www.binance.com", "www.binance.com")</f>
      </c>
      <c r="I696" t="s" s="10">
        <v>6150</v>
      </c>
      <c r="J696" t="s" s="24">
        <v>34</v>
      </c>
      <c r="K696" t="s" s="24">
        <v>34</v>
      </c>
      <c r="L696" t="s" s="24">
        <v>34</v>
      </c>
      <c r="M696" t="s" s="12">
        <v>34</v>
      </c>
      <c r="N696" t="s" s="10">
        <v>34</v>
      </c>
      <c r="O696" t="s" s="10">
        <v>34</v>
      </c>
      <c r="P696" t="s" s="10">
        <v>34</v>
      </c>
      <c r="Q696" t="s" s="10">
        <v>34</v>
      </c>
      <c r="R696" t="s" s="10">
        <v>34</v>
      </c>
      <c r="S696" t="s" s="10">
        <v>34</v>
      </c>
      <c r="T696" t="s" s="12">
        <v>34</v>
      </c>
      <c r="U696" t="s" s="10">
        <v>34</v>
      </c>
      <c r="V696" t="s" s="12">
        <v>34</v>
      </c>
      <c r="W696" t="s" s="10">
        <v>6151</v>
      </c>
      <c r="X696" s="16">
        <f>HYPERLINK("https://my.pitchbook.com?p=29814-85P", "View People Online")</f>
      </c>
    </row>
    <row r="697">
      <c r="A697" t="s" s="11">
        <v>6152</v>
      </c>
      <c r="B697" t="s" s="11">
        <v>6153</v>
      </c>
      <c r="C697" t="s" s="11">
        <v>34</v>
      </c>
      <c r="D697" t="s" s="11">
        <v>6154</v>
      </c>
      <c r="E697" t="s" s="11">
        <v>3715</v>
      </c>
      <c r="F697" t="s" s="11">
        <v>4561</v>
      </c>
      <c r="G697" t="s" s="11">
        <v>274</v>
      </c>
      <c r="H697" s="17">
        <f>HYPERLINK("http://www.electrogenicslabs.com", "www.electrogenicslabs.com")</f>
      </c>
      <c r="I697" t="s" s="11">
        <v>2211</v>
      </c>
      <c r="J697" t="s" s="25">
        <v>34</v>
      </c>
      <c r="K697" s="25">
        <v>1</v>
      </c>
      <c r="L697" t="s" s="25">
        <v>34</v>
      </c>
      <c r="M697" t="s" s="13">
        <v>6156</v>
      </c>
      <c r="N697" t="s" s="11">
        <v>34</v>
      </c>
      <c r="O697" t="s" s="11">
        <v>4163</v>
      </c>
      <c r="P697" t="s" s="11">
        <v>6157</v>
      </c>
      <c r="Q697" t="s" s="11">
        <v>6158</v>
      </c>
      <c r="R697" t="s" s="11">
        <v>4166</v>
      </c>
      <c r="S697" t="s" s="11">
        <v>3847</v>
      </c>
      <c r="T697" t="s" s="13">
        <v>6159</v>
      </c>
      <c r="U697" t="s" s="11">
        <v>2105</v>
      </c>
      <c r="V697" t="s" s="13">
        <v>34</v>
      </c>
      <c r="W697" t="s" s="11">
        <v>6160</v>
      </c>
      <c r="X697" s="17">
        <f>HYPERLINK("https://my.pitchbook.com?p=307902-25P", "View People Online")</f>
      </c>
    </row>
    <row r="698">
      <c r="A698" t="s" s="10">
        <v>6161</v>
      </c>
      <c r="B698" t="s" s="10">
        <v>6162</v>
      </c>
      <c r="C698" t="s" s="10">
        <v>34</v>
      </c>
      <c r="D698" t="s" s="10">
        <v>6163</v>
      </c>
      <c r="E698" t="s" s="10">
        <v>3715</v>
      </c>
      <c r="F698" t="s" s="10">
        <v>6164</v>
      </c>
      <c r="G698" t="s" s="10">
        <v>274</v>
      </c>
      <c r="H698" s="16">
        <f>HYPERLINK("http://www.soap.health", "www.soap.health")</f>
      </c>
      <c r="I698" t="s" s="10">
        <v>34</v>
      </c>
      <c r="J698" t="s" s="24">
        <v>34</v>
      </c>
      <c r="K698" t="s" s="24">
        <v>34</v>
      </c>
      <c r="L698" t="s" s="24">
        <v>34</v>
      </c>
      <c r="M698" t="s" s="12">
        <v>34</v>
      </c>
      <c r="N698" t="s" s="10">
        <v>34</v>
      </c>
      <c r="O698" t="s" s="10">
        <v>34</v>
      </c>
      <c r="P698" t="s" s="10">
        <v>34</v>
      </c>
      <c r="Q698" t="s" s="10">
        <v>34</v>
      </c>
      <c r="R698" t="s" s="10">
        <v>34</v>
      </c>
      <c r="S698" t="s" s="10">
        <v>34</v>
      </c>
      <c r="T698" t="s" s="12">
        <v>34</v>
      </c>
      <c r="U698" t="s" s="10">
        <v>34</v>
      </c>
      <c r="V698" t="s" s="12">
        <v>34</v>
      </c>
      <c r="W698" t="s" s="10">
        <v>6166</v>
      </c>
      <c r="X698" s="16">
        <f>HYPERLINK("https://my.pitchbook.com?p=251333-83P", "View People Online")</f>
      </c>
    </row>
    <row r="699">
      <c r="A699" t="s" s="11">
        <v>6167</v>
      </c>
      <c r="B699" t="s" s="11">
        <v>6168</v>
      </c>
      <c r="C699" t="s" s="11">
        <v>34</v>
      </c>
      <c r="D699" t="s" s="11">
        <v>5475</v>
      </c>
      <c r="E699" t="s" s="11">
        <v>3715</v>
      </c>
      <c r="F699" t="s" s="11">
        <v>6169</v>
      </c>
      <c r="G699" t="s" s="11">
        <v>274</v>
      </c>
      <c r="H699" s="17">
        <f>HYPERLINK("http://www.ihcrisksolutions.com", "www.ihcrisksolutions.com")</f>
      </c>
      <c r="I699" t="s" s="11">
        <v>5126</v>
      </c>
      <c r="J699" t="s" s="25">
        <v>34</v>
      </c>
      <c r="K699" t="s" s="25">
        <v>34</v>
      </c>
      <c r="L699" t="s" s="25">
        <v>34</v>
      </c>
      <c r="M699" t="s" s="13">
        <v>34</v>
      </c>
      <c r="N699" t="s" s="11">
        <v>34</v>
      </c>
      <c r="O699" t="s" s="11">
        <v>34</v>
      </c>
      <c r="P699" t="s" s="11">
        <v>34</v>
      </c>
      <c r="Q699" t="s" s="11">
        <v>34</v>
      </c>
      <c r="R699" t="s" s="11">
        <v>34</v>
      </c>
      <c r="S699" t="s" s="11">
        <v>34</v>
      </c>
      <c r="T699" t="s" s="13">
        <v>34</v>
      </c>
      <c r="U699" t="s" s="11">
        <v>34</v>
      </c>
      <c r="V699" t="s" s="13">
        <v>34</v>
      </c>
      <c r="W699" t="s" s="11">
        <v>6170</v>
      </c>
      <c r="X699" s="17">
        <f>HYPERLINK("https://my.pitchbook.com?p=124454-26P", "View People Online")</f>
      </c>
    </row>
    <row r="700">
      <c r="A700" t="s" s="10">
        <v>6171</v>
      </c>
      <c r="B700" t="s" s="10">
        <v>6172</v>
      </c>
      <c r="C700" t="s" s="10">
        <v>34</v>
      </c>
      <c r="D700" t="s" s="10">
        <v>6173</v>
      </c>
      <c r="E700" t="s" s="10">
        <v>3715</v>
      </c>
      <c r="F700" t="s" s="10">
        <v>6174</v>
      </c>
      <c r="G700" t="s" s="10">
        <v>274</v>
      </c>
      <c r="H700" s="16">
        <f>HYPERLINK("http://www.cardinalcommerce.com", "www.cardinalcommerce.com")</f>
      </c>
      <c r="I700" t="s" s="10">
        <v>6176</v>
      </c>
      <c r="J700" t="s" s="24">
        <v>34</v>
      </c>
      <c r="K700" s="24">
        <v>1</v>
      </c>
      <c r="L700" s="24">
        <v>1</v>
      </c>
      <c r="M700" t="s" s="12">
        <v>34</v>
      </c>
      <c r="N700" t="s" s="10">
        <v>34</v>
      </c>
      <c r="O700" t="s" s="10">
        <v>34</v>
      </c>
      <c r="P700" t="s" s="10">
        <v>34</v>
      </c>
      <c r="Q700" t="s" s="10">
        <v>34</v>
      </c>
      <c r="R700" t="s" s="10">
        <v>34</v>
      </c>
      <c r="S700" t="s" s="10">
        <v>34</v>
      </c>
      <c r="T700" t="s" s="12">
        <v>34</v>
      </c>
      <c r="U700" t="s" s="10">
        <v>34</v>
      </c>
      <c r="V700" t="s" s="12">
        <v>34</v>
      </c>
      <c r="W700" t="s" s="10">
        <v>6177</v>
      </c>
      <c r="X700" s="16">
        <f>HYPERLINK("https://my.pitchbook.com?p=45110-26P", "View People Online")</f>
      </c>
    </row>
    <row r="701">
      <c r="A701" t="s" s="11">
        <v>6178</v>
      </c>
      <c r="B701" t="s" s="11">
        <v>6179</v>
      </c>
      <c r="C701" t="s" s="11">
        <v>34</v>
      </c>
      <c r="D701" t="s" s="11">
        <v>6180</v>
      </c>
      <c r="E701" t="s" s="11">
        <v>3715</v>
      </c>
      <c r="F701" t="s" s="11">
        <v>6181</v>
      </c>
      <c r="G701" t="s" s="11">
        <v>274</v>
      </c>
      <c r="H701" s="17">
        <f>HYPERLINK("http://www.pwhs.org", "www.pwhs.org")</f>
      </c>
      <c r="I701" t="s" s="11">
        <v>5795</v>
      </c>
      <c r="J701" t="s" s="25">
        <v>34</v>
      </c>
      <c r="K701" t="s" s="25">
        <v>34</v>
      </c>
      <c r="L701" t="s" s="25">
        <v>34</v>
      </c>
      <c r="M701" t="s" s="13">
        <v>34</v>
      </c>
      <c r="N701" t="s" s="11">
        <v>34</v>
      </c>
      <c r="O701" t="s" s="11">
        <v>34</v>
      </c>
      <c r="P701" t="s" s="11">
        <v>34</v>
      </c>
      <c r="Q701" t="s" s="11">
        <v>34</v>
      </c>
      <c r="R701" t="s" s="11">
        <v>34</v>
      </c>
      <c r="S701" t="s" s="11">
        <v>34</v>
      </c>
      <c r="T701" t="s" s="13">
        <v>34</v>
      </c>
      <c r="U701" t="s" s="11">
        <v>34</v>
      </c>
      <c r="V701" t="s" s="13">
        <v>34</v>
      </c>
      <c r="W701" t="s" s="11">
        <v>6183</v>
      </c>
      <c r="X701" s="17">
        <f>HYPERLINK("https://my.pitchbook.com?p=119199-70P", "View People Online")</f>
      </c>
    </row>
    <row r="702">
      <c r="A702" t="s" s="10">
        <v>6184</v>
      </c>
      <c r="B702" t="s" s="10">
        <v>1940</v>
      </c>
      <c r="C702" t="s" s="10">
        <v>34</v>
      </c>
      <c r="D702" t="s" s="10">
        <v>6185</v>
      </c>
      <c r="E702" t="s" s="10">
        <v>3715</v>
      </c>
      <c r="F702" t="s" s="10">
        <v>273</v>
      </c>
      <c r="G702" t="s" s="10">
        <v>274</v>
      </c>
      <c r="H702" t="s" s="10">
        <v>34</v>
      </c>
      <c r="I702" t="s" s="10">
        <v>5126</v>
      </c>
      <c r="J702" t="s" s="24">
        <v>34</v>
      </c>
      <c r="K702" t="s" s="24">
        <v>34</v>
      </c>
      <c r="L702" t="s" s="24">
        <v>34</v>
      </c>
      <c r="M702" t="s" s="12">
        <v>6186</v>
      </c>
      <c r="N702" t="s" s="10">
        <v>34</v>
      </c>
      <c r="O702" t="s" s="10">
        <v>34</v>
      </c>
      <c r="P702" t="s" s="10">
        <v>34</v>
      </c>
      <c r="Q702" t="s" s="10">
        <v>34</v>
      </c>
      <c r="R702" t="s" s="10">
        <v>34</v>
      </c>
      <c r="S702" t="s" s="10">
        <v>34</v>
      </c>
      <c r="T702" t="s" s="12">
        <v>34</v>
      </c>
      <c r="U702" t="s" s="10">
        <v>34</v>
      </c>
      <c r="V702" t="s" s="12">
        <v>34</v>
      </c>
      <c r="W702" t="s" s="10">
        <v>6187</v>
      </c>
      <c r="X702" s="16">
        <f>HYPERLINK("https://my.pitchbook.com?p=15999-67P", "View People Online")</f>
      </c>
    </row>
    <row r="703">
      <c r="A703" t="s" s="11">
        <v>6188</v>
      </c>
      <c r="B703" t="s" s="11">
        <v>1940</v>
      </c>
      <c r="C703" t="s" s="11">
        <v>34</v>
      </c>
      <c r="D703" t="s" s="11">
        <v>6189</v>
      </c>
      <c r="E703" t="s" s="11">
        <v>3715</v>
      </c>
      <c r="F703" t="s" s="11">
        <v>273</v>
      </c>
      <c r="G703" t="s" s="11">
        <v>274</v>
      </c>
      <c r="H703" s="17">
        <f>HYPERLINK("http://www.whiting.com", "www.whiting.com")</f>
      </c>
      <c r="I703" t="s" s="11">
        <v>6191</v>
      </c>
      <c r="J703" t="s" s="25">
        <v>34</v>
      </c>
      <c r="K703" t="s" s="25">
        <v>34</v>
      </c>
      <c r="L703" t="s" s="25">
        <v>34</v>
      </c>
      <c r="M703" t="s" s="13">
        <v>34</v>
      </c>
      <c r="N703" t="s" s="11">
        <v>34</v>
      </c>
      <c r="O703" t="s" s="11">
        <v>34</v>
      </c>
      <c r="P703" t="s" s="11">
        <v>34</v>
      </c>
      <c r="Q703" t="s" s="11">
        <v>34</v>
      </c>
      <c r="R703" t="s" s="11">
        <v>34</v>
      </c>
      <c r="S703" t="s" s="11">
        <v>34</v>
      </c>
      <c r="T703" t="s" s="13">
        <v>34</v>
      </c>
      <c r="U703" t="s" s="11">
        <v>34</v>
      </c>
      <c r="V703" t="s" s="13">
        <v>34</v>
      </c>
      <c r="W703" t="s" s="11">
        <v>6192</v>
      </c>
      <c r="X703" s="17">
        <f>HYPERLINK("https://my.pitchbook.com?p=44541-10P", "View People Online")</f>
      </c>
    </row>
    <row r="704">
      <c r="A704" t="s" s="10">
        <v>6193</v>
      </c>
      <c r="B704" t="s" s="10">
        <v>1940</v>
      </c>
      <c r="C704" t="s" s="10">
        <v>34</v>
      </c>
      <c r="D704" t="s" s="10">
        <v>6194</v>
      </c>
      <c r="E704" t="s" s="10">
        <v>3715</v>
      </c>
      <c r="F704" t="s" s="10">
        <v>273</v>
      </c>
      <c r="G704" t="s" s="10">
        <v>274</v>
      </c>
      <c r="H704" s="16">
        <f>HYPERLINK("http://www.afceur.com", "www.afceur.com")</f>
      </c>
      <c r="I704" t="s" s="10">
        <v>2321</v>
      </c>
      <c r="J704" t="s" s="24">
        <v>34</v>
      </c>
      <c r="K704" t="s" s="24">
        <v>34</v>
      </c>
      <c r="L704" t="s" s="24">
        <v>34</v>
      </c>
      <c r="M704" t="s" s="12">
        <v>34</v>
      </c>
      <c r="N704" t="s" s="10">
        <v>34</v>
      </c>
      <c r="O704" t="s" s="10">
        <v>34</v>
      </c>
      <c r="P704" t="s" s="10">
        <v>34</v>
      </c>
      <c r="Q704" t="s" s="10">
        <v>34</v>
      </c>
      <c r="R704" t="s" s="10">
        <v>34</v>
      </c>
      <c r="S704" t="s" s="10">
        <v>34</v>
      </c>
      <c r="T704" t="s" s="12">
        <v>34</v>
      </c>
      <c r="U704" t="s" s="10">
        <v>34</v>
      </c>
      <c r="V704" t="s" s="12">
        <v>34</v>
      </c>
      <c r="W704" t="s" s="10">
        <v>6196</v>
      </c>
      <c r="X704" s="16">
        <f>HYPERLINK("https://my.pitchbook.com?p=57625-39P", "View People Online")</f>
      </c>
    </row>
    <row r="705">
      <c r="A705" t="s" s="11">
        <v>6197</v>
      </c>
      <c r="B705" t="s" s="11">
        <v>1940</v>
      </c>
      <c r="C705" t="s" s="11">
        <v>34</v>
      </c>
      <c r="D705" t="s" s="11">
        <v>6198</v>
      </c>
      <c r="E705" t="s" s="11">
        <v>3715</v>
      </c>
      <c r="F705" t="s" s="11">
        <v>273</v>
      </c>
      <c r="G705" t="s" s="11">
        <v>274</v>
      </c>
      <c r="H705" s="17">
        <f>HYPERLINK("http://www.workera.ai", "www.workera.ai")</f>
      </c>
      <c r="I705" t="s" s="11">
        <v>6200</v>
      </c>
      <c r="J705" t="s" s="25">
        <v>34</v>
      </c>
      <c r="K705" s="25">
        <v>1</v>
      </c>
      <c r="L705" t="s" s="25">
        <v>34</v>
      </c>
      <c r="M705" t="s" s="13">
        <v>6201</v>
      </c>
      <c r="N705" t="s" s="11">
        <v>6202</v>
      </c>
      <c r="O705" t="s" s="11">
        <v>6203</v>
      </c>
      <c r="P705" t="s" s="11">
        <v>6204</v>
      </c>
      <c r="Q705" t="s" s="11">
        <v>6205</v>
      </c>
      <c r="R705" t="s" s="11">
        <v>6206</v>
      </c>
      <c r="S705" t="s" s="11">
        <v>1904</v>
      </c>
      <c r="T705" t="s" s="13">
        <v>6207</v>
      </c>
      <c r="U705" t="s" s="11">
        <v>88</v>
      </c>
      <c r="V705" t="s" s="13">
        <v>34</v>
      </c>
      <c r="W705" t="s" s="11">
        <v>6208</v>
      </c>
      <c r="X705" s="17">
        <f>HYPERLINK("https://my.pitchbook.com?p=71366-32P", "View People Online")</f>
      </c>
    </row>
    <row r="706">
      <c r="A706" t="s" s="10">
        <v>6209</v>
      </c>
      <c r="B706" t="s" s="10">
        <v>1940</v>
      </c>
      <c r="C706" t="s" s="10">
        <v>34</v>
      </c>
      <c r="D706" t="s" s="10">
        <v>6210</v>
      </c>
      <c r="E706" t="s" s="10">
        <v>3715</v>
      </c>
      <c r="F706" t="s" s="10">
        <v>273</v>
      </c>
      <c r="G706" t="s" s="10">
        <v>274</v>
      </c>
      <c r="H706" t="s" s="10">
        <v>34</v>
      </c>
      <c r="I706" t="s" s="10">
        <v>6211</v>
      </c>
      <c r="J706" t="s" s="24">
        <v>34</v>
      </c>
      <c r="K706" t="s" s="24">
        <v>34</v>
      </c>
      <c r="L706" t="s" s="24">
        <v>34</v>
      </c>
      <c r="M706" t="s" s="12">
        <v>34</v>
      </c>
      <c r="N706" t="s" s="10">
        <v>34</v>
      </c>
      <c r="O706" t="s" s="10">
        <v>34</v>
      </c>
      <c r="P706" t="s" s="10">
        <v>34</v>
      </c>
      <c r="Q706" t="s" s="10">
        <v>34</v>
      </c>
      <c r="R706" t="s" s="10">
        <v>34</v>
      </c>
      <c r="S706" t="s" s="10">
        <v>34</v>
      </c>
      <c r="T706" t="s" s="12">
        <v>34</v>
      </c>
      <c r="U706" t="s" s="10">
        <v>34</v>
      </c>
      <c r="V706" t="s" s="12">
        <v>34</v>
      </c>
      <c r="W706" t="s" s="10">
        <v>6212</v>
      </c>
      <c r="X706" s="16">
        <f>HYPERLINK("https://my.pitchbook.com?p=105399-01P", "View People Online")</f>
      </c>
    </row>
    <row r="707">
      <c r="A707" t="s" s="11">
        <v>6213</v>
      </c>
      <c r="B707" t="s" s="11">
        <v>1940</v>
      </c>
      <c r="C707" t="s" s="11">
        <v>34</v>
      </c>
      <c r="D707" t="s" s="11">
        <v>6214</v>
      </c>
      <c r="E707" t="s" s="11">
        <v>3715</v>
      </c>
      <c r="F707" t="s" s="11">
        <v>273</v>
      </c>
      <c r="G707" t="s" s="11">
        <v>274</v>
      </c>
      <c r="H707" s="17">
        <f>HYPERLINK("http://www.pioneerstatebank.com", "www.pioneerstatebank.com")</f>
      </c>
      <c r="I707" t="s" s="11">
        <v>2346</v>
      </c>
      <c r="J707" t="s" s="25">
        <v>34</v>
      </c>
      <c r="K707" s="25">
        <v>1</v>
      </c>
      <c r="L707" s="25">
        <v>1</v>
      </c>
      <c r="M707" t="s" s="13">
        <v>34</v>
      </c>
      <c r="N707" t="s" s="11">
        <v>34</v>
      </c>
      <c r="O707" t="s" s="11">
        <v>34</v>
      </c>
      <c r="P707" t="s" s="11">
        <v>34</v>
      </c>
      <c r="Q707" t="s" s="11">
        <v>34</v>
      </c>
      <c r="R707" t="s" s="11">
        <v>34</v>
      </c>
      <c r="S707" t="s" s="11">
        <v>34</v>
      </c>
      <c r="T707" t="s" s="13">
        <v>34</v>
      </c>
      <c r="U707" t="s" s="11">
        <v>34</v>
      </c>
      <c r="V707" t="s" s="13">
        <v>34</v>
      </c>
      <c r="W707" t="s" s="11">
        <v>6216</v>
      </c>
      <c r="X707" s="17">
        <f>HYPERLINK("https://my.pitchbook.com?p=126784-54P", "View People Online")</f>
      </c>
    </row>
    <row r="708">
      <c r="A708" t="s" s="10">
        <v>6217</v>
      </c>
      <c r="B708" t="s" s="10">
        <v>1940</v>
      </c>
      <c r="C708" t="s" s="10">
        <v>34</v>
      </c>
      <c r="D708" t="s" s="10">
        <v>6218</v>
      </c>
      <c r="E708" t="s" s="10">
        <v>3715</v>
      </c>
      <c r="F708" t="s" s="10">
        <v>273</v>
      </c>
      <c r="G708" t="s" s="10">
        <v>274</v>
      </c>
      <c r="H708" s="16">
        <f>HYPERLINK("http://www.meetjoi.com", "www.meetjoi.com")</f>
      </c>
      <c r="I708" t="s" s="10">
        <v>4597</v>
      </c>
      <c r="J708" t="s" s="24">
        <v>34</v>
      </c>
      <c r="K708" t="s" s="24">
        <v>34</v>
      </c>
      <c r="L708" t="s" s="24">
        <v>34</v>
      </c>
      <c r="M708" t="s" s="12">
        <v>34</v>
      </c>
      <c r="N708" t="s" s="10">
        <v>34</v>
      </c>
      <c r="O708" t="s" s="10">
        <v>34</v>
      </c>
      <c r="P708" t="s" s="10">
        <v>34</v>
      </c>
      <c r="Q708" t="s" s="10">
        <v>34</v>
      </c>
      <c r="R708" t="s" s="10">
        <v>34</v>
      </c>
      <c r="S708" t="s" s="10">
        <v>34</v>
      </c>
      <c r="T708" t="s" s="12">
        <v>34</v>
      </c>
      <c r="U708" t="s" s="10">
        <v>34</v>
      </c>
      <c r="V708" t="s" s="12">
        <v>34</v>
      </c>
      <c r="W708" t="s" s="10">
        <v>6220</v>
      </c>
      <c r="X708" s="16">
        <f>HYPERLINK("https://my.pitchbook.com?p=131079-43P", "View People Online")</f>
      </c>
    </row>
    <row r="709">
      <c r="A709" t="s" s="11">
        <v>6221</v>
      </c>
      <c r="B709" t="s" s="11">
        <v>1940</v>
      </c>
      <c r="C709" t="s" s="11">
        <v>34</v>
      </c>
      <c r="D709" t="s" s="11">
        <v>6222</v>
      </c>
      <c r="E709" t="s" s="11">
        <v>3715</v>
      </c>
      <c r="F709" t="s" s="11">
        <v>273</v>
      </c>
      <c r="G709" t="s" s="11">
        <v>274</v>
      </c>
      <c r="H709" s="17">
        <f>HYPERLINK("http://www.nedstevens.com", "www.nedstevens.com")</f>
      </c>
      <c r="I709" t="s" s="11">
        <v>4623</v>
      </c>
      <c r="J709" t="s" s="25">
        <v>34</v>
      </c>
      <c r="K709" t="s" s="25">
        <v>34</v>
      </c>
      <c r="L709" t="s" s="25">
        <v>34</v>
      </c>
      <c r="M709" t="s" s="13">
        <v>34</v>
      </c>
      <c r="N709" t="s" s="11">
        <v>34</v>
      </c>
      <c r="O709" t="s" s="11">
        <v>34</v>
      </c>
      <c r="P709" t="s" s="11">
        <v>34</v>
      </c>
      <c r="Q709" t="s" s="11">
        <v>34</v>
      </c>
      <c r="R709" t="s" s="11">
        <v>34</v>
      </c>
      <c r="S709" t="s" s="11">
        <v>34</v>
      </c>
      <c r="T709" t="s" s="13">
        <v>34</v>
      </c>
      <c r="U709" t="s" s="11">
        <v>34</v>
      </c>
      <c r="V709" t="s" s="13">
        <v>34</v>
      </c>
      <c r="W709" t="s" s="11">
        <v>6224</v>
      </c>
      <c r="X709" s="17">
        <f>HYPERLINK("https://my.pitchbook.com?p=141879-79P", "View People Online")</f>
      </c>
    </row>
    <row r="710">
      <c r="A710" t="s" s="10">
        <v>6225</v>
      </c>
      <c r="B710" t="s" s="10">
        <v>1940</v>
      </c>
      <c r="C710" t="s" s="10">
        <v>34</v>
      </c>
      <c r="D710" t="s" s="10">
        <v>6226</v>
      </c>
      <c r="E710" t="s" s="10">
        <v>3715</v>
      </c>
      <c r="F710" t="s" s="10">
        <v>273</v>
      </c>
      <c r="G710" t="s" s="10">
        <v>274</v>
      </c>
      <c r="H710" s="16">
        <f>HYPERLINK("http://www.coloradocrete.net", "www.coloradocrete.net")</f>
      </c>
      <c r="I710" t="s" s="10">
        <v>322</v>
      </c>
      <c r="J710" t="s" s="24">
        <v>34</v>
      </c>
      <c r="K710" s="24">
        <v>1</v>
      </c>
      <c r="L710" t="s" s="24">
        <v>34</v>
      </c>
      <c r="M710" t="s" s="12">
        <v>6228</v>
      </c>
      <c r="N710" t="s" s="10">
        <v>6229</v>
      </c>
      <c r="O710" t="s" s="10">
        <v>6230</v>
      </c>
      <c r="P710" t="s" s="10">
        <v>6231</v>
      </c>
      <c r="Q710" t="s" s="10">
        <v>34</v>
      </c>
      <c r="R710" t="s" s="10">
        <v>6232</v>
      </c>
      <c r="S710" t="s" s="10">
        <v>3775</v>
      </c>
      <c r="T710" t="s" s="12">
        <v>6233</v>
      </c>
      <c r="U710" t="s" s="10">
        <v>88</v>
      </c>
      <c r="V710" t="s" s="12">
        <v>34</v>
      </c>
      <c r="W710" t="s" s="10">
        <v>6234</v>
      </c>
      <c r="X710" s="16">
        <f>HYPERLINK("https://my.pitchbook.com?p=153114-49P", "View People Online")</f>
      </c>
    </row>
    <row r="711">
      <c r="A711" t="s" s="11">
        <v>6235</v>
      </c>
      <c r="B711" t="s" s="11">
        <v>1940</v>
      </c>
      <c r="C711" t="s" s="11">
        <v>34</v>
      </c>
      <c r="D711" t="s" s="11">
        <v>6236</v>
      </c>
      <c r="E711" t="s" s="11">
        <v>3715</v>
      </c>
      <c r="F711" t="s" s="11">
        <v>273</v>
      </c>
      <c r="G711" t="s" s="11">
        <v>274</v>
      </c>
      <c r="H711" s="17">
        <f>HYPERLINK("http://us.constructiononline.com", "us.constructiononline.com")</f>
      </c>
      <c r="I711" t="s" s="11">
        <v>3125</v>
      </c>
      <c r="J711" t="s" s="25">
        <v>34</v>
      </c>
      <c r="K711" s="25">
        <v>1</v>
      </c>
      <c r="L711" t="s" s="25">
        <v>34</v>
      </c>
      <c r="M711" t="s" s="13">
        <v>6238</v>
      </c>
      <c r="N711" t="s" s="11">
        <v>6239</v>
      </c>
      <c r="O711" t="s" s="11">
        <v>6240</v>
      </c>
      <c r="P711" t="s" s="11">
        <v>6241</v>
      </c>
      <c r="Q711" t="s" s="11">
        <v>34</v>
      </c>
      <c r="R711" t="s" s="11">
        <v>6242</v>
      </c>
      <c r="S711" t="s" s="11">
        <v>6243</v>
      </c>
      <c r="T711" t="s" s="13">
        <v>6244</v>
      </c>
      <c r="U711" t="s" s="11">
        <v>88</v>
      </c>
      <c r="V711" t="s" s="13">
        <v>34</v>
      </c>
      <c r="W711" t="s" s="11">
        <v>6245</v>
      </c>
      <c r="X711" s="17">
        <f>HYPERLINK("https://my.pitchbook.com?p=226338-58P", "View People Online")</f>
      </c>
    </row>
    <row r="712">
      <c r="A712" t="s" s="10">
        <v>6246</v>
      </c>
      <c r="B712" t="s" s="10">
        <v>1940</v>
      </c>
      <c r="C712" t="s" s="10">
        <v>34</v>
      </c>
      <c r="D712" t="s" s="10">
        <v>6247</v>
      </c>
      <c r="E712" t="s" s="10">
        <v>3715</v>
      </c>
      <c r="F712" t="s" s="10">
        <v>273</v>
      </c>
      <c r="G712" t="s" s="10">
        <v>274</v>
      </c>
      <c r="H712" s="16">
        <f>HYPERLINK("http://www.zelegentinc.com", "www.zelegentinc.com")</f>
      </c>
      <c r="I712" t="s" s="10">
        <v>649</v>
      </c>
      <c r="J712" t="s" s="24">
        <v>34</v>
      </c>
      <c r="K712" t="s" s="24">
        <v>34</v>
      </c>
      <c r="L712" t="s" s="24">
        <v>34</v>
      </c>
      <c r="M712" t="s" s="12">
        <v>6249</v>
      </c>
      <c r="N712" t="s" s="10">
        <v>34</v>
      </c>
      <c r="O712" t="s" s="10">
        <v>34</v>
      </c>
      <c r="P712" t="s" s="10">
        <v>34</v>
      </c>
      <c r="Q712" t="s" s="10">
        <v>34</v>
      </c>
      <c r="R712" t="s" s="10">
        <v>34</v>
      </c>
      <c r="S712" t="s" s="10">
        <v>34</v>
      </c>
      <c r="T712" t="s" s="12">
        <v>34</v>
      </c>
      <c r="U712" t="s" s="10">
        <v>34</v>
      </c>
      <c r="V712" t="s" s="12">
        <v>34</v>
      </c>
      <c r="W712" t="s" s="10">
        <v>6250</v>
      </c>
      <c r="X712" s="16">
        <f>HYPERLINK("https://my.pitchbook.com?p=230925-07P", "View People Online")</f>
      </c>
    </row>
    <row r="713">
      <c r="A713" t="s" s="11">
        <v>6251</v>
      </c>
      <c r="B713" t="s" s="11">
        <v>1940</v>
      </c>
      <c r="C713" t="s" s="11">
        <v>34</v>
      </c>
      <c r="D713" t="s" s="11">
        <v>6252</v>
      </c>
      <c r="E713" t="s" s="11">
        <v>3715</v>
      </c>
      <c r="F713" t="s" s="11">
        <v>273</v>
      </c>
      <c r="G713" t="s" s="11">
        <v>274</v>
      </c>
      <c r="H713" s="17">
        <f>HYPERLINK("http://www.api-assembled.com", "www.api-assembled.com")</f>
      </c>
      <c r="I713" t="s" s="11">
        <v>6254</v>
      </c>
      <c r="J713" t="s" s="25">
        <v>34</v>
      </c>
      <c r="K713" t="s" s="25">
        <v>34</v>
      </c>
      <c r="L713" t="s" s="25">
        <v>34</v>
      </c>
      <c r="M713" t="s" s="13">
        <v>6255</v>
      </c>
      <c r="N713" t="s" s="11">
        <v>6256</v>
      </c>
      <c r="O713" t="s" s="11">
        <v>6257</v>
      </c>
      <c r="P713" t="s" s="11">
        <v>6258</v>
      </c>
      <c r="Q713" t="s" s="11">
        <v>34</v>
      </c>
      <c r="R713" t="s" s="11">
        <v>6259</v>
      </c>
      <c r="S713" t="s" s="11">
        <v>6243</v>
      </c>
      <c r="T713" t="s" s="13">
        <v>6260</v>
      </c>
      <c r="U713" t="s" s="11">
        <v>88</v>
      </c>
      <c r="V713" t="s" s="13">
        <v>6261</v>
      </c>
      <c r="W713" t="s" s="11">
        <v>6262</v>
      </c>
      <c r="X713" s="17">
        <f>HYPERLINK("https://my.pitchbook.com?p=245776-87P", "View People Online")</f>
      </c>
    </row>
    <row r="714">
      <c r="A714" t="s" s="10">
        <v>6263</v>
      </c>
      <c r="B714" t="s" s="10">
        <v>1940</v>
      </c>
      <c r="C714" t="s" s="10">
        <v>34</v>
      </c>
      <c r="D714" t="s" s="10">
        <v>6264</v>
      </c>
      <c r="E714" t="s" s="10">
        <v>3715</v>
      </c>
      <c r="F714" t="s" s="10">
        <v>273</v>
      </c>
      <c r="G714" t="s" s="10">
        <v>274</v>
      </c>
      <c r="H714" s="16">
        <f>HYPERLINK("http://www.whatnextstrategy.com", "www.whatnextstrategy.com")</f>
      </c>
      <c r="I714" t="s" s="10">
        <v>6266</v>
      </c>
      <c r="J714" s="24">
        <v>1</v>
      </c>
      <c r="K714" s="24">
        <v>1</v>
      </c>
      <c r="L714" t="s" s="24">
        <v>34</v>
      </c>
      <c r="M714" t="s" s="12">
        <v>6267</v>
      </c>
      <c r="N714" t="s" s="10">
        <v>6268</v>
      </c>
      <c r="O714" t="s" s="10">
        <v>6269</v>
      </c>
      <c r="P714" t="s" s="10">
        <v>6270</v>
      </c>
      <c r="Q714" t="s" s="10">
        <v>6271</v>
      </c>
      <c r="R714" t="s" s="10">
        <v>6272</v>
      </c>
      <c r="S714" t="s" s="10">
        <v>47</v>
      </c>
      <c r="T714" t="s" s="12">
        <v>6273</v>
      </c>
      <c r="U714" t="s" s="10">
        <v>49</v>
      </c>
      <c r="V714" t="s" s="12">
        <v>34</v>
      </c>
      <c r="W714" t="s" s="10">
        <v>6274</v>
      </c>
      <c r="X714" s="16">
        <f>HYPERLINK("https://my.pitchbook.com?p=246967-21P", "View People Online")</f>
      </c>
    </row>
    <row r="715">
      <c r="A715" t="s" s="11">
        <v>6275</v>
      </c>
      <c r="B715" t="s" s="11">
        <v>1940</v>
      </c>
      <c r="C715" t="s" s="11">
        <v>34</v>
      </c>
      <c r="D715" t="s" s="11">
        <v>6276</v>
      </c>
      <c r="E715" t="s" s="11">
        <v>3715</v>
      </c>
      <c r="F715" t="s" s="11">
        <v>273</v>
      </c>
      <c r="G715" t="s" s="11">
        <v>274</v>
      </c>
      <c r="H715" s="17">
        <f>HYPERLINK("http://www.budgetblinds.com", "www.budgetblinds.com")</f>
      </c>
      <c r="I715" t="s" s="11">
        <v>322</v>
      </c>
      <c r="J715" t="s" s="25">
        <v>34</v>
      </c>
      <c r="K715" t="s" s="25">
        <v>34</v>
      </c>
      <c r="L715" t="s" s="25">
        <v>34</v>
      </c>
      <c r="M715" t="s" s="13">
        <v>6278</v>
      </c>
      <c r="N715" t="s" s="11">
        <v>6279</v>
      </c>
      <c r="O715" t="s" s="11">
        <v>6280</v>
      </c>
      <c r="P715" t="s" s="11">
        <v>6281</v>
      </c>
      <c r="Q715" t="s" s="11">
        <v>3226</v>
      </c>
      <c r="R715" t="s" s="11">
        <v>6282</v>
      </c>
      <c r="S715" t="s" s="11">
        <v>1904</v>
      </c>
      <c r="T715" t="s" s="13">
        <v>6283</v>
      </c>
      <c r="U715" t="s" s="11">
        <v>88</v>
      </c>
      <c r="V715" t="s" s="13">
        <v>34</v>
      </c>
      <c r="W715" t="s" s="11">
        <v>6284</v>
      </c>
      <c r="X715" s="17">
        <f>HYPERLINK("https://my.pitchbook.com?p=248347-18P", "View People Online")</f>
      </c>
    </row>
    <row r="716">
      <c r="A716" t="s" s="10">
        <v>6285</v>
      </c>
      <c r="B716" t="s" s="10">
        <v>1940</v>
      </c>
      <c r="C716" t="s" s="10">
        <v>34</v>
      </c>
      <c r="D716" t="s" s="10">
        <v>6286</v>
      </c>
      <c r="E716" t="s" s="10">
        <v>3715</v>
      </c>
      <c r="F716" t="s" s="10">
        <v>273</v>
      </c>
      <c r="G716" t="s" s="10">
        <v>274</v>
      </c>
      <c r="H716" s="16">
        <f>HYPERLINK("http://www.meristematic.com", "www.meristematic.com")</f>
      </c>
      <c r="I716" t="s" s="10">
        <v>322</v>
      </c>
      <c r="J716" t="s" s="24">
        <v>34</v>
      </c>
      <c r="K716" t="s" s="24">
        <v>34</v>
      </c>
      <c r="L716" t="s" s="24">
        <v>34</v>
      </c>
      <c r="M716" t="s" s="12">
        <v>34</v>
      </c>
      <c r="N716" t="s" s="10">
        <v>34</v>
      </c>
      <c r="O716" t="s" s="10">
        <v>34</v>
      </c>
      <c r="P716" t="s" s="10">
        <v>34</v>
      </c>
      <c r="Q716" t="s" s="10">
        <v>34</v>
      </c>
      <c r="R716" t="s" s="10">
        <v>34</v>
      </c>
      <c r="S716" t="s" s="10">
        <v>34</v>
      </c>
      <c r="T716" t="s" s="12">
        <v>34</v>
      </c>
      <c r="U716" t="s" s="10">
        <v>34</v>
      </c>
      <c r="V716" t="s" s="12">
        <v>34</v>
      </c>
      <c r="W716" t="s" s="10">
        <v>6288</v>
      </c>
      <c r="X716" s="16">
        <f>HYPERLINK("https://my.pitchbook.com?p=248449-06P", "View People Online")</f>
      </c>
    </row>
    <row r="717">
      <c r="A717" t="s" s="11">
        <v>6289</v>
      </c>
      <c r="B717" t="s" s="11">
        <v>1940</v>
      </c>
      <c r="C717" t="s" s="11">
        <v>34</v>
      </c>
      <c r="D717" t="s" s="11">
        <v>6290</v>
      </c>
      <c r="E717" t="s" s="11">
        <v>3715</v>
      </c>
      <c r="F717" t="s" s="11">
        <v>273</v>
      </c>
      <c r="G717" t="s" s="11">
        <v>274</v>
      </c>
      <c r="H717" s="17">
        <f>HYPERLINK("http://www.curiositybox.com", "www.curiositybox.com")</f>
      </c>
      <c r="I717" t="s" s="11">
        <v>1346</v>
      </c>
      <c r="J717" t="s" s="25">
        <v>34</v>
      </c>
      <c r="K717" s="25">
        <v>1</v>
      </c>
      <c r="L717" t="s" s="25">
        <v>34</v>
      </c>
      <c r="M717" t="s" s="13">
        <v>6292</v>
      </c>
      <c r="N717" t="s" s="11">
        <v>6293</v>
      </c>
      <c r="O717" t="s" s="11">
        <v>6294</v>
      </c>
      <c r="P717" t="s" s="11">
        <v>6295</v>
      </c>
      <c r="Q717" t="s" s="11">
        <v>6296</v>
      </c>
      <c r="R717" t="s" s="11">
        <v>6297</v>
      </c>
      <c r="S717" t="s" s="11">
        <v>1904</v>
      </c>
      <c r="T717" t="s" s="13">
        <v>6298</v>
      </c>
      <c r="U717" t="s" s="11">
        <v>88</v>
      </c>
      <c r="V717" t="s" s="13">
        <v>34</v>
      </c>
      <c r="W717" t="s" s="11">
        <v>6299</v>
      </c>
      <c r="X717" s="17">
        <f>HYPERLINK("https://my.pitchbook.com?p=336754-45P", "View People Online")</f>
      </c>
    </row>
    <row r="718">
      <c r="A718" t="s" s="10">
        <v>6300</v>
      </c>
      <c r="B718" t="s" s="10">
        <v>1940</v>
      </c>
      <c r="C718" t="s" s="10">
        <v>34</v>
      </c>
      <c r="D718" t="s" s="10">
        <v>6301</v>
      </c>
      <c r="E718" t="s" s="10">
        <v>3715</v>
      </c>
      <c r="F718" t="s" s="10">
        <v>273</v>
      </c>
      <c r="G718" t="s" s="10">
        <v>274</v>
      </c>
      <c r="H718" s="16">
        <f>HYPERLINK("http://www.vsauce.com", "www.vsauce.com")</f>
      </c>
      <c r="I718" t="s" s="10">
        <v>6303</v>
      </c>
      <c r="J718" t="s" s="24">
        <v>34</v>
      </c>
      <c r="K718" s="24">
        <v>1</v>
      </c>
      <c r="L718" t="s" s="24">
        <v>34</v>
      </c>
      <c r="M718" t="s" s="12">
        <v>34</v>
      </c>
      <c r="N718" t="s" s="10">
        <v>6304</v>
      </c>
      <c r="O718" t="s" s="10">
        <v>6305</v>
      </c>
      <c r="P718" t="s" s="10">
        <v>6306</v>
      </c>
      <c r="Q718" t="s" s="10">
        <v>5320</v>
      </c>
      <c r="R718" t="s" s="10">
        <v>6307</v>
      </c>
      <c r="S718" t="s" s="10">
        <v>1904</v>
      </c>
      <c r="T718" t="s" s="12">
        <v>34</v>
      </c>
      <c r="U718" t="s" s="10">
        <v>88</v>
      </c>
      <c r="V718" t="s" s="12">
        <v>34</v>
      </c>
      <c r="W718" t="s" s="10">
        <v>6308</v>
      </c>
      <c r="X718" s="16">
        <f>HYPERLINK("https://my.pitchbook.com?p=337956-31P", "View People Online")</f>
      </c>
    </row>
    <row r="719">
      <c r="A719" t="s" s="11">
        <v>6309</v>
      </c>
      <c r="B719" t="s" s="11">
        <v>1940</v>
      </c>
      <c r="C719" t="s" s="11">
        <v>34</v>
      </c>
      <c r="D719" t="s" s="11">
        <v>6310</v>
      </c>
      <c r="E719" t="s" s="11">
        <v>3715</v>
      </c>
      <c r="F719" t="s" s="11">
        <v>273</v>
      </c>
      <c r="G719" t="s" s="11">
        <v>274</v>
      </c>
      <c r="H719" s="17">
        <f>HYPERLINK("http://www.ttcpexpress.com", "www.ttcpexpress.com")</f>
      </c>
      <c r="I719" t="s" s="11">
        <v>6312</v>
      </c>
      <c r="J719" t="s" s="25">
        <v>34</v>
      </c>
      <c r="K719" s="25">
        <v>1</v>
      </c>
      <c r="L719" t="s" s="25">
        <v>34</v>
      </c>
      <c r="M719" t="s" s="13">
        <v>6313</v>
      </c>
      <c r="N719" t="s" s="11">
        <v>6314</v>
      </c>
      <c r="O719" t="s" s="11">
        <v>6315</v>
      </c>
      <c r="P719" t="s" s="11">
        <v>6316</v>
      </c>
      <c r="Q719" t="s" s="11">
        <v>6317</v>
      </c>
      <c r="R719" t="s" s="11">
        <v>6318</v>
      </c>
      <c r="S719" t="s" s="11">
        <v>6319</v>
      </c>
      <c r="T719" t="s" s="13">
        <v>6320</v>
      </c>
      <c r="U719" t="s" s="11">
        <v>88</v>
      </c>
      <c r="V719" t="s" s="13">
        <v>34</v>
      </c>
      <c r="W719" t="s" s="11">
        <v>6321</v>
      </c>
      <c r="X719" s="17">
        <f>HYPERLINK("https://my.pitchbook.com?p=340656-04P", "View People Online")</f>
      </c>
    </row>
    <row r="720">
      <c r="A720" t="s" s="10">
        <v>6322</v>
      </c>
      <c r="B720" t="s" s="10">
        <v>1940</v>
      </c>
      <c r="C720" t="s" s="10">
        <v>34</v>
      </c>
      <c r="D720" t="s" s="10">
        <v>6323</v>
      </c>
      <c r="E720" t="s" s="10">
        <v>3715</v>
      </c>
      <c r="F720" t="s" s="10">
        <v>273</v>
      </c>
      <c r="G720" t="s" s="10">
        <v>274</v>
      </c>
      <c r="H720" s="16">
        <f>HYPERLINK("http://capitolriverfront.org", "capitolriverfront.org")</f>
      </c>
      <c r="I720" t="s" s="10">
        <v>5126</v>
      </c>
      <c r="J720" t="s" s="24">
        <v>34</v>
      </c>
      <c r="K720" s="24">
        <v>1</v>
      </c>
      <c r="L720" t="s" s="24">
        <v>34</v>
      </c>
      <c r="M720" t="s" s="12">
        <v>6325</v>
      </c>
      <c r="N720" t="s" s="10">
        <v>6326</v>
      </c>
      <c r="O720" t="s" s="10">
        <v>2812</v>
      </c>
      <c r="P720" t="s" s="10">
        <v>6327</v>
      </c>
      <c r="Q720" t="s" s="10">
        <v>34</v>
      </c>
      <c r="R720" t="s" s="10">
        <v>359</v>
      </c>
      <c r="S720" t="s" s="10">
        <v>2814</v>
      </c>
      <c r="T720" t="s" s="12">
        <v>6328</v>
      </c>
      <c r="U720" t="s" s="10">
        <v>88</v>
      </c>
      <c r="V720" t="s" s="12">
        <v>34</v>
      </c>
      <c r="W720" t="s" s="10">
        <v>6329</v>
      </c>
      <c r="X720" s="16">
        <f>HYPERLINK("https://my.pitchbook.com?p=358570-99P", "View People Online")</f>
      </c>
    </row>
    <row r="721">
      <c r="A721" t="s" s="11">
        <v>6330</v>
      </c>
      <c r="B721" t="s" s="11">
        <v>1940</v>
      </c>
      <c r="C721" t="s" s="11">
        <v>34</v>
      </c>
      <c r="D721" t="s" s="11">
        <v>6331</v>
      </c>
      <c r="E721" t="s" s="11">
        <v>3715</v>
      </c>
      <c r="F721" t="s" s="11">
        <v>273</v>
      </c>
      <c r="G721" t="s" s="11">
        <v>274</v>
      </c>
      <c r="H721" s="17">
        <f>HYPERLINK("http://www.weareinquisitive.com", "www.weareinquisitive.com")</f>
      </c>
      <c r="I721" t="s" s="11">
        <v>6333</v>
      </c>
      <c r="J721" t="s" s="25">
        <v>34</v>
      </c>
      <c r="K721" s="25">
        <v>1</v>
      </c>
      <c r="L721" t="s" s="25">
        <v>34</v>
      </c>
      <c r="M721" t="s" s="13">
        <v>6334</v>
      </c>
      <c r="N721" t="s" s="11">
        <v>6335</v>
      </c>
      <c r="O721" t="s" s="11">
        <v>43</v>
      </c>
      <c r="P721" t="s" s="11">
        <v>6336</v>
      </c>
      <c r="Q721" t="s" s="11">
        <v>6337</v>
      </c>
      <c r="R721" t="s" s="11">
        <v>46</v>
      </c>
      <c r="S721" t="s" s="11">
        <v>47</v>
      </c>
      <c r="T721" t="s" s="13">
        <v>6338</v>
      </c>
      <c r="U721" t="s" s="11">
        <v>49</v>
      </c>
      <c r="V721" t="s" s="13">
        <v>34</v>
      </c>
      <c r="W721" t="s" s="11">
        <v>6339</v>
      </c>
      <c r="X721" s="17">
        <f>HYPERLINK("https://my.pitchbook.com?p=364106-62P", "View People Online")</f>
      </c>
    </row>
    <row r="722">
      <c r="A722" t="s" s="10">
        <v>6340</v>
      </c>
      <c r="B722" t="s" s="10">
        <v>1940</v>
      </c>
      <c r="C722" t="s" s="10">
        <v>34</v>
      </c>
      <c r="D722" t="s" s="10">
        <v>6341</v>
      </c>
      <c r="E722" t="s" s="10">
        <v>3715</v>
      </c>
      <c r="F722" t="s" s="10">
        <v>273</v>
      </c>
      <c r="G722" t="s" s="10">
        <v>274</v>
      </c>
      <c r="H722" s="16">
        <f>HYPERLINK("http://lcrepro.com", "lcrepro.com")</f>
      </c>
      <c r="I722" t="s" s="10">
        <v>5126</v>
      </c>
      <c r="J722" t="s" s="24">
        <v>34</v>
      </c>
      <c r="K722" s="24">
        <v>1</v>
      </c>
      <c r="L722" t="s" s="24">
        <v>34</v>
      </c>
      <c r="M722" t="s" s="12">
        <v>6343</v>
      </c>
      <c r="N722" t="s" s="10">
        <v>34</v>
      </c>
      <c r="O722" t="s" s="10">
        <v>6344</v>
      </c>
      <c r="P722" t="s" s="10">
        <v>6345</v>
      </c>
      <c r="Q722" t="s" s="10">
        <v>34</v>
      </c>
      <c r="R722" t="s" s="10">
        <v>6346</v>
      </c>
      <c r="S722" t="s" s="10">
        <v>2156</v>
      </c>
      <c r="T722" t="s" s="12">
        <v>6347</v>
      </c>
      <c r="U722" t="s" s="10">
        <v>88</v>
      </c>
      <c r="V722" t="s" s="12">
        <v>34</v>
      </c>
      <c r="W722" t="s" s="10">
        <v>6348</v>
      </c>
      <c r="X722" s="16">
        <f>HYPERLINK("https://my.pitchbook.com?p=365545-72P", "View People Online")</f>
      </c>
    </row>
    <row r="723">
      <c r="A723" t="s" s="11">
        <v>6349</v>
      </c>
      <c r="B723" t="s" s="11">
        <v>1940</v>
      </c>
      <c r="C723" t="s" s="11">
        <v>34</v>
      </c>
      <c r="D723" t="s" s="11">
        <v>6350</v>
      </c>
      <c r="E723" t="s" s="11">
        <v>3715</v>
      </c>
      <c r="F723" t="s" s="11">
        <v>273</v>
      </c>
      <c r="G723" t="s" s="11">
        <v>274</v>
      </c>
      <c r="H723" s="17">
        <f>HYPERLINK("http://www.networkonesolutions.com", "www.networkonesolutions.com")</f>
      </c>
      <c r="I723" t="s" s="11">
        <v>4401</v>
      </c>
      <c r="J723" t="s" s="25">
        <v>34</v>
      </c>
      <c r="K723" t="s" s="25">
        <v>34</v>
      </c>
      <c r="L723" t="s" s="25">
        <v>34</v>
      </c>
      <c r="M723" t="s" s="13">
        <v>34</v>
      </c>
      <c r="N723" t="s" s="11">
        <v>34</v>
      </c>
      <c r="O723" t="s" s="11">
        <v>34</v>
      </c>
      <c r="P723" t="s" s="11">
        <v>34</v>
      </c>
      <c r="Q723" t="s" s="11">
        <v>34</v>
      </c>
      <c r="R723" t="s" s="11">
        <v>34</v>
      </c>
      <c r="S723" t="s" s="11">
        <v>34</v>
      </c>
      <c r="T723" t="s" s="13">
        <v>34</v>
      </c>
      <c r="U723" t="s" s="11">
        <v>34</v>
      </c>
      <c r="V723" t="s" s="13">
        <v>34</v>
      </c>
      <c r="W723" t="s" s="11">
        <v>6352</v>
      </c>
      <c r="X723" s="17">
        <f>HYPERLINK("https://my.pitchbook.com?p=369917-11P", "View People Online")</f>
      </c>
    </row>
    <row r="724">
      <c r="A724" t="s" s="10">
        <v>6353</v>
      </c>
      <c r="B724" t="s" s="10">
        <v>1940</v>
      </c>
      <c r="C724" t="s" s="10">
        <v>34</v>
      </c>
      <c r="D724" t="s" s="10">
        <v>6354</v>
      </c>
      <c r="E724" t="s" s="10">
        <v>3715</v>
      </c>
      <c r="F724" t="s" s="10">
        <v>273</v>
      </c>
      <c r="G724" t="s" s="10">
        <v>274</v>
      </c>
      <c r="H724" s="16">
        <f>HYPERLINK("http://www.llusern.co.uk", "www.llusern.co.uk")</f>
      </c>
      <c r="I724" t="s" s="10">
        <v>649</v>
      </c>
      <c r="J724" s="24">
        <v>1</v>
      </c>
      <c r="K724" s="24">
        <v>1</v>
      </c>
      <c r="L724" t="s" s="24">
        <v>34</v>
      </c>
      <c r="M724" t="s" s="12">
        <v>34</v>
      </c>
      <c r="N724" t="s" s="10">
        <v>34</v>
      </c>
      <c r="O724" t="s" s="10">
        <v>6356</v>
      </c>
      <c r="P724" t="s" s="10">
        <v>6357</v>
      </c>
      <c r="Q724" t="s" s="10">
        <v>6358</v>
      </c>
      <c r="R724" t="s" s="10">
        <v>6359</v>
      </c>
      <c r="S724" t="s" s="10">
        <v>2744</v>
      </c>
      <c r="T724" t="s" s="12">
        <v>6360</v>
      </c>
      <c r="U724" t="s" s="10">
        <v>49</v>
      </c>
      <c r="V724" t="s" s="12">
        <v>34</v>
      </c>
      <c r="W724" t="s" s="10">
        <v>6361</v>
      </c>
      <c r="X724" s="16">
        <f>HYPERLINK("https://my.pitchbook.com?p=393184-54P", "View People Online")</f>
      </c>
    </row>
    <row r="725">
      <c r="A725" t="s" s="11">
        <v>6362</v>
      </c>
      <c r="B725" t="s" s="11">
        <v>1940</v>
      </c>
      <c r="C725" t="s" s="11">
        <v>34</v>
      </c>
      <c r="D725" t="s" s="11">
        <v>6363</v>
      </c>
      <c r="E725" t="s" s="11">
        <v>3715</v>
      </c>
      <c r="F725" t="s" s="11">
        <v>273</v>
      </c>
      <c r="G725" t="s" s="11">
        <v>274</v>
      </c>
      <c r="H725" s="17">
        <f>HYPERLINK("http://www.yoyotech.co.uk", "www.yoyotech.co.uk")</f>
      </c>
      <c r="I725" t="s" s="11">
        <v>6365</v>
      </c>
      <c r="J725" t="s" s="25">
        <v>34</v>
      </c>
      <c r="K725" s="25">
        <v>1</v>
      </c>
      <c r="L725" t="s" s="25">
        <v>34</v>
      </c>
      <c r="M725" t="s" s="13">
        <v>34</v>
      </c>
      <c r="N725" t="s" s="11">
        <v>34</v>
      </c>
      <c r="O725" t="s" s="11">
        <v>6366</v>
      </c>
      <c r="P725" t="s" s="11">
        <v>6367</v>
      </c>
      <c r="Q725" t="s" s="11">
        <v>6368</v>
      </c>
      <c r="R725" t="s" s="11">
        <v>6369</v>
      </c>
      <c r="S725" t="s" s="11">
        <v>47</v>
      </c>
      <c r="T725" t="s" s="13">
        <v>6370</v>
      </c>
      <c r="U725" t="s" s="11">
        <v>49</v>
      </c>
      <c r="V725" t="s" s="13">
        <v>34</v>
      </c>
      <c r="W725" t="s" s="11">
        <v>6371</v>
      </c>
      <c r="X725" s="17">
        <f>HYPERLINK("https://my.pitchbook.com?p=420392-80P", "View People Online")</f>
      </c>
    </row>
    <row r="726">
      <c r="A726" t="s" s="10">
        <v>6372</v>
      </c>
      <c r="B726" t="s" s="10">
        <v>1940</v>
      </c>
      <c r="C726" t="s" s="10">
        <v>34</v>
      </c>
      <c r="D726" t="s" s="10">
        <v>6373</v>
      </c>
      <c r="E726" t="s" s="10">
        <v>3715</v>
      </c>
      <c r="F726" t="s" s="10">
        <v>273</v>
      </c>
      <c r="G726" t="s" s="10">
        <v>274</v>
      </c>
      <c r="H726" s="16">
        <f>HYPERLINK("http://www.ofkos.com", "www.ofkos.com")</f>
      </c>
      <c r="I726" t="s" s="10">
        <v>57</v>
      </c>
      <c r="J726" t="s" s="24">
        <v>34</v>
      </c>
      <c r="K726" s="24">
        <v>1</v>
      </c>
      <c r="L726" t="s" s="24">
        <v>34</v>
      </c>
      <c r="M726" t="s" s="12">
        <v>34</v>
      </c>
      <c r="N726" t="s" s="10">
        <v>34</v>
      </c>
      <c r="O726" t="s" s="10">
        <v>6375</v>
      </c>
      <c r="P726" t="s" s="10">
        <v>6376</v>
      </c>
      <c r="Q726" t="s" s="10">
        <v>6377</v>
      </c>
      <c r="R726" t="s" s="10">
        <v>6378</v>
      </c>
      <c r="S726" t="s" s="10">
        <v>1904</v>
      </c>
      <c r="T726" t="s" s="12">
        <v>6379</v>
      </c>
      <c r="U726" t="s" s="10">
        <v>88</v>
      </c>
      <c r="V726" t="s" s="12">
        <v>6380</v>
      </c>
      <c r="W726" t="s" s="10">
        <v>6381</v>
      </c>
      <c r="X726" s="16">
        <f>HYPERLINK("https://my.pitchbook.com?p=422642-89P", "View People Online")</f>
      </c>
    </row>
    <row r="727">
      <c r="A727" t="s" s="11">
        <v>6382</v>
      </c>
      <c r="B727" t="s" s="11">
        <v>1940</v>
      </c>
      <c r="C727" t="s" s="11">
        <v>34</v>
      </c>
      <c r="D727" t="s" s="11">
        <v>6383</v>
      </c>
      <c r="E727" t="s" s="11">
        <v>3715</v>
      </c>
      <c r="F727" t="s" s="11">
        <v>273</v>
      </c>
      <c r="G727" t="s" s="11">
        <v>274</v>
      </c>
      <c r="H727" s="17">
        <f>HYPERLINK("http://www.sticklr.com", "www.sticklr.com")</f>
      </c>
      <c r="I727" t="s" s="11">
        <v>57</v>
      </c>
      <c r="J727" t="s" s="25">
        <v>34</v>
      </c>
      <c r="K727" s="25">
        <v>1</v>
      </c>
      <c r="L727" t="s" s="25">
        <v>34</v>
      </c>
      <c r="M727" t="s" s="13">
        <v>34</v>
      </c>
      <c r="N727" t="s" s="11">
        <v>6385</v>
      </c>
      <c r="O727" t="s" s="11">
        <v>3179</v>
      </c>
      <c r="P727" t="s" s="11">
        <v>6386</v>
      </c>
      <c r="Q727" t="s" s="11">
        <v>34</v>
      </c>
      <c r="R727" t="s" s="11">
        <v>3182</v>
      </c>
      <c r="S727" t="s" s="11">
        <v>3183</v>
      </c>
      <c r="T727" t="s" s="13">
        <v>6387</v>
      </c>
      <c r="U727" t="s" s="11">
        <v>49</v>
      </c>
      <c r="V727" t="s" s="13">
        <v>34</v>
      </c>
      <c r="W727" t="s" s="11">
        <v>6388</v>
      </c>
      <c r="X727" s="17">
        <f>HYPERLINK("https://my.pitchbook.com?p=455645-53P", "View People Online")</f>
      </c>
    </row>
    <row r="728">
      <c r="A728" t="s" s="10">
        <v>6389</v>
      </c>
      <c r="B728" t="s" s="10">
        <v>6390</v>
      </c>
      <c r="C728" t="s" s="10">
        <v>34</v>
      </c>
      <c r="D728" t="s" s="10">
        <v>3809</v>
      </c>
      <c r="E728" t="s" s="10">
        <v>3715</v>
      </c>
      <c r="F728" t="s" s="10">
        <v>6391</v>
      </c>
      <c r="G728" t="s" s="10">
        <v>2111</v>
      </c>
      <c r="H728" s="16">
        <f>HYPERLINK("http://www.arada.com", "www.arada.com")</f>
      </c>
      <c r="I728" t="s" s="10">
        <v>5375</v>
      </c>
      <c r="J728" t="s" s="24">
        <v>34</v>
      </c>
      <c r="K728" s="24">
        <v>1</v>
      </c>
      <c r="L728" t="s" s="24">
        <v>34</v>
      </c>
      <c r="M728" t="s" s="12">
        <v>3812</v>
      </c>
      <c r="N728" t="s" s="10">
        <v>6392</v>
      </c>
      <c r="O728" t="s" s="10">
        <v>236</v>
      </c>
      <c r="P728" t="s" s="10">
        <v>3813</v>
      </c>
      <c r="Q728" t="s" s="10">
        <v>3814</v>
      </c>
      <c r="R728" t="s" s="10">
        <v>239</v>
      </c>
      <c r="S728" t="s" s="10">
        <v>34</v>
      </c>
      <c r="T728" t="s" s="12">
        <v>34</v>
      </c>
      <c r="U728" t="s" s="10">
        <v>240</v>
      </c>
      <c r="V728" t="s" s="12">
        <v>34</v>
      </c>
      <c r="W728" t="s" s="10">
        <v>6393</v>
      </c>
      <c r="X728" s="16">
        <f>HYPERLINK("https://my.pitchbook.com?p=450541-00P", "View People Online")</f>
      </c>
    </row>
    <row r="729">
      <c r="A729" t="s" s="11">
        <v>6394</v>
      </c>
      <c r="B729" t="s" s="11">
        <v>6395</v>
      </c>
      <c r="C729" t="s" s="11">
        <v>34</v>
      </c>
      <c r="D729" t="s" s="11">
        <v>6396</v>
      </c>
      <c r="E729" t="s" s="11">
        <v>3715</v>
      </c>
      <c r="F729" t="s" s="11">
        <v>6397</v>
      </c>
      <c r="G729" t="s" s="11">
        <v>6398</v>
      </c>
      <c r="H729" s="17">
        <f>HYPERLINK("http://www.logiscenter.com", "www.logiscenter.com")</f>
      </c>
      <c r="I729" t="s" s="11">
        <v>6400</v>
      </c>
      <c r="J729" t="s" s="25">
        <v>34</v>
      </c>
      <c r="K729" s="25">
        <v>2</v>
      </c>
      <c r="L729" t="s" s="25">
        <v>34</v>
      </c>
      <c r="M729" t="s" s="13">
        <v>6401</v>
      </c>
      <c r="N729" t="s" s="11">
        <v>6402</v>
      </c>
      <c r="O729" t="s" s="11">
        <v>1101</v>
      </c>
      <c r="P729" t="s" s="11">
        <v>6403</v>
      </c>
      <c r="Q729" t="s" s="11">
        <v>6404</v>
      </c>
      <c r="R729" t="s" s="11">
        <v>1103</v>
      </c>
      <c r="S729" t="s" s="11">
        <v>34</v>
      </c>
      <c r="T729" t="s" s="13">
        <v>6405</v>
      </c>
      <c r="U729" t="s" s="11">
        <v>1105</v>
      </c>
      <c r="V729" t="s" s="13">
        <v>34</v>
      </c>
      <c r="W729" t="s" s="11">
        <v>6406</v>
      </c>
      <c r="X729" s="17">
        <f>HYPERLINK("https://my.pitchbook.com?p=227481-58P", "View People Online")</f>
      </c>
    </row>
    <row r="730">
      <c r="A730" t="s" s="10">
        <v>6407</v>
      </c>
      <c r="B730" t="s" s="10">
        <v>6408</v>
      </c>
      <c r="C730" t="s" s="10">
        <v>34</v>
      </c>
      <c r="D730" t="s" s="10">
        <v>4824</v>
      </c>
      <c r="E730" t="s" s="10">
        <v>3715</v>
      </c>
      <c r="F730" t="s" s="10">
        <v>6409</v>
      </c>
      <c r="G730" t="s" s="10">
        <v>6398</v>
      </c>
      <c r="H730" s="16">
        <f>HYPERLINK("http://www.aradasystems.com", "www.aradasystems.com")</f>
      </c>
      <c r="I730" t="s" s="10">
        <v>649</v>
      </c>
      <c r="J730" t="s" s="24">
        <v>34</v>
      </c>
      <c r="K730" t="s" s="24">
        <v>34</v>
      </c>
      <c r="L730" t="s" s="24">
        <v>34</v>
      </c>
      <c r="M730" t="s" s="12">
        <v>34</v>
      </c>
      <c r="N730" t="s" s="10">
        <v>34</v>
      </c>
      <c r="O730" t="s" s="10">
        <v>34</v>
      </c>
      <c r="P730" t="s" s="10">
        <v>34</v>
      </c>
      <c r="Q730" t="s" s="10">
        <v>34</v>
      </c>
      <c r="R730" t="s" s="10">
        <v>34</v>
      </c>
      <c r="S730" t="s" s="10">
        <v>34</v>
      </c>
      <c r="T730" t="s" s="12">
        <v>34</v>
      </c>
      <c r="U730" t="s" s="10">
        <v>34</v>
      </c>
      <c r="V730" t="s" s="12">
        <v>34</v>
      </c>
      <c r="W730" t="s" s="10">
        <v>6410</v>
      </c>
      <c r="X730" s="16">
        <f>HYPERLINK("https://my.pitchbook.com?p=55491-76P", "View People Online")</f>
      </c>
    </row>
    <row r="731">
      <c r="A731" t="s" s="11">
        <v>6411</v>
      </c>
      <c r="B731" t="s" s="11">
        <v>6412</v>
      </c>
      <c r="C731" t="s" s="11">
        <v>34</v>
      </c>
      <c r="D731" t="s" s="11">
        <v>6413</v>
      </c>
      <c r="E731" t="s" s="11">
        <v>3715</v>
      </c>
      <c r="F731" t="s" s="11">
        <v>6414</v>
      </c>
      <c r="G731" t="s" s="11">
        <v>6415</v>
      </c>
      <c r="H731" s="17">
        <f>HYPERLINK("http://www.alison.com", "www.alison.com")</f>
      </c>
      <c r="I731" t="s" s="11">
        <v>6417</v>
      </c>
      <c r="J731" s="25">
        <v>1</v>
      </c>
      <c r="K731" s="25">
        <v>2</v>
      </c>
      <c r="L731" s="25">
        <v>1</v>
      </c>
      <c r="M731" t="s" s="13">
        <v>34</v>
      </c>
      <c r="N731" t="s" s="11">
        <v>6418</v>
      </c>
      <c r="O731" t="s" s="11">
        <v>6419</v>
      </c>
      <c r="P731" t="s" s="11">
        <v>6420</v>
      </c>
      <c r="Q731" t="s" s="11">
        <v>34</v>
      </c>
      <c r="R731" t="s" s="11">
        <v>6421</v>
      </c>
      <c r="S731" t="s" s="11">
        <v>34</v>
      </c>
      <c r="T731" t="s" s="13">
        <v>6422</v>
      </c>
      <c r="U731" t="s" s="11">
        <v>4222</v>
      </c>
      <c r="V731" t="s" s="13">
        <v>34</v>
      </c>
      <c r="W731" t="s" s="11">
        <v>6423</v>
      </c>
      <c r="X731" s="17">
        <f>HYPERLINK("https://my.pitchbook.com?p=100337-68P", "View People Online")</f>
      </c>
    </row>
    <row r="732">
      <c r="A732" t="s" s="10">
        <v>6424</v>
      </c>
      <c r="B732" t="s" s="10">
        <v>6425</v>
      </c>
      <c r="C732" t="s" s="10">
        <v>34</v>
      </c>
      <c r="D732" t="s" s="10">
        <v>6426</v>
      </c>
      <c r="E732" t="s" s="10">
        <v>3715</v>
      </c>
      <c r="F732" t="s" s="10">
        <v>6427</v>
      </c>
      <c r="G732" t="s" s="10">
        <v>6415</v>
      </c>
      <c r="H732" s="16">
        <f>HYPERLINK("http://www.syd.life", "www.syd.life")</f>
      </c>
      <c r="I732" t="s" s="10">
        <v>2211</v>
      </c>
      <c r="J732" t="s" s="24">
        <v>34</v>
      </c>
      <c r="K732" s="24">
        <v>3</v>
      </c>
      <c r="L732" s="24">
        <v>1</v>
      </c>
      <c r="M732" t="s" s="12">
        <v>34</v>
      </c>
      <c r="N732" t="s" s="10">
        <v>34</v>
      </c>
      <c r="O732" t="s" s="10">
        <v>43</v>
      </c>
      <c r="P732" t="s" s="10">
        <v>6429</v>
      </c>
      <c r="Q732" t="s" s="10">
        <v>6430</v>
      </c>
      <c r="R732" t="s" s="10">
        <v>46</v>
      </c>
      <c r="S732" t="s" s="10">
        <v>47</v>
      </c>
      <c r="T732" t="s" s="12">
        <v>6431</v>
      </c>
      <c r="U732" t="s" s="10">
        <v>49</v>
      </c>
      <c r="V732" t="s" s="12">
        <v>34</v>
      </c>
      <c r="W732" t="s" s="10">
        <v>6432</v>
      </c>
      <c r="X732" s="16">
        <f>HYPERLINK("https://my.pitchbook.com?p=201049-57P", "View People Online")</f>
      </c>
    </row>
    <row r="733">
      <c r="A733" t="s" s="11">
        <v>6433</v>
      </c>
      <c r="B733" t="s" s="11">
        <v>6434</v>
      </c>
      <c r="C733" t="s" s="11">
        <v>34</v>
      </c>
      <c r="D733" t="s" s="11">
        <v>4420</v>
      </c>
      <c r="E733" t="s" s="11">
        <v>3715</v>
      </c>
      <c r="F733" t="s" s="11">
        <v>6435</v>
      </c>
      <c r="G733" t="s" s="11">
        <v>6436</v>
      </c>
      <c r="H733" s="17">
        <f>HYPERLINK("http://www.pertamedika.co.id", "www.pertamedika.co.id")</f>
      </c>
      <c r="I733" t="s" s="11">
        <v>6437</v>
      </c>
      <c r="J733" t="s" s="25">
        <v>34</v>
      </c>
      <c r="K733" t="s" s="25">
        <v>34</v>
      </c>
      <c r="L733" t="s" s="25">
        <v>34</v>
      </c>
      <c r="M733" t="s" s="13">
        <v>34</v>
      </c>
      <c r="N733" t="s" s="11">
        <v>34</v>
      </c>
      <c r="O733" t="s" s="11">
        <v>34</v>
      </c>
      <c r="P733" t="s" s="11">
        <v>34</v>
      </c>
      <c r="Q733" t="s" s="11">
        <v>34</v>
      </c>
      <c r="R733" t="s" s="11">
        <v>34</v>
      </c>
      <c r="S733" t="s" s="11">
        <v>34</v>
      </c>
      <c r="T733" t="s" s="13">
        <v>34</v>
      </c>
      <c r="U733" t="s" s="11">
        <v>34</v>
      </c>
      <c r="V733" t="s" s="13">
        <v>34</v>
      </c>
      <c r="W733" t="s" s="11">
        <v>6438</v>
      </c>
      <c r="X733" s="17">
        <f>HYPERLINK("https://my.pitchbook.com?p=333850-15P", "View People Online")</f>
      </c>
    </row>
    <row r="734">
      <c r="A734" t="s" s="10">
        <v>6439</v>
      </c>
      <c r="B734" t="s" s="10">
        <v>6440</v>
      </c>
      <c r="C734" t="s" s="10">
        <v>34</v>
      </c>
      <c r="D734" t="s" s="10">
        <v>6441</v>
      </c>
      <c r="E734" t="s" s="10">
        <v>3715</v>
      </c>
      <c r="F734" t="s" s="10">
        <v>6442</v>
      </c>
      <c r="G734" t="s" s="10">
        <v>6443</v>
      </c>
      <c r="H734" s="16">
        <f>HYPERLINK("http://pwrealty.com", "pwrealty.com")</f>
      </c>
      <c r="I734" t="s" s="10">
        <v>6445</v>
      </c>
      <c r="J734" t="s" s="24">
        <v>34</v>
      </c>
      <c r="K734" s="24">
        <v>1</v>
      </c>
      <c r="L734" t="s" s="24">
        <v>34</v>
      </c>
      <c r="M734" t="s" s="12">
        <v>6446</v>
      </c>
      <c r="N734" t="s" s="10">
        <v>6447</v>
      </c>
      <c r="O734" t="s" s="10">
        <v>4305</v>
      </c>
      <c r="P734" t="s" s="10">
        <v>6448</v>
      </c>
      <c r="Q734" t="s" s="10">
        <v>6449</v>
      </c>
      <c r="R734" t="s" s="10">
        <v>4307</v>
      </c>
      <c r="S734" t="s" s="10">
        <v>2078</v>
      </c>
      <c r="T734" t="s" s="12">
        <v>6450</v>
      </c>
      <c r="U734" t="s" s="10">
        <v>88</v>
      </c>
      <c r="V734" t="s" s="12">
        <v>6451</v>
      </c>
      <c r="W734" t="s" s="10">
        <v>6452</v>
      </c>
      <c r="X734" s="16">
        <f>HYPERLINK("https://my.pitchbook.com?p=114946-12P", "View People Online")</f>
      </c>
    </row>
    <row r="735">
      <c r="A735" t="s" s="11">
        <v>6453</v>
      </c>
      <c r="B735" t="s" s="11">
        <v>6454</v>
      </c>
      <c r="C735" t="s" s="11">
        <v>34</v>
      </c>
      <c r="D735" t="s" s="11">
        <v>6097</v>
      </c>
      <c r="E735" t="s" s="11">
        <v>3715</v>
      </c>
      <c r="F735" t="s" s="11">
        <v>6455</v>
      </c>
      <c r="G735" t="s" s="11">
        <v>6456</v>
      </c>
      <c r="H735" s="17">
        <f>HYPERLINK("http://www.snicompanies.com", "www.snicompanies.com")</f>
      </c>
      <c r="I735" t="s" s="11">
        <v>5126</v>
      </c>
      <c r="J735" t="s" s="25">
        <v>34</v>
      </c>
      <c r="K735" t="s" s="25">
        <v>34</v>
      </c>
      <c r="L735" t="s" s="25">
        <v>34</v>
      </c>
      <c r="M735" t="s" s="13">
        <v>34</v>
      </c>
      <c r="N735" t="s" s="11">
        <v>34</v>
      </c>
      <c r="O735" t="s" s="11">
        <v>34</v>
      </c>
      <c r="P735" t="s" s="11">
        <v>34</v>
      </c>
      <c r="Q735" t="s" s="11">
        <v>34</v>
      </c>
      <c r="R735" t="s" s="11">
        <v>34</v>
      </c>
      <c r="S735" t="s" s="11">
        <v>34</v>
      </c>
      <c r="T735" t="s" s="13">
        <v>34</v>
      </c>
      <c r="U735" t="s" s="11">
        <v>34</v>
      </c>
      <c r="V735" t="s" s="13">
        <v>34</v>
      </c>
      <c r="W735" t="s" s="11">
        <v>6457</v>
      </c>
      <c r="X735" s="17">
        <f>HYPERLINK("https://my.pitchbook.com?p=12166-48P", "View People Online")</f>
      </c>
    </row>
    <row r="736">
      <c r="A736" t="s" s="10">
        <v>6458</v>
      </c>
      <c r="B736" t="s" s="10">
        <v>6459</v>
      </c>
      <c r="C736" t="s" s="10">
        <v>34</v>
      </c>
      <c r="D736" t="s" s="10">
        <v>6460</v>
      </c>
      <c r="E736" t="s" s="10">
        <v>3715</v>
      </c>
      <c r="F736" t="s" s="10">
        <v>6461</v>
      </c>
      <c r="G736" t="s" s="10">
        <v>721</v>
      </c>
      <c r="H736" s="16">
        <f>HYPERLINK("http://www.holmarcom.ma", "www.holmarcom.ma")</f>
      </c>
      <c r="I736" t="s" s="10">
        <v>2346</v>
      </c>
      <c r="J736" s="24">
        <v>4</v>
      </c>
      <c r="K736" s="24">
        <v>7</v>
      </c>
      <c r="L736" s="24">
        <v>3</v>
      </c>
      <c r="M736" t="s" s="12">
        <v>6463</v>
      </c>
      <c r="N736" t="s" s="10">
        <v>34</v>
      </c>
      <c r="O736" t="s" s="10">
        <v>2949</v>
      </c>
      <c r="P736" t="s" s="10">
        <v>6464</v>
      </c>
      <c r="Q736" t="s" s="10">
        <v>34</v>
      </c>
      <c r="R736" t="s" s="10">
        <v>2951</v>
      </c>
      <c r="S736" t="s" s="10">
        <v>34</v>
      </c>
      <c r="T736" t="s" s="12">
        <v>6465</v>
      </c>
      <c r="U736" t="s" s="10">
        <v>2952</v>
      </c>
      <c r="V736" t="s" s="12">
        <v>6466</v>
      </c>
      <c r="W736" t="s" s="10">
        <v>6467</v>
      </c>
      <c r="X736" s="16">
        <f>HYPERLINK("https://my.pitchbook.com?p=304211-53P", "View People Online")</f>
      </c>
    </row>
    <row r="737">
      <c r="A737" t="s" s="11">
        <v>6468</v>
      </c>
      <c r="B737" t="s" s="11">
        <v>6469</v>
      </c>
      <c r="C737" t="s" s="11">
        <v>34</v>
      </c>
      <c r="D737" t="s" s="11">
        <v>5142</v>
      </c>
      <c r="E737" t="s" s="11">
        <v>3715</v>
      </c>
      <c r="F737" t="s" s="11">
        <v>6470</v>
      </c>
      <c r="G737" t="s" s="11">
        <v>721</v>
      </c>
      <c r="H737" s="17">
        <f>HYPERLINK("http://www.letanneur.com", "www.letanneur.com")</f>
      </c>
      <c r="I737" t="s" s="11">
        <v>2321</v>
      </c>
      <c r="J737" t="s" s="25">
        <v>34</v>
      </c>
      <c r="K737" t="s" s="25">
        <v>34</v>
      </c>
      <c r="L737" t="s" s="25">
        <v>34</v>
      </c>
      <c r="M737" t="s" s="13">
        <v>34</v>
      </c>
      <c r="N737" t="s" s="11">
        <v>34</v>
      </c>
      <c r="O737" t="s" s="11">
        <v>34</v>
      </c>
      <c r="P737" t="s" s="11">
        <v>34</v>
      </c>
      <c r="Q737" t="s" s="11">
        <v>34</v>
      </c>
      <c r="R737" t="s" s="11">
        <v>34</v>
      </c>
      <c r="S737" t="s" s="11">
        <v>34</v>
      </c>
      <c r="T737" t="s" s="13">
        <v>34</v>
      </c>
      <c r="U737" t="s" s="11">
        <v>34</v>
      </c>
      <c r="V737" t="s" s="13">
        <v>34</v>
      </c>
      <c r="W737" t="s" s="11">
        <v>6471</v>
      </c>
      <c r="X737" s="17">
        <f>HYPERLINK("https://my.pitchbook.com?p=174488-95P", "View People Online")</f>
      </c>
    </row>
    <row r="738">
      <c r="A738" t="s" s="10">
        <v>6472</v>
      </c>
      <c r="B738" t="s" s="10">
        <v>6473</v>
      </c>
      <c r="C738" t="s" s="10">
        <v>34</v>
      </c>
      <c r="D738" t="s" s="10">
        <v>6474</v>
      </c>
      <c r="E738" t="s" s="10">
        <v>3715</v>
      </c>
      <c r="F738" t="s" s="10">
        <v>6475</v>
      </c>
      <c r="G738" t="s" s="10">
        <v>2331</v>
      </c>
      <c r="H738" s="16">
        <f>HYPERLINK("http://www.canalsugar.com", "www.canalsugar.com")</f>
      </c>
      <c r="I738" t="s" s="10">
        <v>649</v>
      </c>
      <c r="J738" s="24">
        <v>1</v>
      </c>
      <c r="K738" s="24">
        <v>1</v>
      </c>
      <c r="L738" t="s" s="24">
        <v>34</v>
      </c>
      <c r="M738" t="s" s="12">
        <v>6477</v>
      </c>
      <c r="N738" t="s" s="10">
        <v>34</v>
      </c>
      <c r="O738" t="s" s="10">
        <v>6478</v>
      </c>
      <c r="P738" t="s" s="10">
        <v>6479</v>
      </c>
      <c r="Q738" t="s" s="10">
        <v>6480</v>
      </c>
      <c r="R738" t="s" s="10">
        <v>6481</v>
      </c>
      <c r="S738" t="s" s="10">
        <v>34</v>
      </c>
      <c r="T738" t="s" s="12">
        <v>34</v>
      </c>
      <c r="U738" t="s" s="10">
        <v>3107</v>
      </c>
      <c r="V738" t="s" s="12">
        <v>34</v>
      </c>
      <c r="W738" t="s" s="10">
        <v>6482</v>
      </c>
      <c r="X738" s="16">
        <f>HYPERLINK("https://my.pitchbook.com?p=438954-04P", "View People Online")</f>
      </c>
    </row>
    <row r="739">
      <c r="A739" t="s" s="11">
        <v>6483</v>
      </c>
      <c r="B739" t="s" s="11">
        <v>6484</v>
      </c>
      <c r="C739" t="s" s="11">
        <v>34</v>
      </c>
      <c r="D739" t="s" s="11">
        <v>6485</v>
      </c>
      <c r="E739" t="s" s="11">
        <v>3715</v>
      </c>
      <c r="F739" t="s" s="11">
        <v>6486</v>
      </c>
      <c r="G739" t="s" s="11">
        <v>729</v>
      </c>
      <c r="H739" s="17">
        <f>HYPERLINK("http://www.aspirezone.qa", "www.aspirezone.qa")</f>
      </c>
      <c r="I739" t="s" s="11">
        <v>322</v>
      </c>
      <c r="J739" t="s" s="25">
        <v>34</v>
      </c>
      <c r="K739" s="25">
        <v>1</v>
      </c>
      <c r="L739" t="s" s="25">
        <v>34</v>
      </c>
      <c r="M739" t="s" s="13">
        <v>6488</v>
      </c>
      <c r="N739" t="s" s="11">
        <v>6489</v>
      </c>
      <c r="O739" t="s" s="11">
        <v>59</v>
      </c>
      <c r="P739" t="s" s="11">
        <v>6490</v>
      </c>
      <c r="Q739" t="s" s="11">
        <v>6491</v>
      </c>
      <c r="R739" t="s" s="11">
        <v>62</v>
      </c>
      <c r="S739" t="s" s="11">
        <v>34</v>
      </c>
      <c r="T739" t="s" s="13">
        <v>34</v>
      </c>
      <c r="U739" t="s" s="11">
        <v>64</v>
      </c>
      <c r="V739" t="s" s="13">
        <v>34</v>
      </c>
      <c r="W739" t="s" s="11">
        <v>6492</v>
      </c>
      <c r="X739" s="17">
        <f>HYPERLINK("https://my.pitchbook.com?p=324466-12P", "View People Online")</f>
      </c>
    </row>
    <row r="740">
      <c r="A740" t="s" s="10">
        <v>6493</v>
      </c>
      <c r="B740" t="s" s="10">
        <v>6494</v>
      </c>
      <c r="C740" t="s" s="10">
        <v>34</v>
      </c>
      <c r="D740" t="s" s="10">
        <v>6495</v>
      </c>
      <c r="E740" t="s" s="10">
        <v>3715</v>
      </c>
      <c r="F740" t="s" s="10">
        <v>6496</v>
      </c>
      <c r="G740" t="s" s="10">
        <v>729</v>
      </c>
      <c r="H740" s="16">
        <f>HYPERLINK("http://www.nakheel.com", "www.nakheel.com")</f>
      </c>
      <c r="I740" t="s" s="10">
        <v>649</v>
      </c>
      <c r="J740" s="24">
        <v>1</v>
      </c>
      <c r="K740" s="24">
        <v>1</v>
      </c>
      <c r="L740" t="s" s="24">
        <v>34</v>
      </c>
      <c r="M740" t="s" s="12">
        <v>34</v>
      </c>
      <c r="N740" t="s" s="10">
        <v>34</v>
      </c>
      <c r="O740" t="s" s="10">
        <v>236</v>
      </c>
      <c r="P740" t="s" s="10">
        <v>6498</v>
      </c>
      <c r="Q740" t="s" s="10">
        <v>34</v>
      </c>
      <c r="R740" t="s" s="10">
        <v>239</v>
      </c>
      <c r="S740" t="s" s="10">
        <v>34</v>
      </c>
      <c r="T740" t="s" s="12">
        <v>34</v>
      </c>
      <c r="U740" t="s" s="10">
        <v>240</v>
      </c>
      <c r="V740" t="s" s="12">
        <v>6499</v>
      </c>
      <c r="W740" t="s" s="10">
        <v>6500</v>
      </c>
      <c r="X740" s="16">
        <f>HYPERLINK("https://my.pitchbook.com?p=321919-39P", "View People Online")</f>
      </c>
    </row>
    <row r="741">
      <c r="A741" t="s" s="11">
        <v>6501</v>
      </c>
      <c r="B741" t="s" s="11">
        <v>6502</v>
      </c>
      <c r="C741" t="s" s="11">
        <v>34</v>
      </c>
      <c r="D741" t="s" s="11">
        <v>4025</v>
      </c>
      <c r="E741" t="s" s="11">
        <v>3715</v>
      </c>
      <c r="F741" t="s" s="11">
        <v>6503</v>
      </c>
      <c r="G741" t="s" s="11">
        <v>6504</v>
      </c>
      <c r="H741" s="17">
        <f>HYPERLINK("http://www.royalgroupuae.com", "www.royalgroupuae.com")</f>
      </c>
      <c r="I741" t="s" s="11">
        <v>622</v>
      </c>
      <c r="J741" t="s" s="25">
        <v>34</v>
      </c>
      <c r="K741" s="25">
        <v>1</v>
      </c>
      <c r="L741" t="s" s="25">
        <v>34</v>
      </c>
      <c r="M741" t="s" s="13">
        <v>4028</v>
      </c>
      <c r="N741" t="s" s="11">
        <v>6505</v>
      </c>
      <c r="O741" t="s" s="11">
        <v>385</v>
      </c>
      <c r="P741" t="s" s="11">
        <v>4030</v>
      </c>
      <c r="Q741" t="s" s="11">
        <v>34</v>
      </c>
      <c r="R741" t="s" s="11">
        <v>388</v>
      </c>
      <c r="S741" t="s" s="11">
        <v>34</v>
      </c>
      <c r="T741" t="s" s="13">
        <v>34</v>
      </c>
      <c r="U741" t="s" s="11">
        <v>240</v>
      </c>
      <c r="V741" t="s" s="13">
        <v>4031</v>
      </c>
      <c r="W741" t="s" s="11">
        <v>6506</v>
      </c>
      <c r="X741" s="17">
        <f>HYPERLINK("https://my.pitchbook.com?p=394889-14P", "View People Online")</f>
      </c>
    </row>
    <row r="742">
      <c r="A742" t="s" s="10">
        <v>6507</v>
      </c>
      <c r="B742" t="s" s="10">
        <v>6508</v>
      </c>
      <c r="C742" t="s" s="10">
        <v>34</v>
      </c>
      <c r="D742" t="s" s="10">
        <v>6509</v>
      </c>
      <c r="E742" t="s" s="10">
        <v>3715</v>
      </c>
      <c r="F742" t="s" s="10">
        <v>6510</v>
      </c>
      <c r="G742" t="s" s="10">
        <v>6511</v>
      </c>
      <c r="H742" s="16">
        <f>HYPERLINK("http://www.moleculardesigns.com", "www.moleculardesigns.com")</f>
      </c>
      <c r="I742" t="s" s="10">
        <v>1358</v>
      </c>
      <c r="J742" t="s" s="24">
        <v>34</v>
      </c>
      <c r="K742" s="24">
        <v>1</v>
      </c>
      <c r="L742" t="s" s="24">
        <v>34</v>
      </c>
      <c r="M742" t="s" s="12">
        <v>6513</v>
      </c>
      <c r="N742" t="s" s="10">
        <v>6514</v>
      </c>
      <c r="O742" t="s" s="10">
        <v>6515</v>
      </c>
      <c r="P742" t="s" s="10">
        <v>6516</v>
      </c>
      <c r="Q742" t="s" s="10">
        <v>6517</v>
      </c>
      <c r="R742" t="s" s="10">
        <v>208</v>
      </c>
      <c r="S742" t="s" s="10">
        <v>6243</v>
      </c>
      <c r="T742" t="s" s="12">
        <v>6518</v>
      </c>
      <c r="U742" t="s" s="10">
        <v>88</v>
      </c>
      <c r="V742" t="s" s="12">
        <v>34</v>
      </c>
      <c r="W742" t="s" s="10">
        <v>6519</v>
      </c>
      <c r="X742" s="16">
        <f>HYPERLINK("https://my.pitchbook.com?p=127708-12P", "View People Online")</f>
      </c>
    </row>
    <row r="743">
      <c r="A743" t="s" s="11">
        <v>6520</v>
      </c>
      <c r="B743" t="s" s="11">
        <v>6521</v>
      </c>
      <c r="C743" t="s" s="11">
        <v>34</v>
      </c>
      <c r="D743" t="s" s="11">
        <v>6522</v>
      </c>
      <c r="E743" t="s" s="11">
        <v>3715</v>
      </c>
      <c r="F743" t="s" s="11">
        <v>6523</v>
      </c>
      <c r="G743" t="s" s="11">
        <v>6524</v>
      </c>
      <c r="H743" s="17">
        <f>HYPERLINK("http://www.gbchealth.org", "www.gbchealth.org")</f>
      </c>
      <c r="I743" t="s" s="11">
        <v>5795</v>
      </c>
      <c r="J743" t="s" s="25">
        <v>34</v>
      </c>
      <c r="K743" t="s" s="25">
        <v>34</v>
      </c>
      <c r="L743" t="s" s="25">
        <v>34</v>
      </c>
      <c r="M743" t="s" s="13">
        <v>34</v>
      </c>
      <c r="N743" t="s" s="11">
        <v>34</v>
      </c>
      <c r="O743" t="s" s="11">
        <v>34</v>
      </c>
      <c r="P743" t="s" s="11">
        <v>34</v>
      </c>
      <c r="Q743" t="s" s="11">
        <v>34</v>
      </c>
      <c r="R743" t="s" s="11">
        <v>34</v>
      </c>
      <c r="S743" t="s" s="11">
        <v>34</v>
      </c>
      <c r="T743" t="s" s="13">
        <v>34</v>
      </c>
      <c r="U743" t="s" s="11">
        <v>34</v>
      </c>
      <c r="V743" t="s" s="13">
        <v>34</v>
      </c>
      <c r="W743" t="s" s="11">
        <v>6526</v>
      </c>
      <c r="X743" s="17">
        <f>HYPERLINK("https://my.pitchbook.com?p=226720-81P", "View People Online")</f>
      </c>
    </row>
    <row r="744">
      <c r="A744" t="s" s="10">
        <v>6527</v>
      </c>
      <c r="B744" t="s" s="10">
        <v>6528</v>
      </c>
      <c r="C744" t="s" s="10">
        <v>34</v>
      </c>
      <c r="D744" t="s" s="10">
        <v>6529</v>
      </c>
      <c r="E744" t="s" s="10">
        <v>3715</v>
      </c>
      <c r="F744" t="s" s="10">
        <v>1416</v>
      </c>
      <c r="G744" t="s" s="10">
        <v>1283</v>
      </c>
      <c r="H744" s="16">
        <f>HYPERLINK("http://www.qatalum.com", "www.qatalum.com")</f>
      </c>
      <c r="I744" t="s" s="10">
        <v>6531</v>
      </c>
      <c r="J744" t="s" s="24">
        <v>34</v>
      </c>
      <c r="K744" s="24">
        <v>1</v>
      </c>
      <c r="L744" t="s" s="24">
        <v>34</v>
      </c>
      <c r="M744" t="s" s="12">
        <v>6532</v>
      </c>
      <c r="N744" t="s" s="10">
        <v>6533</v>
      </c>
      <c r="O744" t="s" s="10">
        <v>6534</v>
      </c>
      <c r="P744" t="s" s="10">
        <v>6535</v>
      </c>
      <c r="Q744" t="s" s="10">
        <v>34</v>
      </c>
      <c r="R744" t="s" s="10">
        <v>6536</v>
      </c>
      <c r="S744" t="s" s="10">
        <v>34</v>
      </c>
      <c r="T744" t="s" s="12">
        <v>34</v>
      </c>
      <c r="U744" t="s" s="10">
        <v>64</v>
      </c>
      <c r="V744" t="s" s="12">
        <v>6537</v>
      </c>
      <c r="W744" t="s" s="10">
        <v>6538</v>
      </c>
      <c r="X744" s="16">
        <f>HYPERLINK("https://my.pitchbook.com?p=164484-64P", "View People Online")</f>
      </c>
    </row>
    <row r="745">
      <c r="A745" t="s" s="11">
        <v>6539</v>
      </c>
      <c r="B745" t="s" s="11">
        <v>6540</v>
      </c>
      <c r="C745" t="s" s="11">
        <v>34</v>
      </c>
      <c r="D745" t="s" s="11">
        <v>6541</v>
      </c>
      <c r="E745" t="s" s="11">
        <v>3715</v>
      </c>
      <c r="F745" t="s" s="11">
        <v>6542</v>
      </c>
      <c r="G745" t="s" s="11">
        <v>1283</v>
      </c>
      <c r="H745" s="17">
        <f>HYPERLINK("http://www.madfoat.com", "www.madfoat.com")</f>
      </c>
      <c r="I745" t="s" s="11">
        <v>6544</v>
      </c>
      <c r="J745" s="25">
        <v>1</v>
      </c>
      <c r="K745" s="25">
        <v>1</v>
      </c>
      <c r="L745" t="s" s="25">
        <v>34</v>
      </c>
      <c r="M745" t="s" s="13">
        <v>6545</v>
      </c>
      <c r="N745" t="s" s="11">
        <v>6546</v>
      </c>
      <c r="O745" t="s" s="11">
        <v>1209</v>
      </c>
      <c r="P745" t="s" s="11">
        <v>6547</v>
      </c>
      <c r="Q745" t="s" s="11">
        <v>34</v>
      </c>
      <c r="R745" t="s" s="11">
        <v>1211</v>
      </c>
      <c r="S745" t="s" s="11">
        <v>34</v>
      </c>
      <c r="T745" t="s" s="13">
        <v>6548</v>
      </c>
      <c r="U745" t="s" s="11">
        <v>1213</v>
      </c>
      <c r="V745" t="s" s="13">
        <v>6549</v>
      </c>
      <c r="W745" t="s" s="11">
        <v>6550</v>
      </c>
      <c r="X745" s="17">
        <f>HYPERLINK("https://my.pitchbook.com?p=113391-55P", "View People Online")</f>
      </c>
    </row>
    <row r="746">
      <c r="A746" t="s" s="10">
        <v>6551</v>
      </c>
      <c r="B746" t="s" s="10">
        <v>6552</v>
      </c>
      <c r="C746" t="s" s="10">
        <v>34</v>
      </c>
      <c r="D746" t="s" s="10">
        <v>6553</v>
      </c>
      <c r="E746" t="s" s="10">
        <v>3715</v>
      </c>
      <c r="F746" t="s" s="10">
        <v>6554</v>
      </c>
      <c r="G746" t="s" s="10">
        <v>2541</v>
      </c>
      <c r="H746" t="s" s="10">
        <v>34</v>
      </c>
      <c r="I746" t="s" s="10">
        <v>1346</v>
      </c>
      <c r="J746" t="s" s="24">
        <v>34</v>
      </c>
      <c r="K746" t="s" s="24">
        <v>34</v>
      </c>
      <c r="L746" t="s" s="24">
        <v>34</v>
      </c>
      <c r="M746" t="s" s="12">
        <v>34</v>
      </c>
      <c r="N746" t="s" s="10">
        <v>34</v>
      </c>
      <c r="O746" t="s" s="10">
        <v>34</v>
      </c>
      <c r="P746" t="s" s="10">
        <v>34</v>
      </c>
      <c r="Q746" t="s" s="10">
        <v>34</v>
      </c>
      <c r="R746" t="s" s="10">
        <v>34</v>
      </c>
      <c r="S746" t="s" s="10">
        <v>34</v>
      </c>
      <c r="T746" t="s" s="12">
        <v>34</v>
      </c>
      <c r="U746" t="s" s="10">
        <v>34</v>
      </c>
      <c r="V746" t="s" s="12">
        <v>34</v>
      </c>
      <c r="W746" t="s" s="10">
        <v>6555</v>
      </c>
      <c r="X746" s="16">
        <f>HYPERLINK("https://my.pitchbook.com?p=58201-03P", "View People Online")</f>
      </c>
    </row>
    <row r="747">
      <c r="A747" t="s" s="11">
        <v>6556</v>
      </c>
      <c r="B747" t="s" s="11">
        <v>6557</v>
      </c>
      <c r="C747" t="s" s="11">
        <v>34</v>
      </c>
      <c r="D747" t="s" s="11">
        <v>6097</v>
      </c>
      <c r="E747" t="s" s="11">
        <v>3715</v>
      </c>
      <c r="F747" t="s" s="11">
        <v>6558</v>
      </c>
      <c r="G747" t="s" s="11">
        <v>6559</v>
      </c>
      <c r="H747" s="17">
        <f>HYPERLINK("http://www.snicompanies.com", "www.snicompanies.com")</f>
      </c>
      <c r="I747" t="s" s="11">
        <v>6560</v>
      </c>
      <c r="J747" t="s" s="25">
        <v>34</v>
      </c>
      <c r="K747" t="s" s="25">
        <v>34</v>
      </c>
      <c r="L747" t="s" s="25">
        <v>34</v>
      </c>
      <c r="M747" t="s" s="13">
        <v>34</v>
      </c>
      <c r="N747" t="s" s="11">
        <v>34</v>
      </c>
      <c r="O747" t="s" s="11">
        <v>34</v>
      </c>
      <c r="P747" t="s" s="11">
        <v>34</v>
      </c>
      <c r="Q747" t="s" s="11">
        <v>34</v>
      </c>
      <c r="R747" t="s" s="11">
        <v>34</v>
      </c>
      <c r="S747" t="s" s="11">
        <v>34</v>
      </c>
      <c r="T747" t="s" s="13">
        <v>34</v>
      </c>
      <c r="U747" t="s" s="11">
        <v>34</v>
      </c>
      <c r="V747" t="s" s="13">
        <v>34</v>
      </c>
      <c r="W747" t="s" s="11">
        <v>6561</v>
      </c>
      <c r="X747" s="17">
        <f>HYPERLINK("https://my.pitchbook.com?p=220049-92P", "View People Online")</f>
      </c>
    </row>
    <row r="748">
      <c r="A748" t="s" s="10">
        <v>6562</v>
      </c>
      <c r="B748" t="s" s="10">
        <v>6563</v>
      </c>
      <c r="C748" t="s" s="10">
        <v>34</v>
      </c>
      <c r="D748" t="s" s="10">
        <v>6564</v>
      </c>
      <c r="E748" t="s" s="10">
        <v>3715</v>
      </c>
      <c r="F748" t="s" s="10">
        <v>6565</v>
      </c>
      <c r="G748" t="s" s="10">
        <v>6559</v>
      </c>
      <c r="H748" s="16">
        <f>HYPERLINK("http://www.ihcmmp.com", "www.ihcmmp.com")</f>
      </c>
      <c r="I748" t="s" s="10">
        <v>369</v>
      </c>
      <c r="J748" t="s" s="24">
        <v>34</v>
      </c>
      <c r="K748" t="s" s="24">
        <v>34</v>
      </c>
      <c r="L748" t="s" s="24">
        <v>34</v>
      </c>
      <c r="M748" t="s" s="12">
        <v>34</v>
      </c>
      <c r="N748" t="s" s="10">
        <v>34</v>
      </c>
      <c r="O748" t="s" s="10">
        <v>34</v>
      </c>
      <c r="P748" t="s" s="10">
        <v>34</v>
      </c>
      <c r="Q748" t="s" s="10">
        <v>34</v>
      </c>
      <c r="R748" t="s" s="10">
        <v>34</v>
      </c>
      <c r="S748" t="s" s="10">
        <v>34</v>
      </c>
      <c r="T748" t="s" s="12">
        <v>34</v>
      </c>
      <c r="U748" t="s" s="10">
        <v>34</v>
      </c>
      <c r="V748" t="s" s="12">
        <v>34</v>
      </c>
      <c r="W748" t="s" s="10">
        <v>6567</v>
      </c>
      <c r="X748" s="16">
        <f>HYPERLINK("https://my.pitchbook.com?p=144296-47P", "View People Online")</f>
      </c>
    </row>
    <row r="749">
      <c r="A749" t="s" s="11">
        <v>6568</v>
      </c>
      <c r="B749" t="s" s="11">
        <v>6569</v>
      </c>
      <c r="C749" t="s" s="11">
        <v>34</v>
      </c>
      <c r="D749" t="s" s="11">
        <v>6570</v>
      </c>
      <c r="E749" t="s" s="11">
        <v>3715</v>
      </c>
      <c r="F749" t="s" s="11">
        <v>6571</v>
      </c>
      <c r="G749" t="s" s="11">
        <v>6572</v>
      </c>
      <c r="H749" t="s" s="11">
        <v>34</v>
      </c>
      <c r="I749" t="s" s="11">
        <v>322</v>
      </c>
      <c r="J749" t="s" s="25">
        <v>34</v>
      </c>
      <c r="K749" t="s" s="25">
        <v>34</v>
      </c>
      <c r="L749" t="s" s="25">
        <v>34</v>
      </c>
      <c r="M749" t="s" s="13">
        <v>34</v>
      </c>
      <c r="N749" t="s" s="11">
        <v>34</v>
      </c>
      <c r="O749" t="s" s="11">
        <v>34</v>
      </c>
      <c r="P749" t="s" s="11">
        <v>34</v>
      </c>
      <c r="Q749" t="s" s="11">
        <v>34</v>
      </c>
      <c r="R749" t="s" s="11">
        <v>34</v>
      </c>
      <c r="S749" t="s" s="11">
        <v>34</v>
      </c>
      <c r="T749" t="s" s="13">
        <v>34</v>
      </c>
      <c r="U749" t="s" s="11">
        <v>34</v>
      </c>
      <c r="V749" t="s" s="13">
        <v>34</v>
      </c>
      <c r="W749" t="s" s="11">
        <v>6573</v>
      </c>
      <c r="X749" s="17">
        <f>HYPERLINK("https://my.pitchbook.com?p=121021-30P", "View People Online")</f>
      </c>
    </row>
    <row r="750">
      <c r="A750" t="s" s="10">
        <v>6574</v>
      </c>
      <c r="B750" t="s" s="10">
        <v>6575</v>
      </c>
      <c r="C750" t="s" s="10">
        <v>34</v>
      </c>
      <c r="D750" t="s" s="10">
        <v>6576</v>
      </c>
      <c r="E750" t="s" s="10">
        <v>3715</v>
      </c>
      <c r="F750" t="s" s="10">
        <v>6577</v>
      </c>
      <c r="G750" t="s" s="10">
        <v>6578</v>
      </c>
      <c r="H750" s="16">
        <f>HYPERLINK("http://www.battlefieldlawgroup.com", "www.battlefieldlawgroup.com")</f>
      </c>
      <c r="I750" t="s" s="10">
        <v>6580</v>
      </c>
      <c r="J750" t="s" s="24">
        <v>34</v>
      </c>
      <c r="K750" s="24">
        <v>1</v>
      </c>
      <c r="L750" t="s" s="24">
        <v>34</v>
      </c>
      <c r="M750" t="s" s="12">
        <v>6581</v>
      </c>
      <c r="N750" t="s" s="10">
        <v>6582</v>
      </c>
      <c r="O750" t="s" s="10">
        <v>6583</v>
      </c>
      <c r="P750" t="s" s="10">
        <v>6584</v>
      </c>
      <c r="Q750" t="s" s="10">
        <v>1847</v>
      </c>
      <c r="R750" t="s" s="10">
        <v>6585</v>
      </c>
      <c r="S750" t="s" s="10">
        <v>2078</v>
      </c>
      <c r="T750" t="s" s="12">
        <v>6586</v>
      </c>
      <c r="U750" t="s" s="10">
        <v>88</v>
      </c>
      <c r="V750" t="s" s="12">
        <v>34</v>
      </c>
      <c r="W750" t="s" s="10">
        <v>6587</v>
      </c>
      <c r="X750" s="16">
        <f>HYPERLINK("https://my.pitchbook.com?p=417913-93P", "View People Online")</f>
      </c>
    </row>
    <row r="751">
      <c r="A751" t="s" s="11">
        <v>6588</v>
      </c>
      <c r="B751" t="s" s="11">
        <v>6589</v>
      </c>
      <c r="C751" t="s" s="11">
        <v>34</v>
      </c>
      <c r="D751" t="s" s="11">
        <v>6590</v>
      </c>
      <c r="E751" t="s" s="11">
        <v>3715</v>
      </c>
      <c r="F751" t="s" s="11">
        <v>6591</v>
      </c>
      <c r="G751" t="s" s="11">
        <v>6592</v>
      </c>
      <c r="H751" s="17">
        <f>HYPERLINK("http://www.aegros.com.au", "www.aegros.com.au")</f>
      </c>
      <c r="I751" t="s" s="11">
        <v>6594</v>
      </c>
      <c r="J751" t="s" s="25">
        <v>34</v>
      </c>
      <c r="K751" t="s" s="25">
        <v>34</v>
      </c>
      <c r="L751" t="s" s="25">
        <v>34</v>
      </c>
      <c r="M751" t="s" s="13">
        <v>34</v>
      </c>
      <c r="N751" t="s" s="11">
        <v>34</v>
      </c>
      <c r="O751" t="s" s="11">
        <v>34</v>
      </c>
      <c r="P751" t="s" s="11">
        <v>34</v>
      </c>
      <c r="Q751" t="s" s="11">
        <v>34</v>
      </c>
      <c r="R751" t="s" s="11">
        <v>34</v>
      </c>
      <c r="S751" t="s" s="11">
        <v>34</v>
      </c>
      <c r="T751" t="s" s="13">
        <v>34</v>
      </c>
      <c r="U751" t="s" s="11">
        <v>34</v>
      </c>
      <c r="V751" t="s" s="13">
        <v>34</v>
      </c>
      <c r="W751" t="s" s="11">
        <v>6595</v>
      </c>
      <c r="X751" s="17">
        <f>HYPERLINK("https://my.pitchbook.com?p=342597-34P", "View People Online")</f>
      </c>
    </row>
    <row r="752">
      <c r="A752" t="s" s="10">
        <v>6596</v>
      </c>
      <c r="B752" t="s" s="10">
        <v>6597</v>
      </c>
      <c r="C752" t="s" s="10">
        <v>34</v>
      </c>
      <c r="D752" t="s" s="10">
        <v>6598</v>
      </c>
      <c r="E752" t="s" s="10">
        <v>3715</v>
      </c>
      <c r="F752" t="s" s="10">
        <v>6599</v>
      </c>
      <c r="G752" t="s" s="10">
        <v>6600</v>
      </c>
      <c r="H752" s="16">
        <f>HYPERLINK("http://www.savageco.com", "www.savageco.com")</f>
      </c>
      <c r="I752" t="s" s="10">
        <v>6602</v>
      </c>
      <c r="J752" t="s" s="24">
        <v>34</v>
      </c>
      <c r="K752" s="24">
        <v>1</v>
      </c>
      <c r="L752" t="s" s="24">
        <v>34</v>
      </c>
      <c r="M752" t="s" s="12">
        <v>6603</v>
      </c>
      <c r="N752" t="s" s="10">
        <v>6604</v>
      </c>
      <c r="O752" t="s" s="10">
        <v>6605</v>
      </c>
      <c r="P752" t="s" s="10">
        <v>6606</v>
      </c>
      <c r="Q752" t="s" s="10">
        <v>34</v>
      </c>
      <c r="R752" t="s" s="10">
        <v>6607</v>
      </c>
      <c r="S752" t="s" s="10">
        <v>117</v>
      </c>
      <c r="T752" t="s" s="12">
        <v>6608</v>
      </c>
      <c r="U752" t="s" s="10">
        <v>88</v>
      </c>
      <c r="V752" t="s" s="12">
        <v>34</v>
      </c>
      <c r="W752" t="s" s="10">
        <v>6609</v>
      </c>
      <c r="X752" s="16">
        <f>HYPERLINK("https://my.pitchbook.com?p=391918-60P", "View People Online")</f>
      </c>
    </row>
    <row r="753">
      <c r="A753" t="s" s="11">
        <v>6610</v>
      </c>
      <c r="B753" t="s" s="11">
        <v>6611</v>
      </c>
      <c r="C753" t="s" s="11">
        <v>34</v>
      </c>
      <c r="D753" t="s" s="11">
        <v>6441</v>
      </c>
      <c r="E753" t="s" s="11">
        <v>3715</v>
      </c>
      <c r="F753" t="s" s="11">
        <v>6612</v>
      </c>
      <c r="G753" t="s" s="11">
        <v>6613</v>
      </c>
      <c r="H753" s="17">
        <f>HYPERLINK("http://pwrealty.com", "pwrealty.com")</f>
      </c>
      <c r="I753" t="s" s="11">
        <v>6614</v>
      </c>
      <c r="J753" t="s" s="25">
        <v>34</v>
      </c>
      <c r="K753" s="25">
        <v>1</v>
      </c>
      <c r="L753" t="s" s="25">
        <v>34</v>
      </c>
      <c r="M753" t="s" s="13">
        <v>6615</v>
      </c>
      <c r="N753" t="s" s="11">
        <v>6616</v>
      </c>
      <c r="O753" t="s" s="11">
        <v>4305</v>
      </c>
      <c r="P753" t="s" s="11">
        <v>6448</v>
      </c>
      <c r="Q753" t="s" s="11">
        <v>6449</v>
      </c>
      <c r="R753" t="s" s="11">
        <v>4307</v>
      </c>
      <c r="S753" t="s" s="11">
        <v>2078</v>
      </c>
      <c r="T753" t="s" s="13">
        <v>6450</v>
      </c>
      <c r="U753" t="s" s="11">
        <v>88</v>
      </c>
      <c r="V753" t="s" s="13">
        <v>6451</v>
      </c>
      <c r="W753" t="s" s="11">
        <v>6617</v>
      </c>
      <c r="X753" s="17">
        <f>HYPERLINK("https://my.pitchbook.com?p=114947-11P", "View People Online")</f>
      </c>
    </row>
    <row r="754">
      <c r="A754" t="s" s="10">
        <v>6618</v>
      </c>
      <c r="B754" t="s" s="10">
        <v>6619</v>
      </c>
      <c r="C754" t="s" s="10">
        <v>34</v>
      </c>
      <c r="D754" t="s" s="10">
        <v>6620</v>
      </c>
      <c r="E754" t="s" s="10">
        <v>3715</v>
      </c>
      <c r="F754" t="s" s="10">
        <v>6621</v>
      </c>
      <c r="G754" t="s" s="10">
        <v>6622</v>
      </c>
      <c r="H754" s="16">
        <f>HYPERLINK("http://www.ksgbank.com.ua", "www.ksgbank.com.ua")</f>
      </c>
      <c r="I754" t="s" s="10">
        <v>6624</v>
      </c>
      <c r="J754" t="s" s="24">
        <v>34</v>
      </c>
      <c r="K754" t="s" s="24">
        <v>34</v>
      </c>
      <c r="L754" t="s" s="24">
        <v>34</v>
      </c>
      <c r="M754" t="s" s="12">
        <v>34</v>
      </c>
      <c r="N754" t="s" s="10">
        <v>34</v>
      </c>
      <c r="O754" t="s" s="10">
        <v>34</v>
      </c>
      <c r="P754" t="s" s="10">
        <v>34</v>
      </c>
      <c r="Q754" t="s" s="10">
        <v>34</v>
      </c>
      <c r="R754" t="s" s="10">
        <v>34</v>
      </c>
      <c r="S754" t="s" s="10">
        <v>34</v>
      </c>
      <c r="T754" t="s" s="12">
        <v>34</v>
      </c>
      <c r="U754" t="s" s="10">
        <v>34</v>
      </c>
      <c r="V754" t="s" s="12">
        <v>34</v>
      </c>
      <c r="W754" t="s" s="10">
        <v>6625</v>
      </c>
      <c r="X754" s="16">
        <f>HYPERLINK("https://my.pitchbook.com?p=127489-42P", "View People Online")</f>
      </c>
    </row>
    <row r="755">
      <c r="A755" t="s" s="11">
        <v>6626</v>
      </c>
      <c r="B755" t="s" s="11">
        <v>6627</v>
      </c>
      <c r="C755" t="s" s="11">
        <v>34</v>
      </c>
      <c r="D755" t="s" s="11">
        <v>6628</v>
      </c>
      <c r="E755" t="s" s="11">
        <v>3715</v>
      </c>
      <c r="F755" t="s" s="11">
        <v>6629</v>
      </c>
      <c r="G755" t="s" s="11">
        <v>783</v>
      </c>
      <c r="H755" s="17">
        <f>HYPERLINK("http://www.aperio-intelligence.com", "www.aperio-intelligence.com")</f>
      </c>
      <c r="I755" t="s" s="11">
        <v>3820</v>
      </c>
      <c r="J755" t="s" s="25">
        <v>34</v>
      </c>
      <c r="K755" s="25">
        <v>1</v>
      </c>
      <c r="L755" t="s" s="25">
        <v>34</v>
      </c>
      <c r="M755" t="s" s="13">
        <v>6631</v>
      </c>
      <c r="N755" t="s" s="11">
        <v>6632</v>
      </c>
      <c r="O755" t="s" s="11">
        <v>43</v>
      </c>
      <c r="P755" t="s" s="11">
        <v>6633</v>
      </c>
      <c r="Q755" t="s" s="11">
        <v>34</v>
      </c>
      <c r="R755" t="s" s="11">
        <v>46</v>
      </c>
      <c r="S755" t="s" s="11">
        <v>47</v>
      </c>
      <c r="T755" t="s" s="13">
        <v>6634</v>
      </c>
      <c r="U755" t="s" s="11">
        <v>49</v>
      </c>
      <c r="V755" t="s" s="13">
        <v>34</v>
      </c>
      <c r="W755" t="s" s="11">
        <v>6635</v>
      </c>
      <c r="X755" s="17">
        <f>HYPERLINK("https://my.pitchbook.com?p=444386-89P", "View People Online")</f>
      </c>
    </row>
    <row r="756">
      <c r="A756" t="s" s="10">
        <v>6636</v>
      </c>
      <c r="B756" t="s" s="10">
        <v>6637</v>
      </c>
      <c r="C756" t="s" s="10">
        <v>34</v>
      </c>
      <c r="D756" t="s" s="10">
        <v>6638</v>
      </c>
      <c r="E756" t="s" s="10">
        <v>3715</v>
      </c>
      <c r="F756" t="s" s="10">
        <v>6639</v>
      </c>
      <c r="G756" t="s" s="10">
        <v>1624</v>
      </c>
      <c r="H756" s="16">
        <f>HYPERLINK("http://www.liqid.de", "www.liqid.de")</f>
      </c>
      <c r="I756" t="s" s="10">
        <v>2211</v>
      </c>
      <c r="J756" t="s" s="24">
        <v>34</v>
      </c>
      <c r="K756" s="24">
        <v>1</v>
      </c>
      <c r="L756" t="s" s="24">
        <v>34</v>
      </c>
      <c r="M756" t="s" s="12">
        <v>6641</v>
      </c>
      <c r="N756" t="s" s="10">
        <v>34</v>
      </c>
      <c r="O756" t="s" s="10">
        <v>1177</v>
      </c>
      <c r="P756" t="s" s="10">
        <v>6642</v>
      </c>
      <c r="Q756" t="s" s="10">
        <v>34</v>
      </c>
      <c r="R756" t="s" s="10">
        <v>1179</v>
      </c>
      <c r="S756" t="s" s="10">
        <v>1179</v>
      </c>
      <c r="T756" t="s" s="12">
        <v>6643</v>
      </c>
      <c r="U756" t="s" s="10">
        <v>1181</v>
      </c>
      <c r="V756" t="s" s="12">
        <v>34</v>
      </c>
      <c r="W756" t="s" s="10">
        <v>6644</v>
      </c>
      <c r="X756" s="16">
        <f>HYPERLINK("https://my.pitchbook.com?p=418506-76P", "View People Online")</f>
      </c>
    </row>
    <row r="757">
      <c r="A757" t="s" s="11">
        <v>6645</v>
      </c>
      <c r="B757" t="s" s="11">
        <v>6646</v>
      </c>
      <c r="C757" t="s" s="11">
        <v>34</v>
      </c>
      <c r="D757" t="s" s="11">
        <v>6647</v>
      </c>
      <c r="E757" t="s" s="11">
        <v>3715</v>
      </c>
      <c r="F757" t="s" s="11">
        <v>6648</v>
      </c>
      <c r="G757" t="s" s="11">
        <v>6649</v>
      </c>
      <c r="H757" s="17">
        <f>HYPERLINK("http://www.keystonebankng.com", "www.keystonebankng.com")</f>
      </c>
      <c r="I757" t="s" s="11">
        <v>2291</v>
      </c>
      <c r="J757" t="s" s="25">
        <v>34</v>
      </c>
      <c r="K757" s="25">
        <v>1</v>
      </c>
      <c r="L757" t="s" s="25">
        <v>34</v>
      </c>
      <c r="M757" t="s" s="13">
        <v>6651</v>
      </c>
      <c r="N757" t="s" s="11">
        <v>6652</v>
      </c>
      <c r="O757" t="s" s="11">
        <v>4274</v>
      </c>
      <c r="P757" t="s" s="11">
        <v>6653</v>
      </c>
      <c r="Q757" t="s" s="11">
        <v>6654</v>
      </c>
      <c r="R757" t="s" s="11">
        <v>4277</v>
      </c>
      <c r="S757" t="s" s="11">
        <v>34</v>
      </c>
      <c r="T757" t="s" s="13">
        <v>34</v>
      </c>
      <c r="U757" t="s" s="11">
        <v>4278</v>
      </c>
      <c r="V757" t="s" s="13">
        <v>34</v>
      </c>
      <c r="W757" t="s" s="11">
        <v>6655</v>
      </c>
      <c r="X757" s="17">
        <f>HYPERLINK("https://my.pitchbook.com?p=347318-83P", "View People Online")</f>
      </c>
    </row>
    <row r="758">
      <c r="A758" t="s" s="10">
        <v>6656</v>
      </c>
      <c r="B758" t="s" s="10">
        <v>6657</v>
      </c>
      <c r="C758" t="s" s="10">
        <v>34</v>
      </c>
      <c r="D758" t="s" s="10">
        <v>6658</v>
      </c>
      <c r="E758" t="s" s="10">
        <v>3715</v>
      </c>
      <c r="F758" t="s" s="10">
        <v>6659</v>
      </c>
      <c r="G758" t="s" s="10">
        <v>6660</v>
      </c>
      <c r="H758" s="16">
        <f>HYPERLINK("http://www.intergen.com", "www.intergen.com")</f>
      </c>
      <c r="I758" t="s" s="10">
        <v>234</v>
      </c>
      <c r="J758" t="s" s="24">
        <v>34</v>
      </c>
      <c r="K758" s="24">
        <v>1</v>
      </c>
      <c r="L758" t="s" s="24">
        <v>34</v>
      </c>
      <c r="M758" t="s" s="12">
        <v>6662</v>
      </c>
      <c r="N758" t="s" s="10">
        <v>6663</v>
      </c>
      <c r="O758" t="s" s="10">
        <v>3179</v>
      </c>
      <c r="P758" t="s" s="10">
        <v>6664</v>
      </c>
      <c r="Q758" t="s" s="10">
        <v>1847</v>
      </c>
      <c r="R758" t="s" s="10">
        <v>3182</v>
      </c>
      <c r="S758" t="s" s="10">
        <v>3183</v>
      </c>
      <c r="T758" t="s" s="12">
        <v>6665</v>
      </c>
      <c r="U758" t="s" s="10">
        <v>49</v>
      </c>
      <c r="V758" t="s" s="12">
        <v>34</v>
      </c>
      <c r="W758" t="s" s="10">
        <v>6666</v>
      </c>
      <c r="X758" s="16">
        <f>HYPERLINK("https://my.pitchbook.com?p=460379-26P", "View People Online")</f>
      </c>
    </row>
    <row r="759">
      <c r="A759" t="s" s="11">
        <v>6667</v>
      </c>
      <c r="B759" t="s" s="11">
        <v>6668</v>
      </c>
      <c r="C759" t="s" s="11">
        <v>34</v>
      </c>
      <c r="D759" t="s" s="11">
        <v>6669</v>
      </c>
      <c r="E759" t="s" s="11">
        <v>3715</v>
      </c>
      <c r="F759" t="s" s="11">
        <v>6670</v>
      </c>
      <c r="G759" t="s" s="11">
        <v>6671</v>
      </c>
      <c r="H759" s="17">
        <f>HYPERLINK("http://www.tasconline.com", "www.tasconline.com")</f>
      </c>
      <c r="I759" t="s" s="11">
        <v>322</v>
      </c>
      <c r="J759" t="s" s="25">
        <v>34</v>
      </c>
      <c r="K759" s="25">
        <v>1</v>
      </c>
      <c r="L759" t="s" s="25">
        <v>34</v>
      </c>
      <c r="M759" t="s" s="13">
        <v>6673</v>
      </c>
      <c r="N759" t="s" s="11">
        <v>6674</v>
      </c>
      <c r="O759" t="s" s="11">
        <v>6675</v>
      </c>
      <c r="P759" t="s" s="11">
        <v>6676</v>
      </c>
      <c r="Q759" t="s" s="11">
        <v>34</v>
      </c>
      <c r="R759" t="s" s="11">
        <v>6677</v>
      </c>
      <c r="S759" t="s" s="11">
        <v>3131</v>
      </c>
      <c r="T759" t="s" s="13">
        <v>6678</v>
      </c>
      <c r="U759" t="s" s="11">
        <v>88</v>
      </c>
      <c r="V759" t="s" s="13">
        <v>34</v>
      </c>
      <c r="W759" t="s" s="11">
        <v>6679</v>
      </c>
      <c r="X759" s="17">
        <f>HYPERLINK("https://my.pitchbook.com?p=195296-50P", "View People Online")</f>
      </c>
    </row>
    <row r="760">
      <c r="A760" t="s" s="10">
        <v>6680</v>
      </c>
      <c r="B760" t="s" s="10">
        <v>6681</v>
      </c>
      <c r="C760" t="s" s="10">
        <v>34</v>
      </c>
      <c r="D760" t="s" s="10">
        <v>6682</v>
      </c>
      <c r="E760" t="s" s="10">
        <v>3715</v>
      </c>
      <c r="F760" t="s" s="10">
        <v>6683</v>
      </c>
      <c r="G760" t="s" s="10">
        <v>6684</v>
      </c>
      <c r="H760" s="16">
        <f>HYPERLINK("http://www.pilotchemical.com", "www.pilotchemical.com")</f>
      </c>
      <c r="I760" t="s" s="10">
        <v>649</v>
      </c>
      <c r="J760" s="24">
        <v>1</v>
      </c>
      <c r="K760" s="24">
        <v>1</v>
      </c>
      <c r="L760" t="s" s="24">
        <v>34</v>
      </c>
      <c r="M760" t="s" s="12">
        <v>6686</v>
      </c>
      <c r="N760" t="s" s="10">
        <v>34</v>
      </c>
      <c r="O760" t="s" s="10">
        <v>6687</v>
      </c>
      <c r="P760" t="s" s="10">
        <v>6688</v>
      </c>
      <c r="Q760" t="s" s="10">
        <v>6689</v>
      </c>
      <c r="R760" t="s" s="10">
        <v>6690</v>
      </c>
      <c r="S760" t="s" s="10">
        <v>6319</v>
      </c>
      <c r="T760" t="s" s="12">
        <v>6691</v>
      </c>
      <c r="U760" t="s" s="10">
        <v>88</v>
      </c>
      <c r="V760" t="s" s="12">
        <v>6692</v>
      </c>
      <c r="W760" t="s" s="10">
        <v>6693</v>
      </c>
      <c r="X760" s="16">
        <f>HYPERLINK("https://my.pitchbook.com?p=171864-37P", "View People Online")</f>
      </c>
    </row>
    <row r="761">
      <c r="A761" t="s" s="11">
        <v>6694</v>
      </c>
      <c r="B761" t="s" s="11">
        <v>6695</v>
      </c>
      <c r="C761" t="s" s="11">
        <v>34</v>
      </c>
      <c r="D761" t="s" s="11">
        <v>6696</v>
      </c>
      <c r="E761" t="s" s="11">
        <v>3715</v>
      </c>
      <c r="F761" t="s" s="11">
        <v>6697</v>
      </c>
      <c r="G761" t="s" s="11">
        <v>6698</v>
      </c>
      <c r="H761" s="17">
        <f>HYPERLINK("http://www.akoyabio.com", "www.akoyabio.com")</f>
      </c>
      <c r="I761" t="s" s="11">
        <v>2044</v>
      </c>
      <c r="J761" t="s" s="25">
        <v>34</v>
      </c>
      <c r="K761" s="25">
        <v>1</v>
      </c>
      <c r="L761" t="s" s="25">
        <v>34</v>
      </c>
      <c r="M761" t="s" s="13">
        <v>6700</v>
      </c>
      <c r="N761" t="s" s="11">
        <v>6701</v>
      </c>
      <c r="O761" t="s" s="11">
        <v>6702</v>
      </c>
      <c r="P761" t="s" s="11">
        <v>6703</v>
      </c>
      <c r="Q761" t="s" s="11">
        <v>6704</v>
      </c>
      <c r="R761" t="s" s="11">
        <v>6705</v>
      </c>
      <c r="S761" t="s" s="11">
        <v>5426</v>
      </c>
      <c r="T761" t="s" s="13">
        <v>6706</v>
      </c>
      <c r="U761" t="s" s="11">
        <v>88</v>
      </c>
      <c r="V761" t="s" s="13">
        <v>6707</v>
      </c>
      <c r="W761" t="s" s="11">
        <v>6708</v>
      </c>
      <c r="X761" s="17">
        <f>HYPERLINK("https://my.pitchbook.com?p=65222-65P", "View People Online")</f>
      </c>
    </row>
    <row r="762">
      <c r="A762" t="s" s="10">
        <v>6709</v>
      </c>
      <c r="B762" t="s" s="10">
        <v>6710</v>
      </c>
      <c r="C762" t="s" s="10">
        <v>34</v>
      </c>
      <c r="D762" t="s" s="10">
        <v>6711</v>
      </c>
      <c r="E762" t="s" s="10">
        <v>3715</v>
      </c>
      <c r="F762" t="s" s="10">
        <v>6712</v>
      </c>
      <c r="G762" t="s" s="10">
        <v>149</v>
      </c>
      <c r="H762" s="16">
        <f>HYPERLINK("http://www.drenl.co.uk", "www.drenl.co.uk")</f>
      </c>
      <c r="I762" t="s" s="10">
        <v>2040</v>
      </c>
      <c r="J762" t="s" s="24">
        <v>34</v>
      </c>
      <c r="K762" s="24">
        <v>1</v>
      </c>
      <c r="L762" t="s" s="24">
        <v>34</v>
      </c>
      <c r="M762" t="s" s="12">
        <v>34</v>
      </c>
      <c r="N762" t="s" s="10">
        <v>34</v>
      </c>
      <c r="O762" t="s" s="10">
        <v>6714</v>
      </c>
      <c r="P762" t="s" s="10">
        <v>6715</v>
      </c>
      <c r="Q762" t="s" s="10">
        <v>34</v>
      </c>
      <c r="R762" t="s" s="10">
        <v>6716</v>
      </c>
      <c r="S762" t="s" s="10">
        <v>47</v>
      </c>
      <c r="T762" t="s" s="12">
        <v>6717</v>
      </c>
      <c r="U762" t="s" s="10">
        <v>49</v>
      </c>
      <c r="V762" t="s" s="12">
        <v>34</v>
      </c>
      <c r="W762" t="s" s="10">
        <v>6718</v>
      </c>
      <c r="X762" s="16">
        <f>HYPERLINK("https://my.pitchbook.com?p=324227-98P", "View People Online")</f>
      </c>
    </row>
    <row r="763">
      <c r="A763" t="s" s="11">
        <v>6719</v>
      </c>
      <c r="B763" t="s" s="11">
        <v>6720</v>
      </c>
      <c r="C763" t="s" s="11">
        <v>34</v>
      </c>
      <c r="D763" t="s" s="11">
        <v>6721</v>
      </c>
      <c r="E763" t="s" s="11">
        <v>3715</v>
      </c>
      <c r="F763" t="s" s="11">
        <v>6722</v>
      </c>
      <c r="G763" t="s" s="11">
        <v>149</v>
      </c>
      <c r="H763" s="17">
        <f>HYPERLINK("http://www.smartir.co.uk", "www.smartir.co.uk")</f>
      </c>
      <c r="I763" t="s" s="11">
        <v>6724</v>
      </c>
      <c r="J763" t="s" s="25">
        <v>34</v>
      </c>
      <c r="K763" s="25">
        <v>1</v>
      </c>
      <c r="L763" t="s" s="25">
        <v>34</v>
      </c>
      <c r="M763" t="s" s="13">
        <v>34</v>
      </c>
      <c r="N763" t="s" s="11">
        <v>6725</v>
      </c>
      <c r="O763" t="s" s="11">
        <v>43</v>
      </c>
      <c r="P763" t="s" s="11">
        <v>6726</v>
      </c>
      <c r="Q763" t="s" s="11">
        <v>6727</v>
      </c>
      <c r="R763" t="s" s="11">
        <v>46</v>
      </c>
      <c r="S763" t="s" s="11">
        <v>47</v>
      </c>
      <c r="T763" t="s" s="13">
        <v>6728</v>
      </c>
      <c r="U763" t="s" s="11">
        <v>49</v>
      </c>
      <c r="V763" t="s" s="13">
        <v>34</v>
      </c>
      <c r="W763" t="s" s="11">
        <v>6729</v>
      </c>
      <c r="X763" s="17">
        <f>HYPERLINK("https://my.pitchbook.com?p=319139-92P", "View People Online")</f>
      </c>
    </row>
    <row r="764">
      <c r="A764" t="s" s="10">
        <v>6730</v>
      </c>
      <c r="B764" t="s" s="10">
        <v>6731</v>
      </c>
      <c r="C764" t="s" s="10">
        <v>34</v>
      </c>
      <c r="D764" t="s" s="10">
        <v>6732</v>
      </c>
      <c r="E764" t="s" s="10">
        <v>3715</v>
      </c>
      <c r="F764" t="s" s="10">
        <v>6733</v>
      </c>
      <c r="G764" t="s" s="10">
        <v>149</v>
      </c>
      <c r="H764" s="16">
        <f>HYPERLINK("http://www.redstar-china.com", "www.redstar-china.com")</f>
      </c>
      <c r="I764" t="s" s="10">
        <v>2321</v>
      </c>
      <c r="J764" t="s" s="24">
        <v>34</v>
      </c>
      <c r="K764" t="s" s="24">
        <v>34</v>
      </c>
      <c r="L764" t="s" s="24">
        <v>34</v>
      </c>
      <c r="M764" t="s" s="12">
        <v>34</v>
      </c>
      <c r="N764" t="s" s="10">
        <v>34</v>
      </c>
      <c r="O764" t="s" s="10">
        <v>34</v>
      </c>
      <c r="P764" t="s" s="10">
        <v>34</v>
      </c>
      <c r="Q764" t="s" s="10">
        <v>34</v>
      </c>
      <c r="R764" t="s" s="10">
        <v>34</v>
      </c>
      <c r="S764" t="s" s="10">
        <v>34</v>
      </c>
      <c r="T764" t="s" s="12">
        <v>34</v>
      </c>
      <c r="U764" t="s" s="10">
        <v>34</v>
      </c>
      <c r="V764" t="s" s="12">
        <v>34</v>
      </c>
      <c r="W764" t="s" s="10">
        <v>6735</v>
      </c>
      <c r="X764" s="16">
        <f>HYPERLINK("https://my.pitchbook.com?p=145663-21P", "View People Online")</f>
      </c>
    </row>
    <row r="765">
      <c r="A765" t="s" s="11">
        <v>6736</v>
      </c>
      <c r="B765" t="s" s="11">
        <v>6737</v>
      </c>
      <c r="C765" t="s" s="11">
        <v>34</v>
      </c>
      <c r="D765" t="s" s="11">
        <v>6738</v>
      </c>
      <c r="E765" t="s" s="11">
        <v>3715</v>
      </c>
      <c r="F765" t="s" s="11">
        <v>6739</v>
      </c>
      <c r="G765" t="s" s="11">
        <v>149</v>
      </c>
      <c r="H765" s="17">
        <f>HYPERLINK("http://www.cellrxbio.com", "www.cellrxbio.com")</f>
      </c>
      <c r="I765" t="s" s="11">
        <v>6741</v>
      </c>
      <c r="J765" s="25">
        <v>1</v>
      </c>
      <c r="K765" s="25">
        <v>1</v>
      </c>
      <c r="L765" t="s" s="25">
        <v>34</v>
      </c>
      <c r="M765" t="s" s="13">
        <v>6742</v>
      </c>
      <c r="N765" t="s" s="11">
        <v>34</v>
      </c>
      <c r="O765" t="s" s="11">
        <v>6743</v>
      </c>
      <c r="P765" t="s" s="11">
        <v>6744</v>
      </c>
      <c r="Q765" t="s" s="11">
        <v>5425</v>
      </c>
      <c r="R765" t="s" s="11">
        <v>6745</v>
      </c>
      <c r="S765" t="s" s="11">
        <v>47</v>
      </c>
      <c r="T765" t="s" s="13">
        <v>6746</v>
      </c>
      <c r="U765" t="s" s="11">
        <v>49</v>
      </c>
      <c r="V765" t="s" s="13">
        <v>6742</v>
      </c>
      <c r="W765" t="s" s="11">
        <v>6747</v>
      </c>
      <c r="X765" s="17">
        <f>HYPERLINK("https://my.pitchbook.com?p=59167-45P", "View People Online")</f>
      </c>
    </row>
    <row r="766">
      <c r="A766" t="s" s="10">
        <v>6748</v>
      </c>
      <c r="B766" t="s" s="10">
        <v>6749</v>
      </c>
      <c r="C766" t="s" s="10">
        <v>34</v>
      </c>
      <c r="D766" t="s" s="10">
        <v>4282</v>
      </c>
      <c r="E766" t="s" s="10">
        <v>3715</v>
      </c>
      <c r="F766" t="s" s="10">
        <v>6750</v>
      </c>
      <c r="G766" t="s" s="10">
        <v>149</v>
      </c>
      <c r="H766" s="16">
        <f>HYPERLINK("http://www.royalihc.com", "www.royalihc.com")</f>
      </c>
      <c r="I766" t="s" s="10">
        <v>4271</v>
      </c>
      <c r="J766" t="s" s="24">
        <v>34</v>
      </c>
      <c r="K766" t="s" s="24">
        <v>34</v>
      </c>
      <c r="L766" t="s" s="24">
        <v>34</v>
      </c>
      <c r="M766" t="s" s="12">
        <v>4284</v>
      </c>
      <c r="N766" t="s" s="10">
        <v>6751</v>
      </c>
      <c r="O766" t="s" s="10">
        <v>4286</v>
      </c>
      <c r="P766" t="s" s="10">
        <v>4287</v>
      </c>
      <c r="Q766" t="s" s="10">
        <v>34</v>
      </c>
      <c r="R766" t="s" s="10">
        <v>4288</v>
      </c>
      <c r="S766" t="s" s="10">
        <v>34</v>
      </c>
      <c r="T766" t="s" s="12">
        <v>4289</v>
      </c>
      <c r="U766" t="s" s="10">
        <v>103</v>
      </c>
      <c r="V766" t="s" s="12">
        <v>34</v>
      </c>
      <c r="W766" t="s" s="10">
        <v>6752</v>
      </c>
      <c r="X766" s="16">
        <f>HYPERLINK("https://my.pitchbook.com?p=231044-86P", "View People Online")</f>
      </c>
    </row>
    <row r="767">
      <c r="A767" t="s" s="11">
        <v>6753</v>
      </c>
      <c r="B767" t="s" s="11">
        <v>6754</v>
      </c>
      <c r="C767" t="s" s="11">
        <v>34</v>
      </c>
      <c r="D767" t="s" s="11">
        <v>6755</v>
      </c>
      <c r="E767" t="s" s="11">
        <v>3715</v>
      </c>
      <c r="F767" t="s" s="11">
        <v>6756</v>
      </c>
      <c r="G767" t="s" s="11">
        <v>149</v>
      </c>
      <c r="H767" s="17">
        <f>HYPERLINK("http://www.vanoord.com", "www.vanoord.com")</f>
      </c>
      <c r="I767" t="s" s="11">
        <v>6758</v>
      </c>
      <c r="J767" t="s" s="25">
        <v>34</v>
      </c>
      <c r="K767" s="25">
        <v>1</v>
      </c>
      <c r="L767" t="s" s="25">
        <v>34</v>
      </c>
      <c r="M767" t="s" s="13">
        <v>6759</v>
      </c>
      <c r="N767" t="s" s="11">
        <v>6760</v>
      </c>
      <c r="O767" t="s" s="11">
        <v>6761</v>
      </c>
      <c r="P767" t="s" s="11">
        <v>6762</v>
      </c>
      <c r="Q767" t="s" s="11">
        <v>34</v>
      </c>
      <c r="R767" t="s" s="11">
        <v>6763</v>
      </c>
      <c r="S767" t="s" s="11">
        <v>34</v>
      </c>
      <c r="T767" t="s" s="13">
        <v>6764</v>
      </c>
      <c r="U767" t="s" s="11">
        <v>103</v>
      </c>
      <c r="V767" t="s" s="13">
        <v>6765</v>
      </c>
      <c r="W767" t="s" s="11">
        <v>6766</v>
      </c>
      <c r="X767" s="17">
        <f>HYPERLINK("https://my.pitchbook.com?p=52098-85P", "View People Online")</f>
      </c>
    </row>
    <row r="768">
      <c r="A768" t="s" s="10">
        <v>6767</v>
      </c>
      <c r="B768" t="s" s="10">
        <v>6768</v>
      </c>
      <c r="C768" t="s" s="10">
        <v>34</v>
      </c>
      <c r="D768" t="s" s="10">
        <v>6769</v>
      </c>
      <c r="E768" t="s" s="10">
        <v>3715</v>
      </c>
      <c r="F768" t="s" s="10">
        <v>6770</v>
      </c>
      <c r="G768" t="s" s="10">
        <v>6771</v>
      </c>
      <c r="H768" s="16">
        <f>HYPERLINK("http://www.wanzhoumo.com", "www.wanzhoumo.com")</f>
      </c>
      <c r="I768" t="s" s="10">
        <v>4208</v>
      </c>
      <c r="J768" t="s" s="24">
        <v>34</v>
      </c>
      <c r="K768" s="24">
        <v>1</v>
      </c>
      <c r="L768" t="s" s="24">
        <v>34</v>
      </c>
      <c r="M768" t="s" s="12">
        <v>6773</v>
      </c>
      <c r="N768" t="s" s="10">
        <v>6774</v>
      </c>
      <c r="O768" t="s" s="10">
        <v>6775</v>
      </c>
      <c r="P768" t="s" s="10">
        <v>6776</v>
      </c>
      <c r="Q768" t="s" s="10">
        <v>6777</v>
      </c>
      <c r="R768" t="s" s="10">
        <v>6778</v>
      </c>
      <c r="S768" t="s" s="10">
        <v>34</v>
      </c>
      <c r="T768" t="s" s="12">
        <v>34</v>
      </c>
      <c r="U768" t="s" s="10">
        <v>5013</v>
      </c>
      <c r="V768" t="s" s="12">
        <v>34</v>
      </c>
      <c r="W768" t="s" s="10">
        <v>6779</v>
      </c>
      <c r="X768" s="16">
        <f>HYPERLINK("https://my.pitchbook.com?p=244078-75P", "View People Online")</f>
      </c>
    </row>
    <row r="769">
      <c r="A769" t="s" s="11">
        <v>6780</v>
      </c>
      <c r="B769" t="s" s="11">
        <v>6768</v>
      </c>
      <c r="C769" t="s" s="11">
        <v>34</v>
      </c>
      <c r="D769" t="s" s="11">
        <v>3924</v>
      </c>
      <c r="E769" t="s" s="11">
        <v>3715</v>
      </c>
      <c r="F769" t="s" s="11">
        <v>6770</v>
      </c>
      <c r="G769" t="s" s="11">
        <v>6771</v>
      </c>
      <c r="H769" s="17">
        <f>HYPERLINK("http://www.g42.ai", "www.g42.ai")</f>
      </c>
      <c r="I769" t="s" s="11">
        <v>3996</v>
      </c>
      <c r="J769" s="25">
        <v>2</v>
      </c>
      <c r="K769" s="25">
        <v>9</v>
      </c>
      <c r="L769" s="25">
        <v>6</v>
      </c>
      <c r="M769" t="s" s="13">
        <v>34</v>
      </c>
      <c r="N769" t="s" s="11">
        <v>6781</v>
      </c>
      <c r="O769" t="s" s="11">
        <v>385</v>
      </c>
      <c r="P769" t="s" s="11">
        <v>3930</v>
      </c>
      <c r="Q769" t="s" s="11">
        <v>3931</v>
      </c>
      <c r="R769" t="s" s="11">
        <v>388</v>
      </c>
      <c r="S769" t="s" s="11">
        <v>34</v>
      </c>
      <c r="T769" t="s" s="13">
        <v>34</v>
      </c>
      <c r="U769" t="s" s="11">
        <v>240</v>
      </c>
      <c r="V769" t="s" s="13">
        <v>34</v>
      </c>
      <c r="W769" t="s" s="11">
        <v>6782</v>
      </c>
      <c r="X769" s="17">
        <f>HYPERLINK("https://my.pitchbook.com?p=250441-03P", "View People Online")</f>
      </c>
    </row>
    <row r="770">
      <c r="A770" t="s" s="10">
        <v>6783</v>
      </c>
      <c r="B770" t="s" s="10">
        <v>6768</v>
      </c>
      <c r="C770" t="s" s="10">
        <v>34</v>
      </c>
      <c r="D770" t="s" s="10">
        <v>6784</v>
      </c>
      <c r="E770" t="s" s="10">
        <v>3715</v>
      </c>
      <c r="F770" t="s" s="10">
        <v>6770</v>
      </c>
      <c r="G770" t="s" s="10">
        <v>6771</v>
      </c>
      <c r="H770" s="16">
        <f>HYPERLINK("http://www.china-csun.com", "www.china-csun.com")</f>
      </c>
      <c r="I770" t="s" s="10">
        <v>2362</v>
      </c>
      <c r="J770" s="24">
        <v>1</v>
      </c>
      <c r="K770" s="24">
        <v>1</v>
      </c>
      <c r="L770" t="s" s="24">
        <v>34</v>
      </c>
      <c r="M770" t="s" s="12">
        <v>6786</v>
      </c>
      <c r="N770" t="s" s="10">
        <v>6787</v>
      </c>
      <c r="O770" t="s" s="10">
        <v>6788</v>
      </c>
      <c r="P770" t="s" s="10">
        <v>6789</v>
      </c>
      <c r="Q770" t="s" s="10">
        <v>6790</v>
      </c>
      <c r="R770" t="s" s="10">
        <v>6791</v>
      </c>
      <c r="S770" t="s" s="10">
        <v>6792</v>
      </c>
      <c r="T770" t="s" s="12">
        <v>6793</v>
      </c>
      <c r="U770" t="s" s="10">
        <v>5013</v>
      </c>
      <c r="V770" t="s" s="12">
        <v>34</v>
      </c>
      <c r="W770" t="s" s="10">
        <v>6794</v>
      </c>
      <c r="X770" s="16">
        <f>HYPERLINK("https://my.pitchbook.com?p=330981-13P", "View People Online")</f>
      </c>
    </row>
    <row r="771">
      <c r="A771" t="s" s="11">
        <v>6795</v>
      </c>
      <c r="B771" t="s" s="11">
        <v>6768</v>
      </c>
      <c r="C771" t="s" s="11">
        <v>34</v>
      </c>
      <c r="D771" t="s" s="11">
        <v>6796</v>
      </c>
      <c r="E771" t="s" s="11">
        <v>3715</v>
      </c>
      <c r="F771" t="s" s="11">
        <v>6770</v>
      </c>
      <c r="G771" t="s" s="11">
        <v>6771</v>
      </c>
      <c r="H771" s="17">
        <f>HYPERLINK("http://www.nakoshop.com", "www.nakoshop.com")</f>
      </c>
      <c r="I771" t="s" s="11">
        <v>950</v>
      </c>
      <c r="J771" t="s" s="25">
        <v>34</v>
      </c>
      <c r="K771" s="25">
        <v>1</v>
      </c>
      <c r="L771" t="s" s="25">
        <v>34</v>
      </c>
      <c r="M771" t="s" s="13">
        <v>6798</v>
      </c>
      <c r="N771" t="s" s="11">
        <v>6799</v>
      </c>
      <c r="O771" t="s" s="11">
        <v>6800</v>
      </c>
      <c r="P771" t="s" s="11">
        <v>6801</v>
      </c>
      <c r="Q771" t="s" s="11">
        <v>34</v>
      </c>
      <c r="R771" t="s" s="11">
        <v>6802</v>
      </c>
      <c r="S771" t="s" s="11">
        <v>6803</v>
      </c>
      <c r="T771" t="s" s="13">
        <v>6804</v>
      </c>
      <c r="U771" t="s" s="11">
        <v>88</v>
      </c>
      <c r="V771" t="s" s="13">
        <v>34</v>
      </c>
      <c r="W771" t="s" s="11">
        <v>6805</v>
      </c>
      <c r="X771" s="17">
        <f>HYPERLINK("https://my.pitchbook.com?p=395440-48P", "View People Online")</f>
      </c>
    </row>
    <row r="772">
      <c r="A772" t="s" s="10">
        <v>6806</v>
      </c>
      <c r="B772" t="s" s="10">
        <v>6768</v>
      </c>
      <c r="C772" t="s" s="10">
        <v>34</v>
      </c>
      <c r="D772" t="s" s="10">
        <v>6807</v>
      </c>
      <c r="E772" t="s" s="10">
        <v>3715</v>
      </c>
      <c r="F772" t="s" s="10">
        <v>6770</v>
      </c>
      <c r="G772" t="s" s="10">
        <v>6771</v>
      </c>
      <c r="H772" s="16">
        <f>HYPERLINK("http://www.g42-us.com", "www.g42-us.com")</f>
      </c>
      <c r="I772" t="s" s="10">
        <v>322</v>
      </c>
      <c r="J772" t="s" s="24">
        <v>34</v>
      </c>
      <c r="K772" s="24">
        <v>1</v>
      </c>
      <c r="L772" t="s" s="24">
        <v>34</v>
      </c>
      <c r="M772" t="s" s="12">
        <v>34</v>
      </c>
      <c r="N772" t="s" s="10">
        <v>34</v>
      </c>
      <c r="O772" t="s" s="10">
        <v>385</v>
      </c>
      <c r="P772" t="s" s="10">
        <v>6809</v>
      </c>
      <c r="Q772" t="s" s="10">
        <v>6810</v>
      </c>
      <c r="R772" t="s" s="10">
        <v>388</v>
      </c>
      <c r="S772" t="s" s="10">
        <v>34</v>
      </c>
      <c r="T772" t="s" s="12">
        <v>34</v>
      </c>
      <c r="U772" t="s" s="10">
        <v>240</v>
      </c>
      <c r="V772" t="s" s="12">
        <v>34</v>
      </c>
      <c r="W772" t="s" s="10">
        <v>6811</v>
      </c>
      <c r="X772" s="16">
        <f>HYPERLINK("https://my.pitchbook.com?p=469928-17P", "View People Online")</f>
      </c>
    </row>
    <row r="773">
      <c r="A773" t="s" s="11">
        <v>6812</v>
      </c>
      <c r="B773" t="s" s="11">
        <v>6813</v>
      </c>
      <c r="C773" t="s" s="11">
        <v>34</v>
      </c>
      <c r="D773" t="s" s="11">
        <v>6097</v>
      </c>
      <c r="E773" t="s" s="11">
        <v>3715</v>
      </c>
      <c r="F773" t="s" s="11">
        <v>6814</v>
      </c>
      <c r="G773" t="s" s="11">
        <v>6815</v>
      </c>
      <c r="H773" s="17">
        <f>HYPERLINK("http://www.snicompanies.com", "www.snicompanies.com")</f>
      </c>
      <c r="I773" t="s" s="11">
        <v>1358</v>
      </c>
      <c r="J773" t="s" s="25">
        <v>34</v>
      </c>
      <c r="K773" t="s" s="25">
        <v>34</v>
      </c>
      <c r="L773" t="s" s="25">
        <v>34</v>
      </c>
      <c r="M773" t="s" s="13">
        <v>34</v>
      </c>
      <c r="N773" t="s" s="11">
        <v>34</v>
      </c>
      <c r="O773" t="s" s="11">
        <v>34</v>
      </c>
      <c r="P773" t="s" s="11">
        <v>34</v>
      </c>
      <c r="Q773" t="s" s="11">
        <v>34</v>
      </c>
      <c r="R773" t="s" s="11">
        <v>34</v>
      </c>
      <c r="S773" t="s" s="11">
        <v>34</v>
      </c>
      <c r="T773" t="s" s="13">
        <v>34</v>
      </c>
      <c r="U773" t="s" s="11">
        <v>34</v>
      </c>
      <c r="V773" t="s" s="13">
        <v>34</v>
      </c>
      <c r="W773" t="s" s="11">
        <v>6816</v>
      </c>
      <c r="X773" s="17">
        <f>HYPERLINK("https://my.pitchbook.com?p=159783-85P", "View People Online")</f>
      </c>
    </row>
    <row r="774">
      <c r="A774" t="s" s="10">
        <v>6817</v>
      </c>
      <c r="B774" t="s" s="10">
        <v>6818</v>
      </c>
      <c r="C774" t="s" s="10">
        <v>34</v>
      </c>
      <c r="D774" t="s" s="10">
        <v>6819</v>
      </c>
      <c r="E774" t="s" s="10">
        <v>3715</v>
      </c>
      <c r="F774" t="s" s="10">
        <v>2195</v>
      </c>
      <c r="G774" t="s" s="10">
        <v>6820</v>
      </c>
      <c r="H774" s="16">
        <f>HYPERLINK("http://www.kuder.com", "www.kuder.com")</f>
      </c>
      <c r="I774" t="s" s="10">
        <v>6822</v>
      </c>
      <c r="J774" t="s" s="24">
        <v>34</v>
      </c>
      <c r="K774" t="s" s="24">
        <v>34</v>
      </c>
      <c r="L774" t="s" s="24">
        <v>34</v>
      </c>
      <c r="M774" t="s" s="12">
        <v>6823</v>
      </c>
      <c r="N774" t="s" s="10">
        <v>6824</v>
      </c>
      <c r="O774" t="s" s="10">
        <v>34</v>
      </c>
      <c r="P774" t="s" s="10">
        <v>34</v>
      </c>
      <c r="Q774" t="s" s="10">
        <v>34</v>
      </c>
      <c r="R774" t="s" s="10">
        <v>34</v>
      </c>
      <c r="S774" t="s" s="10">
        <v>34</v>
      </c>
      <c r="T774" t="s" s="12">
        <v>34</v>
      </c>
      <c r="U774" t="s" s="10">
        <v>34</v>
      </c>
      <c r="V774" t="s" s="12">
        <v>34</v>
      </c>
      <c r="W774" t="s" s="10">
        <v>6825</v>
      </c>
      <c r="X774" s="16">
        <f>HYPERLINK("https://my.pitchbook.com?p=118198-90P", "View People Online")</f>
      </c>
    </row>
    <row r="775">
      <c r="A775" t="s" s="11">
        <v>6826</v>
      </c>
      <c r="B775" t="s" s="11">
        <v>6827</v>
      </c>
      <c r="C775" t="s" s="11">
        <v>34</v>
      </c>
      <c r="D775" t="s" s="11">
        <v>6828</v>
      </c>
      <c r="E775" t="s" s="11">
        <v>3715</v>
      </c>
      <c r="F775" t="s" s="11">
        <v>6829</v>
      </c>
      <c r="G775" t="s" s="11">
        <v>6820</v>
      </c>
      <c r="H775" s="17">
        <f>HYPERLINK("http://www.manusneuro.com", "www.manusneuro.com")</f>
      </c>
      <c r="I775" t="s" s="11">
        <v>234</v>
      </c>
      <c r="J775" t="s" s="25">
        <v>34</v>
      </c>
      <c r="K775" s="25">
        <v>1</v>
      </c>
      <c r="L775" t="s" s="25">
        <v>34</v>
      </c>
      <c r="M775" t="s" s="13">
        <v>6831</v>
      </c>
      <c r="N775" t="s" s="11">
        <v>6832</v>
      </c>
      <c r="O775" t="s" s="11">
        <v>3179</v>
      </c>
      <c r="P775" t="s" s="11">
        <v>6833</v>
      </c>
      <c r="Q775" t="s" s="11">
        <v>34</v>
      </c>
      <c r="R775" t="s" s="11">
        <v>3182</v>
      </c>
      <c r="S775" t="s" s="11">
        <v>3183</v>
      </c>
      <c r="T775" t="s" s="13">
        <v>6834</v>
      </c>
      <c r="U775" t="s" s="11">
        <v>49</v>
      </c>
      <c r="V775" t="s" s="13">
        <v>34</v>
      </c>
      <c r="W775" t="s" s="11">
        <v>6835</v>
      </c>
      <c r="X775" s="17">
        <f>HYPERLINK("https://my.pitchbook.com?p=348059-71P", "View People Online")</f>
      </c>
    </row>
    <row r="776">
      <c r="A776" t="s" s="10">
        <v>6836</v>
      </c>
      <c r="B776" t="s" s="10">
        <v>6837</v>
      </c>
      <c r="C776" t="s" s="10">
        <v>34</v>
      </c>
      <c r="D776" t="s" s="10">
        <v>6838</v>
      </c>
      <c r="E776" t="s" s="10">
        <v>3715</v>
      </c>
      <c r="F776" t="s" s="10">
        <v>6839</v>
      </c>
      <c r="G776" t="s" s="10">
        <v>6840</v>
      </c>
      <c r="H776" s="16">
        <f>HYPERLINK("http://www.harting.com.cn", "www.harting.com.cn")</f>
      </c>
      <c r="I776" t="s" s="10">
        <v>6842</v>
      </c>
      <c r="J776" s="24">
        <v>1</v>
      </c>
      <c r="K776" s="24">
        <v>1</v>
      </c>
      <c r="L776" t="s" s="24">
        <v>34</v>
      </c>
      <c r="M776" t="s" s="12">
        <v>6843</v>
      </c>
      <c r="N776" t="s" s="10">
        <v>6844</v>
      </c>
      <c r="O776" t="s" s="10">
        <v>6775</v>
      </c>
      <c r="P776" t="s" s="10">
        <v>6845</v>
      </c>
      <c r="Q776" t="s" s="10">
        <v>6846</v>
      </c>
      <c r="R776" t="s" s="10">
        <v>6778</v>
      </c>
      <c r="S776" t="s" s="10">
        <v>34</v>
      </c>
      <c r="T776" t="s" s="12">
        <v>6847</v>
      </c>
      <c r="U776" t="s" s="10">
        <v>5013</v>
      </c>
      <c r="V776" t="s" s="12">
        <v>6848</v>
      </c>
      <c r="W776" t="s" s="10">
        <v>6849</v>
      </c>
      <c r="X776" s="16">
        <f>HYPERLINK("https://my.pitchbook.com?p=446312-53P", "View People Online")</f>
      </c>
    </row>
    <row r="777">
      <c r="A777" t="s" s="11">
        <v>6850</v>
      </c>
      <c r="B777" t="s" s="11">
        <v>6851</v>
      </c>
      <c r="C777" t="s" s="11">
        <v>34</v>
      </c>
      <c r="D777" t="s" s="11">
        <v>6852</v>
      </c>
      <c r="E777" t="s" s="11">
        <v>3715</v>
      </c>
      <c r="F777" t="s" s="11">
        <v>5279</v>
      </c>
      <c r="G777" t="s" s="11">
        <v>6853</v>
      </c>
      <c r="H777" t="s" s="11">
        <v>34</v>
      </c>
      <c r="I777" t="s" s="11">
        <v>2044</v>
      </c>
      <c r="J777" t="s" s="25">
        <v>34</v>
      </c>
      <c r="K777" t="s" s="25">
        <v>34</v>
      </c>
      <c r="L777" t="s" s="25">
        <v>34</v>
      </c>
      <c r="M777" t="s" s="13">
        <v>34</v>
      </c>
      <c r="N777" t="s" s="11">
        <v>34</v>
      </c>
      <c r="O777" t="s" s="11">
        <v>34</v>
      </c>
      <c r="P777" t="s" s="11">
        <v>34</v>
      </c>
      <c r="Q777" t="s" s="11">
        <v>34</v>
      </c>
      <c r="R777" t="s" s="11">
        <v>34</v>
      </c>
      <c r="S777" t="s" s="11">
        <v>34</v>
      </c>
      <c r="T777" t="s" s="13">
        <v>34</v>
      </c>
      <c r="U777" t="s" s="11">
        <v>34</v>
      </c>
      <c r="V777" t="s" s="13">
        <v>34</v>
      </c>
      <c r="W777" t="s" s="11">
        <v>6854</v>
      </c>
      <c r="X777" s="17">
        <f>HYPERLINK("https://my.pitchbook.com?p=62726-95P", "View People Online")</f>
      </c>
    </row>
    <row r="778">
      <c r="A778" t="s" s="10">
        <v>6855</v>
      </c>
      <c r="B778" t="s" s="10">
        <v>6856</v>
      </c>
      <c r="C778" t="s" s="10">
        <v>34</v>
      </c>
      <c r="D778" t="s" s="10">
        <v>6638</v>
      </c>
      <c r="E778" t="s" s="10">
        <v>3715</v>
      </c>
      <c r="F778" t="s" s="10">
        <v>1580</v>
      </c>
      <c r="G778" t="s" s="10">
        <v>6857</v>
      </c>
      <c r="H778" s="16">
        <f>HYPERLINK("http://www.liqid.de", "www.liqid.de")</f>
      </c>
      <c r="I778" t="s" s="10">
        <v>2211</v>
      </c>
      <c r="J778" t="s" s="24">
        <v>34</v>
      </c>
      <c r="K778" s="24">
        <v>1</v>
      </c>
      <c r="L778" t="s" s="24">
        <v>34</v>
      </c>
      <c r="M778" t="s" s="12">
        <v>6641</v>
      </c>
      <c r="N778" t="s" s="10">
        <v>34</v>
      </c>
      <c r="O778" t="s" s="10">
        <v>1177</v>
      </c>
      <c r="P778" t="s" s="10">
        <v>6642</v>
      </c>
      <c r="Q778" t="s" s="10">
        <v>34</v>
      </c>
      <c r="R778" t="s" s="10">
        <v>1179</v>
      </c>
      <c r="S778" t="s" s="10">
        <v>1179</v>
      </c>
      <c r="T778" t="s" s="12">
        <v>6643</v>
      </c>
      <c r="U778" t="s" s="10">
        <v>1181</v>
      </c>
      <c r="V778" t="s" s="12">
        <v>34</v>
      </c>
      <c r="W778" t="s" s="10">
        <v>6858</v>
      </c>
      <c r="X778" s="16">
        <f>HYPERLINK("https://my.pitchbook.com?p=418509-37P", "View People Online")</f>
      </c>
    </row>
    <row r="779">
      <c r="A779" t="s" s="11">
        <v>6859</v>
      </c>
      <c r="B779" t="s" s="11">
        <v>6860</v>
      </c>
      <c r="C779" t="s" s="11">
        <v>34</v>
      </c>
      <c r="D779" t="s" s="11">
        <v>6861</v>
      </c>
      <c r="E779" t="s" s="11">
        <v>3715</v>
      </c>
      <c r="F779" t="s" s="11">
        <v>6862</v>
      </c>
      <c r="G779" t="s" s="11">
        <v>6863</v>
      </c>
      <c r="H779" s="17">
        <f>HYPERLINK("http://www.srgmri.co.nz", "www.srgmri.co.nz")</f>
      </c>
      <c r="I779" t="s" s="11">
        <v>6865</v>
      </c>
      <c r="J779" t="s" s="25">
        <v>34</v>
      </c>
      <c r="K779" s="25">
        <v>1</v>
      </c>
      <c r="L779" t="s" s="25">
        <v>34</v>
      </c>
      <c r="M779" t="s" s="13">
        <v>34</v>
      </c>
      <c r="N779" t="s" s="11">
        <v>6866</v>
      </c>
      <c r="O779" t="s" s="11">
        <v>6867</v>
      </c>
      <c r="P779" t="s" s="11">
        <v>6868</v>
      </c>
      <c r="Q779" t="s" s="11">
        <v>6869</v>
      </c>
      <c r="R779" t="s" s="11">
        <v>6870</v>
      </c>
      <c r="S779" t="s" s="11">
        <v>34</v>
      </c>
      <c r="T779" t="s" s="13">
        <v>6871</v>
      </c>
      <c r="U779" t="s" s="11">
        <v>1953</v>
      </c>
      <c r="V779" t="s" s="13">
        <v>34</v>
      </c>
      <c r="W779" t="s" s="11">
        <v>6872</v>
      </c>
      <c r="X779" s="17">
        <f>HYPERLINK("https://my.pitchbook.com?p=188867-71P", "View People Online")</f>
      </c>
    </row>
    <row r="780">
      <c r="A780" t="s" s="10">
        <v>6873</v>
      </c>
      <c r="B780" t="s" s="10">
        <v>6874</v>
      </c>
      <c r="C780" t="s" s="10">
        <v>34</v>
      </c>
      <c r="D780" t="s" s="10">
        <v>6875</v>
      </c>
      <c r="E780" t="s" s="10">
        <v>3715</v>
      </c>
      <c r="F780" t="s" s="10">
        <v>6876</v>
      </c>
      <c r="G780" t="s" s="10">
        <v>6877</v>
      </c>
      <c r="H780" s="16">
        <f>HYPERLINK("http://www.aamtech.wpenginepowered.com", "www.aamtech.wpenginepowered.com")</f>
      </c>
      <c r="I780" t="s" s="10">
        <v>6879</v>
      </c>
      <c r="J780" t="s" s="24">
        <v>34</v>
      </c>
      <c r="K780" t="s" s="24">
        <v>34</v>
      </c>
      <c r="L780" t="s" s="24">
        <v>34</v>
      </c>
      <c r="M780" t="s" s="12">
        <v>34</v>
      </c>
      <c r="N780" t="s" s="10">
        <v>34</v>
      </c>
      <c r="O780" t="s" s="10">
        <v>34</v>
      </c>
      <c r="P780" t="s" s="10">
        <v>34</v>
      </c>
      <c r="Q780" t="s" s="10">
        <v>34</v>
      </c>
      <c r="R780" t="s" s="10">
        <v>34</v>
      </c>
      <c r="S780" t="s" s="10">
        <v>34</v>
      </c>
      <c r="T780" t="s" s="12">
        <v>34</v>
      </c>
      <c r="U780" t="s" s="10">
        <v>34</v>
      </c>
      <c r="V780" t="s" s="12">
        <v>34</v>
      </c>
      <c r="W780" t="s" s="10">
        <v>6880</v>
      </c>
      <c r="X780" s="16">
        <f>HYPERLINK("https://my.pitchbook.com?p=465076-72P", "View People Online")</f>
      </c>
    </row>
    <row r="781">
      <c r="A781" t="s" s="11">
        <v>6881</v>
      </c>
      <c r="B781" t="s" s="11">
        <v>6882</v>
      </c>
      <c r="C781" t="s" s="11">
        <v>34</v>
      </c>
      <c r="D781" t="s" s="11">
        <v>6883</v>
      </c>
      <c r="E781" t="s" s="11">
        <v>3715</v>
      </c>
      <c r="F781" t="s" s="11">
        <v>6884</v>
      </c>
      <c r="G781" t="s" s="11">
        <v>6885</v>
      </c>
      <c r="H781" s="17">
        <f>HYPERLINK("http://www.arsenalegroup.com", "www.arsenalegroup.com")</f>
      </c>
      <c r="I781" t="s" s="11">
        <v>1358</v>
      </c>
      <c r="J781" t="s" s="25">
        <v>34</v>
      </c>
      <c r="K781" s="25">
        <v>1</v>
      </c>
      <c r="L781" t="s" s="25">
        <v>34</v>
      </c>
      <c r="M781" t="s" s="13">
        <v>6887</v>
      </c>
      <c r="N781" t="s" s="11">
        <v>34</v>
      </c>
      <c r="O781" t="s" s="11">
        <v>5909</v>
      </c>
      <c r="P781" t="s" s="11">
        <v>6888</v>
      </c>
      <c r="Q781" t="s" s="11">
        <v>34</v>
      </c>
      <c r="R781" t="s" s="11">
        <v>5911</v>
      </c>
      <c r="S781" t="s" s="11">
        <v>34</v>
      </c>
      <c r="T781" t="s" s="13">
        <v>6889</v>
      </c>
      <c r="U781" t="s" s="11">
        <v>2566</v>
      </c>
      <c r="V781" t="s" s="13">
        <v>34</v>
      </c>
      <c r="W781" t="s" s="11">
        <v>6890</v>
      </c>
      <c r="X781" s="17">
        <f>HYPERLINK("https://my.pitchbook.com?p=291905-38P", "View People Online")</f>
      </c>
    </row>
    <row r="782">
      <c r="A782" t="s" s="10">
        <v>6891</v>
      </c>
      <c r="B782" t="s" s="10">
        <v>6892</v>
      </c>
      <c r="C782" t="s" s="10">
        <v>34</v>
      </c>
      <c r="D782" t="s" s="10">
        <v>6893</v>
      </c>
      <c r="E782" t="s" s="10">
        <v>3715</v>
      </c>
      <c r="F782" t="s" s="10">
        <v>6894</v>
      </c>
      <c r="G782" t="s" s="10">
        <v>6893</v>
      </c>
      <c r="H782" s="16">
        <f>HYPERLINK("http://www.raishma.co.uk", "www.raishma.co.uk")</f>
      </c>
      <c r="I782" t="s" s="10">
        <v>6896</v>
      </c>
      <c r="J782" t="s" s="24">
        <v>34</v>
      </c>
      <c r="K782" s="24">
        <v>1</v>
      </c>
      <c r="L782" t="s" s="24">
        <v>34</v>
      </c>
      <c r="M782" t="s" s="12">
        <v>6897</v>
      </c>
      <c r="N782" t="s" s="10">
        <v>34</v>
      </c>
      <c r="O782" t="s" s="10">
        <v>43</v>
      </c>
      <c r="P782" t="s" s="10">
        <v>6898</v>
      </c>
      <c r="Q782" t="s" s="10">
        <v>6899</v>
      </c>
      <c r="R782" t="s" s="10">
        <v>46</v>
      </c>
      <c r="S782" t="s" s="10">
        <v>47</v>
      </c>
      <c r="T782" t="s" s="12">
        <v>6900</v>
      </c>
      <c r="U782" t="s" s="10">
        <v>49</v>
      </c>
      <c r="V782" t="s" s="12">
        <v>34</v>
      </c>
      <c r="W782" t="s" s="10">
        <v>6901</v>
      </c>
      <c r="X782" s="16">
        <f>HYPERLINK("https://my.pitchbook.com?p=160055-02P", "View People Online")</f>
      </c>
    </row>
    <row r="783">
      <c r="A783" t="s" s="11">
        <v>6902</v>
      </c>
      <c r="B783" t="s" s="11">
        <v>6903</v>
      </c>
      <c r="C783" t="s" s="11">
        <v>34</v>
      </c>
      <c r="D783" t="s" s="11">
        <v>6904</v>
      </c>
      <c r="E783" t="s" s="11">
        <v>3715</v>
      </c>
      <c r="F783" t="s" s="11">
        <v>6905</v>
      </c>
      <c r="G783" t="s" s="11">
        <v>6906</v>
      </c>
      <c r="H783" s="17">
        <f>HYPERLINK("http://www.emergence-creative.com", "www.emergence-creative.com")</f>
      </c>
      <c r="I783" t="s" s="11">
        <v>3735</v>
      </c>
      <c r="J783" s="25">
        <v>2</v>
      </c>
      <c r="K783" s="25">
        <v>4</v>
      </c>
      <c r="L783" t="s" s="25">
        <v>34</v>
      </c>
      <c r="M783" t="s" s="13">
        <v>34</v>
      </c>
      <c r="N783" t="s" s="11">
        <v>6908</v>
      </c>
      <c r="O783" t="s" s="11">
        <v>84</v>
      </c>
      <c r="P783" t="s" s="11">
        <v>6909</v>
      </c>
      <c r="Q783" t="s" s="11">
        <v>6910</v>
      </c>
      <c r="R783" t="s" s="11">
        <v>86</v>
      </c>
      <c r="S783" t="s" s="11">
        <v>86</v>
      </c>
      <c r="T783" t="s" s="13">
        <v>6911</v>
      </c>
      <c r="U783" t="s" s="11">
        <v>88</v>
      </c>
      <c r="V783" t="s" s="13">
        <v>34</v>
      </c>
      <c r="W783" t="s" s="11">
        <v>6912</v>
      </c>
      <c r="X783" s="17">
        <f>HYPERLINK("https://my.pitchbook.com?p=358312-24P", "View People Online")</f>
      </c>
    </row>
    <row r="784">
      <c r="A784" t="s" s="10">
        <v>6913</v>
      </c>
      <c r="B784" t="s" s="10">
        <v>6914</v>
      </c>
      <c r="C784" t="s" s="10">
        <v>34</v>
      </c>
      <c r="D784" t="s" s="10">
        <v>6915</v>
      </c>
      <c r="E784" t="s" s="10">
        <v>3715</v>
      </c>
      <c r="F784" t="s" s="10">
        <v>6916</v>
      </c>
      <c r="G784" t="s" s="10">
        <v>6917</v>
      </c>
      <c r="H784" s="16">
        <f>HYPERLINK("http://www.chaipoint.com", "www.chaipoint.com")</f>
      </c>
      <c r="I784" t="s" s="10">
        <v>649</v>
      </c>
      <c r="J784" s="24">
        <v>2</v>
      </c>
      <c r="K784" s="24">
        <v>3</v>
      </c>
      <c r="L784" t="s" s="24">
        <v>34</v>
      </c>
      <c r="M784" t="s" s="12">
        <v>6919</v>
      </c>
      <c r="N784" t="s" s="10">
        <v>34</v>
      </c>
      <c r="O784" t="s" s="10">
        <v>6920</v>
      </c>
      <c r="P784" t="s" s="10">
        <v>6921</v>
      </c>
      <c r="Q784" t="s" s="10">
        <v>6922</v>
      </c>
      <c r="R784" t="s" s="10">
        <v>6923</v>
      </c>
      <c r="S784" t="s" s="10">
        <v>6924</v>
      </c>
      <c r="T784" t="s" s="12">
        <v>6925</v>
      </c>
      <c r="U784" t="s" s="10">
        <v>135</v>
      </c>
      <c r="V784" t="s" s="12">
        <v>34</v>
      </c>
      <c r="W784" t="s" s="10">
        <v>6926</v>
      </c>
      <c r="X784" s="16">
        <f>HYPERLINK("https://my.pitchbook.com?p=199473-58P", "View People Online")</f>
      </c>
    </row>
    <row r="785">
      <c r="A785" t="s" s="11">
        <v>6927</v>
      </c>
      <c r="B785" t="s" s="11">
        <v>6928</v>
      </c>
      <c r="C785" t="s" s="11">
        <v>34</v>
      </c>
      <c r="D785" t="s" s="11">
        <v>6929</v>
      </c>
      <c r="E785" t="s" s="11">
        <v>3715</v>
      </c>
      <c r="F785" t="s" s="11">
        <v>380</v>
      </c>
      <c r="G785" t="s" s="11">
        <v>6930</v>
      </c>
      <c r="H785" s="17">
        <f>HYPERLINK("http://www.loadshare.net", "www.loadshare.net")</f>
      </c>
      <c r="I785" t="s" s="11">
        <v>6932</v>
      </c>
      <c r="J785" t="s" s="25">
        <v>34</v>
      </c>
      <c r="K785" s="25">
        <v>1</v>
      </c>
      <c r="L785" t="s" s="25">
        <v>34</v>
      </c>
      <c r="M785" t="s" s="13">
        <v>6933</v>
      </c>
      <c r="N785" t="s" s="11">
        <v>6934</v>
      </c>
      <c r="O785" t="s" s="11">
        <v>6935</v>
      </c>
      <c r="P785" t="s" s="11">
        <v>6936</v>
      </c>
      <c r="Q785" t="s" s="11">
        <v>6937</v>
      </c>
      <c r="R785" t="s" s="11">
        <v>6938</v>
      </c>
      <c r="S785" t="s" s="11">
        <v>6924</v>
      </c>
      <c r="T785" t="s" s="13">
        <v>6939</v>
      </c>
      <c r="U785" t="s" s="11">
        <v>135</v>
      </c>
      <c r="V785" t="s" s="13">
        <v>34</v>
      </c>
      <c r="W785" t="s" s="11">
        <v>6940</v>
      </c>
      <c r="X785" s="17">
        <f>HYPERLINK("https://my.pitchbook.com?p=164167-39P", "View People Online")</f>
      </c>
    </row>
    <row r="786">
      <c r="A786" t="s" s="10">
        <v>6941</v>
      </c>
      <c r="B786" t="s" s="10">
        <v>6942</v>
      </c>
      <c r="C786" t="s" s="10">
        <v>34</v>
      </c>
      <c r="D786" t="s" s="10">
        <v>6943</v>
      </c>
      <c r="E786" t="s" s="10">
        <v>3715</v>
      </c>
      <c r="F786" t="s" s="10">
        <v>2208</v>
      </c>
      <c r="G786" t="s" s="10">
        <v>6944</v>
      </c>
      <c r="H786" s="16">
        <f>HYPERLINK("http://www.karkinos.in", "www.karkinos.in")</f>
      </c>
      <c r="I786" t="s" s="10">
        <v>6946</v>
      </c>
      <c r="J786" t="s" s="24">
        <v>34</v>
      </c>
      <c r="K786" t="s" s="24">
        <v>34</v>
      </c>
      <c r="L786" t="s" s="24">
        <v>34</v>
      </c>
      <c r="M786" t="s" s="12">
        <v>34</v>
      </c>
      <c r="N786" t="s" s="10">
        <v>34</v>
      </c>
      <c r="O786" t="s" s="10">
        <v>34</v>
      </c>
      <c r="P786" t="s" s="10">
        <v>34</v>
      </c>
      <c r="Q786" t="s" s="10">
        <v>34</v>
      </c>
      <c r="R786" t="s" s="10">
        <v>34</v>
      </c>
      <c r="S786" t="s" s="10">
        <v>34</v>
      </c>
      <c r="T786" t="s" s="12">
        <v>34</v>
      </c>
      <c r="U786" t="s" s="10">
        <v>34</v>
      </c>
      <c r="V786" t="s" s="12">
        <v>34</v>
      </c>
      <c r="W786" t="s" s="10">
        <v>6947</v>
      </c>
      <c r="X786" s="16">
        <f>HYPERLINK("https://my.pitchbook.com?p=192578-77P", "View People Online")</f>
      </c>
    </row>
    <row r="787">
      <c r="A787" t="s" s="11">
        <v>6948</v>
      </c>
      <c r="B787" t="s" s="11">
        <v>6949</v>
      </c>
      <c r="C787" t="s" s="11">
        <v>34</v>
      </c>
      <c r="D787" t="s" s="11">
        <v>3809</v>
      </c>
      <c r="E787" t="s" s="11">
        <v>3715</v>
      </c>
      <c r="F787" t="s" s="11">
        <v>6950</v>
      </c>
      <c r="G787" t="s" s="11">
        <v>6951</v>
      </c>
      <c r="H787" s="17">
        <f>HYPERLINK("http://www.arada.com", "www.arada.com")</f>
      </c>
      <c r="I787" t="s" s="11">
        <v>6952</v>
      </c>
      <c r="J787" t="s" s="25">
        <v>34</v>
      </c>
      <c r="K787" s="25">
        <v>1</v>
      </c>
      <c r="L787" t="s" s="25">
        <v>34</v>
      </c>
      <c r="M787" t="s" s="13">
        <v>3812</v>
      </c>
      <c r="N787" t="s" s="11">
        <v>6953</v>
      </c>
      <c r="O787" t="s" s="11">
        <v>236</v>
      </c>
      <c r="P787" t="s" s="11">
        <v>3813</v>
      </c>
      <c r="Q787" t="s" s="11">
        <v>3814</v>
      </c>
      <c r="R787" t="s" s="11">
        <v>239</v>
      </c>
      <c r="S787" t="s" s="11">
        <v>34</v>
      </c>
      <c r="T787" t="s" s="13">
        <v>34</v>
      </c>
      <c r="U787" t="s" s="11">
        <v>240</v>
      </c>
      <c r="V787" t="s" s="13">
        <v>34</v>
      </c>
      <c r="W787" t="s" s="11">
        <v>6954</v>
      </c>
      <c r="X787" s="17">
        <f>HYPERLINK("https://my.pitchbook.com?p=447035-32P", "View People Online")</f>
      </c>
    </row>
    <row r="788">
      <c r="A788" t="s" s="10">
        <v>6955</v>
      </c>
      <c r="B788" t="s" s="10">
        <v>6956</v>
      </c>
      <c r="C788" t="s" s="10">
        <v>34</v>
      </c>
      <c r="D788" t="s" s="10">
        <v>6957</v>
      </c>
      <c r="E788" t="s" s="10">
        <v>3715</v>
      </c>
      <c r="F788" t="s" s="10">
        <v>6958</v>
      </c>
      <c r="G788" t="s" s="10">
        <v>6959</v>
      </c>
      <c r="H788" s="16">
        <f>HYPERLINK("http://www.rubiconholding.com", "www.rubiconholding.com")</f>
      </c>
      <c r="I788" t="s" s="10">
        <v>57</v>
      </c>
      <c r="J788" t="s" s="24">
        <v>34</v>
      </c>
      <c r="K788" s="24">
        <v>1</v>
      </c>
      <c r="L788" s="24">
        <v>1</v>
      </c>
      <c r="M788" t="s" s="12">
        <v>34</v>
      </c>
      <c r="N788" t="s" s="10">
        <v>34</v>
      </c>
      <c r="O788" t="s" s="10">
        <v>34</v>
      </c>
      <c r="P788" t="s" s="10">
        <v>34</v>
      </c>
      <c r="Q788" t="s" s="10">
        <v>34</v>
      </c>
      <c r="R788" t="s" s="10">
        <v>34</v>
      </c>
      <c r="S788" t="s" s="10">
        <v>34</v>
      </c>
      <c r="T788" t="s" s="12">
        <v>34</v>
      </c>
      <c r="U788" t="s" s="10">
        <v>34</v>
      </c>
      <c r="V788" t="s" s="12">
        <v>34</v>
      </c>
      <c r="W788" t="s" s="10">
        <v>6961</v>
      </c>
      <c r="X788" s="16">
        <f>HYPERLINK("https://my.pitchbook.com?p=53653-24P", "View People Online")</f>
      </c>
    </row>
    <row r="789">
      <c r="A789" t="s" s="11">
        <v>6962</v>
      </c>
      <c r="B789" t="s" s="11">
        <v>6963</v>
      </c>
      <c r="C789" t="s" s="11">
        <v>34</v>
      </c>
      <c r="D789" t="s" s="11">
        <v>3802</v>
      </c>
      <c r="E789" t="s" s="11">
        <v>3715</v>
      </c>
      <c r="F789" t="s" s="11">
        <v>6964</v>
      </c>
      <c r="G789" t="s" s="11">
        <v>6965</v>
      </c>
      <c r="H789" s="17">
        <f>HYPERLINK("http://www.qatarluxurygroup.com", "www.qatarluxurygroup.com")</f>
      </c>
      <c r="I789" t="s" s="11">
        <v>649</v>
      </c>
      <c r="J789" t="s" s="25">
        <v>34</v>
      </c>
      <c r="K789" t="s" s="25">
        <v>34</v>
      </c>
      <c r="L789" t="s" s="25">
        <v>34</v>
      </c>
      <c r="M789" t="s" s="13">
        <v>34</v>
      </c>
      <c r="N789" t="s" s="11">
        <v>34</v>
      </c>
      <c r="O789" t="s" s="11">
        <v>34</v>
      </c>
      <c r="P789" t="s" s="11">
        <v>34</v>
      </c>
      <c r="Q789" t="s" s="11">
        <v>34</v>
      </c>
      <c r="R789" t="s" s="11">
        <v>34</v>
      </c>
      <c r="S789" t="s" s="11">
        <v>34</v>
      </c>
      <c r="T789" t="s" s="13">
        <v>34</v>
      </c>
      <c r="U789" t="s" s="11">
        <v>34</v>
      </c>
      <c r="V789" t="s" s="13">
        <v>34</v>
      </c>
      <c r="W789" t="s" s="11">
        <v>6966</v>
      </c>
      <c r="X789" s="17">
        <f>HYPERLINK("https://my.pitchbook.com?p=63432-28P", "View People Online")</f>
      </c>
    </row>
    <row r="790">
      <c r="A790" t="s" s="10">
        <v>6967</v>
      </c>
      <c r="B790" t="s" s="10">
        <v>6968</v>
      </c>
      <c r="C790" t="s" s="10">
        <v>34</v>
      </c>
      <c r="D790" t="s" s="10">
        <v>3802</v>
      </c>
      <c r="E790" t="s" s="10">
        <v>3715</v>
      </c>
      <c r="F790" t="s" s="10">
        <v>1416</v>
      </c>
      <c r="G790" t="s" s="10">
        <v>6969</v>
      </c>
      <c r="H790" s="16">
        <f>HYPERLINK("http://www.qatarluxurygroup.com", "www.qatarluxurygroup.com")</f>
      </c>
      <c r="I790" t="s" s="10">
        <v>649</v>
      </c>
      <c r="J790" t="s" s="24">
        <v>34</v>
      </c>
      <c r="K790" t="s" s="24">
        <v>34</v>
      </c>
      <c r="L790" t="s" s="24">
        <v>34</v>
      </c>
      <c r="M790" t="s" s="12">
        <v>34</v>
      </c>
      <c r="N790" t="s" s="10">
        <v>34</v>
      </c>
      <c r="O790" t="s" s="10">
        <v>34</v>
      </c>
      <c r="P790" t="s" s="10">
        <v>34</v>
      </c>
      <c r="Q790" t="s" s="10">
        <v>34</v>
      </c>
      <c r="R790" t="s" s="10">
        <v>34</v>
      </c>
      <c r="S790" t="s" s="10">
        <v>34</v>
      </c>
      <c r="T790" t="s" s="12">
        <v>34</v>
      </c>
      <c r="U790" t="s" s="10">
        <v>34</v>
      </c>
      <c r="V790" t="s" s="12">
        <v>34</v>
      </c>
      <c r="W790" t="s" s="10">
        <v>6970</v>
      </c>
      <c r="X790" s="16">
        <f>HYPERLINK("https://my.pitchbook.com?p=63432-64P", "View People Online")</f>
      </c>
    </row>
    <row r="791">
      <c r="A791" t="s" s="11">
        <v>6971</v>
      </c>
      <c r="B791" t="s" s="11">
        <v>308</v>
      </c>
      <c r="C791" t="s" s="11">
        <v>34</v>
      </c>
      <c r="D791" t="s" s="11">
        <v>6972</v>
      </c>
      <c r="E791" t="s" s="11">
        <v>3715</v>
      </c>
      <c r="F791" t="s" s="11">
        <v>310</v>
      </c>
      <c r="G791" t="s" s="11">
        <v>311</v>
      </c>
      <c r="H791" s="17">
        <f>HYPERLINK("http://www.bridesandweddings.com", "www.bridesandweddings.com")</f>
      </c>
      <c r="I791" t="s" s="11">
        <v>313</v>
      </c>
      <c r="J791" t="s" s="25">
        <v>34</v>
      </c>
      <c r="K791" s="25">
        <v>1</v>
      </c>
      <c r="L791" t="s" s="25">
        <v>34</v>
      </c>
      <c r="M791" t="s" s="13">
        <v>6974</v>
      </c>
      <c r="N791" t="s" s="11">
        <v>6975</v>
      </c>
      <c r="O791" t="s" s="11">
        <v>6976</v>
      </c>
      <c r="P791" t="s" s="11">
        <v>6977</v>
      </c>
      <c r="Q791" t="s" s="11">
        <v>6978</v>
      </c>
      <c r="R791" t="s" s="11">
        <v>6979</v>
      </c>
      <c r="S791" t="s" s="11">
        <v>2078</v>
      </c>
      <c r="T791" t="s" s="13">
        <v>4308</v>
      </c>
      <c r="U791" t="s" s="11">
        <v>88</v>
      </c>
      <c r="V791" t="s" s="13">
        <v>6980</v>
      </c>
      <c r="W791" t="s" s="11">
        <v>6981</v>
      </c>
      <c r="X791" s="17">
        <f>HYPERLINK("https://my.pitchbook.com?p=446087-98P", "View People Online")</f>
      </c>
    </row>
    <row r="792">
      <c r="A792" t="s" s="10">
        <v>6982</v>
      </c>
      <c r="B792" t="s" s="10">
        <v>6983</v>
      </c>
      <c r="C792" t="s" s="10">
        <v>34</v>
      </c>
      <c r="D792" t="s" s="10">
        <v>6984</v>
      </c>
      <c r="E792" t="s" s="10">
        <v>3715</v>
      </c>
      <c r="F792" t="s" s="10">
        <v>6985</v>
      </c>
      <c r="G792" t="s" s="10">
        <v>6986</v>
      </c>
      <c r="H792" s="16">
        <f>HYPERLINK("http://www.fundexequipment.com", "www.fundexequipment.com")</f>
      </c>
      <c r="I792" t="s" s="10">
        <v>255</v>
      </c>
      <c r="J792" t="s" s="24">
        <v>34</v>
      </c>
      <c r="K792" s="24">
        <v>1</v>
      </c>
      <c r="L792" t="s" s="24">
        <v>34</v>
      </c>
      <c r="M792" t="s" s="12">
        <v>6988</v>
      </c>
      <c r="N792" t="s" s="10">
        <v>6989</v>
      </c>
      <c r="O792" t="s" s="10">
        <v>6990</v>
      </c>
      <c r="P792" t="s" s="10">
        <v>6991</v>
      </c>
      <c r="Q792" t="s" s="10">
        <v>6992</v>
      </c>
      <c r="R792" t="s" s="10">
        <v>6993</v>
      </c>
      <c r="S792" t="s" s="10">
        <v>34</v>
      </c>
      <c r="T792" t="s" s="12">
        <v>6994</v>
      </c>
      <c r="U792" t="s" s="10">
        <v>103</v>
      </c>
      <c r="V792" t="s" s="12">
        <v>34</v>
      </c>
      <c r="W792" t="s" s="10">
        <v>6995</v>
      </c>
      <c r="X792" s="16">
        <f>HYPERLINK("https://my.pitchbook.com?p=250308-82P", "View People Online")</f>
      </c>
    </row>
    <row r="793">
      <c r="A793" t="s" s="11">
        <v>6996</v>
      </c>
      <c r="B793" t="s" s="11">
        <v>6997</v>
      </c>
      <c r="C793" t="s" s="11">
        <v>34</v>
      </c>
      <c r="D793" t="s" s="11">
        <v>6998</v>
      </c>
      <c r="E793" t="s" s="11">
        <v>3715</v>
      </c>
      <c r="F793" t="s" s="11">
        <v>6999</v>
      </c>
      <c r="G793" t="s" s="11">
        <v>7000</v>
      </c>
      <c r="H793" s="17">
        <f>HYPERLINK("http://www.oma.com", "www.oma.com")</f>
      </c>
      <c r="I793" t="s" s="11">
        <v>7002</v>
      </c>
      <c r="J793" t="s" s="25">
        <v>34</v>
      </c>
      <c r="K793" s="25">
        <v>1</v>
      </c>
      <c r="L793" t="s" s="25">
        <v>34</v>
      </c>
      <c r="M793" t="s" s="13">
        <v>7003</v>
      </c>
      <c r="N793" t="s" s="11">
        <v>34</v>
      </c>
      <c r="O793" t="s" s="11">
        <v>6761</v>
      </c>
      <c r="P793" t="s" s="11">
        <v>7004</v>
      </c>
      <c r="Q793" t="s" s="11">
        <v>34</v>
      </c>
      <c r="R793" t="s" s="11">
        <v>6763</v>
      </c>
      <c r="S793" t="s" s="11">
        <v>34</v>
      </c>
      <c r="T793" t="s" s="13">
        <v>7005</v>
      </c>
      <c r="U793" t="s" s="11">
        <v>103</v>
      </c>
      <c r="V793" t="s" s="13">
        <v>7006</v>
      </c>
      <c r="W793" t="s" s="11">
        <v>7007</v>
      </c>
      <c r="X793" s="17">
        <f>HYPERLINK("https://my.pitchbook.com?p=402782-41P", "View People Online")</f>
      </c>
    </row>
    <row r="794">
      <c r="A794" t="s" s="10">
        <v>7008</v>
      </c>
      <c r="B794" t="s" s="10">
        <v>7009</v>
      </c>
      <c r="C794" t="s" s="10">
        <v>34</v>
      </c>
      <c r="D794" t="s" s="10">
        <v>7010</v>
      </c>
      <c r="E794" t="s" s="10">
        <v>3715</v>
      </c>
      <c r="F794" t="s" s="10">
        <v>7011</v>
      </c>
      <c r="G794" t="s" s="10">
        <v>7012</v>
      </c>
      <c r="H794" s="16">
        <f>HYPERLINK("http://www.northwindgrp.com", "www.northwindgrp.com")</f>
      </c>
      <c r="I794" t="s" s="10">
        <v>5795</v>
      </c>
      <c r="J794" t="s" s="24">
        <v>34</v>
      </c>
      <c r="K794" s="24">
        <v>2</v>
      </c>
      <c r="L794" t="s" s="24">
        <v>34</v>
      </c>
      <c r="M794" t="s" s="12">
        <v>7014</v>
      </c>
      <c r="N794" t="s" s="10">
        <v>34</v>
      </c>
      <c r="O794" t="s" s="10">
        <v>5392</v>
      </c>
      <c r="P794" t="s" s="10">
        <v>7015</v>
      </c>
      <c r="Q794" t="s" s="10">
        <v>34</v>
      </c>
      <c r="R794" t="s" s="10">
        <v>5394</v>
      </c>
      <c r="S794" t="s" s="10">
        <v>5395</v>
      </c>
      <c r="T794" t="s" s="12">
        <v>7016</v>
      </c>
      <c r="U794" t="s" s="10">
        <v>88</v>
      </c>
      <c r="V794" t="s" s="12">
        <v>7017</v>
      </c>
      <c r="W794" t="s" s="10">
        <v>7018</v>
      </c>
      <c r="X794" s="16">
        <f>HYPERLINK("https://my.pitchbook.com?p=87565-15P", "View People Online")</f>
      </c>
    </row>
    <row r="795">
      <c r="A795" t="s" s="11">
        <v>7019</v>
      </c>
      <c r="B795" t="s" s="11">
        <v>7020</v>
      </c>
      <c r="C795" t="s" s="11">
        <v>34</v>
      </c>
      <c r="D795" t="s" s="11">
        <v>7021</v>
      </c>
      <c r="E795" t="s" s="11">
        <v>3715</v>
      </c>
      <c r="F795" t="s" s="11">
        <v>7022</v>
      </c>
      <c r="G795" t="s" s="11">
        <v>2867</v>
      </c>
      <c r="H795" s="17">
        <f>HYPERLINK("http://www.rotman.utoronto.ca", "www.rotman.utoronto.ca")</f>
      </c>
      <c r="I795" t="s" s="11">
        <v>7024</v>
      </c>
      <c r="J795" t="s" s="25">
        <v>34</v>
      </c>
      <c r="K795" s="25">
        <v>2</v>
      </c>
      <c r="L795" t="s" s="25">
        <v>34</v>
      </c>
      <c r="M795" t="s" s="13">
        <v>7025</v>
      </c>
      <c r="N795" t="s" s="11">
        <v>34</v>
      </c>
      <c r="O795" t="s" s="11">
        <v>2662</v>
      </c>
      <c r="P795" t="s" s="11">
        <v>7026</v>
      </c>
      <c r="Q795" t="s" s="11">
        <v>34</v>
      </c>
      <c r="R795" t="s" s="11">
        <v>2665</v>
      </c>
      <c r="S795" t="s" s="11">
        <v>2138</v>
      </c>
      <c r="T795" t="s" s="13">
        <v>7027</v>
      </c>
      <c r="U795" t="s" s="11">
        <v>1613</v>
      </c>
      <c r="V795" t="s" s="13">
        <v>7028</v>
      </c>
      <c r="W795" t="s" s="11">
        <v>7029</v>
      </c>
      <c r="X795" s="17">
        <f>HYPERLINK("https://my.pitchbook.com?p=148176-28P", "View People Online")</f>
      </c>
    </row>
    <row r="796">
      <c r="A796" t="s" s="10">
        <v>7030</v>
      </c>
      <c r="B796" t="s" s="10">
        <v>7031</v>
      </c>
      <c r="C796" t="s" s="10">
        <v>34</v>
      </c>
      <c r="D796" t="s" s="10">
        <v>7032</v>
      </c>
      <c r="E796" t="s" s="10">
        <v>3715</v>
      </c>
      <c r="F796" t="s" s="10">
        <v>7033</v>
      </c>
      <c r="G796" t="s" s="10">
        <v>2867</v>
      </c>
      <c r="H796" s="16">
        <f>HYPERLINK("http://indianhealthcenter.org", "indianhealthcenter.org")</f>
      </c>
      <c r="I796" t="s" s="10">
        <v>234</v>
      </c>
      <c r="J796" t="s" s="24">
        <v>34</v>
      </c>
      <c r="K796" t="s" s="24">
        <v>34</v>
      </c>
      <c r="L796" t="s" s="24">
        <v>34</v>
      </c>
      <c r="M796" t="s" s="12">
        <v>34</v>
      </c>
      <c r="N796" t="s" s="10">
        <v>34</v>
      </c>
      <c r="O796" t="s" s="10">
        <v>34</v>
      </c>
      <c r="P796" t="s" s="10">
        <v>34</v>
      </c>
      <c r="Q796" t="s" s="10">
        <v>34</v>
      </c>
      <c r="R796" t="s" s="10">
        <v>34</v>
      </c>
      <c r="S796" t="s" s="10">
        <v>34</v>
      </c>
      <c r="T796" t="s" s="12">
        <v>34</v>
      </c>
      <c r="U796" t="s" s="10">
        <v>34</v>
      </c>
      <c r="V796" t="s" s="12">
        <v>34</v>
      </c>
      <c r="W796" t="s" s="10">
        <v>7034</v>
      </c>
      <c r="X796" s="16">
        <f>HYPERLINK("https://my.pitchbook.com?p=358739-92P", "View People Online")</f>
      </c>
    </row>
    <row r="797">
      <c r="A797" t="s" s="11">
        <v>7035</v>
      </c>
      <c r="B797" t="s" s="11">
        <v>7036</v>
      </c>
      <c r="C797" t="s" s="11">
        <v>34</v>
      </c>
      <c r="D797" t="s" s="11">
        <v>7037</v>
      </c>
      <c r="E797" t="s" s="11">
        <v>3715</v>
      </c>
      <c r="F797" t="s" s="11">
        <v>7038</v>
      </c>
      <c r="G797" t="s" s="11">
        <v>2867</v>
      </c>
      <c r="H797" s="17">
        <f>HYPERLINK("http://www.lvhn.org", "www.lvhn.org")</f>
      </c>
      <c r="I797" t="s" s="11">
        <v>7040</v>
      </c>
      <c r="J797" t="s" s="25">
        <v>34</v>
      </c>
      <c r="K797" s="25">
        <v>2</v>
      </c>
      <c r="L797" s="25">
        <v>2</v>
      </c>
      <c r="M797" t="s" s="13">
        <v>34</v>
      </c>
      <c r="N797" t="s" s="11">
        <v>7041</v>
      </c>
      <c r="O797" t="s" s="11">
        <v>7042</v>
      </c>
      <c r="P797" t="s" s="11">
        <v>7043</v>
      </c>
      <c r="Q797" t="s" s="11">
        <v>34</v>
      </c>
      <c r="R797" t="s" s="11">
        <v>7044</v>
      </c>
      <c r="S797" t="s" s="11">
        <v>1303</v>
      </c>
      <c r="T797" t="s" s="13">
        <v>7045</v>
      </c>
      <c r="U797" t="s" s="11">
        <v>88</v>
      </c>
      <c r="V797" t="s" s="13">
        <v>34</v>
      </c>
      <c r="W797" t="s" s="11">
        <v>7046</v>
      </c>
      <c r="X797" s="17">
        <f>HYPERLINK("https://my.pitchbook.com?p=100414-63P", "View People Online")</f>
      </c>
    </row>
    <row r="798">
      <c r="A798" t="s" s="10">
        <v>7047</v>
      </c>
      <c r="B798" t="s" s="10">
        <v>7048</v>
      </c>
      <c r="C798" t="s" s="10">
        <v>34</v>
      </c>
      <c r="D798" t="s" s="10">
        <v>6097</v>
      </c>
      <c r="E798" t="s" s="10">
        <v>3715</v>
      </c>
      <c r="F798" t="s" s="10">
        <v>7049</v>
      </c>
      <c r="G798" t="s" s="10">
        <v>2867</v>
      </c>
      <c r="H798" s="16">
        <f>HYPERLINK("http://www.snicompanies.com", "www.snicompanies.com")</f>
      </c>
      <c r="I798" t="s" s="10">
        <v>6100</v>
      </c>
      <c r="J798" t="s" s="24">
        <v>34</v>
      </c>
      <c r="K798" t="s" s="24">
        <v>34</v>
      </c>
      <c r="L798" t="s" s="24">
        <v>34</v>
      </c>
      <c r="M798" t="s" s="12">
        <v>34</v>
      </c>
      <c r="N798" t="s" s="10">
        <v>34</v>
      </c>
      <c r="O798" t="s" s="10">
        <v>34</v>
      </c>
      <c r="P798" t="s" s="10">
        <v>34</v>
      </c>
      <c r="Q798" t="s" s="10">
        <v>34</v>
      </c>
      <c r="R798" t="s" s="10">
        <v>34</v>
      </c>
      <c r="S798" t="s" s="10">
        <v>34</v>
      </c>
      <c r="T798" t="s" s="12">
        <v>34</v>
      </c>
      <c r="U798" t="s" s="10">
        <v>34</v>
      </c>
      <c r="V798" t="s" s="12">
        <v>34</v>
      </c>
      <c r="W798" t="s" s="10">
        <v>7050</v>
      </c>
      <c r="X798" s="16">
        <f>HYPERLINK("https://my.pitchbook.com?p=73339-12P", "View People Online")</f>
      </c>
    </row>
    <row r="799">
      <c r="A799" t="s" s="11">
        <v>7051</v>
      </c>
      <c r="B799" t="s" s="11">
        <v>7052</v>
      </c>
      <c r="C799" t="s" s="11">
        <v>34</v>
      </c>
      <c r="D799" t="s" s="11">
        <v>3924</v>
      </c>
      <c r="E799" t="s" s="11">
        <v>3715</v>
      </c>
      <c r="F799" t="s" s="11">
        <v>7053</v>
      </c>
      <c r="G799" t="s" s="11">
        <v>7054</v>
      </c>
      <c r="H799" s="17">
        <f>HYPERLINK("http://www.g42.ai", "www.g42.ai")</f>
      </c>
      <c r="I799" t="s" s="11">
        <v>7055</v>
      </c>
      <c r="J799" t="s" s="25">
        <v>34</v>
      </c>
      <c r="K799" s="25">
        <v>1</v>
      </c>
      <c r="L799" t="s" s="25">
        <v>34</v>
      </c>
      <c r="M799" t="s" s="13">
        <v>34</v>
      </c>
      <c r="N799" t="s" s="11">
        <v>7056</v>
      </c>
      <c r="O799" t="s" s="11">
        <v>385</v>
      </c>
      <c r="P799" t="s" s="11">
        <v>3930</v>
      </c>
      <c r="Q799" t="s" s="11">
        <v>3931</v>
      </c>
      <c r="R799" t="s" s="11">
        <v>388</v>
      </c>
      <c r="S799" t="s" s="11">
        <v>34</v>
      </c>
      <c r="T799" t="s" s="13">
        <v>34</v>
      </c>
      <c r="U799" t="s" s="11">
        <v>240</v>
      </c>
      <c r="V799" t="s" s="13">
        <v>34</v>
      </c>
      <c r="W799" t="s" s="11">
        <v>7057</v>
      </c>
      <c r="X799" s="17">
        <f>HYPERLINK("https://my.pitchbook.com?p=419109-67P", "View People Online")</f>
      </c>
    </row>
    <row r="800">
      <c r="A800" t="s" s="10">
        <v>7058</v>
      </c>
      <c r="B800" t="s" s="10">
        <v>7059</v>
      </c>
      <c r="C800" t="s" s="10">
        <v>34</v>
      </c>
      <c r="D800" t="s" s="10">
        <v>5131</v>
      </c>
      <c r="E800" t="s" s="10">
        <v>3715</v>
      </c>
      <c r="F800" t="s" s="10">
        <v>7060</v>
      </c>
      <c r="G800" t="s" s="10">
        <v>7061</v>
      </c>
      <c r="H800" s="16">
        <f>HYPERLINK("http://www.dramarepublic.com", "www.dramarepublic.com")</f>
      </c>
      <c r="I800" t="s" s="10">
        <v>7062</v>
      </c>
      <c r="J800" t="s" s="24">
        <v>34</v>
      </c>
      <c r="K800" s="24">
        <v>1</v>
      </c>
      <c r="L800" t="s" s="24">
        <v>34</v>
      </c>
      <c r="M800" t="s" s="12">
        <v>5135</v>
      </c>
      <c r="N800" t="s" s="10">
        <v>7063</v>
      </c>
      <c r="O800" t="s" s="10">
        <v>43</v>
      </c>
      <c r="P800" t="s" s="10">
        <v>1847</v>
      </c>
      <c r="Q800" t="s" s="10">
        <v>5137</v>
      </c>
      <c r="R800" t="s" s="10">
        <v>46</v>
      </c>
      <c r="S800" t="s" s="10">
        <v>47</v>
      </c>
      <c r="T800" t="s" s="12">
        <v>5138</v>
      </c>
      <c r="U800" t="s" s="10">
        <v>49</v>
      </c>
      <c r="V800" t="s" s="12">
        <v>34</v>
      </c>
      <c r="W800" t="s" s="10">
        <v>7064</v>
      </c>
      <c r="X800" s="16">
        <f>HYPERLINK("https://my.pitchbook.com?p=268408-18P", "View People Online")</f>
      </c>
    </row>
    <row r="801">
      <c r="A801" t="s" s="11">
        <v>7065</v>
      </c>
      <c r="B801" t="s" s="11">
        <v>7066</v>
      </c>
      <c r="C801" t="s" s="11">
        <v>34</v>
      </c>
      <c r="D801" t="s" s="11">
        <v>7067</v>
      </c>
      <c r="E801" t="s" s="11">
        <v>3715</v>
      </c>
      <c r="F801" t="s" s="11">
        <v>7068</v>
      </c>
      <c r="G801" t="s" s="11">
        <v>7069</v>
      </c>
      <c r="H801" s="17">
        <f>HYPERLINK("http://www.osbit.com", "www.osbit.com")</f>
      </c>
      <c r="I801" t="s" s="11">
        <v>7071</v>
      </c>
      <c r="J801" t="s" s="25">
        <v>34</v>
      </c>
      <c r="K801" s="25">
        <v>1</v>
      </c>
      <c r="L801" t="s" s="25">
        <v>34</v>
      </c>
      <c r="M801" t="s" s="13">
        <v>7072</v>
      </c>
      <c r="N801" t="s" s="11">
        <v>7073</v>
      </c>
      <c r="O801" t="s" s="11">
        <v>7074</v>
      </c>
      <c r="P801" t="s" s="11">
        <v>7075</v>
      </c>
      <c r="Q801" t="s" s="11">
        <v>7076</v>
      </c>
      <c r="R801" t="s" s="11">
        <v>7077</v>
      </c>
      <c r="S801" t="s" s="11">
        <v>47</v>
      </c>
      <c r="T801" t="s" s="13">
        <v>7078</v>
      </c>
      <c r="U801" t="s" s="11">
        <v>49</v>
      </c>
      <c r="V801" t="s" s="13">
        <v>34</v>
      </c>
      <c r="W801" t="s" s="11">
        <v>7079</v>
      </c>
      <c r="X801" s="17">
        <f>HYPERLINK("https://my.pitchbook.com?p=397988-92P", "View People Online")</f>
      </c>
    </row>
    <row r="802">
      <c r="A802" t="s" s="10">
        <v>7080</v>
      </c>
      <c r="B802" t="s" s="10">
        <v>7081</v>
      </c>
      <c r="C802" t="s" s="10">
        <v>34</v>
      </c>
      <c r="D802" t="s" s="10">
        <v>7082</v>
      </c>
      <c r="E802" t="s" s="10">
        <v>3715</v>
      </c>
      <c r="F802" t="s" s="10">
        <v>7083</v>
      </c>
      <c r="G802" t="s" s="10">
        <v>7084</v>
      </c>
      <c r="H802" s="16">
        <f>HYPERLINK("http://www.titanoilrecovery.com", "www.titanoilrecovery.com")</f>
      </c>
      <c r="I802" t="s" s="10">
        <v>649</v>
      </c>
      <c r="J802" t="s" s="24">
        <v>34</v>
      </c>
      <c r="K802" t="s" s="24">
        <v>34</v>
      </c>
      <c r="L802" t="s" s="24">
        <v>34</v>
      </c>
      <c r="M802" t="s" s="12">
        <v>34</v>
      </c>
      <c r="N802" t="s" s="10">
        <v>34</v>
      </c>
      <c r="O802" t="s" s="10">
        <v>34</v>
      </c>
      <c r="P802" t="s" s="10">
        <v>34</v>
      </c>
      <c r="Q802" t="s" s="10">
        <v>34</v>
      </c>
      <c r="R802" t="s" s="10">
        <v>34</v>
      </c>
      <c r="S802" t="s" s="10">
        <v>34</v>
      </c>
      <c r="T802" t="s" s="12">
        <v>34</v>
      </c>
      <c r="U802" t="s" s="10">
        <v>34</v>
      </c>
      <c r="V802" t="s" s="12">
        <v>34</v>
      </c>
      <c r="W802" t="s" s="10">
        <v>7086</v>
      </c>
      <c r="X802" s="16">
        <f>HYPERLINK("https://my.pitchbook.com?p=83960-74P", "View People Online")</f>
      </c>
    </row>
    <row r="803">
      <c r="A803" t="s" s="11">
        <v>7087</v>
      </c>
      <c r="B803" t="s" s="11">
        <v>7088</v>
      </c>
      <c r="C803" t="s" s="11">
        <v>34</v>
      </c>
      <c r="D803" t="s" s="11">
        <v>7089</v>
      </c>
      <c r="E803" t="s" s="11">
        <v>3715</v>
      </c>
      <c r="F803" t="s" s="11">
        <v>7090</v>
      </c>
      <c r="G803" t="s" s="11">
        <v>7084</v>
      </c>
      <c r="H803" s="17">
        <f>HYPERLINK("http://www.req.co", "www.req.co")</f>
      </c>
      <c r="I803" t="s" s="11">
        <v>7092</v>
      </c>
      <c r="J803" s="25">
        <v>1</v>
      </c>
      <c r="K803" s="25">
        <v>2</v>
      </c>
      <c r="L803" t="s" s="25">
        <v>34</v>
      </c>
      <c r="M803" t="s" s="13">
        <v>7093</v>
      </c>
      <c r="N803" t="s" s="11">
        <v>7094</v>
      </c>
      <c r="O803" t="s" s="11">
        <v>84</v>
      </c>
      <c r="P803" t="s" s="11">
        <v>7095</v>
      </c>
      <c r="Q803" t="s" s="11">
        <v>7096</v>
      </c>
      <c r="R803" t="s" s="11">
        <v>86</v>
      </c>
      <c r="S803" t="s" s="11">
        <v>86</v>
      </c>
      <c r="T803" t="s" s="13">
        <v>87</v>
      </c>
      <c r="U803" t="s" s="11">
        <v>88</v>
      </c>
      <c r="V803" t="s" s="13">
        <v>34</v>
      </c>
      <c r="W803" t="s" s="11">
        <v>7097</v>
      </c>
      <c r="X803" s="17">
        <f>HYPERLINK("https://my.pitchbook.com?p=60236-02P", "View People Online")</f>
      </c>
    </row>
    <row r="804">
      <c r="A804" t="s" s="10">
        <v>7098</v>
      </c>
      <c r="B804" t="s" s="10">
        <v>7099</v>
      </c>
      <c r="C804" t="s" s="10">
        <v>34</v>
      </c>
      <c r="D804" t="s" s="10">
        <v>7100</v>
      </c>
      <c r="E804" t="s" s="10">
        <v>3715</v>
      </c>
      <c r="F804" t="s" s="10">
        <v>7101</v>
      </c>
      <c r="G804" t="s" s="10">
        <v>7084</v>
      </c>
      <c r="H804" s="16">
        <f>HYPERLINK("http://www.forestersfinancial.com", "www.forestersfinancial.com")</f>
      </c>
      <c r="I804" t="s" s="10">
        <v>2321</v>
      </c>
      <c r="J804" t="s" s="24">
        <v>34</v>
      </c>
      <c r="K804" t="s" s="24">
        <v>34</v>
      </c>
      <c r="L804" t="s" s="24">
        <v>34</v>
      </c>
      <c r="M804" t="s" s="12">
        <v>34</v>
      </c>
      <c r="N804" t="s" s="10">
        <v>34</v>
      </c>
      <c r="O804" t="s" s="10">
        <v>34</v>
      </c>
      <c r="P804" t="s" s="10">
        <v>34</v>
      </c>
      <c r="Q804" t="s" s="10">
        <v>34</v>
      </c>
      <c r="R804" t="s" s="10">
        <v>34</v>
      </c>
      <c r="S804" t="s" s="10">
        <v>34</v>
      </c>
      <c r="T804" t="s" s="12">
        <v>34</v>
      </c>
      <c r="U804" t="s" s="10">
        <v>34</v>
      </c>
      <c r="V804" t="s" s="12">
        <v>34</v>
      </c>
      <c r="W804" t="s" s="10">
        <v>7103</v>
      </c>
      <c r="X804" s="16">
        <f>HYPERLINK("https://my.pitchbook.com?p=166941-82P", "View People Online")</f>
      </c>
    </row>
    <row r="805">
      <c r="A805" t="s" s="11">
        <v>7104</v>
      </c>
      <c r="B805" t="s" s="11">
        <v>7105</v>
      </c>
      <c r="C805" t="s" s="11">
        <v>34</v>
      </c>
      <c r="D805" t="s" s="11">
        <v>7106</v>
      </c>
      <c r="E805" t="s" s="11">
        <v>3715</v>
      </c>
      <c r="F805" t="s" s="11">
        <v>7107</v>
      </c>
      <c r="G805" t="s" s="11">
        <v>7084</v>
      </c>
      <c r="H805" s="17">
        <f>HYPERLINK("http://www.bondmason.com", "www.bondmason.com")</f>
      </c>
      <c r="I805" t="s" s="11">
        <v>649</v>
      </c>
      <c r="J805" t="s" s="25">
        <v>34</v>
      </c>
      <c r="K805" t="s" s="25">
        <v>34</v>
      </c>
      <c r="L805" t="s" s="25">
        <v>34</v>
      </c>
      <c r="M805" t="s" s="13">
        <v>34</v>
      </c>
      <c r="N805" t="s" s="11">
        <v>34</v>
      </c>
      <c r="O805" t="s" s="11">
        <v>34</v>
      </c>
      <c r="P805" t="s" s="11">
        <v>34</v>
      </c>
      <c r="Q805" t="s" s="11">
        <v>34</v>
      </c>
      <c r="R805" t="s" s="11">
        <v>34</v>
      </c>
      <c r="S805" t="s" s="11">
        <v>34</v>
      </c>
      <c r="T805" t="s" s="13">
        <v>34</v>
      </c>
      <c r="U805" t="s" s="11">
        <v>34</v>
      </c>
      <c r="V805" t="s" s="13">
        <v>34</v>
      </c>
      <c r="W805" t="s" s="11">
        <v>7109</v>
      </c>
      <c r="X805" s="17">
        <f>HYPERLINK("https://my.pitchbook.com?p=149451-67P", "View People Online")</f>
      </c>
    </row>
    <row r="806">
      <c r="A806" t="s" s="10">
        <v>7110</v>
      </c>
      <c r="B806" t="s" s="10">
        <v>7111</v>
      </c>
      <c r="C806" t="s" s="10">
        <v>34</v>
      </c>
      <c r="D806" t="s" s="10">
        <v>4312</v>
      </c>
      <c r="E806" t="s" s="10">
        <v>3715</v>
      </c>
      <c r="F806" t="s" s="10">
        <v>7112</v>
      </c>
      <c r="G806" t="s" s="10">
        <v>7084</v>
      </c>
      <c r="H806" s="16">
        <f>HYPERLINK("http://www.albiorex.com", "www.albiorex.com")</f>
      </c>
      <c r="I806" t="s" s="10">
        <v>34</v>
      </c>
      <c r="J806" t="s" s="24">
        <v>34</v>
      </c>
      <c r="K806" t="s" s="24">
        <v>34</v>
      </c>
      <c r="L806" t="s" s="24">
        <v>34</v>
      </c>
      <c r="M806" t="s" s="12">
        <v>34</v>
      </c>
      <c r="N806" t="s" s="10">
        <v>34</v>
      </c>
      <c r="O806" t="s" s="10">
        <v>34</v>
      </c>
      <c r="P806" t="s" s="10">
        <v>34</v>
      </c>
      <c r="Q806" t="s" s="10">
        <v>34</v>
      </c>
      <c r="R806" t="s" s="10">
        <v>34</v>
      </c>
      <c r="S806" t="s" s="10">
        <v>34</v>
      </c>
      <c r="T806" t="s" s="12">
        <v>34</v>
      </c>
      <c r="U806" t="s" s="10">
        <v>34</v>
      </c>
      <c r="V806" t="s" s="12">
        <v>34</v>
      </c>
      <c r="W806" t="s" s="10">
        <v>7113</v>
      </c>
      <c r="X806" s="16">
        <f>HYPERLINK("https://my.pitchbook.com?p=112888-72P", "View People Online")</f>
      </c>
    </row>
    <row r="807">
      <c r="A807" t="s" s="11">
        <v>7114</v>
      </c>
      <c r="B807" t="s" s="11">
        <v>7115</v>
      </c>
      <c r="C807" t="s" s="11">
        <v>34</v>
      </c>
      <c r="D807" t="s" s="11">
        <v>3725</v>
      </c>
      <c r="E807" t="s" s="11">
        <v>3715</v>
      </c>
      <c r="F807" t="s" s="11">
        <v>7116</v>
      </c>
      <c r="G807" t="s" s="11">
        <v>7117</v>
      </c>
      <c r="H807" s="17">
        <f>HYPERLINK("http://www.royalihc.com", "www.royalihc.com")</f>
      </c>
      <c r="I807" t="s" s="11">
        <v>7118</v>
      </c>
      <c r="J807" t="s" s="25">
        <v>34</v>
      </c>
      <c r="K807" t="s" s="25">
        <v>34</v>
      </c>
      <c r="L807" t="s" s="25">
        <v>34</v>
      </c>
      <c r="M807" t="s" s="13">
        <v>34</v>
      </c>
      <c r="N807" t="s" s="11">
        <v>34</v>
      </c>
      <c r="O807" t="s" s="11">
        <v>34</v>
      </c>
      <c r="P807" t="s" s="11">
        <v>34</v>
      </c>
      <c r="Q807" t="s" s="11">
        <v>34</v>
      </c>
      <c r="R807" t="s" s="11">
        <v>34</v>
      </c>
      <c r="S807" t="s" s="11">
        <v>34</v>
      </c>
      <c r="T807" t="s" s="13">
        <v>34</v>
      </c>
      <c r="U807" t="s" s="11">
        <v>34</v>
      </c>
      <c r="V807" t="s" s="13">
        <v>34</v>
      </c>
      <c r="W807" t="s" s="11">
        <v>7119</v>
      </c>
      <c r="X807" s="17">
        <f>HYPERLINK("https://my.pitchbook.com?p=144294-94P", "View People Online")</f>
      </c>
    </row>
    <row r="808">
      <c r="A808" t="s" s="10">
        <v>7120</v>
      </c>
      <c r="B808" t="s" s="10">
        <v>7121</v>
      </c>
      <c r="C808" t="s" s="10">
        <v>34</v>
      </c>
      <c r="D808" t="s" s="10">
        <v>4282</v>
      </c>
      <c r="E808" t="s" s="10">
        <v>3715</v>
      </c>
      <c r="F808" t="s" s="10">
        <v>7122</v>
      </c>
      <c r="G808" t="s" s="10">
        <v>7123</v>
      </c>
      <c r="H808" s="16">
        <f>HYPERLINK("http://www.royalihc.com", "www.royalihc.com")</f>
      </c>
      <c r="I808" t="s" s="10">
        <v>7124</v>
      </c>
      <c r="J808" t="s" s="24">
        <v>34</v>
      </c>
      <c r="K808" t="s" s="24">
        <v>34</v>
      </c>
      <c r="L808" t="s" s="24">
        <v>34</v>
      </c>
      <c r="M808" t="s" s="12">
        <v>4284</v>
      </c>
      <c r="N808" t="s" s="10">
        <v>7125</v>
      </c>
      <c r="O808" t="s" s="10">
        <v>4286</v>
      </c>
      <c r="P808" t="s" s="10">
        <v>4287</v>
      </c>
      <c r="Q808" t="s" s="10">
        <v>34</v>
      </c>
      <c r="R808" t="s" s="10">
        <v>4288</v>
      </c>
      <c r="S808" t="s" s="10">
        <v>34</v>
      </c>
      <c r="T808" t="s" s="12">
        <v>4289</v>
      </c>
      <c r="U808" t="s" s="10">
        <v>103</v>
      </c>
      <c r="V808" t="s" s="12">
        <v>34</v>
      </c>
      <c r="W808" t="s" s="10">
        <v>7126</v>
      </c>
      <c r="X808" s="16">
        <f>HYPERLINK("https://my.pitchbook.com?p=142647-67P", "View People Online")</f>
      </c>
    </row>
    <row r="809">
      <c r="A809" t="s" s="11">
        <v>7127</v>
      </c>
      <c r="B809" t="s" s="11">
        <v>7128</v>
      </c>
      <c r="C809" t="s" s="11">
        <v>34</v>
      </c>
      <c r="D809" t="s" s="11">
        <v>7129</v>
      </c>
      <c r="E809" t="s" s="11">
        <v>3715</v>
      </c>
      <c r="F809" t="s" s="11">
        <v>6060</v>
      </c>
      <c r="G809" t="s" s="11">
        <v>7130</v>
      </c>
      <c r="H809" s="17">
        <f>HYPERLINK("http://www.lgt.de", "www.lgt.de")</f>
      </c>
      <c r="I809" t="s" s="11">
        <v>322</v>
      </c>
      <c r="J809" t="s" s="25">
        <v>34</v>
      </c>
      <c r="K809" s="25">
        <v>2</v>
      </c>
      <c r="L809" s="25">
        <v>2</v>
      </c>
      <c r="M809" t="s" s="13">
        <v>34</v>
      </c>
      <c r="N809" t="s" s="11">
        <v>34</v>
      </c>
      <c r="O809" t="s" s="11">
        <v>34</v>
      </c>
      <c r="P809" t="s" s="11">
        <v>34</v>
      </c>
      <c r="Q809" t="s" s="11">
        <v>34</v>
      </c>
      <c r="R809" t="s" s="11">
        <v>34</v>
      </c>
      <c r="S809" t="s" s="11">
        <v>34</v>
      </c>
      <c r="T809" t="s" s="13">
        <v>34</v>
      </c>
      <c r="U809" t="s" s="11">
        <v>34</v>
      </c>
      <c r="V809" t="s" s="13">
        <v>34</v>
      </c>
      <c r="W809" t="s" s="11">
        <v>7132</v>
      </c>
      <c r="X809" s="17">
        <f>HYPERLINK("https://my.pitchbook.com?p=176826-43P", "View People Online")</f>
      </c>
    </row>
    <row r="810">
      <c r="A810" t="s" s="10">
        <v>7133</v>
      </c>
      <c r="B810" t="s" s="10">
        <v>7134</v>
      </c>
      <c r="C810" t="s" s="10">
        <v>34</v>
      </c>
      <c r="D810" t="s" s="10">
        <v>7129</v>
      </c>
      <c r="E810" t="s" s="10">
        <v>3715</v>
      </c>
      <c r="F810" t="s" s="10">
        <v>7135</v>
      </c>
      <c r="G810" t="s" s="10">
        <v>7130</v>
      </c>
      <c r="H810" s="16">
        <f>HYPERLINK("http://www.lgt.de", "www.lgt.de")</f>
      </c>
      <c r="I810" t="s" s="10">
        <v>322</v>
      </c>
      <c r="J810" t="s" s="24">
        <v>34</v>
      </c>
      <c r="K810" t="s" s="24">
        <v>34</v>
      </c>
      <c r="L810" t="s" s="24">
        <v>34</v>
      </c>
      <c r="M810" t="s" s="12">
        <v>34</v>
      </c>
      <c r="N810" t="s" s="10">
        <v>34</v>
      </c>
      <c r="O810" t="s" s="10">
        <v>34</v>
      </c>
      <c r="P810" t="s" s="10">
        <v>34</v>
      </c>
      <c r="Q810" t="s" s="10">
        <v>34</v>
      </c>
      <c r="R810" t="s" s="10">
        <v>34</v>
      </c>
      <c r="S810" t="s" s="10">
        <v>34</v>
      </c>
      <c r="T810" t="s" s="12">
        <v>34</v>
      </c>
      <c r="U810" t="s" s="10">
        <v>34</v>
      </c>
      <c r="V810" t="s" s="12">
        <v>34</v>
      </c>
      <c r="W810" t="s" s="10">
        <v>7136</v>
      </c>
      <c r="X810" s="16">
        <f>HYPERLINK("https://my.pitchbook.com?p=103017-70P", "View People Online")</f>
      </c>
    </row>
    <row r="811">
      <c r="A811" t="s" s="11">
        <v>7137</v>
      </c>
      <c r="B811" t="s" s="11">
        <v>7138</v>
      </c>
      <c r="C811" t="s" s="11">
        <v>34</v>
      </c>
      <c r="D811" t="s" s="11">
        <v>4854</v>
      </c>
      <c r="E811" t="s" s="11">
        <v>3715</v>
      </c>
      <c r="F811" t="s" s="11">
        <v>7139</v>
      </c>
      <c r="G811" t="s" s="11">
        <v>7140</v>
      </c>
      <c r="H811" s="17">
        <f>HYPERLINK("http://www.westlakeroyalbuildingproducts.com", "www.westlakeroyalbuildingproducts.com")</f>
      </c>
      <c r="I811" t="s" s="11">
        <v>7141</v>
      </c>
      <c r="J811" t="s" s="25">
        <v>34</v>
      </c>
      <c r="K811" t="s" s="25">
        <v>34</v>
      </c>
      <c r="L811" t="s" s="25">
        <v>34</v>
      </c>
      <c r="M811" t="s" s="13">
        <v>34</v>
      </c>
      <c r="N811" t="s" s="11">
        <v>34</v>
      </c>
      <c r="O811" t="s" s="11">
        <v>34</v>
      </c>
      <c r="P811" t="s" s="11">
        <v>34</v>
      </c>
      <c r="Q811" t="s" s="11">
        <v>34</v>
      </c>
      <c r="R811" t="s" s="11">
        <v>34</v>
      </c>
      <c r="S811" t="s" s="11">
        <v>34</v>
      </c>
      <c r="T811" t="s" s="13">
        <v>34</v>
      </c>
      <c r="U811" t="s" s="11">
        <v>34</v>
      </c>
      <c r="V811" t="s" s="13">
        <v>34</v>
      </c>
      <c r="W811" t="s" s="11">
        <v>7142</v>
      </c>
      <c r="X811" s="17">
        <f>HYPERLINK("https://my.pitchbook.com?p=49245-40P", "View People Online")</f>
      </c>
    </row>
    <row r="812">
      <c r="A812" t="s" s="10">
        <v>7143</v>
      </c>
      <c r="B812" t="s" s="10">
        <v>7144</v>
      </c>
      <c r="C812" t="s" s="10">
        <v>34</v>
      </c>
      <c r="D812" t="s" s="10">
        <v>6097</v>
      </c>
      <c r="E812" t="s" s="10">
        <v>3715</v>
      </c>
      <c r="F812" t="s" s="10">
        <v>4319</v>
      </c>
      <c r="G812" t="s" s="10">
        <v>165</v>
      </c>
      <c r="H812" s="16">
        <f>HYPERLINK("http://www.snicompanies.com", "www.snicompanies.com")</f>
      </c>
      <c r="I812" t="s" s="10">
        <v>7145</v>
      </c>
      <c r="J812" t="s" s="24">
        <v>34</v>
      </c>
      <c r="K812" s="24">
        <v>2</v>
      </c>
      <c r="L812" s="24">
        <v>2</v>
      </c>
      <c r="M812" t="s" s="12">
        <v>34</v>
      </c>
      <c r="N812" t="s" s="10">
        <v>34</v>
      </c>
      <c r="O812" t="s" s="10">
        <v>34</v>
      </c>
      <c r="P812" t="s" s="10">
        <v>34</v>
      </c>
      <c r="Q812" t="s" s="10">
        <v>34</v>
      </c>
      <c r="R812" t="s" s="10">
        <v>34</v>
      </c>
      <c r="S812" t="s" s="10">
        <v>34</v>
      </c>
      <c r="T812" t="s" s="12">
        <v>34</v>
      </c>
      <c r="U812" t="s" s="10">
        <v>34</v>
      </c>
      <c r="V812" t="s" s="12">
        <v>34</v>
      </c>
      <c r="W812" t="s" s="10">
        <v>7146</v>
      </c>
      <c r="X812" s="16">
        <f>HYPERLINK("https://my.pitchbook.com?p=12162-61P", "View People Online")</f>
      </c>
    </row>
    <row r="813">
      <c r="A813" t="s" s="11">
        <v>7147</v>
      </c>
      <c r="B813" t="s" s="11">
        <v>7148</v>
      </c>
      <c r="C813" t="s" s="11">
        <v>34</v>
      </c>
      <c r="D813" t="s" s="11">
        <v>3809</v>
      </c>
      <c r="E813" t="s" s="11">
        <v>3715</v>
      </c>
      <c r="F813" t="s" s="11">
        <v>7149</v>
      </c>
      <c r="G813" t="s" s="11">
        <v>7150</v>
      </c>
      <c r="H813" s="17">
        <f>HYPERLINK("http://www.arada.com", "www.arada.com")</f>
      </c>
      <c r="I813" t="s" s="11">
        <v>7151</v>
      </c>
      <c r="J813" t="s" s="25">
        <v>34</v>
      </c>
      <c r="K813" s="25">
        <v>1</v>
      </c>
      <c r="L813" t="s" s="25">
        <v>34</v>
      </c>
      <c r="M813" t="s" s="13">
        <v>3812</v>
      </c>
      <c r="N813" t="s" s="11">
        <v>7152</v>
      </c>
      <c r="O813" t="s" s="11">
        <v>236</v>
      </c>
      <c r="P813" t="s" s="11">
        <v>3813</v>
      </c>
      <c r="Q813" t="s" s="11">
        <v>3814</v>
      </c>
      <c r="R813" t="s" s="11">
        <v>239</v>
      </c>
      <c r="S813" t="s" s="11">
        <v>34</v>
      </c>
      <c r="T813" t="s" s="13">
        <v>34</v>
      </c>
      <c r="U813" t="s" s="11">
        <v>240</v>
      </c>
      <c r="V813" t="s" s="13">
        <v>34</v>
      </c>
      <c r="W813" t="s" s="11">
        <v>7153</v>
      </c>
      <c r="X813" s="17">
        <f>HYPERLINK("https://my.pitchbook.com?p=392325-94P", "View People Online")</f>
      </c>
    </row>
    <row r="814">
      <c r="A814" t="s" s="10">
        <v>7154</v>
      </c>
      <c r="B814" t="s" s="10">
        <v>7155</v>
      </c>
      <c r="C814" t="s" s="10">
        <v>34</v>
      </c>
      <c r="D814" t="s" s="10">
        <v>7156</v>
      </c>
      <c r="E814" t="s" s="10">
        <v>3715</v>
      </c>
      <c r="F814" t="s" s="10">
        <v>7157</v>
      </c>
      <c r="G814" t="s" s="10">
        <v>7150</v>
      </c>
      <c r="H814" s="16">
        <f>HYPERLINK("http://www.santanagrp.com", "www.santanagrp.com")</f>
      </c>
      <c r="I814" t="s" s="10">
        <v>950</v>
      </c>
      <c r="J814" s="24">
        <v>1</v>
      </c>
      <c r="K814" s="24">
        <v>2</v>
      </c>
      <c r="L814" t="s" s="24">
        <v>34</v>
      </c>
      <c r="M814" t="s" s="12">
        <v>7159</v>
      </c>
      <c r="N814" t="s" s="10">
        <v>7160</v>
      </c>
      <c r="O814" t="s" s="10">
        <v>7161</v>
      </c>
      <c r="P814" t="s" s="10">
        <v>7162</v>
      </c>
      <c r="Q814" t="s" s="10">
        <v>7163</v>
      </c>
      <c r="R814" t="s" s="10">
        <v>7164</v>
      </c>
      <c r="S814" t="s" s="10">
        <v>225</v>
      </c>
      <c r="T814" t="s" s="12">
        <v>7165</v>
      </c>
      <c r="U814" t="s" s="10">
        <v>88</v>
      </c>
      <c r="V814" t="s" s="12">
        <v>34</v>
      </c>
      <c r="W814" t="s" s="10">
        <v>7166</v>
      </c>
      <c r="X814" s="16">
        <f>HYPERLINK("https://my.pitchbook.com?p=380275-93P", "View People Online")</f>
      </c>
    </row>
    <row r="815">
      <c r="A815" t="s" s="11">
        <v>7167</v>
      </c>
      <c r="B815" t="s" s="11">
        <v>7168</v>
      </c>
      <c r="C815" t="s" s="11">
        <v>34</v>
      </c>
      <c r="D815" t="s" s="11">
        <v>7169</v>
      </c>
      <c r="E815" t="s" s="11">
        <v>3715</v>
      </c>
      <c r="F815" t="s" s="11">
        <v>7170</v>
      </c>
      <c r="G815" t="s" s="11">
        <v>5418</v>
      </c>
      <c r="H815" s="17">
        <f>HYPERLINK("http://www.ceresnano.com", "www.ceresnano.com")</f>
      </c>
      <c r="I815" t="s" s="11">
        <v>6946</v>
      </c>
      <c r="J815" s="25">
        <v>2</v>
      </c>
      <c r="K815" s="25">
        <v>2</v>
      </c>
      <c r="L815" t="s" s="25">
        <v>34</v>
      </c>
      <c r="M815" t="s" s="13">
        <v>7172</v>
      </c>
      <c r="N815" t="s" s="11">
        <v>7173</v>
      </c>
      <c r="O815" t="s" s="11">
        <v>6583</v>
      </c>
      <c r="P815" t="s" s="11">
        <v>7174</v>
      </c>
      <c r="Q815" t="s" s="11">
        <v>34</v>
      </c>
      <c r="R815" t="s" s="11">
        <v>6585</v>
      </c>
      <c r="S815" t="s" s="11">
        <v>2078</v>
      </c>
      <c r="T815" t="s" s="13">
        <v>6586</v>
      </c>
      <c r="U815" t="s" s="11">
        <v>88</v>
      </c>
      <c r="V815" t="s" s="13">
        <v>34</v>
      </c>
      <c r="W815" t="s" s="11">
        <v>7175</v>
      </c>
      <c r="X815" s="17">
        <f>HYPERLINK("https://my.pitchbook.com?p=129296-08P", "View People Online")</f>
      </c>
    </row>
    <row r="816">
      <c r="A816" t="s" s="10">
        <v>7176</v>
      </c>
      <c r="B816" t="s" s="10">
        <v>7177</v>
      </c>
      <c r="C816" t="s" s="10">
        <v>34</v>
      </c>
      <c r="D816" t="s" s="10">
        <v>4338</v>
      </c>
      <c r="E816" t="s" s="10">
        <v>3715</v>
      </c>
      <c r="F816" t="s" s="10">
        <v>7178</v>
      </c>
      <c r="G816" t="s" s="10">
        <v>7179</v>
      </c>
      <c r="H816" s="16">
        <f>HYPERLINK("http://www.ihcgroup.com", "www.ihcgroup.com")</f>
      </c>
      <c r="I816" t="s" s="10">
        <v>7180</v>
      </c>
      <c r="J816" t="s" s="24">
        <v>34</v>
      </c>
      <c r="K816" s="24">
        <v>6</v>
      </c>
      <c r="L816" s="24">
        <v>5</v>
      </c>
      <c r="M816" t="s" s="12">
        <v>4342</v>
      </c>
      <c r="N816" t="s" s="10">
        <v>34</v>
      </c>
      <c r="O816" t="s" s="10">
        <v>169</v>
      </c>
      <c r="P816" t="s" s="10">
        <v>4344</v>
      </c>
      <c r="Q816" t="s" s="10">
        <v>34</v>
      </c>
      <c r="R816" t="s" s="10">
        <v>172</v>
      </c>
      <c r="S816" t="s" s="10">
        <v>173</v>
      </c>
      <c r="T816" t="s" s="12">
        <v>4345</v>
      </c>
      <c r="U816" t="s" s="10">
        <v>88</v>
      </c>
      <c r="V816" t="s" s="12">
        <v>34</v>
      </c>
      <c r="W816" t="s" s="10">
        <v>7181</v>
      </c>
      <c r="X816" s="16">
        <f>HYPERLINK("https://my.pitchbook.com?p=146084-32P", "View People Online")</f>
      </c>
    </row>
    <row r="817">
      <c r="A817" t="s" s="11">
        <v>7182</v>
      </c>
      <c r="B817" t="s" s="11">
        <v>7183</v>
      </c>
      <c r="C817" t="s" s="11">
        <v>34</v>
      </c>
      <c r="D817" t="s" s="11">
        <v>7184</v>
      </c>
      <c r="E817" t="s" s="11">
        <v>3715</v>
      </c>
      <c r="F817" t="s" s="11">
        <v>7185</v>
      </c>
      <c r="G817" t="s" s="11">
        <v>7179</v>
      </c>
      <c r="H817" t="s" s="11">
        <v>34</v>
      </c>
      <c r="I817" t="s" s="11">
        <v>3618</v>
      </c>
      <c r="J817" s="25">
        <v>1</v>
      </c>
      <c r="K817" s="25">
        <v>1</v>
      </c>
      <c r="L817" t="s" s="25">
        <v>34</v>
      </c>
      <c r="M817" t="s" s="13">
        <v>7186</v>
      </c>
      <c r="N817" t="s" s="11">
        <v>7187</v>
      </c>
      <c r="O817" t="s" s="11">
        <v>3311</v>
      </c>
      <c r="P817" t="s" s="11">
        <v>7188</v>
      </c>
      <c r="Q817" t="s" s="11">
        <v>6689</v>
      </c>
      <c r="R817" t="s" s="11">
        <v>3314</v>
      </c>
      <c r="S817" t="s" s="11">
        <v>3315</v>
      </c>
      <c r="T817" t="s" s="13">
        <v>3316</v>
      </c>
      <c r="U817" t="s" s="11">
        <v>88</v>
      </c>
      <c r="V817" t="s" s="13">
        <v>7189</v>
      </c>
      <c r="W817" t="s" s="11">
        <v>7190</v>
      </c>
      <c r="X817" s="17">
        <f>HYPERLINK("https://my.pitchbook.com?p=395460-64P", "View People Online")</f>
      </c>
    </row>
    <row r="818">
      <c r="A818" t="s" s="10">
        <v>7191</v>
      </c>
      <c r="B818" t="s" s="10">
        <v>7192</v>
      </c>
      <c r="C818" t="s" s="10">
        <v>34</v>
      </c>
      <c r="D818" t="s" s="10">
        <v>7193</v>
      </c>
      <c r="E818" t="s" s="10">
        <v>3715</v>
      </c>
      <c r="F818" t="s" s="10">
        <v>7194</v>
      </c>
      <c r="G818" t="s" s="10">
        <v>7179</v>
      </c>
      <c r="H818" s="16">
        <f>HYPERLINK("http://www.biocheckinc.com", "www.biocheckinc.com")</f>
      </c>
      <c r="I818" t="s" s="10">
        <v>322</v>
      </c>
      <c r="J818" t="s" s="24">
        <v>34</v>
      </c>
      <c r="K818" s="24">
        <v>4</v>
      </c>
      <c r="L818" s="24">
        <v>1</v>
      </c>
      <c r="M818" t="s" s="12">
        <v>7196</v>
      </c>
      <c r="N818" t="s" s="10">
        <v>7197</v>
      </c>
      <c r="O818" t="s" s="10">
        <v>7198</v>
      </c>
      <c r="P818" t="s" s="10">
        <v>7199</v>
      </c>
      <c r="Q818" t="s" s="10">
        <v>34</v>
      </c>
      <c r="R818" t="s" s="10">
        <v>7200</v>
      </c>
      <c r="S818" t="s" s="10">
        <v>1904</v>
      </c>
      <c r="T818" t="s" s="12">
        <v>7201</v>
      </c>
      <c r="U818" t="s" s="10">
        <v>88</v>
      </c>
      <c r="V818" t="s" s="12">
        <v>7202</v>
      </c>
      <c r="W818" t="s" s="10">
        <v>7203</v>
      </c>
      <c r="X818" s="16">
        <f>HYPERLINK("https://my.pitchbook.com?p=97567-39P", "View People Online")</f>
      </c>
    </row>
    <row r="819">
      <c r="A819" t="s" s="11">
        <v>7204</v>
      </c>
      <c r="B819" t="s" s="11">
        <v>7205</v>
      </c>
      <c r="C819" t="s" s="11">
        <v>34</v>
      </c>
      <c r="D819" t="s" s="11">
        <v>7206</v>
      </c>
      <c r="E819" t="s" s="11">
        <v>3715</v>
      </c>
      <c r="F819" t="s" s="11">
        <v>7207</v>
      </c>
      <c r="G819" t="s" s="11">
        <v>864</v>
      </c>
      <c r="H819" s="17">
        <f>HYPERLINK("http://www.utahfootspecialists.com", "www.utahfootspecialists.com")</f>
      </c>
      <c r="I819" t="s" s="11">
        <v>7209</v>
      </c>
      <c r="J819" t="s" s="25">
        <v>34</v>
      </c>
      <c r="K819" s="25">
        <v>1</v>
      </c>
      <c r="L819" t="s" s="25">
        <v>34</v>
      </c>
      <c r="M819" t="s" s="13">
        <v>7210</v>
      </c>
      <c r="N819" t="s" s="11">
        <v>34</v>
      </c>
      <c r="O819" t="s" s="11">
        <v>7211</v>
      </c>
      <c r="P819" t="s" s="11">
        <v>7212</v>
      </c>
      <c r="Q819" t="s" s="11">
        <v>4601</v>
      </c>
      <c r="R819" t="s" s="11">
        <v>7213</v>
      </c>
      <c r="S819" t="s" s="11">
        <v>117</v>
      </c>
      <c r="T819" t="s" s="13">
        <v>7214</v>
      </c>
      <c r="U819" t="s" s="11">
        <v>88</v>
      </c>
      <c r="V819" t="s" s="13">
        <v>34</v>
      </c>
      <c r="W819" t="s" s="11">
        <v>7215</v>
      </c>
      <c r="X819" s="17">
        <f>HYPERLINK("https://my.pitchbook.com?p=388444-69P", "View People Online")</f>
      </c>
    </row>
    <row r="820">
      <c r="A820" t="s" s="10">
        <v>7216</v>
      </c>
      <c r="B820" t="s" s="10">
        <v>7217</v>
      </c>
      <c r="C820" t="s" s="10">
        <v>34</v>
      </c>
      <c r="D820" t="s" s="10">
        <v>7218</v>
      </c>
      <c r="E820" t="s" s="10">
        <v>3715</v>
      </c>
      <c r="F820" t="s" s="10">
        <v>7219</v>
      </c>
      <c r="G820" t="s" s="10">
        <v>864</v>
      </c>
      <c r="H820" s="16">
        <f>HYPERLINK("http://www.allcounseling.com", "www.allcounseling.com")</f>
      </c>
      <c r="I820" t="s" s="10">
        <v>3896</v>
      </c>
      <c r="J820" s="24">
        <v>1</v>
      </c>
      <c r="K820" s="24">
        <v>4</v>
      </c>
      <c r="L820" s="24">
        <v>1</v>
      </c>
      <c r="M820" t="s" s="12">
        <v>7221</v>
      </c>
      <c r="N820" t="s" s="10">
        <v>7222</v>
      </c>
      <c r="O820" t="s" s="10">
        <v>7223</v>
      </c>
      <c r="P820" t="s" s="10">
        <v>7224</v>
      </c>
      <c r="Q820" t="s" s="10">
        <v>7225</v>
      </c>
      <c r="R820" t="s" s="10">
        <v>7226</v>
      </c>
      <c r="S820" t="s" s="10">
        <v>7227</v>
      </c>
      <c r="T820" t="s" s="12">
        <v>7228</v>
      </c>
      <c r="U820" t="s" s="10">
        <v>88</v>
      </c>
      <c r="V820" t="s" s="12">
        <v>34</v>
      </c>
      <c r="W820" t="s" s="10">
        <v>7229</v>
      </c>
      <c r="X820" s="16">
        <f>HYPERLINK("https://my.pitchbook.com?p=167442-40P", "View People Online")</f>
      </c>
    </row>
    <row r="821">
      <c r="A821" t="s" s="11">
        <v>7230</v>
      </c>
      <c r="B821" t="s" s="11">
        <v>7231</v>
      </c>
      <c r="C821" t="s" s="11">
        <v>34</v>
      </c>
      <c r="D821" t="s" s="11">
        <v>7232</v>
      </c>
      <c r="E821" t="s" s="11">
        <v>3715</v>
      </c>
      <c r="F821" t="s" s="11">
        <v>7233</v>
      </c>
      <c r="G821" t="s" s="11">
        <v>864</v>
      </c>
      <c r="H821" s="17">
        <f>HYPERLINK("http://www.data.world", "www.data.world")</f>
      </c>
      <c r="I821" t="s" s="11">
        <v>7235</v>
      </c>
      <c r="J821" t="s" s="25">
        <v>34</v>
      </c>
      <c r="K821" s="25">
        <v>1</v>
      </c>
      <c r="L821" t="s" s="25">
        <v>34</v>
      </c>
      <c r="M821" t="s" s="13">
        <v>7236</v>
      </c>
      <c r="N821" t="s" s="11">
        <v>7237</v>
      </c>
      <c r="O821" t="s" s="11">
        <v>625</v>
      </c>
      <c r="P821" t="s" s="11">
        <v>7238</v>
      </c>
      <c r="Q821" t="s" s="11">
        <v>7239</v>
      </c>
      <c r="R821" t="s" s="11">
        <v>628</v>
      </c>
      <c r="S821" t="s" s="11">
        <v>225</v>
      </c>
      <c r="T821" t="s" s="13">
        <v>7240</v>
      </c>
      <c r="U821" t="s" s="11">
        <v>88</v>
      </c>
      <c r="V821" t="s" s="13">
        <v>34</v>
      </c>
      <c r="W821" t="s" s="11">
        <v>7241</v>
      </c>
      <c r="X821" s="17">
        <f>HYPERLINK("https://my.pitchbook.com?p=97543-18P", "View People Online")</f>
      </c>
    </row>
    <row r="822">
      <c r="A822" t="s" s="10">
        <v>7242</v>
      </c>
      <c r="B822" t="s" s="10">
        <v>7243</v>
      </c>
      <c r="C822" t="s" s="10">
        <v>34</v>
      </c>
      <c r="D822" t="s" s="10">
        <v>7244</v>
      </c>
      <c r="E822" t="s" s="10">
        <v>3715</v>
      </c>
      <c r="F822" t="s" s="10">
        <v>7245</v>
      </c>
      <c r="G822" t="s" s="10">
        <v>864</v>
      </c>
      <c r="H822" s="16">
        <f>HYPERLINK("http://www.switchedonbikes.co.nz", "www.switchedonbikes.co.nz")</f>
      </c>
      <c r="I822" t="s" s="10">
        <v>6312</v>
      </c>
      <c r="J822" t="s" s="24">
        <v>34</v>
      </c>
      <c r="K822" s="24">
        <v>1</v>
      </c>
      <c r="L822" t="s" s="24">
        <v>34</v>
      </c>
      <c r="M822" t="s" s="12">
        <v>34</v>
      </c>
      <c r="N822" t="s" s="10">
        <v>7247</v>
      </c>
      <c r="O822" t="s" s="10">
        <v>7248</v>
      </c>
      <c r="P822" t="s" s="10">
        <v>7249</v>
      </c>
      <c r="Q822" t="s" s="10">
        <v>7250</v>
      </c>
      <c r="R822" t="s" s="10">
        <v>7251</v>
      </c>
      <c r="S822" t="s" s="10">
        <v>34</v>
      </c>
      <c r="T822" t="s" s="12">
        <v>34</v>
      </c>
      <c r="U822" t="s" s="10">
        <v>1953</v>
      </c>
      <c r="V822" t="s" s="12">
        <v>34</v>
      </c>
      <c r="W822" t="s" s="10">
        <v>7252</v>
      </c>
      <c r="X822" s="16">
        <f>HYPERLINK("https://my.pitchbook.com?p=318272-86P", "View People Online")</f>
      </c>
    </row>
    <row r="823">
      <c r="A823" t="s" s="11">
        <v>7253</v>
      </c>
      <c r="B823" t="s" s="11">
        <v>7254</v>
      </c>
      <c r="C823" t="s" s="11">
        <v>34</v>
      </c>
      <c r="D823" t="s" s="11">
        <v>3802</v>
      </c>
      <c r="E823" t="s" s="11">
        <v>3715</v>
      </c>
      <c r="F823" t="s" s="11">
        <v>7255</v>
      </c>
      <c r="G823" t="s" s="11">
        <v>7256</v>
      </c>
      <c r="H823" s="17">
        <f>HYPERLINK("http://www.qatarluxurygroup.com", "www.qatarluxurygroup.com")</f>
      </c>
      <c r="I823" t="s" s="11">
        <v>649</v>
      </c>
      <c r="J823" t="s" s="25">
        <v>34</v>
      </c>
      <c r="K823" t="s" s="25">
        <v>34</v>
      </c>
      <c r="L823" t="s" s="25">
        <v>34</v>
      </c>
      <c r="M823" t="s" s="13">
        <v>34</v>
      </c>
      <c r="N823" t="s" s="11">
        <v>34</v>
      </c>
      <c r="O823" t="s" s="11">
        <v>34</v>
      </c>
      <c r="P823" t="s" s="11">
        <v>34</v>
      </c>
      <c r="Q823" t="s" s="11">
        <v>34</v>
      </c>
      <c r="R823" t="s" s="11">
        <v>34</v>
      </c>
      <c r="S823" t="s" s="11">
        <v>34</v>
      </c>
      <c r="T823" t="s" s="13">
        <v>34</v>
      </c>
      <c r="U823" t="s" s="11">
        <v>34</v>
      </c>
      <c r="V823" t="s" s="13">
        <v>34</v>
      </c>
      <c r="W823" t="s" s="11">
        <v>7257</v>
      </c>
      <c r="X823" s="17">
        <f>HYPERLINK("https://my.pitchbook.com?p=63432-73P", "View People Online")</f>
      </c>
    </row>
    <row r="824">
      <c r="A824" t="s" s="10">
        <v>7258</v>
      </c>
      <c r="B824" t="s" s="10">
        <v>7259</v>
      </c>
      <c r="C824" t="s" s="10">
        <v>34</v>
      </c>
      <c r="D824" t="s" s="10">
        <v>7260</v>
      </c>
      <c r="E824" t="s" s="10">
        <v>3715</v>
      </c>
      <c r="F824" t="s" s="10">
        <v>7261</v>
      </c>
      <c r="G824" t="s" s="10">
        <v>7262</v>
      </c>
      <c r="H824" s="16">
        <f>HYPERLINK("http://www.newstreettech.com", "www.newstreettech.com")</f>
      </c>
      <c r="I824" t="s" s="10">
        <v>7264</v>
      </c>
      <c r="J824" s="24">
        <v>1</v>
      </c>
      <c r="K824" s="24">
        <v>1</v>
      </c>
      <c r="L824" t="s" s="24">
        <v>34</v>
      </c>
      <c r="M824" t="s" s="12">
        <v>7265</v>
      </c>
      <c r="N824" t="s" s="10">
        <v>7266</v>
      </c>
      <c r="O824" t="s" s="10">
        <v>6935</v>
      </c>
      <c r="P824" t="s" s="10">
        <v>7267</v>
      </c>
      <c r="Q824" t="s" s="10">
        <v>7268</v>
      </c>
      <c r="R824" t="s" s="10">
        <v>6938</v>
      </c>
      <c r="S824" t="s" s="10">
        <v>6924</v>
      </c>
      <c r="T824" t="s" s="12">
        <v>7269</v>
      </c>
      <c r="U824" t="s" s="10">
        <v>135</v>
      </c>
      <c r="V824" t="s" s="12">
        <v>34</v>
      </c>
      <c r="W824" t="s" s="10">
        <v>7270</v>
      </c>
      <c r="X824" s="16">
        <f>HYPERLINK("https://my.pitchbook.com?p=67388-05P", "View People Online")</f>
      </c>
    </row>
    <row r="825">
      <c r="A825" t="s" s="11">
        <v>7271</v>
      </c>
      <c r="B825" t="s" s="11">
        <v>7272</v>
      </c>
      <c r="C825" t="s" s="11">
        <v>34</v>
      </c>
      <c r="D825" t="s" s="11">
        <v>7273</v>
      </c>
      <c r="E825" t="s" s="11">
        <v>3715</v>
      </c>
      <c r="F825" t="s" s="11">
        <v>4957</v>
      </c>
      <c r="G825" t="s" s="11">
        <v>7274</v>
      </c>
      <c r="H825" s="17">
        <f>HYPERLINK("http://www.kcadeutag.com", "www.kcadeutag.com")</f>
      </c>
      <c r="I825" t="s" s="11">
        <v>649</v>
      </c>
      <c r="J825" t="s" s="25">
        <v>34</v>
      </c>
      <c r="K825" t="s" s="25">
        <v>34</v>
      </c>
      <c r="L825" t="s" s="25">
        <v>34</v>
      </c>
      <c r="M825" t="s" s="13">
        <v>34</v>
      </c>
      <c r="N825" t="s" s="11">
        <v>34</v>
      </c>
      <c r="O825" t="s" s="11">
        <v>34</v>
      </c>
      <c r="P825" t="s" s="11">
        <v>34</v>
      </c>
      <c r="Q825" t="s" s="11">
        <v>34</v>
      </c>
      <c r="R825" t="s" s="11">
        <v>34</v>
      </c>
      <c r="S825" t="s" s="11">
        <v>34</v>
      </c>
      <c r="T825" t="s" s="13">
        <v>34</v>
      </c>
      <c r="U825" t="s" s="11">
        <v>34</v>
      </c>
      <c r="V825" t="s" s="13">
        <v>34</v>
      </c>
      <c r="W825" t="s" s="11">
        <v>7276</v>
      </c>
      <c r="X825" s="17">
        <f>HYPERLINK("https://my.pitchbook.com?p=144657-64P", "View People Online")</f>
      </c>
    </row>
    <row r="826">
      <c r="A826" t="s" s="10">
        <v>7277</v>
      </c>
      <c r="B826" t="s" s="10">
        <v>7278</v>
      </c>
      <c r="C826" t="s" s="10">
        <v>34</v>
      </c>
      <c r="D826" t="s" s="10">
        <v>3809</v>
      </c>
      <c r="E826" t="s" s="10">
        <v>3715</v>
      </c>
      <c r="F826" t="s" s="10">
        <v>7279</v>
      </c>
      <c r="G826" t="s" s="10">
        <v>7280</v>
      </c>
      <c r="H826" s="16">
        <f>HYPERLINK("http://www.arada.com", "www.arada.com")</f>
      </c>
      <c r="I826" t="s" s="10">
        <v>7281</v>
      </c>
      <c r="J826" t="s" s="24">
        <v>34</v>
      </c>
      <c r="K826" s="24">
        <v>1</v>
      </c>
      <c r="L826" t="s" s="24">
        <v>34</v>
      </c>
      <c r="M826" t="s" s="12">
        <v>3812</v>
      </c>
      <c r="N826" t="s" s="10">
        <v>7282</v>
      </c>
      <c r="O826" t="s" s="10">
        <v>236</v>
      </c>
      <c r="P826" t="s" s="10">
        <v>3813</v>
      </c>
      <c r="Q826" t="s" s="10">
        <v>3814</v>
      </c>
      <c r="R826" t="s" s="10">
        <v>239</v>
      </c>
      <c r="S826" t="s" s="10">
        <v>34</v>
      </c>
      <c r="T826" t="s" s="12">
        <v>34</v>
      </c>
      <c r="U826" t="s" s="10">
        <v>240</v>
      </c>
      <c r="V826" t="s" s="12">
        <v>34</v>
      </c>
      <c r="W826" t="s" s="10">
        <v>7283</v>
      </c>
      <c r="X826" s="16">
        <f>HYPERLINK("https://my.pitchbook.com?p=339075-82P", "View People Online")</f>
      </c>
    </row>
    <row r="827">
      <c r="A827" t="s" s="11">
        <v>7284</v>
      </c>
      <c r="B827" t="s" s="11">
        <v>7285</v>
      </c>
      <c r="C827" t="s" s="11">
        <v>34</v>
      </c>
      <c r="D827" t="s" s="11">
        <v>3725</v>
      </c>
      <c r="E827" t="s" s="11">
        <v>3715</v>
      </c>
      <c r="F827" t="s" s="11">
        <v>7286</v>
      </c>
      <c r="G827" t="s" s="11">
        <v>7287</v>
      </c>
      <c r="H827" s="17">
        <f>HYPERLINK("http://www.royalihc.com", "www.royalihc.com")</f>
      </c>
      <c r="I827" t="s" s="11">
        <v>2044</v>
      </c>
      <c r="J827" t="s" s="25">
        <v>34</v>
      </c>
      <c r="K827" s="25">
        <v>1</v>
      </c>
      <c r="L827" s="25">
        <v>1</v>
      </c>
      <c r="M827" t="s" s="13">
        <v>34</v>
      </c>
      <c r="N827" t="s" s="11">
        <v>34</v>
      </c>
      <c r="O827" t="s" s="11">
        <v>34</v>
      </c>
      <c r="P827" t="s" s="11">
        <v>34</v>
      </c>
      <c r="Q827" t="s" s="11">
        <v>34</v>
      </c>
      <c r="R827" t="s" s="11">
        <v>34</v>
      </c>
      <c r="S827" t="s" s="11">
        <v>34</v>
      </c>
      <c r="T827" t="s" s="13">
        <v>34</v>
      </c>
      <c r="U827" t="s" s="11">
        <v>34</v>
      </c>
      <c r="V827" t="s" s="13">
        <v>34</v>
      </c>
      <c r="W827" t="s" s="11">
        <v>7288</v>
      </c>
      <c r="X827" s="17">
        <f>HYPERLINK("https://my.pitchbook.com?p=129238-12P", "View People Online")</f>
      </c>
    </row>
    <row r="828">
      <c r="A828" t="s" s="10">
        <v>7289</v>
      </c>
      <c r="B828" t="s" s="10">
        <v>7290</v>
      </c>
      <c r="C828" t="s" s="10">
        <v>34</v>
      </c>
      <c r="D828" t="s" s="10">
        <v>3941</v>
      </c>
      <c r="E828" t="s" s="10">
        <v>3715</v>
      </c>
      <c r="F828" t="s" s="10">
        <v>7291</v>
      </c>
      <c r="G828" t="s" s="10">
        <v>7292</v>
      </c>
      <c r="H828" s="16">
        <f>HYPERLINK("http://www.phenopath.com", "www.phenopath.com")</f>
      </c>
      <c r="I828" t="s" s="10">
        <v>7293</v>
      </c>
      <c r="J828" t="s" s="24">
        <v>34</v>
      </c>
      <c r="K828" t="s" s="24">
        <v>34</v>
      </c>
      <c r="L828" t="s" s="24">
        <v>34</v>
      </c>
      <c r="M828" t="s" s="12">
        <v>34</v>
      </c>
      <c r="N828" t="s" s="10">
        <v>34</v>
      </c>
      <c r="O828" t="s" s="10">
        <v>34</v>
      </c>
      <c r="P828" t="s" s="10">
        <v>34</v>
      </c>
      <c r="Q828" t="s" s="10">
        <v>34</v>
      </c>
      <c r="R828" t="s" s="10">
        <v>34</v>
      </c>
      <c r="S828" t="s" s="10">
        <v>34</v>
      </c>
      <c r="T828" t="s" s="12">
        <v>34</v>
      </c>
      <c r="U828" t="s" s="10">
        <v>34</v>
      </c>
      <c r="V828" t="s" s="12">
        <v>34</v>
      </c>
      <c r="W828" t="s" s="10">
        <v>7294</v>
      </c>
      <c r="X828" s="16">
        <f>HYPERLINK("https://my.pitchbook.com?p=194548-60P", "View People Online")</f>
      </c>
    </row>
    <row r="829">
      <c r="A829" t="s" s="11">
        <v>7295</v>
      </c>
      <c r="B829" t="s" s="11">
        <v>7296</v>
      </c>
      <c r="C829" t="s" s="11">
        <v>34</v>
      </c>
      <c r="D829" t="s" s="11">
        <v>7297</v>
      </c>
      <c r="E829" t="s" s="11">
        <v>3715</v>
      </c>
      <c r="F829" t="s" s="11">
        <v>7298</v>
      </c>
      <c r="G829" t="s" s="11">
        <v>7292</v>
      </c>
      <c r="H829" s="17">
        <f>HYPERLINK("http://www.acumencorp.com", "www.acumencorp.com")</f>
      </c>
      <c r="I829" t="s" s="11">
        <v>7300</v>
      </c>
      <c r="J829" t="s" s="25">
        <v>34</v>
      </c>
      <c r="K829" s="25">
        <v>1</v>
      </c>
      <c r="L829" t="s" s="25">
        <v>34</v>
      </c>
      <c r="M829" t="s" s="13">
        <v>7301</v>
      </c>
      <c r="N829" t="s" s="11">
        <v>34</v>
      </c>
      <c r="O829" t="s" s="11">
        <v>4131</v>
      </c>
      <c r="P829" t="s" s="11">
        <v>7302</v>
      </c>
      <c r="Q829" t="s" s="11">
        <v>7303</v>
      </c>
      <c r="R829" t="s" s="11">
        <v>4133</v>
      </c>
      <c r="S829" t="s" s="11">
        <v>2078</v>
      </c>
      <c r="T829" t="s" s="13">
        <v>7304</v>
      </c>
      <c r="U829" t="s" s="11">
        <v>88</v>
      </c>
      <c r="V829" t="s" s="13">
        <v>34</v>
      </c>
      <c r="W829" t="s" s="11">
        <v>7305</v>
      </c>
      <c r="X829" s="17">
        <f>HYPERLINK("https://my.pitchbook.com?p=192718-63P", "View People Online")</f>
      </c>
    </row>
    <row r="830">
      <c r="A830" t="s" s="10">
        <v>7306</v>
      </c>
      <c r="B830" t="s" s="10">
        <v>7307</v>
      </c>
      <c r="C830" t="s" s="10">
        <v>34</v>
      </c>
      <c r="D830" t="s" s="10">
        <v>3924</v>
      </c>
      <c r="E830" t="s" s="10">
        <v>3715</v>
      </c>
      <c r="F830" t="s" s="10">
        <v>1796</v>
      </c>
      <c r="G830" t="s" s="10">
        <v>7308</v>
      </c>
      <c r="H830" s="16">
        <f>HYPERLINK("http://www.g42.ai", "www.g42.ai")</f>
      </c>
      <c r="I830" t="s" s="10">
        <v>7309</v>
      </c>
      <c r="J830" t="s" s="24">
        <v>34</v>
      </c>
      <c r="K830" s="24">
        <v>1</v>
      </c>
      <c r="L830" t="s" s="24">
        <v>34</v>
      </c>
      <c r="M830" t="s" s="12">
        <v>34</v>
      </c>
      <c r="N830" t="s" s="10">
        <v>7310</v>
      </c>
      <c r="O830" t="s" s="10">
        <v>385</v>
      </c>
      <c r="P830" t="s" s="10">
        <v>3930</v>
      </c>
      <c r="Q830" t="s" s="10">
        <v>3931</v>
      </c>
      <c r="R830" t="s" s="10">
        <v>388</v>
      </c>
      <c r="S830" t="s" s="10">
        <v>34</v>
      </c>
      <c r="T830" t="s" s="12">
        <v>34</v>
      </c>
      <c r="U830" t="s" s="10">
        <v>240</v>
      </c>
      <c r="V830" t="s" s="12">
        <v>34</v>
      </c>
      <c r="W830" t="s" s="10">
        <v>7311</v>
      </c>
      <c r="X830" s="16">
        <f>HYPERLINK("https://my.pitchbook.com?p=344887-75P", "View People Online")</f>
      </c>
    </row>
    <row r="831">
      <c r="A831" t="s" s="11">
        <v>7312</v>
      </c>
      <c r="B831" t="s" s="11">
        <v>7313</v>
      </c>
      <c r="C831" t="s" s="11">
        <v>34</v>
      </c>
      <c r="D831" t="s" s="11">
        <v>7314</v>
      </c>
      <c r="E831" t="s" s="11">
        <v>3715</v>
      </c>
      <c r="F831" t="s" s="11">
        <v>7315</v>
      </c>
      <c r="G831" t="s" s="11">
        <v>320</v>
      </c>
      <c r="H831" s="17">
        <f>HYPERLINK("http://www.purelifi.com", "www.purelifi.com")</f>
      </c>
      <c r="I831" t="s" s="11">
        <v>7317</v>
      </c>
      <c r="J831" t="s" s="25">
        <v>34</v>
      </c>
      <c r="K831" s="25">
        <v>1</v>
      </c>
      <c r="L831" t="s" s="25">
        <v>34</v>
      </c>
      <c r="M831" t="s" s="13">
        <v>7318</v>
      </c>
      <c r="N831" t="s" s="11">
        <v>7319</v>
      </c>
      <c r="O831" t="s" s="11">
        <v>3179</v>
      </c>
      <c r="P831" t="s" s="11">
        <v>7320</v>
      </c>
      <c r="Q831" t="s" s="11">
        <v>7321</v>
      </c>
      <c r="R831" t="s" s="11">
        <v>3182</v>
      </c>
      <c r="S831" t="s" s="11">
        <v>3183</v>
      </c>
      <c r="T831" t="s" s="13">
        <v>7322</v>
      </c>
      <c r="U831" t="s" s="11">
        <v>49</v>
      </c>
      <c r="V831" t="s" s="13">
        <v>34</v>
      </c>
      <c r="W831" t="s" s="11">
        <v>7323</v>
      </c>
      <c r="X831" s="17">
        <f>HYPERLINK("https://my.pitchbook.com?p=143915-77P", "View People Online")</f>
      </c>
    </row>
    <row r="832">
      <c r="A832" t="s" s="10">
        <v>7324</v>
      </c>
      <c r="B832" t="s" s="10">
        <v>7325</v>
      </c>
      <c r="C832" t="s" s="10">
        <v>34</v>
      </c>
      <c r="D832" t="s" s="10">
        <v>7326</v>
      </c>
      <c r="E832" t="s" s="10">
        <v>3715</v>
      </c>
      <c r="F832" t="s" s="10">
        <v>7327</v>
      </c>
      <c r="G832" t="s" s="10">
        <v>4726</v>
      </c>
      <c r="H832" s="16">
        <f>HYPERLINK("http://www.arqiva.com", "www.arqiva.com")</f>
      </c>
      <c r="I832" t="s" s="10">
        <v>649</v>
      </c>
      <c r="J832" s="24">
        <v>2</v>
      </c>
      <c r="K832" s="24">
        <v>2</v>
      </c>
      <c r="L832" t="s" s="24">
        <v>34</v>
      </c>
      <c r="M832" t="s" s="12">
        <v>7329</v>
      </c>
      <c r="N832" t="s" s="10">
        <v>34</v>
      </c>
      <c r="O832" t="s" s="10">
        <v>7330</v>
      </c>
      <c r="P832" t="s" s="10">
        <v>7331</v>
      </c>
      <c r="Q832" t="s" s="10">
        <v>34</v>
      </c>
      <c r="R832" t="s" s="10">
        <v>7332</v>
      </c>
      <c r="S832" t="s" s="10">
        <v>47</v>
      </c>
      <c r="T832" t="s" s="12">
        <v>7333</v>
      </c>
      <c r="U832" t="s" s="10">
        <v>49</v>
      </c>
      <c r="V832" t="s" s="12">
        <v>34</v>
      </c>
      <c r="W832" t="s" s="10">
        <v>7334</v>
      </c>
      <c r="X832" s="16">
        <f>HYPERLINK("https://my.pitchbook.com?p=50326-03P", "View People Online")</f>
      </c>
    </row>
    <row r="833">
      <c r="A833" t="s" s="11">
        <v>7335</v>
      </c>
      <c r="B833" t="s" s="11">
        <v>7336</v>
      </c>
      <c r="C833" t="s" s="11">
        <v>34</v>
      </c>
      <c r="D833" t="s" s="11">
        <v>7337</v>
      </c>
      <c r="E833" t="s" s="11">
        <v>3715</v>
      </c>
      <c r="F833" t="s" s="11">
        <v>7338</v>
      </c>
      <c r="G833" t="s" s="11">
        <v>4726</v>
      </c>
      <c r="H833" s="17">
        <f>HYPERLINK("http://www.athenacloud.io", "www.athenacloud.io")</f>
      </c>
      <c r="I833" t="s" s="11">
        <v>322</v>
      </c>
      <c r="J833" t="s" s="25">
        <v>34</v>
      </c>
      <c r="K833" s="25">
        <v>1</v>
      </c>
      <c r="L833" t="s" s="25">
        <v>34</v>
      </c>
      <c r="M833" t="s" s="13">
        <v>7340</v>
      </c>
      <c r="N833" t="s" s="11">
        <v>7341</v>
      </c>
      <c r="O833" t="s" s="11">
        <v>2662</v>
      </c>
      <c r="P833" t="s" s="11">
        <v>7342</v>
      </c>
      <c r="Q833" t="s" s="11">
        <v>5320</v>
      </c>
      <c r="R833" t="s" s="11">
        <v>2665</v>
      </c>
      <c r="S833" t="s" s="11">
        <v>2138</v>
      </c>
      <c r="T833" t="s" s="13">
        <v>7343</v>
      </c>
      <c r="U833" t="s" s="11">
        <v>1613</v>
      </c>
      <c r="V833" t="s" s="13">
        <v>34</v>
      </c>
      <c r="W833" t="s" s="11">
        <v>7344</v>
      </c>
      <c r="X833" s="17">
        <f>HYPERLINK("https://my.pitchbook.com?p=247442-50P", "View People Online")</f>
      </c>
    </row>
    <row r="834">
      <c r="A834" t="s" s="10">
        <v>7345</v>
      </c>
      <c r="B834" t="s" s="10">
        <v>7346</v>
      </c>
      <c r="C834" t="s" s="10">
        <v>34</v>
      </c>
      <c r="D834" t="s" s="10">
        <v>7347</v>
      </c>
      <c r="E834" t="s" s="10">
        <v>3715</v>
      </c>
      <c r="F834" t="s" s="10">
        <v>7348</v>
      </c>
      <c r="G834" t="s" s="10">
        <v>4726</v>
      </c>
      <c r="H834" s="16">
        <f>HYPERLINK("http://www.bloxr.com", "www.bloxr.com")</f>
      </c>
      <c r="I834" t="s" s="10">
        <v>649</v>
      </c>
      <c r="J834" s="24">
        <v>1</v>
      </c>
      <c r="K834" s="24">
        <v>1</v>
      </c>
      <c r="L834" t="s" s="24">
        <v>34</v>
      </c>
      <c r="M834" t="s" s="12">
        <v>7350</v>
      </c>
      <c r="N834" t="s" s="10">
        <v>34</v>
      </c>
      <c r="O834" t="s" s="10">
        <v>7351</v>
      </c>
      <c r="P834" t="s" s="10">
        <v>7352</v>
      </c>
      <c r="Q834" t="s" s="10">
        <v>7353</v>
      </c>
      <c r="R834" t="s" s="10">
        <v>7354</v>
      </c>
      <c r="S834" t="s" s="10">
        <v>117</v>
      </c>
      <c r="T834" t="s" s="12">
        <v>7355</v>
      </c>
      <c r="U834" t="s" s="10">
        <v>88</v>
      </c>
      <c r="V834" t="s" s="12">
        <v>7356</v>
      </c>
      <c r="W834" t="s" s="10">
        <v>7357</v>
      </c>
      <c r="X834" s="16">
        <f>HYPERLINK("https://my.pitchbook.com?p=44231-23P", "View People Online")</f>
      </c>
    </row>
    <row r="835">
      <c r="A835" t="s" s="11">
        <v>7358</v>
      </c>
      <c r="B835" t="s" s="11">
        <v>7346</v>
      </c>
      <c r="C835" t="s" s="11">
        <v>34</v>
      </c>
      <c r="D835" t="s" s="11">
        <v>7359</v>
      </c>
      <c r="E835" t="s" s="11">
        <v>3715</v>
      </c>
      <c r="F835" t="s" s="11">
        <v>7348</v>
      </c>
      <c r="G835" t="s" s="11">
        <v>4726</v>
      </c>
      <c r="H835" s="17">
        <f>HYPERLINK("http://www.carefx.com", "www.carefx.com")</f>
      </c>
      <c r="I835" t="s" s="11">
        <v>649</v>
      </c>
      <c r="J835" t="s" s="25">
        <v>34</v>
      </c>
      <c r="K835" t="s" s="25">
        <v>34</v>
      </c>
      <c r="L835" t="s" s="25">
        <v>34</v>
      </c>
      <c r="M835" t="s" s="13">
        <v>34</v>
      </c>
      <c r="N835" t="s" s="11">
        <v>34</v>
      </c>
      <c r="O835" t="s" s="11">
        <v>34</v>
      </c>
      <c r="P835" t="s" s="11">
        <v>34</v>
      </c>
      <c r="Q835" t="s" s="11">
        <v>34</v>
      </c>
      <c r="R835" t="s" s="11">
        <v>34</v>
      </c>
      <c r="S835" t="s" s="11">
        <v>34</v>
      </c>
      <c r="T835" t="s" s="13">
        <v>34</v>
      </c>
      <c r="U835" t="s" s="11">
        <v>34</v>
      </c>
      <c r="V835" t="s" s="13">
        <v>34</v>
      </c>
      <c r="W835" t="s" s="11">
        <v>7361</v>
      </c>
      <c r="X835" s="17">
        <f>HYPERLINK("https://my.pitchbook.com?p=455999-86P", "View People Online")</f>
      </c>
    </row>
    <row r="836">
      <c r="A836" t="s" s="10">
        <v>7362</v>
      </c>
      <c r="B836" t="s" s="10">
        <v>7363</v>
      </c>
      <c r="C836" t="s" s="10">
        <v>34</v>
      </c>
      <c r="D836" t="s" s="10">
        <v>7364</v>
      </c>
      <c r="E836" t="s" s="10">
        <v>3715</v>
      </c>
      <c r="F836" t="s" s="10">
        <v>7365</v>
      </c>
      <c r="G836" t="s" s="10">
        <v>7366</v>
      </c>
      <c r="H836" s="16">
        <f>HYPERLINK("http://www.vhha.com", "www.vhha.com")</f>
      </c>
      <c r="I836" t="s" s="10">
        <v>5881</v>
      </c>
      <c r="J836" s="24">
        <v>1</v>
      </c>
      <c r="K836" s="24">
        <v>1</v>
      </c>
      <c r="L836" t="s" s="24">
        <v>34</v>
      </c>
      <c r="M836" t="s" s="12">
        <v>7368</v>
      </c>
      <c r="N836" t="s" s="10">
        <v>7369</v>
      </c>
      <c r="O836" t="s" s="10">
        <v>7370</v>
      </c>
      <c r="P836" t="s" s="10">
        <v>7371</v>
      </c>
      <c r="Q836" t="s" s="10">
        <v>7372</v>
      </c>
      <c r="R836" t="s" s="10">
        <v>7373</v>
      </c>
      <c r="S836" t="s" s="10">
        <v>2078</v>
      </c>
      <c r="T836" t="s" s="12">
        <v>7374</v>
      </c>
      <c r="U836" t="s" s="10">
        <v>88</v>
      </c>
      <c r="V836" t="s" s="12">
        <v>34</v>
      </c>
      <c r="W836" t="s" s="10">
        <v>7375</v>
      </c>
      <c r="X836" s="16">
        <f>HYPERLINK("https://my.pitchbook.com?p=190911-16P", "View People Online")</f>
      </c>
    </row>
    <row r="837">
      <c r="A837" t="s" s="11">
        <v>7376</v>
      </c>
      <c r="B837" t="s" s="11">
        <v>875</v>
      </c>
      <c r="C837" t="s" s="11">
        <v>34</v>
      </c>
      <c r="D837" t="s" s="11">
        <v>7377</v>
      </c>
      <c r="E837" t="s" s="11">
        <v>3715</v>
      </c>
      <c r="F837" t="s" s="11">
        <v>876</v>
      </c>
      <c r="G837" t="s" s="11">
        <v>877</v>
      </c>
      <c r="H837" s="17">
        <f>HYPERLINK("http://www.adcspac.com", "www.adcspac.com")</f>
      </c>
      <c r="I837" t="s" s="11">
        <v>7379</v>
      </c>
      <c r="J837" t="s" s="25">
        <v>34</v>
      </c>
      <c r="K837" s="25">
        <v>1</v>
      </c>
      <c r="L837" s="25">
        <v>1</v>
      </c>
      <c r="M837" t="s" s="13">
        <v>34</v>
      </c>
      <c r="N837" t="s" s="11">
        <v>34</v>
      </c>
      <c r="O837" t="s" s="11">
        <v>34</v>
      </c>
      <c r="P837" t="s" s="11">
        <v>34</v>
      </c>
      <c r="Q837" t="s" s="11">
        <v>34</v>
      </c>
      <c r="R837" t="s" s="11">
        <v>34</v>
      </c>
      <c r="S837" t="s" s="11">
        <v>34</v>
      </c>
      <c r="T837" t="s" s="13">
        <v>34</v>
      </c>
      <c r="U837" t="s" s="11">
        <v>34</v>
      </c>
      <c r="V837" t="s" s="13">
        <v>34</v>
      </c>
      <c r="W837" t="s" s="11">
        <v>7380</v>
      </c>
      <c r="X837" s="17">
        <f>HYPERLINK("https://my.pitchbook.com?p=318780-55P", "View People Online")</f>
      </c>
    </row>
    <row r="838">
      <c r="A838" t="s" s="10">
        <v>7381</v>
      </c>
      <c r="B838" t="s" s="10">
        <v>7382</v>
      </c>
      <c r="C838" t="s" s="10">
        <v>34</v>
      </c>
      <c r="D838" t="s" s="10">
        <v>7383</v>
      </c>
      <c r="E838" t="s" s="10">
        <v>3715</v>
      </c>
      <c r="F838" t="s" s="10">
        <v>7384</v>
      </c>
      <c r="G838" t="s" s="10">
        <v>7385</v>
      </c>
      <c r="H838" s="16">
        <f>HYPERLINK("http://www.ravas.com", "www.ravas.com")</f>
      </c>
      <c r="I838" t="s" s="10">
        <v>234</v>
      </c>
      <c r="J838" t="s" s="24">
        <v>34</v>
      </c>
      <c r="K838" s="24">
        <v>1</v>
      </c>
      <c r="L838" t="s" s="24">
        <v>34</v>
      </c>
      <c r="M838" t="s" s="12">
        <v>7387</v>
      </c>
      <c r="N838" t="s" s="10">
        <v>7388</v>
      </c>
      <c r="O838" t="s" s="10">
        <v>7389</v>
      </c>
      <c r="P838" t="s" s="10">
        <v>7390</v>
      </c>
      <c r="Q838" t="s" s="10">
        <v>34</v>
      </c>
      <c r="R838" t="s" s="10">
        <v>7391</v>
      </c>
      <c r="S838" t="s" s="10">
        <v>34</v>
      </c>
      <c r="T838" t="s" s="12">
        <v>7392</v>
      </c>
      <c r="U838" t="s" s="10">
        <v>103</v>
      </c>
      <c r="V838" t="s" s="12">
        <v>34</v>
      </c>
      <c r="W838" t="s" s="10">
        <v>7393</v>
      </c>
      <c r="X838" s="16">
        <f>HYPERLINK("https://my.pitchbook.com?p=385703-20P", "View People Online")</f>
      </c>
    </row>
    <row r="839">
      <c r="A839" t="s" s="11">
        <v>7394</v>
      </c>
      <c r="B839" t="s" s="11">
        <v>7395</v>
      </c>
      <c r="C839" t="s" s="11">
        <v>34</v>
      </c>
      <c r="D839" t="s" s="11">
        <v>7396</v>
      </c>
      <c r="E839" t="s" s="11">
        <v>3715</v>
      </c>
      <c r="F839" t="s" s="11">
        <v>7397</v>
      </c>
      <c r="G839" t="s" s="11">
        <v>7398</v>
      </c>
      <c r="H839" s="17">
        <f>HYPERLINK("http://www.dearjane.com.au", "www.dearjane.com.au")</f>
      </c>
      <c r="I839" t="s" s="11">
        <v>7400</v>
      </c>
      <c r="J839" t="s" s="25">
        <v>34</v>
      </c>
      <c r="K839" s="25">
        <v>1</v>
      </c>
      <c r="L839" t="s" s="25">
        <v>34</v>
      </c>
      <c r="M839" t="s" s="13">
        <v>7401</v>
      </c>
      <c r="N839" t="s" s="11">
        <v>7402</v>
      </c>
      <c r="O839" t="s" s="11">
        <v>4163</v>
      </c>
      <c r="P839" t="s" s="11">
        <v>7403</v>
      </c>
      <c r="Q839" t="s" s="11">
        <v>7404</v>
      </c>
      <c r="R839" t="s" s="11">
        <v>4166</v>
      </c>
      <c r="S839" t="s" s="11">
        <v>3847</v>
      </c>
      <c r="T839" t="s" s="13">
        <v>7405</v>
      </c>
      <c r="U839" t="s" s="11">
        <v>2105</v>
      </c>
      <c r="V839" t="s" s="13">
        <v>34</v>
      </c>
      <c r="W839" t="s" s="11">
        <v>7406</v>
      </c>
      <c r="X839" s="17">
        <f>HYPERLINK("https://my.pitchbook.com?p=88793-29P", "View People Online")</f>
      </c>
    </row>
    <row r="840">
      <c r="A840" t="s" s="10">
        <v>7407</v>
      </c>
      <c r="B840" t="s" s="10">
        <v>7408</v>
      </c>
      <c r="C840" t="s" s="10">
        <v>34</v>
      </c>
      <c r="D840" t="s" s="10">
        <v>7409</v>
      </c>
      <c r="E840" t="s" s="10">
        <v>3715</v>
      </c>
      <c r="F840" t="s" s="10">
        <v>7410</v>
      </c>
      <c r="G840" t="s" s="10">
        <v>7411</v>
      </c>
      <c r="H840" s="16">
        <f>HYPERLINK("http://www.seedgroup.com.mx", "www.seedgroup.com.mx")</f>
      </c>
      <c r="I840" t="s" s="10">
        <v>7413</v>
      </c>
      <c r="J840" t="s" s="24">
        <v>34</v>
      </c>
      <c r="K840" s="24">
        <v>1</v>
      </c>
      <c r="L840" t="s" s="24">
        <v>34</v>
      </c>
      <c r="M840" t="s" s="12">
        <v>7414</v>
      </c>
      <c r="N840" t="s" s="10">
        <v>7415</v>
      </c>
      <c r="O840" t="s" s="10">
        <v>5589</v>
      </c>
      <c r="P840" t="s" s="10">
        <v>7416</v>
      </c>
      <c r="Q840" t="s" s="10">
        <v>7417</v>
      </c>
      <c r="R840" t="s" s="10">
        <v>5592</v>
      </c>
      <c r="S840" t="s" s="10">
        <v>7418</v>
      </c>
      <c r="T840" t="s" s="12">
        <v>7419</v>
      </c>
      <c r="U840" t="s" s="10">
        <v>4263</v>
      </c>
      <c r="V840" t="s" s="12">
        <v>34</v>
      </c>
      <c r="W840" t="s" s="10">
        <v>7420</v>
      </c>
      <c r="X840" s="16">
        <f>HYPERLINK("https://my.pitchbook.com?p=454333-15P", "View People Online")</f>
      </c>
    </row>
    <row r="841">
      <c r="A841" t="s" s="11">
        <v>7421</v>
      </c>
      <c r="B841" t="s" s="11">
        <v>7422</v>
      </c>
      <c r="C841" t="s" s="11">
        <v>34</v>
      </c>
      <c r="D841" t="s" s="11">
        <v>7423</v>
      </c>
      <c r="E841" t="s" s="11">
        <v>3715</v>
      </c>
      <c r="F841" t="s" s="11">
        <v>5273</v>
      </c>
      <c r="G841" t="s" s="11">
        <v>5630</v>
      </c>
      <c r="H841" s="17">
        <f>HYPERLINK("http://www.biogx.com", "www.biogx.com")</f>
      </c>
      <c r="I841" t="s" s="11">
        <v>7425</v>
      </c>
      <c r="J841" t="s" s="25">
        <v>34</v>
      </c>
      <c r="K841" s="25">
        <v>1</v>
      </c>
      <c r="L841" t="s" s="25">
        <v>34</v>
      </c>
      <c r="M841" t="s" s="13">
        <v>7426</v>
      </c>
      <c r="N841" t="s" s="11">
        <v>7427</v>
      </c>
      <c r="O841" t="s" s="11">
        <v>6515</v>
      </c>
      <c r="P841" t="s" s="11">
        <v>7428</v>
      </c>
      <c r="Q841" t="s" s="11">
        <v>34</v>
      </c>
      <c r="R841" t="s" s="11">
        <v>208</v>
      </c>
      <c r="S841" t="s" s="11">
        <v>6243</v>
      </c>
      <c r="T841" t="s" s="13">
        <v>7429</v>
      </c>
      <c r="U841" t="s" s="11">
        <v>88</v>
      </c>
      <c r="V841" t="s" s="13">
        <v>7430</v>
      </c>
      <c r="W841" t="s" s="11">
        <v>7431</v>
      </c>
      <c r="X841" s="17">
        <f>HYPERLINK("https://my.pitchbook.com?p=172427-41P", "View People Online")</f>
      </c>
    </row>
    <row r="842">
      <c r="A842" t="s" s="10">
        <v>7432</v>
      </c>
      <c r="B842" t="s" s="10">
        <v>7433</v>
      </c>
      <c r="C842" t="s" s="10">
        <v>34</v>
      </c>
      <c r="D842" t="s" s="10">
        <v>7434</v>
      </c>
      <c r="E842" t="s" s="10">
        <v>3715</v>
      </c>
      <c r="F842" t="s" s="10">
        <v>7435</v>
      </c>
      <c r="G842" t="s" s="10">
        <v>7436</v>
      </c>
      <c r="H842" s="16">
        <f>HYPERLINK("http://www.confersolutions.ai", "www.confersolutions.ai")</f>
      </c>
      <c r="I842" t="s" s="10">
        <v>34</v>
      </c>
      <c r="J842" t="s" s="24">
        <v>34</v>
      </c>
      <c r="K842" t="s" s="24">
        <v>34</v>
      </c>
      <c r="L842" t="s" s="24">
        <v>34</v>
      </c>
      <c r="M842" t="s" s="12">
        <v>34</v>
      </c>
      <c r="N842" t="s" s="10">
        <v>34</v>
      </c>
      <c r="O842" t="s" s="10">
        <v>34</v>
      </c>
      <c r="P842" t="s" s="10">
        <v>34</v>
      </c>
      <c r="Q842" t="s" s="10">
        <v>34</v>
      </c>
      <c r="R842" t="s" s="10">
        <v>34</v>
      </c>
      <c r="S842" t="s" s="10">
        <v>34</v>
      </c>
      <c r="T842" t="s" s="12">
        <v>34</v>
      </c>
      <c r="U842" t="s" s="10">
        <v>34</v>
      </c>
      <c r="V842" t="s" s="12">
        <v>34</v>
      </c>
      <c r="W842" t="s" s="10">
        <v>7438</v>
      </c>
      <c r="X842" s="16">
        <f>HYPERLINK("https://my.pitchbook.com?p=315740-44P", "View People Online")</f>
      </c>
    </row>
    <row r="843">
      <c r="A843" t="s" s="11">
        <v>7439</v>
      </c>
      <c r="B843" t="s" s="11">
        <v>7440</v>
      </c>
      <c r="C843" t="s" s="11">
        <v>34</v>
      </c>
      <c r="D843" t="s" s="11">
        <v>7441</v>
      </c>
      <c r="E843" t="s" s="11">
        <v>3715</v>
      </c>
      <c r="F843" t="s" s="11">
        <v>7442</v>
      </c>
      <c r="G843" t="s" s="11">
        <v>7436</v>
      </c>
      <c r="H843" s="17">
        <f>HYPERLINK("http://www.yusha.ai", "www.yusha.ai")</f>
      </c>
      <c r="I843" t="s" s="11">
        <v>7444</v>
      </c>
      <c r="J843" t="s" s="25">
        <v>34</v>
      </c>
      <c r="K843" s="25">
        <v>1</v>
      </c>
      <c r="L843" t="s" s="25">
        <v>34</v>
      </c>
      <c r="M843" t="s" s="13">
        <v>34</v>
      </c>
      <c r="N843" t="s" s="11">
        <v>34</v>
      </c>
      <c r="O843" t="s" s="11">
        <v>355</v>
      </c>
      <c r="P843" t="s" s="11">
        <v>34</v>
      </c>
      <c r="Q843" t="s" s="11">
        <v>34</v>
      </c>
      <c r="R843" t="s" s="11">
        <v>358</v>
      </c>
      <c r="S843" t="s" s="11">
        <v>359</v>
      </c>
      <c r="T843" t="s" s="13">
        <v>34</v>
      </c>
      <c r="U843" t="s" s="11">
        <v>88</v>
      </c>
      <c r="V843" t="s" s="13">
        <v>34</v>
      </c>
      <c r="W843" t="s" s="11">
        <v>7445</v>
      </c>
      <c r="X843" s="17">
        <f>HYPERLINK("https://my.pitchbook.com?p=444849-40P", "View People Online")</f>
      </c>
    </row>
    <row r="844">
      <c r="A844" t="s" s="10">
        <v>7446</v>
      </c>
      <c r="B844" t="s" s="10">
        <v>7447</v>
      </c>
      <c r="C844" t="s" s="10">
        <v>34</v>
      </c>
      <c r="D844" t="s" s="10">
        <v>7448</v>
      </c>
      <c r="E844" t="s" s="10">
        <v>3715</v>
      </c>
      <c r="F844" t="s" s="10">
        <v>7449</v>
      </c>
      <c r="G844" t="s" s="10">
        <v>7436</v>
      </c>
      <c r="H844" s="16">
        <f>HYPERLINK("http://www.huahana.com", "www.huahana.com")</f>
      </c>
      <c r="I844" t="s" s="10">
        <v>57</v>
      </c>
      <c r="J844" t="s" s="24">
        <v>34</v>
      </c>
      <c r="K844" t="s" s="24">
        <v>34</v>
      </c>
      <c r="L844" t="s" s="24">
        <v>34</v>
      </c>
      <c r="M844" t="s" s="12">
        <v>7451</v>
      </c>
      <c r="N844" t="s" s="10">
        <v>34</v>
      </c>
      <c r="O844" t="s" s="10">
        <v>34</v>
      </c>
      <c r="P844" t="s" s="10">
        <v>34</v>
      </c>
      <c r="Q844" t="s" s="10">
        <v>34</v>
      </c>
      <c r="R844" t="s" s="10">
        <v>34</v>
      </c>
      <c r="S844" t="s" s="10">
        <v>34</v>
      </c>
      <c r="T844" t="s" s="12">
        <v>34</v>
      </c>
      <c r="U844" t="s" s="10">
        <v>34</v>
      </c>
      <c r="V844" t="s" s="12">
        <v>34</v>
      </c>
      <c r="W844" t="s" s="10">
        <v>7452</v>
      </c>
      <c r="X844" s="16">
        <f>HYPERLINK("https://my.pitchbook.com?p=459088-66P", "View People Online")</f>
      </c>
    </row>
    <row r="845">
      <c r="A845" t="s" s="11">
        <v>7453</v>
      </c>
      <c r="B845" t="s" s="11">
        <v>7454</v>
      </c>
      <c r="C845" t="s" s="11">
        <v>34</v>
      </c>
      <c r="D845" t="s" s="11">
        <v>3732</v>
      </c>
      <c r="E845" t="s" s="11">
        <v>3715</v>
      </c>
      <c r="F845" t="s" s="11">
        <v>7455</v>
      </c>
      <c r="G845" t="s" s="11">
        <v>7436</v>
      </c>
      <c r="H845" s="17">
        <f>HYPERLINK("http://easysoftindia.com", "easysoftindia.com")</f>
      </c>
      <c r="I845" t="s" s="11">
        <v>7456</v>
      </c>
      <c r="J845" t="s" s="25">
        <v>34</v>
      </c>
      <c r="K845" s="25">
        <v>1</v>
      </c>
      <c r="L845" t="s" s="25">
        <v>34</v>
      </c>
      <c r="M845" t="s" s="13">
        <v>3736</v>
      </c>
      <c r="N845" t="s" s="11">
        <v>7457</v>
      </c>
      <c r="O845" t="s" s="11">
        <v>3738</v>
      </c>
      <c r="P845" t="s" s="11">
        <v>3739</v>
      </c>
      <c r="Q845" t="s" s="11">
        <v>3740</v>
      </c>
      <c r="R845" t="s" s="11">
        <v>3741</v>
      </c>
      <c r="S845" t="s" s="11">
        <v>3742</v>
      </c>
      <c r="T845" t="s" s="13">
        <v>3743</v>
      </c>
      <c r="U845" t="s" s="11">
        <v>135</v>
      </c>
      <c r="V845" t="s" s="13">
        <v>34</v>
      </c>
      <c r="W845" t="s" s="11">
        <v>7458</v>
      </c>
      <c r="X845" s="17">
        <f>HYPERLINK("https://my.pitchbook.com?p=286015-87P", "View People Online")</f>
      </c>
    </row>
    <row r="846">
      <c r="A846" t="s" s="10">
        <v>7459</v>
      </c>
      <c r="B846" t="s" s="10">
        <v>7460</v>
      </c>
      <c r="C846" t="s" s="10">
        <v>34</v>
      </c>
      <c r="D846" t="s" s="10">
        <v>7461</v>
      </c>
      <c r="E846" t="s" s="10">
        <v>3715</v>
      </c>
      <c r="F846" t="s" s="10">
        <v>7462</v>
      </c>
      <c r="G846" t="s" s="10">
        <v>7436</v>
      </c>
      <c r="H846" s="16">
        <f>HYPERLINK("http://www.axionent.com", "www.axionent.com")</f>
      </c>
      <c r="I846" t="s" s="10">
        <v>322</v>
      </c>
      <c r="J846" t="s" s="24">
        <v>34</v>
      </c>
      <c r="K846" s="24">
        <v>1</v>
      </c>
      <c r="L846" t="s" s="24">
        <v>34</v>
      </c>
      <c r="M846" t="s" s="12">
        <v>7464</v>
      </c>
      <c r="N846" t="s" s="10">
        <v>34</v>
      </c>
      <c r="O846" t="s" s="10">
        <v>7465</v>
      </c>
      <c r="P846" t="s" s="10">
        <v>7466</v>
      </c>
      <c r="Q846" t="s" s="10">
        <v>7467</v>
      </c>
      <c r="R846" t="s" s="10">
        <v>7468</v>
      </c>
      <c r="S846" t="s" s="10">
        <v>225</v>
      </c>
      <c r="T846" t="s" s="12">
        <v>7469</v>
      </c>
      <c r="U846" t="s" s="10">
        <v>88</v>
      </c>
      <c r="V846" t="s" s="12">
        <v>34</v>
      </c>
      <c r="W846" t="s" s="10">
        <v>7470</v>
      </c>
      <c r="X846" s="16">
        <f>HYPERLINK("https://my.pitchbook.com?p=410261-68P", "View People Online")</f>
      </c>
    </row>
    <row r="847">
      <c r="A847" t="s" s="11">
        <v>7471</v>
      </c>
      <c r="B847" t="s" s="11">
        <v>7472</v>
      </c>
      <c r="C847" t="s" s="11">
        <v>34</v>
      </c>
      <c r="D847" t="s" s="11">
        <v>7473</v>
      </c>
      <c r="E847" t="s" s="11">
        <v>3715</v>
      </c>
      <c r="F847" t="s" s="11">
        <v>7474</v>
      </c>
      <c r="G847" t="s" s="11">
        <v>7436</v>
      </c>
      <c r="H847" s="17">
        <f>HYPERLINK("http://www.audius.co", "www.audius.co")</f>
      </c>
      <c r="I847" t="s" s="11">
        <v>7476</v>
      </c>
      <c r="J847" s="25">
        <v>1</v>
      </c>
      <c r="K847" s="25">
        <v>2</v>
      </c>
      <c r="L847" t="s" s="25">
        <v>34</v>
      </c>
      <c r="M847" t="s" s="13">
        <v>7477</v>
      </c>
      <c r="N847" t="s" s="11">
        <v>7478</v>
      </c>
      <c r="O847" t="s" s="11">
        <v>4086</v>
      </c>
      <c r="P847" t="s" s="11">
        <v>4153</v>
      </c>
      <c r="Q847" t="s" s="11">
        <v>7479</v>
      </c>
      <c r="R847" t="s" s="11">
        <v>4088</v>
      </c>
      <c r="S847" t="s" s="11">
        <v>1904</v>
      </c>
      <c r="T847" t="s" s="13">
        <v>7480</v>
      </c>
      <c r="U847" t="s" s="11">
        <v>88</v>
      </c>
      <c r="V847" t="s" s="13">
        <v>34</v>
      </c>
      <c r="W847" t="s" s="11">
        <v>7481</v>
      </c>
      <c r="X847" s="17">
        <f>HYPERLINK("https://my.pitchbook.com?p=40818-34P", "View People Online")</f>
      </c>
    </row>
    <row r="848">
      <c r="A848" t="s" s="10">
        <v>7482</v>
      </c>
      <c r="B848" t="s" s="10">
        <v>7483</v>
      </c>
      <c r="C848" t="s" s="10">
        <v>34</v>
      </c>
      <c r="D848" t="s" s="10">
        <v>7484</v>
      </c>
      <c r="E848" t="s" s="10">
        <v>3715</v>
      </c>
      <c r="F848" t="s" s="10">
        <v>7485</v>
      </c>
      <c r="G848" t="s" s="10">
        <v>7436</v>
      </c>
      <c r="H848" s="16">
        <f>HYPERLINK("http://neoexsolutions.com", "neoexsolutions.com")</f>
      </c>
      <c r="I848" t="s" s="10">
        <v>950</v>
      </c>
      <c r="J848" t="s" s="24">
        <v>34</v>
      </c>
      <c r="K848" s="24">
        <v>1</v>
      </c>
      <c r="L848" t="s" s="24">
        <v>34</v>
      </c>
      <c r="M848" t="s" s="12">
        <v>7487</v>
      </c>
      <c r="N848" t="s" s="10">
        <v>7488</v>
      </c>
      <c r="O848" t="s" s="10">
        <v>7489</v>
      </c>
      <c r="P848" t="s" s="10">
        <v>7490</v>
      </c>
      <c r="Q848" t="s" s="10">
        <v>34</v>
      </c>
      <c r="R848" t="s" s="10">
        <v>7491</v>
      </c>
      <c r="S848" t="s" s="10">
        <v>34</v>
      </c>
      <c r="T848" t="s" s="12">
        <v>34</v>
      </c>
      <c r="U848" t="s" s="10">
        <v>7492</v>
      </c>
      <c r="V848" t="s" s="12">
        <v>34</v>
      </c>
      <c r="W848" t="s" s="10">
        <v>7493</v>
      </c>
      <c r="X848" s="16">
        <f>HYPERLINK("https://my.pitchbook.com?p=379539-19P", "View People Online")</f>
      </c>
    </row>
    <row r="849">
      <c r="A849" t="s" s="11">
        <v>7494</v>
      </c>
      <c r="B849" t="s" s="11">
        <v>7495</v>
      </c>
      <c r="C849" t="s" s="11">
        <v>34</v>
      </c>
      <c r="D849" t="s" s="11">
        <v>4025</v>
      </c>
      <c r="E849" t="s" s="11">
        <v>3715</v>
      </c>
      <c r="F849" t="s" s="11">
        <v>7496</v>
      </c>
      <c r="G849" t="s" s="11">
        <v>7497</v>
      </c>
      <c r="H849" s="17">
        <f>HYPERLINK("http://www.royalgroupuae.com", "www.royalgroupuae.com")</f>
      </c>
      <c r="I849" t="s" s="11">
        <v>322</v>
      </c>
      <c r="J849" t="s" s="25">
        <v>34</v>
      </c>
      <c r="K849" s="25">
        <v>1</v>
      </c>
      <c r="L849" t="s" s="25">
        <v>34</v>
      </c>
      <c r="M849" t="s" s="13">
        <v>4028</v>
      </c>
      <c r="N849" t="s" s="11">
        <v>34</v>
      </c>
      <c r="O849" t="s" s="11">
        <v>385</v>
      </c>
      <c r="P849" t="s" s="11">
        <v>4030</v>
      </c>
      <c r="Q849" t="s" s="11">
        <v>34</v>
      </c>
      <c r="R849" t="s" s="11">
        <v>388</v>
      </c>
      <c r="S849" t="s" s="11">
        <v>34</v>
      </c>
      <c r="T849" t="s" s="13">
        <v>34</v>
      </c>
      <c r="U849" t="s" s="11">
        <v>240</v>
      </c>
      <c r="V849" t="s" s="13">
        <v>4031</v>
      </c>
      <c r="W849" t="s" s="11">
        <v>7498</v>
      </c>
      <c r="X849" s="17">
        <f>HYPERLINK("https://my.pitchbook.com?p=363433-87P", "View People Online")</f>
      </c>
    </row>
    <row r="850">
      <c r="A850" t="s" s="10">
        <v>7499</v>
      </c>
      <c r="B850" t="s" s="10">
        <v>7500</v>
      </c>
      <c r="C850" t="s" s="10">
        <v>34</v>
      </c>
      <c r="D850" t="s" s="10">
        <v>7501</v>
      </c>
      <c r="E850" t="s" s="10">
        <v>3715</v>
      </c>
      <c r="F850" t="s" s="10">
        <v>7502</v>
      </c>
      <c r="G850" t="s" s="10">
        <v>762</v>
      </c>
      <c r="H850" s="16">
        <f>HYPERLINK("http://www.ajmanholding.ae", "www.ajmanholding.ae")</f>
      </c>
      <c r="I850" t="s" s="10">
        <v>2321</v>
      </c>
      <c r="J850" s="24">
        <v>1</v>
      </c>
      <c r="K850" s="24">
        <v>2</v>
      </c>
      <c r="L850" s="24">
        <v>1</v>
      </c>
      <c r="M850" t="s" s="12">
        <v>7504</v>
      </c>
      <c r="N850" t="s" s="10">
        <v>34</v>
      </c>
      <c r="O850" t="s" s="10">
        <v>7505</v>
      </c>
      <c r="P850" t="s" s="10">
        <v>7506</v>
      </c>
      <c r="Q850" t="s" s="10">
        <v>34</v>
      </c>
      <c r="R850" t="s" s="10">
        <v>7507</v>
      </c>
      <c r="S850" t="s" s="10">
        <v>7507</v>
      </c>
      <c r="T850" t="s" s="12">
        <v>7508</v>
      </c>
      <c r="U850" t="s" s="10">
        <v>240</v>
      </c>
      <c r="V850" t="s" s="12">
        <v>34</v>
      </c>
      <c r="W850" t="s" s="10">
        <v>7509</v>
      </c>
      <c r="X850" s="16">
        <f>HYPERLINK("https://my.pitchbook.com?p=443920-06P", "View People Online")</f>
      </c>
    </row>
    <row r="851">
      <c r="A851" t="s" s="11">
        <v>7510</v>
      </c>
      <c r="B851" t="s" s="11">
        <v>7511</v>
      </c>
      <c r="C851" t="s" s="11">
        <v>34</v>
      </c>
      <c r="D851" t="s" s="11">
        <v>7512</v>
      </c>
      <c r="E851" t="s" s="11">
        <v>3715</v>
      </c>
      <c r="F851" t="s" s="11">
        <v>7513</v>
      </c>
      <c r="G851" t="s" s="11">
        <v>762</v>
      </c>
      <c r="H851" s="17">
        <f>HYPERLINK("http://www.amyris.com", "www.amyris.com")</f>
      </c>
      <c r="I851" t="s" s="11">
        <v>649</v>
      </c>
      <c r="J851" t="s" s="25">
        <v>34</v>
      </c>
      <c r="K851" t="s" s="25">
        <v>34</v>
      </c>
      <c r="L851" t="s" s="25">
        <v>34</v>
      </c>
      <c r="M851" t="s" s="13">
        <v>34</v>
      </c>
      <c r="N851" t="s" s="11">
        <v>34</v>
      </c>
      <c r="O851" t="s" s="11">
        <v>34</v>
      </c>
      <c r="P851" t="s" s="11">
        <v>34</v>
      </c>
      <c r="Q851" t="s" s="11">
        <v>34</v>
      </c>
      <c r="R851" t="s" s="11">
        <v>34</v>
      </c>
      <c r="S851" t="s" s="11">
        <v>34</v>
      </c>
      <c r="T851" t="s" s="13">
        <v>34</v>
      </c>
      <c r="U851" t="s" s="11">
        <v>34</v>
      </c>
      <c r="V851" t="s" s="13">
        <v>34</v>
      </c>
      <c r="W851" t="s" s="11">
        <v>7515</v>
      </c>
      <c r="X851" s="17">
        <f>HYPERLINK("https://my.pitchbook.com?p=52649-38P", "View People Online")</f>
      </c>
    </row>
    <row r="852">
      <c r="A852" t="s" s="10">
        <v>7516</v>
      </c>
      <c r="B852" t="s" s="10">
        <v>7517</v>
      </c>
      <c r="C852" t="s" s="10">
        <v>34</v>
      </c>
      <c r="D852" t="s" s="10">
        <v>3802</v>
      </c>
      <c r="E852" t="s" s="10">
        <v>3715</v>
      </c>
      <c r="F852" t="s" s="10">
        <v>7518</v>
      </c>
      <c r="G852" t="s" s="10">
        <v>7519</v>
      </c>
      <c r="H852" s="16">
        <f>HYPERLINK("http://www.qatarluxurygroup.com", "www.qatarluxurygroup.com")</f>
      </c>
      <c r="I852" t="s" s="10">
        <v>7520</v>
      </c>
      <c r="J852" t="s" s="24">
        <v>34</v>
      </c>
      <c r="K852" t="s" s="24">
        <v>34</v>
      </c>
      <c r="L852" t="s" s="24">
        <v>34</v>
      </c>
      <c r="M852" t="s" s="12">
        <v>34</v>
      </c>
      <c r="N852" t="s" s="10">
        <v>34</v>
      </c>
      <c r="O852" t="s" s="10">
        <v>34</v>
      </c>
      <c r="P852" t="s" s="10">
        <v>34</v>
      </c>
      <c r="Q852" t="s" s="10">
        <v>34</v>
      </c>
      <c r="R852" t="s" s="10">
        <v>34</v>
      </c>
      <c r="S852" t="s" s="10">
        <v>34</v>
      </c>
      <c r="T852" t="s" s="12">
        <v>34</v>
      </c>
      <c r="U852" t="s" s="10">
        <v>34</v>
      </c>
      <c r="V852" t="s" s="12">
        <v>34</v>
      </c>
      <c r="W852" t="s" s="10">
        <v>7521</v>
      </c>
      <c r="X852" s="16">
        <f>HYPERLINK("https://my.pitchbook.com?p=63431-92P", "View People Online")</f>
      </c>
    </row>
    <row r="853">
      <c r="A853" t="s" s="11">
        <v>7522</v>
      </c>
      <c r="B853" t="s" s="11">
        <v>7523</v>
      </c>
      <c r="C853" t="s" s="11">
        <v>34</v>
      </c>
      <c r="D853" t="s" s="11">
        <v>7524</v>
      </c>
      <c r="E853" t="s" s="11">
        <v>3715</v>
      </c>
      <c r="F853" t="s" s="11">
        <v>1256</v>
      </c>
      <c r="G853" t="s" s="11">
        <v>7525</v>
      </c>
      <c r="H853" s="17">
        <f>HYPERLINK("http://www.alkhaliji.com", "www.alkhaliji.com")</f>
      </c>
      <c r="I853" t="s" s="11">
        <v>34</v>
      </c>
      <c r="J853" t="s" s="25">
        <v>34</v>
      </c>
      <c r="K853" t="s" s="25">
        <v>34</v>
      </c>
      <c r="L853" t="s" s="25">
        <v>34</v>
      </c>
      <c r="M853" t="s" s="13">
        <v>34</v>
      </c>
      <c r="N853" t="s" s="11">
        <v>34</v>
      </c>
      <c r="O853" t="s" s="11">
        <v>34</v>
      </c>
      <c r="P853" t="s" s="11">
        <v>34</v>
      </c>
      <c r="Q853" t="s" s="11">
        <v>34</v>
      </c>
      <c r="R853" t="s" s="11">
        <v>34</v>
      </c>
      <c r="S853" t="s" s="11">
        <v>34</v>
      </c>
      <c r="T853" t="s" s="13">
        <v>34</v>
      </c>
      <c r="U853" t="s" s="11">
        <v>34</v>
      </c>
      <c r="V853" t="s" s="13">
        <v>34</v>
      </c>
      <c r="W853" t="s" s="11">
        <v>7527</v>
      </c>
      <c r="X853" s="17">
        <f>HYPERLINK("https://my.pitchbook.com?p=142025-77P", "View People Online")</f>
      </c>
    </row>
    <row r="854">
      <c r="A854" t="s" s="10">
        <v>7528</v>
      </c>
      <c r="B854" t="s" s="10">
        <v>7529</v>
      </c>
      <c r="C854" t="s" s="10">
        <v>34</v>
      </c>
      <c r="D854" t="s" s="10">
        <v>7530</v>
      </c>
      <c r="E854" t="s" s="10">
        <v>3715</v>
      </c>
      <c r="F854" t="s" s="10">
        <v>7531</v>
      </c>
      <c r="G854" t="s" s="10">
        <v>7532</v>
      </c>
      <c r="H854" s="16">
        <f>HYPERLINK("http://www.qe.com.qa", "www.qe.com.qa")</f>
      </c>
      <c r="I854" t="s" s="10">
        <v>649</v>
      </c>
      <c r="J854" s="24">
        <v>1</v>
      </c>
      <c r="K854" s="24">
        <v>1</v>
      </c>
      <c r="L854" t="s" s="24">
        <v>34</v>
      </c>
      <c r="M854" t="s" s="12">
        <v>7534</v>
      </c>
      <c r="N854" t="s" s="10">
        <v>34</v>
      </c>
      <c r="O854" t="s" s="10">
        <v>59</v>
      </c>
      <c r="P854" t="s" s="10">
        <v>7535</v>
      </c>
      <c r="Q854" t="s" s="10">
        <v>7536</v>
      </c>
      <c r="R854" t="s" s="10">
        <v>62</v>
      </c>
      <c r="S854" t="s" s="10">
        <v>34</v>
      </c>
      <c r="T854" t="s" s="12">
        <v>34</v>
      </c>
      <c r="U854" t="s" s="10">
        <v>64</v>
      </c>
      <c r="V854" t="s" s="12">
        <v>7537</v>
      </c>
      <c r="W854" t="s" s="10">
        <v>7538</v>
      </c>
      <c r="X854" s="16">
        <f>HYPERLINK("https://my.pitchbook.com?p=54490-87P", "View People Online")</f>
      </c>
    </row>
    <row r="855">
      <c r="A855" t="s" s="11">
        <v>7539</v>
      </c>
      <c r="B855" t="s" s="11">
        <v>7540</v>
      </c>
      <c r="C855" t="s" s="11">
        <v>34</v>
      </c>
      <c r="D855" t="s" s="11">
        <v>3924</v>
      </c>
      <c r="E855" t="s" s="11">
        <v>3715</v>
      </c>
      <c r="F855" t="s" s="11">
        <v>3560</v>
      </c>
      <c r="G855" t="s" s="11">
        <v>7541</v>
      </c>
      <c r="H855" s="17">
        <f>HYPERLINK("http://www.g42.ai", "www.g42.ai")</f>
      </c>
      <c r="I855" t="s" s="11">
        <v>7542</v>
      </c>
      <c r="J855" s="25">
        <v>1</v>
      </c>
      <c r="K855" s="25">
        <v>1</v>
      </c>
      <c r="L855" t="s" s="25">
        <v>34</v>
      </c>
      <c r="M855" t="s" s="13">
        <v>34</v>
      </c>
      <c r="N855" t="s" s="11">
        <v>7543</v>
      </c>
      <c r="O855" t="s" s="11">
        <v>385</v>
      </c>
      <c r="P855" t="s" s="11">
        <v>3930</v>
      </c>
      <c r="Q855" t="s" s="11">
        <v>3931</v>
      </c>
      <c r="R855" t="s" s="11">
        <v>388</v>
      </c>
      <c r="S855" t="s" s="11">
        <v>34</v>
      </c>
      <c r="T855" t="s" s="13">
        <v>34</v>
      </c>
      <c r="U855" t="s" s="11">
        <v>240</v>
      </c>
      <c r="V855" t="s" s="13">
        <v>34</v>
      </c>
      <c r="W855" t="s" s="11">
        <v>7544</v>
      </c>
      <c r="X855" s="17">
        <f>HYPERLINK("https://my.pitchbook.com?p=259622-92P", "View People Online")</f>
      </c>
    </row>
    <row r="856">
      <c r="A856" t="s" s="10">
        <v>7545</v>
      </c>
      <c r="B856" t="s" s="10">
        <v>7546</v>
      </c>
      <c r="C856" t="s" s="10">
        <v>34</v>
      </c>
      <c r="D856" t="s" s="10">
        <v>7547</v>
      </c>
      <c r="E856" t="s" s="10">
        <v>3715</v>
      </c>
      <c r="F856" t="s" s="10">
        <v>5418</v>
      </c>
      <c r="G856" t="s" s="10">
        <v>7548</v>
      </c>
      <c r="H856" s="16">
        <f>HYPERLINK("http://www.symcor.ca", "www.symcor.ca")</f>
      </c>
      <c r="I856" t="s" s="10">
        <v>7141</v>
      </c>
      <c r="J856" t="s" s="24">
        <v>34</v>
      </c>
      <c r="K856" t="s" s="24">
        <v>34</v>
      </c>
      <c r="L856" t="s" s="24">
        <v>34</v>
      </c>
      <c r="M856" t="s" s="12">
        <v>7550</v>
      </c>
      <c r="N856" t="s" s="10">
        <v>7551</v>
      </c>
      <c r="O856" t="s" s="10">
        <v>34</v>
      </c>
      <c r="P856" t="s" s="10">
        <v>34</v>
      </c>
      <c r="Q856" t="s" s="10">
        <v>34</v>
      </c>
      <c r="R856" t="s" s="10">
        <v>34</v>
      </c>
      <c r="S856" t="s" s="10">
        <v>34</v>
      </c>
      <c r="T856" t="s" s="12">
        <v>34</v>
      </c>
      <c r="U856" t="s" s="10">
        <v>34</v>
      </c>
      <c r="V856" t="s" s="12">
        <v>34</v>
      </c>
      <c r="W856" t="s" s="10">
        <v>7552</v>
      </c>
      <c r="X856" s="16">
        <f>HYPERLINK("https://my.pitchbook.com?p=310043-35P", "View People Online")</f>
      </c>
    </row>
    <row r="857">
      <c r="A857" t="s" s="11">
        <v>7553</v>
      </c>
      <c r="B857" t="s" s="11">
        <v>7554</v>
      </c>
      <c r="C857" t="s" s="11">
        <v>34</v>
      </c>
      <c r="D857" t="s" s="11">
        <v>7555</v>
      </c>
      <c r="E857" t="s" s="11">
        <v>3715</v>
      </c>
      <c r="F857" t="s" s="11">
        <v>7556</v>
      </c>
      <c r="G857" t="s" s="11">
        <v>7557</v>
      </c>
      <c r="H857" s="17">
        <f>HYPERLINK("http://www.siger-data.com", "www.siger-data.com")</f>
      </c>
      <c r="I857" t="s" s="11">
        <v>7559</v>
      </c>
      <c r="J857" s="25">
        <v>1</v>
      </c>
      <c r="K857" s="25">
        <v>1</v>
      </c>
      <c r="L857" t="s" s="25">
        <v>34</v>
      </c>
      <c r="M857" t="s" s="13">
        <v>7560</v>
      </c>
      <c r="N857" t="s" s="11">
        <v>7561</v>
      </c>
      <c r="O857" t="s" s="11">
        <v>7562</v>
      </c>
      <c r="P857" t="s" s="11">
        <v>7563</v>
      </c>
      <c r="Q857" t="s" s="11">
        <v>7564</v>
      </c>
      <c r="R857" t="s" s="11">
        <v>7565</v>
      </c>
      <c r="S857" t="s" s="11">
        <v>5463</v>
      </c>
      <c r="T857" t="s" s="13">
        <v>34</v>
      </c>
      <c r="U857" t="s" s="11">
        <v>5013</v>
      </c>
      <c r="V857" t="s" s="13">
        <v>7560</v>
      </c>
      <c r="W857" t="s" s="11">
        <v>7566</v>
      </c>
      <c r="X857" s="17">
        <f>HYPERLINK("https://my.pitchbook.com?p=223399-45P", "View People Online")</f>
      </c>
    </row>
    <row r="858">
      <c r="A858" t="s" s="10">
        <v>7567</v>
      </c>
      <c r="B858" t="s" s="10">
        <v>7568</v>
      </c>
      <c r="C858" t="s" s="10">
        <v>34</v>
      </c>
      <c r="D858" t="s" s="10">
        <v>3809</v>
      </c>
      <c r="E858" t="s" s="10">
        <v>3715</v>
      </c>
      <c r="F858" t="s" s="10">
        <v>7569</v>
      </c>
      <c r="G858" t="s" s="10">
        <v>7570</v>
      </c>
      <c r="H858" s="16">
        <f>HYPERLINK("http://www.arada.com", "www.arada.com")</f>
      </c>
      <c r="I858" t="s" s="10">
        <v>234</v>
      </c>
      <c r="J858" t="s" s="24">
        <v>34</v>
      </c>
      <c r="K858" s="24">
        <v>2</v>
      </c>
      <c r="L858" t="s" s="24">
        <v>34</v>
      </c>
      <c r="M858" t="s" s="12">
        <v>3812</v>
      </c>
      <c r="N858" t="s" s="10">
        <v>7571</v>
      </c>
      <c r="O858" t="s" s="10">
        <v>236</v>
      </c>
      <c r="P858" t="s" s="10">
        <v>3813</v>
      </c>
      <c r="Q858" t="s" s="10">
        <v>3814</v>
      </c>
      <c r="R858" t="s" s="10">
        <v>239</v>
      </c>
      <c r="S858" t="s" s="10">
        <v>34</v>
      </c>
      <c r="T858" t="s" s="12">
        <v>34</v>
      </c>
      <c r="U858" t="s" s="10">
        <v>240</v>
      </c>
      <c r="V858" t="s" s="12">
        <v>34</v>
      </c>
      <c r="W858" t="s" s="10">
        <v>7572</v>
      </c>
      <c r="X858" s="16">
        <f>HYPERLINK("https://my.pitchbook.com?p=293881-78P", "View People Online")</f>
      </c>
    </row>
    <row r="859">
      <c r="A859" t="s" s="11">
        <v>7573</v>
      </c>
      <c r="B859" t="s" s="11">
        <v>7574</v>
      </c>
      <c r="C859" t="s" s="11">
        <v>34</v>
      </c>
      <c r="D859" t="s" s="11">
        <v>7575</v>
      </c>
      <c r="E859" t="s" s="11">
        <v>3715</v>
      </c>
      <c r="F859" t="s" s="11">
        <v>7576</v>
      </c>
      <c r="G859" t="s" s="11">
        <v>7577</v>
      </c>
      <c r="H859" s="17">
        <f>HYPERLINK("http://www.artbugs.in", "www.artbugs.in")</f>
      </c>
      <c r="I859" t="s" s="11">
        <v>7579</v>
      </c>
      <c r="J859" t="s" s="25">
        <v>34</v>
      </c>
      <c r="K859" t="s" s="25">
        <v>34</v>
      </c>
      <c r="L859" t="s" s="25">
        <v>34</v>
      </c>
      <c r="M859" t="s" s="13">
        <v>34</v>
      </c>
      <c r="N859" t="s" s="11">
        <v>34</v>
      </c>
      <c r="O859" t="s" s="11">
        <v>34</v>
      </c>
      <c r="P859" t="s" s="11">
        <v>34</v>
      </c>
      <c r="Q859" t="s" s="11">
        <v>34</v>
      </c>
      <c r="R859" t="s" s="11">
        <v>34</v>
      </c>
      <c r="S859" t="s" s="11">
        <v>34</v>
      </c>
      <c r="T859" t="s" s="13">
        <v>34</v>
      </c>
      <c r="U859" t="s" s="11">
        <v>34</v>
      </c>
      <c r="V859" t="s" s="13">
        <v>34</v>
      </c>
      <c r="W859" t="s" s="11">
        <v>7580</v>
      </c>
      <c r="X859" s="17">
        <f>HYPERLINK("https://my.pitchbook.com?p=150102-37P", "View People Online")</f>
      </c>
    </row>
    <row r="860">
      <c r="A860" t="s" s="10">
        <v>7581</v>
      </c>
      <c r="B860" t="s" s="10">
        <v>7582</v>
      </c>
      <c r="C860" t="s" s="10">
        <v>34</v>
      </c>
      <c r="D860" t="s" s="10">
        <v>3809</v>
      </c>
      <c r="E860" t="s" s="10">
        <v>3715</v>
      </c>
      <c r="F860" t="s" s="10">
        <v>7583</v>
      </c>
      <c r="G860" t="s" s="10">
        <v>7584</v>
      </c>
      <c r="H860" s="16">
        <f>HYPERLINK("http://www.arada.com", "www.arada.com")</f>
      </c>
      <c r="I860" t="s" s="10">
        <v>4661</v>
      </c>
      <c r="J860" t="s" s="24">
        <v>34</v>
      </c>
      <c r="K860" s="24">
        <v>1</v>
      </c>
      <c r="L860" t="s" s="24">
        <v>34</v>
      </c>
      <c r="M860" t="s" s="12">
        <v>3812</v>
      </c>
      <c r="N860" t="s" s="10">
        <v>7585</v>
      </c>
      <c r="O860" t="s" s="10">
        <v>236</v>
      </c>
      <c r="P860" t="s" s="10">
        <v>3813</v>
      </c>
      <c r="Q860" t="s" s="10">
        <v>3814</v>
      </c>
      <c r="R860" t="s" s="10">
        <v>239</v>
      </c>
      <c r="S860" t="s" s="10">
        <v>34</v>
      </c>
      <c r="T860" t="s" s="12">
        <v>34</v>
      </c>
      <c r="U860" t="s" s="10">
        <v>240</v>
      </c>
      <c r="V860" t="s" s="12">
        <v>34</v>
      </c>
      <c r="W860" t="s" s="10">
        <v>7586</v>
      </c>
      <c r="X860" s="16">
        <f>HYPERLINK("https://my.pitchbook.com?p=293879-89P", "View People Online")</f>
      </c>
    </row>
    <row r="861">
      <c r="A861" t="s" s="11">
        <v>7587</v>
      </c>
      <c r="B861" t="s" s="11">
        <v>7588</v>
      </c>
      <c r="C861" t="s" s="11">
        <v>34</v>
      </c>
      <c r="D861" t="s" s="11">
        <v>7589</v>
      </c>
      <c r="E861" t="s" s="11">
        <v>3715</v>
      </c>
      <c r="F861" t="s" s="11">
        <v>7590</v>
      </c>
      <c r="G861" t="s" s="11">
        <v>7591</v>
      </c>
      <c r="H861" s="17">
        <f>HYPERLINK("http://www.kaiima.com.br", "www.kaiima.com.br")</f>
      </c>
      <c r="I861" t="s" s="11">
        <v>7593</v>
      </c>
      <c r="J861" t="s" s="25">
        <v>34</v>
      </c>
      <c r="K861" t="s" s="25">
        <v>34</v>
      </c>
      <c r="L861" t="s" s="25">
        <v>34</v>
      </c>
      <c r="M861" t="s" s="13">
        <v>34</v>
      </c>
      <c r="N861" t="s" s="11">
        <v>34</v>
      </c>
      <c r="O861" t="s" s="11">
        <v>34</v>
      </c>
      <c r="P861" t="s" s="11">
        <v>34</v>
      </c>
      <c r="Q861" t="s" s="11">
        <v>34</v>
      </c>
      <c r="R861" t="s" s="11">
        <v>34</v>
      </c>
      <c r="S861" t="s" s="11">
        <v>34</v>
      </c>
      <c r="T861" t="s" s="13">
        <v>34</v>
      </c>
      <c r="U861" t="s" s="11">
        <v>34</v>
      </c>
      <c r="V861" t="s" s="13">
        <v>34</v>
      </c>
      <c r="W861" t="s" s="11">
        <v>7594</v>
      </c>
      <c r="X861" s="17">
        <f>HYPERLINK("https://my.pitchbook.com?p=135832-06P", "View People Online")</f>
      </c>
    </row>
    <row r="862">
      <c r="A862" t="s" s="10">
        <v>7595</v>
      </c>
      <c r="B862" t="s" s="10">
        <v>7596</v>
      </c>
      <c r="C862" t="s" s="10">
        <v>34</v>
      </c>
      <c r="D862" t="s" s="10">
        <v>7597</v>
      </c>
      <c r="E862" t="s" s="10">
        <v>3715</v>
      </c>
      <c r="F862" t="s" s="10">
        <v>7598</v>
      </c>
      <c r="G862" t="s" s="10">
        <v>1293</v>
      </c>
      <c r="H862" s="16">
        <f>HYPERLINK("http://www.borealishotelgroup.com", "www.borealishotelgroup.com")</f>
      </c>
      <c r="I862" t="s" s="10">
        <v>234</v>
      </c>
      <c r="J862" t="s" s="24">
        <v>34</v>
      </c>
      <c r="K862" s="24">
        <v>1</v>
      </c>
      <c r="L862" t="s" s="24">
        <v>34</v>
      </c>
      <c r="M862" t="s" s="12">
        <v>7600</v>
      </c>
      <c r="N862" t="s" s="10">
        <v>7601</v>
      </c>
      <c r="O862" t="s" s="10">
        <v>7602</v>
      </c>
      <c r="P862" t="s" s="10">
        <v>7603</v>
      </c>
      <c r="Q862" t="s" s="10">
        <v>34</v>
      </c>
      <c r="R862" t="s" s="10">
        <v>7604</v>
      </c>
      <c r="S862" t="s" s="10">
        <v>34</v>
      </c>
      <c r="T862" t="s" s="12">
        <v>7605</v>
      </c>
      <c r="U862" t="s" s="10">
        <v>103</v>
      </c>
      <c r="V862" t="s" s="12">
        <v>34</v>
      </c>
      <c r="W862" t="s" s="10">
        <v>7606</v>
      </c>
      <c r="X862" s="16">
        <f>HYPERLINK("https://my.pitchbook.com?p=390433-06P", "View People Online")</f>
      </c>
    </row>
    <row r="863">
      <c r="A863" t="s" s="11">
        <v>7607</v>
      </c>
      <c r="B863" t="s" s="11">
        <v>7608</v>
      </c>
      <c r="C863" t="s" s="11">
        <v>34</v>
      </c>
      <c r="D863" t="s" s="11">
        <v>7609</v>
      </c>
      <c r="E863" t="s" s="11">
        <v>3715</v>
      </c>
      <c r="F863" t="s" s="11">
        <v>7610</v>
      </c>
      <c r="G863" t="s" s="11">
        <v>1996</v>
      </c>
      <c r="H863" s="17">
        <f>HYPERLINK("http://www.cityfootballgroup.com", "www.cityfootballgroup.com")</f>
      </c>
      <c r="I863" t="s" s="11">
        <v>1406</v>
      </c>
      <c r="J863" t="s" s="25">
        <v>34</v>
      </c>
      <c r="K863" s="25">
        <v>1</v>
      </c>
      <c r="L863" t="s" s="25">
        <v>34</v>
      </c>
      <c r="M863" t="s" s="13">
        <v>7612</v>
      </c>
      <c r="N863" t="s" s="11">
        <v>34</v>
      </c>
      <c r="O863" t="s" s="11">
        <v>1075</v>
      </c>
      <c r="P863" t="s" s="11">
        <v>7613</v>
      </c>
      <c r="Q863" t="s" s="11">
        <v>34</v>
      </c>
      <c r="R863" t="s" s="11">
        <v>1077</v>
      </c>
      <c r="S863" t="s" s="11">
        <v>47</v>
      </c>
      <c r="T863" t="s" s="13">
        <v>7614</v>
      </c>
      <c r="U863" t="s" s="11">
        <v>49</v>
      </c>
      <c r="V863" t="s" s="13">
        <v>34</v>
      </c>
      <c r="W863" t="s" s="11">
        <v>7615</v>
      </c>
      <c r="X863" s="17">
        <f>HYPERLINK("https://my.pitchbook.com?p=369518-68P", "View People Online")</f>
      </c>
    </row>
    <row r="864">
      <c r="A864" t="s" s="10">
        <v>7616</v>
      </c>
      <c r="B864" t="s" s="10">
        <v>7617</v>
      </c>
      <c r="C864" t="s" s="10">
        <v>34</v>
      </c>
      <c r="D864" t="s" s="10">
        <v>7618</v>
      </c>
      <c r="E864" t="s" s="10">
        <v>3715</v>
      </c>
      <c r="F864" t="s" s="10">
        <v>7619</v>
      </c>
      <c r="G864" t="s" s="10">
        <v>1996</v>
      </c>
      <c r="H864" s="16">
        <f>HYPERLINK("http://www.hyflux.com", "www.hyflux.com")</f>
      </c>
      <c r="I864" t="s" s="10">
        <v>649</v>
      </c>
      <c r="J864" t="s" s="24">
        <v>34</v>
      </c>
      <c r="K864" t="s" s="24">
        <v>34</v>
      </c>
      <c r="L864" t="s" s="24">
        <v>34</v>
      </c>
      <c r="M864" t="s" s="12">
        <v>34</v>
      </c>
      <c r="N864" t="s" s="10">
        <v>34</v>
      </c>
      <c r="O864" t="s" s="10">
        <v>34</v>
      </c>
      <c r="P864" t="s" s="10">
        <v>34</v>
      </c>
      <c r="Q864" t="s" s="10">
        <v>34</v>
      </c>
      <c r="R864" t="s" s="10">
        <v>34</v>
      </c>
      <c r="S864" t="s" s="10">
        <v>34</v>
      </c>
      <c r="T864" t="s" s="12">
        <v>34</v>
      </c>
      <c r="U864" t="s" s="10">
        <v>34</v>
      </c>
      <c r="V864" t="s" s="12">
        <v>34</v>
      </c>
      <c r="W864" t="s" s="10">
        <v>7621</v>
      </c>
      <c r="X864" s="16">
        <f>HYPERLINK("https://my.pitchbook.com?p=195405-13P", "View People Online")</f>
      </c>
    </row>
    <row r="865">
      <c r="A865" t="s" s="11">
        <v>7622</v>
      </c>
      <c r="B865" t="s" s="11">
        <v>7623</v>
      </c>
      <c r="C865" t="s" s="11">
        <v>34</v>
      </c>
      <c r="D865" t="s" s="11">
        <v>7624</v>
      </c>
      <c r="E865" t="s" s="11">
        <v>3715</v>
      </c>
      <c r="F865" t="s" s="11">
        <v>7625</v>
      </c>
      <c r="G865" t="s" s="11">
        <v>7626</v>
      </c>
      <c r="H865" s="17">
        <f>HYPERLINK("http://www.amkcambodia.com", "www.amkcambodia.com")</f>
      </c>
      <c r="I865" t="s" s="11">
        <v>4295</v>
      </c>
      <c r="J865" t="s" s="25">
        <v>34</v>
      </c>
      <c r="K865" s="25">
        <v>1</v>
      </c>
      <c r="L865" t="s" s="25">
        <v>34</v>
      </c>
      <c r="M865" t="s" s="13">
        <v>7628</v>
      </c>
      <c r="N865" t="s" s="11">
        <v>7629</v>
      </c>
      <c r="O865" t="s" s="11">
        <v>2347</v>
      </c>
      <c r="P865" t="s" s="11">
        <v>7630</v>
      </c>
      <c r="Q865" t="s" s="11">
        <v>7631</v>
      </c>
      <c r="R865" t="s" s="11">
        <v>2349</v>
      </c>
      <c r="S865" t="s" s="11">
        <v>34</v>
      </c>
      <c r="T865" t="s" s="13">
        <v>34</v>
      </c>
      <c r="U865" t="s" s="11">
        <v>2350</v>
      </c>
      <c r="V865" t="s" s="13">
        <v>7632</v>
      </c>
      <c r="W865" t="s" s="11">
        <v>7633</v>
      </c>
      <c r="X865" s="17">
        <f>HYPERLINK("https://my.pitchbook.com?p=152707-42P", "View People Online")</f>
      </c>
    </row>
    <row r="866">
      <c r="A866" t="s" s="10">
        <v>7634</v>
      </c>
      <c r="B866" t="s" s="10">
        <v>7635</v>
      </c>
      <c r="C866" t="s" s="10">
        <v>34</v>
      </c>
      <c r="D866" t="s" s="10">
        <v>7636</v>
      </c>
      <c r="E866" t="s" s="10">
        <v>3715</v>
      </c>
      <c r="F866" t="s" s="10">
        <v>7637</v>
      </c>
      <c r="G866" t="s" s="10">
        <v>7638</v>
      </c>
      <c r="H866" s="16">
        <f>HYPERLINK("http://www.vibrotwist.com", "www.vibrotwist.com")</f>
      </c>
      <c r="I866" t="s" s="10">
        <v>3735</v>
      </c>
      <c r="J866" t="s" s="24">
        <v>34</v>
      </c>
      <c r="K866" s="24">
        <v>1</v>
      </c>
      <c r="L866" t="s" s="24">
        <v>34</v>
      </c>
      <c r="M866" t="s" s="12">
        <v>34</v>
      </c>
      <c r="N866" t="s" s="10">
        <v>34</v>
      </c>
      <c r="O866" t="s" s="10">
        <v>7640</v>
      </c>
      <c r="P866" t="s" s="10">
        <v>7641</v>
      </c>
      <c r="Q866" t="s" s="10">
        <v>34</v>
      </c>
      <c r="R866" t="s" s="10">
        <v>7642</v>
      </c>
      <c r="S866" t="s" s="10">
        <v>7643</v>
      </c>
      <c r="T866" t="s" s="12">
        <v>7644</v>
      </c>
      <c r="U866" t="s" s="10">
        <v>103</v>
      </c>
      <c r="V866" t="s" s="12">
        <v>34</v>
      </c>
      <c r="W866" t="s" s="10">
        <v>7645</v>
      </c>
      <c r="X866" s="16">
        <f>HYPERLINK("https://my.pitchbook.com?p=335027-89P", "View People Online")</f>
      </c>
    </row>
    <row r="867">
      <c r="A867" t="s" s="11">
        <v>7646</v>
      </c>
      <c r="B867" t="s" s="11">
        <v>7647</v>
      </c>
      <c r="C867" t="s" s="11">
        <v>34</v>
      </c>
      <c r="D867" t="s" s="11">
        <v>7648</v>
      </c>
      <c r="E867" t="s" s="11">
        <v>3715</v>
      </c>
      <c r="F867" t="s" s="11">
        <v>7649</v>
      </c>
      <c r="G867" t="s" s="11">
        <v>2877</v>
      </c>
      <c r="H867" s="17">
        <f>HYPERLINK("http://www.centrumbank.com", "www.centrumbank.com")</f>
      </c>
      <c r="I867" t="s" s="11">
        <v>839</v>
      </c>
      <c r="J867" t="s" s="25">
        <v>34</v>
      </c>
      <c r="K867" t="s" s="25">
        <v>34</v>
      </c>
      <c r="L867" t="s" s="25">
        <v>34</v>
      </c>
      <c r="M867" t="s" s="13">
        <v>34</v>
      </c>
      <c r="N867" t="s" s="11">
        <v>34</v>
      </c>
      <c r="O867" t="s" s="11">
        <v>34</v>
      </c>
      <c r="P867" t="s" s="11">
        <v>34</v>
      </c>
      <c r="Q867" t="s" s="11">
        <v>34</v>
      </c>
      <c r="R867" t="s" s="11">
        <v>34</v>
      </c>
      <c r="S867" t="s" s="11">
        <v>34</v>
      </c>
      <c r="T867" t="s" s="13">
        <v>34</v>
      </c>
      <c r="U867" t="s" s="11">
        <v>34</v>
      </c>
      <c r="V867" t="s" s="13">
        <v>34</v>
      </c>
      <c r="W867" t="s" s="11">
        <v>7651</v>
      </c>
      <c r="X867" s="17">
        <f>HYPERLINK("https://my.pitchbook.com?p=121843-27P", "View People Online")</f>
      </c>
    </row>
    <row r="868">
      <c r="A868" t="s" s="10">
        <v>7652</v>
      </c>
      <c r="B868" t="s" s="10">
        <v>7653</v>
      </c>
      <c r="C868" t="s" s="10">
        <v>34</v>
      </c>
      <c r="D868" t="s" s="10">
        <v>7654</v>
      </c>
      <c r="E868" t="s" s="10">
        <v>3715</v>
      </c>
      <c r="F868" t="s" s="10">
        <v>7655</v>
      </c>
      <c r="G868" t="s" s="10">
        <v>2877</v>
      </c>
      <c r="H868" s="16">
        <f>HYPERLINK("http://www.telosinc.com", "www.telosinc.com")</f>
      </c>
      <c r="I868" t="s" s="10">
        <v>5795</v>
      </c>
      <c r="J868" t="s" s="24">
        <v>34</v>
      </c>
      <c r="K868" s="24">
        <v>1</v>
      </c>
      <c r="L868" t="s" s="24">
        <v>34</v>
      </c>
      <c r="M868" t="s" s="12">
        <v>7657</v>
      </c>
      <c r="N868" t="s" s="10">
        <v>7658</v>
      </c>
      <c r="O868" t="s" s="10">
        <v>7659</v>
      </c>
      <c r="P868" t="s" s="10">
        <v>7660</v>
      </c>
      <c r="Q868" t="s" s="10">
        <v>7661</v>
      </c>
      <c r="R868" t="s" s="10">
        <v>7662</v>
      </c>
      <c r="S868" t="s" s="10">
        <v>1904</v>
      </c>
      <c r="T868" t="s" s="12">
        <v>7663</v>
      </c>
      <c r="U868" t="s" s="10">
        <v>88</v>
      </c>
      <c r="V868" t="s" s="12">
        <v>7664</v>
      </c>
      <c r="W868" t="s" s="10">
        <v>7665</v>
      </c>
      <c r="X868" s="16">
        <f>HYPERLINK("https://my.pitchbook.com?p=295370-74P", "View People Online")</f>
      </c>
    </row>
    <row r="869">
      <c r="A869" t="s" s="11">
        <v>7666</v>
      </c>
      <c r="B869" t="s" s="11">
        <v>7667</v>
      </c>
      <c r="C869" t="s" s="11">
        <v>34</v>
      </c>
      <c r="D869" t="s" s="11">
        <v>7668</v>
      </c>
      <c r="E869" t="s" s="11">
        <v>3715</v>
      </c>
      <c r="F869" t="s" s="11">
        <v>7669</v>
      </c>
      <c r="G869" t="s" s="11">
        <v>252</v>
      </c>
      <c r="H869" s="17">
        <f>HYPERLINK("http://www.inspiredteaching.org/inspired-teaching-demonstration-school", "www.inspiredteaching.org/inspired-teaching-demonstration-school")</f>
      </c>
      <c r="I869" t="s" s="11">
        <v>7671</v>
      </c>
      <c r="J869" t="s" s="25">
        <v>34</v>
      </c>
      <c r="K869" t="s" s="25">
        <v>34</v>
      </c>
      <c r="L869" t="s" s="25">
        <v>34</v>
      </c>
      <c r="M869" t="s" s="13">
        <v>34</v>
      </c>
      <c r="N869" t="s" s="11">
        <v>34</v>
      </c>
      <c r="O869" t="s" s="11">
        <v>34</v>
      </c>
      <c r="P869" t="s" s="11">
        <v>34</v>
      </c>
      <c r="Q869" t="s" s="11">
        <v>34</v>
      </c>
      <c r="R869" t="s" s="11">
        <v>34</v>
      </c>
      <c r="S869" t="s" s="11">
        <v>34</v>
      </c>
      <c r="T869" t="s" s="13">
        <v>34</v>
      </c>
      <c r="U869" t="s" s="11">
        <v>34</v>
      </c>
      <c r="V869" t="s" s="13">
        <v>34</v>
      </c>
      <c r="W869" t="s" s="11">
        <v>7672</v>
      </c>
      <c r="X869" s="17">
        <f>HYPERLINK("https://my.pitchbook.com?p=99081-19P", "View People Online")</f>
      </c>
    </row>
    <row r="870">
      <c r="A870" t="s" s="10">
        <v>7673</v>
      </c>
      <c r="B870" t="s" s="10">
        <v>7674</v>
      </c>
      <c r="C870" t="s" s="10">
        <v>34</v>
      </c>
      <c r="D870" t="s" s="10">
        <v>7675</v>
      </c>
      <c r="E870" t="s" s="10">
        <v>3715</v>
      </c>
      <c r="F870" t="s" s="10">
        <v>7676</v>
      </c>
      <c r="G870" t="s" s="10">
        <v>252</v>
      </c>
      <c r="H870" s="16">
        <f>HYPERLINK("http://www.radpay.com", "www.radpay.com")</f>
      </c>
      <c r="I870" t="s" s="10">
        <v>2211</v>
      </c>
      <c r="J870" t="s" s="24">
        <v>34</v>
      </c>
      <c r="K870" t="s" s="24">
        <v>34</v>
      </c>
      <c r="L870" t="s" s="24">
        <v>34</v>
      </c>
      <c r="M870" t="s" s="12">
        <v>34</v>
      </c>
      <c r="N870" t="s" s="10">
        <v>34</v>
      </c>
      <c r="O870" t="s" s="10">
        <v>34</v>
      </c>
      <c r="P870" t="s" s="10">
        <v>34</v>
      </c>
      <c r="Q870" t="s" s="10">
        <v>34</v>
      </c>
      <c r="R870" t="s" s="10">
        <v>34</v>
      </c>
      <c r="S870" t="s" s="10">
        <v>34</v>
      </c>
      <c r="T870" t="s" s="12">
        <v>34</v>
      </c>
      <c r="U870" t="s" s="10">
        <v>34</v>
      </c>
      <c r="V870" t="s" s="12">
        <v>34</v>
      </c>
      <c r="W870" t="s" s="10">
        <v>7678</v>
      </c>
      <c r="X870" s="16">
        <f>HYPERLINK("https://my.pitchbook.com?p=48444-49P", "View People Online")</f>
      </c>
    </row>
    <row r="871">
      <c r="A871" t="s" s="11">
        <v>7679</v>
      </c>
      <c r="B871" t="s" s="11">
        <v>7680</v>
      </c>
      <c r="C871" t="s" s="11">
        <v>34</v>
      </c>
      <c r="D871" t="s" s="11">
        <v>7681</v>
      </c>
      <c r="E871" t="s" s="11">
        <v>3715</v>
      </c>
      <c r="F871" t="s" s="11">
        <v>7682</v>
      </c>
      <c r="G871" t="s" s="11">
        <v>252</v>
      </c>
      <c r="H871" s="17">
        <f>HYPERLINK("http://www.royalgroupuae.com", "www.royalgroupuae.com")</f>
      </c>
      <c r="I871" t="s" s="11">
        <v>34</v>
      </c>
      <c r="J871" t="s" s="25">
        <v>34</v>
      </c>
      <c r="K871" t="s" s="25">
        <v>34</v>
      </c>
      <c r="L871" t="s" s="25">
        <v>34</v>
      </c>
      <c r="M871" t="s" s="13">
        <v>34</v>
      </c>
      <c r="N871" t="s" s="11">
        <v>34</v>
      </c>
      <c r="O871" t="s" s="11">
        <v>34</v>
      </c>
      <c r="P871" t="s" s="11">
        <v>34</v>
      </c>
      <c r="Q871" t="s" s="11">
        <v>34</v>
      </c>
      <c r="R871" t="s" s="11">
        <v>34</v>
      </c>
      <c r="S871" t="s" s="11">
        <v>34</v>
      </c>
      <c r="T871" t="s" s="13">
        <v>34</v>
      </c>
      <c r="U871" t="s" s="11">
        <v>34</v>
      </c>
      <c r="V871" t="s" s="13">
        <v>34</v>
      </c>
      <c r="W871" t="s" s="11">
        <v>7683</v>
      </c>
      <c r="X871" s="17">
        <f>HYPERLINK("https://my.pitchbook.com?p=17327-26P", "View People Online")</f>
      </c>
    </row>
    <row r="872">
      <c r="A872" t="s" s="10">
        <v>7684</v>
      </c>
      <c r="B872" t="s" s="10">
        <v>7685</v>
      </c>
      <c r="C872" t="s" s="10">
        <v>34</v>
      </c>
      <c r="D872" t="s" s="10">
        <v>4381</v>
      </c>
      <c r="E872" t="s" s="10">
        <v>3715</v>
      </c>
      <c r="F872" t="s" s="10">
        <v>7686</v>
      </c>
      <c r="G872" t="s" s="10">
        <v>2118</v>
      </c>
      <c r="H872" s="16">
        <f>HYPERLINK("http://www.snicompanies.com", "www.snicompanies.com")</f>
      </c>
      <c r="I872" t="s" s="10">
        <v>4661</v>
      </c>
      <c r="J872" t="s" s="24">
        <v>34</v>
      </c>
      <c r="K872" s="24">
        <v>1</v>
      </c>
      <c r="L872" t="s" s="24">
        <v>34</v>
      </c>
      <c r="M872" t="s" s="12">
        <v>4386</v>
      </c>
      <c r="N872" t="s" s="10">
        <v>34</v>
      </c>
      <c r="O872" t="s" s="10">
        <v>4388</v>
      </c>
      <c r="P872" t="s" s="10">
        <v>4389</v>
      </c>
      <c r="Q872" t="s" s="10">
        <v>4390</v>
      </c>
      <c r="R872" t="s" s="10">
        <v>4391</v>
      </c>
      <c r="S872" t="s" s="10">
        <v>2156</v>
      </c>
      <c r="T872" t="s" s="12">
        <v>4392</v>
      </c>
      <c r="U872" t="s" s="10">
        <v>88</v>
      </c>
      <c r="V872" t="s" s="12">
        <v>4393</v>
      </c>
      <c r="W872" t="s" s="10">
        <v>7687</v>
      </c>
      <c r="X872" s="16">
        <f>HYPERLINK("https://my.pitchbook.com?p=375731-20P", "View People Online")</f>
      </c>
    </row>
    <row r="873">
      <c r="A873" t="s" s="11">
        <v>7688</v>
      </c>
      <c r="B873" t="s" s="11">
        <v>7689</v>
      </c>
      <c r="C873" t="s" s="11">
        <v>34</v>
      </c>
      <c r="D873" t="s" s="11">
        <v>7690</v>
      </c>
      <c r="E873" t="s" s="11">
        <v>3715</v>
      </c>
      <c r="F873" t="s" s="11">
        <v>7691</v>
      </c>
      <c r="G873" t="s" s="11">
        <v>2118</v>
      </c>
      <c r="H873" s="17">
        <f>HYPERLINK("http://www.phenopath.com", "www.phenopath.com")</f>
      </c>
      <c r="I873" t="s" s="11">
        <v>5297</v>
      </c>
      <c r="J873" t="s" s="25">
        <v>34</v>
      </c>
      <c r="K873" s="25">
        <v>1</v>
      </c>
      <c r="L873" t="s" s="25">
        <v>34</v>
      </c>
      <c r="M873" t="s" s="13">
        <v>7692</v>
      </c>
      <c r="N873" t="s" s="11">
        <v>7693</v>
      </c>
      <c r="O873" t="s" s="11">
        <v>355</v>
      </c>
      <c r="P873" t="s" s="11">
        <v>7694</v>
      </c>
      <c r="Q873" t="s" s="11">
        <v>7695</v>
      </c>
      <c r="R873" t="s" s="11">
        <v>358</v>
      </c>
      <c r="S873" t="s" s="11">
        <v>359</v>
      </c>
      <c r="T873" t="s" s="13">
        <v>7696</v>
      </c>
      <c r="U873" t="s" s="11">
        <v>88</v>
      </c>
      <c r="V873" t="s" s="13">
        <v>34</v>
      </c>
      <c r="W873" t="s" s="11">
        <v>7697</v>
      </c>
      <c r="X873" s="17">
        <f>HYPERLINK("https://my.pitchbook.com?p=194549-59P", "View People Online")</f>
      </c>
    </row>
    <row r="874">
      <c r="A874" t="s" s="10">
        <v>7698</v>
      </c>
      <c r="B874" t="s" s="10">
        <v>7699</v>
      </c>
      <c r="C874" t="s" s="10">
        <v>34</v>
      </c>
      <c r="D874" t="s" s="10">
        <v>7700</v>
      </c>
      <c r="E874" t="s" s="10">
        <v>3715</v>
      </c>
      <c r="F874" t="s" s="10">
        <v>1293</v>
      </c>
      <c r="G874" t="s" s="10">
        <v>2118</v>
      </c>
      <c r="H874" s="16">
        <f>HYPERLINK("http://www.withotter.com", "www.withotter.com")</f>
      </c>
      <c r="I874" t="s" s="10">
        <v>7702</v>
      </c>
      <c r="J874" t="s" s="24">
        <v>34</v>
      </c>
      <c r="K874" t="s" s="24">
        <v>34</v>
      </c>
      <c r="L874" t="s" s="24">
        <v>34</v>
      </c>
      <c r="M874" t="s" s="12">
        <v>34</v>
      </c>
      <c r="N874" t="s" s="10">
        <v>34</v>
      </c>
      <c r="O874" t="s" s="10">
        <v>34</v>
      </c>
      <c r="P874" t="s" s="10">
        <v>34</v>
      </c>
      <c r="Q874" t="s" s="10">
        <v>34</v>
      </c>
      <c r="R874" t="s" s="10">
        <v>34</v>
      </c>
      <c r="S874" t="s" s="10">
        <v>34</v>
      </c>
      <c r="T874" t="s" s="12">
        <v>34</v>
      </c>
      <c r="U874" t="s" s="10">
        <v>34</v>
      </c>
      <c r="V874" t="s" s="12">
        <v>34</v>
      </c>
      <c r="W874" t="s" s="10">
        <v>7703</v>
      </c>
      <c r="X874" s="16">
        <f>HYPERLINK("https://my.pitchbook.com?p=268351-12P", "View People Online")</f>
      </c>
    </row>
    <row r="875">
      <c r="A875" t="s" s="11">
        <v>7704</v>
      </c>
      <c r="B875" t="s" s="11">
        <v>7705</v>
      </c>
      <c r="C875" t="s" s="11">
        <v>34</v>
      </c>
      <c r="D875" t="s" s="11">
        <v>7706</v>
      </c>
      <c r="E875" t="s" s="11">
        <v>3715</v>
      </c>
      <c r="F875" t="s" s="11">
        <v>5120</v>
      </c>
      <c r="G875" t="s" s="11">
        <v>7707</v>
      </c>
      <c r="H875" s="17">
        <f>HYPERLINK("http://www.footandanklecentersva.com", "www.footandanklecentersva.com")</f>
      </c>
      <c r="I875" t="s" s="11">
        <v>7709</v>
      </c>
      <c r="J875" t="s" s="25">
        <v>34</v>
      </c>
      <c r="K875" s="25">
        <v>1</v>
      </c>
      <c r="L875" t="s" s="25">
        <v>34</v>
      </c>
      <c r="M875" t="s" s="13">
        <v>7710</v>
      </c>
      <c r="N875" t="s" s="11">
        <v>34</v>
      </c>
      <c r="O875" t="s" s="11">
        <v>7711</v>
      </c>
      <c r="P875" t="s" s="11">
        <v>7712</v>
      </c>
      <c r="Q875" t="s" s="11">
        <v>7713</v>
      </c>
      <c r="R875" t="s" s="11">
        <v>7714</v>
      </c>
      <c r="S875" t="s" s="11">
        <v>2078</v>
      </c>
      <c r="T875" t="s" s="13">
        <v>5942</v>
      </c>
      <c r="U875" t="s" s="11">
        <v>88</v>
      </c>
      <c r="V875" t="s" s="13">
        <v>7715</v>
      </c>
      <c r="W875" t="s" s="11">
        <v>7716</v>
      </c>
      <c r="X875" s="17">
        <f>HYPERLINK("https://my.pitchbook.com?p=289912-51P", "View People Online")</f>
      </c>
    </row>
    <row r="876">
      <c r="A876" t="s" s="10">
        <v>7717</v>
      </c>
      <c r="B876" t="s" s="10">
        <v>7718</v>
      </c>
      <c r="C876" t="s" s="10">
        <v>34</v>
      </c>
      <c r="D876" t="s" s="10">
        <v>7719</v>
      </c>
      <c r="E876" t="s" s="10">
        <v>3715</v>
      </c>
      <c r="F876" t="s" s="10">
        <v>7720</v>
      </c>
      <c r="G876" t="s" s="10">
        <v>7707</v>
      </c>
      <c r="H876" s="16">
        <f>HYPERLINK("http://silverback7.com", "silverback7.com")</f>
      </c>
      <c r="I876" t="s" s="10">
        <v>7722</v>
      </c>
      <c r="J876" t="s" s="24">
        <v>34</v>
      </c>
      <c r="K876" t="s" s="24">
        <v>34</v>
      </c>
      <c r="L876" t="s" s="24">
        <v>34</v>
      </c>
      <c r="M876" t="s" s="12">
        <v>34</v>
      </c>
      <c r="N876" t="s" s="10">
        <v>34</v>
      </c>
      <c r="O876" t="s" s="10">
        <v>34</v>
      </c>
      <c r="P876" t="s" s="10">
        <v>34</v>
      </c>
      <c r="Q876" t="s" s="10">
        <v>34</v>
      </c>
      <c r="R876" t="s" s="10">
        <v>34</v>
      </c>
      <c r="S876" t="s" s="10">
        <v>34</v>
      </c>
      <c r="T876" t="s" s="12">
        <v>34</v>
      </c>
      <c r="U876" t="s" s="10">
        <v>34</v>
      </c>
      <c r="V876" t="s" s="12">
        <v>34</v>
      </c>
      <c r="W876" t="s" s="10">
        <v>7723</v>
      </c>
      <c r="X876" s="16">
        <f>HYPERLINK("https://my.pitchbook.com?p=170337-43P", "View People Online")</f>
      </c>
    </row>
    <row r="877">
      <c r="A877" t="s" s="11">
        <v>7724</v>
      </c>
      <c r="B877" t="s" s="11">
        <v>7725</v>
      </c>
      <c r="C877" t="s" s="11">
        <v>34</v>
      </c>
      <c r="D877" t="s" s="11">
        <v>4338</v>
      </c>
      <c r="E877" t="s" s="11">
        <v>3715</v>
      </c>
      <c r="F877" t="s" s="11">
        <v>7726</v>
      </c>
      <c r="G877" t="s" s="11">
        <v>7707</v>
      </c>
      <c r="H877" s="17">
        <f>HYPERLINK("http://www.ihcgroup.com", "www.ihcgroup.com")</f>
      </c>
      <c r="I877" t="s" s="11">
        <v>649</v>
      </c>
      <c r="J877" s="25">
        <v>1</v>
      </c>
      <c r="K877" s="25">
        <v>1</v>
      </c>
      <c r="L877" t="s" s="25">
        <v>34</v>
      </c>
      <c r="M877" t="s" s="13">
        <v>4342</v>
      </c>
      <c r="N877" t="s" s="11">
        <v>34</v>
      </c>
      <c r="O877" t="s" s="11">
        <v>169</v>
      </c>
      <c r="P877" t="s" s="11">
        <v>4344</v>
      </c>
      <c r="Q877" t="s" s="11">
        <v>34</v>
      </c>
      <c r="R877" t="s" s="11">
        <v>172</v>
      </c>
      <c r="S877" t="s" s="11">
        <v>173</v>
      </c>
      <c r="T877" t="s" s="13">
        <v>4345</v>
      </c>
      <c r="U877" t="s" s="11">
        <v>88</v>
      </c>
      <c r="V877" t="s" s="13">
        <v>34</v>
      </c>
      <c r="W877" t="s" s="11">
        <v>7727</v>
      </c>
      <c r="X877" s="17">
        <f>HYPERLINK("https://my.pitchbook.com?p=281492-92P", "View People Online")</f>
      </c>
    </row>
    <row r="878">
      <c r="A878" t="s" s="10">
        <v>7728</v>
      </c>
      <c r="B878" t="s" s="10">
        <v>7729</v>
      </c>
      <c r="C878" t="s" s="10">
        <v>34</v>
      </c>
      <c r="D878" t="s" s="10">
        <v>7730</v>
      </c>
      <c r="E878" t="s" s="10">
        <v>3715</v>
      </c>
      <c r="F878" t="s" s="10">
        <v>7731</v>
      </c>
      <c r="G878" t="s" s="10">
        <v>7707</v>
      </c>
      <c r="H878" s="16">
        <f>HYPERLINK("http://www.proof-paci.com", "www.proof-paci.com")</f>
      </c>
      <c r="I878" t="s" s="10">
        <v>1268</v>
      </c>
      <c r="J878" t="s" s="24">
        <v>34</v>
      </c>
      <c r="K878" s="24">
        <v>4</v>
      </c>
      <c r="L878" t="s" s="24">
        <v>34</v>
      </c>
      <c r="M878" t="s" s="12">
        <v>7733</v>
      </c>
      <c r="N878" t="s" s="10">
        <v>7734</v>
      </c>
      <c r="O878" t="s" s="10">
        <v>7711</v>
      </c>
      <c r="P878" t="s" s="10">
        <v>7735</v>
      </c>
      <c r="Q878" t="s" s="10">
        <v>7736</v>
      </c>
      <c r="R878" t="s" s="10">
        <v>7714</v>
      </c>
      <c r="S878" t="s" s="10">
        <v>2078</v>
      </c>
      <c r="T878" t="s" s="12">
        <v>5942</v>
      </c>
      <c r="U878" t="s" s="10">
        <v>88</v>
      </c>
      <c r="V878" t="s" s="12">
        <v>34</v>
      </c>
      <c r="W878" t="s" s="10">
        <v>7737</v>
      </c>
      <c r="X878" s="16">
        <f>HYPERLINK("https://my.pitchbook.com?p=281483-11P", "View People Online")</f>
      </c>
    </row>
    <row r="879">
      <c r="A879" t="s" s="11">
        <v>7738</v>
      </c>
      <c r="B879" t="s" s="11">
        <v>7739</v>
      </c>
      <c r="C879" t="s" s="11">
        <v>34</v>
      </c>
      <c r="D879" t="s" s="11">
        <v>7740</v>
      </c>
      <c r="E879" t="s" s="11">
        <v>3715</v>
      </c>
      <c r="F879" t="s" s="11">
        <v>1293</v>
      </c>
      <c r="G879" t="s" s="11">
        <v>7707</v>
      </c>
      <c r="H879" s="17">
        <f>HYPERLINK("http://www.cnaught.com", "www.cnaught.com")</f>
      </c>
      <c r="I879" t="s" s="11">
        <v>7742</v>
      </c>
      <c r="J879" t="s" s="25">
        <v>34</v>
      </c>
      <c r="K879" s="25">
        <v>1</v>
      </c>
      <c r="L879" t="s" s="25">
        <v>34</v>
      </c>
      <c r="M879" t="s" s="13">
        <v>34</v>
      </c>
      <c r="N879" t="s" s="11">
        <v>7743</v>
      </c>
      <c r="O879" t="s" s="11">
        <v>4086</v>
      </c>
      <c r="P879" t="s" s="11">
        <v>7744</v>
      </c>
      <c r="Q879" t="s" s="11">
        <v>7745</v>
      </c>
      <c r="R879" t="s" s="11">
        <v>4088</v>
      </c>
      <c r="S879" t="s" s="11">
        <v>1904</v>
      </c>
      <c r="T879" t="s" s="13">
        <v>7480</v>
      </c>
      <c r="U879" t="s" s="11">
        <v>88</v>
      </c>
      <c r="V879" t="s" s="13">
        <v>34</v>
      </c>
      <c r="W879" t="s" s="11">
        <v>7746</v>
      </c>
      <c r="X879" s="17">
        <f>HYPERLINK("https://my.pitchbook.com?p=332716-42P", "View People Online")</f>
      </c>
    </row>
    <row r="880">
      <c r="A880" t="s" s="10">
        <v>7747</v>
      </c>
      <c r="B880" t="s" s="10">
        <v>7748</v>
      </c>
      <c r="C880" t="s" s="10">
        <v>34</v>
      </c>
      <c r="D880" t="s" s="10">
        <v>7749</v>
      </c>
      <c r="E880" t="s" s="10">
        <v>3715</v>
      </c>
      <c r="F880" t="s" s="10">
        <v>7750</v>
      </c>
      <c r="G880" t="s" s="10">
        <v>7751</v>
      </c>
      <c r="H880" s="16">
        <f>HYPERLINK("http://www.econetafrica.com", "www.econetafrica.com")</f>
      </c>
      <c r="I880" t="s" s="10">
        <v>2362</v>
      </c>
      <c r="J880" s="24">
        <v>5</v>
      </c>
      <c r="K880" s="24">
        <v>10</v>
      </c>
      <c r="L880" s="24">
        <v>4</v>
      </c>
      <c r="M880" t="s" s="12">
        <v>7753</v>
      </c>
      <c r="N880" t="s" s="10">
        <v>7754</v>
      </c>
      <c r="O880" t="s" s="10">
        <v>7755</v>
      </c>
      <c r="P880" t="s" s="10">
        <v>7756</v>
      </c>
      <c r="Q880" t="s" s="10">
        <v>7757</v>
      </c>
      <c r="R880" t="s" s="10">
        <v>7758</v>
      </c>
      <c r="S880" t="s" s="10">
        <v>7759</v>
      </c>
      <c r="T880" t="s" s="12">
        <v>7760</v>
      </c>
      <c r="U880" t="s" s="10">
        <v>2284</v>
      </c>
      <c r="V880" t="s" s="12">
        <v>7761</v>
      </c>
      <c r="W880" t="s" s="10">
        <v>7762</v>
      </c>
      <c r="X880" s="16">
        <f>HYPERLINK("https://my.pitchbook.com?p=115344-55P", "View People Online")</f>
      </c>
    </row>
    <row r="881">
      <c r="A881" t="s" s="11">
        <v>7763</v>
      </c>
      <c r="B881" t="s" s="11">
        <v>7764</v>
      </c>
      <c r="C881" t="s" s="11">
        <v>34</v>
      </c>
      <c r="D881" t="s" s="11">
        <v>7765</v>
      </c>
      <c r="E881" t="s" s="11">
        <v>3715</v>
      </c>
      <c r="F881" t="s" s="11">
        <v>7766</v>
      </c>
      <c r="G881" t="s" s="11">
        <v>7767</v>
      </c>
      <c r="H881" s="17">
        <f>HYPERLINK("http://www.medvanta.com", "www.medvanta.com")</f>
      </c>
      <c r="I881" t="s" s="11">
        <v>7769</v>
      </c>
      <c r="J881" s="25">
        <v>1</v>
      </c>
      <c r="K881" s="25">
        <v>1</v>
      </c>
      <c r="L881" t="s" s="25">
        <v>34</v>
      </c>
      <c r="M881" t="s" s="13">
        <v>7770</v>
      </c>
      <c r="N881" t="s" s="11">
        <v>34</v>
      </c>
      <c r="O881" t="s" s="11">
        <v>7771</v>
      </c>
      <c r="P881" t="s" s="11">
        <v>7772</v>
      </c>
      <c r="Q881" t="s" s="11">
        <v>156</v>
      </c>
      <c r="R881" t="s" s="11">
        <v>7773</v>
      </c>
      <c r="S881" t="s" s="11">
        <v>158</v>
      </c>
      <c r="T881" t="s" s="13">
        <v>7774</v>
      </c>
      <c r="U881" t="s" s="11">
        <v>88</v>
      </c>
      <c r="V881" t="s" s="13">
        <v>34</v>
      </c>
      <c r="W881" t="s" s="11">
        <v>7775</v>
      </c>
      <c r="X881" s="17">
        <f>HYPERLINK("https://my.pitchbook.com?p=426600-64P", "View People Online")</f>
      </c>
    </row>
    <row r="882">
      <c r="A882" t="s" s="10">
        <v>7776</v>
      </c>
      <c r="B882" t="s" s="10">
        <v>7777</v>
      </c>
      <c r="C882" t="s" s="10">
        <v>34</v>
      </c>
      <c r="D882" t="s" s="10">
        <v>7778</v>
      </c>
      <c r="E882" t="s" s="10">
        <v>3715</v>
      </c>
      <c r="F882" t="s" s="10">
        <v>7779</v>
      </c>
      <c r="G882" t="s" s="10">
        <v>915</v>
      </c>
      <c r="H882" s="16">
        <f>HYPERLINK("http://www.investbank.ae", "www.investbank.ae")</f>
      </c>
      <c r="I882" t="s" s="10">
        <v>1153</v>
      </c>
      <c r="J882" s="24">
        <v>1</v>
      </c>
      <c r="K882" s="24">
        <v>1</v>
      </c>
      <c r="L882" t="s" s="24">
        <v>34</v>
      </c>
      <c r="M882" t="s" s="12">
        <v>7781</v>
      </c>
      <c r="N882" t="s" s="10">
        <v>34</v>
      </c>
      <c r="O882" t="s" s="10">
        <v>336</v>
      </c>
      <c r="P882" t="s" s="10">
        <v>7782</v>
      </c>
      <c r="Q882" t="s" s="10">
        <v>7783</v>
      </c>
      <c r="R882" t="s" s="10">
        <v>339</v>
      </c>
      <c r="S882" t="s" s="10">
        <v>34</v>
      </c>
      <c r="T882" t="s" s="12">
        <v>34</v>
      </c>
      <c r="U882" t="s" s="10">
        <v>240</v>
      </c>
      <c r="V882" t="s" s="12">
        <v>7781</v>
      </c>
      <c r="W882" t="s" s="10">
        <v>7784</v>
      </c>
      <c r="X882" s="16">
        <f>HYPERLINK("https://my.pitchbook.com?p=395036-92P", "View People Online")</f>
      </c>
    </row>
    <row r="883">
      <c r="A883" t="s" s="11">
        <v>7785</v>
      </c>
      <c r="B883" t="s" s="11">
        <v>7786</v>
      </c>
      <c r="C883" t="s" s="11">
        <v>34</v>
      </c>
      <c r="D883" t="s" s="11">
        <v>3809</v>
      </c>
      <c r="E883" t="s" s="11">
        <v>3715</v>
      </c>
      <c r="F883" t="s" s="11">
        <v>7787</v>
      </c>
      <c r="G883" t="s" s="11">
        <v>915</v>
      </c>
      <c r="H883" s="17">
        <f>HYPERLINK("http://www.arada.com", "www.arada.com")</f>
      </c>
      <c r="I883" t="s" s="11">
        <v>4834</v>
      </c>
      <c r="J883" s="25">
        <v>1</v>
      </c>
      <c r="K883" s="25">
        <v>1</v>
      </c>
      <c r="L883" t="s" s="25">
        <v>34</v>
      </c>
      <c r="M883" t="s" s="13">
        <v>3812</v>
      </c>
      <c r="N883" t="s" s="11">
        <v>34</v>
      </c>
      <c r="O883" t="s" s="11">
        <v>236</v>
      </c>
      <c r="P883" t="s" s="11">
        <v>3813</v>
      </c>
      <c r="Q883" t="s" s="11">
        <v>3814</v>
      </c>
      <c r="R883" t="s" s="11">
        <v>239</v>
      </c>
      <c r="S883" t="s" s="11">
        <v>34</v>
      </c>
      <c r="T883" t="s" s="13">
        <v>34</v>
      </c>
      <c r="U883" t="s" s="11">
        <v>240</v>
      </c>
      <c r="V883" t="s" s="13">
        <v>34</v>
      </c>
      <c r="W883" t="s" s="11">
        <v>7788</v>
      </c>
      <c r="X883" s="17">
        <f>HYPERLINK("https://my.pitchbook.com?p=293891-41P", "View People Online")</f>
      </c>
    </row>
    <row r="884">
      <c r="A884" t="s" s="10">
        <v>7789</v>
      </c>
      <c r="B884" t="s" s="10">
        <v>7790</v>
      </c>
      <c r="C884" t="s" s="10">
        <v>34</v>
      </c>
      <c r="D884" t="s" s="10">
        <v>7791</v>
      </c>
      <c r="E884" t="s" s="10">
        <v>3715</v>
      </c>
      <c r="F884" t="s" s="10">
        <v>5740</v>
      </c>
      <c r="G884" t="s" s="10">
        <v>7792</v>
      </c>
      <c r="H884" s="16">
        <f>HYPERLINK("http://www.tssni.com", "www.tssni.com")</f>
      </c>
      <c r="I884" t="s" s="10">
        <v>3735</v>
      </c>
      <c r="J884" t="s" s="24">
        <v>34</v>
      </c>
      <c r="K884" s="24">
        <v>1</v>
      </c>
      <c r="L884" t="s" s="24">
        <v>34</v>
      </c>
      <c r="M884" t="s" s="12">
        <v>7794</v>
      </c>
      <c r="N884" t="s" s="10">
        <v>34</v>
      </c>
      <c r="O884" t="s" s="10">
        <v>4758</v>
      </c>
      <c r="P884" t="s" s="10">
        <v>7795</v>
      </c>
      <c r="Q884" t="s" s="10">
        <v>7796</v>
      </c>
      <c r="R884" t="s" s="10">
        <v>4761</v>
      </c>
      <c r="S884" t="s" s="10">
        <v>34</v>
      </c>
      <c r="T884" t="s" s="12">
        <v>34</v>
      </c>
      <c r="U884" t="s" s="10">
        <v>4762</v>
      </c>
      <c r="V884" t="s" s="12">
        <v>34</v>
      </c>
      <c r="W884" t="s" s="10">
        <v>7797</v>
      </c>
      <c r="X884" s="16">
        <f>HYPERLINK("https://my.pitchbook.com?p=269829-91P", "View People Online")</f>
      </c>
    </row>
    <row r="885">
      <c r="A885" t="s" s="11">
        <v>7798</v>
      </c>
      <c r="B885" t="s" s="11">
        <v>7799</v>
      </c>
      <c r="C885" t="s" s="11">
        <v>34</v>
      </c>
      <c r="D885" t="s" s="11">
        <v>7800</v>
      </c>
      <c r="E885" t="s" s="11">
        <v>3715</v>
      </c>
      <c r="F885" t="s" s="11">
        <v>7801</v>
      </c>
      <c r="G885" t="s" s="11">
        <v>7802</v>
      </c>
      <c r="H885" s="17">
        <f>HYPERLINK("http://www.oi4me.com", "www.oi4me.com")</f>
      </c>
      <c r="I885" t="s" s="11">
        <v>7804</v>
      </c>
      <c r="J885" s="25">
        <v>1</v>
      </c>
      <c r="K885" s="25">
        <v>1</v>
      </c>
      <c r="L885" t="s" s="25">
        <v>34</v>
      </c>
      <c r="M885" t="s" s="13">
        <v>7805</v>
      </c>
      <c r="N885" t="s" s="11">
        <v>34</v>
      </c>
      <c r="O885" t="s" s="11">
        <v>7806</v>
      </c>
      <c r="P885" t="s" s="11">
        <v>7807</v>
      </c>
      <c r="Q885" t="s" s="11">
        <v>7808</v>
      </c>
      <c r="R885" t="s" s="11">
        <v>7809</v>
      </c>
      <c r="S885" t="s" s="11">
        <v>34</v>
      </c>
      <c r="T885" t="s" s="13">
        <v>7810</v>
      </c>
      <c r="U885" t="s" s="11">
        <v>1953</v>
      </c>
      <c r="V885" t="s" s="13">
        <v>34</v>
      </c>
      <c r="W885" t="s" s="11">
        <v>7811</v>
      </c>
      <c r="X885" s="17">
        <f>HYPERLINK("https://my.pitchbook.com?p=260222-86P", "View People Online")</f>
      </c>
    </row>
    <row r="886">
      <c r="A886" t="s" s="10">
        <v>7812</v>
      </c>
      <c r="B886" t="s" s="10">
        <v>7813</v>
      </c>
      <c r="C886" t="s" s="10">
        <v>34</v>
      </c>
      <c r="D886" t="s" s="10">
        <v>7814</v>
      </c>
      <c r="E886" t="s" s="10">
        <v>3715</v>
      </c>
      <c r="F886" t="s" s="10">
        <v>7815</v>
      </c>
      <c r="G886" t="s" s="10">
        <v>7816</v>
      </c>
      <c r="H886" s="16">
        <f>HYPERLINK("http://www.ranazcorporation.com", "www.ranazcorporation.com")</f>
      </c>
      <c r="I886" t="s" s="10">
        <v>7818</v>
      </c>
      <c r="J886" t="s" s="24">
        <v>34</v>
      </c>
      <c r="K886" t="s" s="24">
        <v>34</v>
      </c>
      <c r="L886" t="s" s="24">
        <v>34</v>
      </c>
      <c r="M886" t="s" s="12">
        <v>34</v>
      </c>
      <c r="N886" t="s" s="10">
        <v>34</v>
      </c>
      <c r="O886" t="s" s="10">
        <v>34</v>
      </c>
      <c r="P886" t="s" s="10">
        <v>34</v>
      </c>
      <c r="Q886" t="s" s="10">
        <v>34</v>
      </c>
      <c r="R886" t="s" s="10">
        <v>34</v>
      </c>
      <c r="S886" t="s" s="10">
        <v>34</v>
      </c>
      <c r="T886" t="s" s="12">
        <v>34</v>
      </c>
      <c r="U886" t="s" s="10">
        <v>34</v>
      </c>
      <c r="V886" t="s" s="12">
        <v>34</v>
      </c>
      <c r="W886" t="s" s="10">
        <v>7819</v>
      </c>
      <c r="X886" s="16">
        <f>HYPERLINK("https://my.pitchbook.com?p=89174-89P", "View People Online")</f>
      </c>
    </row>
    <row r="887">
      <c r="A887" t="s" s="11">
        <v>7820</v>
      </c>
      <c r="B887" t="s" s="11">
        <v>7821</v>
      </c>
      <c r="C887" t="s" s="11">
        <v>34</v>
      </c>
      <c r="D887" t="s" s="11">
        <v>4025</v>
      </c>
      <c r="E887" t="s" s="11">
        <v>3715</v>
      </c>
      <c r="F887" t="s" s="11">
        <v>3560</v>
      </c>
      <c r="G887" t="s" s="11">
        <v>7822</v>
      </c>
      <c r="H887" s="17">
        <f>HYPERLINK("http://www.royalgroupuae.com", "www.royalgroupuae.com")</f>
      </c>
      <c r="I887" t="s" s="11">
        <v>2321</v>
      </c>
      <c r="J887" s="25">
        <v>2</v>
      </c>
      <c r="K887" s="25">
        <v>4</v>
      </c>
      <c r="L887" s="25">
        <v>2</v>
      </c>
      <c r="M887" t="s" s="13">
        <v>4028</v>
      </c>
      <c r="N887" t="s" s="11">
        <v>34</v>
      </c>
      <c r="O887" t="s" s="11">
        <v>385</v>
      </c>
      <c r="P887" t="s" s="11">
        <v>4030</v>
      </c>
      <c r="Q887" t="s" s="11">
        <v>34</v>
      </c>
      <c r="R887" t="s" s="11">
        <v>388</v>
      </c>
      <c r="S887" t="s" s="11">
        <v>34</v>
      </c>
      <c r="T887" t="s" s="13">
        <v>34</v>
      </c>
      <c r="U887" t="s" s="11">
        <v>240</v>
      </c>
      <c r="V887" t="s" s="13">
        <v>4031</v>
      </c>
      <c r="W887" t="s" s="11">
        <v>7823</v>
      </c>
      <c r="X887" s="17">
        <f>HYPERLINK("https://my.pitchbook.com?p=89119-81P", "View People Online")</f>
      </c>
    </row>
    <row r="888">
      <c r="A888" t="s" s="10">
        <v>7824</v>
      </c>
      <c r="B888" t="s" s="10">
        <v>7825</v>
      </c>
      <c r="C888" t="s" s="10">
        <v>34</v>
      </c>
      <c r="D888" t="s" s="10">
        <v>7826</v>
      </c>
      <c r="E888" t="s" s="10">
        <v>3715</v>
      </c>
      <c r="F888" t="s" s="10">
        <v>7827</v>
      </c>
      <c r="G888" t="s" s="10">
        <v>7828</v>
      </c>
      <c r="H888" s="16">
        <f>HYPERLINK("http://www.falconviz.com", "www.falconviz.com")</f>
      </c>
      <c r="I888" t="s" s="10">
        <v>649</v>
      </c>
      <c r="J888" t="s" s="24">
        <v>34</v>
      </c>
      <c r="K888" s="24">
        <v>2</v>
      </c>
      <c r="L888" s="24">
        <v>1</v>
      </c>
      <c r="M888" t="s" s="12">
        <v>34</v>
      </c>
      <c r="N888" t="s" s="10">
        <v>34</v>
      </c>
      <c r="O888" t="s" s="10">
        <v>34</v>
      </c>
      <c r="P888" t="s" s="10">
        <v>34</v>
      </c>
      <c r="Q888" t="s" s="10">
        <v>34</v>
      </c>
      <c r="R888" t="s" s="10">
        <v>34</v>
      </c>
      <c r="S888" t="s" s="10">
        <v>34</v>
      </c>
      <c r="T888" t="s" s="12">
        <v>34</v>
      </c>
      <c r="U888" t="s" s="10">
        <v>34</v>
      </c>
      <c r="V888" t="s" s="12">
        <v>34</v>
      </c>
      <c r="W888" t="s" s="10">
        <v>7830</v>
      </c>
      <c r="X888" s="16">
        <f>HYPERLINK("https://my.pitchbook.com?p=140022-73P", "View People Online")</f>
      </c>
    </row>
    <row r="889">
      <c r="A889" t="s" s="11">
        <v>7831</v>
      </c>
      <c r="B889" t="s" s="11">
        <v>7832</v>
      </c>
      <c r="C889" t="s" s="11">
        <v>34</v>
      </c>
      <c r="D889" t="s" s="11">
        <v>7833</v>
      </c>
      <c r="E889" t="s" s="11">
        <v>3715</v>
      </c>
      <c r="F889" t="s" s="11">
        <v>7834</v>
      </c>
      <c r="G889" t="s" s="11">
        <v>7828</v>
      </c>
      <c r="H889" s="17">
        <f>HYPERLINK("http://www.humtap.com", "www.humtap.com")</f>
      </c>
      <c r="I889" t="s" s="11">
        <v>7062</v>
      </c>
      <c r="J889" t="s" s="25">
        <v>34</v>
      </c>
      <c r="K889" t="s" s="25">
        <v>34</v>
      </c>
      <c r="L889" t="s" s="25">
        <v>34</v>
      </c>
      <c r="M889" t="s" s="13">
        <v>7836</v>
      </c>
      <c r="N889" t="s" s="11">
        <v>7837</v>
      </c>
      <c r="O889" t="s" s="11">
        <v>34</v>
      </c>
      <c r="P889" t="s" s="11">
        <v>34</v>
      </c>
      <c r="Q889" t="s" s="11">
        <v>34</v>
      </c>
      <c r="R889" t="s" s="11">
        <v>34</v>
      </c>
      <c r="S889" t="s" s="11">
        <v>34</v>
      </c>
      <c r="T889" t="s" s="13">
        <v>34</v>
      </c>
      <c r="U889" t="s" s="11">
        <v>34</v>
      </c>
      <c r="V889" t="s" s="13">
        <v>34</v>
      </c>
      <c r="W889" t="s" s="11">
        <v>7838</v>
      </c>
      <c r="X889" s="17">
        <f>HYPERLINK("https://my.pitchbook.com?p=38910-70P", "View People Online")</f>
      </c>
    </row>
    <row r="890">
      <c r="A890" t="s" s="10">
        <v>7839</v>
      </c>
      <c r="B890" t="s" s="10">
        <v>7840</v>
      </c>
      <c r="C890" t="s" s="10">
        <v>34</v>
      </c>
      <c r="D890" t="s" s="10">
        <v>4338</v>
      </c>
      <c r="E890" t="s" s="10">
        <v>3715</v>
      </c>
      <c r="F890" t="s" s="10">
        <v>7841</v>
      </c>
      <c r="G890" t="s" s="10">
        <v>7842</v>
      </c>
      <c r="H890" s="16">
        <f>HYPERLINK("http://www.ihcgroup.com", "www.ihcgroup.com")</f>
      </c>
      <c r="I890" t="s" s="10">
        <v>6191</v>
      </c>
      <c r="J890" t="s" s="24">
        <v>34</v>
      </c>
      <c r="K890" s="24">
        <v>1</v>
      </c>
      <c r="L890" t="s" s="24">
        <v>34</v>
      </c>
      <c r="M890" t="s" s="12">
        <v>4342</v>
      </c>
      <c r="N890" t="s" s="10">
        <v>7843</v>
      </c>
      <c r="O890" t="s" s="10">
        <v>169</v>
      </c>
      <c r="P890" t="s" s="10">
        <v>4344</v>
      </c>
      <c r="Q890" t="s" s="10">
        <v>34</v>
      </c>
      <c r="R890" t="s" s="10">
        <v>172</v>
      </c>
      <c r="S890" t="s" s="10">
        <v>173</v>
      </c>
      <c r="T890" t="s" s="12">
        <v>4345</v>
      </c>
      <c r="U890" t="s" s="10">
        <v>88</v>
      </c>
      <c r="V890" t="s" s="12">
        <v>34</v>
      </c>
      <c r="W890" t="s" s="10">
        <v>7844</v>
      </c>
      <c r="X890" s="16">
        <f>HYPERLINK("https://my.pitchbook.com?p=146085-67P", "View People Online")</f>
      </c>
    </row>
    <row r="891">
      <c r="A891" t="s" s="11">
        <v>7845</v>
      </c>
      <c r="B891" t="s" s="11">
        <v>7846</v>
      </c>
      <c r="C891" t="s" s="11">
        <v>34</v>
      </c>
      <c r="D891" t="s" s="11">
        <v>7847</v>
      </c>
      <c r="E891" t="s" s="11">
        <v>3715</v>
      </c>
      <c r="F891" t="s" s="11">
        <v>7848</v>
      </c>
      <c r="G891" t="s" s="11">
        <v>93</v>
      </c>
      <c r="H891" s="17">
        <f>HYPERLINK("http://www.englishcut.com", "www.englishcut.com")</f>
      </c>
      <c r="I891" t="s" s="11">
        <v>57</v>
      </c>
      <c r="J891" t="s" s="25">
        <v>34</v>
      </c>
      <c r="K891" t="s" s="25">
        <v>34</v>
      </c>
      <c r="L891" t="s" s="25">
        <v>34</v>
      </c>
      <c r="M891" t="s" s="13">
        <v>34</v>
      </c>
      <c r="N891" t="s" s="11">
        <v>34</v>
      </c>
      <c r="O891" t="s" s="11">
        <v>34</v>
      </c>
      <c r="P891" t="s" s="11">
        <v>34</v>
      </c>
      <c r="Q891" t="s" s="11">
        <v>34</v>
      </c>
      <c r="R891" t="s" s="11">
        <v>34</v>
      </c>
      <c r="S891" t="s" s="11">
        <v>34</v>
      </c>
      <c r="T891" t="s" s="13">
        <v>34</v>
      </c>
      <c r="U891" t="s" s="11">
        <v>34</v>
      </c>
      <c r="V891" t="s" s="13">
        <v>34</v>
      </c>
      <c r="W891" t="s" s="11">
        <v>7850</v>
      </c>
      <c r="X891" s="17">
        <f>HYPERLINK("https://my.pitchbook.com?p=182633-05P", "View People Online")</f>
      </c>
    </row>
    <row r="892">
      <c r="A892" t="s" s="10">
        <v>7851</v>
      </c>
      <c r="B892" t="s" s="10">
        <v>7852</v>
      </c>
      <c r="C892" t="s" s="10">
        <v>34</v>
      </c>
      <c r="D892" t="s" s="10">
        <v>5142</v>
      </c>
      <c r="E892" t="s" s="10">
        <v>3715</v>
      </c>
      <c r="F892" t="s" s="10">
        <v>7853</v>
      </c>
      <c r="G892" t="s" s="10">
        <v>93</v>
      </c>
      <c r="H892" s="16">
        <f>HYPERLINK("http://www.letanneur.com", "www.letanneur.com")</f>
      </c>
      <c r="I892" t="s" s="10">
        <v>255</v>
      </c>
      <c r="J892" t="s" s="24">
        <v>34</v>
      </c>
      <c r="K892" t="s" s="24">
        <v>34</v>
      </c>
      <c r="L892" t="s" s="24">
        <v>34</v>
      </c>
      <c r="M892" t="s" s="12">
        <v>34</v>
      </c>
      <c r="N892" t="s" s="10">
        <v>34</v>
      </c>
      <c r="O892" t="s" s="10">
        <v>34</v>
      </c>
      <c r="P892" t="s" s="10">
        <v>34</v>
      </c>
      <c r="Q892" t="s" s="10">
        <v>34</v>
      </c>
      <c r="R892" t="s" s="10">
        <v>34</v>
      </c>
      <c r="S892" t="s" s="10">
        <v>34</v>
      </c>
      <c r="T892" t="s" s="12">
        <v>34</v>
      </c>
      <c r="U892" t="s" s="10">
        <v>34</v>
      </c>
      <c r="V892" t="s" s="12">
        <v>34</v>
      </c>
      <c r="W892" t="s" s="10">
        <v>7854</v>
      </c>
      <c r="X892" s="16">
        <f>HYPERLINK("https://my.pitchbook.com?p=79360-39P", "View People Online")</f>
      </c>
    </row>
    <row r="893">
      <c r="A893" t="s" s="11">
        <v>7855</v>
      </c>
      <c r="B893" t="s" s="11">
        <v>7856</v>
      </c>
      <c r="C893" t="s" s="11">
        <v>34</v>
      </c>
      <c r="D893" t="s" s="11">
        <v>7857</v>
      </c>
      <c r="E893" t="s" s="11">
        <v>3715</v>
      </c>
      <c r="F893" t="s" s="11">
        <v>7858</v>
      </c>
      <c r="G893" t="s" s="11">
        <v>7859</v>
      </c>
      <c r="H893" s="17">
        <f>HYPERLINK("http://www.prudentialzenith.com", "www.prudentialzenith.com")</f>
      </c>
      <c r="I893" t="s" s="11">
        <v>7861</v>
      </c>
      <c r="J893" s="25">
        <v>1</v>
      </c>
      <c r="K893" s="25">
        <v>1</v>
      </c>
      <c r="L893" t="s" s="25">
        <v>34</v>
      </c>
      <c r="M893" t="s" s="13">
        <v>7862</v>
      </c>
      <c r="N893" t="s" s="11">
        <v>34</v>
      </c>
      <c r="O893" t="s" s="11">
        <v>4274</v>
      </c>
      <c r="P893" t="s" s="11">
        <v>7863</v>
      </c>
      <c r="Q893" t="s" s="11">
        <v>7864</v>
      </c>
      <c r="R893" t="s" s="11">
        <v>4277</v>
      </c>
      <c r="S893" t="s" s="11">
        <v>34</v>
      </c>
      <c r="T893" t="s" s="13">
        <v>7865</v>
      </c>
      <c r="U893" t="s" s="11">
        <v>4278</v>
      </c>
      <c r="V893" t="s" s="13">
        <v>34</v>
      </c>
      <c r="W893" t="s" s="11">
        <v>7866</v>
      </c>
      <c r="X893" s="17">
        <f>HYPERLINK("https://my.pitchbook.com?p=463983-58P", "View People Online")</f>
      </c>
    </row>
    <row r="894">
      <c r="A894" t="s" s="10">
        <v>7867</v>
      </c>
      <c r="B894" t="s" s="10">
        <v>7868</v>
      </c>
      <c r="C894" t="s" s="10">
        <v>34</v>
      </c>
      <c r="D894" t="s" s="10">
        <v>7869</v>
      </c>
      <c r="E894" t="s" s="10">
        <v>3715</v>
      </c>
      <c r="F894" t="s" s="10">
        <v>7870</v>
      </c>
      <c r="G894" t="s" s="10">
        <v>1787</v>
      </c>
      <c r="H894" s="16">
        <f>HYPERLINK("http://www.acdbio.com", "www.acdbio.com")</f>
      </c>
      <c r="I894" t="s" s="10">
        <v>7872</v>
      </c>
      <c r="J894" t="s" s="24">
        <v>34</v>
      </c>
      <c r="K894" t="s" s="24">
        <v>34</v>
      </c>
      <c r="L894" t="s" s="24">
        <v>34</v>
      </c>
      <c r="M894" t="s" s="12">
        <v>34</v>
      </c>
      <c r="N894" t="s" s="10">
        <v>34</v>
      </c>
      <c r="O894" t="s" s="10">
        <v>34</v>
      </c>
      <c r="P894" t="s" s="10">
        <v>34</v>
      </c>
      <c r="Q894" t="s" s="10">
        <v>34</v>
      </c>
      <c r="R894" t="s" s="10">
        <v>34</v>
      </c>
      <c r="S894" t="s" s="10">
        <v>34</v>
      </c>
      <c r="T894" t="s" s="12">
        <v>34</v>
      </c>
      <c r="U894" t="s" s="10">
        <v>34</v>
      </c>
      <c r="V894" t="s" s="12">
        <v>34</v>
      </c>
      <c r="W894" t="s" s="10">
        <v>7873</v>
      </c>
      <c r="X894" s="16">
        <f>HYPERLINK("https://my.pitchbook.com?p=62676-10P", "View People Online")</f>
      </c>
    </row>
    <row r="895">
      <c r="A895" t="s" s="11">
        <v>7874</v>
      </c>
      <c r="B895" t="s" s="11">
        <v>7875</v>
      </c>
      <c r="C895" t="s" s="11">
        <v>34</v>
      </c>
      <c r="D895" t="s" s="11">
        <v>7876</v>
      </c>
      <c r="E895" t="s" s="11">
        <v>3715</v>
      </c>
      <c r="F895" t="s" s="11">
        <v>7877</v>
      </c>
      <c r="G895" t="s" s="11">
        <v>7878</v>
      </c>
      <c r="H895" s="17">
        <f>HYPERLINK("http://www.newlookgroup.com", "www.newlookgroup.com")</f>
      </c>
      <c r="I895" t="s" s="11">
        <v>2423</v>
      </c>
      <c r="J895" t="s" s="25">
        <v>34</v>
      </c>
      <c r="K895" t="s" s="25">
        <v>34</v>
      </c>
      <c r="L895" t="s" s="25">
        <v>34</v>
      </c>
      <c r="M895" t="s" s="13">
        <v>34</v>
      </c>
      <c r="N895" t="s" s="11">
        <v>34</v>
      </c>
      <c r="O895" t="s" s="11">
        <v>34</v>
      </c>
      <c r="P895" t="s" s="11">
        <v>34</v>
      </c>
      <c r="Q895" t="s" s="11">
        <v>34</v>
      </c>
      <c r="R895" t="s" s="11">
        <v>34</v>
      </c>
      <c r="S895" t="s" s="11">
        <v>34</v>
      </c>
      <c r="T895" t="s" s="13">
        <v>34</v>
      </c>
      <c r="U895" t="s" s="11">
        <v>34</v>
      </c>
      <c r="V895" t="s" s="13">
        <v>34</v>
      </c>
      <c r="W895" t="s" s="11">
        <v>7880</v>
      </c>
      <c r="X895" s="17">
        <f>HYPERLINK("https://my.pitchbook.com?p=100472-41P", "View People Online")</f>
      </c>
    </row>
    <row r="896">
      <c r="A896" t="s" s="10">
        <v>7881</v>
      </c>
      <c r="B896" t="s" s="10">
        <v>7882</v>
      </c>
      <c r="C896" t="s" s="10">
        <v>34</v>
      </c>
      <c r="D896" t="s" s="10">
        <v>7883</v>
      </c>
      <c r="E896" t="s" s="10">
        <v>3715</v>
      </c>
      <c r="F896" t="s" s="10">
        <v>7884</v>
      </c>
      <c r="G896" t="s" s="10">
        <v>7885</v>
      </c>
      <c r="H896" s="16">
        <f>HYPERLINK("http://www.devin-bg.com", "www.devin-bg.com")</f>
      </c>
      <c r="I896" t="s" s="10">
        <v>7887</v>
      </c>
      <c r="J896" t="s" s="24">
        <v>34</v>
      </c>
      <c r="K896" t="s" s="24">
        <v>34</v>
      </c>
      <c r="L896" t="s" s="24">
        <v>34</v>
      </c>
      <c r="M896" t="s" s="12">
        <v>34</v>
      </c>
      <c r="N896" t="s" s="10">
        <v>34</v>
      </c>
      <c r="O896" t="s" s="10">
        <v>34</v>
      </c>
      <c r="P896" t="s" s="10">
        <v>34</v>
      </c>
      <c r="Q896" t="s" s="10">
        <v>34</v>
      </c>
      <c r="R896" t="s" s="10">
        <v>34</v>
      </c>
      <c r="S896" t="s" s="10">
        <v>34</v>
      </c>
      <c r="T896" t="s" s="12">
        <v>34</v>
      </c>
      <c r="U896" t="s" s="10">
        <v>34</v>
      </c>
      <c r="V896" t="s" s="12">
        <v>34</v>
      </c>
      <c r="W896" t="s" s="10">
        <v>7888</v>
      </c>
      <c r="X896" s="16">
        <f>HYPERLINK("https://my.pitchbook.com?p=31185-91P", "View People Online")</f>
      </c>
    </row>
    <row r="897">
      <c r="A897" t="s" s="11">
        <v>7889</v>
      </c>
      <c r="B897" t="s" s="11">
        <v>7890</v>
      </c>
      <c r="C897" t="s" s="11">
        <v>34</v>
      </c>
      <c r="D897" t="s" s="11">
        <v>7891</v>
      </c>
      <c r="E897" t="s" s="11">
        <v>3715</v>
      </c>
      <c r="F897" t="s" s="11">
        <v>7892</v>
      </c>
      <c r="G897" t="s" s="11">
        <v>7893</v>
      </c>
      <c r="H897" s="17">
        <f>HYPERLINK("http://www.open-insights.com", "www.open-insights.com")</f>
      </c>
      <c r="I897" t="s" s="11">
        <v>2362</v>
      </c>
      <c r="J897" s="25">
        <v>4</v>
      </c>
      <c r="K897" s="25">
        <v>11</v>
      </c>
      <c r="L897" s="25">
        <v>4</v>
      </c>
      <c r="M897" t="s" s="13">
        <v>7895</v>
      </c>
      <c r="N897" t="s" s="11">
        <v>7896</v>
      </c>
      <c r="O897" t="s" s="11">
        <v>1209</v>
      </c>
      <c r="P897" t="s" s="11">
        <v>7897</v>
      </c>
      <c r="Q897" t="s" s="11">
        <v>34</v>
      </c>
      <c r="R897" t="s" s="11">
        <v>1211</v>
      </c>
      <c r="S897" t="s" s="11">
        <v>34</v>
      </c>
      <c r="T897" t="s" s="13">
        <v>7898</v>
      </c>
      <c r="U897" t="s" s="11">
        <v>1213</v>
      </c>
      <c r="V897" t="s" s="13">
        <v>34</v>
      </c>
      <c r="W897" t="s" s="11">
        <v>7899</v>
      </c>
      <c r="X897" s="17">
        <f>HYPERLINK("https://my.pitchbook.com?p=43572-79P", "View People Online")</f>
      </c>
    </row>
    <row r="898">
      <c r="A898" t="s" s="10">
        <v>7900</v>
      </c>
      <c r="B898" t="s" s="10">
        <v>7901</v>
      </c>
      <c r="C898" t="s" s="10">
        <v>34</v>
      </c>
      <c r="D898" t="s" s="10">
        <v>4854</v>
      </c>
      <c r="E898" t="s" s="10">
        <v>3715</v>
      </c>
      <c r="F898" t="s" s="10">
        <v>7902</v>
      </c>
      <c r="G898" t="s" s="10">
        <v>7903</v>
      </c>
      <c r="H898" s="16">
        <f>HYPERLINK("http://www.westlakeroyalbuildingproducts.com", "www.westlakeroyalbuildingproducts.com")</f>
      </c>
      <c r="I898" t="s" s="10">
        <v>2321</v>
      </c>
      <c r="J898" t="s" s="24">
        <v>34</v>
      </c>
      <c r="K898" t="s" s="24">
        <v>34</v>
      </c>
      <c r="L898" t="s" s="24">
        <v>34</v>
      </c>
      <c r="M898" t="s" s="12">
        <v>34</v>
      </c>
      <c r="N898" t="s" s="10">
        <v>34</v>
      </c>
      <c r="O898" t="s" s="10">
        <v>34</v>
      </c>
      <c r="P898" t="s" s="10">
        <v>34</v>
      </c>
      <c r="Q898" t="s" s="10">
        <v>34</v>
      </c>
      <c r="R898" t="s" s="10">
        <v>34</v>
      </c>
      <c r="S898" t="s" s="10">
        <v>34</v>
      </c>
      <c r="T898" t="s" s="12">
        <v>34</v>
      </c>
      <c r="U898" t="s" s="10">
        <v>34</v>
      </c>
      <c r="V898" t="s" s="12">
        <v>34</v>
      </c>
      <c r="W898" t="s" s="10">
        <v>7904</v>
      </c>
      <c r="X898" s="16">
        <f>HYPERLINK("https://my.pitchbook.com?p=49245-85P", "View People Online")</f>
      </c>
    </row>
    <row r="899">
      <c r="A899" t="s" s="11">
        <v>7905</v>
      </c>
      <c r="B899" t="s" s="11">
        <v>67</v>
      </c>
      <c r="C899" t="s" s="11">
        <v>34</v>
      </c>
      <c r="D899" t="s" s="11">
        <v>7906</v>
      </c>
      <c r="E899" t="s" s="11">
        <v>3715</v>
      </c>
      <c r="F899" t="s" s="11">
        <v>69</v>
      </c>
      <c r="G899" t="s" s="11">
        <v>70</v>
      </c>
      <c r="H899" s="17">
        <f>HYPERLINK("http://www.aggenome.com", "www.aggenome.com")</f>
      </c>
      <c r="I899" t="s" s="11">
        <v>3769</v>
      </c>
      <c r="J899" t="s" s="25">
        <v>34</v>
      </c>
      <c r="K899" s="25">
        <v>1</v>
      </c>
      <c r="L899" t="s" s="25">
        <v>34</v>
      </c>
      <c r="M899" t="s" s="13">
        <v>7908</v>
      </c>
      <c r="N899" t="s" s="11">
        <v>34</v>
      </c>
      <c r="O899" t="s" s="11">
        <v>7909</v>
      </c>
      <c r="P899" t="s" s="11">
        <v>7910</v>
      </c>
      <c r="Q899" t="s" s="11">
        <v>7911</v>
      </c>
      <c r="R899" t="s" s="11">
        <v>7912</v>
      </c>
      <c r="S899" t="s" s="11">
        <v>7913</v>
      </c>
      <c r="T899" t="s" s="13">
        <v>7914</v>
      </c>
      <c r="U899" t="s" s="11">
        <v>135</v>
      </c>
      <c r="V899" t="s" s="13">
        <v>34</v>
      </c>
      <c r="W899" t="s" s="11">
        <v>7915</v>
      </c>
      <c r="X899" s="17">
        <f>HYPERLINK("https://my.pitchbook.com?p=161735-95P", "View People Online")</f>
      </c>
    </row>
    <row r="900">
      <c r="A900" t="s" s="10">
        <v>7916</v>
      </c>
      <c r="B900" t="s" s="10">
        <v>7917</v>
      </c>
      <c r="C900" t="s" s="10">
        <v>34</v>
      </c>
      <c r="D900" t="s" s="10">
        <v>7918</v>
      </c>
      <c r="E900" t="s" s="10">
        <v>3715</v>
      </c>
      <c r="F900" t="s" s="10">
        <v>7919</v>
      </c>
      <c r="G900" t="s" s="10">
        <v>7920</v>
      </c>
      <c r="H900" s="16">
        <f>HYPERLINK("http://www.healthinsurance.org", "www.healthinsurance.org")</f>
      </c>
      <c r="I900" t="s" s="10">
        <v>5126</v>
      </c>
      <c r="J900" t="s" s="24">
        <v>34</v>
      </c>
      <c r="K900" s="24">
        <v>1</v>
      </c>
      <c r="L900" t="s" s="24">
        <v>34</v>
      </c>
      <c r="M900" t="s" s="12">
        <v>34</v>
      </c>
      <c r="N900" t="s" s="10">
        <v>34</v>
      </c>
      <c r="O900" t="s" s="10">
        <v>7922</v>
      </c>
      <c r="P900" t="s" s="10">
        <v>7923</v>
      </c>
      <c r="Q900" t="s" s="10">
        <v>5320</v>
      </c>
      <c r="R900" t="s" s="10">
        <v>7924</v>
      </c>
      <c r="S900" t="s" s="10">
        <v>7925</v>
      </c>
      <c r="T900" t="s" s="12">
        <v>7926</v>
      </c>
      <c r="U900" t="s" s="10">
        <v>88</v>
      </c>
      <c r="V900" t="s" s="12">
        <v>34</v>
      </c>
      <c r="W900" t="s" s="10">
        <v>7927</v>
      </c>
      <c r="X900" s="16">
        <f>HYPERLINK("https://my.pitchbook.com?p=249377-05P", "View People Online")</f>
      </c>
    </row>
    <row r="901">
      <c r="A901" t="s" s="11">
        <v>7928</v>
      </c>
      <c r="B901" t="s" s="11">
        <v>7929</v>
      </c>
      <c r="C901" t="s" s="11">
        <v>34</v>
      </c>
      <c r="D901" t="s" s="11">
        <v>7930</v>
      </c>
      <c r="E901" t="s" s="11">
        <v>3715</v>
      </c>
      <c r="F901" t="s" s="11">
        <v>7931</v>
      </c>
      <c r="G901" t="s" s="11">
        <v>7920</v>
      </c>
      <c r="H901" s="17">
        <f>HYPERLINK("http://www.summit7.us", "www.summit7.us")</f>
      </c>
      <c r="I901" t="s" s="11">
        <v>234</v>
      </c>
      <c r="J901" t="s" s="25">
        <v>34</v>
      </c>
      <c r="K901" s="25">
        <v>1</v>
      </c>
      <c r="L901" t="s" s="25">
        <v>34</v>
      </c>
      <c r="M901" t="s" s="13">
        <v>7933</v>
      </c>
      <c r="N901" t="s" s="11">
        <v>7934</v>
      </c>
      <c r="O901" t="s" s="11">
        <v>7935</v>
      </c>
      <c r="P901" t="s" s="11">
        <v>7936</v>
      </c>
      <c r="Q901" t="s" s="11">
        <v>34</v>
      </c>
      <c r="R901" t="s" s="11">
        <v>7937</v>
      </c>
      <c r="S901" t="s" s="11">
        <v>6243</v>
      </c>
      <c r="T901" t="s" s="13">
        <v>7938</v>
      </c>
      <c r="U901" t="s" s="11">
        <v>88</v>
      </c>
      <c r="V901" t="s" s="13">
        <v>34</v>
      </c>
      <c r="W901" t="s" s="11">
        <v>7939</v>
      </c>
      <c r="X901" s="17">
        <f>HYPERLINK("https://my.pitchbook.com?p=73337-32P", "View People Online")</f>
      </c>
    </row>
    <row r="902">
      <c r="A902" t="s" s="10">
        <v>7940</v>
      </c>
      <c r="B902" t="s" s="10">
        <v>7941</v>
      </c>
      <c r="C902" t="s" s="10">
        <v>34</v>
      </c>
      <c r="D902" t="s" s="10">
        <v>7942</v>
      </c>
      <c r="E902" t="s" s="10">
        <v>3715</v>
      </c>
      <c r="F902" t="s" s="10">
        <v>7943</v>
      </c>
      <c r="G902" t="s" s="10">
        <v>7920</v>
      </c>
      <c r="H902" s="16">
        <f>HYPERLINK("http://www.edfenergy.com", "www.edfenergy.com")</f>
      </c>
      <c r="I902" t="s" s="10">
        <v>322</v>
      </c>
      <c r="J902" s="24">
        <v>1</v>
      </c>
      <c r="K902" s="24">
        <v>3</v>
      </c>
      <c r="L902" s="24">
        <v>2</v>
      </c>
      <c r="M902" t="s" s="12">
        <v>7945</v>
      </c>
      <c r="N902" t="s" s="10">
        <v>34</v>
      </c>
      <c r="O902" t="s" s="10">
        <v>3071</v>
      </c>
      <c r="P902" t="s" s="10">
        <v>7946</v>
      </c>
      <c r="Q902" t="s" s="10">
        <v>7947</v>
      </c>
      <c r="R902" t="s" s="10">
        <v>3072</v>
      </c>
      <c r="S902" t="s" s="10">
        <v>7948</v>
      </c>
      <c r="T902" t="s" s="12">
        <v>7949</v>
      </c>
      <c r="U902" t="s" s="10">
        <v>3074</v>
      </c>
      <c r="V902" t="s" s="12">
        <v>7950</v>
      </c>
      <c r="W902" t="s" s="10">
        <v>7951</v>
      </c>
      <c r="X902" s="16">
        <f>HYPERLINK("https://my.pitchbook.com?p=85856-23P", "View People Online")</f>
      </c>
    </row>
    <row r="903">
      <c r="A903" t="s" s="11">
        <v>7952</v>
      </c>
      <c r="B903" t="s" s="11">
        <v>7953</v>
      </c>
      <c r="C903" t="s" s="11">
        <v>34</v>
      </c>
      <c r="D903" t="s" s="11">
        <v>7954</v>
      </c>
      <c r="E903" t="s" s="11">
        <v>3715</v>
      </c>
      <c r="F903" t="s" s="11">
        <v>4712</v>
      </c>
      <c r="G903" t="s" s="11">
        <v>2078</v>
      </c>
      <c r="H903" s="17">
        <f>HYPERLINK("http://www.chugachgov.com", "www.chugachgov.com")</f>
      </c>
      <c r="I903" t="s" s="11">
        <v>7956</v>
      </c>
      <c r="J903" t="s" s="25">
        <v>34</v>
      </c>
      <c r="K903" s="25">
        <v>1</v>
      </c>
      <c r="L903" t="s" s="25">
        <v>34</v>
      </c>
      <c r="M903" t="s" s="13">
        <v>34</v>
      </c>
      <c r="N903" t="s" s="11">
        <v>7957</v>
      </c>
      <c r="O903" t="s" s="11">
        <v>3311</v>
      </c>
      <c r="P903" t="s" s="11">
        <v>3312</v>
      </c>
      <c r="Q903" t="s" s="11">
        <v>7958</v>
      </c>
      <c r="R903" t="s" s="11">
        <v>3314</v>
      </c>
      <c r="S903" t="s" s="11">
        <v>3315</v>
      </c>
      <c r="T903" t="s" s="13">
        <v>34</v>
      </c>
      <c r="U903" t="s" s="11">
        <v>88</v>
      </c>
      <c r="V903" t="s" s="13">
        <v>34</v>
      </c>
      <c r="W903" t="s" s="11">
        <v>7959</v>
      </c>
      <c r="X903" s="17">
        <f>HYPERLINK("https://my.pitchbook.com?p=434925-82P", "View People Online")</f>
      </c>
    </row>
    <row r="904">
      <c r="A904" t="s" s="10">
        <v>7960</v>
      </c>
      <c r="B904" t="s" s="10">
        <v>7961</v>
      </c>
      <c r="C904" t="s" s="10">
        <v>34</v>
      </c>
      <c r="D904" t="s" s="10">
        <v>7962</v>
      </c>
      <c r="E904" t="s" s="10">
        <v>3715</v>
      </c>
      <c r="F904" t="s" s="10">
        <v>7963</v>
      </c>
      <c r="G904" t="s" s="10">
        <v>7964</v>
      </c>
      <c r="H904" s="16">
        <f>HYPERLINK("http://www.lirio.com", "www.lirio.com")</f>
      </c>
      <c r="I904" t="s" s="10">
        <v>7966</v>
      </c>
      <c r="J904" t="s" s="24">
        <v>34</v>
      </c>
      <c r="K904" s="24">
        <v>1</v>
      </c>
      <c r="L904" t="s" s="24">
        <v>34</v>
      </c>
      <c r="M904" t="s" s="12">
        <v>7967</v>
      </c>
      <c r="N904" t="s" s="10">
        <v>7968</v>
      </c>
      <c r="O904" t="s" s="10">
        <v>7969</v>
      </c>
      <c r="P904" t="s" s="10">
        <v>7970</v>
      </c>
      <c r="Q904" t="s" s="10">
        <v>34</v>
      </c>
      <c r="R904" t="s" s="10">
        <v>7971</v>
      </c>
      <c r="S904" t="s" s="10">
        <v>4464</v>
      </c>
      <c r="T904" t="s" s="12">
        <v>7972</v>
      </c>
      <c r="U904" t="s" s="10">
        <v>88</v>
      </c>
      <c r="V904" t="s" s="12">
        <v>7973</v>
      </c>
      <c r="W904" t="s" s="10">
        <v>7974</v>
      </c>
      <c r="X904" s="16">
        <f>HYPERLINK("https://my.pitchbook.com?p=209643-31P", "View People Online")</f>
      </c>
    </row>
    <row r="905">
      <c r="A905" t="s" s="11">
        <v>7975</v>
      </c>
      <c r="B905" t="s" s="11">
        <v>7976</v>
      </c>
      <c r="C905" t="s" s="11">
        <v>34</v>
      </c>
      <c r="D905" t="s" s="11">
        <v>7977</v>
      </c>
      <c r="E905" t="s" s="11">
        <v>3715</v>
      </c>
      <c r="F905" t="s" s="11">
        <v>7978</v>
      </c>
      <c r="G905" t="s" s="11">
        <v>7979</v>
      </c>
      <c r="H905" s="17">
        <f>HYPERLINK("http://alameda-hc.com", "alameda-hc.com")</f>
      </c>
      <c r="I905" t="s" s="11">
        <v>7981</v>
      </c>
      <c r="J905" t="s" s="25">
        <v>34</v>
      </c>
      <c r="K905" s="25">
        <v>1</v>
      </c>
      <c r="L905" t="s" s="25">
        <v>34</v>
      </c>
      <c r="M905" t="s" s="13">
        <v>7982</v>
      </c>
      <c r="N905" t="s" s="11">
        <v>7983</v>
      </c>
      <c r="O905" t="s" s="11">
        <v>7984</v>
      </c>
      <c r="P905" t="s" s="11">
        <v>7985</v>
      </c>
      <c r="Q905" t="s" s="11">
        <v>34</v>
      </c>
      <c r="R905" t="s" s="11">
        <v>7986</v>
      </c>
      <c r="S905" t="s" s="11">
        <v>34</v>
      </c>
      <c r="T905" t="s" s="13">
        <v>34</v>
      </c>
      <c r="U905" t="s" s="11">
        <v>3107</v>
      </c>
      <c r="V905" t="s" s="13">
        <v>34</v>
      </c>
      <c r="W905" t="s" s="11">
        <v>7987</v>
      </c>
      <c r="X905" s="17">
        <f>HYPERLINK("https://my.pitchbook.com?p=464152-33P", "View People Online")</f>
      </c>
    </row>
    <row r="906">
      <c r="A906" t="s" s="10">
        <v>7988</v>
      </c>
      <c r="B906" t="s" s="10">
        <v>7989</v>
      </c>
      <c r="C906" t="s" s="10">
        <v>34</v>
      </c>
      <c r="D906" t="s" s="10">
        <v>7990</v>
      </c>
      <c r="E906" t="s" s="10">
        <v>3715</v>
      </c>
      <c r="F906" t="s" s="10">
        <v>7991</v>
      </c>
      <c r="G906" t="s" s="10">
        <v>7979</v>
      </c>
      <c r="H906" s="16">
        <f>HYPERLINK("http://www.theventurex.com", "www.theventurex.com")</f>
      </c>
      <c r="I906" t="s" s="10">
        <v>4834</v>
      </c>
      <c r="J906" s="24">
        <v>2</v>
      </c>
      <c r="K906" s="24">
        <v>3</v>
      </c>
      <c r="L906" t="s" s="24">
        <v>34</v>
      </c>
      <c r="M906" t="s" s="12">
        <v>34</v>
      </c>
      <c r="N906" t="s" s="10">
        <v>7993</v>
      </c>
      <c r="O906" t="s" s="10">
        <v>1209</v>
      </c>
      <c r="P906" t="s" s="10">
        <v>7994</v>
      </c>
      <c r="Q906" t="s" s="10">
        <v>7995</v>
      </c>
      <c r="R906" t="s" s="10">
        <v>1211</v>
      </c>
      <c r="S906" t="s" s="10">
        <v>34</v>
      </c>
      <c r="T906" t="s" s="12">
        <v>34</v>
      </c>
      <c r="U906" t="s" s="10">
        <v>1213</v>
      </c>
      <c r="V906" t="s" s="12">
        <v>34</v>
      </c>
      <c r="W906" t="s" s="10">
        <v>7996</v>
      </c>
      <c r="X906" s="16">
        <f>HYPERLINK("https://my.pitchbook.com?p=234571-69P", "View People Online")</f>
      </c>
    </row>
    <row r="907">
      <c r="A907" t="s" s="11">
        <v>7997</v>
      </c>
      <c r="B907" t="s" s="11">
        <v>7998</v>
      </c>
      <c r="C907" t="s" s="11">
        <v>34</v>
      </c>
      <c r="D907" t="s" s="11">
        <v>7999</v>
      </c>
      <c r="E907" t="s" s="11">
        <v>3715</v>
      </c>
      <c r="F907" t="s" s="11">
        <v>8000</v>
      </c>
      <c r="G907" t="s" s="11">
        <v>7979</v>
      </c>
      <c r="H907" s="17">
        <f>HYPERLINK("http://www.carexso.com", "www.carexso.com")</f>
      </c>
      <c r="I907" t="s" s="11">
        <v>8002</v>
      </c>
      <c r="J907" t="s" s="25">
        <v>34</v>
      </c>
      <c r="K907" s="25">
        <v>2</v>
      </c>
      <c r="L907" t="s" s="25">
        <v>34</v>
      </c>
      <c r="M907" t="s" s="13">
        <v>8003</v>
      </c>
      <c r="N907" t="s" s="11">
        <v>34</v>
      </c>
      <c r="O907" t="s" s="11">
        <v>236</v>
      </c>
      <c r="P907" t="s" s="11">
        <v>8004</v>
      </c>
      <c r="Q907" t="s" s="11">
        <v>8005</v>
      </c>
      <c r="R907" t="s" s="11">
        <v>239</v>
      </c>
      <c r="S907" t="s" s="11">
        <v>34</v>
      </c>
      <c r="T907" t="s" s="13">
        <v>34</v>
      </c>
      <c r="U907" t="s" s="11">
        <v>240</v>
      </c>
      <c r="V907" t="s" s="13">
        <v>34</v>
      </c>
      <c r="W907" t="s" s="11">
        <v>8006</v>
      </c>
      <c r="X907" s="17">
        <f>HYPERLINK("https://my.pitchbook.com?p=381229-21P", "View People Online")</f>
      </c>
    </row>
    <row r="908">
      <c r="A908" t="s" s="10">
        <v>8007</v>
      </c>
      <c r="B908" t="s" s="10">
        <v>8008</v>
      </c>
      <c r="C908" t="s" s="10">
        <v>34</v>
      </c>
      <c r="D908" t="s" s="10">
        <v>8009</v>
      </c>
      <c r="E908" t="s" s="10">
        <v>3715</v>
      </c>
      <c r="F908" t="s" s="10">
        <v>8010</v>
      </c>
      <c r="G908" t="s" s="10">
        <v>8011</v>
      </c>
      <c r="H908" s="16">
        <f>HYPERLINK("http://www.retirementvillages.co.uk", "www.retirementvillages.co.uk")</f>
      </c>
      <c r="I908" t="s" s="10">
        <v>322</v>
      </c>
      <c r="J908" t="s" s="24">
        <v>34</v>
      </c>
      <c r="K908" t="s" s="24">
        <v>34</v>
      </c>
      <c r="L908" t="s" s="24">
        <v>34</v>
      </c>
      <c r="M908" t="s" s="12">
        <v>34</v>
      </c>
      <c r="N908" t="s" s="10">
        <v>34</v>
      </c>
      <c r="O908" t="s" s="10">
        <v>34</v>
      </c>
      <c r="P908" t="s" s="10">
        <v>34</v>
      </c>
      <c r="Q908" t="s" s="10">
        <v>34</v>
      </c>
      <c r="R908" t="s" s="10">
        <v>34</v>
      </c>
      <c r="S908" t="s" s="10">
        <v>34</v>
      </c>
      <c r="T908" t="s" s="12">
        <v>34</v>
      </c>
      <c r="U908" t="s" s="10">
        <v>34</v>
      </c>
      <c r="V908" t="s" s="12">
        <v>34</v>
      </c>
      <c r="W908" t="s" s="10">
        <v>8013</v>
      </c>
      <c r="X908" s="16">
        <f>HYPERLINK("https://my.pitchbook.com?p=361805-23P", "View People Online")</f>
      </c>
    </row>
    <row r="909">
      <c r="A909" t="s" s="11">
        <v>8014</v>
      </c>
      <c r="B909" t="s" s="11">
        <v>8015</v>
      </c>
      <c r="C909" t="s" s="11">
        <v>34</v>
      </c>
      <c r="D909" t="s" s="11">
        <v>8016</v>
      </c>
      <c r="E909" t="s" s="11">
        <v>3715</v>
      </c>
      <c r="F909" t="s" s="11">
        <v>654</v>
      </c>
      <c r="G909" t="s" s="11">
        <v>1151</v>
      </c>
      <c r="H909" s="17">
        <f>HYPERLINK("http://www.potomachealthcare.com", "www.potomachealthcare.com")</f>
      </c>
      <c r="I909" t="s" s="11">
        <v>8018</v>
      </c>
      <c r="J909" t="s" s="25">
        <v>34</v>
      </c>
      <c r="K909" s="25">
        <v>1</v>
      </c>
      <c r="L909" t="s" s="25">
        <v>34</v>
      </c>
      <c r="M909" t="s" s="13">
        <v>8019</v>
      </c>
      <c r="N909" t="s" s="11">
        <v>8020</v>
      </c>
      <c r="O909" t="s" s="11">
        <v>4305</v>
      </c>
      <c r="P909" t="s" s="11">
        <v>8021</v>
      </c>
      <c r="Q909" t="s" s="11">
        <v>7695</v>
      </c>
      <c r="R909" t="s" s="11">
        <v>4307</v>
      </c>
      <c r="S909" t="s" s="11">
        <v>2078</v>
      </c>
      <c r="T909" t="s" s="13">
        <v>6450</v>
      </c>
      <c r="U909" t="s" s="11">
        <v>88</v>
      </c>
      <c r="V909" t="s" s="13">
        <v>8022</v>
      </c>
      <c r="W909" t="s" s="11">
        <v>8023</v>
      </c>
      <c r="X909" s="17">
        <f>HYPERLINK("https://my.pitchbook.com?p=251544-43P", "View People Online")</f>
      </c>
    </row>
    <row r="910">
      <c r="A910" t="s" s="10">
        <v>8024</v>
      </c>
      <c r="B910" t="s" s="10">
        <v>8025</v>
      </c>
      <c r="C910" t="s" s="10">
        <v>34</v>
      </c>
      <c r="D910" t="s" s="10">
        <v>8026</v>
      </c>
      <c r="E910" t="s" s="10">
        <v>3715</v>
      </c>
      <c r="F910" t="s" s="10">
        <v>3173</v>
      </c>
      <c r="G910" t="s" s="10">
        <v>8027</v>
      </c>
      <c r="H910" s="16">
        <f>HYPERLINK("http://www.g42.ai", "www.g42.ai")</f>
      </c>
      <c r="I910" t="s" s="10">
        <v>8028</v>
      </c>
      <c r="J910" t="s" s="24">
        <v>34</v>
      </c>
      <c r="K910" s="24">
        <v>1</v>
      </c>
      <c r="L910" s="24">
        <v>1</v>
      </c>
      <c r="M910" t="s" s="12">
        <v>34</v>
      </c>
      <c r="N910" t="s" s="10">
        <v>34</v>
      </c>
      <c r="O910" t="s" s="10">
        <v>34</v>
      </c>
      <c r="P910" t="s" s="10">
        <v>34</v>
      </c>
      <c r="Q910" t="s" s="10">
        <v>34</v>
      </c>
      <c r="R910" t="s" s="10">
        <v>34</v>
      </c>
      <c r="S910" t="s" s="10">
        <v>34</v>
      </c>
      <c r="T910" t="s" s="12">
        <v>34</v>
      </c>
      <c r="U910" t="s" s="10">
        <v>34</v>
      </c>
      <c r="V910" t="s" s="12">
        <v>34</v>
      </c>
      <c r="W910" t="s" s="10">
        <v>8029</v>
      </c>
      <c r="X910" s="16">
        <f>HYPERLINK("https://my.pitchbook.com?p=314086-96P", "View People Online")</f>
      </c>
    </row>
    <row r="911">
      <c r="A911" t="s" s="11">
        <v>8030</v>
      </c>
      <c r="B911" t="s" s="11">
        <v>8031</v>
      </c>
      <c r="C911" t="s" s="11">
        <v>34</v>
      </c>
      <c r="D911" t="s" s="11">
        <v>7501</v>
      </c>
      <c r="E911" t="s" s="11">
        <v>3715</v>
      </c>
      <c r="F911" t="s" s="11">
        <v>8032</v>
      </c>
      <c r="G911" t="s" s="11">
        <v>8033</v>
      </c>
      <c r="H911" s="17">
        <f>HYPERLINK("http://www.ajmanholding.ae", "www.ajmanholding.ae")</f>
      </c>
      <c r="I911" t="s" s="11">
        <v>284</v>
      </c>
      <c r="J911" t="s" s="25">
        <v>34</v>
      </c>
      <c r="K911" s="25">
        <v>1</v>
      </c>
      <c r="L911" t="s" s="25">
        <v>34</v>
      </c>
      <c r="M911" t="s" s="13">
        <v>7504</v>
      </c>
      <c r="N911" t="s" s="11">
        <v>34</v>
      </c>
      <c r="O911" t="s" s="11">
        <v>7505</v>
      </c>
      <c r="P911" t="s" s="11">
        <v>7506</v>
      </c>
      <c r="Q911" t="s" s="11">
        <v>34</v>
      </c>
      <c r="R911" t="s" s="11">
        <v>7507</v>
      </c>
      <c r="S911" t="s" s="11">
        <v>7507</v>
      </c>
      <c r="T911" t="s" s="13">
        <v>7508</v>
      </c>
      <c r="U911" t="s" s="11">
        <v>240</v>
      </c>
      <c r="V911" t="s" s="13">
        <v>34</v>
      </c>
      <c r="W911" t="s" s="11">
        <v>8034</v>
      </c>
      <c r="X911" s="17">
        <f>HYPERLINK("https://my.pitchbook.com?p=398177-02P", "View People Online")</f>
      </c>
    </row>
    <row r="912">
      <c r="A912" t="s" s="10">
        <v>8035</v>
      </c>
      <c r="B912" t="s" s="10">
        <v>8036</v>
      </c>
      <c r="C912" t="s" s="10">
        <v>34</v>
      </c>
      <c r="D912" t="s" s="10">
        <v>8037</v>
      </c>
      <c r="E912" t="s" s="10">
        <v>3715</v>
      </c>
      <c r="F912" t="s" s="10">
        <v>8038</v>
      </c>
      <c r="G912" t="s" s="10">
        <v>8039</v>
      </c>
      <c r="H912" s="16">
        <f>HYPERLINK("http://www.marzipantech.ai", "www.marzipantech.ai")</f>
      </c>
      <c r="I912" t="s" s="10">
        <v>950</v>
      </c>
      <c r="J912" t="s" s="24">
        <v>34</v>
      </c>
      <c r="K912" s="24">
        <v>1</v>
      </c>
      <c r="L912" t="s" s="24">
        <v>34</v>
      </c>
      <c r="M912" t="s" s="12">
        <v>34</v>
      </c>
      <c r="N912" t="s" s="10">
        <v>34</v>
      </c>
      <c r="O912" t="s" s="10">
        <v>84</v>
      </c>
      <c r="P912" t="s" s="10">
        <v>8041</v>
      </c>
      <c r="Q912" t="s" s="10">
        <v>34</v>
      </c>
      <c r="R912" t="s" s="10">
        <v>86</v>
      </c>
      <c r="S912" t="s" s="10">
        <v>86</v>
      </c>
      <c r="T912" t="s" s="12">
        <v>34</v>
      </c>
      <c r="U912" t="s" s="10">
        <v>88</v>
      </c>
      <c r="V912" t="s" s="12">
        <v>34</v>
      </c>
      <c r="W912" t="s" s="10">
        <v>8042</v>
      </c>
      <c r="X912" s="16">
        <f>HYPERLINK("https://my.pitchbook.com?p=466542-28P", "View People Online")</f>
      </c>
    </row>
    <row r="913">
      <c r="A913" t="s" s="11">
        <v>8043</v>
      </c>
      <c r="B913" t="s" s="11">
        <v>8044</v>
      </c>
      <c r="C913" t="s" s="11">
        <v>34</v>
      </c>
      <c r="D913" t="s" s="11">
        <v>8045</v>
      </c>
      <c r="E913" t="s" s="11">
        <v>3715</v>
      </c>
      <c r="F913" t="s" s="11">
        <v>8046</v>
      </c>
      <c r="G913" t="s" s="11">
        <v>8047</v>
      </c>
      <c r="H913" s="17">
        <f>HYPERLINK("http://centremedical.com.hk", "centremedical.com.hk")</f>
      </c>
      <c r="I913" t="s" s="11">
        <v>950</v>
      </c>
      <c r="J913" t="s" s="25">
        <v>34</v>
      </c>
      <c r="K913" s="25">
        <v>1</v>
      </c>
      <c r="L913" t="s" s="25">
        <v>34</v>
      </c>
      <c r="M913" t="s" s="13">
        <v>8049</v>
      </c>
      <c r="N913" t="s" s="11">
        <v>34</v>
      </c>
      <c r="O913" t="s" s="11">
        <v>552</v>
      </c>
      <c r="P913" t="s" s="11">
        <v>8050</v>
      </c>
      <c r="Q913" t="s" s="11">
        <v>8051</v>
      </c>
      <c r="R913" t="s" s="11">
        <v>555</v>
      </c>
      <c r="S913" t="s" s="11">
        <v>34</v>
      </c>
      <c r="T913" t="s" s="13">
        <v>34</v>
      </c>
      <c r="U913" t="s" s="11">
        <v>555</v>
      </c>
      <c r="V913" t="s" s="13">
        <v>34</v>
      </c>
      <c r="W913" t="s" s="11">
        <v>8052</v>
      </c>
      <c r="X913" s="17">
        <f>HYPERLINK("https://my.pitchbook.com?p=356174-56P", "View People Online")</f>
      </c>
    </row>
    <row r="914">
      <c r="A914" t="s" s="10">
        <v>8053</v>
      </c>
      <c r="B914" t="s" s="10">
        <v>8054</v>
      </c>
      <c r="C914" t="s" s="10">
        <v>34</v>
      </c>
      <c r="D914" t="s" s="10">
        <v>3725</v>
      </c>
      <c r="E914" t="s" s="10">
        <v>3715</v>
      </c>
      <c r="F914" t="s" s="10">
        <v>8055</v>
      </c>
      <c r="G914" t="s" s="10">
        <v>8056</v>
      </c>
      <c r="H914" s="16">
        <f>HYPERLINK("http://www.royalihc.com", "www.royalihc.com")</f>
      </c>
      <c r="I914" t="s" s="10">
        <v>4271</v>
      </c>
      <c r="J914" t="s" s="24">
        <v>34</v>
      </c>
      <c r="K914" t="s" s="24">
        <v>34</v>
      </c>
      <c r="L914" t="s" s="24">
        <v>34</v>
      </c>
      <c r="M914" t="s" s="12">
        <v>34</v>
      </c>
      <c r="N914" t="s" s="10">
        <v>34</v>
      </c>
      <c r="O914" t="s" s="10">
        <v>34</v>
      </c>
      <c r="P914" t="s" s="10">
        <v>34</v>
      </c>
      <c r="Q914" t="s" s="10">
        <v>34</v>
      </c>
      <c r="R914" t="s" s="10">
        <v>34</v>
      </c>
      <c r="S914" t="s" s="10">
        <v>34</v>
      </c>
      <c r="T914" t="s" s="12">
        <v>34</v>
      </c>
      <c r="U914" t="s" s="10">
        <v>34</v>
      </c>
      <c r="V914" t="s" s="12">
        <v>34</v>
      </c>
      <c r="W914" t="s" s="10">
        <v>8057</v>
      </c>
      <c r="X914" s="16">
        <f>HYPERLINK("https://my.pitchbook.com?p=219322-81P", "View People Online")</f>
      </c>
    </row>
    <row r="915">
      <c r="A915" t="s" s="11">
        <v>8058</v>
      </c>
      <c r="B915" t="s" s="11">
        <v>8059</v>
      </c>
      <c r="C915" t="s" s="11">
        <v>34</v>
      </c>
      <c r="D915" t="s" s="11">
        <v>8060</v>
      </c>
      <c r="E915" t="s" s="11">
        <v>3715</v>
      </c>
      <c r="F915" t="s" s="11">
        <v>8061</v>
      </c>
      <c r="G915" t="s" s="11">
        <v>8056</v>
      </c>
      <c r="H915" s="17">
        <f>HYPERLINK("http://www.radvet.com.au", "www.radvet.com.au")</f>
      </c>
      <c r="I915" t="s" s="11">
        <v>57</v>
      </c>
      <c r="J915" t="s" s="25">
        <v>34</v>
      </c>
      <c r="K915" t="s" s="25">
        <v>34</v>
      </c>
      <c r="L915" t="s" s="25">
        <v>34</v>
      </c>
      <c r="M915" t="s" s="13">
        <v>34</v>
      </c>
      <c r="N915" t="s" s="11">
        <v>34</v>
      </c>
      <c r="O915" t="s" s="11">
        <v>34</v>
      </c>
      <c r="P915" t="s" s="11">
        <v>34</v>
      </c>
      <c r="Q915" t="s" s="11">
        <v>34</v>
      </c>
      <c r="R915" t="s" s="11">
        <v>34</v>
      </c>
      <c r="S915" t="s" s="11">
        <v>34</v>
      </c>
      <c r="T915" t="s" s="13">
        <v>34</v>
      </c>
      <c r="U915" t="s" s="11">
        <v>34</v>
      </c>
      <c r="V915" t="s" s="13">
        <v>34</v>
      </c>
      <c r="W915" t="s" s="11">
        <v>8063</v>
      </c>
      <c r="X915" s="17">
        <f>HYPERLINK("https://my.pitchbook.com?p=422730-37P", "View People Online")</f>
      </c>
    </row>
    <row r="916">
      <c r="A916" t="s" s="10">
        <v>8064</v>
      </c>
      <c r="B916" t="s" s="10">
        <v>8065</v>
      </c>
      <c r="C916" t="s" s="10">
        <v>34</v>
      </c>
      <c r="D916" t="s" s="10">
        <v>8066</v>
      </c>
      <c r="E916" t="s" s="10">
        <v>3715</v>
      </c>
      <c r="F916" t="s" s="10">
        <v>8067</v>
      </c>
      <c r="G916" t="s" s="10">
        <v>8068</v>
      </c>
      <c r="H916" s="16">
        <f>HYPERLINK("http://www.cesium.com", "www.cesium.com")</f>
      </c>
      <c r="I916" t="s" s="10">
        <v>1358</v>
      </c>
      <c r="J916" t="s" s="24">
        <v>34</v>
      </c>
      <c r="K916" s="24">
        <v>1</v>
      </c>
      <c r="L916" t="s" s="24">
        <v>34</v>
      </c>
      <c r="M916" t="s" s="12">
        <v>8070</v>
      </c>
      <c r="N916" t="s" s="10">
        <v>8071</v>
      </c>
      <c r="O916" t="s" s="10">
        <v>2775</v>
      </c>
      <c r="P916" t="s" s="10">
        <v>8072</v>
      </c>
      <c r="Q916" t="s" s="10">
        <v>8073</v>
      </c>
      <c r="R916" t="s" s="10">
        <v>2777</v>
      </c>
      <c r="S916" t="s" s="10">
        <v>1303</v>
      </c>
      <c r="T916" t="s" s="12">
        <v>8074</v>
      </c>
      <c r="U916" t="s" s="10">
        <v>88</v>
      </c>
      <c r="V916" t="s" s="12">
        <v>34</v>
      </c>
      <c r="W916" t="s" s="10">
        <v>8075</v>
      </c>
      <c r="X916" s="16">
        <f>HYPERLINK("https://my.pitchbook.com?p=298243-63P", "View People Online")</f>
      </c>
    </row>
    <row r="917">
      <c r="A917" t="s" s="11">
        <v>8076</v>
      </c>
      <c r="B917" t="s" s="11">
        <v>8077</v>
      </c>
      <c r="C917" t="s" s="11">
        <v>34</v>
      </c>
      <c r="D917" t="s" s="11">
        <v>4149</v>
      </c>
      <c r="E917" t="s" s="11">
        <v>3715</v>
      </c>
      <c r="F917" t="s" s="11">
        <v>8078</v>
      </c>
      <c r="G917" t="s" s="11">
        <v>8079</v>
      </c>
      <c r="H917" s="17">
        <f>HYPERLINK("http://www.fulcrumapp.com", "www.fulcrumapp.com")</f>
      </c>
      <c r="I917" t="s" s="11">
        <v>8080</v>
      </c>
      <c r="J917" t="s" s="25">
        <v>34</v>
      </c>
      <c r="K917" s="25">
        <v>1</v>
      </c>
      <c r="L917" t="s" s="25">
        <v>34</v>
      </c>
      <c r="M917" t="s" s="13">
        <v>8081</v>
      </c>
      <c r="N917" t="s" s="11">
        <v>8082</v>
      </c>
      <c r="O917" t="s" s="11">
        <v>8083</v>
      </c>
      <c r="P917" t="s" s="11">
        <v>8084</v>
      </c>
      <c r="Q917" t="s" s="11">
        <v>4601</v>
      </c>
      <c r="R917" t="s" s="11">
        <v>8085</v>
      </c>
      <c r="S917" t="s" s="11">
        <v>2156</v>
      </c>
      <c r="T917" t="s" s="13">
        <v>8086</v>
      </c>
      <c r="U917" t="s" s="11">
        <v>88</v>
      </c>
      <c r="V917" t="s" s="13">
        <v>34</v>
      </c>
      <c r="W917" t="s" s="11">
        <v>8087</v>
      </c>
      <c r="X917" s="17">
        <f>HYPERLINK("https://my.pitchbook.com?p=219641-05P", "View People Online")</f>
      </c>
    </row>
    <row r="918">
      <c r="A918" t="s" s="10">
        <v>8088</v>
      </c>
      <c r="B918" t="s" s="10">
        <v>8089</v>
      </c>
      <c r="C918" t="s" s="10">
        <v>34</v>
      </c>
      <c r="D918" t="s" s="10">
        <v>8090</v>
      </c>
      <c r="E918" t="s" s="10">
        <v>3715</v>
      </c>
      <c r="F918" t="s" s="10">
        <v>3173</v>
      </c>
      <c r="G918" t="s" s="10">
        <v>8091</v>
      </c>
      <c r="H918" s="16">
        <f>HYPERLINK("http://www.ztcn.cn", "www.ztcn.cn")</f>
      </c>
      <c r="I918" t="s" s="10">
        <v>8093</v>
      </c>
      <c r="J918" t="s" s="24">
        <v>34</v>
      </c>
      <c r="K918" s="24">
        <v>1</v>
      </c>
      <c r="L918" t="s" s="24">
        <v>34</v>
      </c>
      <c r="M918" t="s" s="12">
        <v>34</v>
      </c>
      <c r="N918" t="s" s="10">
        <v>34</v>
      </c>
      <c r="O918" t="s" s="10">
        <v>8094</v>
      </c>
      <c r="P918" t="s" s="10">
        <v>8095</v>
      </c>
      <c r="Q918" t="s" s="10">
        <v>8096</v>
      </c>
      <c r="R918" t="s" s="10">
        <v>8097</v>
      </c>
      <c r="S918" t="s" s="10">
        <v>34</v>
      </c>
      <c r="T918" t="s" s="12">
        <v>8098</v>
      </c>
      <c r="U918" t="s" s="10">
        <v>5013</v>
      </c>
      <c r="V918" t="s" s="12">
        <v>34</v>
      </c>
      <c r="W918" t="s" s="10">
        <v>8099</v>
      </c>
      <c r="X918" s="16">
        <f>HYPERLINK("https://my.pitchbook.com?p=189096-85P", "View People Online")</f>
      </c>
    </row>
    <row r="919">
      <c r="A919" t="s" s="11">
        <v>8100</v>
      </c>
      <c r="B919" t="s" s="11">
        <v>8101</v>
      </c>
      <c r="C919" t="s" s="11">
        <v>34</v>
      </c>
      <c r="D919" t="s" s="11">
        <v>8102</v>
      </c>
      <c r="E919" t="s" s="11">
        <v>8103</v>
      </c>
      <c r="F919" t="s" s="11">
        <v>8104</v>
      </c>
      <c r="G919" t="s" s="11">
        <v>8105</v>
      </c>
      <c r="H919" s="17">
        <f>HYPERLINK("http://www.jcif.jo", "www.jcif.jo")</f>
      </c>
      <c r="I919" t="s" s="11">
        <v>8107</v>
      </c>
      <c r="J919" t="s" s="25">
        <v>34</v>
      </c>
      <c r="K919" s="25">
        <v>4</v>
      </c>
      <c r="L919" s="25">
        <v>2</v>
      </c>
      <c r="M919" t="s" s="13">
        <v>8108</v>
      </c>
      <c r="N919" t="s" s="11">
        <v>8109</v>
      </c>
      <c r="O919" t="s" s="11">
        <v>1209</v>
      </c>
      <c r="P919" t="s" s="11">
        <v>8110</v>
      </c>
      <c r="Q919" t="s" s="11">
        <v>8111</v>
      </c>
      <c r="R919" t="s" s="11">
        <v>1211</v>
      </c>
      <c r="S919" t="s" s="11">
        <v>34</v>
      </c>
      <c r="T919" t="s" s="13">
        <v>34</v>
      </c>
      <c r="U919" t="s" s="11">
        <v>1213</v>
      </c>
      <c r="V919" t="s" s="13">
        <v>34</v>
      </c>
      <c r="W919" t="s" s="11">
        <v>8112</v>
      </c>
      <c r="X919" s="17">
        <f>HYPERLINK("https://my.pitchbook.com?p=300028-24P", "View People Online")</f>
      </c>
    </row>
    <row r="920">
      <c r="A920" t="s" s="10">
        <v>8113</v>
      </c>
      <c r="B920" t="s" s="10">
        <v>8114</v>
      </c>
      <c r="C920" t="s" s="10">
        <v>34</v>
      </c>
      <c r="D920" t="s" s="10">
        <v>8115</v>
      </c>
      <c r="E920" t="s" s="10">
        <v>8116</v>
      </c>
      <c r="F920" t="s" s="10">
        <v>8117</v>
      </c>
      <c r="G920" t="s" s="10">
        <v>8118</v>
      </c>
      <c r="H920" s="16">
        <f>HYPERLINK("http://www.nih-kw.com", "www.nih-kw.com")</f>
      </c>
      <c r="I920" t="s" s="10">
        <v>2321</v>
      </c>
      <c r="J920" s="24">
        <v>1</v>
      </c>
      <c r="K920" s="24">
        <v>1</v>
      </c>
      <c r="L920" t="s" s="24">
        <v>34</v>
      </c>
      <c r="M920" t="s" s="12">
        <v>8120</v>
      </c>
      <c r="N920" t="s" s="10">
        <v>8121</v>
      </c>
      <c r="O920" t="s" s="10">
        <v>1124</v>
      </c>
      <c r="P920" t="s" s="10">
        <v>8122</v>
      </c>
      <c r="Q920" t="s" s="10">
        <v>8123</v>
      </c>
      <c r="R920" t="s" s="10">
        <v>1127</v>
      </c>
      <c r="S920" t="s" s="10">
        <v>34</v>
      </c>
      <c r="T920" t="s" s="12">
        <v>34</v>
      </c>
      <c r="U920" t="s" s="10">
        <v>1129</v>
      </c>
      <c r="V920" t="s" s="12">
        <v>8124</v>
      </c>
      <c r="W920" t="s" s="10">
        <v>8125</v>
      </c>
      <c r="X920" s="16">
        <f>HYPERLINK("https://my.pitchbook.com?p=304214-95P", "View People Online")</f>
      </c>
    </row>
    <row r="921">
      <c r="A921" t="s" s="11">
        <v>8126</v>
      </c>
      <c r="B921" t="s" s="11">
        <v>8127</v>
      </c>
      <c r="C921" t="s" s="11">
        <v>34</v>
      </c>
      <c r="D921" t="s" s="11">
        <v>8128</v>
      </c>
      <c r="E921" t="s" s="11">
        <v>8116</v>
      </c>
      <c r="F921" t="s" s="11">
        <v>8129</v>
      </c>
      <c r="G921" t="s" s="11">
        <v>8130</v>
      </c>
      <c r="H921" s="17">
        <f>HYPERLINK("http://www.bangchak.co.th", "www.bangchak.co.th")</f>
      </c>
      <c r="I921" t="s" s="11">
        <v>8132</v>
      </c>
      <c r="J921" s="25">
        <v>1</v>
      </c>
      <c r="K921" s="25">
        <v>1</v>
      </c>
      <c r="L921" t="s" s="25">
        <v>34</v>
      </c>
      <c r="M921" t="s" s="13">
        <v>8133</v>
      </c>
      <c r="N921" t="s" s="11">
        <v>34</v>
      </c>
      <c r="O921" t="s" s="11">
        <v>1140</v>
      </c>
      <c r="P921" t="s" s="11">
        <v>8134</v>
      </c>
      <c r="Q921" t="s" s="11">
        <v>8135</v>
      </c>
      <c r="R921" t="s" s="11">
        <v>1143</v>
      </c>
      <c r="S921" t="s" s="11">
        <v>34</v>
      </c>
      <c r="T921" t="s" s="13">
        <v>8136</v>
      </c>
      <c r="U921" t="s" s="11">
        <v>1145</v>
      </c>
      <c r="V921" t="s" s="13">
        <v>8137</v>
      </c>
      <c r="W921" t="s" s="11">
        <v>8138</v>
      </c>
      <c r="X921" s="17">
        <f>HYPERLINK("https://my.pitchbook.com?p=284801-59P", "View People Online")</f>
      </c>
    </row>
    <row r="922">
      <c r="A922" t="s" s="10">
        <v>8139</v>
      </c>
      <c r="B922" t="s" s="10">
        <v>8140</v>
      </c>
      <c r="C922" t="s" s="10">
        <v>34</v>
      </c>
      <c r="D922" t="s" s="10">
        <v>8141</v>
      </c>
      <c r="E922" t="s" s="10">
        <v>8116</v>
      </c>
      <c r="F922" t="s" s="10">
        <v>8142</v>
      </c>
      <c r="G922" t="s" s="10">
        <v>1205</v>
      </c>
      <c r="H922" s="16">
        <f>HYPERLINK("http://www.aznoula.com", "www.aznoula.com")</f>
      </c>
      <c r="I922" t="s" s="10">
        <v>1153</v>
      </c>
      <c r="J922" s="24">
        <v>1</v>
      </c>
      <c r="K922" s="24">
        <v>1</v>
      </c>
      <c r="L922" t="s" s="24">
        <v>34</v>
      </c>
      <c r="M922" t="s" s="12">
        <v>8144</v>
      </c>
      <c r="N922" t="s" s="10">
        <v>34</v>
      </c>
      <c r="O922" t="s" s="10">
        <v>8145</v>
      </c>
      <c r="P922" t="s" s="10">
        <v>8146</v>
      </c>
      <c r="Q922" t="s" s="10">
        <v>8147</v>
      </c>
      <c r="R922" t="s" s="10">
        <v>8148</v>
      </c>
      <c r="S922" t="s" s="10">
        <v>34</v>
      </c>
      <c r="T922" t="s" s="12">
        <v>34</v>
      </c>
      <c r="U922" t="s" s="10">
        <v>1129</v>
      </c>
      <c r="V922" t="s" s="12">
        <v>34</v>
      </c>
      <c r="W922" t="s" s="10">
        <v>8149</v>
      </c>
      <c r="X922" s="16">
        <f>HYPERLINK("https://my.pitchbook.com?p=283959-46P", "View People Online")</f>
      </c>
    </row>
    <row r="923">
      <c r="A923" t="s" s="11">
        <v>8150</v>
      </c>
      <c r="B923" t="s" s="11">
        <v>8151</v>
      </c>
      <c r="C923" t="s" s="11">
        <v>34</v>
      </c>
      <c r="D923" t="s" s="11">
        <v>8115</v>
      </c>
      <c r="E923" t="s" s="11">
        <v>8116</v>
      </c>
      <c r="F923" t="s" s="11">
        <v>8152</v>
      </c>
      <c r="G923" t="s" s="11">
        <v>380</v>
      </c>
      <c r="H923" s="17">
        <f>HYPERLINK("http://www.nih-kw.com", "www.nih-kw.com")</f>
      </c>
      <c r="I923" t="s" s="11">
        <v>8153</v>
      </c>
      <c r="J923" t="s" s="25">
        <v>34</v>
      </c>
      <c r="K923" s="25">
        <v>1</v>
      </c>
      <c r="L923" t="s" s="25">
        <v>34</v>
      </c>
      <c r="M923" t="s" s="13">
        <v>8120</v>
      </c>
      <c r="N923" t="s" s="11">
        <v>8154</v>
      </c>
      <c r="O923" t="s" s="11">
        <v>1124</v>
      </c>
      <c r="P923" t="s" s="11">
        <v>8122</v>
      </c>
      <c r="Q923" t="s" s="11">
        <v>8123</v>
      </c>
      <c r="R923" t="s" s="11">
        <v>1127</v>
      </c>
      <c r="S923" t="s" s="11">
        <v>34</v>
      </c>
      <c r="T923" t="s" s="13">
        <v>34</v>
      </c>
      <c r="U923" t="s" s="11">
        <v>1129</v>
      </c>
      <c r="V923" t="s" s="13">
        <v>8124</v>
      </c>
      <c r="W923" t="s" s="11">
        <v>8155</v>
      </c>
      <c r="X923" s="17">
        <f>HYPERLINK("https://my.pitchbook.com?p=405332-92P", "View People Online")</f>
      </c>
    </row>
    <row r="924">
      <c r="A924" t="s" s="10">
        <v>8156</v>
      </c>
      <c r="B924" t="s" s="10">
        <v>8157</v>
      </c>
      <c r="C924" t="s" s="10">
        <v>34</v>
      </c>
      <c r="D924" t="s" s="10">
        <v>8158</v>
      </c>
      <c r="E924" t="s" s="10">
        <v>8116</v>
      </c>
      <c r="F924" t="s" s="10">
        <v>8159</v>
      </c>
      <c r="G924" t="s" s="10">
        <v>380</v>
      </c>
      <c r="H924" s="16">
        <f>HYPERLINK("http://www.meeza.net", "www.meeza.net")</f>
      </c>
      <c r="I924" t="s" s="10">
        <v>649</v>
      </c>
      <c r="J924" t="s" s="24">
        <v>34</v>
      </c>
      <c r="K924" t="s" s="24">
        <v>34</v>
      </c>
      <c r="L924" t="s" s="24">
        <v>34</v>
      </c>
      <c r="M924" t="s" s="12">
        <v>34</v>
      </c>
      <c r="N924" t="s" s="10">
        <v>34</v>
      </c>
      <c r="O924" t="s" s="10">
        <v>34</v>
      </c>
      <c r="P924" t="s" s="10">
        <v>34</v>
      </c>
      <c r="Q924" t="s" s="10">
        <v>34</v>
      </c>
      <c r="R924" t="s" s="10">
        <v>34</v>
      </c>
      <c r="S924" t="s" s="10">
        <v>34</v>
      </c>
      <c r="T924" t="s" s="12">
        <v>34</v>
      </c>
      <c r="U924" t="s" s="10">
        <v>34</v>
      </c>
      <c r="V924" t="s" s="12">
        <v>34</v>
      </c>
      <c r="W924" t="s" s="10">
        <v>8161</v>
      </c>
      <c r="X924" s="16">
        <f>HYPERLINK("https://my.pitchbook.com?p=417594-25P", "View People Online")</f>
      </c>
    </row>
    <row r="925">
      <c r="A925" t="s" s="11">
        <v>8162</v>
      </c>
      <c r="B925" t="s" s="11">
        <v>8163</v>
      </c>
      <c r="C925" t="s" s="11">
        <v>34</v>
      </c>
      <c r="D925" t="s" s="11">
        <v>8164</v>
      </c>
      <c r="E925" t="s" s="11">
        <v>8116</v>
      </c>
      <c r="F925" t="s" s="11">
        <v>8165</v>
      </c>
      <c r="G925" t="s" s="11">
        <v>8166</v>
      </c>
      <c r="H925" s="17">
        <f>HYPERLINK("http://www.esguae.com", "www.esguae.com")</f>
      </c>
      <c r="I925" t="s" s="11">
        <v>5845</v>
      </c>
      <c r="J925" t="s" s="25">
        <v>34</v>
      </c>
      <c r="K925" s="25">
        <v>1</v>
      </c>
      <c r="L925" t="s" s="25">
        <v>34</v>
      </c>
      <c r="M925" t="s" s="13">
        <v>4028</v>
      </c>
      <c r="N925" t="s" s="11">
        <v>8168</v>
      </c>
      <c r="O925" t="s" s="11">
        <v>385</v>
      </c>
      <c r="P925" t="s" s="11">
        <v>8169</v>
      </c>
      <c r="Q925" t="s" s="11">
        <v>8170</v>
      </c>
      <c r="R925" t="s" s="11">
        <v>388</v>
      </c>
      <c r="S925" t="s" s="11">
        <v>34</v>
      </c>
      <c r="T925" t="s" s="13">
        <v>8171</v>
      </c>
      <c r="U925" t="s" s="11">
        <v>240</v>
      </c>
      <c r="V925" t="s" s="13">
        <v>34</v>
      </c>
      <c r="W925" t="s" s="11">
        <v>8172</v>
      </c>
      <c r="X925" s="17">
        <f>HYPERLINK("https://my.pitchbook.com?p=286120-45P", "View People Online")</f>
      </c>
    </row>
    <row r="926">
      <c r="A926" t="s" s="10">
        <v>8173</v>
      </c>
      <c r="B926" t="s" s="10">
        <v>8174</v>
      </c>
      <c r="C926" t="s" s="10">
        <v>34</v>
      </c>
      <c r="D926" t="s" s="10">
        <v>8141</v>
      </c>
      <c r="E926" t="s" s="10">
        <v>8116</v>
      </c>
      <c r="F926" t="s" s="10">
        <v>8175</v>
      </c>
      <c r="G926" t="s" s="10">
        <v>3926</v>
      </c>
      <c r="H926" s="16">
        <f>HYPERLINK("http://www.aznoula.com", "www.aznoula.com")</f>
      </c>
      <c r="I926" t="s" s="10">
        <v>8176</v>
      </c>
      <c r="J926" t="s" s="24">
        <v>34</v>
      </c>
      <c r="K926" s="24">
        <v>1</v>
      </c>
      <c r="L926" t="s" s="24">
        <v>34</v>
      </c>
      <c r="M926" t="s" s="12">
        <v>8144</v>
      </c>
      <c r="N926" t="s" s="10">
        <v>8177</v>
      </c>
      <c r="O926" t="s" s="10">
        <v>8145</v>
      </c>
      <c r="P926" t="s" s="10">
        <v>8146</v>
      </c>
      <c r="Q926" t="s" s="10">
        <v>8147</v>
      </c>
      <c r="R926" t="s" s="10">
        <v>8148</v>
      </c>
      <c r="S926" t="s" s="10">
        <v>34</v>
      </c>
      <c r="T926" t="s" s="12">
        <v>34</v>
      </c>
      <c r="U926" t="s" s="10">
        <v>1129</v>
      </c>
      <c r="V926" t="s" s="12">
        <v>34</v>
      </c>
      <c r="W926" t="s" s="10">
        <v>8178</v>
      </c>
      <c r="X926" s="16">
        <f>HYPERLINK("https://my.pitchbook.com?p=410251-33P", "View People Online")</f>
      </c>
    </row>
    <row r="927">
      <c r="A927" t="s" s="11">
        <v>8179</v>
      </c>
      <c r="B927" t="s" s="11">
        <v>8180</v>
      </c>
      <c r="C927" t="s" s="11">
        <v>34</v>
      </c>
      <c r="D927" t="s" s="11">
        <v>8181</v>
      </c>
      <c r="E927" t="s" s="11">
        <v>8116</v>
      </c>
      <c r="F927" t="s" s="11">
        <v>8182</v>
      </c>
      <c r="G927" t="s" s="11">
        <v>189</v>
      </c>
      <c r="H927" s="17">
        <f>HYPERLINK("http://www.natcoresolar.com", "www.natcoresolar.com")</f>
      </c>
      <c r="I927" t="s" s="11">
        <v>8184</v>
      </c>
      <c r="J927" t="s" s="25">
        <v>34</v>
      </c>
      <c r="K927" s="25">
        <v>1</v>
      </c>
      <c r="L927" t="s" s="25">
        <v>34</v>
      </c>
      <c r="M927" t="s" s="13">
        <v>8185</v>
      </c>
      <c r="N927" t="s" s="11">
        <v>8186</v>
      </c>
      <c r="O927" t="s" s="11">
        <v>8187</v>
      </c>
      <c r="P927" t="s" s="11">
        <v>8188</v>
      </c>
      <c r="Q927" t="s" s="11">
        <v>8189</v>
      </c>
      <c r="R927" t="s" s="11">
        <v>8190</v>
      </c>
      <c r="S927" t="s" s="11">
        <v>86</v>
      </c>
      <c r="T927" t="s" s="13">
        <v>8191</v>
      </c>
      <c r="U927" t="s" s="11">
        <v>88</v>
      </c>
      <c r="V927" t="s" s="13">
        <v>8192</v>
      </c>
      <c r="W927" t="s" s="11">
        <v>8193</v>
      </c>
      <c r="X927" s="17">
        <f>HYPERLINK("https://my.pitchbook.com?p=170902-81P", "View People Online")</f>
      </c>
    </row>
    <row r="928">
      <c r="A928" t="s" s="10">
        <v>8194</v>
      </c>
      <c r="B928" t="s" s="10">
        <v>8195</v>
      </c>
      <c r="C928" t="s" s="10">
        <v>34</v>
      </c>
      <c r="D928" t="s" s="10">
        <v>8141</v>
      </c>
      <c r="E928" t="s" s="10">
        <v>8116</v>
      </c>
      <c r="F928" t="s" s="10">
        <v>8196</v>
      </c>
      <c r="G928" t="s" s="10">
        <v>189</v>
      </c>
      <c r="H928" s="16">
        <f>HYPERLINK("http://www.aznoula.com", "www.aznoula.com")</f>
      </c>
      <c r="I928" t="s" s="10">
        <v>7887</v>
      </c>
      <c r="J928" t="s" s="24">
        <v>34</v>
      </c>
      <c r="K928" s="24">
        <v>1</v>
      </c>
      <c r="L928" t="s" s="24">
        <v>34</v>
      </c>
      <c r="M928" t="s" s="12">
        <v>8144</v>
      </c>
      <c r="N928" t="s" s="10">
        <v>8197</v>
      </c>
      <c r="O928" t="s" s="10">
        <v>8145</v>
      </c>
      <c r="P928" t="s" s="10">
        <v>8146</v>
      </c>
      <c r="Q928" t="s" s="10">
        <v>8147</v>
      </c>
      <c r="R928" t="s" s="10">
        <v>8148</v>
      </c>
      <c r="S928" t="s" s="10">
        <v>34</v>
      </c>
      <c r="T928" t="s" s="12">
        <v>34</v>
      </c>
      <c r="U928" t="s" s="10">
        <v>1129</v>
      </c>
      <c r="V928" t="s" s="12">
        <v>34</v>
      </c>
      <c r="W928" t="s" s="10">
        <v>8198</v>
      </c>
      <c r="X928" s="16">
        <f>HYPERLINK("https://my.pitchbook.com?p=326714-32P", "View People Online")</f>
      </c>
    </row>
    <row r="929">
      <c r="A929" t="s" s="11">
        <v>8199</v>
      </c>
      <c r="B929" t="s" s="11">
        <v>8200</v>
      </c>
      <c r="C929" t="s" s="11">
        <v>34</v>
      </c>
      <c r="D929" t="s" s="11">
        <v>8201</v>
      </c>
      <c r="E929" t="s" s="11">
        <v>8116</v>
      </c>
      <c r="F929" t="s" s="11">
        <v>8202</v>
      </c>
      <c r="G929" t="s" s="11">
        <v>8203</v>
      </c>
      <c r="H929" s="17">
        <f>HYPERLINK("http://www.cmermedical.com", "www.cmermedical.com")</f>
      </c>
      <c r="I929" t="s" s="11">
        <v>649</v>
      </c>
      <c r="J929" t="s" s="25">
        <v>34</v>
      </c>
      <c r="K929" t="s" s="25">
        <v>34</v>
      </c>
      <c r="L929" t="s" s="25">
        <v>34</v>
      </c>
      <c r="M929" t="s" s="13">
        <v>34</v>
      </c>
      <c r="N929" t="s" s="11">
        <v>34</v>
      </c>
      <c r="O929" t="s" s="11">
        <v>34</v>
      </c>
      <c r="P929" t="s" s="11">
        <v>34</v>
      </c>
      <c r="Q929" t="s" s="11">
        <v>34</v>
      </c>
      <c r="R929" t="s" s="11">
        <v>34</v>
      </c>
      <c r="S929" t="s" s="11">
        <v>34</v>
      </c>
      <c r="T929" t="s" s="13">
        <v>34</v>
      </c>
      <c r="U929" t="s" s="11">
        <v>34</v>
      </c>
      <c r="V929" t="s" s="13">
        <v>34</v>
      </c>
      <c r="W929" t="s" s="11">
        <v>8205</v>
      </c>
      <c r="X929" s="17">
        <f>HYPERLINK("https://my.pitchbook.com?p=282255-49P", "View People Online")</f>
      </c>
    </row>
    <row r="930">
      <c r="A930" t="s" s="10">
        <v>8206</v>
      </c>
      <c r="B930" t="s" s="10">
        <v>8207</v>
      </c>
      <c r="C930" t="s" s="10">
        <v>34</v>
      </c>
      <c r="D930" t="s" s="10">
        <v>8208</v>
      </c>
      <c r="E930" t="s" s="10">
        <v>8116</v>
      </c>
      <c r="F930" t="s" s="10">
        <v>8209</v>
      </c>
      <c r="G930" t="s" s="10">
        <v>5923</v>
      </c>
      <c r="H930" s="16">
        <f>HYPERLINK("http://www.origin.co.th", "www.origin.co.th")</f>
      </c>
      <c r="I930" t="s" s="10">
        <v>8211</v>
      </c>
      <c r="J930" s="24">
        <v>1</v>
      </c>
      <c r="K930" s="24">
        <v>1</v>
      </c>
      <c r="L930" t="s" s="24">
        <v>34</v>
      </c>
      <c r="M930" t="s" s="12">
        <v>8212</v>
      </c>
      <c r="N930" t="s" s="10">
        <v>8213</v>
      </c>
      <c r="O930" t="s" s="10">
        <v>1140</v>
      </c>
      <c r="P930" t="s" s="10">
        <v>8214</v>
      </c>
      <c r="Q930" t="s" s="10">
        <v>8215</v>
      </c>
      <c r="R930" t="s" s="10">
        <v>1143</v>
      </c>
      <c r="S930" t="s" s="10">
        <v>8216</v>
      </c>
      <c r="T930" t="s" s="12">
        <v>8136</v>
      </c>
      <c r="U930" t="s" s="10">
        <v>1145</v>
      </c>
      <c r="V930" t="s" s="12">
        <v>8217</v>
      </c>
      <c r="W930" t="s" s="10">
        <v>8218</v>
      </c>
      <c r="X930" s="16">
        <f>HYPERLINK("https://my.pitchbook.com?p=283414-51P", "View People Online")</f>
      </c>
    </row>
    <row r="931">
      <c r="A931" t="s" s="11">
        <v>8219</v>
      </c>
      <c r="B931" t="s" s="11">
        <v>8220</v>
      </c>
      <c r="C931" t="s" s="11">
        <v>34</v>
      </c>
      <c r="D931" t="s" s="11">
        <v>8221</v>
      </c>
      <c r="E931" t="s" s="11">
        <v>8116</v>
      </c>
      <c r="F931" t="s" s="11">
        <v>8222</v>
      </c>
      <c r="G931" t="s" s="11">
        <v>5923</v>
      </c>
      <c r="H931" s="17">
        <f>HYPERLINK("http://www.theerawan.com", "www.theerawan.com")</f>
      </c>
      <c r="I931" t="s" s="11">
        <v>649</v>
      </c>
      <c r="J931" s="25">
        <v>1</v>
      </c>
      <c r="K931" s="25">
        <v>1</v>
      </c>
      <c r="L931" t="s" s="25">
        <v>34</v>
      </c>
      <c r="M931" t="s" s="13">
        <v>8224</v>
      </c>
      <c r="N931" t="s" s="11">
        <v>34</v>
      </c>
      <c r="O931" t="s" s="11">
        <v>1140</v>
      </c>
      <c r="P931" t="s" s="11">
        <v>8225</v>
      </c>
      <c r="Q931" t="s" s="11">
        <v>8226</v>
      </c>
      <c r="R931" t="s" s="11">
        <v>1143</v>
      </c>
      <c r="S931" t="s" s="11">
        <v>34</v>
      </c>
      <c r="T931" t="s" s="13">
        <v>8227</v>
      </c>
      <c r="U931" t="s" s="11">
        <v>1145</v>
      </c>
      <c r="V931" t="s" s="13">
        <v>8228</v>
      </c>
      <c r="W931" t="s" s="11">
        <v>8229</v>
      </c>
      <c r="X931" s="17">
        <f>HYPERLINK("https://my.pitchbook.com?p=348186-52P", "View People Online")</f>
      </c>
    </row>
    <row r="932">
      <c r="A932" t="s" s="10">
        <v>8230</v>
      </c>
      <c r="B932" t="s" s="10">
        <v>8231</v>
      </c>
      <c r="C932" t="s" s="10">
        <v>34</v>
      </c>
      <c r="D932" t="s" s="10">
        <v>8232</v>
      </c>
      <c r="E932" t="s" s="10">
        <v>8116</v>
      </c>
      <c r="F932" t="s" s="10">
        <v>8233</v>
      </c>
      <c r="G932" t="s" s="10">
        <v>8234</v>
      </c>
      <c r="H932" s="16">
        <f>HYPERLINK("http://www.samsungsecurities.com", "www.samsungsecurities.com")</f>
      </c>
      <c r="I932" t="s" s="10">
        <v>8236</v>
      </c>
      <c r="J932" t="s" s="24">
        <v>34</v>
      </c>
      <c r="K932" t="s" s="24">
        <v>34</v>
      </c>
      <c r="L932" t="s" s="24">
        <v>34</v>
      </c>
      <c r="M932" t="s" s="12">
        <v>34</v>
      </c>
      <c r="N932" t="s" s="10">
        <v>34</v>
      </c>
      <c r="O932" t="s" s="10">
        <v>34</v>
      </c>
      <c r="P932" t="s" s="10">
        <v>34</v>
      </c>
      <c r="Q932" t="s" s="10">
        <v>34</v>
      </c>
      <c r="R932" t="s" s="10">
        <v>34</v>
      </c>
      <c r="S932" t="s" s="10">
        <v>34</v>
      </c>
      <c r="T932" t="s" s="12">
        <v>34</v>
      </c>
      <c r="U932" t="s" s="10">
        <v>34</v>
      </c>
      <c r="V932" t="s" s="12">
        <v>34</v>
      </c>
      <c r="W932" t="s" s="10">
        <v>8237</v>
      </c>
      <c r="X932" s="16">
        <f>HYPERLINK("https://my.pitchbook.com?p=89251-93P", "View People Online")</f>
      </c>
    </row>
    <row r="933">
      <c r="A933" t="s" s="11">
        <v>8238</v>
      </c>
      <c r="B933" t="s" s="11">
        <v>8239</v>
      </c>
      <c r="C933" t="s" s="11">
        <v>34</v>
      </c>
      <c r="D933" t="s" s="11">
        <v>8240</v>
      </c>
      <c r="E933" t="s" s="11">
        <v>8116</v>
      </c>
      <c r="F933" t="s" s="11">
        <v>8241</v>
      </c>
      <c r="G933" t="s" s="11">
        <v>8242</v>
      </c>
      <c r="H933" s="17">
        <f>HYPERLINK("http://www.coast.com.kw", "www.coast.com.kw")</f>
      </c>
      <c r="I933" t="s" s="11">
        <v>1153</v>
      </c>
      <c r="J933" s="25">
        <v>1</v>
      </c>
      <c r="K933" s="25">
        <v>1</v>
      </c>
      <c r="L933" t="s" s="25">
        <v>34</v>
      </c>
      <c r="M933" t="s" s="13">
        <v>8244</v>
      </c>
      <c r="N933" t="s" s="11">
        <v>8245</v>
      </c>
      <c r="O933" t="s" s="11">
        <v>1124</v>
      </c>
      <c r="P933" t="s" s="11">
        <v>8246</v>
      </c>
      <c r="Q933" t="s" s="11">
        <v>8247</v>
      </c>
      <c r="R933" t="s" s="11">
        <v>1127</v>
      </c>
      <c r="S933" t="s" s="11">
        <v>34</v>
      </c>
      <c r="T933" t="s" s="13">
        <v>8248</v>
      </c>
      <c r="U933" t="s" s="11">
        <v>1129</v>
      </c>
      <c r="V933" t="s" s="13">
        <v>8249</v>
      </c>
      <c r="W933" t="s" s="11">
        <v>8250</v>
      </c>
      <c r="X933" s="17">
        <f>HYPERLINK("https://my.pitchbook.com?p=301786-21P", "View People Online")</f>
      </c>
    </row>
    <row r="934">
      <c r="A934" t="s" s="10">
        <v>8251</v>
      </c>
      <c r="B934" t="s" s="10">
        <v>8252</v>
      </c>
      <c r="C934" t="s" s="10">
        <v>34</v>
      </c>
      <c r="D934" t="s" s="10">
        <v>8253</v>
      </c>
      <c r="E934" t="s" s="10">
        <v>8116</v>
      </c>
      <c r="F934" t="s" s="10">
        <v>8254</v>
      </c>
      <c r="G934" t="s" s="10">
        <v>8255</v>
      </c>
      <c r="H934" s="16">
        <f>HYPERLINK("http://www.ryvyl.com", "www.ryvyl.com")</f>
      </c>
      <c r="I934" t="s" s="10">
        <v>4834</v>
      </c>
      <c r="J934" s="24">
        <v>1</v>
      </c>
      <c r="K934" s="24">
        <v>4</v>
      </c>
      <c r="L934" s="24">
        <v>2</v>
      </c>
      <c r="M934" t="s" s="12">
        <v>8257</v>
      </c>
      <c r="N934" t="s" s="10">
        <v>8258</v>
      </c>
      <c r="O934" t="s" s="10">
        <v>7659</v>
      </c>
      <c r="P934" t="s" s="10">
        <v>8259</v>
      </c>
      <c r="Q934" t="s" s="10">
        <v>8260</v>
      </c>
      <c r="R934" t="s" s="10">
        <v>7662</v>
      </c>
      <c r="S934" t="s" s="10">
        <v>1904</v>
      </c>
      <c r="T934" t="s" s="12">
        <v>8261</v>
      </c>
      <c r="U934" t="s" s="10">
        <v>88</v>
      </c>
      <c r="V934" t="s" s="12">
        <v>34</v>
      </c>
      <c r="W934" t="s" s="10">
        <v>8262</v>
      </c>
      <c r="X934" s="16">
        <f>HYPERLINK("https://my.pitchbook.com?p=191756-62P", "View People Online")</f>
      </c>
    </row>
    <row r="935">
      <c r="A935" t="s" s="11">
        <v>8263</v>
      </c>
      <c r="B935" t="s" s="11">
        <v>8264</v>
      </c>
      <c r="C935" t="s" s="11">
        <v>34</v>
      </c>
      <c r="D935" t="s" s="11">
        <v>8265</v>
      </c>
      <c r="E935" t="s" s="11">
        <v>8116</v>
      </c>
      <c r="F935" t="s" s="11">
        <v>8266</v>
      </c>
      <c r="G935" t="s" s="11">
        <v>8267</v>
      </c>
      <c r="H935" s="17">
        <f>HYPERLINK("http://www.algoraepharma.com", "www.algoraepharma.com")</f>
      </c>
      <c r="I935" t="s" s="11">
        <v>8269</v>
      </c>
      <c r="J935" t="s" s="25">
        <v>34</v>
      </c>
      <c r="K935" t="s" s="25">
        <v>34</v>
      </c>
      <c r="L935" t="s" s="25">
        <v>34</v>
      </c>
      <c r="M935" t="s" s="13">
        <v>34</v>
      </c>
      <c r="N935" t="s" s="11">
        <v>34</v>
      </c>
      <c r="O935" t="s" s="11">
        <v>34</v>
      </c>
      <c r="P935" t="s" s="11">
        <v>34</v>
      </c>
      <c r="Q935" t="s" s="11">
        <v>34</v>
      </c>
      <c r="R935" t="s" s="11">
        <v>34</v>
      </c>
      <c r="S935" t="s" s="11">
        <v>34</v>
      </c>
      <c r="T935" t="s" s="13">
        <v>34</v>
      </c>
      <c r="U935" t="s" s="11">
        <v>34</v>
      </c>
      <c r="V935" t="s" s="13">
        <v>34</v>
      </c>
      <c r="W935" t="s" s="11">
        <v>8270</v>
      </c>
      <c r="X935" s="17">
        <f>HYPERLINK("https://my.pitchbook.com?p=278890-93P", "View People Online")</f>
      </c>
    </row>
    <row r="936">
      <c r="A936" t="s" s="10">
        <v>8271</v>
      </c>
      <c r="B936" t="s" s="10">
        <v>8272</v>
      </c>
      <c r="C936" t="s" s="10">
        <v>34</v>
      </c>
      <c r="D936" t="s" s="10">
        <v>8273</v>
      </c>
      <c r="E936" t="s" s="10">
        <v>8116</v>
      </c>
      <c r="F936" t="s" s="10">
        <v>8274</v>
      </c>
      <c r="G936" t="s" s="10">
        <v>8275</v>
      </c>
      <c r="H936" s="16">
        <f>HYPERLINK("http://www.aznoula.com", "www.aznoula.com")</f>
      </c>
      <c r="I936" t="s" s="10">
        <v>234</v>
      </c>
      <c r="J936" t="s" s="24">
        <v>34</v>
      </c>
      <c r="K936" t="s" s="24">
        <v>34</v>
      </c>
      <c r="L936" t="s" s="24">
        <v>34</v>
      </c>
      <c r="M936" t="s" s="12">
        <v>34</v>
      </c>
      <c r="N936" t="s" s="10">
        <v>34</v>
      </c>
      <c r="O936" t="s" s="10">
        <v>34</v>
      </c>
      <c r="P936" t="s" s="10">
        <v>34</v>
      </c>
      <c r="Q936" t="s" s="10">
        <v>34</v>
      </c>
      <c r="R936" t="s" s="10">
        <v>34</v>
      </c>
      <c r="S936" t="s" s="10">
        <v>34</v>
      </c>
      <c r="T936" t="s" s="12">
        <v>34</v>
      </c>
      <c r="U936" t="s" s="10">
        <v>34</v>
      </c>
      <c r="V936" t="s" s="12">
        <v>34</v>
      </c>
      <c r="W936" t="s" s="10">
        <v>8276</v>
      </c>
      <c r="X936" s="16">
        <f>HYPERLINK("https://my.pitchbook.com?p=326715-13P", "View People Online")</f>
      </c>
    </row>
    <row r="937">
      <c r="A937" t="s" s="11">
        <v>8277</v>
      </c>
      <c r="B937" t="s" s="11">
        <v>8278</v>
      </c>
      <c r="C937" t="s" s="11">
        <v>34</v>
      </c>
      <c r="D937" t="s" s="11">
        <v>8279</v>
      </c>
      <c r="E937" t="s" s="11">
        <v>8116</v>
      </c>
      <c r="F937" t="s" s="11">
        <v>8234</v>
      </c>
      <c r="G937" t="s" s="11">
        <v>4429</v>
      </c>
      <c r="H937" s="17">
        <f>HYPERLINK("http://www.sunlife.com", "www.sunlife.com")</f>
      </c>
      <c r="I937" t="s" s="11">
        <v>5126</v>
      </c>
      <c r="J937" t="s" s="25">
        <v>34</v>
      </c>
      <c r="K937" t="s" s="25">
        <v>34</v>
      </c>
      <c r="L937" t="s" s="25">
        <v>34</v>
      </c>
      <c r="M937" t="s" s="13">
        <v>34</v>
      </c>
      <c r="N937" t="s" s="11">
        <v>34</v>
      </c>
      <c r="O937" t="s" s="11">
        <v>34</v>
      </c>
      <c r="P937" t="s" s="11">
        <v>34</v>
      </c>
      <c r="Q937" t="s" s="11">
        <v>34</v>
      </c>
      <c r="R937" t="s" s="11">
        <v>34</v>
      </c>
      <c r="S937" t="s" s="11">
        <v>34</v>
      </c>
      <c r="T937" t="s" s="13">
        <v>34</v>
      </c>
      <c r="U937" t="s" s="11">
        <v>34</v>
      </c>
      <c r="V937" t="s" s="13">
        <v>34</v>
      </c>
      <c r="W937" t="s" s="11">
        <v>8281</v>
      </c>
      <c r="X937" s="17">
        <f>HYPERLINK("https://my.pitchbook.com?p=68506-30P", "View People Online")</f>
      </c>
    </row>
    <row r="938">
      <c r="A938" t="s" s="10">
        <v>8282</v>
      </c>
      <c r="B938" t="s" s="10">
        <v>8283</v>
      </c>
      <c r="C938" t="s" s="10">
        <v>34</v>
      </c>
      <c r="D938" t="s" s="10">
        <v>8284</v>
      </c>
      <c r="E938" t="s" s="10">
        <v>8116</v>
      </c>
      <c r="F938" t="s" s="10">
        <v>8285</v>
      </c>
      <c r="G938" t="s" s="10">
        <v>4443</v>
      </c>
      <c r="H938" s="16">
        <f>HYPERLINK("http://www.pwcc.cl", "www.pwcc.cl")</f>
      </c>
      <c r="I938" t="s" s="10">
        <v>8287</v>
      </c>
      <c r="J938" s="24">
        <v>1</v>
      </c>
      <c r="K938" s="24">
        <v>1</v>
      </c>
      <c r="L938" t="s" s="24">
        <v>34</v>
      </c>
      <c r="M938" t="s" s="12">
        <v>8288</v>
      </c>
      <c r="N938" t="s" s="10">
        <v>8289</v>
      </c>
      <c r="O938" t="s" s="10">
        <v>8290</v>
      </c>
      <c r="P938" t="s" s="10">
        <v>8291</v>
      </c>
      <c r="Q938" t="s" s="10">
        <v>8292</v>
      </c>
      <c r="R938" t="s" s="10">
        <v>8293</v>
      </c>
      <c r="S938" t="s" s="10">
        <v>34</v>
      </c>
      <c r="T938" t="s" s="12">
        <v>8294</v>
      </c>
      <c r="U938" t="s" s="10">
        <v>8295</v>
      </c>
      <c r="V938" t="s" s="12">
        <v>34</v>
      </c>
      <c r="W938" t="s" s="10">
        <v>8296</v>
      </c>
      <c r="X938" s="16">
        <f>HYPERLINK("https://my.pitchbook.com?p=357071-14P", "View People Online")</f>
      </c>
    </row>
    <row r="939">
      <c r="A939" t="s" s="11">
        <v>8297</v>
      </c>
      <c r="B939" t="s" s="11">
        <v>8298</v>
      </c>
      <c r="C939" t="s" s="11">
        <v>34</v>
      </c>
      <c r="D939" t="s" s="11">
        <v>8299</v>
      </c>
      <c r="E939" t="s" s="11">
        <v>8116</v>
      </c>
      <c r="F939" t="s" s="11">
        <v>8300</v>
      </c>
      <c r="G939" t="s" s="11">
        <v>8301</v>
      </c>
      <c r="H939" s="17">
        <f>HYPERLINK("http://www.yamada-green.com", "www.yamada-green.com")</f>
      </c>
      <c r="I939" t="s" s="11">
        <v>8303</v>
      </c>
      <c r="J939" s="25">
        <v>1</v>
      </c>
      <c r="K939" s="25">
        <v>2</v>
      </c>
      <c r="L939" s="25">
        <v>1</v>
      </c>
      <c r="M939" t="s" s="13">
        <v>8304</v>
      </c>
      <c r="N939" t="s" s="11">
        <v>8305</v>
      </c>
      <c r="O939" t="s" s="11">
        <v>8306</v>
      </c>
      <c r="P939" t="s" s="11">
        <v>8307</v>
      </c>
      <c r="Q939" t="s" s="11">
        <v>8308</v>
      </c>
      <c r="R939" t="s" s="11">
        <v>8309</v>
      </c>
      <c r="S939" t="s" s="11">
        <v>8310</v>
      </c>
      <c r="T939" t="s" s="13">
        <v>8311</v>
      </c>
      <c r="U939" t="s" s="11">
        <v>5013</v>
      </c>
      <c r="V939" t="s" s="13">
        <v>8312</v>
      </c>
      <c r="W939" t="s" s="11">
        <v>8313</v>
      </c>
      <c r="X939" s="17">
        <f>HYPERLINK("https://my.pitchbook.com?p=133412-14P", "View People Online")</f>
      </c>
    </row>
    <row r="940">
      <c r="A940" t="s" s="10">
        <v>8314</v>
      </c>
      <c r="B940" t="s" s="10">
        <v>8315</v>
      </c>
      <c r="C940" t="s" s="10">
        <v>34</v>
      </c>
      <c r="D940" t="s" s="10">
        <v>8316</v>
      </c>
      <c r="E940" t="s" s="10">
        <v>8116</v>
      </c>
      <c r="F940" t="s" s="10">
        <v>8317</v>
      </c>
      <c r="G940" t="s" s="10">
        <v>8318</v>
      </c>
      <c r="H940" s="16">
        <f>HYPERLINK("http://www.prince.com.tw", "www.prince.com.tw")</f>
      </c>
      <c r="I940" t="s" s="10">
        <v>1121</v>
      </c>
      <c r="J940" s="24">
        <v>7</v>
      </c>
      <c r="K940" s="24">
        <v>8</v>
      </c>
      <c r="L940" s="24">
        <v>1</v>
      </c>
      <c r="M940" t="s" s="12">
        <v>8320</v>
      </c>
      <c r="N940" t="s" s="10">
        <v>8321</v>
      </c>
      <c r="O940" t="s" s="10">
        <v>8322</v>
      </c>
      <c r="P940" t="s" s="10">
        <v>8323</v>
      </c>
      <c r="Q940" t="s" s="10">
        <v>8324</v>
      </c>
      <c r="R940" t="s" s="10">
        <v>8325</v>
      </c>
      <c r="S940" t="s" s="10">
        <v>34</v>
      </c>
      <c r="T940" t="s" s="12">
        <v>8326</v>
      </c>
      <c r="U940" t="s" s="10">
        <v>8327</v>
      </c>
      <c r="V940" t="s" s="12">
        <v>8328</v>
      </c>
      <c r="W940" t="s" s="10">
        <v>8329</v>
      </c>
      <c r="X940" s="16">
        <f>HYPERLINK("https://my.pitchbook.com?p=282386-44P", "View People Online")</f>
      </c>
    </row>
    <row r="941">
      <c r="A941" t="s" s="11">
        <v>8330</v>
      </c>
      <c r="B941" t="s" s="11">
        <v>8331</v>
      </c>
      <c r="C941" t="s" s="11">
        <v>34</v>
      </c>
      <c r="D941" t="s" s="11">
        <v>8332</v>
      </c>
      <c r="E941" t="s" s="11">
        <v>8116</v>
      </c>
      <c r="F941" t="s" s="11">
        <v>8333</v>
      </c>
      <c r="G941" t="s" s="11">
        <v>8334</v>
      </c>
      <c r="H941" s="17">
        <f>HYPERLINK("http://www.chimerareit.com", "www.chimerareit.com")</f>
      </c>
      <c r="I941" t="s" s="11">
        <v>8336</v>
      </c>
      <c r="J941" t="s" s="25">
        <v>34</v>
      </c>
      <c r="K941" t="s" s="25">
        <v>34</v>
      </c>
      <c r="L941" t="s" s="25">
        <v>34</v>
      </c>
      <c r="M941" t="s" s="13">
        <v>34</v>
      </c>
      <c r="N941" t="s" s="11">
        <v>8337</v>
      </c>
      <c r="O941" t="s" s="11">
        <v>34</v>
      </c>
      <c r="P941" t="s" s="11">
        <v>34</v>
      </c>
      <c r="Q941" t="s" s="11">
        <v>34</v>
      </c>
      <c r="R941" t="s" s="11">
        <v>34</v>
      </c>
      <c r="S941" t="s" s="11">
        <v>34</v>
      </c>
      <c r="T941" t="s" s="13">
        <v>34</v>
      </c>
      <c r="U941" t="s" s="11">
        <v>34</v>
      </c>
      <c r="V941" t="s" s="13">
        <v>34</v>
      </c>
      <c r="W941" t="s" s="11">
        <v>8338</v>
      </c>
      <c r="X941" s="17">
        <f>HYPERLINK("https://my.pitchbook.com?p=217813-60P", "View People Online")</f>
      </c>
    </row>
    <row r="942">
      <c r="A942" t="s" s="10">
        <v>8339</v>
      </c>
      <c r="B942" t="s" s="10">
        <v>8340</v>
      </c>
      <c r="C942" t="s" s="10">
        <v>34</v>
      </c>
      <c r="D942" t="s" s="10">
        <v>8341</v>
      </c>
      <c r="E942" t="s" s="10">
        <v>8116</v>
      </c>
      <c r="F942" t="s" s="10">
        <v>8342</v>
      </c>
      <c r="G942" t="s" s="10">
        <v>8343</v>
      </c>
      <c r="H942" s="16">
        <f>HYPERLINK("http://www.bs-group-sa.com", "www.bs-group-sa.com")</f>
      </c>
      <c r="I942" t="s" s="10">
        <v>649</v>
      </c>
      <c r="J942" t="s" s="24">
        <v>34</v>
      </c>
      <c r="K942" t="s" s="24">
        <v>34</v>
      </c>
      <c r="L942" t="s" s="24">
        <v>34</v>
      </c>
      <c r="M942" t="s" s="12">
        <v>34</v>
      </c>
      <c r="N942" t="s" s="10">
        <v>34</v>
      </c>
      <c r="O942" t="s" s="10">
        <v>34</v>
      </c>
      <c r="P942" t="s" s="10">
        <v>34</v>
      </c>
      <c r="Q942" t="s" s="10">
        <v>34</v>
      </c>
      <c r="R942" t="s" s="10">
        <v>34</v>
      </c>
      <c r="S942" t="s" s="10">
        <v>34</v>
      </c>
      <c r="T942" t="s" s="12">
        <v>34</v>
      </c>
      <c r="U942" t="s" s="10">
        <v>34</v>
      </c>
      <c r="V942" t="s" s="12">
        <v>34</v>
      </c>
      <c r="W942" t="s" s="10">
        <v>8345</v>
      </c>
      <c r="X942" s="16">
        <f>HYPERLINK("https://my.pitchbook.com?p=282929-14P", "View People Online")</f>
      </c>
    </row>
    <row r="943">
      <c r="A943" t="s" s="11">
        <v>8346</v>
      </c>
      <c r="B943" t="s" s="11">
        <v>8347</v>
      </c>
      <c r="C943" t="s" s="11">
        <v>34</v>
      </c>
      <c r="D943" t="s" s="11">
        <v>8348</v>
      </c>
      <c r="E943" t="s" s="11">
        <v>8116</v>
      </c>
      <c r="F943" t="s" s="11">
        <v>8349</v>
      </c>
      <c r="G943" t="s" s="11">
        <v>4615</v>
      </c>
      <c r="H943" s="17">
        <f>HYPERLINK("http://www.avacta.com", "www.avacta.com")</f>
      </c>
      <c r="I943" t="s" s="11">
        <v>8351</v>
      </c>
      <c r="J943" t="s" s="25">
        <v>34</v>
      </c>
      <c r="K943" t="s" s="25">
        <v>34</v>
      </c>
      <c r="L943" t="s" s="25">
        <v>34</v>
      </c>
      <c r="M943" t="s" s="13">
        <v>34</v>
      </c>
      <c r="N943" t="s" s="11">
        <v>34</v>
      </c>
      <c r="O943" t="s" s="11">
        <v>34</v>
      </c>
      <c r="P943" t="s" s="11">
        <v>34</v>
      </c>
      <c r="Q943" t="s" s="11">
        <v>34</v>
      </c>
      <c r="R943" t="s" s="11">
        <v>34</v>
      </c>
      <c r="S943" t="s" s="11">
        <v>34</v>
      </c>
      <c r="T943" t="s" s="13">
        <v>34</v>
      </c>
      <c r="U943" t="s" s="11">
        <v>34</v>
      </c>
      <c r="V943" t="s" s="13">
        <v>34</v>
      </c>
      <c r="W943" t="s" s="11">
        <v>8352</v>
      </c>
      <c r="X943" s="17">
        <f>HYPERLINK("https://my.pitchbook.com?p=226736-83P", "View People Online")</f>
      </c>
    </row>
    <row r="944">
      <c r="A944" t="s" s="10">
        <v>8353</v>
      </c>
      <c r="B944" t="s" s="10">
        <v>8354</v>
      </c>
      <c r="C944" t="s" s="10">
        <v>34</v>
      </c>
      <c r="D944" t="s" s="10">
        <v>8355</v>
      </c>
      <c r="E944" t="s" s="10">
        <v>8116</v>
      </c>
      <c r="F944" t="s" s="10">
        <v>8356</v>
      </c>
      <c r="G944" t="s" s="10">
        <v>4615</v>
      </c>
      <c r="H944" s="16">
        <f>HYPERLINK("http://www.chimerareit.com", "www.chimerareit.com")</f>
      </c>
      <c r="I944" t="s" s="10">
        <v>8357</v>
      </c>
      <c r="J944" t="s" s="24">
        <v>34</v>
      </c>
      <c r="K944" s="24">
        <v>1</v>
      </c>
      <c r="L944" t="s" s="24">
        <v>34</v>
      </c>
      <c r="M944" t="s" s="12">
        <v>8358</v>
      </c>
      <c r="N944" t="s" s="10">
        <v>34</v>
      </c>
      <c r="O944" t="s" s="10">
        <v>84</v>
      </c>
      <c r="P944" t="s" s="10">
        <v>8359</v>
      </c>
      <c r="Q944" t="s" s="10">
        <v>8360</v>
      </c>
      <c r="R944" t="s" s="10">
        <v>86</v>
      </c>
      <c r="S944" t="s" s="10">
        <v>86</v>
      </c>
      <c r="T944" t="s" s="12">
        <v>8361</v>
      </c>
      <c r="U944" t="s" s="10">
        <v>88</v>
      </c>
      <c r="V944" t="s" s="12">
        <v>34</v>
      </c>
      <c r="W944" t="s" s="10">
        <v>8362</v>
      </c>
      <c r="X944" s="16">
        <f>HYPERLINK("https://my.pitchbook.com?p=399532-87P", "View People Online")</f>
      </c>
    </row>
    <row r="945">
      <c r="A945" t="s" s="11">
        <v>8363</v>
      </c>
      <c r="B945" t="s" s="11">
        <v>8364</v>
      </c>
      <c r="C945" t="s" s="11">
        <v>34</v>
      </c>
      <c r="D945" t="s" s="11">
        <v>8365</v>
      </c>
      <c r="E945" t="s" s="11">
        <v>8116</v>
      </c>
      <c r="F945" t="s" s="11">
        <v>8366</v>
      </c>
      <c r="G945" t="s" s="11">
        <v>8367</v>
      </c>
      <c r="H945" s="17">
        <f>HYPERLINK("http://www.contangoore.com", "www.contangoore.com")</f>
      </c>
      <c r="I945" t="s" s="11">
        <v>649</v>
      </c>
      <c r="J945" s="25">
        <v>4</v>
      </c>
      <c r="K945" s="25">
        <v>5</v>
      </c>
      <c r="L945" s="25">
        <v>1</v>
      </c>
      <c r="M945" t="s" s="13">
        <v>8369</v>
      </c>
      <c r="N945" t="s" s="11">
        <v>34</v>
      </c>
      <c r="O945" t="s" s="11">
        <v>8370</v>
      </c>
      <c r="P945" t="s" s="11">
        <v>8371</v>
      </c>
      <c r="Q945" t="s" s="11">
        <v>5680</v>
      </c>
      <c r="R945" t="s" s="11">
        <v>8372</v>
      </c>
      <c r="S945" t="s" s="11">
        <v>3315</v>
      </c>
      <c r="T945" t="s" s="13">
        <v>8373</v>
      </c>
      <c r="U945" t="s" s="11">
        <v>88</v>
      </c>
      <c r="V945" t="s" s="13">
        <v>34</v>
      </c>
      <c r="W945" t="s" s="11">
        <v>8374</v>
      </c>
      <c r="X945" s="17">
        <f>HYPERLINK("https://my.pitchbook.com?p=211884-85P", "View People Online")</f>
      </c>
    </row>
    <row r="946">
      <c r="A946" t="s" s="10">
        <v>8375</v>
      </c>
      <c r="B946" t="s" s="10">
        <v>8376</v>
      </c>
      <c r="C946" t="s" s="10">
        <v>34</v>
      </c>
      <c r="D946" t="s" s="10">
        <v>8377</v>
      </c>
      <c r="E946" t="s" s="10">
        <v>8116</v>
      </c>
      <c r="F946" t="s" s="10">
        <v>4755</v>
      </c>
      <c r="G946" t="s" s="10">
        <v>216</v>
      </c>
      <c r="H946" s="16">
        <f>HYPERLINK("http://www.rezolve.com", "www.rezolve.com")</f>
      </c>
      <c r="I946" t="s" s="10">
        <v>649</v>
      </c>
      <c r="J946" s="24">
        <v>1</v>
      </c>
      <c r="K946" s="24">
        <v>1</v>
      </c>
      <c r="L946" t="s" s="24">
        <v>34</v>
      </c>
      <c r="M946" t="s" s="12">
        <v>8379</v>
      </c>
      <c r="N946" t="s" s="10">
        <v>34</v>
      </c>
      <c r="O946" t="s" s="10">
        <v>43</v>
      </c>
      <c r="P946" t="s" s="10">
        <v>8380</v>
      </c>
      <c r="Q946" t="s" s="10">
        <v>34</v>
      </c>
      <c r="R946" t="s" s="10">
        <v>46</v>
      </c>
      <c r="S946" t="s" s="10">
        <v>47</v>
      </c>
      <c r="T946" t="s" s="12">
        <v>8381</v>
      </c>
      <c r="U946" t="s" s="10">
        <v>49</v>
      </c>
      <c r="V946" t="s" s="12">
        <v>34</v>
      </c>
      <c r="W946" t="s" s="10">
        <v>8382</v>
      </c>
      <c r="X946" s="16">
        <f>HYPERLINK("https://my.pitchbook.com?p=255464-38P", "View People Online")</f>
      </c>
    </row>
    <row r="947">
      <c r="A947" t="s" s="11">
        <v>8383</v>
      </c>
      <c r="B947" t="s" s="11">
        <v>8384</v>
      </c>
      <c r="C947" t="s" s="11">
        <v>34</v>
      </c>
      <c r="D947" t="s" s="11">
        <v>8385</v>
      </c>
      <c r="E947" t="s" s="11">
        <v>8116</v>
      </c>
      <c r="F947" t="s" s="11">
        <v>8386</v>
      </c>
      <c r="G947" t="s" s="11">
        <v>8387</v>
      </c>
      <c r="H947" s="17">
        <f>HYPERLINK("http://www.shearwatergroup.com", "www.shearwatergroup.com")</f>
      </c>
      <c r="I947" t="s" s="11">
        <v>8389</v>
      </c>
      <c r="J947" t="s" s="25">
        <v>34</v>
      </c>
      <c r="K947" t="s" s="25">
        <v>34</v>
      </c>
      <c r="L947" t="s" s="25">
        <v>34</v>
      </c>
      <c r="M947" t="s" s="13">
        <v>34</v>
      </c>
      <c r="N947" t="s" s="11">
        <v>34</v>
      </c>
      <c r="O947" t="s" s="11">
        <v>34</v>
      </c>
      <c r="P947" t="s" s="11">
        <v>34</v>
      </c>
      <c r="Q947" t="s" s="11">
        <v>34</v>
      </c>
      <c r="R947" t="s" s="11">
        <v>34</v>
      </c>
      <c r="S947" t="s" s="11">
        <v>34</v>
      </c>
      <c r="T947" t="s" s="13">
        <v>34</v>
      </c>
      <c r="U947" t="s" s="11">
        <v>34</v>
      </c>
      <c r="V947" t="s" s="13">
        <v>34</v>
      </c>
      <c r="W947" t="s" s="11">
        <v>8390</v>
      </c>
      <c r="X947" s="17">
        <f>HYPERLINK("https://my.pitchbook.com?p=128499-85P", "View People Online")</f>
      </c>
    </row>
    <row r="948">
      <c r="A948" t="s" s="10">
        <v>8391</v>
      </c>
      <c r="B948" t="s" s="10">
        <v>8392</v>
      </c>
      <c r="C948" t="s" s="10">
        <v>34</v>
      </c>
      <c r="D948" t="s" s="10">
        <v>8393</v>
      </c>
      <c r="E948" t="s" s="10">
        <v>8116</v>
      </c>
      <c r="F948" t="s" s="10">
        <v>8394</v>
      </c>
      <c r="G948" t="s" s="10">
        <v>8395</v>
      </c>
      <c r="H948" s="16">
        <f>HYPERLINK("http://www.danaos.com", "www.danaos.com")</f>
      </c>
      <c r="I948" t="s" s="10">
        <v>8397</v>
      </c>
      <c r="J948" t="s" s="24">
        <v>34</v>
      </c>
      <c r="K948" s="24">
        <v>1</v>
      </c>
      <c r="L948" t="s" s="24">
        <v>34</v>
      </c>
      <c r="M948" t="s" s="12">
        <v>8398</v>
      </c>
      <c r="N948" t="s" s="10">
        <v>8399</v>
      </c>
      <c r="O948" t="s" s="10">
        <v>8400</v>
      </c>
      <c r="P948" t="s" s="10">
        <v>8401</v>
      </c>
      <c r="Q948" t="s" s="10">
        <v>8402</v>
      </c>
      <c r="R948" t="s" s="10">
        <v>8403</v>
      </c>
      <c r="S948" t="s" s="10">
        <v>34</v>
      </c>
      <c r="T948" t="s" s="12">
        <v>8404</v>
      </c>
      <c r="U948" t="s" s="10">
        <v>8405</v>
      </c>
      <c r="V948" t="s" s="12">
        <v>8406</v>
      </c>
      <c r="W948" t="s" s="10">
        <v>8407</v>
      </c>
      <c r="X948" s="16">
        <f>HYPERLINK("https://my.pitchbook.com?p=217427-86P", "View People Online")</f>
      </c>
    </row>
    <row r="949">
      <c r="A949" t="s" s="11">
        <v>8408</v>
      </c>
      <c r="B949" t="s" s="11">
        <v>8409</v>
      </c>
      <c r="C949" t="s" s="11">
        <v>34</v>
      </c>
      <c r="D949" t="s" s="11">
        <v>8410</v>
      </c>
      <c r="E949" t="s" s="11">
        <v>8116</v>
      </c>
      <c r="F949" t="s" s="11">
        <v>8411</v>
      </c>
      <c r="G949" t="s" s="11">
        <v>8412</v>
      </c>
      <c r="H949" s="17">
        <f>HYPERLINK("http://www.giyanimetals.com", "www.giyanimetals.com")</f>
      </c>
      <c r="I949" t="s" s="11">
        <v>731</v>
      </c>
      <c r="J949" t="s" s="25">
        <v>34</v>
      </c>
      <c r="K949" s="25">
        <v>1</v>
      </c>
      <c r="L949" t="s" s="25">
        <v>34</v>
      </c>
      <c r="M949" t="s" s="13">
        <v>8414</v>
      </c>
      <c r="N949" t="s" s="11">
        <v>8415</v>
      </c>
      <c r="O949" t="s" s="11">
        <v>4565</v>
      </c>
      <c r="P949" t="s" s="11">
        <v>8416</v>
      </c>
      <c r="Q949" t="s" s="11">
        <v>8417</v>
      </c>
      <c r="R949" t="s" s="11">
        <v>4567</v>
      </c>
      <c r="S949" t="s" s="11">
        <v>4568</v>
      </c>
      <c r="T949" t="s" s="13">
        <v>8418</v>
      </c>
      <c r="U949" t="s" s="11">
        <v>1613</v>
      </c>
      <c r="V949" t="s" s="13">
        <v>34</v>
      </c>
      <c r="W949" t="s" s="11">
        <v>8419</v>
      </c>
      <c r="X949" s="17">
        <f>HYPERLINK("https://my.pitchbook.com?p=300601-72P", "View People Online")</f>
      </c>
    </row>
    <row r="950">
      <c r="A950" t="s" s="10">
        <v>8420</v>
      </c>
      <c r="B950" t="s" s="10">
        <v>8421</v>
      </c>
      <c r="C950" t="s" s="10">
        <v>34</v>
      </c>
      <c r="D950" t="s" s="10">
        <v>8141</v>
      </c>
      <c r="E950" t="s" s="10">
        <v>8116</v>
      </c>
      <c r="F950" t="s" s="10">
        <v>8422</v>
      </c>
      <c r="G950" t="s" s="10">
        <v>8423</v>
      </c>
      <c r="H950" s="16">
        <f>HYPERLINK("http://www.aznoula.com", "www.aznoula.com")</f>
      </c>
      <c r="I950" t="s" s="10">
        <v>1358</v>
      </c>
      <c r="J950" t="s" s="24">
        <v>34</v>
      </c>
      <c r="K950" s="24">
        <v>1</v>
      </c>
      <c r="L950" t="s" s="24">
        <v>34</v>
      </c>
      <c r="M950" t="s" s="12">
        <v>8144</v>
      </c>
      <c r="N950" t="s" s="10">
        <v>8424</v>
      </c>
      <c r="O950" t="s" s="10">
        <v>8145</v>
      </c>
      <c r="P950" t="s" s="10">
        <v>8146</v>
      </c>
      <c r="Q950" t="s" s="10">
        <v>8147</v>
      </c>
      <c r="R950" t="s" s="10">
        <v>8148</v>
      </c>
      <c r="S950" t="s" s="10">
        <v>34</v>
      </c>
      <c r="T950" t="s" s="12">
        <v>34</v>
      </c>
      <c r="U950" t="s" s="10">
        <v>1129</v>
      </c>
      <c r="V950" t="s" s="12">
        <v>34</v>
      </c>
      <c r="W950" t="s" s="10">
        <v>8425</v>
      </c>
      <c r="X950" s="16">
        <f>HYPERLINK("https://my.pitchbook.com?p=410254-75P", "View People Online")</f>
      </c>
    </row>
    <row r="951">
      <c r="A951" t="s" s="11">
        <v>8426</v>
      </c>
      <c r="B951" t="s" s="11">
        <v>8427</v>
      </c>
      <c r="C951" t="s" s="11">
        <v>34</v>
      </c>
      <c r="D951" t="s" s="11">
        <v>8428</v>
      </c>
      <c r="E951" t="s" s="11">
        <v>8116</v>
      </c>
      <c r="F951" t="s" s="11">
        <v>8429</v>
      </c>
      <c r="G951" t="s" s="11">
        <v>569</v>
      </c>
      <c r="H951" s="17">
        <f>HYPERLINK("http://www.rosneft.com", "www.rosneft.com")</f>
      </c>
      <c r="I951" t="s" s="11">
        <v>8431</v>
      </c>
      <c r="J951" s="25">
        <v>1</v>
      </c>
      <c r="K951" s="25">
        <v>1</v>
      </c>
      <c r="L951" t="s" s="25">
        <v>34</v>
      </c>
      <c r="M951" t="s" s="13">
        <v>8432</v>
      </c>
      <c r="N951" t="s" s="11">
        <v>34</v>
      </c>
      <c r="O951" t="s" s="11">
        <v>8433</v>
      </c>
      <c r="P951" t="s" s="11">
        <v>8434</v>
      </c>
      <c r="Q951" t="s" s="11">
        <v>8435</v>
      </c>
      <c r="R951" t="s" s="11">
        <v>8436</v>
      </c>
      <c r="S951" t="s" s="11">
        <v>34</v>
      </c>
      <c r="T951" t="s" s="13">
        <v>8437</v>
      </c>
      <c r="U951" t="s" s="11">
        <v>8438</v>
      </c>
      <c r="V951" t="s" s="13">
        <v>8439</v>
      </c>
      <c r="W951" t="s" s="11">
        <v>8440</v>
      </c>
      <c r="X951" s="17">
        <f>HYPERLINK("https://my.pitchbook.com?p=217487-08P", "View People Online")</f>
      </c>
    </row>
    <row r="952">
      <c r="A952" t="s" s="10">
        <v>8441</v>
      </c>
      <c r="B952" t="s" s="10">
        <v>8442</v>
      </c>
      <c r="C952" t="s" s="10">
        <v>34</v>
      </c>
      <c r="D952" t="s" s="10">
        <v>8443</v>
      </c>
      <c r="E952" t="s" s="10">
        <v>8116</v>
      </c>
      <c r="F952" t="s" s="10">
        <v>8444</v>
      </c>
      <c r="G952" t="s" s="10">
        <v>8445</v>
      </c>
      <c r="H952" s="16">
        <f>HYPERLINK("http://www.space42.ai", "www.space42.ai")</f>
      </c>
      <c r="I952" t="s" s="10">
        <v>4661</v>
      </c>
      <c r="J952" t="s" s="24">
        <v>34</v>
      </c>
      <c r="K952" s="24">
        <v>1</v>
      </c>
      <c r="L952" t="s" s="24">
        <v>34</v>
      </c>
      <c r="M952" t="s" s="12">
        <v>8447</v>
      </c>
      <c r="N952" t="s" s="10">
        <v>34</v>
      </c>
      <c r="O952" t="s" s="10">
        <v>385</v>
      </c>
      <c r="P952" t="s" s="10">
        <v>8448</v>
      </c>
      <c r="Q952" t="s" s="10">
        <v>8449</v>
      </c>
      <c r="R952" t="s" s="10">
        <v>388</v>
      </c>
      <c r="S952" t="s" s="10">
        <v>34</v>
      </c>
      <c r="T952" t="s" s="12">
        <v>34</v>
      </c>
      <c r="U952" t="s" s="10">
        <v>240</v>
      </c>
      <c r="V952" t="s" s="12">
        <v>8450</v>
      </c>
      <c r="W952" t="s" s="10">
        <v>8451</v>
      </c>
      <c r="X952" s="16">
        <f>HYPERLINK("https://my.pitchbook.com?p=321173-92P", "View People Online")</f>
      </c>
    </row>
    <row r="953">
      <c r="A953" t="s" s="11">
        <v>8452</v>
      </c>
      <c r="B953" t="s" s="11">
        <v>8453</v>
      </c>
      <c r="C953" t="s" s="11">
        <v>34</v>
      </c>
      <c r="D953" t="s" s="11">
        <v>8454</v>
      </c>
      <c r="E953" t="s" s="11">
        <v>8116</v>
      </c>
      <c r="F953" t="s" s="11">
        <v>8455</v>
      </c>
      <c r="G953" t="s" s="11">
        <v>8456</v>
      </c>
      <c r="H953" s="17">
        <f>HYPERLINK("http://www.indikaenergy.co.id", "www.indikaenergy.co.id")</f>
      </c>
      <c r="I953" t="s" s="11">
        <v>649</v>
      </c>
      <c r="J953" s="25">
        <v>1</v>
      </c>
      <c r="K953" s="25">
        <v>1</v>
      </c>
      <c r="L953" t="s" s="25">
        <v>34</v>
      </c>
      <c r="M953" t="s" s="13">
        <v>8458</v>
      </c>
      <c r="N953" t="s" s="11">
        <v>34</v>
      </c>
      <c r="O953" t="s" s="11">
        <v>8459</v>
      </c>
      <c r="P953" t="s" s="11">
        <v>8460</v>
      </c>
      <c r="Q953" t="s" s="11">
        <v>8461</v>
      </c>
      <c r="R953" t="s" s="11">
        <v>8462</v>
      </c>
      <c r="S953" t="s" s="11">
        <v>34</v>
      </c>
      <c r="T953" t="s" s="13">
        <v>8463</v>
      </c>
      <c r="U953" t="s" s="11">
        <v>3973</v>
      </c>
      <c r="V953" t="s" s="13">
        <v>8464</v>
      </c>
      <c r="W953" t="s" s="11">
        <v>8465</v>
      </c>
      <c r="X953" s="17">
        <f>HYPERLINK("https://my.pitchbook.com?p=286331-59P", "View People Online")</f>
      </c>
    </row>
    <row r="954">
      <c r="A954" t="s" s="10">
        <v>8466</v>
      </c>
      <c r="B954" t="s" s="10">
        <v>8467</v>
      </c>
      <c r="C954" t="s" s="10">
        <v>34</v>
      </c>
      <c r="D954" t="s" s="10">
        <v>8468</v>
      </c>
      <c r="E954" t="s" s="10">
        <v>8116</v>
      </c>
      <c r="F954" t="s" s="10">
        <v>8469</v>
      </c>
      <c r="G954" t="s" s="10">
        <v>8470</v>
      </c>
      <c r="H954" s="16">
        <f>HYPERLINK("http://www.bollore.com", "www.bollore.com")</f>
      </c>
      <c r="I954" t="s" s="10">
        <v>649</v>
      </c>
      <c r="J954" s="24">
        <v>1</v>
      </c>
      <c r="K954" s="24">
        <v>1</v>
      </c>
      <c r="L954" t="s" s="24">
        <v>34</v>
      </c>
      <c r="M954" t="s" s="12">
        <v>8472</v>
      </c>
      <c r="N954" t="s" s="10">
        <v>34</v>
      </c>
      <c r="O954" t="s" s="10">
        <v>8473</v>
      </c>
      <c r="P954" t="s" s="10">
        <v>8474</v>
      </c>
      <c r="Q954" t="s" s="10">
        <v>8475</v>
      </c>
      <c r="R954" t="s" s="10">
        <v>8476</v>
      </c>
      <c r="S954" t="s" s="10">
        <v>34</v>
      </c>
      <c r="T954" t="s" s="12">
        <v>8477</v>
      </c>
      <c r="U954" t="s" s="10">
        <v>2172</v>
      </c>
      <c r="V954" t="s" s="12">
        <v>8478</v>
      </c>
      <c r="W954" t="s" s="10">
        <v>8479</v>
      </c>
      <c r="X954" s="16">
        <f>HYPERLINK("https://my.pitchbook.com?p=72458-20P", "View People Online")</f>
      </c>
    </row>
    <row r="955">
      <c r="A955" t="s" s="11">
        <v>8480</v>
      </c>
      <c r="B955" t="s" s="11">
        <v>8481</v>
      </c>
      <c r="C955" t="s" s="11">
        <v>34</v>
      </c>
      <c r="D955" t="s" s="11">
        <v>8482</v>
      </c>
      <c r="E955" t="s" s="11">
        <v>8116</v>
      </c>
      <c r="F955" t="s" s="11">
        <v>8483</v>
      </c>
      <c r="G955" t="s" s="11">
        <v>8484</v>
      </c>
      <c r="H955" s="17">
        <f>HYPERLINK("http://www.ayagoldsilver.com", "www.ayagoldsilver.com")</f>
      </c>
      <c r="I955" t="s" s="11">
        <v>649</v>
      </c>
      <c r="J955" s="25">
        <v>1</v>
      </c>
      <c r="K955" s="25">
        <v>1</v>
      </c>
      <c r="L955" t="s" s="25">
        <v>34</v>
      </c>
      <c r="M955" t="s" s="13">
        <v>8486</v>
      </c>
      <c r="N955" t="s" s="11">
        <v>34</v>
      </c>
      <c r="O955" t="s" s="11">
        <v>8487</v>
      </c>
      <c r="P955" t="s" s="11">
        <v>8488</v>
      </c>
      <c r="Q955" t="s" s="11">
        <v>8489</v>
      </c>
      <c r="R955" t="s" s="11">
        <v>8490</v>
      </c>
      <c r="S955" t="s" s="11">
        <v>4777</v>
      </c>
      <c r="T955" t="s" s="13">
        <v>8491</v>
      </c>
      <c r="U955" t="s" s="11">
        <v>1613</v>
      </c>
      <c r="V955" t="s" s="13">
        <v>34</v>
      </c>
      <c r="W955" t="s" s="11">
        <v>8492</v>
      </c>
      <c r="X955" s="17">
        <f>HYPERLINK("https://my.pitchbook.com?p=398263-78P", "View People Online")</f>
      </c>
    </row>
    <row r="956">
      <c r="A956" t="s" s="10">
        <v>8493</v>
      </c>
      <c r="B956" t="s" s="10">
        <v>8494</v>
      </c>
      <c r="C956" t="s" s="10">
        <v>34</v>
      </c>
      <c r="D956" t="s" s="10">
        <v>8495</v>
      </c>
      <c r="E956" t="s" s="10">
        <v>8116</v>
      </c>
      <c r="F956" t="s" s="10">
        <v>8496</v>
      </c>
      <c r="G956" t="s" s="10">
        <v>8497</v>
      </c>
      <c r="H956" s="16">
        <f>HYPERLINK("http://www.sears.ca", "www.sears.ca")</f>
      </c>
      <c r="I956" t="s" s="10">
        <v>649</v>
      </c>
      <c r="J956" s="24">
        <v>2</v>
      </c>
      <c r="K956" s="24">
        <v>2</v>
      </c>
      <c r="L956" t="s" s="24">
        <v>34</v>
      </c>
      <c r="M956" t="s" s="12">
        <v>34</v>
      </c>
      <c r="N956" t="s" s="10">
        <v>34</v>
      </c>
      <c r="O956" t="s" s="10">
        <v>2662</v>
      </c>
      <c r="P956" t="s" s="10">
        <v>8499</v>
      </c>
      <c r="Q956" t="s" s="10">
        <v>8189</v>
      </c>
      <c r="R956" t="s" s="10">
        <v>2665</v>
      </c>
      <c r="S956" t="s" s="10">
        <v>2138</v>
      </c>
      <c r="T956" t="s" s="12">
        <v>8500</v>
      </c>
      <c r="U956" t="s" s="10">
        <v>1613</v>
      </c>
      <c r="V956" t="s" s="12">
        <v>34</v>
      </c>
      <c r="W956" t="s" s="10">
        <v>8501</v>
      </c>
      <c r="X956" s="16">
        <f>HYPERLINK("https://my.pitchbook.com?p=57950-65P", "View People Online")</f>
      </c>
    </row>
    <row r="957">
      <c r="A957" t="s" s="11">
        <v>8502</v>
      </c>
      <c r="B957" t="s" s="11">
        <v>8503</v>
      </c>
      <c r="C957" t="s" s="11">
        <v>34</v>
      </c>
      <c r="D957" t="s" s="11">
        <v>8504</v>
      </c>
      <c r="E957" t="s" s="11">
        <v>8116</v>
      </c>
      <c r="F957" t="s" s="11">
        <v>8505</v>
      </c>
      <c r="G957" t="s" s="11">
        <v>8506</v>
      </c>
      <c r="H957" s="17">
        <f>HYPERLINK("http://www.multiply.ae", "www.multiply.ae")</f>
      </c>
      <c r="I957" t="s" s="11">
        <v>649</v>
      </c>
      <c r="J957" s="25">
        <v>1</v>
      </c>
      <c r="K957" s="25">
        <v>1</v>
      </c>
      <c r="L957" t="s" s="25">
        <v>34</v>
      </c>
      <c r="M957" t="s" s="13">
        <v>8508</v>
      </c>
      <c r="N957" t="s" s="11">
        <v>34</v>
      </c>
      <c r="O957" t="s" s="11">
        <v>385</v>
      </c>
      <c r="P957" t="s" s="11">
        <v>8509</v>
      </c>
      <c r="Q957" t="s" s="11">
        <v>8510</v>
      </c>
      <c r="R957" t="s" s="11">
        <v>388</v>
      </c>
      <c r="S957" t="s" s="11">
        <v>34</v>
      </c>
      <c r="T957" t="s" s="13">
        <v>34</v>
      </c>
      <c r="U957" t="s" s="11">
        <v>240</v>
      </c>
      <c r="V957" t="s" s="13">
        <v>34</v>
      </c>
      <c r="W957" t="s" s="11">
        <v>8511</v>
      </c>
      <c r="X957" s="17">
        <f>HYPERLINK("https://my.pitchbook.com?p=298603-09P", "View People Online")</f>
      </c>
    </row>
    <row r="958">
      <c r="A958" t="s" s="10">
        <v>8512</v>
      </c>
      <c r="B958" t="s" s="10">
        <v>5158</v>
      </c>
      <c r="C958" t="s" s="10">
        <v>34</v>
      </c>
      <c r="D958" t="s" s="10">
        <v>8504</v>
      </c>
      <c r="E958" t="s" s="10">
        <v>8116</v>
      </c>
      <c r="F958" t="s" s="10">
        <v>5160</v>
      </c>
      <c r="G958" t="s" s="10">
        <v>5161</v>
      </c>
      <c r="H958" s="16">
        <f>HYPERLINK("http://www.multiply.ae", "www.multiply.ae")</f>
      </c>
      <c r="I958" t="s" s="10">
        <v>649</v>
      </c>
      <c r="J958" s="24">
        <v>1</v>
      </c>
      <c r="K958" s="24">
        <v>1</v>
      </c>
      <c r="L958" t="s" s="24">
        <v>34</v>
      </c>
      <c r="M958" t="s" s="12">
        <v>8508</v>
      </c>
      <c r="N958" t="s" s="10">
        <v>34</v>
      </c>
      <c r="O958" t="s" s="10">
        <v>385</v>
      </c>
      <c r="P958" t="s" s="10">
        <v>8509</v>
      </c>
      <c r="Q958" t="s" s="10">
        <v>8510</v>
      </c>
      <c r="R958" t="s" s="10">
        <v>388</v>
      </c>
      <c r="S958" t="s" s="10">
        <v>34</v>
      </c>
      <c r="T958" t="s" s="12">
        <v>34</v>
      </c>
      <c r="U958" t="s" s="10">
        <v>240</v>
      </c>
      <c r="V958" t="s" s="12">
        <v>34</v>
      </c>
      <c r="W958" t="s" s="10">
        <v>8513</v>
      </c>
      <c r="X958" s="16">
        <f>HYPERLINK("https://my.pitchbook.com?p=298602-55P", "View People Online")</f>
      </c>
    </row>
    <row r="959">
      <c r="A959" t="s" s="11">
        <v>8514</v>
      </c>
      <c r="B959" t="s" s="11">
        <v>8515</v>
      </c>
      <c r="C959" t="s" s="11">
        <v>34</v>
      </c>
      <c r="D959" t="s" s="11">
        <v>8516</v>
      </c>
      <c r="E959" t="s" s="11">
        <v>8116</v>
      </c>
      <c r="F959" t="s" s="11">
        <v>8517</v>
      </c>
      <c r="G959" t="s" s="11">
        <v>8518</v>
      </c>
      <c r="H959" s="17">
        <f>HYPERLINK("http://www.cfgbank.com", "www.cfgbank.com")</f>
      </c>
      <c r="I959" t="s" s="11">
        <v>649</v>
      </c>
      <c r="J959" s="25">
        <v>1</v>
      </c>
      <c r="K959" s="25">
        <v>1</v>
      </c>
      <c r="L959" t="s" s="25">
        <v>34</v>
      </c>
      <c r="M959" t="s" s="13">
        <v>8520</v>
      </c>
      <c r="N959" t="s" s="11">
        <v>34</v>
      </c>
      <c r="O959" t="s" s="11">
        <v>2949</v>
      </c>
      <c r="P959" t="s" s="11">
        <v>8521</v>
      </c>
      <c r="Q959" t="s" s="11">
        <v>34</v>
      </c>
      <c r="R959" t="s" s="11">
        <v>2951</v>
      </c>
      <c r="S959" t="s" s="11">
        <v>34</v>
      </c>
      <c r="T959" t="s" s="13">
        <v>3152</v>
      </c>
      <c r="U959" t="s" s="11">
        <v>2952</v>
      </c>
      <c r="V959" t="s" s="13">
        <v>8522</v>
      </c>
      <c r="W959" t="s" s="11">
        <v>8523</v>
      </c>
      <c r="X959" s="17">
        <f>HYPERLINK("https://my.pitchbook.com?p=456672-16P", "View People Online")</f>
      </c>
    </row>
    <row r="960">
      <c r="A960" t="s" s="10">
        <v>8524</v>
      </c>
      <c r="B960" t="s" s="10">
        <v>8525</v>
      </c>
      <c r="C960" t="s" s="10">
        <v>34</v>
      </c>
      <c r="D960" t="s" s="10">
        <v>8526</v>
      </c>
      <c r="E960" t="s" s="10">
        <v>8116</v>
      </c>
      <c r="F960" t="s" s="10">
        <v>8527</v>
      </c>
      <c r="G960" t="s" s="10">
        <v>3007</v>
      </c>
      <c r="H960" s="16">
        <f>HYPERLINK("http://www.ihcuae.com", "www.ihcuae.com")</f>
      </c>
      <c r="I960" t="s" s="10">
        <v>2321</v>
      </c>
      <c r="J960" t="s" s="24">
        <v>34</v>
      </c>
      <c r="K960" s="24">
        <v>2</v>
      </c>
      <c r="L960" s="24">
        <v>2</v>
      </c>
      <c r="M960" t="s" s="12">
        <v>34</v>
      </c>
      <c r="N960" t="s" s="10">
        <v>34</v>
      </c>
      <c r="O960" t="s" s="10">
        <v>34</v>
      </c>
      <c r="P960" t="s" s="10">
        <v>34</v>
      </c>
      <c r="Q960" t="s" s="10">
        <v>34</v>
      </c>
      <c r="R960" t="s" s="10">
        <v>34</v>
      </c>
      <c r="S960" t="s" s="10">
        <v>34</v>
      </c>
      <c r="T960" t="s" s="12">
        <v>34</v>
      </c>
      <c r="U960" t="s" s="10">
        <v>34</v>
      </c>
      <c r="V960" t="s" s="12">
        <v>34</v>
      </c>
      <c r="W960" t="s" s="10">
        <v>8529</v>
      </c>
      <c r="X960" s="16">
        <f>HYPERLINK("https://my.pitchbook.com?p=201715-21P", "View People Online")</f>
      </c>
    </row>
    <row r="961">
      <c r="A961" t="s" s="11">
        <v>8530</v>
      </c>
      <c r="B961" t="s" s="11">
        <v>8531</v>
      </c>
      <c r="C961" t="s" s="11">
        <v>34</v>
      </c>
      <c r="D961" t="s" s="11">
        <v>8532</v>
      </c>
      <c r="E961" t="s" s="11">
        <v>8116</v>
      </c>
      <c r="F961" t="s" s="11">
        <v>8533</v>
      </c>
      <c r="G961" t="s" s="11">
        <v>3007</v>
      </c>
      <c r="H961" s="17">
        <f>HYPERLINK("http://www.taaleem.ae", "www.taaleem.ae")</f>
      </c>
      <c r="I961" t="s" s="11">
        <v>649</v>
      </c>
      <c r="J961" t="s" s="25">
        <v>34</v>
      </c>
      <c r="K961" t="s" s="25">
        <v>34</v>
      </c>
      <c r="L961" t="s" s="25">
        <v>34</v>
      </c>
      <c r="M961" t="s" s="13">
        <v>34</v>
      </c>
      <c r="N961" t="s" s="11">
        <v>34</v>
      </c>
      <c r="O961" t="s" s="11">
        <v>34</v>
      </c>
      <c r="P961" t="s" s="11">
        <v>34</v>
      </c>
      <c r="Q961" t="s" s="11">
        <v>34</v>
      </c>
      <c r="R961" t="s" s="11">
        <v>34</v>
      </c>
      <c r="S961" t="s" s="11">
        <v>34</v>
      </c>
      <c r="T961" t="s" s="13">
        <v>34</v>
      </c>
      <c r="U961" t="s" s="11">
        <v>34</v>
      </c>
      <c r="V961" t="s" s="13">
        <v>34</v>
      </c>
      <c r="W961" t="s" s="11">
        <v>8535</v>
      </c>
      <c r="X961" s="17">
        <f>HYPERLINK("https://my.pitchbook.com?p=255080-53P", "View People Online")</f>
      </c>
    </row>
    <row r="962">
      <c r="A962" t="s" s="10">
        <v>8536</v>
      </c>
      <c r="B962" t="s" s="10">
        <v>8537</v>
      </c>
      <c r="C962" t="s" s="10">
        <v>34</v>
      </c>
      <c r="D962" t="s" s="10">
        <v>8443</v>
      </c>
      <c r="E962" t="s" s="10">
        <v>8116</v>
      </c>
      <c r="F962" t="s" s="10">
        <v>8538</v>
      </c>
      <c r="G962" t="s" s="10">
        <v>3704</v>
      </c>
      <c r="H962" s="16">
        <f>HYPERLINK("http://www.space42.ai", "www.space42.ai")</f>
      </c>
      <c r="I962" t="s" s="10">
        <v>322</v>
      </c>
      <c r="J962" t="s" s="24">
        <v>34</v>
      </c>
      <c r="K962" s="24">
        <v>2</v>
      </c>
      <c r="L962" s="24">
        <v>1</v>
      </c>
      <c r="M962" t="s" s="12">
        <v>8447</v>
      </c>
      <c r="N962" t="s" s="10">
        <v>8539</v>
      </c>
      <c r="O962" t="s" s="10">
        <v>385</v>
      </c>
      <c r="P962" t="s" s="10">
        <v>8448</v>
      </c>
      <c r="Q962" t="s" s="10">
        <v>8449</v>
      </c>
      <c r="R962" t="s" s="10">
        <v>388</v>
      </c>
      <c r="S962" t="s" s="10">
        <v>34</v>
      </c>
      <c r="T962" t="s" s="12">
        <v>34</v>
      </c>
      <c r="U962" t="s" s="10">
        <v>240</v>
      </c>
      <c r="V962" t="s" s="12">
        <v>8450</v>
      </c>
      <c r="W962" t="s" s="10">
        <v>8540</v>
      </c>
      <c r="X962" s="16">
        <f>HYPERLINK("https://my.pitchbook.com?p=321169-42P", "View People Online")</f>
      </c>
    </row>
    <row r="963">
      <c r="A963" t="s" s="11">
        <v>8541</v>
      </c>
      <c r="B963" t="s" s="11">
        <v>3261</v>
      </c>
      <c r="C963" t="s" s="11">
        <v>34</v>
      </c>
      <c r="D963" t="s" s="11">
        <v>8542</v>
      </c>
      <c r="E963" t="s" s="11">
        <v>8116</v>
      </c>
      <c r="F963" t="s" s="11">
        <v>3263</v>
      </c>
      <c r="G963" t="s" s="11">
        <v>3264</v>
      </c>
      <c r="H963" s="17">
        <f>HYPERLINK("http://www.lafargeholcim.ma", "www.lafargeholcim.ma")</f>
      </c>
      <c r="I963" t="s" s="11">
        <v>649</v>
      </c>
      <c r="J963" s="25">
        <v>1</v>
      </c>
      <c r="K963" s="25">
        <v>1</v>
      </c>
      <c r="L963" t="s" s="25">
        <v>34</v>
      </c>
      <c r="M963" t="s" s="13">
        <v>34</v>
      </c>
      <c r="N963" t="s" s="11">
        <v>34</v>
      </c>
      <c r="O963" t="s" s="11">
        <v>2949</v>
      </c>
      <c r="P963" t="s" s="11">
        <v>8544</v>
      </c>
      <c r="Q963" t="s" s="11">
        <v>8545</v>
      </c>
      <c r="R963" t="s" s="11">
        <v>2951</v>
      </c>
      <c r="S963" t="s" s="11">
        <v>34</v>
      </c>
      <c r="T963" t="s" s="13">
        <v>34</v>
      </c>
      <c r="U963" t="s" s="11">
        <v>2952</v>
      </c>
      <c r="V963" t="s" s="13">
        <v>34</v>
      </c>
      <c r="W963" t="s" s="11">
        <v>8546</v>
      </c>
      <c r="X963" s="17">
        <f>HYPERLINK("https://my.pitchbook.com?p=391686-94P", "View People Online")</f>
      </c>
    </row>
    <row r="964">
      <c r="A964" t="s" s="10">
        <v>8547</v>
      </c>
      <c r="B964" t="s" s="10">
        <v>8548</v>
      </c>
      <c r="C964" t="s" s="10">
        <v>34</v>
      </c>
      <c r="D964" t="s" s="10">
        <v>8549</v>
      </c>
      <c r="E964" t="s" s="10">
        <v>8116</v>
      </c>
      <c r="F964" t="s" s="10">
        <v>8550</v>
      </c>
      <c r="G964" t="s" s="10">
        <v>8551</v>
      </c>
      <c r="H964" s="16">
        <f>HYPERLINK("http://www.tanmiah.com", "www.tanmiah.com")</f>
      </c>
      <c r="I964" t="s" s="10">
        <v>649</v>
      </c>
      <c r="J964" s="24">
        <v>2</v>
      </c>
      <c r="K964" s="24">
        <v>2</v>
      </c>
      <c r="L964" t="s" s="24">
        <v>34</v>
      </c>
      <c r="M964" t="s" s="12">
        <v>8553</v>
      </c>
      <c r="N964" t="s" s="10">
        <v>34</v>
      </c>
      <c r="O964" t="s" s="10">
        <v>3071</v>
      </c>
      <c r="P964" t="s" s="10">
        <v>8554</v>
      </c>
      <c r="Q964" t="s" s="10">
        <v>8555</v>
      </c>
      <c r="R964" t="s" s="10">
        <v>3072</v>
      </c>
      <c r="S964" t="s" s="10">
        <v>34</v>
      </c>
      <c r="T964" t="s" s="12">
        <v>8556</v>
      </c>
      <c r="U964" t="s" s="10">
        <v>3074</v>
      </c>
      <c r="V964" t="s" s="12">
        <v>8557</v>
      </c>
      <c r="W964" t="s" s="10">
        <v>8558</v>
      </c>
      <c r="X964" s="16">
        <f>HYPERLINK("https://my.pitchbook.com?p=347988-52P", "View People Online")</f>
      </c>
    </row>
    <row r="965">
      <c r="A965" t="s" s="11">
        <v>8559</v>
      </c>
      <c r="B965" t="s" s="11">
        <v>8560</v>
      </c>
      <c r="C965" t="s" s="11">
        <v>34</v>
      </c>
      <c r="D965" t="s" s="11">
        <v>8561</v>
      </c>
      <c r="E965" t="s" s="11">
        <v>8116</v>
      </c>
      <c r="F965" t="s" s="11">
        <v>8562</v>
      </c>
      <c r="G965" t="s" s="11">
        <v>8563</v>
      </c>
      <c r="H965" s="17">
        <f>HYPERLINK("http://corporate.fubo.tv", "corporate.fubo.tv")</f>
      </c>
      <c r="I965" t="s" s="11">
        <v>5632</v>
      </c>
      <c r="J965" t="s" s="25">
        <v>34</v>
      </c>
      <c r="K965" s="25">
        <v>3</v>
      </c>
      <c r="L965" s="25">
        <v>2</v>
      </c>
      <c r="M965" t="s" s="13">
        <v>8565</v>
      </c>
      <c r="N965" t="s" s="11">
        <v>8566</v>
      </c>
      <c r="O965" t="s" s="11">
        <v>84</v>
      </c>
      <c r="P965" t="s" s="11">
        <v>8567</v>
      </c>
      <c r="Q965" t="s" s="11">
        <v>34</v>
      </c>
      <c r="R965" t="s" s="11">
        <v>86</v>
      </c>
      <c r="S965" t="s" s="11">
        <v>86</v>
      </c>
      <c r="T965" t="s" s="13">
        <v>8568</v>
      </c>
      <c r="U965" t="s" s="11">
        <v>88</v>
      </c>
      <c r="V965" t="s" s="13">
        <v>34</v>
      </c>
      <c r="W965" t="s" s="11">
        <v>8569</v>
      </c>
      <c r="X965" s="17">
        <f>HYPERLINK("https://my.pitchbook.com?p=165710-62P", "View People Online")</f>
      </c>
    </row>
    <row r="966">
      <c r="A966" t="s" s="10">
        <v>8570</v>
      </c>
      <c r="B966" t="s" s="10">
        <v>8571</v>
      </c>
      <c r="C966" t="s" s="10">
        <v>34</v>
      </c>
      <c r="D966" t="s" s="10">
        <v>8572</v>
      </c>
      <c r="E966" t="s" s="10">
        <v>8116</v>
      </c>
      <c r="F966" t="s" s="10">
        <v>8573</v>
      </c>
      <c r="G966" t="s" s="10">
        <v>8574</v>
      </c>
      <c r="H966" s="16">
        <f>HYPERLINK("http://www.groupebcp.com", "www.groupebcp.com")</f>
      </c>
      <c r="I966" t="s" s="10">
        <v>649</v>
      </c>
      <c r="J966" s="24">
        <v>1</v>
      </c>
      <c r="K966" s="24">
        <v>1</v>
      </c>
      <c r="L966" t="s" s="24">
        <v>34</v>
      </c>
      <c r="M966" t="s" s="12">
        <v>8576</v>
      </c>
      <c r="N966" t="s" s="10">
        <v>34</v>
      </c>
      <c r="O966" t="s" s="10">
        <v>2949</v>
      </c>
      <c r="P966" t="s" s="10">
        <v>8577</v>
      </c>
      <c r="Q966" t="s" s="10">
        <v>34</v>
      </c>
      <c r="R966" t="s" s="10">
        <v>2951</v>
      </c>
      <c r="S966" t="s" s="10">
        <v>34</v>
      </c>
      <c r="T966" t="s" s="12">
        <v>3152</v>
      </c>
      <c r="U966" t="s" s="10">
        <v>2952</v>
      </c>
      <c r="V966" t="s" s="12">
        <v>34</v>
      </c>
      <c r="W966" t="s" s="10">
        <v>8578</v>
      </c>
      <c r="X966" s="16">
        <f>HYPERLINK("https://my.pitchbook.com?p=425985-04P", "View People Online")</f>
      </c>
    </row>
    <row r="967">
      <c r="A967" t="s" s="11">
        <v>8579</v>
      </c>
      <c r="B967" t="s" s="11">
        <v>8580</v>
      </c>
      <c r="C967" t="s" s="11">
        <v>34</v>
      </c>
      <c r="D967" t="s" s="11">
        <v>8581</v>
      </c>
      <c r="E967" t="s" s="11">
        <v>8116</v>
      </c>
      <c r="F967" t="s" s="11">
        <v>8582</v>
      </c>
      <c r="G967" t="s" s="11">
        <v>654</v>
      </c>
      <c r="H967" s="17">
        <f>HYPERLINK("http://www.iamgold.com", "www.iamgold.com")</f>
      </c>
      <c r="I967" t="s" s="11">
        <v>8584</v>
      </c>
      <c r="J967" t="s" s="25">
        <v>34</v>
      </c>
      <c r="K967" s="25">
        <v>1</v>
      </c>
      <c r="L967" t="s" s="25">
        <v>34</v>
      </c>
      <c r="M967" t="s" s="13">
        <v>8585</v>
      </c>
      <c r="N967" t="s" s="11">
        <v>8586</v>
      </c>
      <c r="O967" t="s" s="11">
        <v>2662</v>
      </c>
      <c r="P967" t="s" s="11">
        <v>8587</v>
      </c>
      <c r="Q967" t="s" s="11">
        <v>8588</v>
      </c>
      <c r="R967" t="s" s="11">
        <v>2665</v>
      </c>
      <c r="S967" t="s" s="11">
        <v>2138</v>
      </c>
      <c r="T967" t="s" s="13">
        <v>8589</v>
      </c>
      <c r="U967" t="s" s="11">
        <v>1613</v>
      </c>
      <c r="V967" t="s" s="13">
        <v>8590</v>
      </c>
      <c r="W967" t="s" s="11">
        <v>8591</v>
      </c>
      <c r="X967" s="17">
        <f>HYPERLINK("https://my.pitchbook.com?p=233613-19P", "View People Online")</f>
      </c>
    </row>
    <row r="968">
      <c r="A968" t="s" s="10">
        <v>8592</v>
      </c>
      <c r="B968" t="s" s="10">
        <v>8593</v>
      </c>
      <c r="C968" t="s" s="10">
        <v>34</v>
      </c>
      <c r="D968" t="s" s="10">
        <v>8594</v>
      </c>
      <c r="E968" t="s" s="10">
        <v>8116</v>
      </c>
      <c r="F968" t="s" s="10">
        <v>8595</v>
      </c>
      <c r="G968" t="s" s="10">
        <v>8596</v>
      </c>
      <c r="H968" s="16">
        <f>HYPERLINK("http://www.landsend.com", "www.landsend.com")</f>
      </c>
      <c r="I968" t="s" s="10">
        <v>1121</v>
      </c>
      <c r="J968" s="24">
        <v>1</v>
      </c>
      <c r="K968" s="24">
        <v>1</v>
      </c>
      <c r="L968" t="s" s="24">
        <v>34</v>
      </c>
      <c r="M968" t="s" s="12">
        <v>8598</v>
      </c>
      <c r="N968" t="s" s="10">
        <v>34</v>
      </c>
      <c r="O968" t="s" s="10">
        <v>8599</v>
      </c>
      <c r="P968" t="s" s="10">
        <v>8600</v>
      </c>
      <c r="Q968" t="s" s="10">
        <v>34</v>
      </c>
      <c r="R968" t="s" s="10">
        <v>8601</v>
      </c>
      <c r="S968" t="s" s="10">
        <v>3131</v>
      </c>
      <c r="T968" t="s" s="12">
        <v>8602</v>
      </c>
      <c r="U968" t="s" s="10">
        <v>88</v>
      </c>
      <c r="V968" t="s" s="12">
        <v>8603</v>
      </c>
      <c r="W968" t="s" s="10">
        <v>8604</v>
      </c>
      <c r="X968" s="16">
        <f>HYPERLINK("https://my.pitchbook.com?p=293103-10P", "View People Online")</f>
      </c>
    </row>
    <row r="969">
      <c r="A969" t="s" s="11">
        <v>8605</v>
      </c>
      <c r="B969" t="s" s="11">
        <v>8606</v>
      </c>
      <c r="C969" t="s" s="11">
        <v>34</v>
      </c>
      <c r="D969" t="s" s="11">
        <v>8607</v>
      </c>
      <c r="E969" t="s" s="11">
        <v>8116</v>
      </c>
      <c r="F969" t="s" s="11">
        <v>8608</v>
      </c>
      <c r="G969" t="s" s="11">
        <v>2621</v>
      </c>
      <c r="H969" s="17">
        <f>HYPERLINK("http://www.scg.com", "www.scg.com")</f>
      </c>
      <c r="I969" t="s" s="11">
        <v>8610</v>
      </c>
      <c r="J969" s="25">
        <v>1</v>
      </c>
      <c r="K969" s="25">
        <v>1</v>
      </c>
      <c r="L969" t="s" s="25">
        <v>34</v>
      </c>
      <c r="M969" t="s" s="13">
        <v>8611</v>
      </c>
      <c r="N969" t="s" s="11">
        <v>34</v>
      </c>
      <c r="O969" t="s" s="11">
        <v>1140</v>
      </c>
      <c r="P969" t="s" s="11">
        <v>8612</v>
      </c>
      <c r="Q969" t="s" s="11">
        <v>8613</v>
      </c>
      <c r="R969" t="s" s="11">
        <v>1143</v>
      </c>
      <c r="S969" t="s" s="11">
        <v>34</v>
      </c>
      <c r="T969" t="s" s="13">
        <v>2681</v>
      </c>
      <c r="U969" t="s" s="11">
        <v>1145</v>
      </c>
      <c r="V969" t="s" s="13">
        <v>8614</v>
      </c>
      <c r="W969" t="s" s="11">
        <v>8615</v>
      </c>
      <c r="X969" s="17">
        <f>HYPERLINK("https://my.pitchbook.com?p=285820-75P", "View People Online")</f>
      </c>
    </row>
    <row r="970">
      <c r="A970" t="s" s="10">
        <v>8616</v>
      </c>
      <c r="B970" t="s" s="10">
        <v>8617</v>
      </c>
      <c r="C970" t="s" s="10">
        <v>34</v>
      </c>
      <c r="D970" t="s" s="10">
        <v>8607</v>
      </c>
      <c r="E970" t="s" s="10">
        <v>8116</v>
      </c>
      <c r="F970" t="s" s="10">
        <v>8608</v>
      </c>
      <c r="G970" t="s" s="10">
        <v>2621</v>
      </c>
      <c r="H970" s="16">
        <f>HYPERLINK("http://www.scg.com", "www.scg.com")</f>
      </c>
      <c r="I970" t="s" s="10">
        <v>8618</v>
      </c>
      <c r="J970" t="s" s="24">
        <v>34</v>
      </c>
      <c r="K970" s="24">
        <v>1</v>
      </c>
      <c r="L970" t="s" s="24">
        <v>34</v>
      </c>
      <c r="M970" t="s" s="12">
        <v>8611</v>
      </c>
      <c r="N970" t="s" s="10">
        <v>8619</v>
      </c>
      <c r="O970" t="s" s="10">
        <v>1140</v>
      </c>
      <c r="P970" t="s" s="10">
        <v>8612</v>
      </c>
      <c r="Q970" t="s" s="10">
        <v>8613</v>
      </c>
      <c r="R970" t="s" s="10">
        <v>1143</v>
      </c>
      <c r="S970" t="s" s="10">
        <v>34</v>
      </c>
      <c r="T970" t="s" s="12">
        <v>2681</v>
      </c>
      <c r="U970" t="s" s="10">
        <v>1145</v>
      </c>
      <c r="V970" t="s" s="12">
        <v>8614</v>
      </c>
      <c r="W970" t="s" s="10">
        <v>8620</v>
      </c>
      <c r="X970" s="16">
        <f>HYPERLINK("https://my.pitchbook.com?p=331872-04P", "View People Online")</f>
      </c>
    </row>
    <row r="971">
      <c r="A971" t="s" s="11">
        <v>8621</v>
      </c>
      <c r="B971" t="s" s="11">
        <v>8622</v>
      </c>
      <c r="C971" t="s" s="11">
        <v>34</v>
      </c>
      <c r="D971" t="s" s="11">
        <v>8623</v>
      </c>
      <c r="E971" t="s" s="11">
        <v>8116</v>
      </c>
      <c r="F971" t="s" s="11">
        <v>1393</v>
      </c>
      <c r="G971" t="s" s="11">
        <v>8624</v>
      </c>
      <c r="H971" s="17">
        <f>HYPERLINK("http://www.vodafone.qa", "www.vodafone.qa")</f>
      </c>
      <c r="I971" t="s" s="11">
        <v>8626</v>
      </c>
      <c r="J971" t="s" s="25">
        <v>34</v>
      </c>
      <c r="K971" s="25">
        <v>1</v>
      </c>
      <c r="L971" t="s" s="25">
        <v>34</v>
      </c>
      <c r="M971" t="s" s="13">
        <v>8627</v>
      </c>
      <c r="N971" t="s" s="11">
        <v>34</v>
      </c>
      <c r="O971" t="s" s="11">
        <v>59</v>
      </c>
      <c r="P971" t="s" s="11">
        <v>8628</v>
      </c>
      <c r="Q971" t="s" s="11">
        <v>8629</v>
      </c>
      <c r="R971" t="s" s="11">
        <v>62</v>
      </c>
      <c r="S971" t="s" s="11">
        <v>34</v>
      </c>
      <c r="T971" t="s" s="13">
        <v>34</v>
      </c>
      <c r="U971" t="s" s="11">
        <v>64</v>
      </c>
      <c r="V971" t="s" s="13">
        <v>34</v>
      </c>
      <c r="W971" t="s" s="11">
        <v>8630</v>
      </c>
      <c r="X971" s="17">
        <f>HYPERLINK("https://my.pitchbook.com?p=249255-01P", "View People Online")</f>
      </c>
    </row>
    <row r="972">
      <c r="A972" t="s" s="10">
        <v>8631</v>
      </c>
      <c r="B972" t="s" s="10">
        <v>8632</v>
      </c>
      <c r="C972" t="s" s="10">
        <v>34</v>
      </c>
      <c r="D972" t="s" s="10">
        <v>8633</v>
      </c>
      <c r="E972" t="s" s="10">
        <v>8116</v>
      </c>
      <c r="F972" t="s" s="10">
        <v>8634</v>
      </c>
      <c r="G972" t="s" s="10">
        <v>8635</v>
      </c>
      <c r="H972" s="16">
        <f>HYPERLINK("http://www.hinsanggroup.com", "www.hinsanggroup.com")</f>
      </c>
      <c r="I972" t="s" s="10">
        <v>8637</v>
      </c>
      <c r="J972" t="s" s="24">
        <v>34</v>
      </c>
      <c r="K972" s="24">
        <v>1</v>
      </c>
      <c r="L972" t="s" s="24">
        <v>34</v>
      </c>
      <c r="M972" t="s" s="12">
        <v>8638</v>
      </c>
      <c r="N972" t="s" s="10">
        <v>34</v>
      </c>
      <c r="O972" t="s" s="10">
        <v>552</v>
      </c>
      <c r="P972" t="s" s="10">
        <v>8639</v>
      </c>
      <c r="Q972" t="s" s="10">
        <v>8640</v>
      </c>
      <c r="R972" t="s" s="10">
        <v>555</v>
      </c>
      <c r="S972" t="s" s="10">
        <v>34</v>
      </c>
      <c r="T972" t="s" s="12">
        <v>34</v>
      </c>
      <c r="U972" t="s" s="10">
        <v>555</v>
      </c>
      <c r="V972" t="s" s="12">
        <v>8641</v>
      </c>
      <c r="W972" t="s" s="10">
        <v>8642</v>
      </c>
      <c r="X972" s="16">
        <f>HYPERLINK("https://my.pitchbook.com?p=257049-91P", "View People Online")</f>
      </c>
    </row>
    <row r="973">
      <c r="A973" t="s" s="11">
        <v>8643</v>
      </c>
      <c r="B973" t="s" s="11">
        <v>8644</v>
      </c>
      <c r="C973" t="s" s="11">
        <v>34</v>
      </c>
      <c r="D973" t="s" s="11">
        <v>8141</v>
      </c>
      <c r="E973" t="s" s="11">
        <v>8116</v>
      </c>
      <c r="F973" t="s" s="11">
        <v>8645</v>
      </c>
      <c r="G973" t="s" s="11">
        <v>1736</v>
      </c>
      <c r="H973" s="17">
        <f>HYPERLINK("http://www.aznoula.com", "www.aznoula.com")</f>
      </c>
      <c r="I973" t="s" s="11">
        <v>255</v>
      </c>
      <c r="J973" s="25">
        <v>1</v>
      </c>
      <c r="K973" s="25">
        <v>1</v>
      </c>
      <c r="L973" t="s" s="25">
        <v>34</v>
      </c>
      <c r="M973" t="s" s="13">
        <v>8144</v>
      </c>
      <c r="N973" t="s" s="11">
        <v>34</v>
      </c>
      <c r="O973" t="s" s="11">
        <v>8145</v>
      </c>
      <c r="P973" t="s" s="11">
        <v>8146</v>
      </c>
      <c r="Q973" t="s" s="11">
        <v>8147</v>
      </c>
      <c r="R973" t="s" s="11">
        <v>8148</v>
      </c>
      <c r="S973" t="s" s="11">
        <v>34</v>
      </c>
      <c r="T973" t="s" s="13">
        <v>34</v>
      </c>
      <c r="U973" t="s" s="11">
        <v>1129</v>
      </c>
      <c r="V973" t="s" s="13">
        <v>34</v>
      </c>
      <c r="W973" t="s" s="11">
        <v>8646</v>
      </c>
      <c r="X973" s="17">
        <f>HYPERLINK("https://my.pitchbook.com?p=283963-87P", "View People Online")</f>
      </c>
    </row>
    <row r="974">
      <c r="A974" t="s" s="10">
        <v>8647</v>
      </c>
      <c r="B974" t="s" s="10">
        <v>8648</v>
      </c>
      <c r="C974" t="s" s="10">
        <v>34</v>
      </c>
      <c r="D974" t="s" s="10">
        <v>8649</v>
      </c>
      <c r="E974" t="s" s="10">
        <v>8116</v>
      </c>
      <c r="F974" t="s" s="10">
        <v>8650</v>
      </c>
      <c r="G974" t="s" s="10">
        <v>8651</v>
      </c>
      <c r="H974" s="16">
        <f>HYPERLINK("http://www.ihcuae.com", "www.ihcuae.com")</f>
      </c>
      <c r="I974" t="s" s="10">
        <v>8652</v>
      </c>
      <c r="J974" t="s" s="24">
        <v>34</v>
      </c>
      <c r="K974" s="24">
        <v>1</v>
      </c>
      <c r="L974" t="s" s="24">
        <v>34</v>
      </c>
      <c r="M974" t="s" s="12">
        <v>8653</v>
      </c>
      <c r="N974" t="s" s="10">
        <v>8654</v>
      </c>
      <c r="O974" t="s" s="10">
        <v>385</v>
      </c>
      <c r="P974" t="s" s="10">
        <v>8655</v>
      </c>
      <c r="Q974" t="s" s="10">
        <v>8656</v>
      </c>
      <c r="R974" t="s" s="10">
        <v>388</v>
      </c>
      <c r="S974" t="s" s="10">
        <v>34</v>
      </c>
      <c r="T974" t="s" s="12">
        <v>34</v>
      </c>
      <c r="U974" t="s" s="10">
        <v>240</v>
      </c>
      <c r="V974" t="s" s="12">
        <v>8657</v>
      </c>
      <c r="W974" t="s" s="10">
        <v>8658</v>
      </c>
      <c r="X974" s="16">
        <f>HYPERLINK("https://my.pitchbook.com?p=385491-16P", "View People Online")</f>
      </c>
    </row>
    <row r="975">
      <c r="A975" t="s" s="11">
        <v>8659</v>
      </c>
      <c r="B975" t="s" s="11">
        <v>8660</v>
      </c>
      <c r="C975" t="s" s="11">
        <v>34</v>
      </c>
      <c r="D975" t="s" s="11">
        <v>8661</v>
      </c>
      <c r="E975" t="s" s="11">
        <v>8116</v>
      </c>
      <c r="F975" t="s" s="11">
        <v>8662</v>
      </c>
      <c r="G975" t="s" s="11">
        <v>8663</v>
      </c>
      <c r="H975" s="17">
        <f>HYPERLINK("http://www.assai.com.br", "www.assai.com.br")</f>
      </c>
      <c r="I975" t="s" s="11">
        <v>649</v>
      </c>
      <c r="J975" t="s" s="25">
        <v>34</v>
      </c>
      <c r="K975" t="s" s="25">
        <v>34</v>
      </c>
      <c r="L975" t="s" s="25">
        <v>34</v>
      </c>
      <c r="M975" t="s" s="13">
        <v>34</v>
      </c>
      <c r="N975" t="s" s="11">
        <v>8665</v>
      </c>
      <c r="O975" t="s" s="11">
        <v>34</v>
      </c>
      <c r="P975" t="s" s="11">
        <v>34</v>
      </c>
      <c r="Q975" t="s" s="11">
        <v>34</v>
      </c>
      <c r="R975" t="s" s="11">
        <v>34</v>
      </c>
      <c r="S975" t="s" s="11">
        <v>34</v>
      </c>
      <c r="T975" t="s" s="13">
        <v>34</v>
      </c>
      <c r="U975" t="s" s="11">
        <v>34</v>
      </c>
      <c r="V975" t="s" s="13">
        <v>34</v>
      </c>
      <c r="W975" t="s" s="11">
        <v>8666</v>
      </c>
      <c r="X975" s="17">
        <f>HYPERLINK("https://my.pitchbook.com?p=153591-22P", "View People Online")</f>
      </c>
    </row>
    <row r="976">
      <c r="A976" t="s" s="10">
        <v>8667</v>
      </c>
      <c r="B976" t="s" s="10">
        <v>8668</v>
      </c>
      <c r="C976" t="s" s="10">
        <v>34</v>
      </c>
      <c r="D976" t="s" s="10">
        <v>8115</v>
      </c>
      <c r="E976" t="s" s="10">
        <v>8116</v>
      </c>
      <c r="F976" t="s" s="10">
        <v>8669</v>
      </c>
      <c r="G976" t="s" s="10">
        <v>8670</v>
      </c>
      <c r="H976" s="16">
        <f>HYPERLINK("http://www.nih-kw.com", "www.nih-kw.com")</f>
      </c>
      <c r="I976" t="s" s="10">
        <v>7379</v>
      </c>
      <c r="J976" t="s" s="24">
        <v>34</v>
      </c>
      <c r="K976" s="24">
        <v>1</v>
      </c>
      <c r="L976" t="s" s="24">
        <v>34</v>
      </c>
      <c r="M976" t="s" s="12">
        <v>8120</v>
      </c>
      <c r="N976" t="s" s="10">
        <v>34</v>
      </c>
      <c r="O976" t="s" s="10">
        <v>1124</v>
      </c>
      <c r="P976" t="s" s="10">
        <v>8122</v>
      </c>
      <c r="Q976" t="s" s="10">
        <v>8123</v>
      </c>
      <c r="R976" t="s" s="10">
        <v>1127</v>
      </c>
      <c r="S976" t="s" s="10">
        <v>34</v>
      </c>
      <c r="T976" t="s" s="12">
        <v>34</v>
      </c>
      <c r="U976" t="s" s="10">
        <v>1129</v>
      </c>
      <c r="V976" t="s" s="12">
        <v>8124</v>
      </c>
      <c r="W976" t="s" s="10">
        <v>8671</v>
      </c>
      <c r="X976" s="16">
        <f>HYPERLINK("https://my.pitchbook.com?p=381211-21P", "View People Online")</f>
      </c>
    </row>
    <row r="977">
      <c r="A977" t="s" s="11">
        <v>8672</v>
      </c>
      <c r="B977" t="s" s="11">
        <v>8673</v>
      </c>
      <c r="C977" t="s" s="11">
        <v>34</v>
      </c>
      <c r="D977" t="s" s="11">
        <v>8674</v>
      </c>
      <c r="E977" t="s" s="11">
        <v>8116</v>
      </c>
      <c r="F977" t="s" s="11">
        <v>8675</v>
      </c>
      <c r="G977" t="s" s="11">
        <v>8676</v>
      </c>
      <c r="H977" s="17">
        <f>HYPERLINK("http://www.rakcc.ae", "www.rakcc.ae")</f>
      </c>
      <c r="I977" t="s" s="11">
        <v>649</v>
      </c>
      <c r="J977" s="25">
        <v>1</v>
      </c>
      <c r="K977" s="25">
        <v>1</v>
      </c>
      <c r="L977" t="s" s="25">
        <v>34</v>
      </c>
      <c r="M977" t="s" s="13">
        <v>8678</v>
      </c>
      <c r="N977" t="s" s="11">
        <v>34</v>
      </c>
      <c r="O977" t="s" s="11">
        <v>8679</v>
      </c>
      <c r="P977" t="s" s="11">
        <v>8680</v>
      </c>
      <c r="Q977" t="s" s="11">
        <v>8681</v>
      </c>
      <c r="R977" t="s" s="11">
        <v>8682</v>
      </c>
      <c r="S977" t="s" s="11">
        <v>34</v>
      </c>
      <c r="T977" t="s" s="13">
        <v>34</v>
      </c>
      <c r="U977" t="s" s="11">
        <v>240</v>
      </c>
      <c r="V977" t="s" s="13">
        <v>8683</v>
      </c>
      <c r="W977" t="s" s="11">
        <v>8684</v>
      </c>
      <c r="X977" s="17">
        <f>HYPERLINK("https://my.pitchbook.com?p=413268-85P", "View People Online")</f>
      </c>
    </row>
    <row r="978">
      <c r="A978" t="s" s="10">
        <v>8685</v>
      </c>
      <c r="B978" t="s" s="10">
        <v>8686</v>
      </c>
      <c r="C978" t="s" s="10">
        <v>34</v>
      </c>
      <c r="D978" t="s" s="10">
        <v>8687</v>
      </c>
      <c r="E978" t="s" s="10">
        <v>8116</v>
      </c>
      <c r="F978" t="s" s="10">
        <v>8688</v>
      </c>
      <c r="G978" t="s" s="10">
        <v>8689</v>
      </c>
      <c r="H978" s="16">
        <f>HYPERLINK("http://www.dentalcoop.com", "www.dentalcoop.com")</f>
      </c>
      <c r="I978" t="s" s="10">
        <v>5019</v>
      </c>
      <c r="J978" t="s" s="24">
        <v>34</v>
      </c>
      <c r="K978" s="24">
        <v>2</v>
      </c>
      <c r="L978" t="s" s="24">
        <v>34</v>
      </c>
      <c r="M978" t="s" s="12">
        <v>8691</v>
      </c>
      <c r="N978" t="s" s="10">
        <v>34</v>
      </c>
      <c r="O978" t="s" s="10">
        <v>8692</v>
      </c>
      <c r="P978" t="s" s="10">
        <v>8693</v>
      </c>
      <c r="Q978" t="s" s="10">
        <v>156</v>
      </c>
      <c r="R978" t="s" s="10">
        <v>8694</v>
      </c>
      <c r="S978" t="s" s="10">
        <v>117</v>
      </c>
      <c r="T978" t="s" s="12">
        <v>8695</v>
      </c>
      <c r="U978" t="s" s="10">
        <v>88</v>
      </c>
      <c r="V978" t="s" s="12">
        <v>34</v>
      </c>
      <c r="W978" t="s" s="10">
        <v>8696</v>
      </c>
      <c r="X978" s="16">
        <f>HYPERLINK("https://my.pitchbook.com?p=154757-80P", "View People Online")</f>
      </c>
    </row>
    <row r="979">
      <c r="A979" t="s" s="11">
        <v>8697</v>
      </c>
      <c r="B979" t="s" s="11">
        <v>8698</v>
      </c>
      <c r="C979" t="s" s="11">
        <v>34</v>
      </c>
      <c r="D979" t="s" s="11">
        <v>8348</v>
      </c>
      <c r="E979" t="s" s="11">
        <v>8116</v>
      </c>
      <c r="F979" t="s" s="11">
        <v>8699</v>
      </c>
      <c r="G979" t="s" s="11">
        <v>6060</v>
      </c>
      <c r="H979" s="17">
        <f>HYPERLINK("http://www.avacta.com", "www.avacta.com")</f>
      </c>
      <c r="I979" t="s" s="11">
        <v>8700</v>
      </c>
      <c r="J979" t="s" s="25">
        <v>34</v>
      </c>
      <c r="K979" t="s" s="25">
        <v>34</v>
      </c>
      <c r="L979" t="s" s="25">
        <v>34</v>
      </c>
      <c r="M979" t="s" s="13">
        <v>34</v>
      </c>
      <c r="N979" t="s" s="11">
        <v>34</v>
      </c>
      <c r="O979" t="s" s="11">
        <v>34</v>
      </c>
      <c r="P979" t="s" s="11">
        <v>34</v>
      </c>
      <c r="Q979" t="s" s="11">
        <v>34</v>
      </c>
      <c r="R979" t="s" s="11">
        <v>34</v>
      </c>
      <c r="S979" t="s" s="11">
        <v>34</v>
      </c>
      <c r="T979" t="s" s="13">
        <v>34</v>
      </c>
      <c r="U979" t="s" s="11">
        <v>34</v>
      </c>
      <c r="V979" t="s" s="13">
        <v>34</v>
      </c>
      <c r="W979" t="s" s="11">
        <v>8701</v>
      </c>
      <c r="X979" s="17">
        <f>HYPERLINK("https://my.pitchbook.com?p=136939-51P", "View People Online")</f>
      </c>
    </row>
    <row r="980">
      <c r="A980" t="s" s="10">
        <v>8702</v>
      </c>
      <c r="B980" t="s" s="10">
        <v>8703</v>
      </c>
      <c r="C980" t="s" s="10">
        <v>34</v>
      </c>
      <c r="D980" t="s" s="10">
        <v>8704</v>
      </c>
      <c r="E980" t="s" s="10">
        <v>8116</v>
      </c>
      <c r="F980" t="s" s="10">
        <v>8705</v>
      </c>
      <c r="G980" t="s" s="10">
        <v>8706</v>
      </c>
      <c r="H980" s="16">
        <f>HYPERLINK("http://www.milaha.com", "www.milaha.com")</f>
      </c>
      <c r="I980" t="s" s="10">
        <v>649</v>
      </c>
      <c r="J980" s="24">
        <v>2</v>
      </c>
      <c r="K980" s="24">
        <v>2</v>
      </c>
      <c r="L980" t="s" s="24">
        <v>34</v>
      </c>
      <c r="M980" t="s" s="12">
        <v>8708</v>
      </c>
      <c r="N980" t="s" s="10">
        <v>34</v>
      </c>
      <c r="O980" t="s" s="10">
        <v>59</v>
      </c>
      <c r="P980" t="s" s="10">
        <v>8709</v>
      </c>
      <c r="Q980" t="s" s="10">
        <v>8710</v>
      </c>
      <c r="R980" t="s" s="10">
        <v>62</v>
      </c>
      <c r="S980" t="s" s="10">
        <v>34</v>
      </c>
      <c r="T980" t="s" s="12">
        <v>34</v>
      </c>
      <c r="U980" t="s" s="10">
        <v>64</v>
      </c>
      <c r="V980" t="s" s="12">
        <v>8711</v>
      </c>
      <c r="W980" t="s" s="10">
        <v>8712</v>
      </c>
      <c r="X980" s="16">
        <f>HYPERLINK("https://my.pitchbook.com?p=284140-54P", "View People Online")</f>
      </c>
    </row>
    <row r="981">
      <c r="A981" t="s" s="11">
        <v>8713</v>
      </c>
      <c r="B981" t="s" s="11">
        <v>8714</v>
      </c>
      <c r="C981" t="s" s="11">
        <v>34</v>
      </c>
      <c r="D981" t="s" s="11">
        <v>8649</v>
      </c>
      <c r="E981" t="s" s="11">
        <v>8116</v>
      </c>
      <c r="F981" t="s" s="11">
        <v>8715</v>
      </c>
      <c r="G981" t="s" s="11">
        <v>8716</v>
      </c>
      <c r="H981" s="17">
        <f>HYPERLINK("http://www.ihcuae.com", "www.ihcuae.com")</f>
      </c>
      <c r="I981" t="s" s="11">
        <v>8717</v>
      </c>
      <c r="J981" s="25">
        <v>1</v>
      </c>
      <c r="K981" s="25">
        <v>1</v>
      </c>
      <c r="L981" t="s" s="25">
        <v>34</v>
      </c>
      <c r="M981" t="s" s="13">
        <v>8718</v>
      </c>
      <c r="N981" t="s" s="11">
        <v>34</v>
      </c>
      <c r="O981" t="s" s="11">
        <v>385</v>
      </c>
      <c r="P981" t="s" s="11">
        <v>8655</v>
      </c>
      <c r="Q981" t="s" s="11">
        <v>8656</v>
      </c>
      <c r="R981" t="s" s="11">
        <v>388</v>
      </c>
      <c r="S981" t="s" s="11">
        <v>34</v>
      </c>
      <c r="T981" t="s" s="13">
        <v>34</v>
      </c>
      <c r="U981" t="s" s="11">
        <v>240</v>
      </c>
      <c r="V981" t="s" s="13">
        <v>8657</v>
      </c>
      <c r="W981" t="s" s="11">
        <v>8719</v>
      </c>
      <c r="X981" s="17">
        <f>HYPERLINK("https://my.pitchbook.com?p=282150-37P", "View People Online")</f>
      </c>
    </row>
    <row r="982">
      <c r="A982" t="s" s="10">
        <v>8720</v>
      </c>
      <c r="B982" t="s" s="10">
        <v>2853</v>
      </c>
      <c r="C982" t="s" s="10">
        <v>34</v>
      </c>
      <c r="D982" t="s" s="10">
        <v>8721</v>
      </c>
      <c r="E982" t="s" s="10">
        <v>8116</v>
      </c>
      <c r="F982" t="s" s="10">
        <v>2855</v>
      </c>
      <c r="G982" t="s" s="10">
        <v>274</v>
      </c>
      <c r="H982" s="16">
        <f>HYPERLINK("http://www.mcsaatchi.com", "www.mcsaatchi.com")</f>
      </c>
      <c r="I982" t="s" s="10">
        <v>2423</v>
      </c>
      <c r="J982" t="s" s="24">
        <v>34</v>
      </c>
      <c r="K982" t="s" s="24">
        <v>34</v>
      </c>
      <c r="L982" t="s" s="24">
        <v>34</v>
      </c>
      <c r="M982" t="s" s="12">
        <v>34</v>
      </c>
      <c r="N982" t="s" s="10">
        <v>34</v>
      </c>
      <c r="O982" t="s" s="10">
        <v>34</v>
      </c>
      <c r="P982" t="s" s="10">
        <v>34</v>
      </c>
      <c r="Q982" t="s" s="10">
        <v>34</v>
      </c>
      <c r="R982" t="s" s="10">
        <v>34</v>
      </c>
      <c r="S982" t="s" s="10">
        <v>34</v>
      </c>
      <c r="T982" t="s" s="12">
        <v>34</v>
      </c>
      <c r="U982" t="s" s="10">
        <v>34</v>
      </c>
      <c r="V982" t="s" s="12">
        <v>34</v>
      </c>
      <c r="W982" t="s" s="10">
        <v>8723</v>
      </c>
      <c r="X982" s="16">
        <f>HYPERLINK("https://my.pitchbook.com?p=137441-44P", "View People Online")</f>
      </c>
    </row>
    <row r="983">
      <c r="A983" t="s" s="11">
        <v>8724</v>
      </c>
      <c r="B983" t="s" s="11">
        <v>8725</v>
      </c>
      <c r="C983" t="s" s="11">
        <v>34</v>
      </c>
      <c r="D983" t="s" s="11">
        <v>8726</v>
      </c>
      <c r="E983" t="s" s="11">
        <v>8116</v>
      </c>
      <c r="F983" t="s" s="11">
        <v>8727</v>
      </c>
      <c r="G983" t="s" s="11">
        <v>2331</v>
      </c>
      <c r="H983" s="17">
        <f>HYPERLINK("http://www.freshdelmonte.com", "www.freshdelmonte.com")</f>
      </c>
      <c r="I983" t="s" s="11">
        <v>8729</v>
      </c>
      <c r="J983" s="25">
        <v>1</v>
      </c>
      <c r="K983" s="25">
        <v>7</v>
      </c>
      <c r="L983" s="25">
        <v>6</v>
      </c>
      <c r="M983" t="s" s="13">
        <v>8730</v>
      </c>
      <c r="N983" t="s" s="11">
        <v>8731</v>
      </c>
      <c r="O983" t="s" s="11">
        <v>2152</v>
      </c>
      <c r="P983" t="s" s="11">
        <v>8732</v>
      </c>
      <c r="Q983" t="s" s="11">
        <v>2494</v>
      </c>
      <c r="R983" t="s" s="11">
        <v>2155</v>
      </c>
      <c r="S983" t="s" s="11">
        <v>2156</v>
      </c>
      <c r="T983" t="s" s="13">
        <v>2157</v>
      </c>
      <c r="U983" t="s" s="11">
        <v>88</v>
      </c>
      <c r="V983" t="s" s="13">
        <v>34</v>
      </c>
      <c r="W983" t="s" s="11">
        <v>8733</v>
      </c>
      <c r="X983" s="17">
        <f>HYPERLINK("https://my.pitchbook.com?p=55212-85P", "View People Online")</f>
      </c>
    </row>
    <row r="984">
      <c r="A984" t="s" s="10">
        <v>8734</v>
      </c>
      <c r="B984" t="s" s="10">
        <v>8735</v>
      </c>
      <c r="C984" t="s" s="10">
        <v>34</v>
      </c>
      <c r="D984" t="s" s="10">
        <v>8736</v>
      </c>
      <c r="E984" t="s" s="10">
        <v>8116</v>
      </c>
      <c r="F984" t="s" s="10">
        <v>8737</v>
      </c>
      <c r="G984" t="s" s="10">
        <v>2331</v>
      </c>
      <c r="H984" s="16">
        <f>HYPERLINK("http://www.erc.ae", "www.erc.ae")</f>
      </c>
      <c r="I984" t="s" s="10">
        <v>234</v>
      </c>
      <c r="J984" t="s" s="24">
        <v>34</v>
      </c>
      <c r="K984" s="24">
        <v>1</v>
      </c>
      <c r="L984" t="s" s="24">
        <v>34</v>
      </c>
      <c r="M984" t="s" s="12">
        <v>8739</v>
      </c>
      <c r="N984" t="s" s="10">
        <v>34</v>
      </c>
      <c r="O984" t="s" s="10">
        <v>236</v>
      </c>
      <c r="P984" t="s" s="10">
        <v>8740</v>
      </c>
      <c r="Q984" t="s" s="10">
        <v>34</v>
      </c>
      <c r="R984" t="s" s="10">
        <v>239</v>
      </c>
      <c r="S984" t="s" s="10">
        <v>34</v>
      </c>
      <c r="T984" t="s" s="12">
        <v>8741</v>
      </c>
      <c r="U984" t="s" s="10">
        <v>240</v>
      </c>
      <c r="V984" t="s" s="12">
        <v>8742</v>
      </c>
      <c r="W984" t="s" s="10">
        <v>8743</v>
      </c>
      <c r="X984" s="16">
        <f>HYPERLINK("https://my.pitchbook.com?p=247969-90P", "View People Online")</f>
      </c>
    </row>
    <row r="985">
      <c r="A985" t="s" s="11">
        <v>8744</v>
      </c>
      <c r="B985" t="s" s="11">
        <v>8745</v>
      </c>
      <c r="C985" t="s" s="11">
        <v>34</v>
      </c>
      <c r="D985" t="s" s="11">
        <v>8746</v>
      </c>
      <c r="E985" t="s" s="11">
        <v>8116</v>
      </c>
      <c r="F985" t="s" s="11">
        <v>8747</v>
      </c>
      <c r="G985" t="s" s="11">
        <v>2331</v>
      </c>
      <c r="H985" s="17">
        <f>HYPERLINK("http://www.unitedholding.com.sa", "www.unitedholding.com.sa")</f>
      </c>
      <c r="I985" t="s" s="11">
        <v>8749</v>
      </c>
      <c r="J985" t="s" s="25">
        <v>34</v>
      </c>
      <c r="K985" s="25">
        <v>1</v>
      </c>
      <c r="L985" t="s" s="25">
        <v>34</v>
      </c>
      <c r="M985" t="s" s="13">
        <v>8750</v>
      </c>
      <c r="N985" t="s" s="11">
        <v>8751</v>
      </c>
      <c r="O985" t="s" s="11">
        <v>8752</v>
      </c>
      <c r="P985" t="s" s="11">
        <v>8753</v>
      </c>
      <c r="Q985" t="s" s="11">
        <v>8754</v>
      </c>
      <c r="R985" t="s" s="11">
        <v>8755</v>
      </c>
      <c r="S985" t="s" s="11">
        <v>8756</v>
      </c>
      <c r="T985" t="s" s="13">
        <v>8757</v>
      </c>
      <c r="U985" t="s" s="11">
        <v>3074</v>
      </c>
      <c r="V985" t="s" s="13">
        <v>8758</v>
      </c>
      <c r="W985" t="s" s="11">
        <v>8759</v>
      </c>
      <c r="X985" s="17">
        <f>HYPERLINK("https://my.pitchbook.com?p=418034-17P", "View People Online")</f>
      </c>
    </row>
    <row r="986">
      <c r="A986" t="s" s="10">
        <v>8760</v>
      </c>
      <c r="B986" t="s" s="10">
        <v>8761</v>
      </c>
      <c r="C986" t="s" s="10">
        <v>34</v>
      </c>
      <c r="D986" t="s" s="10">
        <v>8762</v>
      </c>
      <c r="E986" t="s" s="10">
        <v>8116</v>
      </c>
      <c r="F986" t="s" s="10">
        <v>8715</v>
      </c>
      <c r="G986" t="s" s="10">
        <v>729</v>
      </c>
      <c r="H986" s="16">
        <f>HYPERLINK("http://www.ghitha.com", "www.ghitha.com")</f>
      </c>
      <c r="I986" t="s" s="10">
        <v>1121</v>
      </c>
      <c r="J986" s="24">
        <v>1</v>
      </c>
      <c r="K986" s="24">
        <v>1</v>
      </c>
      <c r="L986" t="s" s="24">
        <v>34</v>
      </c>
      <c r="M986" t="s" s="12">
        <v>8764</v>
      </c>
      <c r="N986" t="s" s="10">
        <v>34</v>
      </c>
      <c r="O986" t="s" s="10">
        <v>385</v>
      </c>
      <c r="P986" t="s" s="10">
        <v>8765</v>
      </c>
      <c r="Q986" t="s" s="10">
        <v>8766</v>
      </c>
      <c r="R986" t="s" s="10">
        <v>388</v>
      </c>
      <c r="S986" t="s" s="10">
        <v>34</v>
      </c>
      <c r="T986" t="s" s="12">
        <v>34</v>
      </c>
      <c r="U986" t="s" s="10">
        <v>240</v>
      </c>
      <c r="V986" t="s" s="12">
        <v>8767</v>
      </c>
      <c r="W986" t="s" s="10">
        <v>8768</v>
      </c>
      <c r="X986" s="16">
        <f>HYPERLINK("https://my.pitchbook.com?p=327132-46P", "View People Online")</f>
      </c>
    </row>
    <row r="987">
      <c r="A987" t="s" s="11">
        <v>8769</v>
      </c>
      <c r="B987" t="s" s="11">
        <v>8770</v>
      </c>
      <c r="C987" t="s" s="11">
        <v>34</v>
      </c>
      <c r="D987" t="s" s="11">
        <v>8771</v>
      </c>
      <c r="E987" t="s" s="11">
        <v>8116</v>
      </c>
      <c r="F987" t="s" s="11">
        <v>8772</v>
      </c>
      <c r="G987" t="s" s="11">
        <v>6502</v>
      </c>
      <c r="H987" s="17">
        <f>HYPERLINK("http://www.burjeelholdings.com", "www.burjeelholdings.com")</f>
      </c>
      <c r="I987" t="s" s="11">
        <v>8774</v>
      </c>
      <c r="J987" s="25">
        <v>1</v>
      </c>
      <c r="K987" s="25">
        <v>1</v>
      </c>
      <c r="L987" t="s" s="25">
        <v>34</v>
      </c>
      <c r="M987" t="s" s="13">
        <v>34</v>
      </c>
      <c r="N987" t="s" s="11">
        <v>34</v>
      </c>
      <c r="O987" t="s" s="11">
        <v>385</v>
      </c>
      <c r="P987" t="s" s="11">
        <v>8775</v>
      </c>
      <c r="Q987" t="s" s="11">
        <v>34</v>
      </c>
      <c r="R987" t="s" s="11">
        <v>388</v>
      </c>
      <c r="S987" t="s" s="11">
        <v>34</v>
      </c>
      <c r="T987" t="s" s="13">
        <v>34</v>
      </c>
      <c r="U987" t="s" s="11">
        <v>240</v>
      </c>
      <c r="V987" t="s" s="13">
        <v>34</v>
      </c>
      <c r="W987" t="s" s="11">
        <v>8776</v>
      </c>
      <c r="X987" s="17">
        <f>HYPERLINK("https://my.pitchbook.com?p=372306-61P", "View People Online")</f>
      </c>
    </row>
    <row r="988">
      <c r="A988" t="s" s="10">
        <v>8777</v>
      </c>
      <c r="B988" t="s" s="10">
        <v>8778</v>
      </c>
      <c r="C988" t="s" s="10">
        <v>34</v>
      </c>
      <c r="D988" t="s" s="10">
        <v>8332</v>
      </c>
      <c r="E988" t="s" s="10">
        <v>8116</v>
      </c>
      <c r="F988" t="s" s="10">
        <v>8779</v>
      </c>
      <c r="G988" t="s" s="10">
        <v>8780</v>
      </c>
      <c r="H988" s="16">
        <f>HYPERLINK("http://www.chimerareit.com", "www.chimerareit.com")</f>
      </c>
      <c r="I988" t="s" s="10">
        <v>3618</v>
      </c>
      <c r="J988" t="s" s="24">
        <v>34</v>
      </c>
      <c r="K988" t="s" s="24">
        <v>34</v>
      </c>
      <c r="L988" t="s" s="24">
        <v>34</v>
      </c>
      <c r="M988" t="s" s="12">
        <v>34</v>
      </c>
      <c r="N988" t="s" s="10">
        <v>8781</v>
      </c>
      <c r="O988" t="s" s="10">
        <v>34</v>
      </c>
      <c r="P988" t="s" s="10">
        <v>34</v>
      </c>
      <c r="Q988" t="s" s="10">
        <v>34</v>
      </c>
      <c r="R988" t="s" s="10">
        <v>34</v>
      </c>
      <c r="S988" t="s" s="10">
        <v>34</v>
      </c>
      <c r="T988" t="s" s="12">
        <v>34</v>
      </c>
      <c r="U988" t="s" s="10">
        <v>34</v>
      </c>
      <c r="V988" t="s" s="12">
        <v>34</v>
      </c>
      <c r="W988" t="s" s="10">
        <v>8782</v>
      </c>
      <c r="X988" s="16">
        <f>HYPERLINK("https://my.pitchbook.com?p=136887-22P", "View People Online")</f>
      </c>
    </row>
    <row r="989">
      <c r="A989" t="s" s="11">
        <v>8783</v>
      </c>
      <c r="B989" t="s" s="11">
        <v>8784</v>
      </c>
      <c r="C989" t="s" s="11">
        <v>34</v>
      </c>
      <c r="D989" t="s" s="11">
        <v>8785</v>
      </c>
      <c r="E989" t="s" s="11">
        <v>8116</v>
      </c>
      <c r="F989" t="s" s="11">
        <v>1411</v>
      </c>
      <c r="G989" t="s" s="11">
        <v>8786</v>
      </c>
      <c r="H989" s="17">
        <f>HYPERLINK("http://www.meeza.net", "www.meeza.net")</f>
      </c>
      <c r="I989" t="s" s="11">
        <v>8787</v>
      </c>
      <c r="J989" t="s" s="25">
        <v>34</v>
      </c>
      <c r="K989" s="25">
        <v>1</v>
      </c>
      <c r="L989" t="s" s="25">
        <v>34</v>
      </c>
      <c r="M989" t="s" s="13">
        <v>8788</v>
      </c>
      <c r="N989" t="s" s="11">
        <v>8789</v>
      </c>
      <c r="O989" t="s" s="11">
        <v>59</v>
      </c>
      <c r="P989" t="s" s="11">
        <v>8790</v>
      </c>
      <c r="Q989" t="s" s="11">
        <v>8791</v>
      </c>
      <c r="R989" t="s" s="11">
        <v>62</v>
      </c>
      <c r="S989" t="s" s="11">
        <v>34</v>
      </c>
      <c r="T989" t="s" s="13">
        <v>63</v>
      </c>
      <c r="U989" t="s" s="11">
        <v>64</v>
      </c>
      <c r="V989" t="s" s="13">
        <v>8792</v>
      </c>
      <c r="W989" t="s" s="11">
        <v>8793</v>
      </c>
      <c r="X989" s="17">
        <f>HYPERLINK("https://my.pitchbook.com?p=333884-17P", "View People Online")</f>
      </c>
    </row>
    <row r="990">
      <c r="A990" t="s" s="10">
        <v>8794</v>
      </c>
      <c r="B990" t="s" s="10">
        <v>8795</v>
      </c>
      <c r="C990" t="s" s="10">
        <v>34</v>
      </c>
      <c r="D990" t="s" s="10">
        <v>8746</v>
      </c>
      <c r="E990" t="s" s="10">
        <v>8116</v>
      </c>
      <c r="F990" t="s" s="10">
        <v>8796</v>
      </c>
      <c r="G990" t="s" s="10">
        <v>8797</v>
      </c>
      <c r="H990" s="16">
        <f>HYPERLINK("http://www.unitedholding.com.sa", "www.unitedholding.com.sa")</f>
      </c>
      <c r="I990" t="s" s="10">
        <v>8798</v>
      </c>
      <c r="J990" t="s" s="24">
        <v>34</v>
      </c>
      <c r="K990" s="24">
        <v>1</v>
      </c>
      <c r="L990" t="s" s="24">
        <v>34</v>
      </c>
      <c r="M990" t="s" s="12">
        <v>8750</v>
      </c>
      <c r="N990" t="s" s="10">
        <v>8799</v>
      </c>
      <c r="O990" t="s" s="10">
        <v>8752</v>
      </c>
      <c r="P990" t="s" s="10">
        <v>8753</v>
      </c>
      <c r="Q990" t="s" s="10">
        <v>8754</v>
      </c>
      <c r="R990" t="s" s="10">
        <v>8755</v>
      </c>
      <c r="S990" t="s" s="10">
        <v>8756</v>
      </c>
      <c r="T990" t="s" s="12">
        <v>8757</v>
      </c>
      <c r="U990" t="s" s="10">
        <v>3074</v>
      </c>
      <c r="V990" t="s" s="12">
        <v>8758</v>
      </c>
      <c r="W990" t="s" s="10">
        <v>8800</v>
      </c>
      <c r="X990" s="16">
        <f>HYPERLINK("https://my.pitchbook.com?p=418036-15P", "View People Online")</f>
      </c>
    </row>
    <row r="991">
      <c r="A991" t="s" s="11">
        <v>8801</v>
      </c>
      <c r="B991" t="s" s="11">
        <v>8802</v>
      </c>
      <c r="C991" t="s" s="11">
        <v>34</v>
      </c>
      <c r="D991" t="s" s="11">
        <v>8803</v>
      </c>
      <c r="E991" t="s" s="11">
        <v>8116</v>
      </c>
      <c r="F991" t="s" s="11">
        <v>8804</v>
      </c>
      <c r="G991" t="s" s="11">
        <v>8805</v>
      </c>
      <c r="H991" s="17">
        <f>HYPERLINK("http://www.ada.ae", "www.ada.ae")</f>
      </c>
      <c r="I991" t="s" s="11">
        <v>2321</v>
      </c>
      <c r="J991" s="25">
        <v>2</v>
      </c>
      <c r="K991" s="25">
        <v>2</v>
      </c>
      <c r="L991" t="s" s="25">
        <v>34</v>
      </c>
      <c r="M991" t="s" s="13">
        <v>8807</v>
      </c>
      <c r="N991" t="s" s="11">
        <v>34</v>
      </c>
      <c r="O991" t="s" s="11">
        <v>385</v>
      </c>
      <c r="P991" t="s" s="11">
        <v>8808</v>
      </c>
      <c r="Q991" t="s" s="11">
        <v>8809</v>
      </c>
      <c r="R991" t="s" s="11">
        <v>388</v>
      </c>
      <c r="S991" t="s" s="11">
        <v>34</v>
      </c>
      <c r="T991" t="s" s="13">
        <v>34</v>
      </c>
      <c r="U991" t="s" s="11">
        <v>240</v>
      </c>
      <c r="V991" t="s" s="13">
        <v>8810</v>
      </c>
      <c r="W991" t="s" s="11">
        <v>8811</v>
      </c>
      <c r="X991" s="17">
        <f>HYPERLINK("https://my.pitchbook.com?p=320213-26P", "View People Online")</f>
      </c>
    </row>
    <row r="992">
      <c r="A992" t="s" s="10">
        <v>8812</v>
      </c>
      <c r="B992" t="s" s="10">
        <v>8813</v>
      </c>
      <c r="C992" t="s" s="10">
        <v>34</v>
      </c>
      <c r="D992" t="s" s="10">
        <v>8814</v>
      </c>
      <c r="E992" t="s" s="10">
        <v>8116</v>
      </c>
      <c r="F992" t="s" s="10">
        <v>8815</v>
      </c>
      <c r="G992" t="s" s="10">
        <v>6524</v>
      </c>
      <c r="H992" s="16">
        <f>HYPERLINK("http://www.atco.com", "www.atco.com")</f>
      </c>
      <c r="I992" t="s" s="10">
        <v>8817</v>
      </c>
      <c r="J992" s="24">
        <v>2</v>
      </c>
      <c r="K992" s="24">
        <v>4</v>
      </c>
      <c r="L992" s="24">
        <v>1</v>
      </c>
      <c r="M992" t="s" s="12">
        <v>8818</v>
      </c>
      <c r="N992" t="s" s="10">
        <v>8819</v>
      </c>
      <c r="O992" t="s" s="10">
        <v>6026</v>
      </c>
      <c r="P992" t="s" s="10">
        <v>8820</v>
      </c>
      <c r="Q992" t="s" s="10">
        <v>34</v>
      </c>
      <c r="R992" t="s" s="10">
        <v>6028</v>
      </c>
      <c r="S992" t="s" s="10">
        <v>6029</v>
      </c>
      <c r="T992" t="s" s="12">
        <v>8821</v>
      </c>
      <c r="U992" t="s" s="10">
        <v>1613</v>
      </c>
      <c r="V992" t="s" s="12">
        <v>8822</v>
      </c>
      <c r="W992" t="s" s="10">
        <v>8823</v>
      </c>
      <c r="X992" s="16">
        <f>HYPERLINK("https://my.pitchbook.com?p=189342-28P", "View People Online")</f>
      </c>
    </row>
    <row r="993">
      <c r="A993" t="s" s="11">
        <v>8824</v>
      </c>
      <c r="B993" t="s" s="11">
        <v>8825</v>
      </c>
      <c r="C993" t="s" s="11">
        <v>34</v>
      </c>
      <c r="D993" t="s" s="11">
        <v>8141</v>
      </c>
      <c r="E993" t="s" s="11">
        <v>8116</v>
      </c>
      <c r="F993" t="s" s="11">
        <v>8826</v>
      </c>
      <c r="G993" t="s" s="11">
        <v>8827</v>
      </c>
      <c r="H993" s="17">
        <f>HYPERLINK("http://www.aznoula.com", "www.aznoula.com")</f>
      </c>
      <c r="I993" t="s" s="11">
        <v>8828</v>
      </c>
      <c r="J993" t="s" s="25">
        <v>34</v>
      </c>
      <c r="K993" s="25">
        <v>1</v>
      </c>
      <c r="L993" t="s" s="25">
        <v>34</v>
      </c>
      <c r="M993" t="s" s="13">
        <v>8144</v>
      </c>
      <c r="N993" t="s" s="11">
        <v>8829</v>
      </c>
      <c r="O993" t="s" s="11">
        <v>8145</v>
      </c>
      <c r="P993" t="s" s="11">
        <v>8146</v>
      </c>
      <c r="Q993" t="s" s="11">
        <v>8147</v>
      </c>
      <c r="R993" t="s" s="11">
        <v>8148</v>
      </c>
      <c r="S993" t="s" s="11">
        <v>34</v>
      </c>
      <c r="T993" t="s" s="13">
        <v>34</v>
      </c>
      <c r="U993" t="s" s="11">
        <v>1129</v>
      </c>
      <c r="V993" t="s" s="13">
        <v>34</v>
      </c>
      <c r="W993" t="s" s="11">
        <v>8830</v>
      </c>
      <c r="X993" s="17">
        <f>HYPERLINK("https://my.pitchbook.com?p=326716-39P", "View People Online")</f>
      </c>
    </row>
    <row r="994">
      <c r="A994" t="s" s="10">
        <v>8831</v>
      </c>
      <c r="B994" t="s" s="10">
        <v>8832</v>
      </c>
      <c r="C994" t="s" s="10">
        <v>34</v>
      </c>
      <c r="D994" t="s" s="10">
        <v>8833</v>
      </c>
      <c r="E994" t="s" s="10">
        <v>8116</v>
      </c>
      <c r="F994" t="s" s="10">
        <v>8834</v>
      </c>
      <c r="G994" t="s" s="10">
        <v>6559</v>
      </c>
      <c r="H994" s="16">
        <f>HYPERLINK("http://www.presight.ai", "www.presight.ai")</f>
      </c>
      <c r="I994" t="s" s="10">
        <v>7317</v>
      </c>
      <c r="J994" t="s" s="24">
        <v>34</v>
      </c>
      <c r="K994" s="24">
        <v>1</v>
      </c>
      <c r="L994" t="s" s="24">
        <v>34</v>
      </c>
      <c r="M994" t="s" s="12">
        <v>34</v>
      </c>
      <c r="N994" t="s" s="10">
        <v>8836</v>
      </c>
      <c r="O994" t="s" s="10">
        <v>385</v>
      </c>
      <c r="P994" t="s" s="10">
        <v>8837</v>
      </c>
      <c r="Q994" t="s" s="10">
        <v>387</v>
      </c>
      <c r="R994" t="s" s="10">
        <v>388</v>
      </c>
      <c r="S994" t="s" s="10">
        <v>34</v>
      </c>
      <c r="T994" t="s" s="12">
        <v>34</v>
      </c>
      <c r="U994" t="s" s="10">
        <v>240</v>
      </c>
      <c r="V994" t="s" s="12">
        <v>34</v>
      </c>
      <c r="W994" t="s" s="10">
        <v>8838</v>
      </c>
      <c r="X994" s="16">
        <f>HYPERLINK("https://my.pitchbook.com?p=379610-02P", "View People Online")</f>
      </c>
    </row>
    <row r="995">
      <c r="A995" t="s" s="11">
        <v>8839</v>
      </c>
      <c r="B995" t="s" s="11">
        <v>8840</v>
      </c>
      <c r="C995" t="s" s="11">
        <v>34</v>
      </c>
      <c r="D995" t="s" s="11">
        <v>8841</v>
      </c>
      <c r="E995" t="s" s="11">
        <v>8116</v>
      </c>
      <c r="F995" t="s" s="11">
        <v>8842</v>
      </c>
      <c r="G995" t="s" s="11">
        <v>8843</v>
      </c>
      <c r="H995" s="17">
        <f>HYPERLINK("http://www.fortescue.com", "www.fortescue.com")</f>
      </c>
      <c r="I995" t="s" s="11">
        <v>649</v>
      </c>
      <c r="J995" s="25">
        <v>2</v>
      </c>
      <c r="K995" s="25">
        <v>6</v>
      </c>
      <c r="L995" s="25">
        <v>4</v>
      </c>
      <c r="M995" t="s" s="13">
        <v>8845</v>
      </c>
      <c r="N995" t="s" s="11">
        <v>34</v>
      </c>
      <c r="O995" t="s" s="11">
        <v>8846</v>
      </c>
      <c r="P995" t="s" s="11">
        <v>8847</v>
      </c>
      <c r="Q995" t="s" s="11">
        <v>34</v>
      </c>
      <c r="R995" t="s" s="11">
        <v>8848</v>
      </c>
      <c r="S995" t="s" s="11">
        <v>8849</v>
      </c>
      <c r="T995" t="s" s="13">
        <v>8850</v>
      </c>
      <c r="U995" t="s" s="11">
        <v>2105</v>
      </c>
      <c r="V995" t="s" s="13">
        <v>8851</v>
      </c>
      <c r="W995" t="s" s="11">
        <v>8852</v>
      </c>
      <c r="X995" s="17">
        <f>HYPERLINK("https://my.pitchbook.com?p=163693-00P", "View People Online")</f>
      </c>
    </row>
    <row r="996">
      <c r="A996" t="s" s="10">
        <v>8853</v>
      </c>
      <c r="B996" t="s" s="10">
        <v>8854</v>
      </c>
      <c r="C996" t="s" s="10">
        <v>34</v>
      </c>
      <c r="D996" t="s" s="10">
        <v>8633</v>
      </c>
      <c r="E996" t="s" s="10">
        <v>8116</v>
      </c>
      <c r="F996" t="s" s="10">
        <v>8855</v>
      </c>
      <c r="G996" t="s" s="10">
        <v>8856</v>
      </c>
      <c r="H996" s="16">
        <f>HYPERLINK("http://www.hinsanggroup.com", "www.hinsanggroup.com")</f>
      </c>
      <c r="I996" t="s" s="10">
        <v>8857</v>
      </c>
      <c r="J996" t="s" s="24">
        <v>34</v>
      </c>
      <c r="K996" s="24">
        <v>1</v>
      </c>
      <c r="L996" t="s" s="24">
        <v>34</v>
      </c>
      <c r="M996" t="s" s="12">
        <v>8638</v>
      </c>
      <c r="N996" t="s" s="10">
        <v>34</v>
      </c>
      <c r="O996" t="s" s="10">
        <v>552</v>
      </c>
      <c r="P996" t="s" s="10">
        <v>8639</v>
      </c>
      <c r="Q996" t="s" s="10">
        <v>8640</v>
      </c>
      <c r="R996" t="s" s="10">
        <v>555</v>
      </c>
      <c r="S996" t="s" s="10">
        <v>34</v>
      </c>
      <c r="T996" t="s" s="12">
        <v>34</v>
      </c>
      <c r="U996" t="s" s="10">
        <v>555</v>
      </c>
      <c r="V996" t="s" s="12">
        <v>8641</v>
      </c>
      <c r="W996" t="s" s="10">
        <v>8858</v>
      </c>
      <c r="X996" s="16">
        <f>HYPERLINK("https://my.pitchbook.com?p=257074-48P", "View People Online")</f>
      </c>
    </row>
    <row r="997">
      <c r="A997" t="s" s="11">
        <v>8859</v>
      </c>
      <c r="B997" t="s" s="11">
        <v>8860</v>
      </c>
      <c r="C997" t="s" s="11">
        <v>34</v>
      </c>
      <c r="D997" t="s" s="11">
        <v>8861</v>
      </c>
      <c r="E997" t="s" s="11">
        <v>8116</v>
      </c>
      <c r="F997" t="s" s="11">
        <v>8862</v>
      </c>
      <c r="G997" t="s" s="11">
        <v>805</v>
      </c>
      <c r="H997" s="17">
        <f>HYPERLINK("http://www.interparfumsinc.com", "www.interparfumsinc.com")</f>
      </c>
      <c r="I997" t="s" s="11">
        <v>649</v>
      </c>
      <c r="J997" s="25">
        <v>2</v>
      </c>
      <c r="K997" s="25">
        <v>2</v>
      </c>
      <c r="L997" t="s" s="25">
        <v>34</v>
      </c>
      <c r="M997" t="s" s="13">
        <v>8864</v>
      </c>
      <c r="N997" t="s" s="11">
        <v>34</v>
      </c>
      <c r="O997" t="s" s="11">
        <v>84</v>
      </c>
      <c r="P997" t="s" s="11">
        <v>8865</v>
      </c>
      <c r="Q997" t="s" s="11">
        <v>34</v>
      </c>
      <c r="R997" t="s" s="11">
        <v>86</v>
      </c>
      <c r="S997" t="s" s="11">
        <v>86</v>
      </c>
      <c r="T997" t="s" s="13">
        <v>8866</v>
      </c>
      <c r="U997" t="s" s="11">
        <v>88</v>
      </c>
      <c r="V997" t="s" s="13">
        <v>8867</v>
      </c>
      <c r="W997" t="s" s="11">
        <v>8868</v>
      </c>
      <c r="X997" s="17">
        <f>HYPERLINK("https://my.pitchbook.com?p=96449-41P", "View People Online")</f>
      </c>
    </row>
    <row r="998">
      <c r="A998" t="s" s="10">
        <v>8869</v>
      </c>
      <c r="B998" t="s" s="10">
        <v>8870</v>
      </c>
      <c r="C998" t="s" s="10">
        <v>34</v>
      </c>
      <c r="D998" t="s" s="10">
        <v>8141</v>
      </c>
      <c r="E998" t="s" s="10">
        <v>8116</v>
      </c>
      <c r="F998" t="s" s="10">
        <v>8871</v>
      </c>
      <c r="G998" t="s" s="10">
        <v>149</v>
      </c>
      <c r="H998" s="16">
        <f>HYPERLINK("http://www.aznoula.com", "www.aznoula.com")</f>
      </c>
      <c r="I998" t="s" s="10">
        <v>3618</v>
      </c>
      <c r="J998" s="24">
        <v>1</v>
      </c>
      <c r="K998" s="24">
        <v>1</v>
      </c>
      <c r="L998" t="s" s="24">
        <v>34</v>
      </c>
      <c r="M998" t="s" s="12">
        <v>8144</v>
      </c>
      <c r="N998" t="s" s="10">
        <v>8872</v>
      </c>
      <c r="O998" t="s" s="10">
        <v>8145</v>
      </c>
      <c r="P998" t="s" s="10">
        <v>8146</v>
      </c>
      <c r="Q998" t="s" s="10">
        <v>8147</v>
      </c>
      <c r="R998" t="s" s="10">
        <v>8148</v>
      </c>
      <c r="S998" t="s" s="10">
        <v>34</v>
      </c>
      <c r="T998" t="s" s="12">
        <v>34</v>
      </c>
      <c r="U998" t="s" s="10">
        <v>1129</v>
      </c>
      <c r="V998" t="s" s="12">
        <v>34</v>
      </c>
      <c r="W998" t="s" s="10">
        <v>8873</v>
      </c>
      <c r="X998" s="16">
        <f>HYPERLINK("https://my.pitchbook.com?p=386263-09P", "View People Online")</f>
      </c>
    </row>
    <row r="999">
      <c r="A999" t="s" s="11">
        <v>8874</v>
      </c>
      <c r="B999" t="s" s="11">
        <v>8875</v>
      </c>
      <c r="C999" t="s" s="11">
        <v>34</v>
      </c>
      <c r="D999" t="s" s="11">
        <v>8876</v>
      </c>
      <c r="E999" t="s" s="11">
        <v>8116</v>
      </c>
      <c r="F999" t="s" s="11">
        <v>8877</v>
      </c>
      <c r="G999" t="s" s="11">
        <v>8878</v>
      </c>
      <c r="H999" s="17">
        <f>HYPERLINK("http://www.manadr.com", "www.manadr.com")</f>
      </c>
      <c r="I999" t="s" s="11">
        <v>5632</v>
      </c>
      <c r="J999" t="s" s="25">
        <v>34</v>
      </c>
      <c r="K999" s="25">
        <v>1</v>
      </c>
      <c r="L999" t="s" s="25">
        <v>34</v>
      </c>
      <c r="M999" t="s" s="13">
        <v>8880</v>
      </c>
      <c r="N999" t="s" s="11">
        <v>34</v>
      </c>
      <c r="O999" t="s" s="11">
        <v>525</v>
      </c>
      <c r="P999" t="s" s="11">
        <v>8881</v>
      </c>
      <c r="Q999" t="s" s="11">
        <v>8882</v>
      </c>
      <c r="R999" t="s" s="11">
        <v>528</v>
      </c>
      <c r="S999" t="s" s="11">
        <v>34</v>
      </c>
      <c r="T999" t="s" s="13">
        <v>8883</v>
      </c>
      <c r="U999" t="s" s="11">
        <v>528</v>
      </c>
      <c r="V999" t="s" s="13">
        <v>34</v>
      </c>
      <c r="W999" t="s" s="11">
        <v>8884</v>
      </c>
      <c r="X999" s="17">
        <f>HYPERLINK("https://my.pitchbook.com?p=387019-36P", "View People Online")</f>
      </c>
    </row>
    <row r="1000">
      <c r="A1000" t="s" s="10">
        <v>8885</v>
      </c>
      <c r="B1000" t="s" s="10">
        <v>8886</v>
      </c>
      <c r="C1000" t="s" s="10">
        <v>34</v>
      </c>
      <c r="D1000" t="s" s="10">
        <v>8887</v>
      </c>
      <c r="E1000" t="s" s="10">
        <v>8116</v>
      </c>
      <c r="F1000" t="s" s="10">
        <v>8888</v>
      </c>
      <c r="G1000" t="s" s="10">
        <v>6771</v>
      </c>
      <c r="H1000" s="16">
        <f>HYPERLINK("http://www.arctechsolar.us", "www.arctechsolar.us")</f>
      </c>
      <c r="I1000" t="s" s="10">
        <v>8890</v>
      </c>
      <c r="J1000" t="s" s="24">
        <v>34</v>
      </c>
      <c r="K1000" s="24">
        <v>1</v>
      </c>
      <c r="L1000" t="s" s="24">
        <v>34</v>
      </c>
      <c r="M1000" t="s" s="12">
        <v>8891</v>
      </c>
      <c r="N1000" t="s" s="10">
        <v>8892</v>
      </c>
      <c r="O1000" t="s" s="10">
        <v>8893</v>
      </c>
      <c r="P1000" t="s" s="10">
        <v>8894</v>
      </c>
      <c r="Q1000" t="s" s="10">
        <v>8895</v>
      </c>
      <c r="R1000" t="s" s="10">
        <v>8896</v>
      </c>
      <c r="S1000" t="s" s="10">
        <v>5463</v>
      </c>
      <c r="T1000" t="s" s="12">
        <v>34</v>
      </c>
      <c r="U1000" t="s" s="10">
        <v>5013</v>
      </c>
      <c r="V1000" t="s" s="12">
        <v>34</v>
      </c>
      <c r="W1000" t="s" s="10">
        <v>8897</v>
      </c>
      <c r="X1000" s="16">
        <f>HYPERLINK("https://my.pitchbook.com?p=421450-39P", "View People Online")</f>
      </c>
    </row>
    <row r="1001">
      <c r="A1001" t="s" s="11">
        <v>8898</v>
      </c>
      <c r="B1001" t="s" s="11">
        <v>8899</v>
      </c>
      <c r="C1001" t="s" s="11">
        <v>34</v>
      </c>
      <c r="D1001" t="s" s="11">
        <v>8355</v>
      </c>
      <c r="E1001" t="s" s="11">
        <v>8116</v>
      </c>
      <c r="F1001" t="s" s="11">
        <v>8900</v>
      </c>
      <c r="G1001" t="s" s="11">
        <v>831</v>
      </c>
      <c r="H1001" s="17">
        <f>HYPERLINK("http://www.chimerareit.com", "www.chimerareit.com")</f>
      </c>
      <c r="I1001" t="s" s="11">
        <v>3618</v>
      </c>
      <c r="J1001" s="25">
        <v>1</v>
      </c>
      <c r="K1001" s="25">
        <v>6</v>
      </c>
      <c r="L1001" s="25">
        <v>4</v>
      </c>
      <c r="M1001" t="s" s="13">
        <v>8358</v>
      </c>
      <c r="N1001" t="s" s="11">
        <v>8901</v>
      </c>
      <c r="O1001" t="s" s="11">
        <v>84</v>
      </c>
      <c r="P1001" t="s" s="11">
        <v>8359</v>
      </c>
      <c r="Q1001" t="s" s="11">
        <v>8360</v>
      </c>
      <c r="R1001" t="s" s="11">
        <v>86</v>
      </c>
      <c r="S1001" t="s" s="11">
        <v>86</v>
      </c>
      <c r="T1001" t="s" s="13">
        <v>8361</v>
      </c>
      <c r="U1001" t="s" s="11">
        <v>88</v>
      </c>
      <c r="V1001" t="s" s="13">
        <v>34</v>
      </c>
      <c r="W1001" t="s" s="11">
        <v>8902</v>
      </c>
      <c r="X1001" s="17">
        <f>HYPERLINK("https://my.pitchbook.com?p=12744-10P", "View People Online")</f>
      </c>
    </row>
    <row r="1002">
      <c r="A1002" t="s" s="10">
        <v>8903</v>
      </c>
      <c r="B1002" t="s" s="10">
        <v>8904</v>
      </c>
      <c r="C1002" t="s" s="10">
        <v>34</v>
      </c>
      <c r="D1002" t="s" s="10">
        <v>8905</v>
      </c>
      <c r="E1002" t="s" s="10">
        <v>8116</v>
      </c>
      <c r="F1002" t="s" s="10">
        <v>8906</v>
      </c>
      <c r="G1002" t="s" s="10">
        <v>8907</v>
      </c>
      <c r="H1002" s="16">
        <f>HYPERLINK("http://www.originmaterials.com", "www.originmaterials.com")</f>
      </c>
      <c r="I1002" t="s" s="10">
        <v>649</v>
      </c>
      <c r="J1002" t="s" s="24">
        <v>34</v>
      </c>
      <c r="K1002" t="s" s="24">
        <v>34</v>
      </c>
      <c r="L1002" t="s" s="24">
        <v>34</v>
      </c>
      <c r="M1002" t="s" s="12">
        <v>34</v>
      </c>
      <c r="N1002" t="s" s="10">
        <v>34</v>
      </c>
      <c r="O1002" t="s" s="10">
        <v>34</v>
      </c>
      <c r="P1002" t="s" s="10">
        <v>34</v>
      </c>
      <c r="Q1002" t="s" s="10">
        <v>34</v>
      </c>
      <c r="R1002" t="s" s="10">
        <v>34</v>
      </c>
      <c r="S1002" t="s" s="10">
        <v>34</v>
      </c>
      <c r="T1002" t="s" s="12">
        <v>34</v>
      </c>
      <c r="U1002" t="s" s="10">
        <v>34</v>
      </c>
      <c r="V1002" t="s" s="12">
        <v>34</v>
      </c>
      <c r="W1002" t="s" s="10">
        <v>8909</v>
      </c>
      <c r="X1002" s="16">
        <f>HYPERLINK("https://my.pitchbook.com?p=267826-69P", "View People Online")</f>
      </c>
    </row>
    <row r="1003">
      <c r="A1003" t="s" s="11">
        <v>8910</v>
      </c>
      <c r="B1003" t="s" s="11">
        <v>8911</v>
      </c>
      <c r="C1003" t="s" s="11">
        <v>34</v>
      </c>
      <c r="D1003" t="s" s="11">
        <v>8912</v>
      </c>
      <c r="E1003" t="s" s="11">
        <v>8116</v>
      </c>
      <c r="F1003" t="s" s="11">
        <v>8913</v>
      </c>
      <c r="G1003" t="s" s="11">
        <v>8914</v>
      </c>
      <c r="H1003" s="17">
        <f>HYPERLINK("http://www.scgpackaging.com", "www.scgpackaging.com")</f>
      </c>
      <c r="I1003" t="s" s="11">
        <v>1121</v>
      </c>
      <c r="J1003" s="25">
        <v>3</v>
      </c>
      <c r="K1003" s="25">
        <v>3</v>
      </c>
      <c r="L1003" t="s" s="25">
        <v>34</v>
      </c>
      <c r="M1003" t="s" s="13">
        <v>8916</v>
      </c>
      <c r="N1003" t="s" s="11">
        <v>34</v>
      </c>
      <c r="O1003" t="s" s="11">
        <v>1140</v>
      </c>
      <c r="P1003" t="s" s="11">
        <v>8917</v>
      </c>
      <c r="Q1003" t="s" s="11">
        <v>34</v>
      </c>
      <c r="R1003" t="s" s="11">
        <v>1143</v>
      </c>
      <c r="S1003" t="s" s="11">
        <v>34</v>
      </c>
      <c r="T1003" t="s" s="13">
        <v>2681</v>
      </c>
      <c r="U1003" t="s" s="11">
        <v>1145</v>
      </c>
      <c r="V1003" t="s" s="13">
        <v>8918</v>
      </c>
      <c r="W1003" t="s" s="11">
        <v>8919</v>
      </c>
      <c r="X1003" s="17">
        <f>HYPERLINK("https://my.pitchbook.com?p=317571-22P", "View People Online")</f>
      </c>
    </row>
    <row r="1004">
      <c r="A1004" t="s" s="10">
        <v>8920</v>
      </c>
      <c r="B1004" t="s" s="10">
        <v>8921</v>
      </c>
      <c r="C1004" t="s" s="10">
        <v>34</v>
      </c>
      <c r="D1004" t="s" s="10">
        <v>8922</v>
      </c>
      <c r="E1004" t="s" s="10">
        <v>8116</v>
      </c>
      <c r="F1004" t="s" s="10">
        <v>8923</v>
      </c>
      <c r="G1004" t="s" s="10">
        <v>8924</v>
      </c>
      <c r="H1004" s="16">
        <f>HYPERLINK("http://www.berkeleygroup.co.uk", "www.berkeleygroup.co.uk")</f>
      </c>
      <c r="I1004" t="s" s="10">
        <v>649</v>
      </c>
      <c r="J1004" s="24">
        <v>1</v>
      </c>
      <c r="K1004" s="24">
        <v>1</v>
      </c>
      <c r="L1004" t="s" s="24">
        <v>34</v>
      </c>
      <c r="M1004" t="s" s="12">
        <v>8926</v>
      </c>
      <c r="N1004" t="s" s="10">
        <v>34</v>
      </c>
      <c r="O1004" t="s" s="10">
        <v>8927</v>
      </c>
      <c r="P1004" t="s" s="10">
        <v>8928</v>
      </c>
      <c r="Q1004" t="s" s="10">
        <v>8929</v>
      </c>
      <c r="R1004" t="s" s="10">
        <v>8930</v>
      </c>
      <c r="S1004" t="s" s="10">
        <v>47</v>
      </c>
      <c r="T1004" t="s" s="12">
        <v>8931</v>
      </c>
      <c r="U1004" t="s" s="10">
        <v>49</v>
      </c>
      <c r="V1004" t="s" s="12">
        <v>8932</v>
      </c>
      <c r="W1004" t="s" s="10">
        <v>8933</v>
      </c>
      <c r="X1004" s="16">
        <f>HYPERLINK("https://my.pitchbook.com?p=252076-24P", "View People Online")</f>
      </c>
    </row>
    <row r="1005">
      <c r="A1005" t="s" s="11">
        <v>8934</v>
      </c>
      <c r="B1005" t="s" s="11">
        <v>8935</v>
      </c>
      <c r="C1005" t="s" s="11">
        <v>34</v>
      </c>
      <c r="D1005" t="s" s="11">
        <v>8936</v>
      </c>
      <c r="E1005" t="s" s="11">
        <v>8116</v>
      </c>
      <c r="F1005" t="s" s="11">
        <v>8937</v>
      </c>
      <c r="G1005" t="s" s="11">
        <v>8938</v>
      </c>
      <c r="H1005" s="17">
        <f>HYPERLINK("http://www.fraserandneave.com", "www.fraserandneave.com")</f>
      </c>
      <c r="I1005" t="s" s="11">
        <v>322</v>
      </c>
      <c r="J1005" t="s" s="25">
        <v>34</v>
      </c>
      <c r="K1005" s="25">
        <v>2</v>
      </c>
      <c r="L1005" t="s" s="25">
        <v>34</v>
      </c>
      <c r="M1005" t="s" s="13">
        <v>8940</v>
      </c>
      <c r="N1005" t="s" s="11">
        <v>8941</v>
      </c>
      <c r="O1005" t="s" s="11">
        <v>525</v>
      </c>
      <c r="P1005" t="s" s="11">
        <v>8942</v>
      </c>
      <c r="Q1005" t="s" s="11">
        <v>8943</v>
      </c>
      <c r="R1005" t="s" s="11">
        <v>528</v>
      </c>
      <c r="S1005" t="s" s="11">
        <v>34</v>
      </c>
      <c r="T1005" t="s" s="13">
        <v>8944</v>
      </c>
      <c r="U1005" t="s" s="11">
        <v>528</v>
      </c>
      <c r="V1005" t="s" s="13">
        <v>8945</v>
      </c>
      <c r="W1005" t="s" s="11">
        <v>8946</v>
      </c>
      <c r="X1005" s="17">
        <f>HYPERLINK("https://my.pitchbook.com?p=296157-16P", "View People Online")</f>
      </c>
    </row>
    <row r="1006">
      <c r="A1006" t="s" s="10">
        <v>8947</v>
      </c>
      <c r="B1006" t="s" s="10">
        <v>8948</v>
      </c>
      <c r="C1006" t="s" s="10">
        <v>34</v>
      </c>
      <c r="D1006" t="s" s="10">
        <v>8746</v>
      </c>
      <c r="E1006" t="s" s="10">
        <v>8116</v>
      </c>
      <c r="F1006" t="s" s="10">
        <v>8949</v>
      </c>
      <c r="G1006" t="s" s="10">
        <v>8950</v>
      </c>
      <c r="H1006" s="16">
        <f>HYPERLINK("http://www.unitedholding.com.sa", "www.unitedholding.com.sa")</f>
      </c>
      <c r="I1006" t="s" s="10">
        <v>5057</v>
      </c>
      <c r="J1006" t="s" s="24">
        <v>34</v>
      </c>
      <c r="K1006" s="24">
        <v>1</v>
      </c>
      <c r="L1006" t="s" s="24">
        <v>34</v>
      </c>
      <c r="M1006" t="s" s="12">
        <v>8750</v>
      </c>
      <c r="N1006" t="s" s="10">
        <v>8951</v>
      </c>
      <c r="O1006" t="s" s="10">
        <v>8752</v>
      </c>
      <c r="P1006" t="s" s="10">
        <v>8753</v>
      </c>
      <c r="Q1006" t="s" s="10">
        <v>8754</v>
      </c>
      <c r="R1006" t="s" s="10">
        <v>8755</v>
      </c>
      <c r="S1006" t="s" s="10">
        <v>8756</v>
      </c>
      <c r="T1006" t="s" s="12">
        <v>8757</v>
      </c>
      <c r="U1006" t="s" s="10">
        <v>3074</v>
      </c>
      <c r="V1006" t="s" s="12">
        <v>8758</v>
      </c>
      <c r="W1006" t="s" s="10">
        <v>8952</v>
      </c>
      <c r="X1006" s="16">
        <f>HYPERLINK("https://my.pitchbook.com?p=418038-13P", "View People Online")</f>
      </c>
    </row>
    <row r="1007">
      <c r="A1007" t="s" s="11">
        <v>8953</v>
      </c>
      <c r="B1007" t="s" s="11">
        <v>8954</v>
      </c>
      <c r="C1007" t="s" s="11">
        <v>34</v>
      </c>
      <c r="D1007" t="s" s="11">
        <v>8955</v>
      </c>
      <c r="E1007" t="s" s="11">
        <v>8116</v>
      </c>
      <c r="F1007" t="s" s="11">
        <v>8956</v>
      </c>
      <c r="G1007" t="s" s="11">
        <v>1817</v>
      </c>
      <c r="H1007" s="17">
        <f>HYPERLINK("http://www.ciso.inc", "www.ciso.inc")</f>
      </c>
      <c r="I1007" t="s" s="11">
        <v>649</v>
      </c>
      <c r="J1007" t="s" s="25">
        <v>34</v>
      </c>
      <c r="K1007" t="s" s="25">
        <v>34</v>
      </c>
      <c r="L1007" t="s" s="25">
        <v>34</v>
      </c>
      <c r="M1007" t="s" s="13">
        <v>34</v>
      </c>
      <c r="N1007" t="s" s="11">
        <v>34</v>
      </c>
      <c r="O1007" t="s" s="11">
        <v>34</v>
      </c>
      <c r="P1007" t="s" s="11">
        <v>34</v>
      </c>
      <c r="Q1007" t="s" s="11">
        <v>34</v>
      </c>
      <c r="R1007" t="s" s="11">
        <v>34</v>
      </c>
      <c r="S1007" t="s" s="11">
        <v>34</v>
      </c>
      <c r="T1007" t="s" s="13">
        <v>34</v>
      </c>
      <c r="U1007" t="s" s="11">
        <v>34</v>
      </c>
      <c r="V1007" t="s" s="13">
        <v>34</v>
      </c>
      <c r="W1007" t="s" s="11">
        <v>8958</v>
      </c>
      <c r="X1007" s="17">
        <f>HYPERLINK("https://my.pitchbook.com?p=342129-97P", "View People Online")</f>
      </c>
    </row>
    <row r="1008">
      <c r="A1008" t="s" s="10">
        <v>8959</v>
      </c>
      <c r="B1008" t="s" s="10">
        <v>8960</v>
      </c>
      <c r="C1008" t="s" s="10">
        <v>34</v>
      </c>
      <c r="D1008" t="s" s="10">
        <v>8961</v>
      </c>
      <c r="E1008" t="s" s="10">
        <v>8116</v>
      </c>
      <c r="F1008" t="s" s="10">
        <v>8962</v>
      </c>
      <c r="G1008" t="s" s="10">
        <v>7084</v>
      </c>
      <c r="H1008" s="16">
        <f>HYPERLINK("http://www.dynexcapital.com", "www.dynexcapital.com")</f>
      </c>
      <c r="I1008" t="s" s="10">
        <v>8964</v>
      </c>
      <c r="J1008" t="s" s="24">
        <v>34</v>
      </c>
      <c r="K1008" s="24">
        <v>1</v>
      </c>
      <c r="L1008" t="s" s="24">
        <v>34</v>
      </c>
      <c r="M1008" t="s" s="12">
        <v>8965</v>
      </c>
      <c r="N1008" t="s" s="10">
        <v>8966</v>
      </c>
      <c r="O1008" t="s" s="10">
        <v>7370</v>
      </c>
      <c r="P1008" t="s" s="10">
        <v>8967</v>
      </c>
      <c r="Q1008" t="s" s="10">
        <v>3226</v>
      </c>
      <c r="R1008" t="s" s="10">
        <v>7373</v>
      </c>
      <c r="S1008" t="s" s="10">
        <v>2078</v>
      </c>
      <c r="T1008" t="s" s="12">
        <v>7374</v>
      </c>
      <c r="U1008" t="s" s="10">
        <v>88</v>
      </c>
      <c r="V1008" t="s" s="12">
        <v>34</v>
      </c>
      <c r="W1008" t="s" s="10">
        <v>8968</v>
      </c>
      <c r="X1008" s="16">
        <f>HYPERLINK("https://my.pitchbook.com?p=136885-24P", "View People Online")</f>
      </c>
    </row>
    <row r="1009">
      <c r="A1009" t="s" s="11">
        <v>8969</v>
      </c>
      <c r="B1009" t="s" s="11">
        <v>8970</v>
      </c>
      <c r="C1009" t="s" s="11">
        <v>34</v>
      </c>
      <c r="D1009" t="s" s="11">
        <v>8971</v>
      </c>
      <c r="E1009" t="s" s="11">
        <v>8116</v>
      </c>
      <c r="F1009" t="s" s="11">
        <v>6098</v>
      </c>
      <c r="G1009" t="s" s="11">
        <v>7084</v>
      </c>
      <c r="H1009" s="17">
        <f>HYPERLINK("http://www.ernexatx.com", "www.ernexatx.com")</f>
      </c>
      <c r="I1009" t="s" s="11">
        <v>3769</v>
      </c>
      <c r="J1009" t="s" s="25">
        <v>34</v>
      </c>
      <c r="K1009" s="25">
        <v>1</v>
      </c>
      <c r="L1009" t="s" s="25">
        <v>34</v>
      </c>
      <c r="M1009" t="s" s="13">
        <v>8973</v>
      </c>
      <c r="N1009" t="s" s="11">
        <v>8974</v>
      </c>
      <c r="O1009" t="s" s="11">
        <v>7659</v>
      </c>
      <c r="P1009" t="s" s="11">
        <v>8975</v>
      </c>
      <c r="Q1009" t="s" s="11">
        <v>8976</v>
      </c>
      <c r="R1009" t="s" s="11">
        <v>7662</v>
      </c>
      <c r="S1009" t="s" s="11">
        <v>1904</v>
      </c>
      <c r="T1009" t="s" s="13">
        <v>8977</v>
      </c>
      <c r="U1009" t="s" s="11">
        <v>88</v>
      </c>
      <c r="V1009" t="s" s="13">
        <v>34</v>
      </c>
      <c r="W1009" t="s" s="11">
        <v>8978</v>
      </c>
      <c r="X1009" s="17">
        <f>HYPERLINK("https://my.pitchbook.com?p=420133-78P", "View People Online")</f>
      </c>
    </row>
    <row r="1010">
      <c r="A1010" t="s" s="10">
        <v>8979</v>
      </c>
      <c r="B1010" t="s" s="10">
        <v>8980</v>
      </c>
      <c r="C1010" t="s" s="10">
        <v>34</v>
      </c>
      <c r="D1010" t="s" s="10">
        <v>8981</v>
      </c>
      <c r="E1010" t="s" s="10">
        <v>8116</v>
      </c>
      <c r="F1010" t="s" s="10">
        <v>2219</v>
      </c>
      <c r="G1010" t="s" s="10">
        <v>1424</v>
      </c>
      <c r="H1010" s="16">
        <f>HYPERLINK("http://www.akdital.ma", "www.akdital.ma")</f>
      </c>
      <c r="I1010" t="s" s="10">
        <v>649</v>
      </c>
      <c r="J1010" t="s" s="24">
        <v>34</v>
      </c>
      <c r="K1010" s="24">
        <v>2</v>
      </c>
      <c r="L1010" s="24">
        <v>2</v>
      </c>
      <c r="M1010" t="s" s="12">
        <v>34</v>
      </c>
      <c r="N1010" t="s" s="10">
        <v>34</v>
      </c>
      <c r="O1010" t="s" s="10">
        <v>34</v>
      </c>
      <c r="P1010" t="s" s="10">
        <v>34</v>
      </c>
      <c r="Q1010" t="s" s="10">
        <v>34</v>
      </c>
      <c r="R1010" t="s" s="10">
        <v>34</v>
      </c>
      <c r="S1010" t="s" s="10">
        <v>34</v>
      </c>
      <c r="T1010" t="s" s="12">
        <v>34</v>
      </c>
      <c r="U1010" t="s" s="10">
        <v>34</v>
      </c>
      <c r="V1010" t="s" s="12">
        <v>34</v>
      </c>
      <c r="W1010" t="s" s="10">
        <v>8983</v>
      </c>
      <c r="X1010" s="16">
        <f>HYPERLINK("https://my.pitchbook.com?p=285948-55P", "View People Online")</f>
      </c>
    </row>
    <row r="1011">
      <c r="A1011" t="s" s="11">
        <v>8984</v>
      </c>
      <c r="B1011" t="s" s="11">
        <v>8985</v>
      </c>
      <c r="C1011" t="s" s="11">
        <v>34</v>
      </c>
      <c r="D1011" t="s" s="11">
        <v>8746</v>
      </c>
      <c r="E1011" t="s" s="11">
        <v>8116</v>
      </c>
      <c r="F1011" t="s" s="11">
        <v>8986</v>
      </c>
      <c r="G1011" t="s" s="11">
        <v>8987</v>
      </c>
      <c r="H1011" s="17">
        <f>HYPERLINK("http://www.unitedholding.com.sa", "www.unitedholding.com.sa")</f>
      </c>
      <c r="I1011" t="s" s="11">
        <v>322</v>
      </c>
      <c r="J1011" t="s" s="25">
        <v>34</v>
      </c>
      <c r="K1011" s="25">
        <v>1</v>
      </c>
      <c r="L1011" t="s" s="25">
        <v>34</v>
      </c>
      <c r="M1011" t="s" s="13">
        <v>8750</v>
      </c>
      <c r="N1011" t="s" s="11">
        <v>8988</v>
      </c>
      <c r="O1011" t="s" s="11">
        <v>8752</v>
      </c>
      <c r="P1011" t="s" s="11">
        <v>8753</v>
      </c>
      <c r="Q1011" t="s" s="11">
        <v>8754</v>
      </c>
      <c r="R1011" t="s" s="11">
        <v>8755</v>
      </c>
      <c r="S1011" t="s" s="11">
        <v>8756</v>
      </c>
      <c r="T1011" t="s" s="13">
        <v>8757</v>
      </c>
      <c r="U1011" t="s" s="11">
        <v>3074</v>
      </c>
      <c r="V1011" t="s" s="13">
        <v>8758</v>
      </c>
      <c r="W1011" t="s" s="11">
        <v>8989</v>
      </c>
      <c r="X1011" s="17">
        <f>HYPERLINK("https://my.pitchbook.com?p=418033-00P", "View People Online")</f>
      </c>
    </row>
    <row r="1012">
      <c r="A1012" t="s" s="10">
        <v>8990</v>
      </c>
      <c r="B1012" t="s" s="10">
        <v>8991</v>
      </c>
      <c r="C1012" t="s" s="10">
        <v>34</v>
      </c>
      <c r="D1012" t="s" s="10">
        <v>8992</v>
      </c>
      <c r="E1012" t="s" s="10">
        <v>8116</v>
      </c>
      <c r="F1012" t="s" s="10">
        <v>8993</v>
      </c>
      <c r="G1012" t="s" s="10">
        <v>6542</v>
      </c>
      <c r="H1012" s="16">
        <f>HYPERLINK("http://www.amlakint.com", "www.amlakint.com")</f>
      </c>
      <c r="I1012" t="s" s="10">
        <v>649</v>
      </c>
      <c r="J1012" t="s" s="24">
        <v>34</v>
      </c>
      <c r="K1012" t="s" s="24">
        <v>34</v>
      </c>
      <c r="L1012" t="s" s="24">
        <v>34</v>
      </c>
      <c r="M1012" t="s" s="12">
        <v>34</v>
      </c>
      <c r="N1012" t="s" s="10">
        <v>34</v>
      </c>
      <c r="O1012" t="s" s="10">
        <v>34</v>
      </c>
      <c r="P1012" t="s" s="10">
        <v>34</v>
      </c>
      <c r="Q1012" t="s" s="10">
        <v>34</v>
      </c>
      <c r="R1012" t="s" s="10">
        <v>34</v>
      </c>
      <c r="S1012" t="s" s="10">
        <v>34</v>
      </c>
      <c r="T1012" t="s" s="12">
        <v>34</v>
      </c>
      <c r="U1012" t="s" s="10">
        <v>34</v>
      </c>
      <c r="V1012" t="s" s="12">
        <v>34</v>
      </c>
      <c r="W1012" t="s" s="10">
        <v>8995</v>
      </c>
      <c r="X1012" s="16">
        <f>HYPERLINK("https://my.pitchbook.com?p=60598-90P", "View People Online")</f>
      </c>
    </row>
    <row r="1013">
      <c r="A1013" t="s" s="11">
        <v>8996</v>
      </c>
      <c r="B1013" t="s" s="11">
        <v>8997</v>
      </c>
      <c r="C1013" t="s" s="11">
        <v>34</v>
      </c>
      <c r="D1013" t="s" s="11">
        <v>8998</v>
      </c>
      <c r="E1013" t="s" s="11">
        <v>8116</v>
      </c>
      <c r="F1013" t="s" s="11">
        <v>8999</v>
      </c>
      <c r="G1013" t="s" s="11">
        <v>7280</v>
      </c>
      <c r="H1013" s="17">
        <f>HYPERLINK("http://www.entaingroup.com", "www.entaingroup.com")</f>
      </c>
      <c r="I1013" t="s" s="11">
        <v>9001</v>
      </c>
      <c r="J1013" t="s" s="25">
        <v>34</v>
      </c>
      <c r="K1013" s="25">
        <v>1</v>
      </c>
      <c r="L1013" t="s" s="25">
        <v>34</v>
      </c>
      <c r="M1013" t="s" s="13">
        <v>34</v>
      </c>
      <c r="N1013" t="s" s="11">
        <v>9002</v>
      </c>
      <c r="O1013" t="s" s="11">
        <v>9003</v>
      </c>
      <c r="P1013" t="s" s="11">
        <v>9004</v>
      </c>
      <c r="Q1013" t="s" s="11">
        <v>34</v>
      </c>
      <c r="R1013" t="s" s="11">
        <v>4856</v>
      </c>
      <c r="S1013" t="s" s="11">
        <v>9005</v>
      </c>
      <c r="T1013" t="s" s="13">
        <v>9006</v>
      </c>
      <c r="U1013" t="s" s="11">
        <v>49</v>
      </c>
      <c r="V1013" t="s" s="13">
        <v>34</v>
      </c>
      <c r="W1013" t="s" s="11">
        <v>9007</v>
      </c>
      <c r="X1013" s="17">
        <f>HYPERLINK("https://my.pitchbook.com?p=80035-66P", "View People Online")</f>
      </c>
    </row>
    <row r="1014">
      <c r="A1014" t="s" s="10">
        <v>9008</v>
      </c>
      <c r="B1014" t="s" s="10">
        <v>9009</v>
      </c>
      <c r="C1014" t="s" s="10">
        <v>34</v>
      </c>
      <c r="D1014" t="s" s="10">
        <v>8141</v>
      </c>
      <c r="E1014" t="s" s="10">
        <v>8116</v>
      </c>
      <c r="F1014" t="s" s="10">
        <v>9010</v>
      </c>
      <c r="G1014" t="s" s="10">
        <v>9011</v>
      </c>
      <c r="H1014" s="16">
        <f>HYPERLINK("http://www.aznoula.com", "www.aznoula.com")</f>
      </c>
      <c r="I1014" t="s" s="10">
        <v>234</v>
      </c>
      <c r="J1014" t="s" s="24">
        <v>34</v>
      </c>
      <c r="K1014" s="24">
        <v>1</v>
      </c>
      <c r="L1014" t="s" s="24">
        <v>34</v>
      </c>
      <c r="M1014" t="s" s="12">
        <v>8144</v>
      </c>
      <c r="N1014" t="s" s="10">
        <v>9012</v>
      </c>
      <c r="O1014" t="s" s="10">
        <v>8145</v>
      </c>
      <c r="P1014" t="s" s="10">
        <v>8146</v>
      </c>
      <c r="Q1014" t="s" s="10">
        <v>8147</v>
      </c>
      <c r="R1014" t="s" s="10">
        <v>8148</v>
      </c>
      <c r="S1014" t="s" s="10">
        <v>34</v>
      </c>
      <c r="T1014" t="s" s="12">
        <v>34</v>
      </c>
      <c r="U1014" t="s" s="10">
        <v>1129</v>
      </c>
      <c r="V1014" t="s" s="12">
        <v>34</v>
      </c>
      <c r="W1014" t="s" s="10">
        <v>9013</v>
      </c>
      <c r="X1014" s="16">
        <f>HYPERLINK("https://my.pitchbook.com?p=386267-59P", "View People Online")</f>
      </c>
    </row>
    <row r="1015">
      <c r="A1015" t="s" s="11">
        <v>9014</v>
      </c>
      <c r="B1015" t="s" s="11">
        <v>9015</v>
      </c>
      <c r="C1015" t="s" s="11">
        <v>34</v>
      </c>
      <c r="D1015" t="s" s="11">
        <v>9016</v>
      </c>
      <c r="E1015" t="s" s="11">
        <v>8116</v>
      </c>
      <c r="F1015" t="s" s="11">
        <v>9017</v>
      </c>
      <c r="G1015" t="s" s="11">
        <v>7292</v>
      </c>
      <c r="H1015" s="17">
        <f>HYPERLINK("http://www.dyedurham.com", "www.dyedurham.com")</f>
      </c>
      <c r="I1015" t="s" s="11">
        <v>9019</v>
      </c>
      <c r="J1015" t="s" s="25">
        <v>34</v>
      </c>
      <c r="K1015" s="25">
        <v>2</v>
      </c>
      <c r="L1015" t="s" s="25">
        <v>34</v>
      </c>
      <c r="M1015" t="s" s="13">
        <v>9020</v>
      </c>
      <c r="N1015" t="s" s="11">
        <v>9021</v>
      </c>
      <c r="O1015" t="s" s="11">
        <v>2662</v>
      </c>
      <c r="P1015" t="s" s="11">
        <v>9022</v>
      </c>
      <c r="Q1015" t="s" s="11">
        <v>8073</v>
      </c>
      <c r="R1015" t="s" s="11">
        <v>2665</v>
      </c>
      <c r="S1015" t="s" s="11">
        <v>2138</v>
      </c>
      <c r="T1015" t="s" s="13">
        <v>9023</v>
      </c>
      <c r="U1015" t="s" s="11">
        <v>1613</v>
      </c>
      <c r="V1015" t="s" s="13">
        <v>34</v>
      </c>
      <c r="W1015" t="s" s="11">
        <v>9024</v>
      </c>
      <c r="X1015" s="17">
        <f>HYPERLINK("https://my.pitchbook.com?p=175166-74P", "View People Online")</f>
      </c>
    </row>
    <row r="1016">
      <c r="A1016" t="s" s="10">
        <v>9025</v>
      </c>
      <c r="B1016" t="s" s="10">
        <v>9026</v>
      </c>
      <c r="C1016" t="s" s="10">
        <v>34</v>
      </c>
      <c r="D1016" t="s" s="10">
        <v>9027</v>
      </c>
      <c r="E1016" t="s" s="10">
        <v>8116</v>
      </c>
      <c r="F1016" t="s" s="10">
        <v>9028</v>
      </c>
      <c r="G1016" t="s" s="10">
        <v>9029</v>
      </c>
      <c r="H1016" s="16">
        <f>HYPERLINK("http://www.bankofjordan.com", "www.bankofjordan.com")</f>
      </c>
      <c r="I1016" t="s" s="10">
        <v>649</v>
      </c>
      <c r="J1016" t="s" s="24">
        <v>34</v>
      </c>
      <c r="K1016" t="s" s="24">
        <v>34</v>
      </c>
      <c r="L1016" t="s" s="24">
        <v>34</v>
      </c>
      <c r="M1016" t="s" s="12">
        <v>34</v>
      </c>
      <c r="N1016" t="s" s="10">
        <v>34</v>
      </c>
      <c r="O1016" t="s" s="10">
        <v>34</v>
      </c>
      <c r="P1016" t="s" s="10">
        <v>34</v>
      </c>
      <c r="Q1016" t="s" s="10">
        <v>34</v>
      </c>
      <c r="R1016" t="s" s="10">
        <v>34</v>
      </c>
      <c r="S1016" t="s" s="10">
        <v>34</v>
      </c>
      <c r="T1016" t="s" s="12">
        <v>34</v>
      </c>
      <c r="U1016" t="s" s="10">
        <v>34</v>
      </c>
      <c r="V1016" t="s" s="12">
        <v>34</v>
      </c>
      <c r="W1016" t="s" s="10">
        <v>9031</v>
      </c>
      <c r="X1016" s="16">
        <f>HYPERLINK("https://my.pitchbook.com?p=394898-50P", "View People Online")</f>
      </c>
    </row>
    <row r="1017">
      <c r="A1017" t="s" s="11">
        <v>9032</v>
      </c>
      <c r="B1017" t="s" s="11">
        <v>9033</v>
      </c>
      <c r="C1017" t="s" s="11">
        <v>34</v>
      </c>
      <c r="D1017" t="s" s="11">
        <v>8746</v>
      </c>
      <c r="E1017" t="s" s="11">
        <v>8116</v>
      </c>
      <c r="F1017" t="s" s="11">
        <v>9034</v>
      </c>
      <c r="G1017" t="s" s="11">
        <v>9035</v>
      </c>
      <c r="H1017" s="17">
        <f>HYPERLINK("http://www.unitedholding.com.sa", "www.unitedholding.com.sa")</f>
      </c>
      <c r="I1017" t="s" s="11">
        <v>9036</v>
      </c>
      <c r="J1017" t="s" s="25">
        <v>34</v>
      </c>
      <c r="K1017" s="25">
        <v>1</v>
      </c>
      <c r="L1017" t="s" s="25">
        <v>34</v>
      </c>
      <c r="M1017" t="s" s="13">
        <v>8750</v>
      </c>
      <c r="N1017" t="s" s="11">
        <v>9037</v>
      </c>
      <c r="O1017" t="s" s="11">
        <v>8752</v>
      </c>
      <c r="P1017" t="s" s="11">
        <v>8753</v>
      </c>
      <c r="Q1017" t="s" s="11">
        <v>8754</v>
      </c>
      <c r="R1017" t="s" s="11">
        <v>8755</v>
      </c>
      <c r="S1017" t="s" s="11">
        <v>8756</v>
      </c>
      <c r="T1017" t="s" s="13">
        <v>8757</v>
      </c>
      <c r="U1017" t="s" s="11">
        <v>3074</v>
      </c>
      <c r="V1017" t="s" s="13">
        <v>8758</v>
      </c>
      <c r="W1017" t="s" s="11">
        <v>9038</v>
      </c>
      <c r="X1017" s="17">
        <f>HYPERLINK("https://my.pitchbook.com?p=418037-50P", "View People Online")</f>
      </c>
    </row>
    <row r="1018">
      <c r="A1018" t="s" s="10">
        <v>9039</v>
      </c>
      <c r="B1018" t="s" s="10">
        <v>9040</v>
      </c>
      <c r="C1018" t="s" s="10">
        <v>34</v>
      </c>
      <c r="D1018" t="s" s="10">
        <v>9041</v>
      </c>
      <c r="E1018" t="s" s="10">
        <v>8116</v>
      </c>
      <c r="F1018" t="s" s="10">
        <v>9042</v>
      </c>
      <c r="G1018" t="s" s="10">
        <v>9043</v>
      </c>
      <c r="H1018" s="16">
        <f>HYPERLINK("http://www.aldar.com", "www.aldar.com")</f>
      </c>
      <c r="I1018" t="s" s="10">
        <v>649</v>
      </c>
      <c r="J1018" s="24">
        <v>3</v>
      </c>
      <c r="K1018" s="24">
        <v>3</v>
      </c>
      <c r="L1018" t="s" s="24">
        <v>34</v>
      </c>
      <c r="M1018" t="s" s="12">
        <v>9045</v>
      </c>
      <c r="N1018" t="s" s="10">
        <v>34</v>
      </c>
      <c r="O1018" t="s" s="10">
        <v>385</v>
      </c>
      <c r="P1018" t="s" s="10">
        <v>9046</v>
      </c>
      <c r="Q1018" t="s" s="10">
        <v>34</v>
      </c>
      <c r="R1018" t="s" s="10">
        <v>388</v>
      </c>
      <c r="S1018" t="s" s="10">
        <v>34</v>
      </c>
      <c r="T1018" t="s" s="12">
        <v>34</v>
      </c>
      <c r="U1018" t="s" s="10">
        <v>240</v>
      </c>
      <c r="V1018" t="s" s="12">
        <v>34</v>
      </c>
      <c r="W1018" t="s" s="10">
        <v>9047</v>
      </c>
      <c r="X1018" s="16">
        <f>HYPERLINK("https://my.pitchbook.com?p=282148-48P", "View People Online")</f>
      </c>
    </row>
    <row r="1019">
      <c r="A1019" t="s" s="11">
        <v>9048</v>
      </c>
      <c r="B1019" t="s" s="11">
        <v>9049</v>
      </c>
      <c r="C1019" t="s" s="11">
        <v>34</v>
      </c>
      <c r="D1019" t="s" s="11">
        <v>9050</v>
      </c>
      <c r="E1019" t="s" s="11">
        <v>8116</v>
      </c>
      <c r="F1019" t="s" s="11">
        <v>9051</v>
      </c>
      <c r="G1019" t="s" s="11">
        <v>9052</v>
      </c>
      <c r="H1019" s="17">
        <f>HYPERLINK("http://www.gulf.co.th", "www.gulf.co.th")</f>
      </c>
      <c r="I1019" t="s" s="11">
        <v>649</v>
      </c>
      <c r="J1019" t="s" s="25">
        <v>34</v>
      </c>
      <c r="K1019" t="s" s="25">
        <v>34</v>
      </c>
      <c r="L1019" t="s" s="25">
        <v>34</v>
      </c>
      <c r="M1019" t="s" s="13">
        <v>34</v>
      </c>
      <c r="N1019" t="s" s="11">
        <v>34</v>
      </c>
      <c r="O1019" t="s" s="11">
        <v>34</v>
      </c>
      <c r="P1019" t="s" s="11">
        <v>34</v>
      </c>
      <c r="Q1019" t="s" s="11">
        <v>34</v>
      </c>
      <c r="R1019" t="s" s="11">
        <v>34</v>
      </c>
      <c r="S1019" t="s" s="11">
        <v>34</v>
      </c>
      <c r="T1019" t="s" s="13">
        <v>34</v>
      </c>
      <c r="U1019" t="s" s="11">
        <v>34</v>
      </c>
      <c r="V1019" t="s" s="13">
        <v>34</v>
      </c>
      <c r="W1019" t="s" s="11">
        <v>9054</v>
      </c>
      <c r="X1019" s="17">
        <f>HYPERLINK("https://my.pitchbook.com?p=284253-13P", "View People Online")</f>
      </c>
    </row>
    <row r="1020">
      <c r="A1020" t="s" s="10">
        <v>9055</v>
      </c>
      <c r="B1020" t="s" s="10">
        <v>9056</v>
      </c>
      <c r="C1020" t="s" s="10">
        <v>34</v>
      </c>
      <c r="D1020" t="s" s="10">
        <v>9057</v>
      </c>
      <c r="E1020" t="s" s="10">
        <v>8116</v>
      </c>
      <c r="F1020" t="s" s="10">
        <v>9058</v>
      </c>
      <c r="G1020" t="s" s="10">
        <v>252</v>
      </c>
      <c r="H1020" s="16">
        <f>HYPERLINK("http://www.shoulderinnovations.com", "www.shoulderinnovations.com")</f>
      </c>
      <c r="I1020" t="s" s="10">
        <v>57</v>
      </c>
      <c r="J1020" t="s" s="24">
        <v>34</v>
      </c>
      <c r="K1020" s="24">
        <v>1</v>
      </c>
      <c r="L1020" t="s" s="24">
        <v>34</v>
      </c>
      <c r="M1020" t="s" s="12">
        <v>9060</v>
      </c>
      <c r="N1020" t="s" s="10">
        <v>34</v>
      </c>
      <c r="O1020" t="s" s="10">
        <v>9061</v>
      </c>
      <c r="P1020" t="s" s="10">
        <v>9062</v>
      </c>
      <c r="Q1020" t="s" s="10">
        <v>9063</v>
      </c>
      <c r="R1020" t="s" s="10">
        <v>9064</v>
      </c>
      <c r="S1020" t="s" s="10">
        <v>9065</v>
      </c>
      <c r="T1020" t="s" s="12">
        <v>9066</v>
      </c>
      <c r="U1020" t="s" s="10">
        <v>88</v>
      </c>
      <c r="V1020" t="s" s="12">
        <v>9067</v>
      </c>
      <c r="W1020" t="s" s="10">
        <v>9068</v>
      </c>
      <c r="X1020" s="16">
        <f>HYPERLINK("https://my.pitchbook.com?p=100583-11P", "View People Online")</f>
      </c>
    </row>
    <row r="1021">
      <c r="A1021" t="s" s="11">
        <v>9069</v>
      </c>
      <c r="B1021" t="s" s="11">
        <v>9070</v>
      </c>
      <c r="C1021" t="s" s="11">
        <v>34</v>
      </c>
      <c r="D1021" t="s" s="11">
        <v>8355</v>
      </c>
      <c r="E1021" t="s" s="11">
        <v>8116</v>
      </c>
      <c r="F1021" t="s" s="11">
        <v>7261</v>
      </c>
      <c r="G1021" t="s" s="11">
        <v>9071</v>
      </c>
      <c r="H1021" s="17">
        <f>HYPERLINK("http://www.chimerareit.com", "www.chimerareit.com")</f>
      </c>
      <c r="I1021" t="s" s="11">
        <v>9072</v>
      </c>
      <c r="J1021" t="s" s="25">
        <v>34</v>
      </c>
      <c r="K1021" s="25">
        <v>1</v>
      </c>
      <c r="L1021" t="s" s="25">
        <v>34</v>
      </c>
      <c r="M1021" t="s" s="13">
        <v>8358</v>
      </c>
      <c r="N1021" t="s" s="11">
        <v>9073</v>
      </c>
      <c r="O1021" t="s" s="11">
        <v>84</v>
      </c>
      <c r="P1021" t="s" s="11">
        <v>8359</v>
      </c>
      <c r="Q1021" t="s" s="11">
        <v>8360</v>
      </c>
      <c r="R1021" t="s" s="11">
        <v>86</v>
      </c>
      <c r="S1021" t="s" s="11">
        <v>86</v>
      </c>
      <c r="T1021" t="s" s="13">
        <v>8361</v>
      </c>
      <c r="U1021" t="s" s="11">
        <v>88</v>
      </c>
      <c r="V1021" t="s" s="13">
        <v>34</v>
      </c>
      <c r="W1021" t="s" s="11">
        <v>9074</v>
      </c>
      <c r="X1021" s="17">
        <f>HYPERLINK("https://my.pitchbook.com?p=280912-15P", "View People Online")</f>
      </c>
    </row>
    <row r="1022">
      <c r="A1022" t="s" s="10">
        <v>9075</v>
      </c>
      <c r="B1022" t="s" s="10">
        <v>9076</v>
      </c>
      <c r="C1022" t="s" s="10">
        <v>34</v>
      </c>
      <c r="D1022" t="s" s="10">
        <v>9077</v>
      </c>
      <c r="E1022" t="s" s="10">
        <v>8116</v>
      </c>
      <c r="F1022" t="s" s="10">
        <v>9078</v>
      </c>
      <c r="G1022" t="s" s="10">
        <v>915</v>
      </c>
      <c r="H1022" s="16">
        <f>HYPERLINK("http://www.adnocgas.ae", "www.adnocgas.ae")</f>
      </c>
      <c r="I1022" t="s" s="10">
        <v>2321</v>
      </c>
      <c r="J1022" s="24">
        <v>4</v>
      </c>
      <c r="K1022" s="24">
        <v>4</v>
      </c>
      <c r="L1022" t="s" s="24">
        <v>34</v>
      </c>
      <c r="M1022" t="s" s="12">
        <v>9080</v>
      </c>
      <c r="N1022" t="s" s="10">
        <v>9081</v>
      </c>
      <c r="O1022" t="s" s="10">
        <v>385</v>
      </c>
      <c r="P1022" t="s" s="10">
        <v>9082</v>
      </c>
      <c r="Q1022" t="s" s="10">
        <v>9083</v>
      </c>
      <c r="R1022" t="s" s="10">
        <v>388</v>
      </c>
      <c r="S1022" t="s" s="10">
        <v>34</v>
      </c>
      <c r="T1022" t="s" s="12">
        <v>34</v>
      </c>
      <c r="U1022" t="s" s="10">
        <v>240</v>
      </c>
      <c r="V1022" t="s" s="12">
        <v>34</v>
      </c>
      <c r="W1022" t="s" s="10">
        <v>9084</v>
      </c>
      <c r="X1022" s="16">
        <f>HYPERLINK("https://my.pitchbook.com?p=338507-56P", "View People Online")</f>
      </c>
    </row>
    <row r="1023">
      <c r="A1023" t="s" s="11">
        <v>9085</v>
      </c>
      <c r="B1023" t="s" s="11">
        <v>9086</v>
      </c>
      <c r="C1023" t="s" s="11">
        <v>34</v>
      </c>
      <c r="D1023" t="s" s="11">
        <v>8526</v>
      </c>
      <c r="E1023" t="s" s="11">
        <v>8116</v>
      </c>
      <c r="F1023" t="s" s="11">
        <v>9087</v>
      </c>
      <c r="G1023" t="s" s="11">
        <v>9088</v>
      </c>
      <c r="H1023" s="17">
        <f>HYPERLINK("http://www.ihcuae.com", "www.ihcuae.com")</f>
      </c>
      <c r="I1023" t="s" s="11">
        <v>9089</v>
      </c>
      <c r="J1023" s="25">
        <v>3</v>
      </c>
      <c r="K1023" s="25">
        <v>24</v>
      </c>
      <c r="L1023" s="25">
        <v>16</v>
      </c>
      <c r="M1023" t="s" s="13">
        <v>9090</v>
      </c>
      <c r="N1023" t="s" s="11">
        <v>34</v>
      </c>
      <c r="O1023" t="s" s="11">
        <v>9091</v>
      </c>
      <c r="P1023" t="s" s="11">
        <v>9092</v>
      </c>
      <c r="Q1023" t="s" s="11">
        <v>34</v>
      </c>
      <c r="R1023" t="s" s="11">
        <v>9093</v>
      </c>
      <c r="S1023" t="s" s="11">
        <v>34</v>
      </c>
      <c r="T1023" t="s" s="13">
        <v>9094</v>
      </c>
      <c r="U1023" t="s" s="11">
        <v>3107</v>
      </c>
      <c r="V1023" t="s" s="13">
        <v>34</v>
      </c>
      <c r="W1023" t="s" s="11">
        <v>9095</v>
      </c>
      <c r="X1023" s="17">
        <f>HYPERLINK("https://my.pitchbook.com?p=243309-25P", "View People Online")</f>
      </c>
    </row>
    <row r="1024">
      <c r="A1024" t="s" s="10">
        <v>9096</v>
      </c>
      <c r="B1024" t="s" s="10">
        <v>9097</v>
      </c>
      <c r="C1024" t="s" s="10">
        <v>34</v>
      </c>
      <c r="D1024" t="s" s="10">
        <v>9098</v>
      </c>
      <c r="E1024" t="s" s="10">
        <v>8116</v>
      </c>
      <c r="F1024" t="s" s="10">
        <v>9099</v>
      </c>
      <c r="G1024" t="s" s="10">
        <v>9100</v>
      </c>
      <c r="H1024" s="16">
        <f>HYPERLINK("http://www.pwcc.cl", "www.pwcc.cl")</f>
      </c>
      <c r="I1024" t="s" s="10">
        <v>322</v>
      </c>
      <c r="J1024" t="s" s="24">
        <v>34</v>
      </c>
      <c r="K1024" t="s" s="24">
        <v>34</v>
      </c>
      <c r="L1024" t="s" s="24">
        <v>34</v>
      </c>
      <c r="M1024" t="s" s="12">
        <v>34</v>
      </c>
      <c r="N1024" t="s" s="10">
        <v>34</v>
      </c>
      <c r="O1024" t="s" s="10">
        <v>34</v>
      </c>
      <c r="P1024" t="s" s="10">
        <v>34</v>
      </c>
      <c r="Q1024" t="s" s="10">
        <v>34</v>
      </c>
      <c r="R1024" t="s" s="10">
        <v>34</v>
      </c>
      <c r="S1024" t="s" s="10">
        <v>34</v>
      </c>
      <c r="T1024" t="s" s="12">
        <v>34</v>
      </c>
      <c r="U1024" t="s" s="10">
        <v>34</v>
      </c>
      <c r="V1024" t="s" s="12">
        <v>34</v>
      </c>
      <c r="W1024" t="s" s="10">
        <v>9101</v>
      </c>
      <c r="X1024" s="16">
        <f>HYPERLINK("https://my.pitchbook.com?p=357070-87P", "View People Online")</f>
      </c>
    </row>
    <row r="1025">
      <c r="A1025" t="s" s="11">
        <v>9102</v>
      </c>
      <c r="B1025" t="s" s="11">
        <v>9103</v>
      </c>
      <c r="C1025" t="s" s="11">
        <v>34</v>
      </c>
      <c r="D1025" t="s" s="11">
        <v>9104</v>
      </c>
      <c r="E1025" t="s" s="11">
        <v>8116</v>
      </c>
      <c r="F1025" t="s" s="11">
        <v>9105</v>
      </c>
      <c r="G1025" t="s" s="11">
        <v>9106</v>
      </c>
      <c r="H1025" s="17">
        <f>HYPERLINK("http://www.tekmargroup.com", "www.tekmargroup.com")</f>
      </c>
      <c r="I1025" t="s" s="11">
        <v>9108</v>
      </c>
      <c r="J1025" t="s" s="25">
        <v>34</v>
      </c>
      <c r="K1025" s="25">
        <v>1</v>
      </c>
      <c r="L1025" t="s" s="25">
        <v>34</v>
      </c>
      <c r="M1025" t="s" s="13">
        <v>9109</v>
      </c>
      <c r="N1025" t="s" s="11">
        <v>34</v>
      </c>
      <c r="O1025" t="s" s="11">
        <v>9110</v>
      </c>
      <c r="P1025" t="s" s="11">
        <v>9111</v>
      </c>
      <c r="Q1025" t="s" s="11">
        <v>9112</v>
      </c>
      <c r="R1025" t="s" s="11">
        <v>9113</v>
      </c>
      <c r="S1025" t="s" s="11">
        <v>47</v>
      </c>
      <c r="T1025" t="s" s="13">
        <v>9114</v>
      </c>
      <c r="U1025" t="s" s="11">
        <v>49</v>
      </c>
      <c r="V1025" t="s" s="13">
        <v>34</v>
      </c>
      <c r="W1025" t="s" s="11">
        <v>9115</v>
      </c>
      <c r="X1025" s="17">
        <f>HYPERLINK("https://my.pitchbook.com?p=436722-85P", "View People Online")</f>
      </c>
    </row>
    <row r="1026">
      <c r="A1026" t="s" s="10">
        <v>9116</v>
      </c>
      <c r="B1026" t="s" s="10">
        <v>9117</v>
      </c>
      <c r="C1026" t="s" s="10">
        <v>34</v>
      </c>
      <c r="D1026" t="s" s="10">
        <v>8833</v>
      </c>
      <c r="E1026" t="s" s="10">
        <v>8116</v>
      </c>
      <c r="F1026" t="s" s="10">
        <v>9118</v>
      </c>
      <c r="G1026" t="s" s="10">
        <v>93</v>
      </c>
      <c r="H1026" s="16">
        <f>HYPERLINK("http://www.presight.ai", "www.presight.ai")</f>
      </c>
      <c r="I1026" t="s" s="10">
        <v>3618</v>
      </c>
      <c r="J1026" s="24">
        <v>1</v>
      </c>
      <c r="K1026" s="24">
        <v>7</v>
      </c>
      <c r="L1026" s="24">
        <v>6</v>
      </c>
      <c r="M1026" t="s" s="12">
        <v>34</v>
      </c>
      <c r="N1026" t="s" s="10">
        <v>9119</v>
      </c>
      <c r="O1026" t="s" s="10">
        <v>385</v>
      </c>
      <c r="P1026" t="s" s="10">
        <v>8837</v>
      </c>
      <c r="Q1026" t="s" s="10">
        <v>387</v>
      </c>
      <c r="R1026" t="s" s="10">
        <v>388</v>
      </c>
      <c r="S1026" t="s" s="10">
        <v>34</v>
      </c>
      <c r="T1026" t="s" s="12">
        <v>34</v>
      </c>
      <c r="U1026" t="s" s="10">
        <v>240</v>
      </c>
      <c r="V1026" t="s" s="12">
        <v>34</v>
      </c>
      <c r="W1026" t="s" s="10">
        <v>9120</v>
      </c>
      <c r="X1026" s="16">
        <f>HYPERLINK("https://my.pitchbook.com?p=339004-36P", "View People Online")</f>
      </c>
    </row>
    <row r="1027">
      <c r="A1027" t="s" s="11">
        <v>9121</v>
      </c>
      <c r="B1027" t="s" s="11">
        <v>9122</v>
      </c>
      <c r="C1027" t="s" s="11">
        <v>34</v>
      </c>
      <c r="D1027" t="s" s="11">
        <v>8607</v>
      </c>
      <c r="E1027" t="s" s="11">
        <v>8116</v>
      </c>
      <c r="F1027" t="s" s="11">
        <v>2700</v>
      </c>
      <c r="G1027" t="s" s="11">
        <v>9123</v>
      </c>
      <c r="H1027" s="17">
        <f>HYPERLINK("http://www.scg.com", "www.scg.com")</f>
      </c>
      <c r="I1027" t="s" s="11">
        <v>649</v>
      </c>
      <c r="J1027" s="25">
        <v>2</v>
      </c>
      <c r="K1027" s="25">
        <v>2</v>
      </c>
      <c r="L1027" t="s" s="25">
        <v>34</v>
      </c>
      <c r="M1027" t="s" s="13">
        <v>8611</v>
      </c>
      <c r="N1027" t="s" s="11">
        <v>34</v>
      </c>
      <c r="O1027" t="s" s="11">
        <v>1140</v>
      </c>
      <c r="P1027" t="s" s="11">
        <v>8612</v>
      </c>
      <c r="Q1027" t="s" s="11">
        <v>8613</v>
      </c>
      <c r="R1027" t="s" s="11">
        <v>1143</v>
      </c>
      <c r="S1027" t="s" s="11">
        <v>34</v>
      </c>
      <c r="T1027" t="s" s="13">
        <v>2681</v>
      </c>
      <c r="U1027" t="s" s="11">
        <v>1145</v>
      </c>
      <c r="V1027" t="s" s="13">
        <v>8614</v>
      </c>
      <c r="W1027" t="s" s="11">
        <v>9124</v>
      </c>
      <c r="X1027" s="17">
        <f>HYPERLINK("https://my.pitchbook.com?p=285622-66P", "View People Online")</f>
      </c>
    </row>
    <row r="1028">
      <c r="A1028" t="s" s="10">
        <v>9125</v>
      </c>
      <c r="B1028" t="s" s="10">
        <v>9126</v>
      </c>
      <c r="C1028" t="s" s="10">
        <v>34</v>
      </c>
      <c r="D1028" t="s" s="10">
        <v>9127</v>
      </c>
      <c r="E1028" t="s" s="10">
        <v>8116</v>
      </c>
      <c r="F1028" t="s" s="10">
        <v>9128</v>
      </c>
      <c r="G1028" t="s" s="10">
        <v>9129</v>
      </c>
      <c r="H1028" s="16">
        <f>HYPERLINK("http://www.ibs.inc", "www.ibs.inc")</f>
      </c>
      <c r="I1028" t="s" s="10">
        <v>649</v>
      </c>
      <c r="J1028" t="s" s="24">
        <v>34</v>
      </c>
      <c r="K1028" t="s" s="24">
        <v>34</v>
      </c>
      <c r="L1028" t="s" s="24">
        <v>34</v>
      </c>
      <c r="M1028" t="s" s="12">
        <v>34</v>
      </c>
      <c r="N1028" t="s" s="10">
        <v>34</v>
      </c>
      <c r="O1028" t="s" s="10">
        <v>34</v>
      </c>
      <c r="P1028" t="s" s="10">
        <v>34</v>
      </c>
      <c r="Q1028" t="s" s="10">
        <v>34</v>
      </c>
      <c r="R1028" t="s" s="10">
        <v>34</v>
      </c>
      <c r="S1028" t="s" s="10">
        <v>34</v>
      </c>
      <c r="T1028" t="s" s="12">
        <v>34</v>
      </c>
      <c r="U1028" t="s" s="10">
        <v>34</v>
      </c>
      <c r="V1028" t="s" s="12">
        <v>34</v>
      </c>
      <c r="W1028" t="s" s="10">
        <v>9131</v>
      </c>
      <c r="X1028" s="16">
        <f>HYPERLINK("https://my.pitchbook.com?p=249213-16P", "View People Online")</f>
      </c>
    </row>
    <row r="1029">
      <c r="A1029" t="s" s="11">
        <v>9132</v>
      </c>
      <c r="B1029" t="s" s="11">
        <v>9133</v>
      </c>
      <c r="C1029" t="s" s="11">
        <v>34</v>
      </c>
      <c r="D1029" t="s" s="11">
        <v>9134</v>
      </c>
      <c r="E1029" t="s" s="11">
        <v>8116</v>
      </c>
      <c r="F1029" t="s" s="11">
        <v>9135</v>
      </c>
      <c r="G1029" t="s" s="11">
        <v>1787</v>
      </c>
      <c r="H1029" s="17">
        <f>HYPERLINK("http://www.genprex.com", "www.genprex.com")</f>
      </c>
      <c r="I1029" t="s" s="11">
        <v>649</v>
      </c>
      <c r="J1029" t="s" s="25">
        <v>34</v>
      </c>
      <c r="K1029" t="s" s="25">
        <v>34</v>
      </c>
      <c r="L1029" t="s" s="25">
        <v>34</v>
      </c>
      <c r="M1029" t="s" s="13">
        <v>34</v>
      </c>
      <c r="N1029" t="s" s="11">
        <v>34</v>
      </c>
      <c r="O1029" t="s" s="11">
        <v>34</v>
      </c>
      <c r="P1029" t="s" s="11">
        <v>34</v>
      </c>
      <c r="Q1029" t="s" s="11">
        <v>34</v>
      </c>
      <c r="R1029" t="s" s="11">
        <v>34</v>
      </c>
      <c r="S1029" t="s" s="11">
        <v>34</v>
      </c>
      <c r="T1029" t="s" s="13">
        <v>34</v>
      </c>
      <c r="U1029" t="s" s="11">
        <v>34</v>
      </c>
      <c r="V1029" t="s" s="13">
        <v>34</v>
      </c>
      <c r="W1029" t="s" s="11">
        <v>9137</v>
      </c>
      <c r="X1029" s="17">
        <f>HYPERLINK("https://my.pitchbook.com?p=94902-85P", "View People Online")</f>
      </c>
    </row>
    <row r="1030">
      <c r="A1030" t="s" s="10">
        <v>9138</v>
      </c>
      <c r="B1030" t="s" s="10">
        <v>9139</v>
      </c>
      <c r="C1030" t="s" s="10">
        <v>34</v>
      </c>
      <c r="D1030" t="s" s="10">
        <v>9140</v>
      </c>
      <c r="E1030" t="s" s="10">
        <v>8116</v>
      </c>
      <c r="F1030" t="s" s="10">
        <v>9141</v>
      </c>
      <c r="G1030" t="s" s="10">
        <v>9142</v>
      </c>
      <c r="H1030" s="16">
        <f>HYPERLINK("http://www.boydgaming.com", "www.boydgaming.com")</f>
      </c>
      <c r="I1030" t="s" s="10">
        <v>9108</v>
      </c>
      <c r="J1030" t="s" s="24">
        <v>34</v>
      </c>
      <c r="K1030" s="24">
        <v>1</v>
      </c>
      <c r="L1030" t="s" s="24">
        <v>34</v>
      </c>
      <c r="M1030" t="s" s="12">
        <v>9144</v>
      </c>
      <c r="N1030" t="s" s="10">
        <v>9145</v>
      </c>
      <c r="O1030" t="s" s="10">
        <v>9146</v>
      </c>
      <c r="P1030" t="s" s="10">
        <v>9147</v>
      </c>
      <c r="Q1030" t="s" s="10">
        <v>34</v>
      </c>
      <c r="R1030" t="s" s="10">
        <v>9148</v>
      </c>
      <c r="S1030" t="s" s="10">
        <v>9149</v>
      </c>
      <c r="T1030" t="s" s="12">
        <v>9150</v>
      </c>
      <c r="U1030" t="s" s="10">
        <v>88</v>
      </c>
      <c r="V1030" t="s" s="12">
        <v>34</v>
      </c>
      <c r="W1030" t="s" s="10">
        <v>9151</v>
      </c>
      <c r="X1030" s="16">
        <f>HYPERLINK("https://my.pitchbook.com?p=203412-25P", "View People Online")</f>
      </c>
    </row>
    <row r="1031">
      <c r="A1031" t="s" s="11">
        <v>9152</v>
      </c>
      <c r="B1031" t="s" s="11">
        <v>9153</v>
      </c>
      <c r="C1031" t="s" s="11">
        <v>34</v>
      </c>
      <c r="D1031" t="s" s="11">
        <v>9154</v>
      </c>
      <c r="E1031" t="s" s="11">
        <v>8116</v>
      </c>
      <c r="F1031" t="s" s="11">
        <v>9155</v>
      </c>
      <c r="G1031" t="s" s="11">
        <v>9156</v>
      </c>
      <c r="H1031" t="s" s="11">
        <v>34</v>
      </c>
      <c r="I1031" t="s" s="11">
        <v>649</v>
      </c>
      <c r="J1031" s="25">
        <v>2</v>
      </c>
      <c r="K1031" s="25">
        <v>2</v>
      </c>
      <c r="L1031" t="s" s="25">
        <v>34</v>
      </c>
      <c r="M1031" t="s" s="13">
        <v>9157</v>
      </c>
      <c r="N1031" t="s" s="11">
        <v>34</v>
      </c>
      <c r="O1031" t="s" s="11">
        <v>9158</v>
      </c>
      <c r="P1031" t="s" s="11">
        <v>9159</v>
      </c>
      <c r="Q1031" t="s" s="11">
        <v>5320</v>
      </c>
      <c r="R1031" t="s" s="11">
        <v>9160</v>
      </c>
      <c r="S1031" t="s" s="11">
        <v>2156</v>
      </c>
      <c r="T1031" t="s" s="13">
        <v>9161</v>
      </c>
      <c r="U1031" t="s" s="11">
        <v>88</v>
      </c>
      <c r="V1031" t="s" s="13">
        <v>34</v>
      </c>
      <c r="W1031" t="s" s="11">
        <v>9162</v>
      </c>
      <c r="X1031" s="17">
        <f>HYPERLINK("https://my.pitchbook.com?p=128366-65P", "View People Online")</f>
      </c>
    </row>
    <row r="1032">
      <c r="A1032" t="s" s="10">
        <v>9163</v>
      </c>
      <c r="B1032" t="s" s="10">
        <v>9164</v>
      </c>
      <c r="C1032" t="s" s="10">
        <v>34</v>
      </c>
      <c r="D1032" t="s" s="10">
        <v>9165</v>
      </c>
      <c r="E1032" t="s" s="10">
        <v>8116</v>
      </c>
      <c r="F1032" t="s" s="10">
        <v>9166</v>
      </c>
      <c r="G1032" t="s" s="10">
        <v>9167</v>
      </c>
      <c r="H1032" s="16">
        <f>HYPERLINK("http://www.bluebik.com", "www.bluebik.com")</f>
      </c>
      <c r="I1032" t="s" s="10">
        <v>649</v>
      </c>
      <c r="J1032" s="24">
        <v>1</v>
      </c>
      <c r="K1032" s="24">
        <v>1</v>
      </c>
      <c r="L1032" t="s" s="24">
        <v>34</v>
      </c>
      <c r="M1032" t="s" s="12">
        <v>9169</v>
      </c>
      <c r="N1032" t="s" s="10">
        <v>34</v>
      </c>
      <c r="O1032" t="s" s="10">
        <v>1140</v>
      </c>
      <c r="P1032" t="s" s="10">
        <v>9170</v>
      </c>
      <c r="Q1032" t="s" s="10">
        <v>9171</v>
      </c>
      <c r="R1032" t="s" s="10">
        <v>1143</v>
      </c>
      <c r="S1032" t="s" s="10">
        <v>34</v>
      </c>
      <c r="T1032" t="s" s="12">
        <v>34</v>
      </c>
      <c r="U1032" t="s" s="10">
        <v>1145</v>
      </c>
      <c r="V1032" t="s" s="12">
        <v>34</v>
      </c>
      <c r="W1032" t="s" s="10">
        <v>9172</v>
      </c>
      <c r="X1032" s="16">
        <f>HYPERLINK("https://my.pitchbook.com?p=322712-83P", "View People Online")</f>
      </c>
    </row>
    <row r="1033">
      <c r="A1033" t="s" s="11">
        <v>9173</v>
      </c>
      <c r="B1033" t="s" s="11">
        <v>9174</v>
      </c>
      <c r="C1033" t="s" s="11">
        <v>34</v>
      </c>
      <c r="D1033" t="s" s="11">
        <v>9175</v>
      </c>
      <c r="E1033" t="s" s="11">
        <v>8116</v>
      </c>
      <c r="F1033" t="s" s="11">
        <v>9176</v>
      </c>
      <c r="G1033" t="s" s="11">
        <v>9177</v>
      </c>
      <c r="H1033" s="17">
        <f>HYPERLINK("http://www.sasol.com", "www.sasol.com")</f>
      </c>
      <c r="I1033" t="s" s="11">
        <v>9179</v>
      </c>
      <c r="J1033" s="25">
        <v>1</v>
      </c>
      <c r="K1033" s="25">
        <v>1</v>
      </c>
      <c r="L1033" t="s" s="25">
        <v>34</v>
      </c>
      <c r="M1033" t="s" s="13">
        <v>9180</v>
      </c>
      <c r="N1033" t="s" s="11">
        <v>34</v>
      </c>
      <c r="O1033" t="s" s="11">
        <v>9181</v>
      </c>
      <c r="P1033" t="s" s="11">
        <v>9182</v>
      </c>
      <c r="Q1033" t="s" s="11">
        <v>9183</v>
      </c>
      <c r="R1033" t="s" s="11">
        <v>7759</v>
      </c>
      <c r="S1033" t="s" s="11">
        <v>34</v>
      </c>
      <c r="T1033" t="s" s="13">
        <v>9184</v>
      </c>
      <c r="U1033" t="s" s="11">
        <v>2284</v>
      </c>
      <c r="V1033" t="s" s="13">
        <v>34</v>
      </c>
      <c r="W1033" t="s" s="11">
        <v>9185</v>
      </c>
      <c r="X1033" s="17">
        <f>HYPERLINK("https://my.pitchbook.com?p=217604-89P", "View People Online")</f>
      </c>
    </row>
    <row r="1034">
      <c r="A1034" t="s" s="10">
        <v>9186</v>
      </c>
      <c r="B1034" t="s" s="10">
        <v>9187</v>
      </c>
      <c r="C1034" t="s" s="10">
        <v>34</v>
      </c>
      <c r="D1034" t="s" s="10">
        <v>9188</v>
      </c>
      <c r="E1034" t="s" s="10">
        <v>8116</v>
      </c>
      <c r="F1034" t="s" s="10">
        <v>3080</v>
      </c>
      <c r="G1034" t="s" s="10">
        <v>9189</v>
      </c>
      <c r="H1034" s="16">
        <f>HYPERLINK("http://www.ooredoo.qa", "www.ooredoo.qa")</f>
      </c>
      <c r="I1034" t="s" s="10">
        <v>9191</v>
      </c>
      <c r="J1034" t="s" s="24">
        <v>34</v>
      </c>
      <c r="K1034" s="24">
        <v>1</v>
      </c>
      <c r="L1034" t="s" s="24">
        <v>34</v>
      </c>
      <c r="M1034" t="s" s="12">
        <v>9192</v>
      </c>
      <c r="N1034" t="s" s="10">
        <v>9193</v>
      </c>
      <c r="O1034" t="s" s="10">
        <v>59</v>
      </c>
      <c r="P1034" t="s" s="10">
        <v>2336</v>
      </c>
      <c r="Q1034" t="s" s="10">
        <v>9194</v>
      </c>
      <c r="R1034" t="s" s="10">
        <v>62</v>
      </c>
      <c r="S1034" t="s" s="10">
        <v>34</v>
      </c>
      <c r="T1034" t="s" s="12">
        <v>34</v>
      </c>
      <c r="U1034" t="s" s="10">
        <v>64</v>
      </c>
      <c r="V1034" t="s" s="12">
        <v>9195</v>
      </c>
      <c r="W1034" t="s" s="10">
        <v>9196</v>
      </c>
      <c r="X1034" s="16">
        <f>HYPERLINK("https://my.pitchbook.com?p=175416-85P", "View People Online")</f>
      </c>
    </row>
    <row r="1035">
      <c r="A1035" t="s" s="11">
        <v>9197</v>
      </c>
      <c r="B1035" t="s" s="11">
        <v>9198</v>
      </c>
      <c r="C1035" t="s" s="11">
        <v>34</v>
      </c>
      <c r="D1035" t="s" s="11">
        <v>9199</v>
      </c>
      <c r="E1035" t="s" s="11">
        <v>8116</v>
      </c>
      <c r="F1035" t="s" s="11">
        <v>769</v>
      </c>
      <c r="G1035" t="s" s="11">
        <v>9200</v>
      </c>
      <c r="H1035" s="17">
        <f>HYPERLINK("http://www.ffc.com.pk", "www.ffc.com.pk")</f>
      </c>
      <c r="I1035" t="s" s="11">
        <v>1073</v>
      </c>
      <c r="J1035" s="25">
        <v>2</v>
      </c>
      <c r="K1035" s="25">
        <v>2</v>
      </c>
      <c r="L1035" t="s" s="25">
        <v>34</v>
      </c>
      <c r="M1035" t="s" s="13">
        <v>9202</v>
      </c>
      <c r="N1035" t="s" s="11">
        <v>34</v>
      </c>
      <c r="O1035" t="s" s="11">
        <v>9203</v>
      </c>
      <c r="P1035" t="s" s="11">
        <v>9204</v>
      </c>
      <c r="Q1035" t="s" s="11">
        <v>34</v>
      </c>
      <c r="R1035" t="s" s="11">
        <v>9205</v>
      </c>
      <c r="S1035" t="s" s="11">
        <v>9206</v>
      </c>
      <c r="T1035" t="s" s="13">
        <v>9207</v>
      </c>
      <c r="U1035" t="s" s="11">
        <v>9208</v>
      </c>
      <c r="V1035" t="s" s="13">
        <v>9209</v>
      </c>
      <c r="W1035" t="s" s="11">
        <v>9210</v>
      </c>
      <c r="X1035" s="17">
        <f>HYPERLINK("https://my.pitchbook.com?p=241406-47P", "View People Online")</f>
      </c>
    </row>
    <row r="1036">
      <c r="A1036" t="s" s="10">
        <v>9211</v>
      </c>
      <c r="B1036" t="s" s="10">
        <v>9212</v>
      </c>
      <c r="C1036" t="s" s="10">
        <v>34</v>
      </c>
      <c r="D1036" t="s" s="10">
        <v>9213</v>
      </c>
      <c r="E1036" t="s" s="10">
        <v>8116</v>
      </c>
      <c r="F1036" t="s" s="10">
        <v>8301</v>
      </c>
      <c r="G1036" t="s" s="10">
        <v>9214</v>
      </c>
      <c r="H1036" s="16">
        <f>HYPERLINK("http://www.acbel.com", "www.acbel.com")</f>
      </c>
      <c r="I1036" t="s" s="10">
        <v>649</v>
      </c>
      <c r="J1036" s="24">
        <v>2</v>
      </c>
      <c r="K1036" s="24">
        <v>2</v>
      </c>
      <c r="L1036" t="s" s="24">
        <v>34</v>
      </c>
      <c r="M1036" t="s" s="12">
        <v>9216</v>
      </c>
      <c r="N1036" t="s" s="10">
        <v>9217</v>
      </c>
      <c r="O1036" t="s" s="10">
        <v>9218</v>
      </c>
      <c r="P1036" t="s" s="10">
        <v>9219</v>
      </c>
      <c r="Q1036" t="s" s="10">
        <v>9220</v>
      </c>
      <c r="R1036" t="s" s="10">
        <v>9221</v>
      </c>
      <c r="S1036" t="s" s="10">
        <v>34</v>
      </c>
      <c r="T1036" t="s" s="12">
        <v>9222</v>
      </c>
      <c r="U1036" t="s" s="10">
        <v>8327</v>
      </c>
      <c r="V1036" t="s" s="12">
        <v>9223</v>
      </c>
      <c r="W1036" t="s" s="10">
        <v>9224</v>
      </c>
      <c r="X1036" s="16">
        <f>HYPERLINK("https://my.pitchbook.com?p=389858-95P", "View People Online")</f>
      </c>
    </row>
    <row r="1037">
      <c r="A1037" t="s" s="11">
        <v>9225</v>
      </c>
      <c r="B1037" t="s" s="11">
        <v>9226</v>
      </c>
      <c r="C1037" t="s" s="11">
        <v>34</v>
      </c>
      <c r="D1037" t="s" s="11">
        <v>9227</v>
      </c>
      <c r="E1037" t="s" s="11">
        <v>8116</v>
      </c>
      <c r="F1037" t="s" s="11">
        <v>9228</v>
      </c>
      <c r="G1037" t="s" s="11">
        <v>1151</v>
      </c>
      <c r="H1037" s="17">
        <f>HYPERLINK("http://www.hydroone.com", "www.hydroone.com")</f>
      </c>
      <c r="I1037" t="s" s="11">
        <v>649</v>
      </c>
      <c r="J1037" t="s" s="25">
        <v>34</v>
      </c>
      <c r="K1037" t="s" s="25">
        <v>34</v>
      </c>
      <c r="L1037" t="s" s="25">
        <v>34</v>
      </c>
      <c r="M1037" t="s" s="13">
        <v>34</v>
      </c>
      <c r="N1037" t="s" s="11">
        <v>34</v>
      </c>
      <c r="O1037" t="s" s="11">
        <v>34</v>
      </c>
      <c r="P1037" t="s" s="11">
        <v>34</v>
      </c>
      <c r="Q1037" t="s" s="11">
        <v>34</v>
      </c>
      <c r="R1037" t="s" s="11">
        <v>34</v>
      </c>
      <c r="S1037" t="s" s="11">
        <v>34</v>
      </c>
      <c r="T1037" t="s" s="13">
        <v>34</v>
      </c>
      <c r="U1037" t="s" s="11">
        <v>34</v>
      </c>
      <c r="V1037" t="s" s="13">
        <v>34</v>
      </c>
      <c r="W1037" t="s" s="11">
        <v>9230</v>
      </c>
      <c r="X1037" s="17">
        <f>HYPERLINK("https://my.pitchbook.com?p=267480-64P", "View People Online")</f>
      </c>
    </row>
    <row r="1038">
      <c r="A1038" t="s" s="10">
        <v>9231</v>
      </c>
      <c r="B1038" t="s" s="10">
        <v>9232</v>
      </c>
      <c r="C1038" t="s" s="10">
        <v>34</v>
      </c>
      <c r="D1038" t="s" s="10">
        <v>8332</v>
      </c>
      <c r="E1038" t="s" s="10">
        <v>8116</v>
      </c>
      <c r="F1038" t="s" s="10">
        <v>8334</v>
      </c>
      <c r="G1038" t="s" s="10">
        <v>8333</v>
      </c>
      <c r="H1038" s="16">
        <f>HYPERLINK("http://www.chimerareit.com", "www.chimerareit.com")</f>
      </c>
      <c r="I1038" t="s" s="10">
        <v>1358</v>
      </c>
      <c r="J1038" t="s" s="24">
        <v>34</v>
      </c>
      <c r="K1038" t="s" s="24">
        <v>34</v>
      </c>
      <c r="L1038" t="s" s="24">
        <v>34</v>
      </c>
      <c r="M1038" t="s" s="12">
        <v>9233</v>
      </c>
      <c r="N1038" t="s" s="10">
        <v>34</v>
      </c>
      <c r="O1038" t="s" s="10">
        <v>34</v>
      </c>
      <c r="P1038" t="s" s="10">
        <v>34</v>
      </c>
      <c r="Q1038" t="s" s="10">
        <v>34</v>
      </c>
      <c r="R1038" t="s" s="10">
        <v>34</v>
      </c>
      <c r="S1038" t="s" s="10">
        <v>34</v>
      </c>
      <c r="T1038" t="s" s="12">
        <v>34</v>
      </c>
      <c r="U1038" t="s" s="10">
        <v>34</v>
      </c>
      <c r="V1038" t="s" s="12">
        <v>34</v>
      </c>
      <c r="W1038" t="s" s="10">
        <v>9234</v>
      </c>
      <c r="X1038" s="16">
        <f>HYPERLINK("https://my.pitchbook.com?p=136886-32P", "View People Online")</f>
      </c>
    </row>
    <row r="1039">
      <c r="A1039" t="s" s="11">
        <v>9235</v>
      </c>
      <c r="B1039" t="s" s="11">
        <v>9236</v>
      </c>
      <c r="C1039" t="s" s="11">
        <v>34</v>
      </c>
      <c r="D1039" t="s" s="11">
        <v>9237</v>
      </c>
      <c r="E1039" t="s" s="11">
        <v>9238</v>
      </c>
      <c r="F1039" t="s" s="11">
        <v>9239</v>
      </c>
      <c r="G1039" t="s" s="11">
        <v>253</v>
      </c>
      <c r="H1039" s="17">
        <f>HYPERLINK("http://www.eapf.org.uk", "www.eapf.org.uk")</f>
      </c>
      <c r="I1039" t="s" s="11">
        <v>649</v>
      </c>
      <c r="J1039" s="25">
        <v>1</v>
      </c>
      <c r="K1039" s="25">
        <v>1</v>
      </c>
      <c r="L1039" t="s" s="25">
        <v>34</v>
      </c>
      <c r="M1039" t="s" s="13">
        <v>9241</v>
      </c>
      <c r="N1039" t="s" s="11">
        <v>34</v>
      </c>
      <c r="O1039" t="s" s="11">
        <v>9242</v>
      </c>
      <c r="P1039" t="s" s="11">
        <v>9243</v>
      </c>
      <c r="Q1039" t="s" s="11">
        <v>34</v>
      </c>
      <c r="R1039" t="s" s="11">
        <v>9244</v>
      </c>
      <c r="S1039" t="s" s="11">
        <v>47</v>
      </c>
      <c r="T1039" t="s" s="13">
        <v>9245</v>
      </c>
      <c r="U1039" t="s" s="11">
        <v>49</v>
      </c>
      <c r="V1039" t="s" s="13">
        <v>34</v>
      </c>
      <c r="W1039" t="s" s="11">
        <v>9246</v>
      </c>
      <c r="X1039" s="17">
        <f>HYPERLINK("https://my.pitchbook.com?p=254069-83P", "View People Online")</f>
      </c>
    </row>
    <row r="1040">
      <c r="A1040" t="s" s="10">
        <v>9247</v>
      </c>
      <c r="B1040" t="s" s="10">
        <v>9248</v>
      </c>
      <c r="C1040" t="s" s="10">
        <v>34</v>
      </c>
      <c r="D1040" t="s" s="10">
        <v>9249</v>
      </c>
      <c r="E1040" t="s" s="10">
        <v>9238</v>
      </c>
      <c r="F1040" t="s" s="10">
        <v>9250</v>
      </c>
      <c r="G1040" t="s" s="10">
        <v>2877</v>
      </c>
      <c r="H1040" s="16">
        <f>HYPERLINK("http://www.nshepp.ca", "www.nshepp.ca")</f>
      </c>
      <c r="I1040" t="s" s="10">
        <v>322</v>
      </c>
      <c r="J1040" t="s" s="24">
        <v>34</v>
      </c>
      <c r="K1040" s="24">
        <v>1</v>
      </c>
      <c r="L1040" t="s" s="24">
        <v>34</v>
      </c>
      <c r="M1040" t="s" s="12">
        <v>9252</v>
      </c>
      <c r="N1040" t="s" s="10">
        <v>9253</v>
      </c>
      <c r="O1040" t="s" s="10">
        <v>9254</v>
      </c>
      <c r="P1040" t="s" s="10">
        <v>9255</v>
      </c>
      <c r="Q1040" t="s" s="10">
        <v>9256</v>
      </c>
      <c r="R1040" t="s" s="10">
        <v>9257</v>
      </c>
      <c r="S1040" t="s" s="10">
        <v>4654</v>
      </c>
      <c r="T1040" t="s" s="12">
        <v>9258</v>
      </c>
      <c r="U1040" t="s" s="10">
        <v>1613</v>
      </c>
      <c r="V1040" t="s" s="12">
        <v>9259</v>
      </c>
      <c r="W1040" t="s" s="10">
        <v>9260</v>
      </c>
      <c r="X1040" s="16">
        <f>HYPERLINK("https://my.pitchbook.com?p=64589-14P", "View People Online")</f>
      </c>
    </row>
    <row r="1041">
      <c r="A1041" t="s" s="11">
        <v>9261</v>
      </c>
      <c r="B1041" t="s" s="11">
        <v>9262</v>
      </c>
      <c r="C1041" t="s" s="11">
        <v>34</v>
      </c>
      <c r="D1041" t="s" s="11">
        <v>9263</v>
      </c>
      <c r="E1041" t="s" s="11">
        <v>9264</v>
      </c>
      <c r="F1041" t="s" s="11">
        <v>9265</v>
      </c>
      <c r="G1041" t="s" s="11">
        <v>9266</v>
      </c>
      <c r="H1041" s="17">
        <f>HYPERLINK("http://www.shamal.com", "www.shamal.com")</f>
      </c>
      <c r="I1041" t="s" s="11">
        <v>322</v>
      </c>
      <c r="J1041" t="s" s="25">
        <v>34</v>
      </c>
      <c r="K1041" s="25">
        <v>3</v>
      </c>
      <c r="L1041" s="25">
        <v>2</v>
      </c>
      <c r="M1041" t="s" s="13">
        <v>34</v>
      </c>
      <c r="N1041" t="s" s="11">
        <v>34</v>
      </c>
      <c r="O1041" t="s" s="11">
        <v>236</v>
      </c>
      <c r="P1041" t="s" s="11">
        <v>9268</v>
      </c>
      <c r="Q1041" t="s" s="11">
        <v>9269</v>
      </c>
      <c r="R1041" t="s" s="11">
        <v>239</v>
      </c>
      <c r="S1041" t="s" s="11">
        <v>34</v>
      </c>
      <c r="T1041" t="s" s="13">
        <v>34</v>
      </c>
      <c r="U1041" t="s" s="11">
        <v>240</v>
      </c>
      <c r="V1041" t="s" s="13">
        <v>34</v>
      </c>
      <c r="W1041" t="s" s="11">
        <v>9270</v>
      </c>
      <c r="X1041" s="17">
        <f>HYPERLINK("https://my.pitchbook.com?p=377790-40P", "View People Online")</f>
      </c>
    </row>
    <row r="1042">
      <c r="A1042" t="s" s="10">
        <v>9271</v>
      </c>
      <c r="B1042" t="s" s="10">
        <v>9272</v>
      </c>
      <c r="C1042" t="s" s="10">
        <v>34</v>
      </c>
      <c r="D1042" t="s" s="10">
        <v>9273</v>
      </c>
      <c r="E1042" t="s" s="10">
        <v>9264</v>
      </c>
      <c r="F1042" t="s" s="10">
        <v>9274</v>
      </c>
      <c r="G1042" t="s" s="10">
        <v>9275</v>
      </c>
      <c r="H1042" s="16">
        <f>HYPERLINK("http://www.zabeel-investments.com", "www.zabeel-investments.com")</f>
      </c>
      <c r="I1042" t="s" s="10">
        <v>649</v>
      </c>
      <c r="J1042" t="s" s="24">
        <v>34</v>
      </c>
      <c r="K1042" t="s" s="24">
        <v>34</v>
      </c>
      <c r="L1042" t="s" s="24">
        <v>34</v>
      </c>
      <c r="M1042" t="s" s="12">
        <v>34</v>
      </c>
      <c r="N1042" t="s" s="10">
        <v>34</v>
      </c>
      <c r="O1042" t="s" s="10">
        <v>34</v>
      </c>
      <c r="P1042" t="s" s="10">
        <v>34</v>
      </c>
      <c r="Q1042" t="s" s="10">
        <v>34</v>
      </c>
      <c r="R1042" t="s" s="10">
        <v>34</v>
      </c>
      <c r="S1042" t="s" s="10">
        <v>34</v>
      </c>
      <c r="T1042" t="s" s="12">
        <v>34</v>
      </c>
      <c r="U1042" t="s" s="10">
        <v>34</v>
      </c>
      <c r="V1042" t="s" s="12">
        <v>34</v>
      </c>
      <c r="W1042" t="s" s="10">
        <v>9277</v>
      </c>
      <c r="X1042" s="16">
        <f>HYPERLINK("https://my.pitchbook.com?p=121279-96P", "View People Online")</f>
      </c>
    </row>
    <row r="1043">
      <c r="A1043" t="s" s="11">
        <v>9278</v>
      </c>
      <c r="B1043" t="s" s="11">
        <v>9279</v>
      </c>
      <c r="C1043" t="s" s="11">
        <v>34</v>
      </c>
      <c r="D1043" t="s" s="11">
        <v>9280</v>
      </c>
      <c r="E1043" t="s" s="11">
        <v>9264</v>
      </c>
      <c r="F1043" t="s" s="11">
        <v>9281</v>
      </c>
      <c r="G1043" t="s" s="11">
        <v>1492</v>
      </c>
      <c r="H1043" s="17">
        <f>HYPERLINK("http://groupe-cdc-habitat.com", "groupe-cdc-habitat.com")</f>
      </c>
      <c r="I1043" t="s" s="11">
        <v>9283</v>
      </c>
      <c r="J1043" s="25">
        <v>1</v>
      </c>
      <c r="K1043" s="25">
        <v>2</v>
      </c>
      <c r="L1043" s="25">
        <v>1</v>
      </c>
      <c r="M1043" t="s" s="13">
        <v>9284</v>
      </c>
      <c r="N1043" t="s" s="11">
        <v>34</v>
      </c>
      <c r="O1043" t="s" s="11">
        <v>9285</v>
      </c>
      <c r="P1043" t="s" s="11">
        <v>9286</v>
      </c>
      <c r="Q1043" t="s" s="11">
        <v>34</v>
      </c>
      <c r="R1043" t="s" s="11">
        <v>9287</v>
      </c>
      <c r="S1043" t="s" s="11">
        <v>34</v>
      </c>
      <c r="T1043" t="s" s="13">
        <v>9288</v>
      </c>
      <c r="U1043" t="s" s="11">
        <v>2172</v>
      </c>
      <c r="V1043" t="s" s="13">
        <v>9289</v>
      </c>
      <c r="W1043" t="s" s="11">
        <v>9290</v>
      </c>
      <c r="X1043" s="17">
        <f>HYPERLINK("https://my.pitchbook.com?p=148529-53P", "View People Online")</f>
      </c>
    </row>
    <row r="1044">
      <c r="A1044" t="s" s="10">
        <v>9291</v>
      </c>
      <c r="B1044" t="s" s="10">
        <v>9292</v>
      </c>
      <c r="C1044" t="s" s="10">
        <v>34</v>
      </c>
      <c r="D1044" t="s" s="10">
        <v>9293</v>
      </c>
      <c r="E1044" t="s" s="10">
        <v>9264</v>
      </c>
      <c r="F1044" t="s" s="10">
        <v>9294</v>
      </c>
      <c r="G1044" t="s" s="10">
        <v>2147</v>
      </c>
      <c r="H1044" s="16">
        <f>HYPERLINK("http://www.grandcityproperties.com", "www.grandcityproperties.com")</f>
      </c>
      <c r="I1044" t="s" s="10">
        <v>1121</v>
      </c>
      <c r="J1044" s="24">
        <v>1</v>
      </c>
      <c r="K1044" s="24">
        <v>1</v>
      </c>
      <c r="L1044" t="s" s="24">
        <v>34</v>
      </c>
      <c r="M1044" t="s" s="12">
        <v>9296</v>
      </c>
      <c r="N1044" t="s" s="10">
        <v>34</v>
      </c>
      <c r="O1044" t="s" s="10">
        <v>3339</v>
      </c>
      <c r="P1044" t="s" s="10">
        <v>9297</v>
      </c>
      <c r="Q1044" t="s" s="10">
        <v>34</v>
      </c>
      <c r="R1044" t="s" s="10">
        <v>3341</v>
      </c>
      <c r="S1044" t="s" s="10">
        <v>34</v>
      </c>
      <c r="T1044" t="s" s="12">
        <v>9298</v>
      </c>
      <c r="U1044" t="s" s="10">
        <v>3341</v>
      </c>
      <c r="V1044" t="s" s="12">
        <v>34</v>
      </c>
      <c r="W1044" t="s" s="10">
        <v>9299</v>
      </c>
      <c r="X1044" s="16">
        <f>HYPERLINK("https://my.pitchbook.com?p=236149-75P", "View People Online")</f>
      </c>
    </row>
    <row r="1045">
      <c r="A1045" t="s" s="11">
        <v>9300</v>
      </c>
      <c r="B1045" t="s" s="11">
        <v>9301</v>
      </c>
      <c r="C1045" t="s" s="11">
        <v>34</v>
      </c>
      <c r="D1045" t="s" s="11">
        <v>9302</v>
      </c>
      <c r="E1045" t="s" s="11">
        <v>9264</v>
      </c>
      <c r="F1045" t="s" s="11">
        <v>9303</v>
      </c>
      <c r="G1045" t="s" s="11">
        <v>9304</v>
      </c>
      <c r="H1045" s="17">
        <f>HYPERLINK("http://www.ihcfunds.com", "www.ihcfunds.com")</f>
      </c>
      <c r="I1045" t="s" s="11">
        <v>9191</v>
      </c>
      <c r="J1045" t="s" s="25">
        <v>34</v>
      </c>
      <c r="K1045" s="25">
        <v>1</v>
      </c>
      <c r="L1045" t="s" s="25">
        <v>34</v>
      </c>
      <c r="M1045" t="s" s="13">
        <v>9306</v>
      </c>
      <c r="N1045" t="s" s="11">
        <v>9307</v>
      </c>
      <c r="O1045" t="s" s="11">
        <v>4351</v>
      </c>
      <c r="P1045" t="s" s="11">
        <v>9308</v>
      </c>
      <c r="Q1045" t="s" s="11">
        <v>5320</v>
      </c>
      <c r="R1045" t="s" s="11">
        <v>4354</v>
      </c>
      <c r="S1045" t="s" s="11">
        <v>3582</v>
      </c>
      <c r="T1045" t="s" s="13">
        <v>4355</v>
      </c>
      <c r="U1045" t="s" s="11">
        <v>88</v>
      </c>
      <c r="V1045" t="s" s="13">
        <v>34</v>
      </c>
      <c r="W1045" t="s" s="11">
        <v>9309</v>
      </c>
      <c r="X1045" s="17">
        <f>HYPERLINK("https://my.pitchbook.com?p=428570-38P", "View People Online")</f>
      </c>
    </row>
    <row r="1046">
      <c r="A1046" t="s" s="10">
        <v>9310</v>
      </c>
      <c r="B1046" t="s" s="10">
        <v>9311</v>
      </c>
      <c r="C1046" t="s" s="10">
        <v>34</v>
      </c>
      <c r="D1046" t="s" s="10">
        <v>9273</v>
      </c>
      <c r="E1046" t="s" s="10">
        <v>9264</v>
      </c>
      <c r="F1046" t="s" s="10">
        <v>9312</v>
      </c>
      <c r="G1046" t="s" s="10">
        <v>9313</v>
      </c>
      <c r="H1046" s="16">
        <f>HYPERLINK("http://www.zabeel-investments.com", "www.zabeel-investments.com")</f>
      </c>
      <c r="I1046" t="s" s="10">
        <v>649</v>
      </c>
      <c r="J1046" t="s" s="24">
        <v>34</v>
      </c>
      <c r="K1046" t="s" s="24">
        <v>34</v>
      </c>
      <c r="L1046" t="s" s="24">
        <v>34</v>
      </c>
      <c r="M1046" t="s" s="12">
        <v>34</v>
      </c>
      <c r="N1046" t="s" s="10">
        <v>34</v>
      </c>
      <c r="O1046" t="s" s="10">
        <v>34</v>
      </c>
      <c r="P1046" t="s" s="10">
        <v>34</v>
      </c>
      <c r="Q1046" t="s" s="10">
        <v>34</v>
      </c>
      <c r="R1046" t="s" s="10">
        <v>34</v>
      </c>
      <c r="S1046" t="s" s="10">
        <v>34</v>
      </c>
      <c r="T1046" t="s" s="12">
        <v>34</v>
      </c>
      <c r="U1046" t="s" s="10">
        <v>34</v>
      </c>
      <c r="V1046" t="s" s="12">
        <v>34</v>
      </c>
      <c r="W1046" t="s" s="10">
        <v>9314</v>
      </c>
      <c r="X1046" s="16">
        <f>HYPERLINK("https://my.pitchbook.com?p=121280-23P", "View People Online")</f>
      </c>
    </row>
    <row r="1047">
      <c r="A1047" t="s" s="11">
        <v>9315</v>
      </c>
      <c r="B1047" t="s" s="11">
        <v>9316</v>
      </c>
      <c r="C1047" t="s" s="11">
        <v>34</v>
      </c>
      <c r="D1047" t="s" s="11">
        <v>9273</v>
      </c>
      <c r="E1047" t="s" s="11">
        <v>9264</v>
      </c>
      <c r="F1047" t="s" s="11">
        <v>9317</v>
      </c>
      <c r="G1047" t="s" s="11">
        <v>9318</v>
      </c>
      <c r="H1047" s="17">
        <f>HYPERLINK("http://www.zabeel-investments.com", "www.zabeel-investments.com")</f>
      </c>
      <c r="I1047" t="s" s="11">
        <v>649</v>
      </c>
      <c r="J1047" t="s" s="25">
        <v>34</v>
      </c>
      <c r="K1047" t="s" s="25">
        <v>34</v>
      </c>
      <c r="L1047" t="s" s="25">
        <v>34</v>
      </c>
      <c r="M1047" t="s" s="13">
        <v>34</v>
      </c>
      <c r="N1047" t="s" s="11">
        <v>34</v>
      </c>
      <c r="O1047" t="s" s="11">
        <v>34</v>
      </c>
      <c r="P1047" t="s" s="11">
        <v>34</v>
      </c>
      <c r="Q1047" t="s" s="11">
        <v>34</v>
      </c>
      <c r="R1047" t="s" s="11">
        <v>34</v>
      </c>
      <c r="S1047" t="s" s="11">
        <v>34</v>
      </c>
      <c r="T1047" t="s" s="13">
        <v>34</v>
      </c>
      <c r="U1047" t="s" s="11">
        <v>34</v>
      </c>
      <c r="V1047" t="s" s="13">
        <v>34</v>
      </c>
      <c r="W1047" t="s" s="11">
        <v>9319</v>
      </c>
      <c r="X1047" s="17">
        <f>HYPERLINK("https://my.pitchbook.com?p=153989-65P", "View People Online")</f>
      </c>
    </row>
    <row r="1048">
      <c r="A1048" t="s" s="10">
        <v>9320</v>
      </c>
      <c r="B1048" t="s" s="10">
        <v>9321</v>
      </c>
      <c r="C1048" t="s" s="10">
        <v>34</v>
      </c>
      <c r="D1048" t="s" s="10">
        <v>9322</v>
      </c>
      <c r="E1048" t="s" s="10">
        <v>9264</v>
      </c>
      <c r="F1048" t="s" s="10">
        <v>9323</v>
      </c>
      <c r="G1048" t="s" s="10">
        <v>9324</v>
      </c>
      <c r="H1048" s="16">
        <f>HYPERLINK("http://groupe-cdc-habitat.com", "groupe-cdc-habitat.com")</f>
      </c>
      <c r="I1048" t="s" s="10">
        <v>34</v>
      </c>
      <c r="J1048" t="s" s="24">
        <v>34</v>
      </c>
      <c r="K1048" t="s" s="24">
        <v>34</v>
      </c>
      <c r="L1048" t="s" s="24">
        <v>34</v>
      </c>
      <c r="M1048" t="s" s="12">
        <v>34</v>
      </c>
      <c r="N1048" t="s" s="10">
        <v>34</v>
      </c>
      <c r="O1048" t="s" s="10">
        <v>34</v>
      </c>
      <c r="P1048" t="s" s="10">
        <v>34</v>
      </c>
      <c r="Q1048" t="s" s="10">
        <v>34</v>
      </c>
      <c r="R1048" t="s" s="10">
        <v>34</v>
      </c>
      <c r="S1048" t="s" s="10">
        <v>34</v>
      </c>
      <c r="T1048" t="s" s="12">
        <v>34</v>
      </c>
      <c r="U1048" t="s" s="10">
        <v>34</v>
      </c>
      <c r="V1048" t="s" s="12">
        <v>34</v>
      </c>
      <c r="W1048" t="s" s="10">
        <v>9325</v>
      </c>
      <c r="X1048" s="16">
        <f>HYPERLINK("https://my.pitchbook.com?p=148531-69P", "View People Online")</f>
      </c>
    </row>
    <row r="1049">
      <c r="A1049" t="s" s="11">
        <v>9326</v>
      </c>
      <c r="B1049" t="s" s="11">
        <v>9327</v>
      </c>
      <c r="C1049" t="s" s="11">
        <v>34</v>
      </c>
      <c r="D1049" t="s" s="11">
        <v>9328</v>
      </c>
      <c r="E1049" t="s" s="11">
        <v>9264</v>
      </c>
      <c r="F1049" t="s" s="11">
        <v>9329</v>
      </c>
      <c r="G1049" t="s" s="11">
        <v>1875</v>
      </c>
      <c r="H1049" s="17">
        <f>HYPERLINK("http://www.lxireit.com", "www.lxireit.com")</f>
      </c>
      <c r="I1049" t="s" s="11">
        <v>649</v>
      </c>
      <c r="J1049" t="s" s="25">
        <v>34</v>
      </c>
      <c r="K1049" t="s" s="25">
        <v>34</v>
      </c>
      <c r="L1049" t="s" s="25">
        <v>34</v>
      </c>
      <c r="M1049" t="s" s="13">
        <v>34</v>
      </c>
      <c r="N1049" t="s" s="11">
        <v>34</v>
      </c>
      <c r="O1049" t="s" s="11">
        <v>43</v>
      </c>
      <c r="P1049" t="s" s="11">
        <v>9331</v>
      </c>
      <c r="Q1049" t="s" s="11">
        <v>34</v>
      </c>
      <c r="R1049" t="s" s="11">
        <v>46</v>
      </c>
      <c r="S1049" t="s" s="11">
        <v>47</v>
      </c>
      <c r="T1049" t="s" s="13">
        <v>9332</v>
      </c>
      <c r="U1049" t="s" s="11">
        <v>49</v>
      </c>
      <c r="V1049" t="s" s="13">
        <v>34</v>
      </c>
      <c r="W1049" t="s" s="11">
        <v>9333</v>
      </c>
      <c r="X1049" s="17">
        <f>HYPERLINK("https://my.pitchbook.com?p=294468-94P", "View People Online")</f>
      </c>
    </row>
    <row r="1050">
      <c r="A1050" t="s" s="10">
        <v>9334</v>
      </c>
      <c r="B1050" t="s" s="10">
        <v>9335</v>
      </c>
      <c r="C1050" t="s" s="10">
        <v>34</v>
      </c>
      <c r="D1050" t="s" s="10">
        <v>9336</v>
      </c>
      <c r="E1050" t="s" s="10">
        <v>9264</v>
      </c>
      <c r="F1050" t="s" s="10">
        <v>9337</v>
      </c>
      <c r="G1050" t="s" s="10">
        <v>620</v>
      </c>
      <c r="H1050" s="16">
        <f>HYPERLINK("http://www.cysinv.com", "www.cysinv.com")</f>
      </c>
      <c r="I1050" t="s" s="10">
        <v>9339</v>
      </c>
      <c r="J1050" t="s" s="24">
        <v>34</v>
      </c>
      <c r="K1050" t="s" s="24">
        <v>34</v>
      </c>
      <c r="L1050" t="s" s="24">
        <v>34</v>
      </c>
      <c r="M1050" t="s" s="12">
        <v>34</v>
      </c>
      <c r="N1050" t="s" s="10">
        <v>34</v>
      </c>
      <c r="O1050" t="s" s="10">
        <v>34</v>
      </c>
      <c r="P1050" t="s" s="10">
        <v>34</v>
      </c>
      <c r="Q1050" t="s" s="10">
        <v>34</v>
      </c>
      <c r="R1050" t="s" s="10">
        <v>34</v>
      </c>
      <c r="S1050" t="s" s="10">
        <v>34</v>
      </c>
      <c r="T1050" t="s" s="12">
        <v>34</v>
      </c>
      <c r="U1050" t="s" s="10">
        <v>34</v>
      </c>
      <c r="V1050" t="s" s="12">
        <v>34</v>
      </c>
      <c r="W1050" t="s" s="10">
        <v>9340</v>
      </c>
      <c r="X1050" s="16">
        <f>HYPERLINK("https://my.pitchbook.com?p=163538-65P", "View People Online")</f>
      </c>
    </row>
    <row r="1051">
      <c r="A1051" t="s" s="11">
        <v>9341</v>
      </c>
      <c r="B1051" t="s" s="11">
        <v>9342</v>
      </c>
      <c r="C1051" t="s" s="11">
        <v>34</v>
      </c>
      <c r="D1051" t="s" s="11">
        <v>9263</v>
      </c>
      <c r="E1051" t="s" s="11">
        <v>9264</v>
      </c>
      <c r="F1051" t="s" s="11">
        <v>9343</v>
      </c>
      <c r="G1051" t="s" s="11">
        <v>330</v>
      </c>
      <c r="H1051" s="17">
        <f>HYPERLINK("http://www.shamal.com", "www.shamal.com")</f>
      </c>
      <c r="I1051" t="s" s="11">
        <v>255</v>
      </c>
      <c r="J1051" t="s" s="25">
        <v>34</v>
      </c>
      <c r="K1051" s="25">
        <v>2</v>
      </c>
      <c r="L1051" s="25">
        <v>1</v>
      </c>
      <c r="M1051" t="s" s="13">
        <v>34</v>
      </c>
      <c r="N1051" t="s" s="11">
        <v>34</v>
      </c>
      <c r="O1051" t="s" s="11">
        <v>236</v>
      </c>
      <c r="P1051" t="s" s="11">
        <v>9268</v>
      </c>
      <c r="Q1051" t="s" s="11">
        <v>9269</v>
      </c>
      <c r="R1051" t="s" s="11">
        <v>239</v>
      </c>
      <c r="S1051" t="s" s="11">
        <v>34</v>
      </c>
      <c r="T1051" t="s" s="13">
        <v>34</v>
      </c>
      <c r="U1051" t="s" s="11">
        <v>240</v>
      </c>
      <c r="V1051" t="s" s="13">
        <v>34</v>
      </c>
      <c r="W1051" t="s" s="11">
        <v>9344</v>
      </c>
      <c r="X1051" s="17">
        <f>HYPERLINK("https://my.pitchbook.com?p=327713-77P", "View People Online")</f>
      </c>
    </row>
    <row r="1052">
      <c r="A1052" t="s" s="10">
        <v>9345</v>
      </c>
      <c r="B1052" t="s" s="10">
        <v>9346</v>
      </c>
      <c r="C1052" t="s" s="10">
        <v>34</v>
      </c>
      <c r="D1052" t="s" s="10">
        <v>9273</v>
      </c>
      <c r="E1052" t="s" s="10">
        <v>9264</v>
      </c>
      <c r="F1052" t="s" s="10">
        <v>5619</v>
      </c>
      <c r="G1052" t="s" s="10">
        <v>9347</v>
      </c>
      <c r="H1052" s="16">
        <f>HYPERLINK("http://www.zabeel-investments.com", "www.zabeel-investments.com")</f>
      </c>
      <c r="I1052" t="s" s="10">
        <v>649</v>
      </c>
      <c r="J1052" t="s" s="24">
        <v>34</v>
      </c>
      <c r="K1052" s="24">
        <v>1</v>
      </c>
      <c r="L1052" s="24">
        <v>1</v>
      </c>
      <c r="M1052" t="s" s="12">
        <v>34</v>
      </c>
      <c r="N1052" t="s" s="10">
        <v>34</v>
      </c>
      <c r="O1052" t="s" s="10">
        <v>34</v>
      </c>
      <c r="P1052" t="s" s="10">
        <v>34</v>
      </c>
      <c r="Q1052" t="s" s="10">
        <v>34</v>
      </c>
      <c r="R1052" t="s" s="10">
        <v>34</v>
      </c>
      <c r="S1052" t="s" s="10">
        <v>34</v>
      </c>
      <c r="T1052" t="s" s="12">
        <v>34</v>
      </c>
      <c r="U1052" t="s" s="10">
        <v>34</v>
      </c>
      <c r="V1052" t="s" s="12">
        <v>34</v>
      </c>
      <c r="W1052" t="s" s="10">
        <v>9348</v>
      </c>
      <c r="X1052" s="16">
        <f>HYPERLINK("https://my.pitchbook.com?p=142960-60P", "View People Online")</f>
      </c>
    </row>
    <row r="1053">
      <c r="A1053" t="s" s="11">
        <v>9349</v>
      </c>
      <c r="B1053" t="s" s="11">
        <v>9350</v>
      </c>
      <c r="C1053" t="s" s="11">
        <v>34</v>
      </c>
      <c r="D1053" t="s" s="11">
        <v>9280</v>
      </c>
      <c r="E1053" t="s" s="11">
        <v>9264</v>
      </c>
      <c r="F1053" t="s" s="11">
        <v>9351</v>
      </c>
      <c r="G1053" t="s" s="11">
        <v>9352</v>
      </c>
      <c r="H1053" s="17">
        <f>HYPERLINK("http://groupe-cdc-habitat.com", "groupe-cdc-habitat.com")</f>
      </c>
      <c r="I1053" t="s" s="11">
        <v>9353</v>
      </c>
      <c r="J1053" s="25">
        <v>1</v>
      </c>
      <c r="K1053" s="25">
        <v>1</v>
      </c>
      <c r="L1053" t="s" s="25">
        <v>34</v>
      </c>
      <c r="M1053" t="s" s="13">
        <v>9284</v>
      </c>
      <c r="N1053" t="s" s="11">
        <v>34</v>
      </c>
      <c r="O1053" t="s" s="11">
        <v>9285</v>
      </c>
      <c r="P1053" t="s" s="11">
        <v>9286</v>
      </c>
      <c r="Q1053" t="s" s="11">
        <v>34</v>
      </c>
      <c r="R1053" t="s" s="11">
        <v>9287</v>
      </c>
      <c r="S1053" t="s" s="11">
        <v>34</v>
      </c>
      <c r="T1053" t="s" s="13">
        <v>9288</v>
      </c>
      <c r="U1053" t="s" s="11">
        <v>2172</v>
      </c>
      <c r="V1053" t="s" s="13">
        <v>9289</v>
      </c>
      <c r="W1053" t="s" s="11">
        <v>9354</v>
      </c>
      <c r="X1053" s="17">
        <f>HYPERLINK("https://my.pitchbook.com?p=148528-90P", "View People Online")</f>
      </c>
    </row>
    <row r="1054">
      <c r="A1054" t="s" s="10">
        <v>9355</v>
      </c>
      <c r="B1054" t="s" s="10">
        <v>3326</v>
      </c>
      <c r="C1054" t="s" s="10">
        <v>34</v>
      </c>
      <c r="D1054" t="s" s="10">
        <v>9356</v>
      </c>
      <c r="E1054" t="s" s="10">
        <v>9264</v>
      </c>
      <c r="F1054" t="s" s="10">
        <v>3328</v>
      </c>
      <c r="G1054" t="s" s="10">
        <v>3329</v>
      </c>
      <c r="H1054" s="16">
        <f>HYPERLINK("http://www.gxpag.com", "www.gxpag.com")</f>
      </c>
      <c r="I1054" t="s" s="10">
        <v>322</v>
      </c>
      <c r="J1054" t="s" s="24">
        <v>34</v>
      </c>
      <c r="K1054" t="s" s="24">
        <v>34</v>
      </c>
      <c r="L1054" t="s" s="24">
        <v>34</v>
      </c>
      <c r="M1054" t="s" s="12">
        <v>34</v>
      </c>
      <c r="N1054" t="s" s="10">
        <v>34</v>
      </c>
      <c r="O1054" t="s" s="10">
        <v>34</v>
      </c>
      <c r="P1054" t="s" s="10">
        <v>34</v>
      </c>
      <c r="Q1054" t="s" s="10">
        <v>34</v>
      </c>
      <c r="R1054" t="s" s="10">
        <v>34</v>
      </c>
      <c r="S1054" t="s" s="10">
        <v>34</v>
      </c>
      <c r="T1054" t="s" s="12">
        <v>34</v>
      </c>
      <c r="U1054" t="s" s="10">
        <v>34</v>
      </c>
      <c r="V1054" t="s" s="12">
        <v>34</v>
      </c>
      <c r="W1054" t="s" s="10">
        <v>9358</v>
      </c>
      <c r="X1054" s="16">
        <f>HYPERLINK("https://my.pitchbook.com?p=151646-23P", "View People Online")</f>
      </c>
    </row>
    <row r="1055">
      <c r="A1055" t="s" s="11">
        <v>9359</v>
      </c>
      <c r="B1055" t="s" s="11">
        <v>9360</v>
      </c>
      <c r="C1055" t="s" s="11">
        <v>34</v>
      </c>
      <c r="D1055" t="s" s="11">
        <v>9322</v>
      </c>
      <c r="E1055" t="s" s="11">
        <v>9264</v>
      </c>
      <c r="F1055" t="s" s="11">
        <v>9361</v>
      </c>
      <c r="G1055" t="s" s="11">
        <v>9362</v>
      </c>
      <c r="H1055" s="17">
        <f>HYPERLINK("http://groupe-cdc-habitat.com", "groupe-cdc-habitat.com")</f>
      </c>
      <c r="I1055" t="s" s="11">
        <v>9363</v>
      </c>
      <c r="J1055" t="s" s="25">
        <v>34</v>
      </c>
      <c r="K1055" t="s" s="25">
        <v>34</v>
      </c>
      <c r="L1055" t="s" s="25">
        <v>34</v>
      </c>
      <c r="M1055" t="s" s="13">
        <v>34</v>
      </c>
      <c r="N1055" t="s" s="11">
        <v>34</v>
      </c>
      <c r="O1055" t="s" s="11">
        <v>34</v>
      </c>
      <c r="P1055" t="s" s="11">
        <v>34</v>
      </c>
      <c r="Q1055" t="s" s="11">
        <v>34</v>
      </c>
      <c r="R1055" t="s" s="11">
        <v>34</v>
      </c>
      <c r="S1055" t="s" s="11">
        <v>34</v>
      </c>
      <c r="T1055" t="s" s="13">
        <v>34</v>
      </c>
      <c r="U1055" t="s" s="11">
        <v>34</v>
      </c>
      <c r="V1055" t="s" s="13">
        <v>34</v>
      </c>
      <c r="W1055" t="s" s="11">
        <v>9364</v>
      </c>
      <c r="X1055" s="17">
        <f>HYPERLINK("https://my.pitchbook.com?p=148531-15P", "View People Online")</f>
      </c>
    </row>
    <row r="1056">
      <c r="A1056" t="s" s="10">
        <v>9365</v>
      </c>
      <c r="B1056" t="s" s="10">
        <v>9366</v>
      </c>
      <c r="C1056" t="s" s="10">
        <v>34</v>
      </c>
      <c r="D1056" t="s" s="10">
        <v>9367</v>
      </c>
      <c r="E1056" t="s" s="10">
        <v>9264</v>
      </c>
      <c r="F1056" t="s" s="10">
        <v>9368</v>
      </c>
      <c r="G1056" t="s" s="10">
        <v>9369</v>
      </c>
      <c r="H1056" s="16">
        <f>HYPERLINK("http://www.colliers.com", "www.colliers.com")</f>
      </c>
      <c r="I1056" t="s" s="10">
        <v>9371</v>
      </c>
      <c r="J1056" t="s" s="24">
        <v>34</v>
      </c>
      <c r="K1056" s="24">
        <v>1</v>
      </c>
      <c r="L1056" t="s" s="24">
        <v>34</v>
      </c>
      <c r="M1056" t="s" s="12">
        <v>9372</v>
      </c>
      <c r="N1056" t="s" s="10">
        <v>9373</v>
      </c>
      <c r="O1056" t="s" s="10">
        <v>2562</v>
      </c>
      <c r="P1056" t="s" s="10">
        <v>9374</v>
      </c>
      <c r="Q1056" t="s" s="10">
        <v>34</v>
      </c>
      <c r="R1056" t="s" s="10">
        <v>2564</v>
      </c>
      <c r="S1056" t="s" s="10">
        <v>34</v>
      </c>
      <c r="T1056" t="s" s="12">
        <v>34</v>
      </c>
      <c r="U1056" t="s" s="10">
        <v>2566</v>
      </c>
      <c r="V1056" t="s" s="12">
        <v>34</v>
      </c>
      <c r="W1056" t="s" s="10">
        <v>9375</v>
      </c>
      <c r="X1056" s="16">
        <f>HYPERLINK("https://my.pitchbook.com?p=181280-80P", "View People Online")</f>
      </c>
    </row>
    <row r="1057">
      <c r="A1057" t="s" s="11">
        <v>9376</v>
      </c>
      <c r="B1057" t="s" s="11">
        <v>9377</v>
      </c>
      <c r="C1057" t="s" s="11">
        <v>34</v>
      </c>
      <c r="D1057" t="s" s="11">
        <v>9322</v>
      </c>
      <c r="E1057" t="s" s="11">
        <v>9264</v>
      </c>
      <c r="F1057" t="s" s="11">
        <v>1736</v>
      </c>
      <c r="G1057" t="s" s="11">
        <v>9378</v>
      </c>
      <c r="H1057" s="17">
        <f>HYPERLINK("http://groupe-cdc-habitat.com", "groupe-cdc-habitat.com")</f>
      </c>
      <c r="I1057" t="s" s="11">
        <v>9379</v>
      </c>
      <c r="J1057" t="s" s="25">
        <v>34</v>
      </c>
      <c r="K1057" t="s" s="25">
        <v>34</v>
      </c>
      <c r="L1057" t="s" s="25">
        <v>34</v>
      </c>
      <c r="M1057" t="s" s="13">
        <v>34</v>
      </c>
      <c r="N1057" t="s" s="11">
        <v>34</v>
      </c>
      <c r="O1057" t="s" s="11">
        <v>34</v>
      </c>
      <c r="P1057" t="s" s="11">
        <v>34</v>
      </c>
      <c r="Q1057" t="s" s="11">
        <v>34</v>
      </c>
      <c r="R1057" t="s" s="11">
        <v>34</v>
      </c>
      <c r="S1057" t="s" s="11">
        <v>34</v>
      </c>
      <c r="T1057" t="s" s="13">
        <v>34</v>
      </c>
      <c r="U1057" t="s" s="11">
        <v>34</v>
      </c>
      <c r="V1057" t="s" s="13">
        <v>34</v>
      </c>
      <c r="W1057" t="s" s="11">
        <v>9380</v>
      </c>
      <c r="X1057" s="17">
        <f>HYPERLINK("https://my.pitchbook.com?p=148532-68P", "View People Online")</f>
      </c>
    </row>
    <row r="1058">
      <c r="A1058" t="s" s="10">
        <v>9381</v>
      </c>
      <c r="B1058" t="s" s="10">
        <v>9382</v>
      </c>
      <c r="C1058" t="s" s="10">
        <v>34</v>
      </c>
      <c r="D1058" t="s" s="10">
        <v>9383</v>
      </c>
      <c r="E1058" t="s" s="10">
        <v>9264</v>
      </c>
      <c r="F1058" t="s" s="10">
        <v>9384</v>
      </c>
      <c r="G1058" t="s" s="10">
        <v>1564</v>
      </c>
      <c r="H1058" s="16">
        <f>HYPERLINK("http://www.yardnine.com", "www.yardnine.com")</f>
      </c>
      <c r="I1058" t="s" s="10">
        <v>255</v>
      </c>
      <c r="J1058" t="s" s="24">
        <v>34</v>
      </c>
      <c r="K1058" s="24">
        <v>1</v>
      </c>
      <c r="L1058" t="s" s="24">
        <v>34</v>
      </c>
      <c r="M1058" t="s" s="12">
        <v>9386</v>
      </c>
      <c r="N1058" t="s" s="10">
        <v>9387</v>
      </c>
      <c r="O1058" t="s" s="10">
        <v>43</v>
      </c>
      <c r="P1058" t="s" s="10">
        <v>9388</v>
      </c>
      <c r="Q1058" t="s" s="10">
        <v>9389</v>
      </c>
      <c r="R1058" t="s" s="10">
        <v>46</v>
      </c>
      <c r="S1058" t="s" s="10">
        <v>47</v>
      </c>
      <c r="T1058" t="s" s="12">
        <v>9390</v>
      </c>
      <c r="U1058" t="s" s="10">
        <v>49</v>
      </c>
      <c r="V1058" t="s" s="12">
        <v>34</v>
      </c>
      <c r="W1058" t="s" s="10">
        <v>9391</v>
      </c>
      <c r="X1058" s="16">
        <f>HYPERLINK("https://my.pitchbook.com?p=442266-31P", "View People Online")</f>
      </c>
    </row>
    <row r="1059">
      <c r="A1059" t="s" s="11">
        <v>9392</v>
      </c>
      <c r="B1059" t="s" s="11">
        <v>9393</v>
      </c>
      <c r="C1059" t="s" s="11">
        <v>34</v>
      </c>
      <c r="D1059" t="s" s="11">
        <v>9394</v>
      </c>
      <c r="E1059" t="s" s="11">
        <v>9264</v>
      </c>
      <c r="F1059" t="s" s="11">
        <v>9395</v>
      </c>
      <c r="G1059" t="s" s="11">
        <v>274</v>
      </c>
      <c r="H1059" s="17">
        <f>HYPERLINK("http://www.frinv.com", "www.frinv.com")</f>
      </c>
      <c r="I1059" t="s" s="11">
        <v>322</v>
      </c>
      <c r="J1059" t="s" s="25">
        <v>34</v>
      </c>
      <c r="K1059" s="25">
        <v>1</v>
      </c>
      <c r="L1059" t="s" s="25">
        <v>34</v>
      </c>
      <c r="M1059" t="s" s="13">
        <v>9397</v>
      </c>
      <c r="N1059" t="s" s="11">
        <v>9398</v>
      </c>
      <c r="O1059" t="s" s="11">
        <v>9399</v>
      </c>
      <c r="P1059" t="s" s="11">
        <v>9400</v>
      </c>
      <c r="Q1059" t="s" s="11">
        <v>5244</v>
      </c>
      <c r="R1059" t="s" s="11">
        <v>9401</v>
      </c>
      <c r="S1059" t="s" s="11">
        <v>2156</v>
      </c>
      <c r="T1059" t="s" s="13">
        <v>9402</v>
      </c>
      <c r="U1059" t="s" s="11">
        <v>88</v>
      </c>
      <c r="V1059" t="s" s="13">
        <v>34</v>
      </c>
      <c r="W1059" t="s" s="11">
        <v>9403</v>
      </c>
      <c r="X1059" s="17">
        <f>HYPERLINK("https://my.pitchbook.com?p=381710-71P", "View People Online")</f>
      </c>
    </row>
    <row r="1060">
      <c r="A1060" t="s" s="10">
        <v>9404</v>
      </c>
      <c r="B1060" t="s" s="10">
        <v>9405</v>
      </c>
      <c r="C1060" t="s" s="10">
        <v>34</v>
      </c>
      <c r="D1060" t="s" s="10">
        <v>9302</v>
      </c>
      <c r="E1060" t="s" s="10">
        <v>9264</v>
      </c>
      <c r="F1060" t="s" s="10">
        <v>4702</v>
      </c>
      <c r="G1060" t="s" s="10">
        <v>9406</v>
      </c>
      <c r="H1060" s="16">
        <f>HYPERLINK("http://www.ihcfunds.com", "www.ihcfunds.com")</f>
      </c>
      <c r="I1060" t="s" s="10">
        <v>9191</v>
      </c>
      <c r="J1060" t="s" s="24">
        <v>34</v>
      </c>
      <c r="K1060" s="24">
        <v>1</v>
      </c>
      <c r="L1060" t="s" s="24">
        <v>34</v>
      </c>
      <c r="M1060" t="s" s="12">
        <v>9306</v>
      </c>
      <c r="N1060" t="s" s="10">
        <v>34</v>
      </c>
      <c r="O1060" t="s" s="10">
        <v>4351</v>
      </c>
      <c r="P1060" t="s" s="10">
        <v>9308</v>
      </c>
      <c r="Q1060" t="s" s="10">
        <v>5320</v>
      </c>
      <c r="R1060" t="s" s="10">
        <v>4354</v>
      </c>
      <c r="S1060" t="s" s="10">
        <v>3582</v>
      </c>
      <c r="T1060" t="s" s="12">
        <v>4355</v>
      </c>
      <c r="U1060" t="s" s="10">
        <v>88</v>
      </c>
      <c r="V1060" t="s" s="12">
        <v>34</v>
      </c>
      <c r="W1060" t="s" s="10">
        <v>9407</v>
      </c>
      <c r="X1060" s="16">
        <f>HYPERLINK("https://my.pitchbook.com?p=241923-16P", "View People Online")</f>
      </c>
    </row>
    <row r="1061">
      <c r="A1061" t="s" s="11">
        <v>9408</v>
      </c>
      <c r="B1061" t="s" s="11">
        <v>9409</v>
      </c>
      <c r="C1061" t="s" s="11">
        <v>34</v>
      </c>
      <c r="D1061" t="s" s="11">
        <v>9273</v>
      </c>
      <c r="E1061" t="s" s="11">
        <v>9264</v>
      </c>
      <c r="F1061" t="s" s="11">
        <v>9410</v>
      </c>
      <c r="G1061" t="s" s="11">
        <v>729</v>
      </c>
      <c r="H1061" s="17">
        <f>HYPERLINK("http://www.zabeel-investments.com", "www.zabeel-investments.com")</f>
      </c>
      <c r="I1061" t="s" s="11">
        <v>885</v>
      </c>
      <c r="J1061" t="s" s="25">
        <v>34</v>
      </c>
      <c r="K1061" s="25">
        <v>2</v>
      </c>
      <c r="L1061" s="25">
        <v>2</v>
      </c>
      <c r="M1061" t="s" s="13">
        <v>34</v>
      </c>
      <c r="N1061" t="s" s="11">
        <v>34</v>
      </c>
      <c r="O1061" t="s" s="11">
        <v>34</v>
      </c>
      <c r="P1061" t="s" s="11">
        <v>34</v>
      </c>
      <c r="Q1061" t="s" s="11">
        <v>34</v>
      </c>
      <c r="R1061" t="s" s="11">
        <v>34</v>
      </c>
      <c r="S1061" t="s" s="11">
        <v>34</v>
      </c>
      <c r="T1061" t="s" s="13">
        <v>34</v>
      </c>
      <c r="U1061" t="s" s="11">
        <v>34</v>
      </c>
      <c r="V1061" t="s" s="13">
        <v>34</v>
      </c>
      <c r="W1061" t="s" s="11">
        <v>9411</v>
      </c>
      <c r="X1061" s="17">
        <f>HYPERLINK("https://my.pitchbook.com?p=22586-23P", "View People Online")</f>
      </c>
    </row>
    <row r="1062">
      <c r="A1062" t="s" s="10">
        <v>9412</v>
      </c>
      <c r="B1062" t="s" s="10">
        <v>9413</v>
      </c>
      <c r="C1062" t="s" s="10">
        <v>34</v>
      </c>
      <c r="D1062" t="s" s="10">
        <v>9414</v>
      </c>
      <c r="E1062" t="s" s="10">
        <v>9264</v>
      </c>
      <c r="F1062" t="s" s="10">
        <v>9415</v>
      </c>
      <c r="G1062" t="s" s="10">
        <v>9416</v>
      </c>
      <c r="H1062" s="16">
        <f>HYPERLINK("http://www.cedarcp.com", "www.cedarcp.com")</f>
      </c>
      <c r="I1062" t="s" s="10">
        <v>950</v>
      </c>
      <c r="J1062" t="s" s="24">
        <v>34</v>
      </c>
      <c r="K1062" s="24">
        <v>1</v>
      </c>
      <c r="L1062" t="s" s="24">
        <v>34</v>
      </c>
      <c r="M1062" t="s" s="12">
        <v>9418</v>
      </c>
      <c r="N1062" t="s" s="10">
        <v>9419</v>
      </c>
      <c r="O1062" t="s" s="10">
        <v>43</v>
      </c>
      <c r="P1062" t="s" s="10">
        <v>9420</v>
      </c>
      <c r="Q1062" t="s" s="10">
        <v>34</v>
      </c>
      <c r="R1062" t="s" s="10">
        <v>46</v>
      </c>
      <c r="S1062" t="s" s="10">
        <v>47</v>
      </c>
      <c r="T1062" t="s" s="12">
        <v>9421</v>
      </c>
      <c r="U1062" t="s" s="10">
        <v>49</v>
      </c>
      <c r="V1062" t="s" s="12">
        <v>34</v>
      </c>
      <c r="W1062" t="s" s="10">
        <v>9422</v>
      </c>
      <c r="X1062" s="16">
        <f>HYPERLINK("https://my.pitchbook.com?p=247112-56P", "View People Online")</f>
      </c>
    </row>
    <row r="1063">
      <c r="A1063" t="s" s="11">
        <v>9423</v>
      </c>
      <c r="B1063" t="s" s="11">
        <v>9424</v>
      </c>
      <c r="C1063" t="s" s="11">
        <v>34</v>
      </c>
      <c r="D1063" t="s" s="11">
        <v>9425</v>
      </c>
      <c r="E1063" t="s" s="11">
        <v>9264</v>
      </c>
      <c r="F1063" t="s" s="11">
        <v>9426</v>
      </c>
      <c r="G1063" t="s" s="11">
        <v>9427</v>
      </c>
      <c r="H1063" t="s" s="11">
        <v>34</v>
      </c>
      <c r="I1063" t="s" s="11">
        <v>536</v>
      </c>
      <c r="J1063" t="s" s="25">
        <v>34</v>
      </c>
      <c r="K1063" s="25">
        <v>1</v>
      </c>
      <c r="L1063" t="s" s="25">
        <v>34</v>
      </c>
      <c r="M1063" t="s" s="13">
        <v>9428</v>
      </c>
      <c r="N1063" t="s" s="11">
        <v>9429</v>
      </c>
      <c r="O1063" t="s" s="11">
        <v>7771</v>
      </c>
      <c r="P1063" t="s" s="11">
        <v>9430</v>
      </c>
      <c r="Q1063" t="s" s="11">
        <v>9431</v>
      </c>
      <c r="R1063" t="s" s="11">
        <v>7773</v>
      </c>
      <c r="S1063" t="s" s="11">
        <v>158</v>
      </c>
      <c r="T1063" t="s" s="13">
        <v>9432</v>
      </c>
      <c r="U1063" t="s" s="11">
        <v>88</v>
      </c>
      <c r="V1063" t="s" s="13">
        <v>34</v>
      </c>
      <c r="W1063" t="s" s="11">
        <v>9433</v>
      </c>
      <c r="X1063" s="17">
        <f>HYPERLINK("https://my.pitchbook.com?p=441890-38P", "View People Online")</f>
      </c>
    </row>
    <row r="1064">
      <c r="A1064" t="s" s="10">
        <v>9434</v>
      </c>
      <c r="B1064" t="s" s="10">
        <v>9435</v>
      </c>
      <c r="C1064" t="s" s="10">
        <v>34</v>
      </c>
      <c r="D1064" t="s" s="10">
        <v>9436</v>
      </c>
      <c r="E1064" t="s" s="10">
        <v>9264</v>
      </c>
      <c r="F1064" t="s" s="10">
        <v>9437</v>
      </c>
      <c r="G1064" t="s" s="10">
        <v>9438</v>
      </c>
      <c r="H1064" s="16">
        <f>HYPERLINK("http://www.kingdomhotels.com", "www.kingdomhotels.com")</f>
      </c>
      <c r="I1064" t="s" s="10">
        <v>322</v>
      </c>
      <c r="J1064" s="24">
        <v>1</v>
      </c>
      <c r="K1064" s="24">
        <v>3</v>
      </c>
      <c r="L1064" s="24">
        <v>1</v>
      </c>
      <c r="M1064" t="s" s="12">
        <v>9440</v>
      </c>
      <c r="N1064" t="s" s="10">
        <v>9441</v>
      </c>
      <c r="O1064" t="s" s="10">
        <v>236</v>
      </c>
      <c r="P1064" t="s" s="10">
        <v>9442</v>
      </c>
      <c r="Q1064" t="s" s="10">
        <v>2606</v>
      </c>
      <c r="R1064" t="s" s="10">
        <v>239</v>
      </c>
      <c r="S1064" t="s" s="10">
        <v>34</v>
      </c>
      <c r="T1064" t="s" s="12">
        <v>34</v>
      </c>
      <c r="U1064" t="s" s="10">
        <v>240</v>
      </c>
      <c r="V1064" t="s" s="12">
        <v>9443</v>
      </c>
      <c r="W1064" t="s" s="10">
        <v>9444</v>
      </c>
      <c r="X1064" s="16">
        <f>HYPERLINK("https://my.pitchbook.com?p=120918-25P", "View People Online")</f>
      </c>
    </row>
    <row r="1065">
      <c r="A1065" t="s" s="11">
        <v>9445</v>
      </c>
      <c r="B1065" t="s" s="11">
        <v>9446</v>
      </c>
      <c r="C1065" t="s" s="11">
        <v>34</v>
      </c>
      <c r="D1065" t="s" s="11">
        <v>9447</v>
      </c>
      <c r="E1065" t="s" s="11">
        <v>9264</v>
      </c>
      <c r="F1065" t="s" s="11">
        <v>568</v>
      </c>
      <c r="G1065" t="s" s="11">
        <v>2361</v>
      </c>
      <c r="H1065" s="17">
        <f>HYPERLINK("http://www.artic.com.qa", "www.artic.com.qa")</f>
      </c>
      <c r="I1065" t="s" s="11">
        <v>1121</v>
      </c>
      <c r="J1065" s="25">
        <v>1</v>
      </c>
      <c r="K1065" s="25">
        <v>2</v>
      </c>
      <c r="L1065" s="25">
        <v>1</v>
      </c>
      <c r="M1065" t="s" s="13">
        <v>34</v>
      </c>
      <c r="N1065" t="s" s="11">
        <v>34</v>
      </c>
      <c r="O1065" t="s" s="11">
        <v>59</v>
      </c>
      <c r="P1065" t="s" s="11">
        <v>34</v>
      </c>
      <c r="Q1065" t="s" s="11">
        <v>34</v>
      </c>
      <c r="R1065" t="s" s="11">
        <v>62</v>
      </c>
      <c r="S1065" t="s" s="11">
        <v>34</v>
      </c>
      <c r="T1065" t="s" s="13">
        <v>34</v>
      </c>
      <c r="U1065" t="s" s="11">
        <v>64</v>
      </c>
      <c r="V1065" t="s" s="13">
        <v>34</v>
      </c>
      <c r="W1065" t="s" s="11">
        <v>9449</v>
      </c>
      <c r="X1065" s="17">
        <f>HYPERLINK("https://my.pitchbook.com?p=106192-45P", "View People Online")</f>
      </c>
    </row>
    <row r="1066">
      <c r="A1066" t="s" s="10">
        <v>9450</v>
      </c>
      <c r="B1066" t="s" s="10">
        <v>9451</v>
      </c>
      <c r="C1066" t="s" s="10">
        <v>34</v>
      </c>
      <c r="D1066" t="s" s="10">
        <v>9452</v>
      </c>
      <c r="E1066" t="s" s="10">
        <v>9264</v>
      </c>
      <c r="F1066" t="s" s="10">
        <v>9453</v>
      </c>
      <c r="G1066" t="s" s="10">
        <v>9454</v>
      </c>
      <c r="H1066" s="16">
        <f>HYPERLINK("http://royalgroup.sg", "royalgroup.sg")</f>
      </c>
      <c r="I1066" t="s" s="10">
        <v>322</v>
      </c>
      <c r="J1066" t="s" s="24">
        <v>34</v>
      </c>
      <c r="K1066" s="24">
        <v>1</v>
      </c>
      <c r="L1066" t="s" s="24">
        <v>34</v>
      </c>
      <c r="M1066" t="s" s="12">
        <v>9456</v>
      </c>
      <c r="N1066" t="s" s="10">
        <v>9457</v>
      </c>
      <c r="O1066" t="s" s="10">
        <v>525</v>
      </c>
      <c r="P1066" t="s" s="10">
        <v>1652</v>
      </c>
      <c r="Q1066" t="s" s="10">
        <v>9458</v>
      </c>
      <c r="R1066" t="s" s="10">
        <v>528</v>
      </c>
      <c r="S1066" t="s" s="10">
        <v>34</v>
      </c>
      <c r="T1066" t="s" s="12">
        <v>1653</v>
      </c>
      <c r="U1066" t="s" s="10">
        <v>528</v>
      </c>
      <c r="V1066" t="s" s="12">
        <v>9459</v>
      </c>
      <c r="W1066" t="s" s="10">
        <v>9460</v>
      </c>
      <c r="X1066" s="16">
        <f>HYPERLINK("https://my.pitchbook.com?p=375624-82P", "View People Online")</f>
      </c>
    </row>
    <row r="1067">
      <c r="A1067" t="s" s="11">
        <v>9461</v>
      </c>
      <c r="B1067" t="s" s="11">
        <v>9462</v>
      </c>
      <c r="C1067" t="s" s="11">
        <v>34</v>
      </c>
      <c r="D1067" t="s" s="11">
        <v>9322</v>
      </c>
      <c r="E1067" t="s" s="11">
        <v>9264</v>
      </c>
      <c r="F1067" t="s" s="11">
        <v>9463</v>
      </c>
      <c r="G1067" t="s" s="11">
        <v>7920</v>
      </c>
      <c r="H1067" s="17">
        <f>HYPERLINK("http://groupe-cdc-habitat.com", "groupe-cdc-habitat.com")</f>
      </c>
      <c r="I1067" t="s" s="11">
        <v>322</v>
      </c>
      <c r="J1067" t="s" s="25">
        <v>34</v>
      </c>
      <c r="K1067" t="s" s="25">
        <v>34</v>
      </c>
      <c r="L1067" t="s" s="25">
        <v>34</v>
      </c>
      <c r="M1067" t="s" s="13">
        <v>34</v>
      </c>
      <c r="N1067" t="s" s="11">
        <v>34</v>
      </c>
      <c r="O1067" t="s" s="11">
        <v>34</v>
      </c>
      <c r="P1067" t="s" s="11">
        <v>34</v>
      </c>
      <c r="Q1067" t="s" s="11">
        <v>34</v>
      </c>
      <c r="R1067" t="s" s="11">
        <v>34</v>
      </c>
      <c r="S1067" t="s" s="11">
        <v>34</v>
      </c>
      <c r="T1067" t="s" s="13">
        <v>34</v>
      </c>
      <c r="U1067" t="s" s="11">
        <v>34</v>
      </c>
      <c r="V1067" t="s" s="13">
        <v>34</v>
      </c>
      <c r="W1067" t="s" s="11">
        <v>9464</v>
      </c>
      <c r="X1067" s="17">
        <f>HYPERLINK("https://my.pitchbook.com?p=148531-33P", "View People Online")</f>
      </c>
    </row>
    <row r="1068">
      <c r="A1068" t="s" s="10">
        <v>9465</v>
      </c>
      <c r="B1068" t="s" s="10">
        <v>9466</v>
      </c>
      <c r="C1068" t="s" s="10">
        <v>34</v>
      </c>
      <c r="D1068" t="s" s="10">
        <v>9467</v>
      </c>
      <c r="E1068" t="s" s="10">
        <v>9468</v>
      </c>
      <c r="F1068" t="s" s="10">
        <v>9469</v>
      </c>
      <c r="G1068" t="s" s="10">
        <v>9470</v>
      </c>
      <c r="H1068" s="16">
        <f>HYPERLINK("http://www.ckh.com.hk", "www.ckh.com.hk")</f>
      </c>
      <c r="I1068" t="s" s="10">
        <v>649</v>
      </c>
      <c r="J1068" s="24">
        <v>3</v>
      </c>
      <c r="K1068" s="24">
        <v>3</v>
      </c>
      <c r="L1068" t="s" s="24">
        <v>34</v>
      </c>
      <c r="M1068" t="s" s="12">
        <v>9472</v>
      </c>
      <c r="N1068" t="s" s="10">
        <v>34</v>
      </c>
      <c r="O1068" t="s" s="10">
        <v>552</v>
      </c>
      <c r="P1068" t="s" s="10">
        <v>9473</v>
      </c>
      <c r="Q1068" t="s" s="10">
        <v>9474</v>
      </c>
      <c r="R1068" t="s" s="10">
        <v>555</v>
      </c>
      <c r="S1068" t="s" s="10">
        <v>34</v>
      </c>
      <c r="T1068" t="s" s="12">
        <v>34</v>
      </c>
      <c r="U1068" t="s" s="10">
        <v>555</v>
      </c>
      <c r="V1068" t="s" s="12">
        <v>9475</v>
      </c>
      <c r="W1068" t="s" s="10">
        <v>9476</v>
      </c>
      <c r="X1068" s="16">
        <f>HYPERLINK("https://my.pitchbook.com?p=283989-97P", "View People Online")</f>
      </c>
    </row>
    <row r="1069">
      <c r="A1069" t="s" s="11">
        <v>9477</v>
      </c>
      <c r="B1069" t="s" s="11">
        <v>9478</v>
      </c>
      <c r="C1069" t="s" s="11">
        <v>34</v>
      </c>
      <c r="D1069" t="s" s="11">
        <v>9479</v>
      </c>
      <c r="E1069" t="s" s="11">
        <v>9480</v>
      </c>
      <c r="F1069" t="s" s="11">
        <v>1476</v>
      </c>
      <c r="G1069" t="s" s="11">
        <v>9481</v>
      </c>
      <c r="H1069" s="17">
        <f>HYPERLINK("http://spectrumsearchgroup.com", "spectrumsearchgroup.com")</f>
      </c>
      <c r="I1069" t="s" s="11">
        <v>9483</v>
      </c>
      <c r="J1069" t="s" s="25">
        <v>34</v>
      </c>
      <c r="K1069" s="25">
        <v>1</v>
      </c>
      <c r="L1069" t="s" s="25">
        <v>34</v>
      </c>
      <c r="M1069" t="s" s="13">
        <v>9484</v>
      </c>
      <c r="N1069" t="s" s="11">
        <v>9485</v>
      </c>
      <c r="O1069" t="s" s="11">
        <v>5378</v>
      </c>
      <c r="P1069" t="s" s="11">
        <v>9486</v>
      </c>
      <c r="Q1069" t="s" s="11">
        <v>9487</v>
      </c>
      <c r="R1069" t="s" s="11">
        <v>5381</v>
      </c>
      <c r="S1069" t="s" s="11">
        <v>225</v>
      </c>
      <c r="T1069" t="s" s="13">
        <v>9488</v>
      </c>
      <c r="U1069" t="s" s="11">
        <v>88</v>
      </c>
      <c r="V1069" t="s" s="13">
        <v>34</v>
      </c>
      <c r="W1069" t="s" s="11">
        <v>9489</v>
      </c>
      <c r="X1069" s="17">
        <f>HYPERLINK("https://my.pitchbook.com?p=468682-30P", "View People Online")</f>
      </c>
    </row>
    <row r="1070">
      <c r="A1070" t="s" s="10">
        <v>9490</v>
      </c>
      <c r="B1070" t="s" s="10">
        <v>9491</v>
      </c>
      <c r="C1070" t="s" s="10">
        <v>34</v>
      </c>
      <c r="D1070" t="s" s="10">
        <v>9492</v>
      </c>
      <c r="E1070" t="s" s="10">
        <v>9480</v>
      </c>
      <c r="F1070" t="s" s="10">
        <v>9493</v>
      </c>
      <c r="G1070" t="s" s="10">
        <v>9494</v>
      </c>
      <c r="H1070" s="16">
        <f>HYPERLINK("http://www.talentrust.com", "www.talentrust.com")</f>
      </c>
      <c r="I1070" t="s" s="10">
        <v>9496</v>
      </c>
      <c r="J1070" t="s" s="24">
        <v>34</v>
      </c>
      <c r="K1070" s="24">
        <v>1</v>
      </c>
      <c r="L1070" t="s" s="24">
        <v>34</v>
      </c>
      <c r="M1070" t="s" s="12">
        <v>9497</v>
      </c>
      <c r="N1070" t="s" s="10">
        <v>34</v>
      </c>
      <c r="O1070" t="s" s="10">
        <v>3772</v>
      </c>
      <c r="P1070" t="s" s="10">
        <v>9498</v>
      </c>
      <c r="Q1070" t="s" s="10">
        <v>7661</v>
      </c>
      <c r="R1070" t="s" s="10">
        <v>3774</v>
      </c>
      <c r="S1070" t="s" s="10">
        <v>3775</v>
      </c>
      <c r="T1070" t="s" s="12">
        <v>9499</v>
      </c>
      <c r="U1070" t="s" s="10">
        <v>88</v>
      </c>
      <c r="V1070" t="s" s="12">
        <v>9500</v>
      </c>
      <c r="W1070" t="s" s="10">
        <v>9501</v>
      </c>
      <c r="X1070" s="16">
        <f>HYPERLINK("https://my.pitchbook.com?p=171180-28P", "View People Online")</f>
      </c>
    </row>
    <row r="1071">
      <c r="A1071" t="s" s="11">
        <v>9502</v>
      </c>
      <c r="B1071" t="s" s="11">
        <v>9503</v>
      </c>
      <c r="C1071" t="s" s="11">
        <v>34</v>
      </c>
      <c r="D1071" t="s" s="11">
        <v>9479</v>
      </c>
      <c r="E1071" t="s" s="11">
        <v>9480</v>
      </c>
      <c r="F1071" t="s" s="11">
        <v>9504</v>
      </c>
      <c r="G1071" t="s" s="11">
        <v>9505</v>
      </c>
      <c r="H1071" s="17">
        <f>HYPERLINK("http://spectrumsearchgroup.com", "spectrumsearchgroup.com")</f>
      </c>
      <c r="I1071" t="s" s="11">
        <v>6113</v>
      </c>
      <c r="J1071" t="s" s="25">
        <v>34</v>
      </c>
      <c r="K1071" s="25">
        <v>1</v>
      </c>
      <c r="L1071" t="s" s="25">
        <v>34</v>
      </c>
      <c r="M1071" t="s" s="13">
        <v>9484</v>
      </c>
      <c r="N1071" t="s" s="11">
        <v>9506</v>
      </c>
      <c r="O1071" t="s" s="11">
        <v>5378</v>
      </c>
      <c r="P1071" t="s" s="11">
        <v>9486</v>
      </c>
      <c r="Q1071" t="s" s="11">
        <v>9487</v>
      </c>
      <c r="R1071" t="s" s="11">
        <v>5381</v>
      </c>
      <c r="S1071" t="s" s="11">
        <v>225</v>
      </c>
      <c r="T1071" t="s" s="13">
        <v>9488</v>
      </c>
      <c r="U1071" t="s" s="11">
        <v>88</v>
      </c>
      <c r="V1071" t="s" s="13">
        <v>34</v>
      </c>
      <c r="W1071" t="s" s="11">
        <v>9507</v>
      </c>
      <c r="X1071" s="17">
        <f>HYPERLINK("https://my.pitchbook.com?p=468679-60P", "View People Online")</f>
      </c>
    </row>
    <row r="1072">
      <c r="A1072" t="s" s="10">
        <v>9508</v>
      </c>
      <c r="B1072" t="s" s="10">
        <v>9509</v>
      </c>
      <c r="C1072" t="s" s="10">
        <v>34</v>
      </c>
      <c r="D1072" t="s" s="10">
        <v>9510</v>
      </c>
      <c r="E1072" t="s" s="10">
        <v>9480</v>
      </c>
      <c r="F1072" t="s" s="10">
        <v>9511</v>
      </c>
      <c r="G1072" t="s" s="10">
        <v>9512</v>
      </c>
      <c r="H1072" s="16">
        <f>HYPERLINK("http://www.stantonchase.com", "www.stantonchase.com")</f>
      </c>
      <c r="I1072" t="s" s="10">
        <v>191</v>
      </c>
      <c r="J1072" t="s" s="24">
        <v>34</v>
      </c>
      <c r="K1072" s="24">
        <v>1</v>
      </c>
      <c r="L1072" t="s" s="24">
        <v>34</v>
      </c>
      <c r="M1072" t="s" s="12">
        <v>9514</v>
      </c>
      <c r="N1072" t="s" s="10">
        <v>9515</v>
      </c>
      <c r="O1072" t="s" s="10">
        <v>2168</v>
      </c>
      <c r="P1072" t="s" s="10">
        <v>9516</v>
      </c>
      <c r="Q1072" t="s" s="10">
        <v>34</v>
      </c>
      <c r="R1072" t="s" s="10">
        <v>2170</v>
      </c>
      <c r="S1072" t="s" s="10">
        <v>34</v>
      </c>
      <c r="T1072" t="s" s="12">
        <v>9517</v>
      </c>
      <c r="U1072" t="s" s="10">
        <v>2172</v>
      </c>
      <c r="V1072" t="s" s="12">
        <v>34</v>
      </c>
      <c r="W1072" t="s" s="10">
        <v>9518</v>
      </c>
      <c r="X1072" s="16">
        <f>HYPERLINK("https://my.pitchbook.com?p=162853-30P", "View People Online")</f>
      </c>
    </row>
    <row r="1073">
      <c r="A1073" t="s" s="11">
        <v>9519</v>
      </c>
      <c r="B1073" t="s" s="11">
        <v>9520</v>
      </c>
      <c r="C1073" t="s" s="11">
        <v>34</v>
      </c>
      <c r="D1073" t="s" s="11">
        <v>9521</v>
      </c>
      <c r="E1073" t="s" s="11">
        <v>9522</v>
      </c>
      <c r="F1073" t="s" s="11">
        <v>9523</v>
      </c>
      <c r="G1073" t="s" s="11">
        <v>805</v>
      </c>
      <c r="H1073" s="17">
        <f>HYPERLINK("http://www.montana-capital-partners.eu", "www.montana-capital-partners.eu")</f>
      </c>
      <c r="I1073" t="s" s="11">
        <v>4661</v>
      </c>
      <c r="J1073" t="s" s="25">
        <v>34</v>
      </c>
      <c r="K1073" s="25">
        <v>1</v>
      </c>
      <c r="L1073" t="s" s="25">
        <v>34</v>
      </c>
      <c r="M1073" t="s" s="13">
        <v>9525</v>
      </c>
      <c r="N1073" t="s" s="11">
        <v>9526</v>
      </c>
      <c r="O1073" t="s" s="11">
        <v>9527</v>
      </c>
      <c r="P1073" t="s" s="11">
        <v>9528</v>
      </c>
      <c r="Q1073" t="s" s="11">
        <v>34</v>
      </c>
      <c r="R1073" t="s" s="11">
        <v>9529</v>
      </c>
      <c r="S1073" t="s" s="11">
        <v>34</v>
      </c>
      <c r="T1073" t="s" s="13">
        <v>9530</v>
      </c>
      <c r="U1073" t="s" s="11">
        <v>544</v>
      </c>
      <c r="V1073" t="s" s="13">
        <v>34</v>
      </c>
      <c r="W1073" t="s" s="11">
        <v>9531</v>
      </c>
      <c r="X1073" s="17">
        <f>HYPERLINK("https://my.pitchbook.com?p=256229-02P", "View People Online")</f>
      </c>
    </row>
    <row r="1074">
      <c r="A1074" t="s" s="10">
        <v>9532</v>
      </c>
      <c r="B1074" t="s" s="10">
        <v>9533</v>
      </c>
      <c r="C1074" t="s" s="10">
        <v>34</v>
      </c>
      <c r="D1074" t="s" s="10">
        <v>9534</v>
      </c>
      <c r="E1074" t="s" s="10">
        <v>9535</v>
      </c>
      <c r="F1074" t="s" s="10">
        <v>9536</v>
      </c>
      <c r="G1074" t="s" s="10">
        <v>451</v>
      </c>
      <c r="H1074" s="16">
        <f>HYPERLINK("http://www.caissedesdepots.fr", "www.caissedesdepots.fr")</f>
      </c>
      <c r="I1074" t="s" s="10">
        <v>9538</v>
      </c>
      <c r="J1074" t="s" s="24">
        <v>34</v>
      </c>
      <c r="K1074" t="s" s="24">
        <v>34</v>
      </c>
      <c r="L1074" t="s" s="24">
        <v>34</v>
      </c>
      <c r="M1074" t="s" s="12">
        <v>34</v>
      </c>
      <c r="N1074" t="s" s="10">
        <v>34</v>
      </c>
      <c r="O1074" t="s" s="10">
        <v>34</v>
      </c>
      <c r="P1074" t="s" s="10">
        <v>34</v>
      </c>
      <c r="Q1074" t="s" s="10">
        <v>34</v>
      </c>
      <c r="R1074" t="s" s="10">
        <v>34</v>
      </c>
      <c r="S1074" t="s" s="10">
        <v>34</v>
      </c>
      <c r="T1074" t="s" s="12">
        <v>34</v>
      </c>
      <c r="U1074" t="s" s="10">
        <v>34</v>
      </c>
      <c r="V1074" t="s" s="12">
        <v>34</v>
      </c>
      <c r="W1074" t="s" s="10">
        <v>9539</v>
      </c>
      <c r="X1074" s="16">
        <f>HYPERLINK("https://my.pitchbook.com?p=161444-89P", "View People Online")</f>
      </c>
    </row>
    <row r="1075">
      <c r="A1075" t="s" s="11">
        <v>9540</v>
      </c>
      <c r="B1075" t="s" s="11">
        <v>9541</v>
      </c>
      <c r="C1075" t="s" s="11">
        <v>34</v>
      </c>
      <c r="D1075" t="s" s="11">
        <v>9542</v>
      </c>
      <c r="E1075" t="s" s="11">
        <v>9535</v>
      </c>
      <c r="F1075" t="s" s="11">
        <v>9543</v>
      </c>
      <c r="G1075" t="s" s="11">
        <v>9544</v>
      </c>
      <c r="H1075" s="17">
        <f>HYPERLINK("http://www.adia.ae", "www.adia.ae")</f>
      </c>
      <c r="I1075" t="s" s="11">
        <v>2321</v>
      </c>
      <c r="J1075" s="25">
        <v>1</v>
      </c>
      <c r="K1075" s="25">
        <v>1</v>
      </c>
      <c r="L1075" t="s" s="25">
        <v>34</v>
      </c>
      <c r="M1075" t="s" s="13">
        <v>9546</v>
      </c>
      <c r="N1075" t="s" s="11">
        <v>34</v>
      </c>
      <c r="O1075" t="s" s="11">
        <v>385</v>
      </c>
      <c r="P1075" t="s" s="11">
        <v>9547</v>
      </c>
      <c r="Q1075" t="s" s="11">
        <v>9548</v>
      </c>
      <c r="R1075" t="s" s="11">
        <v>388</v>
      </c>
      <c r="S1075" t="s" s="11">
        <v>34</v>
      </c>
      <c r="T1075" t="s" s="13">
        <v>34</v>
      </c>
      <c r="U1075" t="s" s="11">
        <v>240</v>
      </c>
      <c r="V1075" t="s" s="13">
        <v>9549</v>
      </c>
      <c r="W1075" t="s" s="11">
        <v>9550</v>
      </c>
      <c r="X1075" s="17">
        <f>HYPERLINK("https://my.pitchbook.com?p=339247-72P", "View People Online")</f>
      </c>
    </row>
    <row r="1076">
      <c r="A1076" t="s" s="10">
        <v>9551</v>
      </c>
      <c r="B1076" t="s" s="10">
        <v>9552</v>
      </c>
      <c r="C1076" t="s" s="10">
        <v>34</v>
      </c>
      <c r="D1076" t="s" s="10">
        <v>9553</v>
      </c>
      <c r="E1076" t="s" s="10">
        <v>9535</v>
      </c>
      <c r="F1076" t="s" s="10">
        <v>9554</v>
      </c>
      <c r="G1076" t="s" s="10">
        <v>9555</v>
      </c>
      <c r="H1076" s="16">
        <f>HYPERLINK("http://www.pif.gov.sa", "www.pif.gov.sa")</f>
      </c>
      <c r="I1076" t="s" s="10">
        <v>9557</v>
      </c>
      <c r="J1076" s="24">
        <v>1</v>
      </c>
      <c r="K1076" s="24">
        <v>3</v>
      </c>
      <c r="L1076" s="24">
        <v>1</v>
      </c>
      <c r="M1076" t="s" s="12">
        <v>9558</v>
      </c>
      <c r="N1076" t="s" s="10">
        <v>9559</v>
      </c>
      <c r="O1076" t="s" s="10">
        <v>3071</v>
      </c>
      <c r="P1076" t="s" s="10">
        <v>9560</v>
      </c>
      <c r="Q1076" t="s" s="10">
        <v>9561</v>
      </c>
      <c r="R1076" t="s" s="10">
        <v>3072</v>
      </c>
      <c r="S1076" t="s" s="10">
        <v>9562</v>
      </c>
      <c r="T1076" t="s" s="12">
        <v>9563</v>
      </c>
      <c r="U1076" t="s" s="10">
        <v>3074</v>
      </c>
      <c r="V1076" t="s" s="12">
        <v>34</v>
      </c>
      <c r="W1076" t="s" s="10">
        <v>9564</v>
      </c>
      <c r="X1076" s="16">
        <f>HYPERLINK("https://my.pitchbook.com?p=215035-21P", "View People Online")</f>
      </c>
    </row>
    <row r="1077">
      <c r="A1077" t="s" s="11">
        <v>9565</v>
      </c>
      <c r="B1077" t="s" s="11">
        <v>9566</v>
      </c>
      <c r="C1077" t="s" s="11">
        <v>34</v>
      </c>
      <c r="D1077" t="s" s="11">
        <v>9567</v>
      </c>
      <c r="E1077" t="s" s="11">
        <v>9568</v>
      </c>
      <c r="F1077" t="s" s="11">
        <v>9569</v>
      </c>
      <c r="G1077" t="s" s="11">
        <v>9570</v>
      </c>
      <c r="H1077" t="s" s="11">
        <v>34</v>
      </c>
      <c r="I1077" t="s" s="11">
        <v>9571</v>
      </c>
      <c r="J1077" t="s" s="25">
        <v>34</v>
      </c>
      <c r="K1077" s="25">
        <v>1</v>
      </c>
      <c r="L1077" t="s" s="25">
        <v>34</v>
      </c>
      <c r="M1077" t="s" s="13">
        <v>9572</v>
      </c>
      <c r="N1077" t="s" s="11">
        <v>34</v>
      </c>
      <c r="O1077" t="s" s="11">
        <v>9573</v>
      </c>
      <c r="P1077" t="s" s="11">
        <v>9574</v>
      </c>
      <c r="Q1077" t="s" s="11">
        <v>223</v>
      </c>
      <c r="R1077" t="s" s="11">
        <v>9575</v>
      </c>
      <c r="S1077" t="s" s="11">
        <v>2376</v>
      </c>
      <c r="T1077" t="s" s="13">
        <v>9576</v>
      </c>
      <c r="U1077" t="s" s="11">
        <v>88</v>
      </c>
      <c r="V1077" t="s" s="13">
        <v>34</v>
      </c>
      <c r="W1077" t="s" s="11">
        <v>9577</v>
      </c>
      <c r="X1077" s="17">
        <f>HYPERLINK("https://my.pitchbook.com?p=233649-28P", "View People Online")</f>
      </c>
    </row>
    <row r="1078">
      <c r="A1078" t="s" s="10">
        <v>9578</v>
      </c>
      <c r="B1078" t="s" s="10">
        <v>9579</v>
      </c>
      <c r="C1078" t="s" s="10">
        <v>34</v>
      </c>
      <c r="D1078" t="s" s="10">
        <v>9580</v>
      </c>
      <c r="E1078" t="s" s="10">
        <v>9581</v>
      </c>
      <c r="F1078" t="s" s="10">
        <v>9582</v>
      </c>
      <c r="G1078" t="s" s="10">
        <v>9583</v>
      </c>
      <c r="H1078" s="16">
        <f>HYPERLINK("http://www.ulaval.ca", "www.ulaval.ca")</f>
      </c>
      <c r="I1078" t="s" s="10">
        <v>9585</v>
      </c>
      <c r="J1078" t="s" s="24">
        <v>34</v>
      </c>
      <c r="K1078" s="24">
        <v>1</v>
      </c>
      <c r="L1078" t="s" s="24">
        <v>34</v>
      </c>
      <c r="M1078" t="s" s="12">
        <v>9586</v>
      </c>
      <c r="N1078" t="s" s="10">
        <v>34</v>
      </c>
      <c r="O1078" t="s" s="10">
        <v>9587</v>
      </c>
      <c r="P1078" t="s" s="10">
        <v>9588</v>
      </c>
      <c r="Q1078" t="s" s="10">
        <v>34</v>
      </c>
      <c r="R1078" t="s" s="10">
        <v>4777</v>
      </c>
      <c r="S1078" t="s" s="10">
        <v>4777</v>
      </c>
      <c r="T1078" t="s" s="12">
        <v>9589</v>
      </c>
      <c r="U1078" t="s" s="10">
        <v>1613</v>
      </c>
      <c r="V1078" t="s" s="12">
        <v>34</v>
      </c>
      <c r="W1078" t="s" s="10">
        <v>9590</v>
      </c>
      <c r="X1078" s="16">
        <f>HYPERLINK("https://my.pitchbook.com?p=432000-01P", "View People Online")</f>
      </c>
    </row>
    <row r="1079">
      <c r="A1079" t="s" s="11">
        <v>9591</v>
      </c>
      <c r="B1079" t="s" s="11">
        <v>9592</v>
      </c>
      <c r="C1079" t="s" s="11">
        <v>34</v>
      </c>
      <c r="D1079" t="s" s="11">
        <v>9593</v>
      </c>
      <c r="E1079" t="s" s="11">
        <v>9581</v>
      </c>
      <c r="F1079" t="s" s="11">
        <v>9594</v>
      </c>
      <c r="G1079" t="s" s="11">
        <v>9595</v>
      </c>
      <c r="H1079" s="17">
        <f>HYPERLINK("http://www.cisl.cam.ac.uk", "www.cisl.cam.ac.uk")</f>
      </c>
      <c r="I1079" t="s" s="11">
        <v>9597</v>
      </c>
      <c r="J1079" t="s" s="25">
        <v>34</v>
      </c>
      <c r="K1079" s="25">
        <v>1</v>
      </c>
      <c r="L1079" t="s" s="25">
        <v>34</v>
      </c>
      <c r="M1079" t="s" s="13">
        <v>34</v>
      </c>
      <c r="N1079" t="s" s="11">
        <v>9598</v>
      </c>
      <c r="O1079" t="s" s="11">
        <v>9599</v>
      </c>
      <c r="P1079" t="s" s="11">
        <v>9600</v>
      </c>
      <c r="Q1079" t="s" s="11">
        <v>9601</v>
      </c>
      <c r="R1079" t="s" s="11">
        <v>5425</v>
      </c>
      <c r="S1079" t="s" s="11">
        <v>47</v>
      </c>
      <c r="T1079" t="s" s="13">
        <v>9602</v>
      </c>
      <c r="U1079" t="s" s="11">
        <v>49</v>
      </c>
      <c r="V1079" t="s" s="13">
        <v>34</v>
      </c>
      <c r="W1079" t="s" s="11">
        <v>9603</v>
      </c>
      <c r="X1079" s="17">
        <f>HYPERLINK("https://my.pitchbook.com?p=425475-46P", "View People Online")</f>
      </c>
    </row>
    <row r="1080">
      <c r="A1080" t="s" s="10">
        <v>9604</v>
      </c>
      <c r="B1080" t="s" s="10">
        <v>9605</v>
      </c>
      <c r="C1080" t="s" s="10">
        <v>34</v>
      </c>
      <c r="D1080" t="s" s="10">
        <v>9606</v>
      </c>
      <c r="E1080" t="s" s="10">
        <v>9581</v>
      </c>
      <c r="F1080" t="s" s="10">
        <v>9607</v>
      </c>
      <c r="G1080" t="s" s="10">
        <v>9608</v>
      </c>
      <c r="H1080" s="16">
        <f>HYPERLINK("http://www.uvahealth.com", "www.uvahealth.com")</f>
      </c>
      <c r="I1080" t="s" s="10">
        <v>34</v>
      </c>
      <c r="J1080" t="s" s="24">
        <v>34</v>
      </c>
      <c r="K1080" t="s" s="24">
        <v>34</v>
      </c>
      <c r="L1080" t="s" s="24">
        <v>34</v>
      </c>
      <c r="M1080" t="s" s="12">
        <v>34</v>
      </c>
      <c r="N1080" t="s" s="10">
        <v>34</v>
      </c>
      <c r="O1080" t="s" s="10">
        <v>34</v>
      </c>
      <c r="P1080" t="s" s="10">
        <v>34</v>
      </c>
      <c r="Q1080" t="s" s="10">
        <v>34</v>
      </c>
      <c r="R1080" t="s" s="10">
        <v>34</v>
      </c>
      <c r="S1080" t="s" s="10">
        <v>34</v>
      </c>
      <c r="T1080" t="s" s="12">
        <v>34</v>
      </c>
      <c r="U1080" t="s" s="10">
        <v>34</v>
      </c>
      <c r="V1080" t="s" s="12">
        <v>34</v>
      </c>
      <c r="W1080" t="s" s="10">
        <v>9610</v>
      </c>
      <c r="X1080" s="16">
        <f>HYPERLINK("https://my.pitchbook.com?p=296045-74P", "View People Online")</f>
      </c>
    </row>
    <row r="1081">
      <c r="A1081" t="s" s="11">
        <v>9611</v>
      </c>
      <c r="B1081" t="s" s="11">
        <v>9612</v>
      </c>
      <c r="C1081" t="s" s="11">
        <v>34</v>
      </c>
      <c r="D1081" t="s" s="11">
        <v>9613</v>
      </c>
      <c r="E1081" t="s" s="11">
        <v>9581</v>
      </c>
      <c r="F1081" t="s" s="11">
        <v>9614</v>
      </c>
      <c r="G1081" t="s" s="11">
        <v>9615</v>
      </c>
      <c r="H1081" s="17">
        <f>HYPERLINK("http://wmich.edu", "wmich.edu")</f>
      </c>
      <c r="I1081" t="s" s="11">
        <v>9617</v>
      </c>
      <c r="J1081" t="s" s="25">
        <v>34</v>
      </c>
      <c r="K1081" s="25">
        <v>1</v>
      </c>
      <c r="L1081" t="s" s="25">
        <v>34</v>
      </c>
      <c r="M1081" t="s" s="13">
        <v>9618</v>
      </c>
      <c r="N1081" t="s" s="11">
        <v>9619</v>
      </c>
      <c r="O1081" t="s" s="11">
        <v>9620</v>
      </c>
      <c r="P1081" t="s" s="11">
        <v>34</v>
      </c>
      <c r="Q1081" t="s" s="11">
        <v>34</v>
      </c>
      <c r="R1081" t="s" s="11">
        <v>9621</v>
      </c>
      <c r="S1081" t="s" s="11">
        <v>9065</v>
      </c>
      <c r="T1081" t="s" s="13">
        <v>9622</v>
      </c>
      <c r="U1081" t="s" s="11">
        <v>88</v>
      </c>
      <c r="V1081" t="s" s="13">
        <v>9623</v>
      </c>
      <c r="W1081" t="s" s="11">
        <v>9624</v>
      </c>
      <c r="X1081" s="17">
        <f>HYPERLINK("https://my.pitchbook.com?p=340573-78P", "View People Online")</f>
      </c>
    </row>
    <row r="1082">
      <c r="A1082" t="s" s="10">
        <v>9625</v>
      </c>
      <c r="B1082" t="s" s="10">
        <v>9626</v>
      </c>
      <c r="C1082" t="s" s="10">
        <v>34</v>
      </c>
      <c r="D1082" t="s" s="10">
        <v>9627</v>
      </c>
      <c r="E1082" t="s" s="10">
        <v>9581</v>
      </c>
      <c r="F1082" t="s" s="10">
        <v>9628</v>
      </c>
      <c r="G1082" t="s" s="10">
        <v>915</v>
      </c>
      <c r="H1082" s="16">
        <f>HYPERLINK("http://sharjah.ac.ae", "sharjah.ac.ae")</f>
      </c>
      <c r="I1082" t="s" s="10">
        <v>9630</v>
      </c>
      <c r="J1082" t="s" s="24">
        <v>34</v>
      </c>
      <c r="K1082" s="24">
        <v>1</v>
      </c>
      <c r="L1082" t="s" s="24">
        <v>34</v>
      </c>
      <c r="M1082" t="s" s="12">
        <v>9631</v>
      </c>
      <c r="N1082" t="s" s="10">
        <v>34</v>
      </c>
      <c r="O1082" t="s" s="10">
        <v>336</v>
      </c>
      <c r="P1082" t="s" s="10">
        <v>9632</v>
      </c>
      <c r="Q1082" t="s" s="10">
        <v>34</v>
      </c>
      <c r="R1082" t="s" s="10">
        <v>339</v>
      </c>
      <c r="S1082" t="s" s="10">
        <v>34</v>
      </c>
      <c r="T1082" t="s" s="12">
        <v>34</v>
      </c>
      <c r="U1082" t="s" s="10">
        <v>240</v>
      </c>
      <c r="V1082" t="s" s="12">
        <v>9633</v>
      </c>
      <c r="W1082" t="s" s="10">
        <v>9634</v>
      </c>
      <c r="X1082" s="16">
        <f>HYPERLINK("https://my.pitchbook.com?p=433089-01P", "View People Online")</f>
      </c>
    </row>
    <row r="1083">
      <c r="A1083" t="s" s="11">
        <v>9635</v>
      </c>
      <c r="B1083" t="s" s="11">
        <v>9636</v>
      </c>
      <c r="C1083" t="s" s="11">
        <v>34</v>
      </c>
      <c r="D1083" t="s" s="11">
        <v>9637</v>
      </c>
      <c r="E1083" t="s" s="11">
        <v>442</v>
      </c>
      <c r="F1083" t="s" s="11">
        <v>9638</v>
      </c>
      <c r="G1083" t="s" s="11">
        <v>9266</v>
      </c>
      <c r="H1083" s="17">
        <f>HYPERLINK("http://www.seedgroup.com", "www.seedgroup.com")</f>
      </c>
      <c r="I1083" t="s" s="11">
        <v>2211</v>
      </c>
      <c r="J1083" t="s" s="25">
        <v>34</v>
      </c>
      <c r="K1083" s="25">
        <v>1</v>
      </c>
      <c r="L1083" t="s" s="25">
        <v>34</v>
      </c>
      <c r="M1083" t="s" s="13">
        <v>1691</v>
      </c>
      <c r="N1083" t="s" s="11">
        <v>34</v>
      </c>
      <c r="O1083" t="s" s="11">
        <v>236</v>
      </c>
      <c r="P1083" t="s" s="11">
        <v>9640</v>
      </c>
      <c r="Q1083" t="s" s="11">
        <v>9641</v>
      </c>
      <c r="R1083" t="s" s="11">
        <v>239</v>
      </c>
      <c r="S1083" t="s" s="11">
        <v>34</v>
      </c>
      <c r="T1083" t="s" s="13">
        <v>34</v>
      </c>
      <c r="U1083" t="s" s="11">
        <v>240</v>
      </c>
      <c r="V1083" t="s" s="13">
        <v>1694</v>
      </c>
      <c r="W1083" t="s" s="11">
        <v>9642</v>
      </c>
      <c r="X1083" s="17">
        <f>HYPERLINK("https://my.pitchbook.com?p=261182-53P", "View People Online")</f>
      </c>
    </row>
    <row r="1084">
      <c r="A1084" t="s" s="10">
        <v>9643</v>
      </c>
      <c r="B1084" t="s" s="10">
        <v>9644</v>
      </c>
      <c r="C1084" t="s" s="10">
        <v>34</v>
      </c>
      <c r="D1084" t="s" s="10">
        <v>9645</v>
      </c>
      <c r="E1084" t="s" s="10">
        <v>442</v>
      </c>
      <c r="F1084" t="s" s="10">
        <v>9646</v>
      </c>
      <c r="G1084" t="s" s="10">
        <v>9647</v>
      </c>
      <c r="H1084" s="16">
        <f>HYPERLINK("http://www.azurinnov.com", "www.azurinnov.com")</f>
      </c>
      <c r="I1084" t="s" s="10">
        <v>369</v>
      </c>
      <c r="J1084" t="s" s="24">
        <v>34</v>
      </c>
      <c r="K1084" s="24">
        <v>4</v>
      </c>
      <c r="L1084" s="24">
        <v>2</v>
      </c>
      <c r="M1084" t="s" s="12">
        <v>9649</v>
      </c>
      <c r="N1084" t="s" s="10">
        <v>9650</v>
      </c>
      <c r="O1084" t="s" s="10">
        <v>2949</v>
      </c>
      <c r="P1084" t="s" s="10">
        <v>9651</v>
      </c>
      <c r="Q1084" t="s" s="10">
        <v>9652</v>
      </c>
      <c r="R1084" t="s" s="10">
        <v>2951</v>
      </c>
      <c r="S1084" t="s" s="10">
        <v>2951</v>
      </c>
      <c r="T1084" t="s" s="12">
        <v>9653</v>
      </c>
      <c r="U1084" t="s" s="10">
        <v>2952</v>
      </c>
      <c r="V1084" t="s" s="12">
        <v>34</v>
      </c>
      <c r="W1084" t="s" s="10">
        <v>9654</v>
      </c>
      <c r="X1084" s="16">
        <f>HYPERLINK("https://my.pitchbook.com?p=286866-82P", "View People Online")</f>
      </c>
    </row>
    <row r="1085">
      <c r="A1085" t="s" s="11">
        <v>9655</v>
      </c>
      <c r="B1085" t="s" s="11">
        <v>9656</v>
      </c>
      <c r="C1085" t="s" s="11">
        <v>34</v>
      </c>
      <c r="D1085" t="s" s="11">
        <v>9657</v>
      </c>
      <c r="E1085" t="s" s="11">
        <v>442</v>
      </c>
      <c r="F1085" t="s" s="11">
        <v>9658</v>
      </c>
      <c r="G1085" t="s" s="11">
        <v>3926</v>
      </c>
      <c r="H1085" s="17">
        <f>HYPERLINK("http://www.almadaventures.com", "www.almadaventures.com")</f>
      </c>
      <c r="I1085" t="s" s="11">
        <v>9660</v>
      </c>
      <c r="J1085" t="s" s="25">
        <v>34</v>
      </c>
      <c r="K1085" t="s" s="25">
        <v>34</v>
      </c>
      <c r="L1085" t="s" s="25">
        <v>34</v>
      </c>
      <c r="M1085" t="s" s="13">
        <v>34</v>
      </c>
      <c r="N1085" t="s" s="11">
        <v>34</v>
      </c>
      <c r="O1085" t="s" s="11">
        <v>34</v>
      </c>
      <c r="P1085" t="s" s="11">
        <v>34</v>
      </c>
      <c r="Q1085" t="s" s="11">
        <v>34</v>
      </c>
      <c r="R1085" t="s" s="11">
        <v>34</v>
      </c>
      <c r="S1085" t="s" s="11">
        <v>34</v>
      </c>
      <c r="T1085" t="s" s="13">
        <v>34</v>
      </c>
      <c r="U1085" t="s" s="11">
        <v>34</v>
      </c>
      <c r="V1085" t="s" s="13">
        <v>34</v>
      </c>
      <c r="W1085" t="s" s="11">
        <v>9661</v>
      </c>
      <c r="X1085" s="17">
        <f>HYPERLINK("https://my.pitchbook.com?p=399885-67P", "View People Online")</f>
      </c>
    </row>
    <row r="1086">
      <c r="A1086" t="s" s="10">
        <v>9662</v>
      </c>
      <c r="B1086" t="s" s="10">
        <v>9663</v>
      </c>
      <c r="C1086" t="s" s="10">
        <v>34</v>
      </c>
      <c r="D1086" t="s" s="10">
        <v>9664</v>
      </c>
      <c r="E1086" t="s" s="10">
        <v>442</v>
      </c>
      <c r="F1086" t="s" s="10">
        <v>8046</v>
      </c>
      <c r="G1086" t="s" s="10">
        <v>9665</v>
      </c>
      <c r="H1086" s="16">
        <f>HYPERLINK("http://greenseedna.com", "greenseedna.com")</f>
      </c>
      <c r="I1086" t="s" s="10">
        <v>9667</v>
      </c>
      <c r="J1086" t="s" s="24">
        <v>34</v>
      </c>
      <c r="K1086" s="24">
        <v>1</v>
      </c>
      <c r="L1086" t="s" s="24">
        <v>34</v>
      </c>
      <c r="M1086" t="s" s="12">
        <v>9668</v>
      </c>
      <c r="N1086" t="s" s="10">
        <v>9669</v>
      </c>
      <c r="O1086" t="s" s="10">
        <v>2372</v>
      </c>
      <c r="P1086" t="s" s="10">
        <v>9670</v>
      </c>
      <c r="Q1086" t="s" s="10">
        <v>9671</v>
      </c>
      <c r="R1086" t="s" s="10">
        <v>2375</v>
      </c>
      <c r="S1086" t="s" s="10">
        <v>2376</v>
      </c>
      <c r="T1086" t="s" s="12">
        <v>9672</v>
      </c>
      <c r="U1086" t="s" s="10">
        <v>88</v>
      </c>
      <c r="V1086" t="s" s="12">
        <v>34</v>
      </c>
      <c r="W1086" t="s" s="10">
        <v>9673</v>
      </c>
      <c r="X1086" s="16">
        <f>HYPERLINK("https://my.pitchbook.com?p=305842-33P", "View People Online")</f>
      </c>
    </row>
    <row r="1087">
      <c r="A1087" t="s" s="11">
        <v>9674</v>
      </c>
      <c r="B1087" t="s" s="11">
        <v>1705</v>
      </c>
      <c r="C1087" t="s" s="11">
        <v>34</v>
      </c>
      <c r="D1087" t="s" s="11">
        <v>9675</v>
      </c>
      <c r="E1087" t="s" s="11">
        <v>442</v>
      </c>
      <c r="F1087" t="s" s="11">
        <v>1706</v>
      </c>
      <c r="G1087" t="s" s="11">
        <v>1707</v>
      </c>
      <c r="H1087" s="17">
        <f>HYPERLINK("http://www.seedgroup.com", "www.seedgroup.com")</f>
      </c>
      <c r="I1087" t="s" s="11">
        <v>5057</v>
      </c>
      <c r="J1087" t="s" s="25">
        <v>34</v>
      </c>
      <c r="K1087" t="s" s="25">
        <v>34</v>
      </c>
      <c r="L1087" t="s" s="25">
        <v>34</v>
      </c>
      <c r="M1087" t="s" s="13">
        <v>34</v>
      </c>
      <c r="N1087" t="s" s="11">
        <v>34</v>
      </c>
      <c r="O1087" t="s" s="11">
        <v>34</v>
      </c>
      <c r="P1087" t="s" s="11">
        <v>34</v>
      </c>
      <c r="Q1087" t="s" s="11">
        <v>34</v>
      </c>
      <c r="R1087" t="s" s="11">
        <v>34</v>
      </c>
      <c r="S1087" t="s" s="11">
        <v>34</v>
      </c>
      <c r="T1087" t="s" s="13">
        <v>34</v>
      </c>
      <c r="U1087" t="s" s="11">
        <v>34</v>
      </c>
      <c r="V1087" t="s" s="13">
        <v>34</v>
      </c>
      <c r="W1087" t="s" s="11">
        <v>9676</v>
      </c>
      <c r="X1087" s="17">
        <f>HYPERLINK("https://my.pitchbook.com?p=270670-69P", "View People Online")</f>
      </c>
    </row>
    <row r="1088">
      <c r="A1088" t="s" s="10">
        <v>9677</v>
      </c>
      <c r="B1088" t="s" s="10">
        <v>9678</v>
      </c>
      <c r="C1088" t="s" s="10">
        <v>34</v>
      </c>
      <c r="D1088" t="s" s="10">
        <v>9679</v>
      </c>
      <c r="E1088" t="s" s="10">
        <v>442</v>
      </c>
      <c r="F1088" t="s" s="10">
        <v>9680</v>
      </c>
      <c r="G1088" t="s" s="10">
        <v>9681</v>
      </c>
      <c r="H1088" s="16">
        <f>HYPERLINK("http://www.sandstorm.vc", "www.sandstorm.vc")</f>
      </c>
      <c r="I1088" t="s" s="10">
        <v>57</v>
      </c>
      <c r="J1088" s="24">
        <v>1</v>
      </c>
      <c r="K1088" s="24">
        <v>3</v>
      </c>
      <c r="L1088" s="24">
        <v>1</v>
      </c>
      <c r="M1088" t="s" s="12">
        <v>34</v>
      </c>
      <c r="N1088" t="s" s="10">
        <v>9683</v>
      </c>
      <c r="O1088" t="s" s="10">
        <v>236</v>
      </c>
      <c r="P1088" t="s" s="10">
        <v>9684</v>
      </c>
      <c r="Q1088" t="s" s="10">
        <v>34</v>
      </c>
      <c r="R1088" t="s" s="10">
        <v>239</v>
      </c>
      <c r="S1088" t="s" s="10">
        <v>34</v>
      </c>
      <c r="T1088" t="s" s="12">
        <v>34</v>
      </c>
      <c r="U1088" t="s" s="10">
        <v>240</v>
      </c>
      <c r="V1088" t="s" s="12">
        <v>34</v>
      </c>
      <c r="W1088" t="s" s="10">
        <v>9685</v>
      </c>
      <c r="X1088" s="16">
        <f>HYPERLINK("https://my.pitchbook.com?p=368276-77P", "View People Online")</f>
      </c>
    </row>
    <row r="1089">
      <c r="A1089" t="s" s="11">
        <v>9686</v>
      </c>
      <c r="B1089" t="s" s="11">
        <v>9687</v>
      </c>
      <c r="C1089" t="s" s="11">
        <v>34</v>
      </c>
      <c r="D1089" t="s" s="11">
        <v>9675</v>
      </c>
      <c r="E1089" t="s" s="11">
        <v>442</v>
      </c>
      <c r="F1089" t="s" s="11">
        <v>9688</v>
      </c>
      <c r="G1089" t="s" s="11">
        <v>2147</v>
      </c>
      <c r="H1089" s="17">
        <f>HYPERLINK("http://www.seedgroup.com", "www.seedgroup.com")</f>
      </c>
      <c r="I1089" t="s" s="11">
        <v>9689</v>
      </c>
      <c r="J1089" t="s" s="25">
        <v>34</v>
      </c>
      <c r="K1089" t="s" s="25">
        <v>34</v>
      </c>
      <c r="L1089" t="s" s="25">
        <v>34</v>
      </c>
      <c r="M1089" t="s" s="13">
        <v>34</v>
      </c>
      <c r="N1089" t="s" s="11">
        <v>34</v>
      </c>
      <c r="O1089" t="s" s="11">
        <v>34</v>
      </c>
      <c r="P1089" t="s" s="11">
        <v>34</v>
      </c>
      <c r="Q1089" t="s" s="11">
        <v>34</v>
      </c>
      <c r="R1089" t="s" s="11">
        <v>34</v>
      </c>
      <c r="S1089" t="s" s="11">
        <v>34</v>
      </c>
      <c r="T1089" t="s" s="13">
        <v>34</v>
      </c>
      <c r="U1089" t="s" s="11">
        <v>34</v>
      </c>
      <c r="V1089" t="s" s="13">
        <v>34</v>
      </c>
      <c r="W1089" t="s" s="11">
        <v>9690</v>
      </c>
      <c r="X1089" s="17">
        <f>HYPERLINK("https://my.pitchbook.com?p=337930-84P", "View People Online")</f>
      </c>
    </row>
    <row r="1090">
      <c r="A1090" t="s" s="10">
        <v>9691</v>
      </c>
      <c r="B1090" t="s" s="10">
        <v>9692</v>
      </c>
      <c r="C1090" t="s" s="10">
        <v>34</v>
      </c>
      <c r="D1090" t="s" s="10">
        <v>9664</v>
      </c>
      <c r="E1090" t="s" s="10">
        <v>442</v>
      </c>
      <c r="F1090" t="s" s="10">
        <v>5978</v>
      </c>
      <c r="G1090" t="s" s="10">
        <v>216</v>
      </c>
      <c r="H1090" s="16">
        <f>HYPERLINK("http://greenseedna.com", "greenseedna.com")</f>
      </c>
      <c r="I1090" t="s" s="10">
        <v>9693</v>
      </c>
      <c r="J1090" t="s" s="24">
        <v>34</v>
      </c>
      <c r="K1090" s="24">
        <v>1</v>
      </c>
      <c r="L1090" t="s" s="24">
        <v>34</v>
      </c>
      <c r="M1090" t="s" s="12">
        <v>9668</v>
      </c>
      <c r="N1090" t="s" s="10">
        <v>9694</v>
      </c>
      <c r="O1090" t="s" s="10">
        <v>2372</v>
      </c>
      <c r="P1090" t="s" s="10">
        <v>9670</v>
      </c>
      <c r="Q1090" t="s" s="10">
        <v>9671</v>
      </c>
      <c r="R1090" t="s" s="10">
        <v>2375</v>
      </c>
      <c r="S1090" t="s" s="10">
        <v>2376</v>
      </c>
      <c r="T1090" t="s" s="12">
        <v>9672</v>
      </c>
      <c r="U1090" t="s" s="10">
        <v>88</v>
      </c>
      <c r="V1090" t="s" s="12">
        <v>34</v>
      </c>
      <c r="W1090" t="s" s="10">
        <v>9695</v>
      </c>
      <c r="X1090" s="16">
        <f>HYPERLINK("https://my.pitchbook.com?p=213196-15P", "View People Online")</f>
      </c>
    </row>
    <row r="1091">
      <c r="A1091" t="s" s="11">
        <v>9696</v>
      </c>
      <c r="B1091" t="s" s="11">
        <v>9697</v>
      </c>
      <c r="C1091" t="s" s="11">
        <v>34</v>
      </c>
      <c r="D1091" t="s" s="11">
        <v>9698</v>
      </c>
      <c r="E1091" t="s" s="11">
        <v>442</v>
      </c>
      <c r="F1091" t="s" s="11">
        <v>9699</v>
      </c>
      <c r="G1091" t="s" s="11">
        <v>9700</v>
      </c>
      <c r="H1091" s="17">
        <f>HYPERLINK("http://braxton.com.sg", "braxton.com.sg")</f>
      </c>
      <c r="I1091" t="s" s="11">
        <v>2211</v>
      </c>
      <c r="J1091" t="s" s="25">
        <v>34</v>
      </c>
      <c r="K1091" s="25">
        <v>1</v>
      </c>
      <c r="L1091" t="s" s="25">
        <v>34</v>
      </c>
      <c r="M1091" t="s" s="13">
        <v>34</v>
      </c>
      <c r="N1091" t="s" s="11">
        <v>9702</v>
      </c>
      <c r="O1091" t="s" s="11">
        <v>525</v>
      </c>
      <c r="P1091" t="s" s="11">
        <v>9703</v>
      </c>
      <c r="Q1091" t="s" s="11">
        <v>9704</v>
      </c>
      <c r="R1091" t="s" s="11">
        <v>528</v>
      </c>
      <c r="S1091" t="s" s="11">
        <v>34</v>
      </c>
      <c r="T1091" t="s" s="13">
        <v>9705</v>
      </c>
      <c r="U1091" t="s" s="11">
        <v>528</v>
      </c>
      <c r="V1091" t="s" s="13">
        <v>34</v>
      </c>
      <c r="W1091" t="s" s="11">
        <v>9706</v>
      </c>
      <c r="X1091" s="17">
        <f>HYPERLINK("https://my.pitchbook.com?p=363567-43P", "View People Online")</f>
      </c>
    </row>
    <row r="1092">
      <c r="A1092" t="s" s="10">
        <v>9707</v>
      </c>
      <c r="B1092" t="s" s="10">
        <v>9708</v>
      </c>
      <c r="C1092" t="s" s="10">
        <v>34</v>
      </c>
      <c r="D1092" t="s" s="10">
        <v>9709</v>
      </c>
      <c r="E1092" t="s" s="10">
        <v>442</v>
      </c>
      <c r="F1092" t="s" s="10">
        <v>9710</v>
      </c>
      <c r="G1092" t="s" s="10">
        <v>9711</v>
      </c>
      <c r="H1092" t="s" s="10">
        <v>34</v>
      </c>
      <c r="I1092" t="s" s="10">
        <v>5126</v>
      </c>
      <c r="J1092" t="s" s="24">
        <v>34</v>
      </c>
      <c r="K1092" t="s" s="24">
        <v>34</v>
      </c>
      <c r="L1092" t="s" s="24">
        <v>34</v>
      </c>
      <c r="M1092" t="s" s="12">
        <v>34</v>
      </c>
      <c r="N1092" t="s" s="10">
        <v>9712</v>
      </c>
      <c r="O1092" t="s" s="10">
        <v>34</v>
      </c>
      <c r="P1092" t="s" s="10">
        <v>34</v>
      </c>
      <c r="Q1092" t="s" s="10">
        <v>34</v>
      </c>
      <c r="R1092" t="s" s="10">
        <v>34</v>
      </c>
      <c r="S1092" t="s" s="10">
        <v>34</v>
      </c>
      <c r="T1092" t="s" s="12">
        <v>34</v>
      </c>
      <c r="U1092" t="s" s="10">
        <v>34</v>
      </c>
      <c r="V1092" t="s" s="12">
        <v>34</v>
      </c>
      <c r="W1092" t="s" s="10">
        <v>9713</v>
      </c>
      <c r="X1092" s="16">
        <f>HYPERLINK("https://my.pitchbook.com?p=41993-29P", "View People Online")</f>
      </c>
    </row>
    <row r="1093">
      <c r="A1093" t="s" s="11">
        <v>9714</v>
      </c>
      <c r="B1093" t="s" s="11">
        <v>9715</v>
      </c>
      <c r="C1093" t="s" s="11">
        <v>34</v>
      </c>
      <c r="D1093" t="s" s="11">
        <v>9716</v>
      </c>
      <c r="E1093" t="s" s="11">
        <v>442</v>
      </c>
      <c r="F1093" t="s" s="11">
        <v>9717</v>
      </c>
      <c r="G1093" t="s" s="11">
        <v>9718</v>
      </c>
      <c r="H1093" s="17">
        <f>HYPERLINK("http://www.kbw-ventures.com", "www.kbw-ventures.com")</f>
      </c>
      <c r="I1093" t="s" s="11">
        <v>622</v>
      </c>
      <c r="J1093" t="s" s="25">
        <v>34</v>
      </c>
      <c r="K1093" s="25">
        <v>1</v>
      </c>
      <c r="L1093" t="s" s="25">
        <v>34</v>
      </c>
      <c r="M1093" t="s" s="13">
        <v>9720</v>
      </c>
      <c r="N1093" t="s" s="11">
        <v>34</v>
      </c>
      <c r="O1093" t="s" s="11">
        <v>2812</v>
      </c>
      <c r="P1093" t="s" s="11">
        <v>34</v>
      </c>
      <c r="Q1093" t="s" s="11">
        <v>34</v>
      </c>
      <c r="R1093" t="s" s="11">
        <v>359</v>
      </c>
      <c r="S1093" t="s" s="11">
        <v>2814</v>
      </c>
      <c r="T1093" t="s" s="13">
        <v>34</v>
      </c>
      <c r="U1093" t="s" s="11">
        <v>88</v>
      </c>
      <c r="V1093" t="s" s="13">
        <v>34</v>
      </c>
      <c r="W1093" t="s" s="11">
        <v>9721</v>
      </c>
      <c r="X1093" s="17">
        <f>HYPERLINK("https://my.pitchbook.com?p=304223-32P", "View People Online")</f>
      </c>
    </row>
    <row r="1094">
      <c r="A1094" t="s" s="10">
        <v>9722</v>
      </c>
      <c r="B1094" t="s" s="10">
        <v>9715</v>
      </c>
      <c r="C1094" t="s" s="10">
        <v>34</v>
      </c>
      <c r="D1094" t="s" s="10">
        <v>9723</v>
      </c>
      <c r="E1094" t="s" s="10">
        <v>442</v>
      </c>
      <c r="F1094" t="s" s="10">
        <v>9717</v>
      </c>
      <c r="G1094" t="s" s="10">
        <v>9718</v>
      </c>
      <c r="H1094" s="16">
        <f>HYPERLINK("http://www.proof.vc", "www.proof.vc")</f>
      </c>
      <c r="I1094" t="s" s="10">
        <v>9725</v>
      </c>
      <c r="J1094" t="s" s="24">
        <v>34</v>
      </c>
      <c r="K1094" s="24">
        <v>1</v>
      </c>
      <c r="L1094" t="s" s="24">
        <v>34</v>
      </c>
      <c r="M1094" t="s" s="12">
        <v>9726</v>
      </c>
      <c r="N1094" t="s" s="10">
        <v>34</v>
      </c>
      <c r="O1094" t="s" s="10">
        <v>7711</v>
      </c>
      <c r="P1094" t="s" s="10">
        <v>7735</v>
      </c>
      <c r="Q1094" t="s" s="10">
        <v>7736</v>
      </c>
      <c r="R1094" t="s" s="10">
        <v>7714</v>
      </c>
      <c r="S1094" t="s" s="10">
        <v>2078</v>
      </c>
      <c r="T1094" t="s" s="12">
        <v>5942</v>
      </c>
      <c r="U1094" t="s" s="10">
        <v>88</v>
      </c>
      <c r="V1094" t="s" s="12">
        <v>9727</v>
      </c>
      <c r="W1094" t="s" s="10">
        <v>9728</v>
      </c>
      <c r="X1094" s="16">
        <f>HYPERLINK("https://my.pitchbook.com?p=466646-14P", "View People Online")</f>
      </c>
    </row>
    <row r="1095">
      <c r="A1095" t="s" s="11">
        <v>9729</v>
      </c>
      <c r="B1095" t="s" s="11">
        <v>9730</v>
      </c>
      <c r="C1095" t="s" s="11">
        <v>34</v>
      </c>
      <c r="D1095" t="s" s="11">
        <v>9637</v>
      </c>
      <c r="E1095" t="s" s="11">
        <v>442</v>
      </c>
      <c r="F1095" t="s" s="11">
        <v>9731</v>
      </c>
      <c r="G1095" t="s" s="11">
        <v>9732</v>
      </c>
      <c r="H1095" s="17">
        <f>HYPERLINK("http://www.seedgroup.com", "www.seedgroup.com")</f>
      </c>
      <c r="I1095" t="s" s="11">
        <v>2211</v>
      </c>
      <c r="J1095" t="s" s="25">
        <v>34</v>
      </c>
      <c r="K1095" s="25">
        <v>1</v>
      </c>
      <c r="L1095" t="s" s="25">
        <v>34</v>
      </c>
      <c r="M1095" t="s" s="13">
        <v>1691</v>
      </c>
      <c r="N1095" t="s" s="11">
        <v>34</v>
      </c>
      <c r="O1095" t="s" s="11">
        <v>236</v>
      </c>
      <c r="P1095" t="s" s="11">
        <v>9640</v>
      </c>
      <c r="Q1095" t="s" s="11">
        <v>9641</v>
      </c>
      <c r="R1095" t="s" s="11">
        <v>239</v>
      </c>
      <c r="S1095" t="s" s="11">
        <v>34</v>
      </c>
      <c r="T1095" t="s" s="13">
        <v>34</v>
      </c>
      <c r="U1095" t="s" s="11">
        <v>240</v>
      </c>
      <c r="V1095" t="s" s="13">
        <v>1694</v>
      </c>
      <c r="W1095" t="s" s="11">
        <v>9733</v>
      </c>
      <c r="X1095" s="17">
        <f>HYPERLINK("https://my.pitchbook.com?p=414878-86P", "View People Online")</f>
      </c>
    </row>
    <row r="1096">
      <c r="A1096" t="s" s="10">
        <v>9734</v>
      </c>
      <c r="B1096" t="s" s="10">
        <v>9735</v>
      </c>
      <c r="C1096" t="s" s="10">
        <v>34</v>
      </c>
      <c r="D1096" t="s" s="10">
        <v>9716</v>
      </c>
      <c r="E1096" t="s" s="10">
        <v>442</v>
      </c>
      <c r="F1096" t="s" s="10">
        <v>9736</v>
      </c>
      <c r="G1096" t="s" s="10">
        <v>9737</v>
      </c>
      <c r="H1096" s="16">
        <f>HYPERLINK("http://www.kbw-ventures.com", "www.kbw-ventures.com")</f>
      </c>
      <c r="I1096" t="s" s="10">
        <v>9738</v>
      </c>
      <c r="J1096" t="s" s="24">
        <v>34</v>
      </c>
      <c r="K1096" s="24">
        <v>1</v>
      </c>
      <c r="L1096" t="s" s="24">
        <v>34</v>
      </c>
      <c r="M1096" t="s" s="12">
        <v>34</v>
      </c>
      <c r="N1096" t="s" s="10">
        <v>34</v>
      </c>
      <c r="O1096" t="s" s="10">
        <v>2812</v>
      </c>
      <c r="P1096" t="s" s="10">
        <v>34</v>
      </c>
      <c r="Q1096" t="s" s="10">
        <v>34</v>
      </c>
      <c r="R1096" t="s" s="10">
        <v>359</v>
      </c>
      <c r="S1096" t="s" s="10">
        <v>2814</v>
      </c>
      <c r="T1096" t="s" s="12">
        <v>34</v>
      </c>
      <c r="U1096" t="s" s="10">
        <v>88</v>
      </c>
      <c r="V1096" t="s" s="12">
        <v>34</v>
      </c>
      <c r="W1096" t="s" s="10">
        <v>9739</v>
      </c>
      <c r="X1096" s="16">
        <f>HYPERLINK("https://my.pitchbook.com?p=412776-01P", "View People Online")</f>
      </c>
    </row>
    <row r="1097">
      <c r="A1097" t="s" s="11">
        <v>9740</v>
      </c>
      <c r="B1097" t="s" s="11">
        <v>9741</v>
      </c>
      <c r="C1097" t="s" s="11">
        <v>34</v>
      </c>
      <c r="D1097" t="s" s="11">
        <v>9742</v>
      </c>
      <c r="E1097" t="s" s="11">
        <v>442</v>
      </c>
      <c r="F1097" t="s" s="11">
        <v>1960</v>
      </c>
      <c r="G1097" t="s" s="11">
        <v>9743</v>
      </c>
      <c r="H1097" s="17">
        <f>HYPERLINK("http://www.oxfordscienceenterprises.com", "www.oxfordscienceenterprises.com")</f>
      </c>
      <c r="I1097" t="s" s="11">
        <v>649</v>
      </c>
      <c r="J1097" s="25">
        <v>1</v>
      </c>
      <c r="K1097" s="25">
        <v>1</v>
      </c>
      <c r="L1097" t="s" s="25">
        <v>34</v>
      </c>
      <c r="M1097" t="s" s="13">
        <v>9745</v>
      </c>
      <c r="N1097" t="s" s="11">
        <v>34</v>
      </c>
      <c r="O1097" t="s" s="11">
        <v>9746</v>
      </c>
      <c r="P1097" t="s" s="11">
        <v>9747</v>
      </c>
      <c r="Q1097" t="s" s="11">
        <v>34</v>
      </c>
      <c r="R1097" t="s" s="11">
        <v>9748</v>
      </c>
      <c r="S1097" t="s" s="11">
        <v>47</v>
      </c>
      <c r="T1097" t="s" s="13">
        <v>9749</v>
      </c>
      <c r="U1097" t="s" s="11">
        <v>49</v>
      </c>
      <c r="V1097" t="s" s="13">
        <v>34</v>
      </c>
      <c r="W1097" t="s" s="11">
        <v>9750</v>
      </c>
      <c r="X1097" s="17">
        <f>HYPERLINK("https://my.pitchbook.com?p=429130-36P", "View People Online")</f>
      </c>
    </row>
    <row r="1098">
      <c r="A1098" t="s" s="10">
        <v>9751</v>
      </c>
      <c r="B1098" t="s" s="10">
        <v>9752</v>
      </c>
      <c r="C1098" t="s" s="10">
        <v>34</v>
      </c>
      <c r="D1098" t="s" s="10">
        <v>9753</v>
      </c>
      <c r="E1098" t="s" s="10">
        <v>442</v>
      </c>
      <c r="F1098" t="s" s="10">
        <v>9754</v>
      </c>
      <c r="G1098" t="s" s="10">
        <v>9755</v>
      </c>
      <c r="H1098" s="16">
        <f>HYPERLINK("http://diagram.vc", "diagram.vc")</f>
      </c>
      <c r="I1098" t="s" s="10">
        <v>34</v>
      </c>
      <c r="J1098" t="s" s="24">
        <v>34</v>
      </c>
      <c r="K1098" t="s" s="24">
        <v>34</v>
      </c>
      <c r="L1098" t="s" s="24">
        <v>34</v>
      </c>
      <c r="M1098" t="s" s="12">
        <v>34</v>
      </c>
      <c r="N1098" t="s" s="10">
        <v>34</v>
      </c>
      <c r="O1098" t="s" s="10">
        <v>34</v>
      </c>
      <c r="P1098" t="s" s="10">
        <v>34</v>
      </c>
      <c r="Q1098" t="s" s="10">
        <v>34</v>
      </c>
      <c r="R1098" t="s" s="10">
        <v>34</v>
      </c>
      <c r="S1098" t="s" s="10">
        <v>34</v>
      </c>
      <c r="T1098" t="s" s="12">
        <v>34</v>
      </c>
      <c r="U1098" t="s" s="10">
        <v>34</v>
      </c>
      <c r="V1098" t="s" s="12">
        <v>34</v>
      </c>
      <c r="W1098" t="s" s="10">
        <v>9757</v>
      </c>
      <c r="X1098" s="16">
        <f>HYPERLINK("https://my.pitchbook.com?p=176669-83P", "View People Online")</f>
      </c>
    </row>
    <row r="1099">
      <c r="A1099" t="s" s="11">
        <v>9758</v>
      </c>
      <c r="B1099" t="s" s="11">
        <v>9759</v>
      </c>
      <c r="C1099" t="s" s="11">
        <v>34</v>
      </c>
      <c r="D1099" t="s" s="11">
        <v>9760</v>
      </c>
      <c r="E1099" t="s" s="11">
        <v>442</v>
      </c>
      <c r="F1099" t="s" s="11">
        <v>9761</v>
      </c>
      <c r="G1099" t="s" s="11">
        <v>9762</v>
      </c>
      <c r="H1099" s="17">
        <f>HYPERLINK("http://www.kbw-ventures.com", "www.kbw-ventures.com")</f>
      </c>
      <c r="I1099" t="s" s="11">
        <v>1406</v>
      </c>
      <c r="J1099" t="s" s="25">
        <v>34</v>
      </c>
      <c r="K1099" t="s" s="25">
        <v>34</v>
      </c>
      <c r="L1099" t="s" s="25">
        <v>34</v>
      </c>
      <c r="M1099" t="s" s="13">
        <v>34</v>
      </c>
      <c r="N1099" t="s" s="11">
        <v>34</v>
      </c>
      <c r="O1099" t="s" s="11">
        <v>34</v>
      </c>
      <c r="P1099" t="s" s="11">
        <v>34</v>
      </c>
      <c r="Q1099" t="s" s="11">
        <v>34</v>
      </c>
      <c r="R1099" t="s" s="11">
        <v>34</v>
      </c>
      <c r="S1099" t="s" s="11">
        <v>34</v>
      </c>
      <c r="T1099" t="s" s="13">
        <v>34</v>
      </c>
      <c r="U1099" t="s" s="11">
        <v>34</v>
      </c>
      <c r="V1099" t="s" s="13">
        <v>34</v>
      </c>
      <c r="W1099" t="s" s="11">
        <v>9763</v>
      </c>
      <c r="X1099" s="17">
        <f>HYPERLINK("https://my.pitchbook.com?p=195081-85P", "View People Online")</f>
      </c>
    </row>
    <row r="1100">
      <c r="A1100" t="s" s="10">
        <v>9764</v>
      </c>
      <c r="B1100" t="s" s="10">
        <v>243</v>
      </c>
      <c r="C1100" t="s" s="10">
        <v>34</v>
      </c>
      <c r="D1100" t="s" s="10">
        <v>9765</v>
      </c>
      <c r="E1100" t="s" s="10">
        <v>442</v>
      </c>
      <c r="F1100" t="s" s="10">
        <v>244</v>
      </c>
      <c r="G1100" t="s" s="10">
        <v>245</v>
      </c>
      <c r="H1100" s="16">
        <f>HYPERLINK("http://www.concordeco.com", "www.concordeco.com")</f>
      </c>
      <c r="I1100" t="s" s="10">
        <v>333</v>
      </c>
      <c r="J1100" t="s" s="24">
        <v>34</v>
      </c>
      <c r="K1100" s="24">
        <v>11</v>
      </c>
      <c r="L1100" s="24">
        <v>2</v>
      </c>
      <c r="M1100" t="s" s="12">
        <v>9767</v>
      </c>
      <c r="N1100" t="s" s="10">
        <v>9768</v>
      </c>
      <c r="O1100" t="s" s="10">
        <v>5378</v>
      </c>
      <c r="P1100" t="s" s="10">
        <v>9769</v>
      </c>
      <c r="Q1100" t="s" s="10">
        <v>9770</v>
      </c>
      <c r="R1100" t="s" s="10">
        <v>5381</v>
      </c>
      <c r="S1100" t="s" s="10">
        <v>225</v>
      </c>
      <c r="T1100" t="s" s="12">
        <v>9771</v>
      </c>
      <c r="U1100" t="s" s="10">
        <v>88</v>
      </c>
      <c r="V1100" t="s" s="12">
        <v>9772</v>
      </c>
      <c r="W1100" t="s" s="10">
        <v>9773</v>
      </c>
      <c r="X1100" s="16">
        <f>HYPERLINK("https://my.pitchbook.com?p=106222-51P", "View People Online")</f>
      </c>
    </row>
    <row r="1101">
      <c r="A1101" t="s" s="11">
        <v>9774</v>
      </c>
      <c r="B1101" t="s" s="11">
        <v>9775</v>
      </c>
      <c r="C1101" t="s" s="11">
        <v>34</v>
      </c>
      <c r="D1101" t="s" s="11">
        <v>9776</v>
      </c>
      <c r="E1101" t="s" s="11">
        <v>442</v>
      </c>
      <c r="F1101" t="s" s="11">
        <v>1714</v>
      </c>
      <c r="G1101" t="s" s="11">
        <v>9777</v>
      </c>
      <c r="H1101" s="17">
        <f>HYPERLINK("http://aaf.vc", "aaf.vc")</f>
      </c>
      <c r="I1101" t="s" s="11">
        <v>3639</v>
      </c>
      <c r="J1101" t="s" s="25">
        <v>34</v>
      </c>
      <c r="K1101" t="s" s="25">
        <v>34</v>
      </c>
      <c r="L1101" t="s" s="25">
        <v>34</v>
      </c>
      <c r="M1101" t="s" s="13">
        <v>34</v>
      </c>
      <c r="N1101" t="s" s="11">
        <v>34</v>
      </c>
      <c r="O1101" t="s" s="11">
        <v>34</v>
      </c>
      <c r="P1101" t="s" s="11">
        <v>34</v>
      </c>
      <c r="Q1101" t="s" s="11">
        <v>34</v>
      </c>
      <c r="R1101" t="s" s="11">
        <v>34</v>
      </c>
      <c r="S1101" t="s" s="11">
        <v>34</v>
      </c>
      <c r="T1101" t="s" s="13">
        <v>34</v>
      </c>
      <c r="U1101" t="s" s="11">
        <v>34</v>
      </c>
      <c r="V1101" t="s" s="13">
        <v>34</v>
      </c>
      <c r="W1101" t="s" s="11">
        <v>9779</v>
      </c>
      <c r="X1101" s="17">
        <f>HYPERLINK("https://my.pitchbook.com?p=145817-02P", "View People Online")</f>
      </c>
    </row>
    <row r="1102">
      <c r="A1102" t="s" s="10">
        <v>9780</v>
      </c>
      <c r="B1102" t="s" s="10">
        <v>9781</v>
      </c>
      <c r="C1102" t="s" s="10">
        <v>34</v>
      </c>
      <c r="D1102" t="s" s="10">
        <v>9782</v>
      </c>
      <c r="E1102" t="s" s="10">
        <v>442</v>
      </c>
      <c r="F1102" t="s" s="10">
        <v>9783</v>
      </c>
      <c r="G1102" t="s" s="10">
        <v>3007</v>
      </c>
      <c r="H1102" s="16">
        <f>HYPERLINK("http://qstp.qa", "qstp.qa")</f>
      </c>
      <c r="I1102" t="s" s="10">
        <v>34</v>
      </c>
      <c r="J1102" t="s" s="24">
        <v>34</v>
      </c>
      <c r="K1102" t="s" s="24">
        <v>34</v>
      </c>
      <c r="L1102" t="s" s="24">
        <v>34</v>
      </c>
      <c r="M1102" t="s" s="12">
        <v>34</v>
      </c>
      <c r="N1102" t="s" s="10">
        <v>34</v>
      </c>
      <c r="O1102" t="s" s="10">
        <v>34</v>
      </c>
      <c r="P1102" t="s" s="10">
        <v>34</v>
      </c>
      <c r="Q1102" t="s" s="10">
        <v>34</v>
      </c>
      <c r="R1102" t="s" s="10">
        <v>34</v>
      </c>
      <c r="S1102" t="s" s="10">
        <v>34</v>
      </c>
      <c r="T1102" t="s" s="12">
        <v>34</v>
      </c>
      <c r="U1102" t="s" s="10">
        <v>34</v>
      </c>
      <c r="V1102" t="s" s="12">
        <v>34</v>
      </c>
      <c r="W1102" t="s" s="10">
        <v>9785</v>
      </c>
      <c r="X1102" s="16">
        <f>HYPERLINK("https://my.pitchbook.com?p=153915-49P", "View People Online")</f>
      </c>
    </row>
    <row r="1103">
      <c r="A1103" t="s" s="11">
        <v>9786</v>
      </c>
      <c r="B1103" t="s" s="11">
        <v>9787</v>
      </c>
      <c r="C1103" t="s" s="11">
        <v>34</v>
      </c>
      <c r="D1103" t="s" s="11">
        <v>9782</v>
      </c>
      <c r="E1103" t="s" s="11">
        <v>442</v>
      </c>
      <c r="F1103" t="s" s="11">
        <v>1356</v>
      </c>
      <c r="G1103" t="s" s="11">
        <v>3007</v>
      </c>
      <c r="H1103" s="17">
        <f>HYPERLINK("http://qstp.qa", "qstp.qa")</f>
      </c>
      <c r="I1103" t="s" s="11">
        <v>2321</v>
      </c>
      <c r="J1103" t="s" s="25">
        <v>34</v>
      </c>
      <c r="K1103" t="s" s="25">
        <v>34</v>
      </c>
      <c r="L1103" t="s" s="25">
        <v>34</v>
      </c>
      <c r="M1103" t="s" s="13">
        <v>34</v>
      </c>
      <c r="N1103" t="s" s="11">
        <v>34</v>
      </c>
      <c r="O1103" t="s" s="11">
        <v>34</v>
      </c>
      <c r="P1103" t="s" s="11">
        <v>34</v>
      </c>
      <c r="Q1103" t="s" s="11">
        <v>34</v>
      </c>
      <c r="R1103" t="s" s="11">
        <v>34</v>
      </c>
      <c r="S1103" t="s" s="11">
        <v>34</v>
      </c>
      <c r="T1103" t="s" s="13">
        <v>34</v>
      </c>
      <c r="U1103" t="s" s="11">
        <v>34</v>
      </c>
      <c r="V1103" t="s" s="13">
        <v>34</v>
      </c>
      <c r="W1103" t="s" s="11">
        <v>9788</v>
      </c>
      <c r="X1103" s="17">
        <f>HYPERLINK("https://my.pitchbook.com?p=160035-58P", "View People Online")</f>
      </c>
    </row>
    <row r="1104">
      <c r="A1104" t="s" s="10">
        <v>9789</v>
      </c>
      <c r="B1104" t="s" s="10">
        <v>9790</v>
      </c>
      <c r="C1104" t="s" s="10">
        <v>34</v>
      </c>
      <c r="D1104" t="s" s="10">
        <v>9664</v>
      </c>
      <c r="E1104" t="s" s="10">
        <v>442</v>
      </c>
      <c r="F1104" t="s" s="10">
        <v>9791</v>
      </c>
      <c r="G1104" t="s" s="10">
        <v>9792</v>
      </c>
      <c r="H1104" s="16">
        <f>HYPERLINK("http://greenseedna.com", "greenseedna.com")</f>
      </c>
      <c r="I1104" t="s" s="10">
        <v>9793</v>
      </c>
      <c r="J1104" t="s" s="24">
        <v>34</v>
      </c>
      <c r="K1104" s="24">
        <v>1</v>
      </c>
      <c r="L1104" t="s" s="24">
        <v>34</v>
      </c>
      <c r="M1104" t="s" s="12">
        <v>9668</v>
      </c>
      <c r="N1104" t="s" s="10">
        <v>34</v>
      </c>
      <c r="O1104" t="s" s="10">
        <v>2372</v>
      </c>
      <c r="P1104" t="s" s="10">
        <v>9670</v>
      </c>
      <c r="Q1104" t="s" s="10">
        <v>9671</v>
      </c>
      <c r="R1104" t="s" s="10">
        <v>2375</v>
      </c>
      <c r="S1104" t="s" s="10">
        <v>2376</v>
      </c>
      <c r="T1104" t="s" s="12">
        <v>9672</v>
      </c>
      <c r="U1104" t="s" s="10">
        <v>88</v>
      </c>
      <c r="V1104" t="s" s="12">
        <v>34</v>
      </c>
      <c r="W1104" t="s" s="10">
        <v>9794</v>
      </c>
      <c r="X1104" s="16">
        <f>HYPERLINK("https://my.pitchbook.com?p=352158-13P", "View People Online")</f>
      </c>
    </row>
    <row r="1105">
      <c r="A1105" t="s" s="11">
        <v>9795</v>
      </c>
      <c r="B1105" t="s" s="11">
        <v>9796</v>
      </c>
      <c r="C1105" t="s" s="11">
        <v>34</v>
      </c>
      <c r="D1105" t="s" s="11">
        <v>9723</v>
      </c>
      <c r="E1105" t="s" s="11">
        <v>442</v>
      </c>
      <c r="F1105" t="s" s="11">
        <v>9761</v>
      </c>
      <c r="G1105" t="s" s="11">
        <v>253</v>
      </c>
      <c r="H1105" s="17">
        <f>HYPERLINK("http://www.proof.vc", "www.proof.vc")</f>
      </c>
      <c r="I1105" t="s" s="11">
        <v>9797</v>
      </c>
      <c r="J1105" s="25">
        <v>1</v>
      </c>
      <c r="K1105" s="25">
        <v>49</v>
      </c>
      <c r="L1105" s="25">
        <v>32</v>
      </c>
      <c r="M1105" t="s" s="13">
        <v>9798</v>
      </c>
      <c r="N1105" t="s" s="11">
        <v>9799</v>
      </c>
      <c r="O1105" t="s" s="11">
        <v>7711</v>
      </c>
      <c r="P1105" t="s" s="11">
        <v>7735</v>
      </c>
      <c r="Q1105" t="s" s="11">
        <v>7736</v>
      </c>
      <c r="R1105" t="s" s="11">
        <v>7714</v>
      </c>
      <c r="S1105" t="s" s="11">
        <v>2078</v>
      </c>
      <c r="T1105" t="s" s="13">
        <v>5942</v>
      </c>
      <c r="U1105" t="s" s="11">
        <v>88</v>
      </c>
      <c r="V1105" t="s" s="13">
        <v>9727</v>
      </c>
      <c r="W1105" t="s" s="11">
        <v>9800</v>
      </c>
      <c r="X1105" s="17">
        <f>HYPERLINK("https://my.pitchbook.com?p=13144-42P", "View People Online")</f>
      </c>
    </row>
    <row r="1106">
      <c r="A1106" t="s" s="10">
        <v>9801</v>
      </c>
      <c r="B1106" t="s" s="10">
        <v>9802</v>
      </c>
      <c r="C1106" t="s" s="10">
        <v>34</v>
      </c>
      <c r="D1106" t="s" s="10">
        <v>9803</v>
      </c>
      <c r="E1106" t="s" s="10">
        <v>442</v>
      </c>
      <c r="F1106" t="s" s="10">
        <v>9804</v>
      </c>
      <c r="G1106" t="s" s="10">
        <v>9805</v>
      </c>
      <c r="H1106" s="16">
        <f>HYPERLINK("http://www.mipl.org", "www.mipl.org")</f>
      </c>
      <c r="I1106" t="s" s="10">
        <v>369</v>
      </c>
      <c r="J1106" t="s" s="24">
        <v>34</v>
      </c>
      <c r="K1106" s="24">
        <v>2</v>
      </c>
      <c r="L1106" s="24">
        <v>1</v>
      </c>
      <c r="M1106" t="s" s="12">
        <v>9807</v>
      </c>
      <c r="N1106" t="s" s="10">
        <v>9808</v>
      </c>
      <c r="O1106" t="s" s="10">
        <v>129</v>
      </c>
      <c r="P1106" t="s" s="10">
        <v>9809</v>
      </c>
      <c r="Q1106" t="s" s="10">
        <v>9810</v>
      </c>
      <c r="R1106" t="s" s="10">
        <v>132</v>
      </c>
      <c r="S1106" t="s" s="10">
        <v>34</v>
      </c>
      <c r="T1106" t="s" s="12">
        <v>9811</v>
      </c>
      <c r="U1106" t="s" s="10">
        <v>135</v>
      </c>
      <c r="V1106" t="s" s="12">
        <v>34</v>
      </c>
      <c r="W1106" t="s" s="10">
        <v>9812</v>
      </c>
      <c r="X1106" s="16">
        <f>HYPERLINK("https://my.pitchbook.com?p=264016-45P", "View People Online")</f>
      </c>
    </row>
    <row r="1107">
      <c r="A1107" t="s" s="11">
        <v>9813</v>
      </c>
      <c r="B1107" t="s" s="11">
        <v>9814</v>
      </c>
      <c r="C1107" t="s" s="11">
        <v>34</v>
      </c>
      <c r="D1107" t="s" s="11">
        <v>9815</v>
      </c>
      <c r="E1107" t="s" s="11">
        <v>442</v>
      </c>
      <c r="F1107" t="s" s="11">
        <v>9816</v>
      </c>
      <c r="G1107" t="s" s="11">
        <v>661</v>
      </c>
      <c r="H1107" s="17">
        <f>HYPERLINK("http://oasis500.com", "oasis500.com")</f>
      </c>
      <c r="I1107" t="s" s="11">
        <v>3896</v>
      </c>
      <c r="J1107" s="25">
        <v>3</v>
      </c>
      <c r="K1107" s="25">
        <v>5</v>
      </c>
      <c r="L1107" s="25">
        <v>1</v>
      </c>
      <c r="M1107" t="s" s="13">
        <v>9818</v>
      </c>
      <c r="N1107" t="s" s="11">
        <v>34</v>
      </c>
      <c r="O1107" t="s" s="11">
        <v>1209</v>
      </c>
      <c r="P1107" t="s" s="11">
        <v>9819</v>
      </c>
      <c r="Q1107" t="s" s="11">
        <v>9820</v>
      </c>
      <c r="R1107" t="s" s="11">
        <v>1211</v>
      </c>
      <c r="S1107" t="s" s="11">
        <v>34</v>
      </c>
      <c r="T1107" t="s" s="13">
        <v>9821</v>
      </c>
      <c r="U1107" t="s" s="11">
        <v>1213</v>
      </c>
      <c r="V1107" t="s" s="13">
        <v>34</v>
      </c>
      <c r="W1107" t="s" s="11">
        <v>9822</v>
      </c>
      <c r="X1107" s="17">
        <f>HYPERLINK("https://my.pitchbook.com?p=67651-30P", "View People Online")</f>
      </c>
    </row>
    <row r="1108">
      <c r="A1108" t="s" s="10">
        <v>9823</v>
      </c>
      <c r="B1108" t="s" s="10">
        <v>9824</v>
      </c>
      <c r="C1108" t="s" s="10">
        <v>34</v>
      </c>
      <c r="D1108" t="s" s="10">
        <v>9825</v>
      </c>
      <c r="E1108" t="s" s="10">
        <v>442</v>
      </c>
      <c r="F1108" t="s" s="10">
        <v>9826</v>
      </c>
      <c r="G1108" t="s" s="10">
        <v>5673</v>
      </c>
      <c r="H1108" s="16">
        <f>HYPERLINK("http://www.archipelagoventures.vc", "www.archipelagoventures.vc")</f>
      </c>
      <c r="I1108" t="s" s="10">
        <v>9828</v>
      </c>
      <c r="J1108" t="s" s="24">
        <v>34</v>
      </c>
      <c r="K1108" s="24">
        <v>1</v>
      </c>
      <c r="L1108" t="s" s="24">
        <v>34</v>
      </c>
      <c r="M1108" t="s" s="12">
        <v>34</v>
      </c>
      <c r="N1108" t="s" s="10">
        <v>34</v>
      </c>
      <c r="O1108" t="s" s="10">
        <v>43</v>
      </c>
      <c r="P1108" t="s" s="10">
        <v>9829</v>
      </c>
      <c r="Q1108" t="s" s="10">
        <v>34</v>
      </c>
      <c r="R1108" t="s" s="10">
        <v>46</v>
      </c>
      <c r="S1108" t="s" s="10">
        <v>47</v>
      </c>
      <c r="T1108" t="s" s="12">
        <v>9830</v>
      </c>
      <c r="U1108" t="s" s="10">
        <v>49</v>
      </c>
      <c r="V1108" t="s" s="12">
        <v>34</v>
      </c>
      <c r="W1108" t="s" s="10">
        <v>9831</v>
      </c>
      <c r="X1108" s="16">
        <f>HYPERLINK("https://my.pitchbook.com?p=405461-62P", "View People Online")</f>
      </c>
    </row>
    <row r="1109">
      <c r="A1109" t="s" s="11">
        <v>9832</v>
      </c>
      <c r="B1109" t="s" s="11">
        <v>9833</v>
      </c>
      <c r="C1109" t="s" s="11">
        <v>34</v>
      </c>
      <c r="D1109" t="s" s="11">
        <v>9716</v>
      </c>
      <c r="E1109" t="s" s="11">
        <v>442</v>
      </c>
      <c r="F1109" t="s" s="11">
        <v>9834</v>
      </c>
      <c r="G1109" t="s" s="11">
        <v>5706</v>
      </c>
      <c r="H1109" s="17">
        <f>HYPERLINK("http://www.kbw-ventures.com", "www.kbw-ventures.com")</f>
      </c>
      <c r="I1109" t="s" s="11">
        <v>950</v>
      </c>
      <c r="J1109" s="25">
        <v>4</v>
      </c>
      <c r="K1109" s="25">
        <v>22</v>
      </c>
      <c r="L1109" s="25">
        <v>14</v>
      </c>
      <c r="M1109" t="s" s="13">
        <v>9835</v>
      </c>
      <c r="N1109" t="s" s="11">
        <v>9836</v>
      </c>
      <c r="O1109" t="s" s="11">
        <v>236</v>
      </c>
      <c r="P1109" t="s" s="11">
        <v>34</v>
      </c>
      <c r="Q1109" t="s" s="11">
        <v>34</v>
      </c>
      <c r="R1109" t="s" s="11">
        <v>239</v>
      </c>
      <c r="S1109" t="s" s="11">
        <v>34</v>
      </c>
      <c r="T1109" t="s" s="13">
        <v>34</v>
      </c>
      <c r="U1109" t="s" s="11">
        <v>240</v>
      </c>
      <c r="V1109" t="s" s="13">
        <v>34</v>
      </c>
      <c r="W1109" t="s" s="11">
        <v>9837</v>
      </c>
      <c r="X1109" s="17">
        <f>HYPERLINK("https://my.pitchbook.com?p=175652-74P", "View People Online")</f>
      </c>
    </row>
    <row r="1110">
      <c r="A1110" t="s" s="10">
        <v>9838</v>
      </c>
      <c r="B1110" t="s" s="10">
        <v>9839</v>
      </c>
      <c r="C1110" t="s" s="10">
        <v>34</v>
      </c>
      <c r="D1110" t="s" s="10">
        <v>9840</v>
      </c>
      <c r="E1110" t="s" s="10">
        <v>442</v>
      </c>
      <c r="F1110" t="s" s="10">
        <v>9841</v>
      </c>
      <c r="G1110" t="s" s="10">
        <v>9842</v>
      </c>
      <c r="H1110" s="16">
        <f>HYPERLINK("http://www.elevarequity.com", "www.elevarequity.com")</f>
      </c>
      <c r="I1110" t="s" s="10">
        <v>1406</v>
      </c>
      <c r="J1110" s="24">
        <v>1</v>
      </c>
      <c r="K1110" s="24">
        <v>2</v>
      </c>
      <c r="L1110" t="s" s="24">
        <v>34</v>
      </c>
      <c r="M1110" t="s" s="12">
        <v>9844</v>
      </c>
      <c r="N1110" t="s" s="10">
        <v>9845</v>
      </c>
      <c r="O1110" t="s" s="10">
        <v>6920</v>
      </c>
      <c r="P1110" t="s" s="10">
        <v>9846</v>
      </c>
      <c r="Q1110" t="s" s="10">
        <v>9847</v>
      </c>
      <c r="R1110" t="s" s="10">
        <v>6923</v>
      </c>
      <c r="S1110" t="s" s="10">
        <v>6924</v>
      </c>
      <c r="T1110" t="s" s="12">
        <v>9848</v>
      </c>
      <c r="U1110" t="s" s="10">
        <v>135</v>
      </c>
      <c r="V1110" t="s" s="12">
        <v>34</v>
      </c>
      <c r="W1110" t="s" s="10">
        <v>9849</v>
      </c>
      <c r="X1110" s="16">
        <f>HYPERLINK("https://my.pitchbook.com?p=303806-53P", "View People Online")</f>
      </c>
    </row>
    <row r="1111">
      <c r="A1111" t="s" s="11">
        <v>9850</v>
      </c>
      <c r="B1111" t="s" s="11">
        <v>9851</v>
      </c>
      <c r="C1111" t="s" s="11">
        <v>34</v>
      </c>
      <c r="D1111" t="s" s="11">
        <v>9852</v>
      </c>
      <c r="E1111" t="s" s="11">
        <v>442</v>
      </c>
      <c r="F1111" t="s" s="11">
        <v>9853</v>
      </c>
      <c r="G1111" t="s" s="11">
        <v>8651</v>
      </c>
      <c r="H1111" s="17">
        <f>HYPERLINK("http://greenseedna.com", "greenseedna.com")</f>
      </c>
      <c r="I1111" t="s" s="11">
        <v>407</v>
      </c>
      <c r="J1111" t="s" s="25">
        <v>34</v>
      </c>
      <c r="K1111" t="s" s="25">
        <v>34</v>
      </c>
      <c r="L1111" t="s" s="25">
        <v>34</v>
      </c>
      <c r="M1111" t="s" s="13">
        <v>34</v>
      </c>
      <c r="N1111" t="s" s="11">
        <v>34</v>
      </c>
      <c r="O1111" t="s" s="11">
        <v>34</v>
      </c>
      <c r="P1111" t="s" s="11">
        <v>34</v>
      </c>
      <c r="Q1111" t="s" s="11">
        <v>34</v>
      </c>
      <c r="R1111" t="s" s="11">
        <v>34</v>
      </c>
      <c r="S1111" t="s" s="11">
        <v>34</v>
      </c>
      <c r="T1111" t="s" s="13">
        <v>34</v>
      </c>
      <c r="U1111" t="s" s="11">
        <v>34</v>
      </c>
      <c r="V1111" t="s" s="13">
        <v>34</v>
      </c>
      <c r="W1111" t="s" s="11">
        <v>9854</v>
      </c>
      <c r="X1111" s="17">
        <f>HYPERLINK("https://my.pitchbook.com?p=213197-86P", "View People Online")</f>
      </c>
    </row>
    <row r="1112">
      <c r="A1112" t="s" s="10">
        <v>9855</v>
      </c>
      <c r="B1112" t="s" s="10">
        <v>9856</v>
      </c>
      <c r="C1112" t="s" s="10">
        <v>34</v>
      </c>
      <c r="D1112" t="s" s="10">
        <v>9857</v>
      </c>
      <c r="E1112" t="s" s="10">
        <v>442</v>
      </c>
      <c r="F1112" t="s" s="10">
        <v>9858</v>
      </c>
      <c r="G1112" t="s" s="10">
        <v>6677</v>
      </c>
      <c r="H1112" s="16">
        <f>HYPERLINK("http://www.unicefventurefund.org", "www.unicefventurefund.org")</f>
      </c>
      <c r="I1112" t="s" s="10">
        <v>9860</v>
      </c>
      <c r="J1112" t="s" s="24">
        <v>34</v>
      </c>
      <c r="K1112" t="s" s="24">
        <v>34</v>
      </c>
      <c r="L1112" t="s" s="24">
        <v>34</v>
      </c>
      <c r="M1112" t="s" s="12">
        <v>34</v>
      </c>
      <c r="N1112" t="s" s="10">
        <v>34</v>
      </c>
      <c r="O1112" t="s" s="10">
        <v>34</v>
      </c>
      <c r="P1112" t="s" s="10">
        <v>34</v>
      </c>
      <c r="Q1112" t="s" s="10">
        <v>34</v>
      </c>
      <c r="R1112" t="s" s="10">
        <v>34</v>
      </c>
      <c r="S1112" t="s" s="10">
        <v>34</v>
      </c>
      <c r="T1112" t="s" s="12">
        <v>34</v>
      </c>
      <c r="U1112" t="s" s="10">
        <v>34</v>
      </c>
      <c r="V1112" t="s" s="12">
        <v>34</v>
      </c>
      <c r="W1112" t="s" s="10">
        <v>9861</v>
      </c>
      <c r="X1112" s="16">
        <f>HYPERLINK("https://my.pitchbook.com?p=412719-58P", "View People Online")</f>
      </c>
    </row>
    <row r="1113">
      <c r="A1113" t="s" s="11">
        <v>9862</v>
      </c>
      <c r="B1113" t="s" s="11">
        <v>9863</v>
      </c>
      <c r="C1113" t="s" s="11">
        <v>34</v>
      </c>
      <c r="D1113" t="s" s="11">
        <v>9864</v>
      </c>
      <c r="E1113" t="s" s="11">
        <v>442</v>
      </c>
      <c r="F1113" t="s" s="11">
        <v>9865</v>
      </c>
      <c r="G1113" t="s" s="11">
        <v>1564</v>
      </c>
      <c r="H1113" s="17">
        <f>HYPERLINK("http://www.xlifesciences.ch", "www.xlifesciences.ch")</f>
      </c>
      <c r="I1113" t="s" s="11">
        <v>571</v>
      </c>
      <c r="J1113" s="25">
        <v>1</v>
      </c>
      <c r="K1113" s="25">
        <v>1</v>
      </c>
      <c r="L1113" t="s" s="25">
        <v>34</v>
      </c>
      <c r="M1113" t="s" s="13">
        <v>9867</v>
      </c>
      <c r="N1113" t="s" s="11">
        <v>34</v>
      </c>
      <c r="O1113" t="s" s="11">
        <v>926</v>
      </c>
      <c r="P1113" t="s" s="11">
        <v>9868</v>
      </c>
      <c r="Q1113" t="s" s="11">
        <v>34</v>
      </c>
      <c r="R1113" t="s" s="11">
        <v>928</v>
      </c>
      <c r="S1113" t="s" s="11">
        <v>34</v>
      </c>
      <c r="T1113" t="s" s="13">
        <v>2183</v>
      </c>
      <c r="U1113" t="s" s="11">
        <v>544</v>
      </c>
      <c r="V1113" t="s" s="13">
        <v>34</v>
      </c>
      <c r="W1113" t="s" s="11">
        <v>9869</v>
      </c>
      <c r="X1113" s="17">
        <f>HYPERLINK("https://my.pitchbook.com?p=401244-04P", "View People Online")</f>
      </c>
    </row>
    <row r="1114">
      <c r="A1114" t="s" s="10">
        <v>9870</v>
      </c>
      <c r="B1114" t="s" s="10">
        <v>6033</v>
      </c>
      <c r="C1114" t="s" s="10">
        <v>34</v>
      </c>
      <c r="D1114" t="s" s="10">
        <v>9815</v>
      </c>
      <c r="E1114" t="s" s="10">
        <v>442</v>
      </c>
      <c r="F1114" t="s" s="10">
        <v>6035</v>
      </c>
      <c r="G1114" t="s" s="10">
        <v>6036</v>
      </c>
      <c r="H1114" s="16">
        <f>HYPERLINK("http://oasis500.com", "oasis500.com")</f>
      </c>
      <c r="I1114" t="s" s="10">
        <v>4834</v>
      </c>
      <c r="J1114" s="24">
        <v>1</v>
      </c>
      <c r="K1114" s="24">
        <v>1</v>
      </c>
      <c r="L1114" t="s" s="24">
        <v>34</v>
      </c>
      <c r="M1114" t="s" s="12">
        <v>9818</v>
      </c>
      <c r="N1114" t="s" s="10">
        <v>9871</v>
      </c>
      <c r="O1114" t="s" s="10">
        <v>1209</v>
      </c>
      <c r="P1114" t="s" s="10">
        <v>9819</v>
      </c>
      <c r="Q1114" t="s" s="10">
        <v>9820</v>
      </c>
      <c r="R1114" t="s" s="10">
        <v>1211</v>
      </c>
      <c r="S1114" t="s" s="10">
        <v>34</v>
      </c>
      <c r="T1114" t="s" s="12">
        <v>9821</v>
      </c>
      <c r="U1114" t="s" s="10">
        <v>1213</v>
      </c>
      <c r="V1114" t="s" s="12">
        <v>34</v>
      </c>
      <c r="W1114" t="s" s="10">
        <v>9872</v>
      </c>
      <c r="X1114" s="16">
        <f>HYPERLINK("https://my.pitchbook.com?p=53685-91P", "View People Online")</f>
      </c>
    </row>
    <row r="1115">
      <c r="A1115" t="s" s="11">
        <v>9873</v>
      </c>
      <c r="B1115" t="s" s="11">
        <v>9874</v>
      </c>
      <c r="C1115" t="s" s="11">
        <v>34</v>
      </c>
      <c r="D1115" t="s" s="11">
        <v>9716</v>
      </c>
      <c r="E1115" t="s" s="11">
        <v>442</v>
      </c>
      <c r="F1115" t="s" s="11">
        <v>9875</v>
      </c>
      <c r="G1115" t="s" s="11">
        <v>707</v>
      </c>
      <c r="H1115" s="17">
        <f>HYPERLINK("http://www.kbw-ventures.com", "www.kbw-ventures.com")</f>
      </c>
      <c r="I1115" t="s" s="11">
        <v>3176</v>
      </c>
      <c r="J1115" t="s" s="25">
        <v>34</v>
      </c>
      <c r="K1115" s="25">
        <v>2</v>
      </c>
      <c r="L1115" s="25">
        <v>1</v>
      </c>
      <c r="M1115" t="s" s="13">
        <v>9876</v>
      </c>
      <c r="N1115" t="s" s="11">
        <v>34</v>
      </c>
      <c r="O1115" t="s" s="11">
        <v>4086</v>
      </c>
      <c r="P1115" t="s" s="11">
        <v>34</v>
      </c>
      <c r="Q1115" t="s" s="11">
        <v>34</v>
      </c>
      <c r="R1115" t="s" s="11">
        <v>4088</v>
      </c>
      <c r="S1115" t="s" s="11">
        <v>1904</v>
      </c>
      <c r="T1115" t="s" s="13">
        <v>34</v>
      </c>
      <c r="U1115" t="s" s="11">
        <v>88</v>
      </c>
      <c r="V1115" t="s" s="13">
        <v>34</v>
      </c>
      <c r="W1115" t="s" s="11">
        <v>9877</v>
      </c>
      <c r="X1115" s="17">
        <f>HYPERLINK("https://my.pitchbook.com?p=195082-21P", "View People Online")</f>
      </c>
    </row>
    <row r="1116">
      <c r="A1116" t="s" s="10">
        <v>9878</v>
      </c>
      <c r="B1116" t="s" s="10">
        <v>9879</v>
      </c>
      <c r="C1116" t="s" s="10">
        <v>34</v>
      </c>
      <c r="D1116" t="s" s="10">
        <v>9880</v>
      </c>
      <c r="E1116" t="s" s="10">
        <v>442</v>
      </c>
      <c r="F1116" t="s" s="10">
        <v>9881</v>
      </c>
      <c r="G1116" t="s" s="10">
        <v>9882</v>
      </c>
      <c r="H1116" s="16">
        <f>HYPERLINK("http://www.mairgroup.com", "www.mairgroup.com")</f>
      </c>
      <c r="I1116" t="s" s="10">
        <v>649</v>
      </c>
      <c r="J1116" s="24">
        <v>1</v>
      </c>
      <c r="K1116" s="24">
        <v>1</v>
      </c>
      <c r="L1116" t="s" s="24">
        <v>34</v>
      </c>
      <c r="M1116" t="s" s="12">
        <v>34</v>
      </c>
      <c r="N1116" t="s" s="10">
        <v>34</v>
      </c>
      <c r="O1116" t="s" s="10">
        <v>385</v>
      </c>
      <c r="P1116" t="s" s="10">
        <v>9884</v>
      </c>
      <c r="Q1116" t="s" s="10">
        <v>9885</v>
      </c>
      <c r="R1116" t="s" s="10">
        <v>388</v>
      </c>
      <c r="S1116" t="s" s="10">
        <v>34</v>
      </c>
      <c r="T1116" t="s" s="12">
        <v>34</v>
      </c>
      <c r="U1116" t="s" s="10">
        <v>240</v>
      </c>
      <c r="V1116" t="s" s="12">
        <v>34</v>
      </c>
      <c r="W1116" t="s" s="10">
        <v>9886</v>
      </c>
      <c r="X1116" s="16">
        <f>HYPERLINK("https://my.pitchbook.com?p=457894-00P", "View People Online")</f>
      </c>
    </row>
    <row r="1117">
      <c r="A1117" t="s" s="11">
        <v>9887</v>
      </c>
      <c r="B1117" t="s" s="11">
        <v>9888</v>
      </c>
      <c r="C1117" t="s" s="11">
        <v>34</v>
      </c>
      <c r="D1117" t="s" s="11">
        <v>9889</v>
      </c>
      <c r="E1117" t="s" s="11">
        <v>442</v>
      </c>
      <c r="F1117" t="s" s="11">
        <v>9890</v>
      </c>
      <c r="G1117" t="s" s="11">
        <v>9891</v>
      </c>
      <c r="H1117" s="17">
        <f>HYPERLINK("http://www.novastarventures.com", "www.novastarventures.com")</f>
      </c>
      <c r="I1117" t="s" s="11">
        <v>587</v>
      </c>
      <c r="J1117" t="s" s="25">
        <v>34</v>
      </c>
      <c r="K1117" s="25">
        <v>1</v>
      </c>
      <c r="L1117" t="s" s="25">
        <v>34</v>
      </c>
      <c r="M1117" t="s" s="13">
        <v>34</v>
      </c>
      <c r="N1117" t="s" s="11">
        <v>9893</v>
      </c>
      <c r="O1117" t="s" s="11">
        <v>43</v>
      </c>
      <c r="P1117" t="s" s="11">
        <v>9894</v>
      </c>
      <c r="Q1117" t="s" s="11">
        <v>34</v>
      </c>
      <c r="R1117" t="s" s="11">
        <v>46</v>
      </c>
      <c r="S1117" t="s" s="11">
        <v>47</v>
      </c>
      <c r="T1117" t="s" s="13">
        <v>9895</v>
      </c>
      <c r="U1117" t="s" s="11">
        <v>49</v>
      </c>
      <c r="V1117" t="s" s="13">
        <v>34</v>
      </c>
      <c r="W1117" t="s" s="11">
        <v>9896</v>
      </c>
      <c r="X1117" s="17">
        <f>HYPERLINK("https://my.pitchbook.com?p=306297-28P", "View People Online")</f>
      </c>
    </row>
    <row r="1118">
      <c r="A1118" t="s" s="10">
        <v>9897</v>
      </c>
      <c r="B1118" t="s" s="10">
        <v>9898</v>
      </c>
      <c r="C1118" t="s" s="10">
        <v>34</v>
      </c>
      <c r="D1118" t="s" s="10">
        <v>9899</v>
      </c>
      <c r="E1118" t="s" s="10">
        <v>442</v>
      </c>
      <c r="F1118" t="s" s="10">
        <v>9900</v>
      </c>
      <c r="G1118" t="s" s="10">
        <v>9901</v>
      </c>
      <c r="H1118" s="16">
        <f>HYPERLINK("http://www.almadaventures.com", "www.almadaventures.com")</f>
      </c>
      <c r="I1118" t="s" s="10">
        <v>4413</v>
      </c>
      <c r="J1118" t="s" s="24">
        <v>34</v>
      </c>
      <c r="K1118" s="24">
        <v>1</v>
      </c>
      <c r="L1118" t="s" s="24">
        <v>34</v>
      </c>
      <c r="M1118" t="s" s="12">
        <v>34</v>
      </c>
      <c r="N1118" t="s" s="10">
        <v>34</v>
      </c>
      <c r="O1118" t="s" s="10">
        <v>2949</v>
      </c>
      <c r="P1118" t="s" s="10">
        <v>9902</v>
      </c>
      <c r="Q1118" t="s" s="10">
        <v>34</v>
      </c>
      <c r="R1118" t="s" s="10">
        <v>2951</v>
      </c>
      <c r="S1118" t="s" s="10">
        <v>34</v>
      </c>
      <c r="T1118" t="s" s="12">
        <v>3152</v>
      </c>
      <c r="U1118" t="s" s="10">
        <v>2952</v>
      </c>
      <c r="V1118" t="s" s="12">
        <v>34</v>
      </c>
      <c r="W1118" t="s" s="10">
        <v>9903</v>
      </c>
      <c r="X1118" s="16">
        <f>HYPERLINK("https://my.pitchbook.com?p=399880-09P", "View People Online")</f>
      </c>
    </row>
    <row r="1119">
      <c r="A1119" t="s" s="11">
        <v>9904</v>
      </c>
      <c r="B1119" t="s" s="11">
        <v>9905</v>
      </c>
      <c r="C1119" t="s" s="11">
        <v>34</v>
      </c>
      <c r="D1119" t="s" s="11">
        <v>9906</v>
      </c>
      <c r="E1119" t="s" s="11">
        <v>442</v>
      </c>
      <c r="F1119" t="s" s="11">
        <v>9907</v>
      </c>
      <c r="G1119" t="s" s="11">
        <v>9908</v>
      </c>
      <c r="H1119" s="17">
        <f>HYPERLINK("http://www.advaitacap.com", "www.advaitacap.com")</f>
      </c>
      <c r="I1119" t="s" s="11">
        <v>9910</v>
      </c>
      <c r="J1119" t="s" s="25">
        <v>34</v>
      </c>
      <c r="K1119" s="25">
        <v>2</v>
      </c>
      <c r="L1119" t="s" s="25">
        <v>34</v>
      </c>
      <c r="M1119" t="s" s="13">
        <v>9911</v>
      </c>
      <c r="N1119" t="s" s="11">
        <v>9912</v>
      </c>
      <c r="O1119" t="s" s="11">
        <v>4086</v>
      </c>
      <c r="P1119" t="s" s="11">
        <v>34</v>
      </c>
      <c r="Q1119" t="s" s="11">
        <v>34</v>
      </c>
      <c r="R1119" t="s" s="11">
        <v>4088</v>
      </c>
      <c r="S1119" t="s" s="11">
        <v>1904</v>
      </c>
      <c r="T1119" t="s" s="13">
        <v>34</v>
      </c>
      <c r="U1119" t="s" s="11">
        <v>88</v>
      </c>
      <c r="V1119" t="s" s="13">
        <v>34</v>
      </c>
      <c r="W1119" t="s" s="11">
        <v>9913</v>
      </c>
      <c r="X1119" s="17">
        <f>HYPERLINK("https://my.pitchbook.com?p=351541-45P", "View People Online")</f>
      </c>
    </row>
    <row r="1120">
      <c r="A1120" t="s" s="10">
        <v>9914</v>
      </c>
      <c r="B1120" t="s" s="10">
        <v>9915</v>
      </c>
      <c r="C1120" t="s" s="10">
        <v>34</v>
      </c>
      <c r="D1120" t="s" s="10">
        <v>9916</v>
      </c>
      <c r="E1120" t="s" s="10">
        <v>442</v>
      </c>
      <c r="F1120" t="s" s="10">
        <v>9917</v>
      </c>
      <c r="G1120" t="s" s="10">
        <v>789</v>
      </c>
      <c r="H1120" s="16">
        <f>HYPERLINK("http://www.sjifund.com", "www.sjifund.com")</f>
      </c>
      <c r="I1120" t="s" s="10">
        <v>3618</v>
      </c>
      <c r="J1120" t="s" s="24">
        <v>34</v>
      </c>
      <c r="K1120" s="24">
        <v>1</v>
      </c>
      <c r="L1120" s="24">
        <v>1</v>
      </c>
      <c r="M1120" t="s" s="12">
        <v>34</v>
      </c>
      <c r="N1120" t="s" s="10">
        <v>34</v>
      </c>
      <c r="O1120" t="s" s="10">
        <v>34</v>
      </c>
      <c r="P1120" t="s" s="10">
        <v>34</v>
      </c>
      <c r="Q1120" t="s" s="10">
        <v>34</v>
      </c>
      <c r="R1120" t="s" s="10">
        <v>34</v>
      </c>
      <c r="S1120" t="s" s="10">
        <v>34</v>
      </c>
      <c r="T1120" t="s" s="12">
        <v>34</v>
      </c>
      <c r="U1120" t="s" s="10">
        <v>34</v>
      </c>
      <c r="V1120" t="s" s="12">
        <v>34</v>
      </c>
      <c r="W1120" t="s" s="10">
        <v>9919</v>
      </c>
      <c r="X1120" s="16">
        <f>HYPERLINK("https://my.pitchbook.com?p=296506-54P", "View People Online")</f>
      </c>
    </row>
    <row r="1121">
      <c r="A1121" t="s" s="11">
        <v>9920</v>
      </c>
      <c r="B1121" t="s" s="11">
        <v>9921</v>
      </c>
      <c r="C1121" t="s" s="11">
        <v>34</v>
      </c>
      <c r="D1121" t="s" s="11">
        <v>9637</v>
      </c>
      <c r="E1121" t="s" s="11">
        <v>442</v>
      </c>
      <c r="F1121" t="s" s="11">
        <v>9922</v>
      </c>
      <c r="G1121" t="s" s="11">
        <v>789</v>
      </c>
      <c r="H1121" s="17">
        <f>HYPERLINK("http://www.seedgroup.com", "www.seedgroup.com")</f>
      </c>
      <c r="I1121" t="s" s="11">
        <v>9923</v>
      </c>
      <c r="J1121" t="s" s="25">
        <v>34</v>
      </c>
      <c r="K1121" s="25">
        <v>1</v>
      </c>
      <c r="L1121" t="s" s="25">
        <v>34</v>
      </c>
      <c r="M1121" t="s" s="13">
        <v>1691</v>
      </c>
      <c r="N1121" t="s" s="11">
        <v>34</v>
      </c>
      <c r="O1121" t="s" s="11">
        <v>236</v>
      </c>
      <c r="P1121" t="s" s="11">
        <v>9640</v>
      </c>
      <c r="Q1121" t="s" s="11">
        <v>9641</v>
      </c>
      <c r="R1121" t="s" s="11">
        <v>239</v>
      </c>
      <c r="S1121" t="s" s="11">
        <v>34</v>
      </c>
      <c r="T1121" t="s" s="13">
        <v>34</v>
      </c>
      <c r="U1121" t="s" s="11">
        <v>240</v>
      </c>
      <c r="V1121" t="s" s="13">
        <v>1694</v>
      </c>
      <c r="W1121" t="s" s="11">
        <v>9924</v>
      </c>
      <c r="X1121" s="17">
        <f>HYPERLINK("https://my.pitchbook.com?p=414883-00P", "View People Online")</f>
      </c>
    </row>
    <row r="1122">
      <c r="A1122" t="s" s="10">
        <v>9925</v>
      </c>
      <c r="B1122" t="s" s="10">
        <v>9926</v>
      </c>
      <c r="C1122" t="s" s="10">
        <v>34</v>
      </c>
      <c r="D1122" t="s" s="10">
        <v>9927</v>
      </c>
      <c r="E1122" t="s" s="10">
        <v>442</v>
      </c>
      <c r="F1122" t="s" s="10">
        <v>9928</v>
      </c>
      <c r="G1122" t="s" s="10">
        <v>9929</v>
      </c>
      <c r="H1122" s="16">
        <f>HYPERLINK("http://www.accion.org", "www.accion.org")</f>
      </c>
      <c r="I1122" t="s" s="10">
        <v>9931</v>
      </c>
      <c r="J1122" t="s" s="24">
        <v>34</v>
      </c>
      <c r="K1122" s="24">
        <v>1</v>
      </c>
      <c r="L1122" t="s" s="24">
        <v>34</v>
      </c>
      <c r="M1122" t="s" s="12">
        <v>9932</v>
      </c>
      <c r="N1122" t="s" s="10">
        <v>9933</v>
      </c>
      <c r="O1122" t="s" s="10">
        <v>2812</v>
      </c>
      <c r="P1122" t="s" s="10">
        <v>9934</v>
      </c>
      <c r="Q1122" t="s" s="10">
        <v>6689</v>
      </c>
      <c r="R1122" t="s" s="10">
        <v>359</v>
      </c>
      <c r="S1122" t="s" s="10">
        <v>2814</v>
      </c>
      <c r="T1122" t="s" s="12">
        <v>9935</v>
      </c>
      <c r="U1122" t="s" s="10">
        <v>88</v>
      </c>
      <c r="V1122" t="s" s="12">
        <v>9936</v>
      </c>
      <c r="W1122" t="s" s="10">
        <v>9937</v>
      </c>
      <c r="X1122" s="16">
        <f>HYPERLINK("https://my.pitchbook.com?p=251151-40P", "View People Online")</f>
      </c>
    </row>
    <row r="1123">
      <c r="A1123" t="s" s="11">
        <v>9938</v>
      </c>
      <c r="B1123" t="s" s="11">
        <v>6768</v>
      </c>
      <c r="C1123" t="s" s="11">
        <v>34</v>
      </c>
      <c r="D1123" t="s" s="11">
        <v>9939</v>
      </c>
      <c r="E1123" t="s" s="11">
        <v>442</v>
      </c>
      <c r="F1123" t="s" s="11">
        <v>6770</v>
      </c>
      <c r="G1123" t="s" s="11">
        <v>6771</v>
      </c>
      <c r="H1123" s="17">
        <f>HYPERLINK("http://www.3qcapital.com", "www.3qcapital.com")</f>
      </c>
      <c r="I1123" t="s" s="11">
        <v>111</v>
      </c>
      <c r="J1123" t="s" s="25">
        <v>34</v>
      </c>
      <c r="K1123" s="25">
        <v>1</v>
      </c>
      <c r="L1123" t="s" s="25">
        <v>34</v>
      </c>
      <c r="M1123" t="s" s="13">
        <v>9941</v>
      </c>
      <c r="N1123" t="s" s="11">
        <v>9942</v>
      </c>
      <c r="O1123" t="s" s="11">
        <v>9943</v>
      </c>
      <c r="P1123" t="s" s="11">
        <v>9944</v>
      </c>
      <c r="Q1123" t="s" s="11">
        <v>9945</v>
      </c>
      <c r="R1123" t="s" s="11">
        <v>9946</v>
      </c>
      <c r="S1123" t="s" s="11">
        <v>34</v>
      </c>
      <c r="T1123" t="s" s="13">
        <v>34</v>
      </c>
      <c r="U1123" t="s" s="11">
        <v>5013</v>
      </c>
      <c r="V1123" t="s" s="13">
        <v>34</v>
      </c>
      <c r="W1123" t="s" s="11">
        <v>9947</v>
      </c>
      <c r="X1123" s="17">
        <f>HYPERLINK("https://my.pitchbook.com?p=269951-23P", "View People Online")</f>
      </c>
    </row>
    <row r="1124">
      <c r="A1124" t="s" s="10">
        <v>9948</v>
      </c>
      <c r="B1124" t="s" s="10">
        <v>9949</v>
      </c>
      <c r="C1124" t="s" s="10">
        <v>34</v>
      </c>
      <c r="D1124" t="s" s="10">
        <v>9637</v>
      </c>
      <c r="E1124" t="s" s="10">
        <v>442</v>
      </c>
      <c r="F1124" t="s" s="10">
        <v>9950</v>
      </c>
      <c r="G1124" t="s" s="10">
        <v>9951</v>
      </c>
      <c r="H1124" s="16">
        <f>HYPERLINK("http://www.seedgroup.com", "www.seedgroup.com")</f>
      </c>
      <c r="I1124" t="s" s="10">
        <v>9952</v>
      </c>
      <c r="J1124" t="s" s="24">
        <v>34</v>
      </c>
      <c r="K1124" s="24">
        <v>1</v>
      </c>
      <c r="L1124" t="s" s="24">
        <v>34</v>
      </c>
      <c r="M1124" t="s" s="12">
        <v>1691</v>
      </c>
      <c r="N1124" t="s" s="10">
        <v>34</v>
      </c>
      <c r="O1124" t="s" s="10">
        <v>236</v>
      </c>
      <c r="P1124" t="s" s="10">
        <v>9640</v>
      </c>
      <c r="Q1124" t="s" s="10">
        <v>9641</v>
      </c>
      <c r="R1124" t="s" s="10">
        <v>239</v>
      </c>
      <c r="S1124" t="s" s="10">
        <v>34</v>
      </c>
      <c r="T1124" t="s" s="12">
        <v>34</v>
      </c>
      <c r="U1124" t="s" s="10">
        <v>240</v>
      </c>
      <c r="V1124" t="s" s="12">
        <v>1694</v>
      </c>
      <c r="W1124" t="s" s="10">
        <v>9953</v>
      </c>
      <c r="X1124" s="16">
        <f>HYPERLINK("https://my.pitchbook.com?p=367944-94P", "View People Online")</f>
      </c>
    </row>
    <row r="1125">
      <c r="A1125" t="s" s="11">
        <v>9954</v>
      </c>
      <c r="B1125" t="s" s="11">
        <v>9955</v>
      </c>
      <c r="C1125" t="s" s="11">
        <v>34</v>
      </c>
      <c r="D1125" t="s" s="11">
        <v>9637</v>
      </c>
      <c r="E1125" t="s" s="11">
        <v>442</v>
      </c>
      <c r="F1125" t="s" s="11">
        <v>9956</v>
      </c>
      <c r="G1125" t="s" s="11">
        <v>9957</v>
      </c>
      <c r="H1125" s="17">
        <f>HYPERLINK("http://www.seedgroup.com", "www.seedgroup.com")</f>
      </c>
      <c r="I1125" t="s" s="11">
        <v>9958</v>
      </c>
      <c r="J1125" t="s" s="25">
        <v>34</v>
      </c>
      <c r="K1125" s="25">
        <v>1</v>
      </c>
      <c r="L1125" t="s" s="25">
        <v>34</v>
      </c>
      <c r="M1125" t="s" s="13">
        <v>1691</v>
      </c>
      <c r="N1125" t="s" s="11">
        <v>9959</v>
      </c>
      <c r="O1125" t="s" s="11">
        <v>236</v>
      </c>
      <c r="P1125" t="s" s="11">
        <v>9640</v>
      </c>
      <c r="Q1125" t="s" s="11">
        <v>9641</v>
      </c>
      <c r="R1125" t="s" s="11">
        <v>239</v>
      </c>
      <c r="S1125" t="s" s="11">
        <v>34</v>
      </c>
      <c r="T1125" t="s" s="13">
        <v>34</v>
      </c>
      <c r="U1125" t="s" s="11">
        <v>240</v>
      </c>
      <c r="V1125" t="s" s="13">
        <v>1694</v>
      </c>
      <c r="W1125" t="s" s="11">
        <v>9960</v>
      </c>
      <c r="X1125" s="17">
        <f>HYPERLINK("https://my.pitchbook.com?p=437972-41P", "View People Online")</f>
      </c>
    </row>
    <row r="1126">
      <c r="A1126" t="s" s="10">
        <v>9961</v>
      </c>
      <c r="B1126" t="s" s="10">
        <v>9962</v>
      </c>
      <c r="C1126" t="s" s="10">
        <v>34</v>
      </c>
      <c r="D1126" t="s" s="10">
        <v>9637</v>
      </c>
      <c r="E1126" t="s" s="10">
        <v>442</v>
      </c>
      <c r="F1126" t="s" s="10">
        <v>9963</v>
      </c>
      <c r="G1126" t="s" s="10">
        <v>3529</v>
      </c>
      <c r="H1126" s="16">
        <f>HYPERLINK("http://www.seedgroup.com", "www.seedgroup.com")</f>
      </c>
      <c r="I1126" t="s" s="10">
        <v>2211</v>
      </c>
      <c r="J1126" t="s" s="24">
        <v>34</v>
      </c>
      <c r="K1126" s="24">
        <v>1</v>
      </c>
      <c r="L1126" t="s" s="24">
        <v>34</v>
      </c>
      <c r="M1126" t="s" s="12">
        <v>1691</v>
      </c>
      <c r="N1126" t="s" s="10">
        <v>34</v>
      </c>
      <c r="O1126" t="s" s="10">
        <v>236</v>
      </c>
      <c r="P1126" t="s" s="10">
        <v>9640</v>
      </c>
      <c r="Q1126" t="s" s="10">
        <v>9641</v>
      </c>
      <c r="R1126" t="s" s="10">
        <v>239</v>
      </c>
      <c r="S1126" t="s" s="10">
        <v>34</v>
      </c>
      <c r="T1126" t="s" s="12">
        <v>34</v>
      </c>
      <c r="U1126" t="s" s="10">
        <v>240</v>
      </c>
      <c r="V1126" t="s" s="12">
        <v>1694</v>
      </c>
      <c r="W1126" t="s" s="10">
        <v>9964</v>
      </c>
      <c r="X1126" s="16">
        <f>HYPERLINK("https://my.pitchbook.com?p=414879-04P", "View People Online")</f>
      </c>
    </row>
    <row r="1127">
      <c r="A1127" t="s" s="11">
        <v>9965</v>
      </c>
      <c r="B1127" t="s" s="11">
        <v>9966</v>
      </c>
      <c r="C1127" t="s" s="11">
        <v>34</v>
      </c>
      <c r="D1127" t="s" s="11">
        <v>9899</v>
      </c>
      <c r="E1127" t="s" s="11">
        <v>442</v>
      </c>
      <c r="F1127" t="s" s="11">
        <v>9967</v>
      </c>
      <c r="G1127" t="s" s="11">
        <v>9968</v>
      </c>
      <c r="H1127" s="17">
        <f>HYPERLINK("http://www.almadaventures.com", "www.almadaventures.com")</f>
      </c>
      <c r="I1127" t="s" s="11">
        <v>9660</v>
      </c>
      <c r="J1127" t="s" s="25">
        <v>34</v>
      </c>
      <c r="K1127" s="25">
        <v>1</v>
      </c>
      <c r="L1127" t="s" s="25">
        <v>34</v>
      </c>
      <c r="M1127" t="s" s="13">
        <v>34</v>
      </c>
      <c r="N1127" t="s" s="11">
        <v>34</v>
      </c>
      <c r="O1127" t="s" s="11">
        <v>2949</v>
      </c>
      <c r="P1127" t="s" s="11">
        <v>9902</v>
      </c>
      <c r="Q1127" t="s" s="11">
        <v>34</v>
      </c>
      <c r="R1127" t="s" s="11">
        <v>2951</v>
      </c>
      <c r="S1127" t="s" s="11">
        <v>34</v>
      </c>
      <c r="T1127" t="s" s="13">
        <v>3152</v>
      </c>
      <c r="U1127" t="s" s="11">
        <v>2952</v>
      </c>
      <c r="V1127" t="s" s="13">
        <v>34</v>
      </c>
      <c r="W1127" t="s" s="11">
        <v>9969</v>
      </c>
      <c r="X1127" s="17">
        <f>HYPERLINK("https://my.pitchbook.com?p=399878-47P", "View People Online")</f>
      </c>
    </row>
    <row r="1128">
      <c r="A1128" t="s" s="10">
        <v>9970</v>
      </c>
      <c r="B1128" t="s" s="10">
        <v>9971</v>
      </c>
      <c r="C1128" t="s" s="10">
        <v>34</v>
      </c>
      <c r="D1128" t="s" s="10">
        <v>9899</v>
      </c>
      <c r="E1128" t="s" s="10">
        <v>442</v>
      </c>
      <c r="F1128" t="s" s="10">
        <v>9972</v>
      </c>
      <c r="G1128" t="s" s="10">
        <v>9973</v>
      </c>
      <c r="H1128" s="16">
        <f>HYPERLINK("http://www.almadaventures.com", "www.almadaventures.com")</f>
      </c>
      <c r="I1128" t="s" s="10">
        <v>9974</v>
      </c>
      <c r="J1128" t="s" s="24">
        <v>34</v>
      </c>
      <c r="K1128" s="24">
        <v>1</v>
      </c>
      <c r="L1128" t="s" s="24">
        <v>34</v>
      </c>
      <c r="M1128" t="s" s="12">
        <v>34</v>
      </c>
      <c r="N1128" t="s" s="10">
        <v>34</v>
      </c>
      <c r="O1128" t="s" s="10">
        <v>2949</v>
      </c>
      <c r="P1128" t="s" s="10">
        <v>9902</v>
      </c>
      <c r="Q1128" t="s" s="10">
        <v>34</v>
      </c>
      <c r="R1128" t="s" s="10">
        <v>2951</v>
      </c>
      <c r="S1128" t="s" s="10">
        <v>34</v>
      </c>
      <c r="T1128" t="s" s="12">
        <v>3152</v>
      </c>
      <c r="U1128" t="s" s="10">
        <v>2952</v>
      </c>
      <c r="V1128" t="s" s="12">
        <v>34</v>
      </c>
      <c r="W1128" t="s" s="10">
        <v>9975</v>
      </c>
      <c r="X1128" s="16">
        <f>HYPERLINK("https://my.pitchbook.com?p=449478-91P", "View People Online")</f>
      </c>
    </row>
    <row r="1129">
      <c r="A1129" t="s" s="11">
        <v>9976</v>
      </c>
      <c r="B1129" t="s" s="11">
        <v>9977</v>
      </c>
      <c r="C1129" t="s" s="11">
        <v>34</v>
      </c>
      <c r="D1129" t="s" s="11">
        <v>9716</v>
      </c>
      <c r="E1129" t="s" s="11">
        <v>442</v>
      </c>
      <c r="F1129" t="s" s="11">
        <v>4536</v>
      </c>
      <c r="G1129" t="s" s="11">
        <v>7179</v>
      </c>
      <c r="H1129" s="17">
        <f>HYPERLINK("http://www.kbw-ventures.com", "www.kbw-ventures.com")</f>
      </c>
      <c r="I1129" t="s" s="11">
        <v>9978</v>
      </c>
      <c r="J1129" t="s" s="25">
        <v>34</v>
      </c>
      <c r="K1129" s="25">
        <v>1</v>
      </c>
      <c r="L1129" t="s" s="25">
        <v>34</v>
      </c>
      <c r="M1129" t="s" s="13">
        <v>34</v>
      </c>
      <c r="N1129" t="s" s="11">
        <v>9979</v>
      </c>
      <c r="O1129" t="s" s="11">
        <v>236</v>
      </c>
      <c r="P1129" t="s" s="11">
        <v>34</v>
      </c>
      <c r="Q1129" t="s" s="11">
        <v>34</v>
      </c>
      <c r="R1129" t="s" s="11">
        <v>239</v>
      </c>
      <c r="S1129" t="s" s="11">
        <v>34</v>
      </c>
      <c r="T1129" t="s" s="13">
        <v>34</v>
      </c>
      <c r="U1129" t="s" s="11">
        <v>240</v>
      </c>
      <c r="V1129" t="s" s="13">
        <v>34</v>
      </c>
      <c r="W1129" t="s" s="11">
        <v>9980</v>
      </c>
      <c r="X1129" s="17">
        <f>HYPERLINK("https://my.pitchbook.com?p=195082-03P", "View People Online")</f>
      </c>
    </row>
    <row r="1130">
      <c r="A1130" t="s" s="10">
        <v>9981</v>
      </c>
      <c r="B1130" t="s" s="10">
        <v>9982</v>
      </c>
      <c r="C1130" t="s" s="10">
        <v>34</v>
      </c>
      <c r="D1130" t="s" s="10">
        <v>9637</v>
      </c>
      <c r="E1130" t="s" s="10">
        <v>442</v>
      </c>
      <c r="F1130" t="s" s="10">
        <v>9983</v>
      </c>
      <c r="G1130" t="s" s="10">
        <v>9984</v>
      </c>
      <c r="H1130" s="16">
        <f>HYPERLINK("http://www.seedgroup.com", "www.seedgroup.com")</f>
      </c>
      <c r="I1130" t="s" s="10">
        <v>9985</v>
      </c>
      <c r="J1130" t="s" s="24">
        <v>34</v>
      </c>
      <c r="K1130" s="24">
        <v>1</v>
      </c>
      <c r="L1130" t="s" s="24">
        <v>34</v>
      </c>
      <c r="M1130" t="s" s="12">
        <v>1691</v>
      </c>
      <c r="N1130" t="s" s="10">
        <v>9986</v>
      </c>
      <c r="O1130" t="s" s="10">
        <v>236</v>
      </c>
      <c r="P1130" t="s" s="10">
        <v>9640</v>
      </c>
      <c r="Q1130" t="s" s="10">
        <v>9641</v>
      </c>
      <c r="R1130" t="s" s="10">
        <v>239</v>
      </c>
      <c r="S1130" t="s" s="10">
        <v>34</v>
      </c>
      <c r="T1130" t="s" s="12">
        <v>34</v>
      </c>
      <c r="U1130" t="s" s="10">
        <v>240</v>
      </c>
      <c r="V1130" t="s" s="12">
        <v>1694</v>
      </c>
      <c r="W1130" t="s" s="10">
        <v>9987</v>
      </c>
      <c r="X1130" s="16">
        <f>HYPERLINK("https://my.pitchbook.com?p=437972-59P", "View People Online")</f>
      </c>
    </row>
    <row r="1131">
      <c r="A1131" t="s" s="11">
        <v>9988</v>
      </c>
      <c r="B1131" t="s" s="11">
        <v>9989</v>
      </c>
      <c r="C1131" t="s" s="11">
        <v>34</v>
      </c>
      <c r="D1131" t="s" s="11">
        <v>9990</v>
      </c>
      <c r="E1131" t="s" s="11">
        <v>442</v>
      </c>
      <c r="F1131" t="s" s="11">
        <v>9991</v>
      </c>
      <c r="G1131" t="s" s="11">
        <v>9992</v>
      </c>
      <c r="H1131" s="17">
        <f>HYPERLINK("http://www.jabbar.com", "www.jabbar.com")</f>
      </c>
      <c r="I1131" t="s" s="11">
        <v>9994</v>
      </c>
      <c r="J1131" s="25">
        <v>2</v>
      </c>
      <c r="K1131" s="25">
        <v>29</v>
      </c>
      <c r="L1131" s="25">
        <v>25</v>
      </c>
      <c r="M1131" t="s" s="13">
        <v>9995</v>
      </c>
      <c r="N1131" t="s" s="11">
        <v>9996</v>
      </c>
      <c r="O1131" t="s" s="11">
        <v>236</v>
      </c>
      <c r="P1131" t="s" s="11">
        <v>9997</v>
      </c>
      <c r="Q1131" t="s" s="11">
        <v>9998</v>
      </c>
      <c r="R1131" t="s" s="11">
        <v>239</v>
      </c>
      <c r="S1131" t="s" s="11">
        <v>34</v>
      </c>
      <c r="T1131" t="s" s="13">
        <v>34</v>
      </c>
      <c r="U1131" t="s" s="11">
        <v>240</v>
      </c>
      <c r="V1131" t="s" s="13">
        <v>34</v>
      </c>
      <c r="W1131" t="s" s="11">
        <v>9999</v>
      </c>
      <c r="X1131" s="17">
        <f>HYPERLINK("https://my.pitchbook.com?p=58823-11P", "View People Online")</f>
      </c>
    </row>
    <row r="1132">
      <c r="A1132" t="s" s="10">
        <v>10000</v>
      </c>
      <c r="B1132" t="s" s="10">
        <v>10001</v>
      </c>
      <c r="C1132" t="s" s="10">
        <v>34</v>
      </c>
      <c r="D1132" t="s" s="10">
        <v>9664</v>
      </c>
      <c r="E1132" t="s" s="10">
        <v>442</v>
      </c>
      <c r="F1132" t="s" s="10">
        <v>10002</v>
      </c>
      <c r="G1132" t="s" s="10">
        <v>871</v>
      </c>
      <c r="H1132" s="16">
        <f>HYPERLINK("http://greenseedna.com", "greenseedna.com")</f>
      </c>
      <c r="I1132" t="s" s="10">
        <v>10003</v>
      </c>
      <c r="J1132" s="24">
        <v>1</v>
      </c>
      <c r="K1132" s="24">
        <v>2</v>
      </c>
      <c r="L1132" t="s" s="24">
        <v>34</v>
      </c>
      <c r="M1132" t="s" s="12">
        <v>9668</v>
      </c>
      <c r="N1132" t="s" s="10">
        <v>10004</v>
      </c>
      <c r="O1132" t="s" s="10">
        <v>2372</v>
      </c>
      <c r="P1132" t="s" s="10">
        <v>9670</v>
      </c>
      <c r="Q1132" t="s" s="10">
        <v>9671</v>
      </c>
      <c r="R1132" t="s" s="10">
        <v>2375</v>
      </c>
      <c r="S1132" t="s" s="10">
        <v>2376</v>
      </c>
      <c r="T1132" t="s" s="12">
        <v>9672</v>
      </c>
      <c r="U1132" t="s" s="10">
        <v>88</v>
      </c>
      <c r="V1132" t="s" s="12">
        <v>34</v>
      </c>
      <c r="W1132" t="s" s="10">
        <v>10005</v>
      </c>
      <c r="X1132" s="16">
        <f>HYPERLINK("https://my.pitchbook.com?p=213196-87P", "View People Online")</f>
      </c>
    </row>
    <row r="1133">
      <c r="A1133" t="s" s="11">
        <v>10006</v>
      </c>
      <c r="B1133" t="s" s="11">
        <v>10007</v>
      </c>
      <c r="C1133" t="s" s="11">
        <v>34</v>
      </c>
      <c r="D1133" t="s" s="11">
        <v>9637</v>
      </c>
      <c r="E1133" t="s" s="11">
        <v>442</v>
      </c>
      <c r="F1133" t="s" s="11">
        <v>10008</v>
      </c>
      <c r="G1133" t="s" s="11">
        <v>10009</v>
      </c>
      <c r="H1133" s="17">
        <f>HYPERLINK("http://www.seedgroup.com", "www.seedgroup.com")</f>
      </c>
      <c r="I1133" t="s" s="11">
        <v>2211</v>
      </c>
      <c r="J1133" t="s" s="25">
        <v>34</v>
      </c>
      <c r="K1133" s="25">
        <v>1</v>
      </c>
      <c r="L1133" t="s" s="25">
        <v>34</v>
      </c>
      <c r="M1133" t="s" s="13">
        <v>1691</v>
      </c>
      <c r="N1133" t="s" s="11">
        <v>34</v>
      </c>
      <c r="O1133" t="s" s="11">
        <v>236</v>
      </c>
      <c r="P1133" t="s" s="11">
        <v>9640</v>
      </c>
      <c r="Q1133" t="s" s="11">
        <v>9641</v>
      </c>
      <c r="R1133" t="s" s="11">
        <v>239</v>
      </c>
      <c r="S1133" t="s" s="11">
        <v>34</v>
      </c>
      <c r="T1133" t="s" s="13">
        <v>34</v>
      </c>
      <c r="U1133" t="s" s="11">
        <v>240</v>
      </c>
      <c r="V1133" t="s" s="13">
        <v>1694</v>
      </c>
      <c r="W1133" t="s" s="11">
        <v>10010</v>
      </c>
      <c r="X1133" s="17">
        <f>HYPERLINK("https://my.pitchbook.com?p=368622-10P", "View People Online")</f>
      </c>
    </row>
    <row r="1134">
      <c r="A1134" t="s" s="10">
        <v>10011</v>
      </c>
      <c r="B1134" t="s" s="10">
        <v>10012</v>
      </c>
      <c r="C1134" t="s" s="10">
        <v>34</v>
      </c>
      <c r="D1134" t="s" s="10">
        <v>10013</v>
      </c>
      <c r="E1134" t="s" s="10">
        <v>442</v>
      </c>
      <c r="F1134" t="s" s="10">
        <v>10014</v>
      </c>
      <c r="G1134" t="s" s="10">
        <v>9029</v>
      </c>
      <c r="H1134" s="16">
        <f>HYPERLINK("http://www.greensandsequity.com", "www.greensandsequity.com")</f>
      </c>
      <c r="I1134" t="s" s="10">
        <v>3030</v>
      </c>
      <c r="J1134" t="s" s="24">
        <v>34</v>
      </c>
      <c r="K1134" t="s" s="24">
        <v>34</v>
      </c>
      <c r="L1134" t="s" s="24">
        <v>34</v>
      </c>
      <c r="M1134" t="s" s="12">
        <v>34</v>
      </c>
      <c r="N1134" t="s" s="10">
        <v>34</v>
      </c>
      <c r="O1134" t="s" s="10">
        <v>34</v>
      </c>
      <c r="P1134" t="s" s="10">
        <v>34</v>
      </c>
      <c r="Q1134" t="s" s="10">
        <v>34</v>
      </c>
      <c r="R1134" t="s" s="10">
        <v>34</v>
      </c>
      <c r="S1134" t="s" s="10">
        <v>34</v>
      </c>
      <c r="T1134" t="s" s="12">
        <v>34</v>
      </c>
      <c r="U1134" t="s" s="10">
        <v>34</v>
      </c>
      <c r="V1134" t="s" s="12">
        <v>34</v>
      </c>
      <c r="W1134" t="s" s="10">
        <v>10016</v>
      </c>
      <c r="X1134" s="16">
        <f>HYPERLINK("https://my.pitchbook.com?p=58196-26P", "View People Online")</f>
      </c>
    </row>
    <row r="1135">
      <c r="A1135" t="s" s="11">
        <v>10017</v>
      </c>
      <c r="B1135" t="s" s="11">
        <v>10018</v>
      </c>
      <c r="C1135" t="s" s="11">
        <v>34</v>
      </c>
      <c r="D1135" t="s" s="11">
        <v>10013</v>
      </c>
      <c r="E1135" t="s" s="11">
        <v>442</v>
      </c>
      <c r="F1135" t="s" s="11">
        <v>10019</v>
      </c>
      <c r="G1135" t="s" s="11">
        <v>9029</v>
      </c>
      <c r="H1135" s="17">
        <f>HYPERLINK("http://www.greensandsequity.com", "www.greensandsequity.com")</f>
      </c>
      <c r="I1135" t="s" s="11">
        <v>10020</v>
      </c>
      <c r="J1135" t="s" s="25">
        <v>34</v>
      </c>
      <c r="K1135" t="s" s="25">
        <v>34</v>
      </c>
      <c r="L1135" t="s" s="25">
        <v>34</v>
      </c>
      <c r="M1135" t="s" s="13">
        <v>34</v>
      </c>
      <c r="N1135" t="s" s="11">
        <v>34</v>
      </c>
      <c r="O1135" t="s" s="11">
        <v>34</v>
      </c>
      <c r="P1135" t="s" s="11">
        <v>34</v>
      </c>
      <c r="Q1135" t="s" s="11">
        <v>34</v>
      </c>
      <c r="R1135" t="s" s="11">
        <v>34</v>
      </c>
      <c r="S1135" t="s" s="11">
        <v>34</v>
      </c>
      <c r="T1135" t="s" s="13">
        <v>34</v>
      </c>
      <c r="U1135" t="s" s="11">
        <v>34</v>
      </c>
      <c r="V1135" t="s" s="13">
        <v>34</v>
      </c>
      <c r="W1135" t="s" s="11">
        <v>10021</v>
      </c>
      <c r="X1135" s="17">
        <f>HYPERLINK("https://my.pitchbook.com?p=199102-42P", "View People Online")</f>
      </c>
    </row>
    <row r="1136">
      <c r="A1136" t="s" s="10">
        <v>10022</v>
      </c>
      <c r="B1136" t="s" s="10">
        <v>10023</v>
      </c>
      <c r="C1136" t="s" s="10">
        <v>34</v>
      </c>
      <c r="D1136" t="s" s="10">
        <v>10024</v>
      </c>
      <c r="E1136" t="s" s="10">
        <v>442</v>
      </c>
      <c r="F1136" t="s" s="10">
        <v>10025</v>
      </c>
      <c r="G1136" t="s" s="10">
        <v>7436</v>
      </c>
      <c r="H1136" s="16">
        <f>HYPERLINK("http://www.atomico.com", "www.atomico.com")</f>
      </c>
      <c r="I1136" t="s" s="10">
        <v>10027</v>
      </c>
      <c r="J1136" t="s" s="24">
        <v>34</v>
      </c>
      <c r="K1136" s="24">
        <v>1</v>
      </c>
      <c r="L1136" t="s" s="24">
        <v>34</v>
      </c>
      <c r="M1136" t="s" s="12">
        <v>10028</v>
      </c>
      <c r="N1136" t="s" s="10">
        <v>10029</v>
      </c>
      <c r="O1136" t="s" s="10">
        <v>43</v>
      </c>
      <c r="P1136" t="s" s="10">
        <v>10030</v>
      </c>
      <c r="Q1136" t="s" s="10">
        <v>34</v>
      </c>
      <c r="R1136" t="s" s="10">
        <v>46</v>
      </c>
      <c r="S1136" t="s" s="10">
        <v>47</v>
      </c>
      <c r="T1136" t="s" s="12">
        <v>10031</v>
      </c>
      <c r="U1136" t="s" s="10">
        <v>49</v>
      </c>
      <c r="V1136" t="s" s="12">
        <v>34</v>
      </c>
      <c r="W1136" t="s" s="10">
        <v>10032</v>
      </c>
      <c r="X1136" s="16">
        <f>HYPERLINK("https://my.pitchbook.com?p=326542-78P", "View People Online")</f>
      </c>
    </row>
    <row r="1137">
      <c r="A1137" t="s" s="11">
        <v>10033</v>
      </c>
      <c r="B1137" t="s" s="11">
        <v>10034</v>
      </c>
      <c r="C1137" t="s" s="11">
        <v>34</v>
      </c>
      <c r="D1137" t="s" s="11">
        <v>10035</v>
      </c>
      <c r="E1137" t="s" s="11">
        <v>442</v>
      </c>
      <c r="F1137" t="s" s="11">
        <v>10036</v>
      </c>
      <c r="G1137" t="s" s="11">
        <v>10037</v>
      </c>
      <c r="H1137" s="17">
        <f>HYPERLINK("http://www.cindicates.com", "www.cindicates.com")</f>
      </c>
      <c r="I1137" t="s" s="11">
        <v>9725</v>
      </c>
      <c r="J1137" t="s" s="25">
        <v>34</v>
      </c>
      <c r="K1137" s="25">
        <v>9</v>
      </c>
      <c r="L1137" s="25">
        <v>7</v>
      </c>
      <c r="M1137" t="s" s="13">
        <v>10039</v>
      </c>
      <c r="N1137" t="s" s="11">
        <v>34</v>
      </c>
      <c r="O1137" t="s" s="11">
        <v>10040</v>
      </c>
      <c r="P1137" t="s" s="11">
        <v>10041</v>
      </c>
      <c r="Q1137" t="s" s="11">
        <v>34</v>
      </c>
      <c r="R1137" t="s" s="11">
        <v>967</v>
      </c>
      <c r="S1137" t="s" s="11">
        <v>4568</v>
      </c>
      <c r="T1137" t="s" s="13">
        <v>10042</v>
      </c>
      <c r="U1137" t="s" s="11">
        <v>1613</v>
      </c>
      <c r="V1137" t="s" s="13">
        <v>34</v>
      </c>
      <c r="W1137" t="s" s="11">
        <v>10043</v>
      </c>
      <c r="X1137" s="17">
        <f>HYPERLINK("https://my.pitchbook.com?p=74404-63P", "View People Online")</f>
      </c>
    </row>
    <row r="1138">
      <c r="A1138" t="s" s="10">
        <v>10044</v>
      </c>
      <c r="B1138" t="s" s="10">
        <v>10045</v>
      </c>
      <c r="C1138" t="s" s="10">
        <v>34</v>
      </c>
      <c r="D1138" t="s" s="10">
        <v>10046</v>
      </c>
      <c r="E1138" t="s" s="10">
        <v>442</v>
      </c>
      <c r="F1138" t="s" s="10">
        <v>10047</v>
      </c>
      <c r="G1138" t="s" s="10">
        <v>10048</v>
      </c>
      <c r="H1138" s="16">
        <f>HYPERLINK("http://www.h7biocapital.com", "www.h7biocapital.com")</f>
      </c>
      <c r="I1138" t="s" s="10">
        <v>2211</v>
      </c>
      <c r="J1138" t="s" s="24">
        <v>34</v>
      </c>
      <c r="K1138" s="24">
        <v>1</v>
      </c>
      <c r="L1138" t="s" s="24">
        <v>34</v>
      </c>
      <c r="M1138" t="s" s="12">
        <v>34</v>
      </c>
      <c r="N1138" t="s" s="10">
        <v>34</v>
      </c>
      <c r="O1138" t="s" s="10">
        <v>4086</v>
      </c>
      <c r="P1138" t="s" s="10">
        <v>34</v>
      </c>
      <c r="Q1138" t="s" s="10">
        <v>34</v>
      </c>
      <c r="R1138" t="s" s="10">
        <v>4088</v>
      </c>
      <c r="S1138" t="s" s="10">
        <v>1904</v>
      </c>
      <c r="T1138" t="s" s="12">
        <v>34</v>
      </c>
      <c r="U1138" t="s" s="10">
        <v>88</v>
      </c>
      <c r="V1138" t="s" s="12">
        <v>34</v>
      </c>
      <c r="W1138" t="s" s="10">
        <v>10050</v>
      </c>
      <c r="X1138" s="16">
        <f>HYPERLINK("https://my.pitchbook.com?p=371288-71P", "View People Online")</f>
      </c>
    </row>
    <row r="1139">
      <c r="A1139" t="s" s="11">
        <v>10051</v>
      </c>
      <c r="B1139" t="s" s="11">
        <v>10052</v>
      </c>
      <c r="C1139" t="s" s="11">
        <v>34</v>
      </c>
      <c r="D1139" t="s" s="11">
        <v>9899</v>
      </c>
      <c r="E1139" t="s" s="11">
        <v>442</v>
      </c>
      <c r="F1139" t="s" s="11">
        <v>10053</v>
      </c>
      <c r="G1139" t="s" s="11">
        <v>9043</v>
      </c>
      <c r="H1139" s="17">
        <f>HYPERLINK("http://www.almadaventures.com", "www.almadaventures.com")</f>
      </c>
      <c r="I1139" t="s" s="11">
        <v>10054</v>
      </c>
      <c r="J1139" t="s" s="25">
        <v>34</v>
      </c>
      <c r="K1139" s="25">
        <v>1</v>
      </c>
      <c r="L1139" t="s" s="25">
        <v>34</v>
      </c>
      <c r="M1139" t="s" s="13">
        <v>34</v>
      </c>
      <c r="N1139" t="s" s="11">
        <v>34</v>
      </c>
      <c r="O1139" t="s" s="11">
        <v>2949</v>
      </c>
      <c r="P1139" t="s" s="11">
        <v>9902</v>
      </c>
      <c r="Q1139" t="s" s="11">
        <v>34</v>
      </c>
      <c r="R1139" t="s" s="11">
        <v>2951</v>
      </c>
      <c r="S1139" t="s" s="11">
        <v>34</v>
      </c>
      <c r="T1139" t="s" s="13">
        <v>3152</v>
      </c>
      <c r="U1139" t="s" s="11">
        <v>2952</v>
      </c>
      <c r="V1139" t="s" s="13">
        <v>34</v>
      </c>
      <c r="W1139" t="s" s="11">
        <v>10055</v>
      </c>
      <c r="X1139" s="17">
        <f>HYPERLINK("https://my.pitchbook.com?p=361592-92P", "View People Online")</f>
      </c>
    </row>
    <row r="1140">
      <c r="A1140" t="s" s="10">
        <v>10056</v>
      </c>
      <c r="B1140" t="s" s="10">
        <v>10057</v>
      </c>
      <c r="C1140" t="s" s="10">
        <v>34</v>
      </c>
      <c r="D1140" t="s" s="10">
        <v>9760</v>
      </c>
      <c r="E1140" t="s" s="10">
        <v>442</v>
      </c>
      <c r="F1140" t="s" s="10">
        <v>10058</v>
      </c>
      <c r="G1140" t="s" s="10">
        <v>10059</v>
      </c>
      <c r="H1140" s="16">
        <f>HYPERLINK("http://www.kbw-ventures.com", "www.kbw-ventures.com")</f>
      </c>
      <c r="I1140" t="s" s="10">
        <v>10060</v>
      </c>
      <c r="J1140" t="s" s="24">
        <v>34</v>
      </c>
      <c r="K1140" t="s" s="24">
        <v>34</v>
      </c>
      <c r="L1140" t="s" s="24">
        <v>34</v>
      </c>
      <c r="M1140" t="s" s="12">
        <v>34</v>
      </c>
      <c r="N1140" t="s" s="10">
        <v>34</v>
      </c>
      <c r="O1140" t="s" s="10">
        <v>34</v>
      </c>
      <c r="P1140" t="s" s="10">
        <v>34</v>
      </c>
      <c r="Q1140" t="s" s="10">
        <v>34</v>
      </c>
      <c r="R1140" t="s" s="10">
        <v>34</v>
      </c>
      <c r="S1140" t="s" s="10">
        <v>34</v>
      </c>
      <c r="T1140" t="s" s="12">
        <v>34</v>
      </c>
      <c r="U1140" t="s" s="10">
        <v>34</v>
      </c>
      <c r="V1140" t="s" s="12">
        <v>34</v>
      </c>
      <c r="W1140" t="s" s="10">
        <v>10061</v>
      </c>
      <c r="X1140" s="16">
        <f>HYPERLINK("https://my.pitchbook.com?p=411464-89P", "View People Online")</f>
      </c>
    </row>
    <row r="1141">
      <c r="A1141" t="s" s="11">
        <v>10062</v>
      </c>
      <c r="B1141" t="s" s="11">
        <v>10063</v>
      </c>
      <c r="C1141" t="s" s="11">
        <v>34</v>
      </c>
      <c r="D1141" t="s" s="11">
        <v>10064</v>
      </c>
      <c r="E1141" t="s" s="11">
        <v>442</v>
      </c>
      <c r="F1141" t="s" s="11">
        <v>10065</v>
      </c>
      <c r="G1141" t="s" s="11">
        <v>7707</v>
      </c>
      <c r="H1141" s="17">
        <f>HYPERLINK("http://mlgroup.com.sg", "mlgroup.com.sg")</f>
      </c>
      <c r="I1141" t="s" s="11">
        <v>10067</v>
      </c>
      <c r="J1141" t="s" s="25">
        <v>34</v>
      </c>
      <c r="K1141" s="25">
        <v>1</v>
      </c>
      <c r="L1141" t="s" s="25">
        <v>34</v>
      </c>
      <c r="M1141" t="s" s="13">
        <v>10068</v>
      </c>
      <c r="N1141" t="s" s="11">
        <v>10069</v>
      </c>
      <c r="O1141" t="s" s="11">
        <v>525</v>
      </c>
      <c r="P1141" t="s" s="11">
        <v>10070</v>
      </c>
      <c r="Q1141" t="s" s="11">
        <v>10071</v>
      </c>
      <c r="R1141" t="s" s="11">
        <v>528</v>
      </c>
      <c r="S1141" t="s" s="11">
        <v>34</v>
      </c>
      <c r="T1141" t="s" s="13">
        <v>10072</v>
      </c>
      <c r="U1141" t="s" s="11">
        <v>528</v>
      </c>
      <c r="V1141" t="s" s="13">
        <v>10073</v>
      </c>
      <c r="W1141" t="s" s="11">
        <v>10074</v>
      </c>
      <c r="X1141" s="17">
        <f>HYPERLINK("https://my.pitchbook.com?p=228457-00P", "View People Online")</f>
      </c>
    </row>
    <row r="1142">
      <c r="A1142" t="s" s="10">
        <v>10075</v>
      </c>
      <c r="B1142" t="s" s="10">
        <v>10076</v>
      </c>
      <c r="C1142" t="s" s="10">
        <v>34</v>
      </c>
      <c r="D1142" t="s" s="10">
        <v>10077</v>
      </c>
      <c r="E1142" t="s" s="10">
        <v>442</v>
      </c>
      <c r="F1142" t="s" s="10">
        <v>10078</v>
      </c>
      <c r="G1142" t="s" s="10">
        <v>10079</v>
      </c>
      <c r="H1142" s="16">
        <f>HYPERLINK("http://www.global.vc", "www.global.vc")</f>
      </c>
      <c r="I1142" t="s" s="10">
        <v>2149</v>
      </c>
      <c r="J1142" s="24">
        <v>1</v>
      </c>
      <c r="K1142" s="24">
        <v>1</v>
      </c>
      <c r="L1142" t="s" s="24">
        <v>34</v>
      </c>
      <c r="M1142" t="s" s="12">
        <v>10081</v>
      </c>
      <c r="N1142" t="s" s="10">
        <v>34</v>
      </c>
      <c r="O1142" t="s" s="10">
        <v>385</v>
      </c>
      <c r="P1142" t="s" s="10">
        <v>10082</v>
      </c>
      <c r="Q1142" t="s" s="10">
        <v>10083</v>
      </c>
      <c r="R1142" t="s" s="10">
        <v>388</v>
      </c>
      <c r="S1142" t="s" s="10">
        <v>34</v>
      </c>
      <c r="T1142" t="s" s="12">
        <v>34</v>
      </c>
      <c r="U1142" t="s" s="10">
        <v>240</v>
      </c>
      <c r="V1142" t="s" s="12">
        <v>34</v>
      </c>
      <c r="W1142" t="s" s="10">
        <v>10084</v>
      </c>
      <c r="X1142" s="16">
        <f>HYPERLINK("https://my.pitchbook.com?p=321148-09P", "View People Online")</f>
      </c>
    </row>
    <row r="1143">
      <c r="A1143" t="s" s="11">
        <v>10085</v>
      </c>
      <c r="B1143" t="s" s="11">
        <v>10086</v>
      </c>
      <c r="C1143" t="s" s="11">
        <v>34</v>
      </c>
      <c r="D1143" t="s" s="11">
        <v>10087</v>
      </c>
      <c r="E1143" t="s" s="11">
        <v>442</v>
      </c>
      <c r="F1143" t="s" s="11">
        <v>10088</v>
      </c>
      <c r="G1143" t="s" s="11">
        <v>93</v>
      </c>
      <c r="H1143" s="17">
        <f>HYPERLINK("http://www.lindencapital.de", "www.lindencapital.de")</f>
      </c>
      <c r="I1143" t="s" s="11">
        <v>10090</v>
      </c>
      <c r="J1143" t="s" s="25">
        <v>34</v>
      </c>
      <c r="K1143" s="25">
        <v>17</v>
      </c>
      <c r="L1143" s="25">
        <v>7</v>
      </c>
      <c r="M1143" t="s" s="13">
        <v>10091</v>
      </c>
      <c r="N1143" t="s" s="11">
        <v>10092</v>
      </c>
      <c r="O1143" t="s" s="11">
        <v>1177</v>
      </c>
      <c r="P1143" t="s" s="11">
        <v>10093</v>
      </c>
      <c r="Q1143" t="s" s="11">
        <v>34</v>
      </c>
      <c r="R1143" t="s" s="11">
        <v>1179</v>
      </c>
      <c r="S1143" t="s" s="11">
        <v>34</v>
      </c>
      <c r="T1143" t="s" s="13">
        <v>10094</v>
      </c>
      <c r="U1143" t="s" s="11">
        <v>1181</v>
      </c>
      <c r="V1143" t="s" s="13">
        <v>34</v>
      </c>
      <c r="W1143" t="s" s="11">
        <v>10095</v>
      </c>
      <c r="X1143" s="17">
        <f>HYPERLINK("https://my.pitchbook.com?p=84365-65P", "View People Online")</f>
      </c>
    </row>
    <row r="1144">
      <c r="A1144" t="s" s="10">
        <v>10096</v>
      </c>
      <c r="B1144" t="s" s="10">
        <v>10097</v>
      </c>
      <c r="C1144" t="s" s="10">
        <v>34</v>
      </c>
      <c r="D1144" t="s" s="10">
        <v>10098</v>
      </c>
      <c r="E1144" t="s" s="10">
        <v>442</v>
      </c>
      <c r="F1144" t="s" s="10">
        <v>10099</v>
      </c>
      <c r="G1144" t="s" s="10">
        <v>93</v>
      </c>
      <c r="H1144" s="16">
        <f>HYPERLINK("http://www.em.vc", "www.em.vc")</f>
      </c>
      <c r="I1144" t="s" s="10">
        <v>2211</v>
      </c>
      <c r="J1144" t="s" s="24">
        <v>34</v>
      </c>
      <c r="K1144" s="24">
        <v>5</v>
      </c>
      <c r="L1144" s="24">
        <v>4</v>
      </c>
      <c r="M1144" t="s" s="12">
        <v>10101</v>
      </c>
      <c r="N1144" t="s" s="10">
        <v>34</v>
      </c>
      <c r="O1144" t="s" s="10">
        <v>84</v>
      </c>
      <c r="P1144" t="s" s="10">
        <v>34</v>
      </c>
      <c r="Q1144" t="s" s="10">
        <v>34</v>
      </c>
      <c r="R1144" t="s" s="10">
        <v>86</v>
      </c>
      <c r="S1144" t="s" s="10">
        <v>86</v>
      </c>
      <c r="T1144" t="s" s="12">
        <v>10102</v>
      </c>
      <c r="U1144" t="s" s="10">
        <v>88</v>
      </c>
      <c r="V1144" t="s" s="12">
        <v>34</v>
      </c>
      <c r="W1144" t="s" s="10">
        <v>10103</v>
      </c>
      <c r="X1144" s="16">
        <f>HYPERLINK("https://my.pitchbook.com?p=59001-22P", "View People Online")</f>
      </c>
    </row>
    <row r="1145">
      <c r="A1145" t="s" s="11">
        <v>10104</v>
      </c>
      <c r="B1145" t="s" s="11">
        <v>10105</v>
      </c>
      <c r="C1145" t="s" s="11">
        <v>377</v>
      </c>
      <c r="D1145" t="s" s="11">
        <v>9899</v>
      </c>
      <c r="E1145" t="s" s="11">
        <v>442</v>
      </c>
      <c r="F1145" t="s" s="11">
        <v>10106</v>
      </c>
      <c r="G1145" t="s" s="11">
        <v>10107</v>
      </c>
      <c r="H1145" s="17">
        <f>HYPERLINK("http://www.almadaventures.com", "www.almadaventures.com")</f>
      </c>
      <c r="I1145" t="s" s="11">
        <v>10108</v>
      </c>
      <c r="J1145" t="s" s="25">
        <v>34</v>
      </c>
      <c r="K1145" s="25">
        <v>6</v>
      </c>
      <c r="L1145" s="25">
        <v>4</v>
      </c>
      <c r="M1145" t="s" s="13">
        <v>34</v>
      </c>
      <c r="N1145" t="s" s="11">
        <v>34</v>
      </c>
      <c r="O1145" t="s" s="11">
        <v>2949</v>
      </c>
      <c r="P1145" t="s" s="11">
        <v>9902</v>
      </c>
      <c r="Q1145" t="s" s="11">
        <v>34</v>
      </c>
      <c r="R1145" t="s" s="11">
        <v>2951</v>
      </c>
      <c r="S1145" t="s" s="11">
        <v>34</v>
      </c>
      <c r="T1145" t="s" s="13">
        <v>3152</v>
      </c>
      <c r="U1145" t="s" s="11">
        <v>2952</v>
      </c>
      <c r="V1145" t="s" s="13">
        <v>34</v>
      </c>
      <c r="W1145" t="s" s="11">
        <v>10109</v>
      </c>
      <c r="X1145" s="17">
        <f>HYPERLINK("https://my.pitchbook.com?p=201272-59P", "View People Online")</f>
      </c>
    </row>
    <row r="1146">
      <c r="A1146" t="s" s="10">
        <v>10110</v>
      </c>
      <c r="B1146" t="s" s="10">
        <v>10111</v>
      </c>
      <c r="C1146" t="s" s="10">
        <v>34</v>
      </c>
      <c r="D1146" t="s" s="10">
        <v>10112</v>
      </c>
      <c r="E1146" t="s" s="10">
        <v>442</v>
      </c>
      <c r="F1146" t="s" s="10">
        <v>8737</v>
      </c>
      <c r="G1146" t="s" s="10">
        <v>10113</v>
      </c>
      <c r="H1146" s="16">
        <f>HYPERLINK("http://www.granot-ventures.com", "www.granot-ventures.com")</f>
      </c>
      <c r="I1146" t="s" s="10">
        <v>255</v>
      </c>
      <c r="J1146" t="s" s="24">
        <v>34</v>
      </c>
      <c r="K1146" t="s" s="24">
        <v>34</v>
      </c>
      <c r="L1146" t="s" s="24">
        <v>34</v>
      </c>
      <c r="M1146" t="s" s="12">
        <v>34</v>
      </c>
      <c r="N1146" t="s" s="10">
        <v>34</v>
      </c>
      <c r="O1146" t="s" s="10">
        <v>34</v>
      </c>
      <c r="P1146" t="s" s="10">
        <v>34</v>
      </c>
      <c r="Q1146" t="s" s="10">
        <v>34</v>
      </c>
      <c r="R1146" t="s" s="10">
        <v>34</v>
      </c>
      <c r="S1146" t="s" s="10">
        <v>34</v>
      </c>
      <c r="T1146" t="s" s="12">
        <v>34</v>
      </c>
      <c r="U1146" t="s" s="10">
        <v>34</v>
      </c>
      <c r="V1146" t="s" s="12">
        <v>34</v>
      </c>
      <c r="W1146" t="s" s="10">
        <v>10115</v>
      </c>
      <c r="X1146" s="16">
        <f>HYPERLINK("https://my.pitchbook.com?p=53220-07P", "View People Online")</f>
      </c>
    </row>
    <row r="1147">
      <c r="A1147" t="s" s="11">
        <v>10116</v>
      </c>
      <c r="B1147" t="s" s="11">
        <v>10117</v>
      </c>
      <c r="C1147" t="s" s="11">
        <v>34</v>
      </c>
      <c r="D1147" t="s" s="11">
        <v>10118</v>
      </c>
      <c r="E1147" t="s" s="11">
        <v>10119</v>
      </c>
      <c r="F1147" t="s" s="11">
        <v>477</v>
      </c>
      <c r="G1147" t="s" s="11">
        <v>10120</v>
      </c>
      <c r="H1147" s="17">
        <f>HYPERLINK("http://www.360.one", "www.360.one")</f>
      </c>
      <c r="I1147" t="s" s="11">
        <v>1121</v>
      </c>
      <c r="J1147" s="25">
        <v>5</v>
      </c>
      <c r="K1147" s="25">
        <v>6</v>
      </c>
      <c r="L1147" s="25">
        <v>1</v>
      </c>
      <c r="M1147" t="s" s="13">
        <v>10122</v>
      </c>
      <c r="N1147" t="s" s="11">
        <v>34</v>
      </c>
      <c r="O1147" t="s" s="11">
        <v>129</v>
      </c>
      <c r="P1147" t="s" s="11">
        <v>10123</v>
      </c>
      <c r="Q1147" t="s" s="11">
        <v>10124</v>
      </c>
      <c r="R1147" t="s" s="11">
        <v>132</v>
      </c>
      <c r="S1147" t="s" s="11">
        <v>133</v>
      </c>
      <c r="T1147" t="s" s="13">
        <v>10125</v>
      </c>
      <c r="U1147" t="s" s="11">
        <v>135</v>
      </c>
      <c r="V1147" t="s" s="13">
        <v>34</v>
      </c>
      <c r="W1147" t="s" s="11">
        <v>10126</v>
      </c>
      <c r="X1147" s="17">
        <f>HYPERLINK("https://my.pitchbook.com?p=261008-74P", "View People Online")</f>
      </c>
    </row>
    <row r="1148">
      <c r="A1148" t="s" s="10">
        <v>10127</v>
      </c>
      <c r="B1148" t="s" s="10">
        <v>10128</v>
      </c>
      <c r="C1148" t="s" s="10">
        <v>34</v>
      </c>
      <c r="D1148" t="s" s="10">
        <v>10129</v>
      </c>
      <c r="E1148" t="s" s="10">
        <v>10119</v>
      </c>
      <c r="F1148" t="s" s="10">
        <v>4614</v>
      </c>
      <c r="G1148" t="s" s="10">
        <v>4399</v>
      </c>
      <c r="H1148" s="16">
        <f>HYPERLINK("http://www.vestedadvisors.com", "www.vestedadvisors.com")</f>
      </c>
      <c r="I1148" t="s" s="10">
        <v>10131</v>
      </c>
      <c r="J1148" t="s" s="24">
        <v>34</v>
      </c>
      <c r="K1148" s="24">
        <v>1</v>
      </c>
      <c r="L1148" t="s" s="24">
        <v>34</v>
      </c>
      <c r="M1148" t="s" s="12">
        <v>10132</v>
      </c>
      <c r="N1148" t="s" s="10">
        <v>10133</v>
      </c>
      <c r="O1148" t="s" s="10">
        <v>10134</v>
      </c>
      <c r="P1148" t="s" s="10">
        <v>10135</v>
      </c>
      <c r="Q1148" t="s" s="10">
        <v>34</v>
      </c>
      <c r="R1148" t="s" s="10">
        <v>10136</v>
      </c>
      <c r="S1148" t="s" s="10">
        <v>1303</v>
      </c>
      <c r="T1148" t="s" s="12">
        <v>10137</v>
      </c>
      <c r="U1148" t="s" s="10">
        <v>88</v>
      </c>
      <c r="V1148" t="s" s="12">
        <v>34</v>
      </c>
      <c r="W1148" t="s" s="10">
        <v>10138</v>
      </c>
      <c r="X1148" s="16">
        <f>HYPERLINK("https://my.pitchbook.com?p=327820-24P", "View People Online")</f>
      </c>
    </row>
    <row r="1149">
      <c r="A1149" t="s" s="11">
        <v>10139</v>
      </c>
      <c r="B1149" t="s" s="11">
        <v>10140</v>
      </c>
      <c r="C1149" t="s" s="11">
        <v>34</v>
      </c>
      <c r="D1149" t="s" s="11">
        <v>10141</v>
      </c>
      <c r="E1149" t="s" s="11">
        <v>10119</v>
      </c>
      <c r="F1149" t="s" s="11">
        <v>10142</v>
      </c>
      <c r="G1149" t="s" s="11">
        <v>10143</v>
      </c>
      <c r="H1149" s="17">
        <f>HYPERLINK("http://ulit.ch", "ulit.ch")</f>
      </c>
      <c r="I1149" t="s" s="11">
        <v>10145</v>
      </c>
      <c r="J1149" s="25">
        <v>1</v>
      </c>
      <c r="K1149" s="25">
        <v>1</v>
      </c>
      <c r="L1149" t="s" s="25">
        <v>34</v>
      </c>
      <c r="M1149" t="s" s="13">
        <v>10146</v>
      </c>
      <c r="N1149" t="s" s="11">
        <v>34</v>
      </c>
      <c r="O1149" t="s" s="11">
        <v>926</v>
      </c>
      <c r="P1149" t="s" s="11">
        <v>10147</v>
      </c>
      <c r="Q1149" t="s" s="11">
        <v>34</v>
      </c>
      <c r="R1149" t="s" s="11">
        <v>928</v>
      </c>
      <c r="S1149" t="s" s="11">
        <v>34</v>
      </c>
      <c r="T1149" t="s" s="13">
        <v>2183</v>
      </c>
      <c r="U1149" t="s" s="11">
        <v>544</v>
      </c>
      <c r="V1149" t="s" s="13">
        <v>34</v>
      </c>
      <c r="W1149" t="s" s="11">
        <v>10148</v>
      </c>
      <c r="X1149" s="17">
        <f>HYPERLINK("https://my.pitchbook.com?p=457825-24P", "View People Online")</f>
      </c>
    </row>
    <row r="1150">
      <c r="A1150" t="s" s="10">
        <v>10149</v>
      </c>
      <c r="B1150" t="s" s="10">
        <v>10150</v>
      </c>
      <c r="C1150" t="s" s="10">
        <v>34</v>
      </c>
      <c r="D1150" t="s" s="10">
        <v>10141</v>
      </c>
      <c r="E1150" t="s" s="10">
        <v>10119</v>
      </c>
      <c r="F1150" t="s" s="10">
        <v>10151</v>
      </c>
      <c r="G1150" t="s" s="10">
        <v>10152</v>
      </c>
      <c r="H1150" s="16">
        <f>HYPERLINK("http://ulit.ch", "ulit.ch")</f>
      </c>
      <c r="I1150" t="s" s="10">
        <v>10153</v>
      </c>
      <c r="J1150" t="s" s="24">
        <v>34</v>
      </c>
      <c r="K1150" s="24">
        <v>1</v>
      </c>
      <c r="L1150" t="s" s="24">
        <v>34</v>
      </c>
      <c r="M1150" t="s" s="12">
        <v>10146</v>
      </c>
      <c r="N1150" t="s" s="10">
        <v>34</v>
      </c>
      <c r="O1150" t="s" s="10">
        <v>926</v>
      </c>
      <c r="P1150" t="s" s="10">
        <v>10147</v>
      </c>
      <c r="Q1150" t="s" s="10">
        <v>34</v>
      </c>
      <c r="R1150" t="s" s="10">
        <v>928</v>
      </c>
      <c r="S1150" t="s" s="10">
        <v>34</v>
      </c>
      <c r="T1150" t="s" s="12">
        <v>2183</v>
      </c>
      <c r="U1150" t="s" s="10">
        <v>544</v>
      </c>
      <c r="V1150" t="s" s="12">
        <v>34</v>
      </c>
      <c r="W1150" t="s" s="10">
        <v>10154</v>
      </c>
      <c r="X1150" s="16">
        <f>HYPERLINK("https://my.pitchbook.com?p=458452-99P", "View People Online")</f>
      </c>
    </row>
    <row r="1151">
      <c r="A1151" t="s" s="11">
        <v>10155</v>
      </c>
      <c r="B1151" t="s" s="11">
        <v>10156</v>
      </c>
      <c r="C1151" t="s" s="11">
        <v>34</v>
      </c>
      <c r="D1151" t="s" s="11">
        <v>10157</v>
      </c>
      <c r="E1151" t="s" s="11">
        <v>10119</v>
      </c>
      <c r="F1151" t="s" s="11">
        <v>10158</v>
      </c>
      <c r="G1151" t="s" s="11">
        <v>9324</v>
      </c>
      <c r="H1151" s="17">
        <f>HYPERLINK("http://www.lgtindia.in", "www.lgtindia.in")</f>
      </c>
      <c r="I1151" t="s" s="11">
        <v>649</v>
      </c>
      <c r="J1151" s="25">
        <v>2</v>
      </c>
      <c r="K1151" s="25">
        <v>2</v>
      </c>
      <c r="L1151" t="s" s="25">
        <v>34</v>
      </c>
      <c r="M1151" t="s" s="13">
        <v>10160</v>
      </c>
      <c r="N1151" t="s" s="11">
        <v>34</v>
      </c>
      <c r="O1151" t="s" s="11">
        <v>129</v>
      </c>
      <c r="P1151" t="s" s="11">
        <v>10161</v>
      </c>
      <c r="Q1151" t="s" s="11">
        <v>10162</v>
      </c>
      <c r="R1151" t="s" s="11">
        <v>132</v>
      </c>
      <c r="S1151" t="s" s="11">
        <v>133</v>
      </c>
      <c r="T1151" t="s" s="13">
        <v>10163</v>
      </c>
      <c r="U1151" t="s" s="11">
        <v>135</v>
      </c>
      <c r="V1151" t="s" s="13">
        <v>34</v>
      </c>
      <c r="W1151" t="s" s="11">
        <v>10164</v>
      </c>
      <c r="X1151" s="17">
        <f>HYPERLINK("https://my.pitchbook.com?p=319982-95P", "View People Online")</f>
      </c>
    </row>
    <row r="1152">
      <c r="A1152" t="s" s="10">
        <v>10165</v>
      </c>
      <c r="B1152" t="s" s="10">
        <v>10166</v>
      </c>
      <c r="C1152" t="s" s="10">
        <v>34</v>
      </c>
      <c r="D1152" t="s" s="10">
        <v>10157</v>
      </c>
      <c r="E1152" t="s" s="10">
        <v>10119</v>
      </c>
      <c r="F1152" t="s" s="10">
        <v>10167</v>
      </c>
      <c r="G1152" t="s" s="10">
        <v>274</v>
      </c>
      <c r="H1152" s="16">
        <f>HYPERLINK("http://www.lgtindia.in", "www.lgtindia.in")</f>
      </c>
      <c r="I1152" t="s" s="10">
        <v>649</v>
      </c>
      <c r="J1152" s="24">
        <v>1</v>
      </c>
      <c r="K1152" s="24">
        <v>1</v>
      </c>
      <c r="L1152" t="s" s="24">
        <v>34</v>
      </c>
      <c r="M1152" t="s" s="12">
        <v>10160</v>
      </c>
      <c r="N1152" t="s" s="10">
        <v>34</v>
      </c>
      <c r="O1152" t="s" s="10">
        <v>129</v>
      </c>
      <c r="P1152" t="s" s="10">
        <v>10161</v>
      </c>
      <c r="Q1152" t="s" s="10">
        <v>10162</v>
      </c>
      <c r="R1152" t="s" s="10">
        <v>132</v>
      </c>
      <c r="S1152" t="s" s="10">
        <v>133</v>
      </c>
      <c r="T1152" t="s" s="12">
        <v>10163</v>
      </c>
      <c r="U1152" t="s" s="10">
        <v>135</v>
      </c>
      <c r="V1152" t="s" s="12">
        <v>34</v>
      </c>
      <c r="W1152" t="s" s="10">
        <v>10168</v>
      </c>
      <c r="X1152" s="16">
        <f>HYPERLINK("https://my.pitchbook.com?p=410295-52P", "View People Online")</f>
      </c>
    </row>
    <row r="1153">
      <c r="A1153" t="s" s="11">
        <v>10169</v>
      </c>
      <c r="B1153" t="s" s="11">
        <v>10170</v>
      </c>
      <c r="C1153" t="s" s="11">
        <v>34</v>
      </c>
      <c r="D1153" t="s" s="11">
        <v>10171</v>
      </c>
      <c r="E1153" t="s" s="11">
        <v>10119</v>
      </c>
      <c r="F1153" t="s" s="11">
        <v>10172</v>
      </c>
      <c r="G1153" t="s" s="11">
        <v>2331</v>
      </c>
      <c r="H1153" s="17">
        <f>HYPERLINK("http://www.rasameel.com", "www.rasameel.com")</f>
      </c>
      <c r="I1153" t="s" s="11">
        <v>649</v>
      </c>
      <c r="J1153" s="25">
        <v>1</v>
      </c>
      <c r="K1153" s="25">
        <v>1</v>
      </c>
      <c r="L1153" t="s" s="25">
        <v>34</v>
      </c>
      <c r="M1153" t="s" s="13">
        <v>10174</v>
      </c>
      <c r="N1153" t="s" s="11">
        <v>34</v>
      </c>
      <c r="O1153" t="s" s="11">
        <v>1124</v>
      </c>
      <c r="P1153" t="s" s="11">
        <v>10175</v>
      </c>
      <c r="Q1153" t="s" s="11">
        <v>10176</v>
      </c>
      <c r="R1153" t="s" s="11">
        <v>1127</v>
      </c>
      <c r="S1153" t="s" s="11">
        <v>34</v>
      </c>
      <c r="T1153" t="s" s="13">
        <v>10177</v>
      </c>
      <c r="U1153" t="s" s="11">
        <v>1129</v>
      </c>
      <c r="V1153" t="s" s="13">
        <v>10178</v>
      </c>
      <c r="W1153" t="s" s="11">
        <v>10179</v>
      </c>
      <c r="X1153" s="17">
        <f>HYPERLINK("https://my.pitchbook.com?p=387371-08P", "View People Online")</f>
      </c>
    </row>
    <row r="1154">
      <c r="A1154" t="s" s="10">
        <v>10180</v>
      </c>
      <c r="B1154" t="s" s="10">
        <v>10181</v>
      </c>
      <c r="C1154" t="s" s="10">
        <v>34</v>
      </c>
      <c r="D1154" t="s" s="10">
        <v>10182</v>
      </c>
      <c r="E1154" t="s" s="10">
        <v>10119</v>
      </c>
      <c r="F1154" t="s" s="10">
        <v>10183</v>
      </c>
      <c r="G1154" t="s" s="10">
        <v>10184</v>
      </c>
      <c r="H1154" s="16">
        <f>HYPERLINK("http://ifsag.ch", "ifsag.ch")</f>
      </c>
      <c r="I1154" t="s" s="10">
        <v>10186</v>
      </c>
      <c r="J1154" t="s" s="24">
        <v>34</v>
      </c>
      <c r="K1154" s="24">
        <v>1</v>
      </c>
      <c r="L1154" t="s" s="24">
        <v>34</v>
      </c>
      <c r="M1154" t="s" s="12">
        <v>10187</v>
      </c>
      <c r="N1154" t="s" s="10">
        <v>10188</v>
      </c>
      <c r="O1154" t="s" s="10">
        <v>10189</v>
      </c>
      <c r="P1154" t="s" s="10">
        <v>10190</v>
      </c>
      <c r="Q1154" t="s" s="10">
        <v>34</v>
      </c>
      <c r="R1154" t="s" s="10">
        <v>10191</v>
      </c>
      <c r="S1154" t="s" s="10">
        <v>34</v>
      </c>
      <c r="T1154" t="s" s="12">
        <v>10192</v>
      </c>
      <c r="U1154" t="s" s="10">
        <v>544</v>
      </c>
      <c r="V1154" t="s" s="12">
        <v>34</v>
      </c>
      <c r="W1154" t="s" s="10">
        <v>10193</v>
      </c>
      <c r="X1154" s="16">
        <f>HYPERLINK("https://my.pitchbook.com?p=465101-29P", "View People Online")</f>
      </c>
    </row>
    <row r="1155">
      <c r="A1155" t="s" s="11">
        <v>10194</v>
      </c>
      <c r="B1155" t="s" s="11">
        <v>10195</v>
      </c>
      <c r="C1155" t="s" s="11">
        <v>34</v>
      </c>
      <c r="D1155" t="s" s="11">
        <v>10196</v>
      </c>
      <c r="E1155" t="s" s="11">
        <v>10119</v>
      </c>
      <c r="F1155" t="s" s="11">
        <v>9469</v>
      </c>
      <c r="G1155" t="s" s="11">
        <v>10197</v>
      </c>
      <c r="H1155" s="17">
        <f>HYPERLINK("http://www.tfoco.com", "www.tfoco.com")</f>
      </c>
      <c r="I1155" t="s" s="11">
        <v>649</v>
      </c>
      <c r="J1155" s="25">
        <v>1</v>
      </c>
      <c r="K1155" s="25">
        <v>1</v>
      </c>
      <c r="L1155" t="s" s="25">
        <v>34</v>
      </c>
      <c r="M1155" t="s" s="13">
        <v>10199</v>
      </c>
      <c r="N1155" t="s" s="11">
        <v>34</v>
      </c>
      <c r="O1155" t="s" s="11">
        <v>10200</v>
      </c>
      <c r="P1155" t="s" s="11">
        <v>10201</v>
      </c>
      <c r="Q1155" t="s" s="11">
        <v>10202</v>
      </c>
      <c r="R1155" t="s" s="11">
        <v>10203</v>
      </c>
      <c r="S1155" t="s" s="11">
        <v>34</v>
      </c>
      <c r="T1155" t="s" s="13">
        <v>34</v>
      </c>
      <c r="U1155" t="s" s="11">
        <v>2314</v>
      </c>
      <c r="V1155" t="s" s="13">
        <v>10204</v>
      </c>
      <c r="W1155" t="s" s="11">
        <v>10205</v>
      </c>
      <c r="X1155" s="17">
        <f>HYPERLINK("https://my.pitchbook.com?p=281208-52P", "View People Online")</f>
      </c>
    </row>
    <row r="1157">
      <c r="A1157" s="34" t="s">
        <v>10206</v>
      </c>
    </row>
  </sheetData>
  <mergeCells count="1">
    <mergeCell ref="B6:D6"/>
  </mergeCells>
  <hyperlinks>
    <hyperlink ref="B5" r:id="rId1" display="https://my.pitchbook.com/?pcc=1234047-16"/>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A36"/>
  <sheetViews>
    <sheetView workbookViewId="0"/>
  </sheetViews>
  <sheetFormatPr defaultRowHeight="15"/>
  <sheetData>
    <row r="1">
      <c r="A1" s="10"/>
    </row>
    <row r="2">
      <c r="A2" s="11"/>
    </row>
    <row r="3">
      <c r="A3" s="12"/>
    </row>
    <row r="4">
      <c r="A4" s="13"/>
    </row>
    <row r="5">
      <c r="A5" s="14"/>
    </row>
    <row r="6">
      <c r="A6" s="15"/>
    </row>
    <row r="7">
      <c r="A7" s="16"/>
    </row>
    <row r="8">
      <c r="A8" s="17"/>
    </row>
    <row r="9">
      <c r="A9" s="18"/>
    </row>
    <row r="10">
      <c r="A10" s="19"/>
    </row>
    <row r="11">
      <c r="A11" s="20"/>
    </row>
    <row r="12">
      <c r="A12" s="21"/>
    </row>
    <row r="13">
      <c r="A13" s="10"/>
    </row>
    <row r="14">
      <c r="A14" s="11"/>
    </row>
    <row r="15">
      <c r="A15" s="12"/>
    </row>
    <row r="16">
      <c r="A16" s="13"/>
    </row>
    <row r="17">
      <c r="A17" s="14"/>
    </row>
    <row r="18">
      <c r="A18" s="15"/>
    </row>
    <row r="19">
      <c r="A19" s="16"/>
    </row>
    <row r="20">
      <c r="A20" s="17"/>
    </row>
    <row r="21">
      <c r="A21" s="18"/>
    </row>
    <row r="22">
      <c r="A22" s="19"/>
    </row>
    <row r="23">
      <c r="A23" s="20"/>
    </row>
    <row r="24">
      <c r="A24" s="21"/>
    </row>
    <row r="25">
      <c r="A25" s="22"/>
    </row>
    <row r="26">
      <c r="A26" s="23"/>
    </row>
    <row r="27">
      <c r="A27" s="24"/>
    </row>
    <row r="28">
      <c r="A28" s="25"/>
    </row>
    <row r="29">
      <c r="A29" s="26"/>
    </row>
    <row r="30">
      <c r="A30" s="27"/>
    </row>
    <row r="31">
      <c r="A31" s="28"/>
    </row>
    <row r="32">
      <c r="A32" s="29"/>
    </row>
    <row r="33">
      <c r="A33" s="30"/>
    </row>
    <row r="34">
      <c r="A34" s="31"/>
    </row>
    <row r="35">
      <c r="A35" s="32"/>
    </row>
    <row r="36">
      <c r="A36"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E15"/>
  <sheetViews>
    <sheetView showGridLines="0" workbookViewId="0">
      <selection sqref="A1"/>
    </sheetView>
  </sheetViews>
  <sheetFormatPr defaultRowHeight="15"/>
  <cols>
    <col min="1" max="1" width="10.5703125" customWidth="1"/>
    <col min="2" max="2" width="49.140625" customWidth="1"/>
    <col min="3" max="3" width="27.7109375" customWidth="1"/>
    <col min="4" max="4" width="4.5703125" customWidth="1"/>
    <col min="5" max="5" width="22.140625" customWidth="1"/>
  </cols>
  <sheetData>
    <row r="1">
      <c r="A1" s="35" t="s">
        <v>10207</v>
      </c>
    </row>
    <row r="3">
      <c r="A3" s="36" t="s">
        <v>10208</v>
      </c>
    </row>
    <row r="4">
      <c r="A4" s="38" t="s">
        <v>10209</v>
      </c>
    </row>
    <row r="6">
      <c r="A6" s="36" t="s">
        <v>10210</v>
      </c>
      <c r="C6" s="38" t="s">
        <v>10211</v>
      </c>
      <c r="E6" s="36" t="s">
        <v>10212</v>
      </c>
    </row>
    <row r="8">
      <c r="A8" s="36" t="s">
        <v>10213</v>
      </c>
    </row>
    <row r="9">
      <c r="A9" s="39" t="s">
        <v>10214</v>
      </c>
      <c r="B9" s="36" t="s">
        <v>10215</v>
      </c>
    </row>
    <row r="10">
      <c r="A10" s="39" t="s">
        <v>10216</v>
      </c>
      <c r="B10" s="36" t="s">
        <v>10217</v>
      </c>
    </row>
    <row r="11">
      <c r="A11" s="39" t="s">
        <v>10218</v>
      </c>
      <c r="B11" s="36" t="s">
        <v>10219</v>
      </c>
    </row>
    <row r="13">
      <c r="A13" s="36" t="s">
        <v>10220</v>
      </c>
      <c r="B13" s="38" t="s">
        <v>10209</v>
      </c>
    </row>
    <row r="15">
      <c r="A15" s="34" t="s">
        <v>10206</v>
      </c>
    </row>
  </sheetData>
  <sheetProtection algorithmName="SHA-512" hashValue="Ys/0A7X/eLfIqCbYklKmvmJKDFoc9kNPORU0xA2qJC8tbgHc/HZpgj2AHbky+ryS8SA/PReQivDpmzLVijEtVA==" saltValue="mHcNA7qn5udJqrKwyU/USQ==" spinCount="100000" sheet="1" objects="1" scenarios="1"/>
  <hyperlinks>
    <hyperlink ref="A4" r:id="rId1" display="support@pitchbook.com"/>
    <hyperlink ref="C6" r:id="rId2" display="the PitchBook subscription agreement."/>
    <hyperlink ref="B13" r:id="rId3" display="support@pitchbook.com"/>
  </hyperlinks>
  <pageMargins left="0.7" right="0.7" top="0.75" bottom="0.75" header="0.3" footer="0.3"/>
</worksheet>
</file>